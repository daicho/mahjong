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chartsheets/sheet1.xml" ContentType="application/vnd.openxmlformats-officedocument.spreadsheetml.chartsheet+xml"/>
  <Override PartName="/xl/chartsheets/sheet2.xml" ContentType="application/vnd.openxmlformats-officedocument.spreadsheetml.chartsheet+xml"/>
  <Override PartName="/xl/chartsheets/sheet3.xml" ContentType="application/vnd.openxmlformats-officedocument.spreadsheetml.chartsheet+xml"/>
  <Override PartName="/xl/chartsheets/sheet4.xml" ContentType="application/vnd.openxmlformats-officedocument.spreadsheetml.chartsheet+xml"/>
  <Override PartName="/xl/chartsheets/sheet5.xml" ContentType="application/vnd.openxmlformats-officedocument.spreadsheetml.chartsheet+xml"/>
  <Override PartName="/xl/chartsheets/sheet6.xml" ContentType="application/vnd.openxmlformats-officedocument.spreadsheetml.chartsheet+xml"/>
  <Override PartName="/xl/chartsheets/sheet7.xml" ContentType="application/vnd.openxmlformats-officedocument.spreadsheetml.chartsheet+xml"/>
  <Override PartName="/xl/chartsheets/sheet8.xml" ContentType="application/vnd.openxmlformats-officedocument.spreadsheetml.chartsheet+xml"/>
  <Override PartName="/xl/chartsheets/sheet9.xml" ContentType="application/vnd.openxmlformats-officedocument.spreadsheetml.chartsheet+xml"/>
  <Override PartName="/xl/chartsheets/sheet10.xml" ContentType="application/vnd.openxmlformats-officedocument.spreadsheetml.chartsheet+xml"/>
  <Override PartName="/xl/chartsheets/sheet11.xml" ContentType="application/vnd.openxmlformats-officedocument.spreadsheetml.chartsheet+xml"/>
  <Override PartName="/xl/chartsheets/sheet12.xml" ContentType="application/vnd.openxmlformats-officedocument.spreadsheetml.chartsheet+xml"/>
  <Override PartName="/xl/chartsheets/sheet13.xml" ContentType="application/vnd.openxmlformats-officedocument.spreadsheetml.chartsheet+xml"/>
  <Override PartName="/xl/chartsheets/sheet14.xml" ContentType="application/vnd.openxmlformats-officedocument.spreadsheetml.chartsheet+xml"/>
  <Override PartName="/xl/chartsheets/sheet15.xml" ContentType="application/vnd.openxmlformats-officedocument.spreadsheetml.chart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2.xml" ContentType="application/vnd.openxmlformats-officedocument.drawing+xml"/>
  <Override PartName="/xl/ctrlProps/ctrlProp1.xml" ContentType="application/vnd.ms-excel.controlproperties+xml"/>
  <Override PartName="/xl/drawings/drawing3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4.xml" ContentType="application/vnd.openxmlformats-officedocument.drawing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drawings/drawing5.xml" ContentType="application/vnd.openxmlformats-officedocument.drawing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drawings/drawing6.xml" ContentType="application/vnd.openxmlformats-officedocument.drawing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drawings/drawing7.xml" ContentType="application/vnd.openxmlformats-officedocument.drawing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drawings/drawing8.xml" ContentType="application/vnd.openxmlformats-officedocument.drawing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drawings/drawing9.xml" ContentType="application/vnd.openxmlformats-officedocument.drawing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drawings/drawing10.xml" ContentType="application/vnd.openxmlformats-officedocument.drawing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drawings/drawing11.xml" ContentType="application/vnd.openxmlformats-officedocument.drawing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drawings/drawing12.xml" ContentType="application/vnd.openxmlformats-officedocument.drawing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drawings/drawing13.xml" ContentType="application/vnd.openxmlformats-officedocument.drawing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charts/chart36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charts/chart37.xml" ContentType="application/vnd.openxmlformats-officedocument.drawingml.chart+xml"/>
  <Override PartName="/xl/charts/style37.xml" ContentType="application/vnd.ms-office.chartstyle+xml"/>
  <Override PartName="/xl/charts/colors37.xml" ContentType="application/vnd.ms-office.chartcolorstyle+xml"/>
  <Override PartName="/xl/drawings/drawing14.xml" ContentType="application/vnd.openxmlformats-officedocument.drawing+xml"/>
  <Override PartName="/xl/charts/chart38.xml" ContentType="application/vnd.openxmlformats-officedocument.drawingml.chart+xml"/>
  <Override PartName="/xl/charts/style38.xml" ContentType="application/vnd.ms-office.chartstyle+xml"/>
  <Override PartName="/xl/charts/colors38.xml" ContentType="application/vnd.ms-office.chartcolorstyle+xml"/>
  <Override PartName="/xl/drawings/drawing15.xml" ContentType="application/vnd.openxmlformats-officedocument.drawing+xml"/>
  <Override PartName="/xl/charts/chart39.xml" ContentType="application/vnd.openxmlformats-officedocument.drawingml.chart+xml"/>
  <Override PartName="/xl/charts/style39.xml" ContentType="application/vnd.ms-office.chartstyle+xml"/>
  <Override PartName="/xl/charts/colors39.xml" ContentType="application/vnd.ms-office.chartcolorstyle+xml"/>
  <Override PartName="/xl/drawings/drawing16.xml" ContentType="application/vnd.openxmlformats-officedocument.drawing+xml"/>
  <Override PartName="/xl/charts/chart40.xml" ContentType="application/vnd.openxmlformats-officedocument.drawingml.chart+xml"/>
  <Override PartName="/xl/charts/style40.xml" ContentType="application/vnd.ms-office.chartstyle+xml"/>
  <Override PartName="/xl/charts/colors40.xml" ContentType="application/vnd.ms-office.chartcolorstyle+xml"/>
  <Override PartName="/xl/drawings/drawing17.xml" ContentType="application/vnd.openxmlformats-officedocument.drawing+xml"/>
  <Override PartName="/xl/charts/chart41.xml" ContentType="application/vnd.openxmlformats-officedocument.drawingml.chart+xml"/>
  <Override PartName="/xl/charts/style41.xml" ContentType="application/vnd.ms-office.chartstyle+xml"/>
  <Override PartName="/xl/charts/colors41.xml" ContentType="application/vnd.ms-office.chartcolorstyle+xml"/>
  <Override PartName="/xl/drawings/drawing18.xml" ContentType="application/vnd.openxmlformats-officedocument.drawing+xml"/>
  <Override PartName="/xl/charts/chart42.xml" ContentType="application/vnd.openxmlformats-officedocument.drawingml.chart+xml"/>
  <Override PartName="/xl/charts/style42.xml" ContentType="application/vnd.ms-office.chartstyle+xml"/>
  <Override PartName="/xl/charts/colors42.xml" ContentType="application/vnd.ms-office.chartcolorstyle+xml"/>
  <Override PartName="/xl/drawings/drawing19.xml" ContentType="application/vnd.openxmlformats-officedocument.drawing+xml"/>
  <Override PartName="/xl/charts/chart43.xml" ContentType="application/vnd.openxmlformats-officedocument.drawingml.chart+xml"/>
  <Override PartName="/xl/charts/style43.xml" ContentType="application/vnd.ms-office.chartstyle+xml"/>
  <Override PartName="/xl/charts/colors43.xml" ContentType="application/vnd.ms-office.chartcolorstyle+xml"/>
  <Override PartName="/xl/drawings/drawing20.xml" ContentType="application/vnd.openxmlformats-officedocument.drawing+xml"/>
  <Override PartName="/xl/charts/chart44.xml" ContentType="application/vnd.openxmlformats-officedocument.drawingml.chart+xml"/>
  <Override PartName="/xl/charts/style44.xml" ContentType="application/vnd.ms-office.chartstyle+xml"/>
  <Override PartName="/xl/charts/colors44.xml" ContentType="application/vnd.ms-office.chartcolorstyle+xml"/>
  <Override PartName="/xl/drawings/drawing21.xml" ContentType="application/vnd.openxmlformats-officedocument.drawing+xml"/>
  <Override PartName="/xl/charts/chart45.xml" ContentType="application/vnd.openxmlformats-officedocument.drawingml.chart+xml"/>
  <Override PartName="/xl/charts/style45.xml" ContentType="application/vnd.ms-office.chartstyle+xml"/>
  <Override PartName="/xl/charts/colors45.xml" ContentType="application/vnd.ms-office.chartcolorstyle+xml"/>
  <Override PartName="/xl/drawings/drawing22.xml" ContentType="application/vnd.openxmlformats-officedocument.drawing+xml"/>
  <Override PartName="/xl/charts/chart46.xml" ContentType="application/vnd.openxmlformats-officedocument.drawingml.chart+xml"/>
  <Override PartName="/xl/charts/style46.xml" ContentType="application/vnd.ms-office.chartstyle+xml"/>
  <Override PartName="/xl/charts/colors46.xml" ContentType="application/vnd.ms-office.chartcolorstyle+xml"/>
  <Override PartName="/xl/drawings/drawing23.xml" ContentType="application/vnd.openxmlformats-officedocument.drawing+xml"/>
  <Override PartName="/xl/charts/chart47.xml" ContentType="application/vnd.openxmlformats-officedocument.drawingml.chart+xml"/>
  <Override PartName="/xl/charts/style47.xml" ContentType="application/vnd.ms-office.chartstyle+xml"/>
  <Override PartName="/xl/charts/colors47.xml" ContentType="application/vnd.ms-office.chartcolorstyle+xml"/>
  <Override PartName="/xl/drawings/drawing24.xml" ContentType="application/vnd.openxmlformats-officedocument.drawing+xml"/>
  <Override PartName="/xl/charts/chart48.xml" ContentType="application/vnd.openxmlformats-officedocument.drawingml.chart+xml"/>
  <Override PartName="/xl/charts/style48.xml" ContentType="application/vnd.ms-office.chartstyle+xml"/>
  <Override PartName="/xl/charts/colors48.xml" ContentType="application/vnd.ms-office.chartcolorstyle+xml"/>
  <Override PartName="/xl/drawings/drawing25.xml" ContentType="application/vnd.openxmlformats-officedocument.drawing+xml"/>
  <Override PartName="/xl/charts/chart49.xml" ContentType="application/vnd.openxmlformats-officedocument.drawingml.chart+xml"/>
  <Override PartName="/xl/charts/style49.xml" ContentType="application/vnd.ms-office.chartstyle+xml"/>
  <Override PartName="/xl/charts/colors49.xml" ContentType="application/vnd.ms-office.chartcolorstyle+xml"/>
  <Override PartName="/xl/drawings/drawing26.xml" ContentType="application/vnd.openxmlformats-officedocument.drawing+xml"/>
  <Override PartName="/xl/charts/chart50.xml" ContentType="application/vnd.openxmlformats-officedocument.drawingml.chart+xml"/>
  <Override PartName="/xl/charts/style50.xml" ContentType="application/vnd.ms-office.chartstyle+xml"/>
  <Override PartName="/xl/charts/colors50.xml" ContentType="application/vnd.ms-office.chartcolorstyle+xml"/>
  <Override PartName="/xl/drawings/drawing27.xml" ContentType="application/vnd.openxmlformats-officedocument.drawing+xml"/>
  <Override PartName="/xl/charts/chart51.xml" ContentType="application/vnd.openxmlformats-officedocument.drawingml.chart+xml"/>
  <Override PartName="/xl/charts/style51.xml" ContentType="application/vnd.ms-office.chartstyle+xml"/>
  <Override PartName="/xl/charts/colors51.xml" ContentType="application/vnd.ms-office.chartcolorstyle+xml"/>
  <Override PartName="/xl/drawings/drawing28.xml" ContentType="application/vnd.openxmlformats-officedocument.drawing+xml"/>
  <Override PartName="/xl/charts/chart52.xml" ContentType="application/vnd.openxmlformats-officedocument.drawingml.chart+xml"/>
  <Override PartName="/xl/charts/style52.xml" ContentType="application/vnd.ms-office.chartstyle+xml"/>
  <Override PartName="/xl/charts/colors52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527" codeName="{564CA151-5A5B-428A-3C10-77597649240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ichi\Git\mahjong\麻雀同好会5th\"/>
    </mc:Choice>
  </mc:AlternateContent>
  <xr:revisionPtr revIDLastSave="0" documentId="13_ncr:1_{03F58AD5-4176-4AC5-B58F-7A31D795E858}" xr6:coauthVersionLast="45" xr6:coauthVersionMax="45" xr10:uidLastSave="{00000000-0000-0000-0000-000000000000}"/>
  <bookViews>
    <workbookView xWindow="-108" yWindow="-108" windowWidth="23256" windowHeight="12720" tabRatio="663" firstSheet="3" activeTab="3" xr2:uid="{4FDB0271-42AC-4C1F-BA12-2E989A379038}"/>
  </bookViews>
  <sheets>
    <sheet name="Cache" sheetId="2227" state="hidden" r:id="rId1"/>
    <sheet name="Template2" sheetId="3002" state="hidden" r:id="rId2"/>
    <sheet name="Players" sheetId="3285" state="hidden" r:id="rId3"/>
    <sheet name="Template1" sheetId="6023" r:id="rId4"/>
    <sheet name="ランキング" sheetId="3332" r:id="rId5"/>
    <sheet name="全体" sheetId="6302" r:id="rId6"/>
    <sheet name="だいち" sheetId="6304" r:id="rId7"/>
    <sheet name="れんたろう" sheetId="6306" r:id="rId8"/>
    <sheet name="たかの" sheetId="6308" r:id="rId9"/>
    <sheet name="まっつん" sheetId="6310" r:id="rId10"/>
    <sheet name="いちかわ" sheetId="6312" r:id="rId11"/>
    <sheet name="ただ" sheetId="6314" r:id="rId12"/>
    <sheet name="たか" sheetId="6316" r:id="rId13"/>
    <sheet name="のり" sheetId="6318" r:id="rId14"/>
    <sheet name="りくと" sheetId="6320" r:id="rId15"/>
    <sheet name="わさび" sheetId="6322" r:id="rId16"/>
    <sheet name="わさび2" sheetId="6323" state="hidden" r:id="rId17"/>
    <sheet name="りくと2" sheetId="6321" state="hidden" r:id="rId18"/>
    <sheet name="のり2" sheetId="6319" state="hidden" r:id="rId19"/>
    <sheet name="たか2" sheetId="6317" state="hidden" r:id="rId20"/>
    <sheet name="ただ2" sheetId="6315" state="hidden" r:id="rId21"/>
    <sheet name="いちかわ2" sheetId="6313" state="hidden" r:id="rId22"/>
    <sheet name="まっつん2" sheetId="6311" state="hidden" r:id="rId23"/>
    <sheet name="たかの2" sheetId="6309" state="hidden" r:id="rId24"/>
    <sheet name="れんたろう2" sheetId="6307" state="hidden" r:id="rId25"/>
    <sheet name="だいち2" sheetId="6305" state="hidden" r:id="rId26"/>
    <sheet name="全体2" sheetId="6303" state="hidden" r:id="rId27"/>
    <sheet name="通算スコア" sheetId="3331" state="hidden" r:id="rId28"/>
    <sheet name="平均スコア" sheetId="3493" state="hidden" r:id="rId29"/>
    <sheet name="平均順位" sheetId="3183" state="hidden" r:id="rId30"/>
    <sheet name="トップ率" sheetId="3185" state="hidden" r:id="rId31"/>
    <sheet name="ラス率" sheetId="4886" state="hidden" r:id="rId32"/>
    <sheet name="アガリ率" sheetId="3189" state="hidden" r:id="rId33"/>
    <sheet name="放銃率" sheetId="3190" state="hidden" r:id="rId34"/>
    <sheet name="平均アガリ点" sheetId="3520" state="hidden" r:id="rId35"/>
    <sheet name="平均放銃点" sheetId="3521" state="hidden" r:id="rId36"/>
    <sheet name="ふっとび率" sheetId="3522" state="hidden" r:id="rId37"/>
    <sheet name="リーチ率" sheetId="3524" state="hidden" r:id="rId38"/>
    <sheet name="副露率" sheetId="3525" state="hidden" r:id="rId39"/>
    <sheet name="リーチ成功率" sheetId="4841" state="hidden" r:id="rId40"/>
    <sheet name="副露成功率" sheetId="3527" state="hidden" r:id="rId41"/>
    <sheet name="ツモ率" sheetId="3528" state="hidden" r:id="rId42"/>
  </sheets>
  <definedNames>
    <definedName name="アガリ数" localSheetId="3">Template1!$B$20</definedName>
    <definedName name="アガリ数" localSheetId="10">いちかわ!$B$19</definedName>
    <definedName name="アガリ数" localSheetId="6">だいち!$B$19</definedName>
    <definedName name="アガリ数" localSheetId="12">たか!$B$19</definedName>
    <definedName name="アガリ数" localSheetId="8">たかの!$B$19</definedName>
    <definedName name="アガリ数" localSheetId="11">ただ!$B$19</definedName>
    <definedName name="アガリ数" localSheetId="13">のり!$B$19</definedName>
    <definedName name="アガリ数" localSheetId="9">まっつん!$B$19</definedName>
    <definedName name="アガリ数" localSheetId="14">りくと!$B$19</definedName>
    <definedName name="アガリ数" localSheetId="7">れんたろう!$B$19</definedName>
    <definedName name="アガリ数" localSheetId="15">わさび!$B$19</definedName>
    <definedName name="アガリ数" localSheetId="5">全体!$B$19</definedName>
    <definedName name="アガリ数">#REF!</definedName>
    <definedName name="アガリ率" localSheetId="3">Template1!$C$20</definedName>
    <definedName name="アガリ率" localSheetId="10">いちかわ!$C$19</definedName>
    <definedName name="アガリ率" localSheetId="6">だいち!$C$19</definedName>
    <definedName name="アガリ率" localSheetId="12">たか!$C$19</definedName>
    <definedName name="アガリ率" localSheetId="8">たかの!$C$19</definedName>
    <definedName name="アガリ率" localSheetId="11">ただ!$C$19</definedName>
    <definedName name="アガリ率" localSheetId="13">のり!$C$19</definedName>
    <definedName name="アガリ率" localSheetId="9">まっつん!$C$19</definedName>
    <definedName name="アガリ率" localSheetId="14">りくと!$C$19</definedName>
    <definedName name="アガリ率" localSheetId="7">れんたろう!$C$19</definedName>
    <definedName name="アガリ率" localSheetId="15">わさび!$C$19</definedName>
    <definedName name="アガリ率" localSheetId="5">全体!$C$19</definedName>
    <definedName name="アガリ率">#REF!</definedName>
    <definedName name="ダマアガリ数" localSheetId="3">Template1!$B$26</definedName>
    <definedName name="ダマアガリ数" localSheetId="10">いちかわ!$B$25</definedName>
    <definedName name="ダマアガリ数" localSheetId="6">だいち!$B$25</definedName>
    <definedName name="ダマアガリ数" localSheetId="12">たか!$B$25</definedName>
    <definedName name="ダマアガリ数" localSheetId="8">たかの!$B$25</definedName>
    <definedName name="ダマアガリ数" localSheetId="11">ただ!$B$25</definedName>
    <definedName name="ダマアガリ数" localSheetId="13">のり!$B$25</definedName>
    <definedName name="ダマアガリ数" localSheetId="9">まっつん!$B$25</definedName>
    <definedName name="ダマアガリ数" localSheetId="14">りくと!$B$25</definedName>
    <definedName name="ダマアガリ数" localSheetId="7">れんたろう!$B$25</definedName>
    <definedName name="ダマアガリ数" localSheetId="15">わさび!$B$25</definedName>
    <definedName name="ダマアガリ数" localSheetId="5">全体!$B$25</definedName>
    <definedName name="ダマアガリ数">#REF!</definedName>
    <definedName name="ダマアガリ点">#REF!</definedName>
    <definedName name="ダマアガリ率" localSheetId="3">Template1!$C$26</definedName>
    <definedName name="ダマアガリ率" localSheetId="10">いちかわ!$C$25</definedName>
    <definedName name="ダマアガリ率" localSheetId="6">だいち!$C$25</definedName>
    <definedName name="ダマアガリ率" localSheetId="12">たか!$C$25</definedName>
    <definedName name="ダマアガリ率" localSheetId="8">たかの!$C$25</definedName>
    <definedName name="ダマアガリ率" localSheetId="11">ただ!$C$25</definedName>
    <definedName name="ダマアガリ率" localSheetId="13">のり!$C$25</definedName>
    <definedName name="ダマアガリ率" localSheetId="9">まっつん!$C$25</definedName>
    <definedName name="ダマアガリ率" localSheetId="14">りくと!$C$25</definedName>
    <definedName name="ダマアガリ率" localSheetId="7">れんたろう!$C$25</definedName>
    <definedName name="ダマアガリ率" localSheetId="15">わさび!$C$25</definedName>
    <definedName name="ダマアガリ率" localSheetId="5">全体!$C$25</definedName>
    <definedName name="ダマアガリ率">#REF!</definedName>
    <definedName name="チョンボ数" localSheetId="3">Template1!$B$35</definedName>
    <definedName name="チョンボ数" localSheetId="10">いちかわ!$B$34</definedName>
    <definedName name="チョンボ数" localSheetId="6">だいち!$B$34</definedName>
    <definedName name="チョンボ数" localSheetId="12">たか!$B$34</definedName>
    <definedName name="チョンボ数" localSheetId="8">たかの!$B$34</definedName>
    <definedName name="チョンボ数" localSheetId="11">ただ!$B$34</definedName>
    <definedName name="チョンボ数" localSheetId="13">のり!$B$34</definedName>
    <definedName name="チョンボ数" localSheetId="9">まっつん!$B$34</definedName>
    <definedName name="チョンボ数" localSheetId="14">りくと!$B$34</definedName>
    <definedName name="チョンボ数" localSheetId="7">れんたろう!$B$34</definedName>
    <definedName name="チョンボ数" localSheetId="15">わさび!$B$34</definedName>
    <definedName name="チョンボ数" localSheetId="5">全体!$B$34</definedName>
    <definedName name="チョンボ数">#REF!</definedName>
    <definedName name="チョンボ率" localSheetId="3">Template1!$C$35</definedName>
    <definedName name="チョンボ率" localSheetId="10">いちかわ!$C$34</definedName>
    <definedName name="チョンボ率" localSheetId="6">だいち!$C$34</definedName>
    <definedName name="チョンボ率" localSheetId="12">たか!$C$34</definedName>
    <definedName name="チョンボ率" localSheetId="8">たかの!$C$34</definedName>
    <definedName name="チョンボ率" localSheetId="11">ただ!$C$34</definedName>
    <definedName name="チョンボ率" localSheetId="13">のり!$C$34</definedName>
    <definedName name="チョンボ率" localSheetId="9">まっつん!$C$34</definedName>
    <definedName name="チョンボ率" localSheetId="14">りくと!$C$34</definedName>
    <definedName name="チョンボ率" localSheetId="7">れんたろう!$C$34</definedName>
    <definedName name="チョンボ率" localSheetId="15">わさび!$C$34</definedName>
    <definedName name="チョンボ率" localSheetId="5">全体!$C$34</definedName>
    <definedName name="チョンボ率">#REF!</definedName>
    <definedName name="ツモ数" localSheetId="3">Template1!$B$22</definedName>
    <definedName name="ツモ数" localSheetId="10">いちかわ!$B$21</definedName>
    <definedName name="ツモ数" localSheetId="6">だいち!$B$21</definedName>
    <definedName name="ツモ数" localSheetId="12">たか!$B$21</definedName>
    <definedName name="ツモ数" localSheetId="8">たかの!$B$21</definedName>
    <definedName name="ツモ数" localSheetId="11">ただ!$B$21</definedName>
    <definedName name="ツモ数" localSheetId="13">のり!$B$21</definedName>
    <definedName name="ツモ数" localSheetId="9">まっつん!$B$21</definedName>
    <definedName name="ツモ数" localSheetId="14">りくと!$B$21</definedName>
    <definedName name="ツモ数" localSheetId="7">れんたろう!$B$21</definedName>
    <definedName name="ツモ数" localSheetId="15">わさび!$B$21</definedName>
    <definedName name="ツモ数" localSheetId="5">全体!$B$21</definedName>
    <definedName name="ツモ数">#REF!</definedName>
    <definedName name="ツモ率" localSheetId="3">Template1!$C$22</definedName>
    <definedName name="ツモ率" localSheetId="10">いちかわ!$C$21</definedName>
    <definedName name="ツモ率" localSheetId="6">だいち!$C$21</definedName>
    <definedName name="ツモ率" localSheetId="12">たか!$C$21</definedName>
    <definedName name="ツモ率" localSheetId="8">たかの!$C$21</definedName>
    <definedName name="ツモ率" localSheetId="11">ただ!$C$21</definedName>
    <definedName name="ツモ率" localSheetId="13">のり!$C$21</definedName>
    <definedName name="ツモ率" localSheetId="9">まっつん!$C$21</definedName>
    <definedName name="ツモ率" localSheetId="14">りくと!$C$21</definedName>
    <definedName name="ツモ率" localSheetId="7">れんたろう!$C$21</definedName>
    <definedName name="ツモ率" localSheetId="15">わさび!$C$21</definedName>
    <definedName name="ツモ率" localSheetId="5">全体!$C$21</definedName>
    <definedName name="ツモ率">#REF!</definedName>
    <definedName name="トップ数" localSheetId="3">Template1!$B$8</definedName>
    <definedName name="トップ数" localSheetId="10">いちかわ!$B$7</definedName>
    <definedName name="トップ数" localSheetId="6">だいち!$B$7</definedName>
    <definedName name="トップ数" localSheetId="12">たか!$B$7</definedName>
    <definedName name="トップ数" localSheetId="8">たかの!$B$7</definedName>
    <definedName name="トップ数" localSheetId="11">ただ!$B$7</definedName>
    <definedName name="トップ数" localSheetId="13">のり!$B$7</definedName>
    <definedName name="トップ数" localSheetId="9">まっつん!$B$7</definedName>
    <definedName name="トップ数" localSheetId="14">りくと!$B$7</definedName>
    <definedName name="トップ数" localSheetId="7">れんたろう!$B$7</definedName>
    <definedName name="トップ数" localSheetId="15">わさび!$B$7</definedName>
    <definedName name="トップ数" localSheetId="5">全体!$B$7</definedName>
    <definedName name="トップ数">#REF!</definedName>
    <definedName name="トップ率" localSheetId="3">Template1!$C$8</definedName>
    <definedName name="トップ率" localSheetId="10">いちかわ!$C$7</definedName>
    <definedName name="トップ率" localSheetId="6">だいち!$C$7</definedName>
    <definedName name="トップ率" localSheetId="12">たか!$C$7</definedName>
    <definedName name="トップ率" localSheetId="8">たかの!$C$7</definedName>
    <definedName name="トップ率" localSheetId="11">ただ!$C$7</definedName>
    <definedName name="トップ率" localSheetId="13">のり!$C$7</definedName>
    <definedName name="トップ率" localSheetId="9">まっつん!$C$7</definedName>
    <definedName name="トップ率" localSheetId="14">りくと!$C$7</definedName>
    <definedName name="トップ率" localSheetId="7">れんたろう!$C$7</definedName>
    <definedName name="トップ率" localSheetId="15">わさび!$C$7</definedName>
    <definedName name="トップ率" localSheetId="5">全体!$C$7</definedName>
    <definedName name="トップ率">#REF!</definedName>
    <definedName name="バランス" localSheetId="10">いちかわ!$B$13</definedName>
    <definedName name="バランス" localSheetId="6">だいち!$B$13</definedName>
    <definedName name="バランス" localSheetId="12">たか!$B$13</definedName>
    <definedName name="バランス" localSheetId="8">たかの!$B$13</definedName>
    <definedName name="バランス" localSheetId="11">ただ!$B$13</definedName>
    <definedName name="バランス" localSheetId="13">のり!$B$13</definedName>
    <definedName name="バランス" localSheetId="9">まっつん!$B$13</definedName>
    <definedName name="バランス" localSheetId="14">りくと!$B$13</definedName>
    <definedName name="バランス" localSheetId="7">れんたろう!$B$13</definedName>
    <definedName name="バランス" localSheetId="15">わさび!$B$13</definedName>
    <definedName name="バランス" localSheetId="5">全体!$B$13</definedName>
    <definedName name="バランス">Template1!$B$14</definedName>
    <definedName name="ふっとばし数">#REF!</definedName>
    <definedName name="ふっとばし率">#REF!</definedName>
    <definedName name="ふっとび数" localSheetId="3">Template1!$B$15</definedName>
    <definedName name="ふっとび数" localSheetId="10">いちかわ!$B$14</definedName>
    <definedName name="ふっとび数" localSheetId="6">だいち!$B$14</definedName>
    <definedName name="ふっとび数" localSheetId="12">たか!$B$14</definedName>
    <definedName name="ふっとび数" localSheetId="8">たかの!$B$14</definedName>
    <definedName name="ふっとび数" localSheetId="11">ただ!$B$14</definedName>
    <definedName name="ふっとび数" localSheetId="13">のり!$B$14</definedName>
    <definedName name="ふっとび数" localSheetId="9">まっつん!$B$14</definedName>
    <definedName name="ふっとび数" localSheetId="14">りくと!$B$14</definedName>
    <definedName name="ふっとび数" localSheetId="7">れんたろう!$B$14</definedName>
    <definedName name="ふっとび数" localSheetId="15">わさび!$B$14</definedName>
    <definedName name="ふっとび数" localSheetId="5">全体!$B$14</definedName>
    <definedName name="ふっとび数">#REF!</definedName>
    <definedName name="ふっとび率" localSheetId="3">Template1!$C$15</definedName>
    <definedName name="ふっとび率" localSheetId="10">いちかわ!$C$14</definedName>
    <definedName name="ふっとび率" localSheetId="6">だいち!$C$14</definedName>
    <definedName name="ふっとび率" localSheetId="12">たか!$C$14</definedName>
    <definedName name="ふっとび率" localSheetId="8">たかの!$C$14</definedName>
    <definedName name="ふっとび率" localSheetId="11">ただ!$C$14</definedName>
    <definedName name="ふっとび率" localSheetId="13">のり!$C$14</definedName>
    <definedName name="ふっとび率" localSheetId="9">まっつん!$C$14</definedName>
    <definedName name="ふっとび率" localSheetId="14">りくと!$C$14</definedName>
    <definedName name="ふっとび率" localSheetId="7">れんたろう!$C$14</definedName>
    <definedName name="ふっとび率" localSheetId="15">わさび!$C$14</definedName>
    <definedName name="ふっとび率" localSheetId="5">全体!$C$14</definedName>
    <definedName name="ふっとび率">#REF!</definedName>
    <definedName name="ラス数" localSheetId="3">Template1!$B$10</definedName>
    <definedName name="ラス数" localSheetId="10">いちかわ!$B$9</definedName>
    <definedName name="ラス数" localSheetId="6">だいち!$B$9</definedName>
    <definedName name="ラス数" localSheetId="12">たか!$B$9</definedName>
    <definedName name="ラス数" localSheetId="8">たかの!$B$9</definedName>
    <definedName name="ラス数" localSheetId="11">ただ!$B$9</definedName>
    <definedName name="ラス数" localSheetId="13">のり!$B$9</definedName>
    <definedName name="ラス数" localSheetId="9">まっつん!$B$9</definedName>
    <definedName name="ラス数" localSheetId="14">りくと!$B$9</definedName>
    <definedName name="ラス数" localSheetId="7">れんたろう!$B$9</definedName>
    <definedName name="ラス数" localSheetId="15">わさび!$B$9</definedName>
    <definedName name="ラス数" localSheetId="5">全体!$B$9</definedName>
    <definedName name="ラス数">#REF!</definedName>
    <definedName name="ラス率" localSheetId="3">Template1!$C$10</definedName>
    <definedName name="ラス率" localSheetId="10">いちかわ!$C$9</definedName>
    <definedName name="ラス率" localSheetId="6">だいち!$C$9</definedName>
    <definedName name="ラス率" localSheetId="12">たか!$C$9</definedName>
    <definedName name="ラス率" localSheetId="8">たかの!$C$9</definedName>
    <definedName name="ラス率" localSheetId="11">ただ!$C$9</definedName>
    <definedName name="ラス率" localSheetId="13">のり!$C$9</definedName>
    <definedName name="ラス率" localSheetId="9">まっつん!$C$9</definedName>
    <definedName name="ラス率" localSheetId="14">りくと!$C$9</definedName>
    <definedName name="ラス率" localSheetId="7">れんたろう!$C$9</definedName>
    <definedName name="ラス率" localSheetId="15">わさび!$C$9</definedName>
    <definedName name="ラス率" localSheetId="5">全体!$C$9</definedName>
    <definedName name="ラス率">#REF!</definedName>
    <definedName name="リーチアガリ数" localSheetId="3">Template1!$B$24</definedName>
    <definedName name="リーチアガリ数" localSheetId="10">いちかわ!$B$23</definedName>
    <definedName name="リーチアガリ数" localSheetId="6">だいち!$B$23</definedName>
    <definedName name="リーチアガリ数" localSheetId="12">たか!$B$23</definedName>
    <definedName name="リーチアガリ数" localSheetId="8">たかの!$B$23</definedName>
    <definedName name="リーチアガリ数" localSheetId="11">ただ!$B$23</definedName>
    <definedName name="リーチアガリ数" localSheetId="13">のり!$B$23</definedName>
    <definedName name="リーチアガリ数" localSheetId="9">まっつん!$B$23</definedName>
    <definedName name="リーチアガリ数" localSheetId="14">りくと!$B$23</definedName>
    <definedName name="リーチアガリ数" localSheetId="7">れんたろう!$B$23</definedName>
    <definedName name="リーチアガリ数" localSheetId="15">わさび!$B$23</definedName>
    <definedName name="リーチアガリ数" localSheetId="5">全体!$B$23</definedName>
    <definedName name="リーチアガリ数">#REF!</definedName>
    <definedName name="リーチアガリ率" localSheetId="3">Template1!$C$24</definedName>
    <definedName name="リーチアガリ率" localSheetId="10">いちかわ!$C$23</definedName>
    <definedName name="リーチアガリ率" localSheetId="6">だいち!$C$23</definedName>
    <definedName name="リーチアガリ率" localSheetId="12">たか!$C$23</definedName>
    <definedName name="リーチアガリ率" localSheetId="8">たかの!$C$23</definedName>
    <definedName name="リーチアガリ率" localSheetId="11">ただ!$C$23</definedName>
    <definedName name="リーチアガリ率" localSheetId="13">のり!$C$23</definedName>
    <definedName name="リーチアガリ率" localSheetId="9">まっつん!$C$23</definedName>
    <definedName name="リーチアガリ率" localSheetId="14">りくと!$C$23</definedName>
    <definedName name="リーチアガリ率" localSheetId="7">れんたろう!$C$23</definedName>
    <definedName name="リーチアガリ率" localSheetId="15">わさび!$C$23</definedName>
    <definedName name="リーチアガリ率" localSheetId="5">全体!$C$23</definedName>
    <definedName name="リーチアガリ率">#REF!</definedName>
    <definedName name="リーチ数" localSheetId="3">Template1!$B$16</definedName>
    <definedName name="リーチ数" localSheetId="10">いちかわ!$B$15</definedName>
    <definedName name="リーチ数" localSheetId="6">だいち!$B$15</definedName>
    <definedName name="リーチ数" localSheetId="12">たか!$B$15</definedName>
    <definedName name="リーチ数" localSheetId="8">たかの!$B$15</definedName>
    <definedName name="リーチ数" localSheetId="11">ただ!$B$15</definedName>
    <definedName name="リーチ数" localSheetId="13">のり!$B$15</definedName>
    <definedName name="リーチ数" localSheetId="9">まっつん!$B$15</definedName>
    <definedName name="リーチ数" localSheetId="14">りくと!$B$15</definedName>
    <definedName name="リーチ数" localSheetId="7">れんたろう!$B$15</definedName>
    <definedName name="リーチ数" localSheetId="15">わさび!$B$15</definedName>
    <definedName name="リーチ数" localSheetId="5">全体!$B$15</definedName>
    <definedName name="リーチ数">#REF!</definedName>
    <definedName name="リーチ成功数" localSheetId="3">Template1!$B$18</definedName>
    <definedName name="リーチ成功数" localSheetId="10">いちかわ!$B$17</definedName>
    <definedName name="リーチ成功数" localSheetId="6">だいち!$B$17</definedName>
    <definedName name="リーチ成功数" localSheetId="12">たか!$B$17</definedName>
    <definedName name="リーチ成功数" localSheetId="8">たかの!$B$17</definedName>
    <definedName name="リーチ成功数" localSheetId="11">ただ!$B$17</definedName>
    <definedName name="リーチ成功数" localSheetId="13">のり!$B$17</definedName>
    <definedName name="リーチ成功数" localSheetId="9">まっつん!$B$17</definedName>
    <definedName name="リーチ成功数" localSheetId="14">りくと!$B$17</definedName>
    <definedName name="リーチ成功数" localSheetId="7">れんたろう!$B$17</definedName>
    <definedName name="リーチ成功数" localSheetId="15">わさび!$B$17</definedName>
    <definedName name="リーチ成功数" localSheetId="5">全体!$B$17</definedName>
    <definedName name="リーチ成功数">#REF!</definedName>
    <definedName name="リーチ成功率" localSheetId="3">Template1!$C$18</definedName>
    <definedName name="リーチ成功率" localSheetId="10">いちかわ!$C$17</definedName>
    <definedName name="リーチ成功率" localSheetId="6">だいち!$C$17</definedName>
    <definedName name="リーチ成功率" localSheetId="12">たか!$C$17</definedName>
    <definedName name="リーチ成功率" localSheetId="8">たかの!$C$17</definedName>
    <definedName name="リーチ成功率" localSheetId="11">ただ!$C$17</definedName>
    <definedName name="リーチ成功率" localSheetId="13">のり!$C$17</definedName>
    <definedName name="リーチ成功率" localSheetId="9">まっつん!$C$17</definedName>
    <definedName name="リーチ成功率" localSheetId="14">りくと!$C$17</definedName>
    <definedName name="リーチ成功率" localSheetId="7">れんたろう!$C$17</definedName>
    <definedName name="リーチ成功率" localSheetId="15">わさび!$C$17</definedName>
    <definedName name="リーチ成功率" localSheetId="5">全体!$C$17</definedName>
    <definedName name="リーチ成功率">#REF!</definedName>
    <definedName name="リーチ率" localSheetId="3">Template1!$C$16</definedName>
    <definedName name="リーチ率" localSheetId="10">いちかわ!$C$15</definedName>
    <definedName name="リーチ率" localSheetId="6">だいち!$C$15</definedName>
    <definedName name="リーチ率" localSheetId="12">たか!$C$15</definedName>
    <definedName name="リーチ率" localSheetId="8">たかの!$C$15</definedName>
    <definedName name="リーチ率" localSheetId="11">ただ!$C$15</definedName>
    <definedName name="リーチ率" localSheetId="13">のり!$C$15</definedName>
    <definedName name="リーチ率" localSheetId="9">まっつん!$C$15</definedName>
    <definedName name="リーチ率" localSheetId="14">りくと!$C$15</definedName>
    <definedName name="リーチ率" localSheetId="7">れんたろう!$C$15</definedName>
    <definedName name="リーチ率" localSheetId="15">わさび!$C$15</definedName>
    <definedName name="リーチ率" localSheetId="5">全体!$C$15</definedName>
    <definedName name="リーチ率">#REF!</definedName>
    <definedName name="レーティング">Template1!$B$6</definedName>
    <definedName name="ロン数" localSheetId="3">Template1!$B$23</definedName>
    <definedName name="ロン数" localSheetId="10">いちかわ!$B$22</definedName>
    <definedName name="ロン数" localSheetId="6">だいち!$B$22</definedName>
    <definedName name="ロン数" localSheetId="12">たか!$B$22</definedName>
    <definedName name="ロン数" localSheetId="8">たかの!$B$22</definedName>
    <definedName name="ロン数" localSheetId="11">ただ!$B$22</definedName>
    <definedName name="ロン数" localSheetId="13">のり!$B$22</definedName>
    <definedName name="ロン数" localSheetId="9">まっつん!$B$22</definedName>
    <definedName name="ロン数" localSheetId="14">りくと!$B$22</definedName>
    <definedName name="ロン数" localSheetId="7">れんたろう!$B$22</definedName>
    <definedName name="ロン数" localSheetId="15">わさび!$B$22</definedName>
    <definedName name="ロン数" localSheetId="5">全体!$B$22</definedName>
    <definedName name="ロン数">#REF!</definedName>
    <definedName name="ロン率" localSheetId="3">Template1!$C$23</definedName>
    <definedName name="ロン率" localSheetId="10">いちかわ!$C$22</definedName>
    <definedName name="ロン率" localSheetId="6">だいち!$C$22</definedName>
    <definedName name="ロン率" localSheetId="12">たか!$C$22</definedName>
    <definedName name="ロン率" localSheetId="8">たかの!$C$22</definedName>
    <definedName name="ロン率" localSheetId="11">ただ!$C$22</definedName>
    <definedName name="ロン率" localSheetId="13">のり!$C$22</definedName>
    <definedName name="ロン率" localSheetId="9">まっつん!$C$22</definedName>
    <definedName name="ロン率" localSheetId="14">りくと!$C$22</definedName>
    <definedName name="ロン率" localSheetId="7">れんたろう!$C$22</definedName>
    <definedName name="ロン率" localSheetId="15">わさび!$C$22</definedName>
    <definedName name="ロン率" localSheetId="5">全体!$C$22</definedName>
    <definedName name="ロン率">#REF!</definedName>
    <definedName name="一位スコア" localSheetId="10">いちかわ!$B$10</definedName>
    <definedName name="一位スコア" localSheetId="6">だいち!$B$10</definedName>
    <definedName name="一位スコア" localSheetId="12">たか!$B$10</definedName>
    <definedName name="一位スコア" localSheetId="8">たかの!$B$10</definedName>
    <definedName name="一位スコア" localSheetId="11">ただ!$B$10</definedName>
    <definedName name="一位スコア" localSheetId="13">のり!$B$10</definedName>
    <definedName name="一位スコア" localSheetId="9">まっつん!$B$10</definedName>
    <definedName name="一位スコア" localSheetId="14">りくと!$B$10</definedName>
    <definedName name="一位スコア" localSheetId="7">れんたろう!$B$10</definedName>
    <definedName name="一位スコア" localSheetId="15">わさび!$B$10</definedName>
    <definedName name="一位スコア" localSheetId="5">全体!$B$10</definedName>
    <definedName name="一位スコア">Template1!$B$11</definedName>
    <definedName name="一位通算スコア" localSheetId="10">いちかわ!$C$10</definedName>
    <definedName name="一位通算スコア" localSheetId="6">だいち!$C$10</definedName>
    <definedName name="一位通算スコア" localSheetId="12">たか!$C$10</definedName>
    <definedName name="一位通算スコア" localSheetId="8">たかの!$C$10</definedName>
    <definedName name="一位通算スコア" localSheetId="11">ただ!$C$10</definedName>
    <definedName name="一位通算スコア" localSheetId="13">のり!$C$10</definedName>
    <definedName name="一位通算スコア" localSheetId="9">まっつん!$C$10</definedName>
    <definedName name="一位通算スコア" localSheetId="14">りくと!$C$10</definedName>
    <definedName name="一位通算スコア" localSheetId="7">れんたろう!$C$10</definedName>
    <definedName name="一位通算スコア" localSheetId="15">わさび!$C$10</definedName>
    <definedName name="一位通算スコア" localSheetId="5">全体!$C$10</definedName>
    <definedName name="一位通算スコア">Template1!$C$11</definedName>
    <definedName name="一翻数" localSheetId="10">いちかわ!$B$36</definedName>
    <definedName name="一翻数" localSheetId="6">だいち!$B$36</definedName>
    <definedName name="一翻数" localSheetId="12">たか!$B$36</definedName>
    <definedName name="一翻数" localSheetId="8">たかの!$B$36</definedName>
    <definedName name="一翻数" localSheetId="11">ただ!$B$36</definedName>
    <definedName name="一翻数" localSheetId="13">のり!$B$36</definedName>
    <definedName name="一翻数" localSheetId="9">まっつん!$B$36</definedName>
    <definedName name="一翻数" localSheetId="14">りくと!$B$36</definedName>
    <definedName name="一翻数" localSheetId="7">れんたろう!$B$36</definedName>
    <definedName name="一翻数" localSheetId="15">わさび!$B$36</definedName>
    <definedName name="一翻数" localSheetId="5">全体!$B$36</definedName>
    <definedName name="一翻数">Template1!$B$37</definedName>
    <definedName name="一翻率" localSheetId="10">いちかわ!$C$36</definedName>
    <definedName name="一翻率" localSheetId="6">だいち!$C$36</definedName>
    <definedName name="一翻率" localSheetId="12">たか!$C$36</definedName>
    <definedName name="一翻率" localSheetId="8">たかの!$C$36</definedName>
    <definedName name="一翻率" localSheetId="11">ただ!$C$36</definedName>
    <definedName name="一翻率" localSheetId="13">のり!$C$36</definedName>
    <definedName name="一翻率" localSheetId="9">まっつん!$C$36</definedName>
    <definedName name="一翻率" localSheetId="14">りくと!$C$36</definedName>
    <definedName name="一翻率" localSheetId="7">れんたろう!$C$36</definedName>
    <definedName name="一翻率" localSheetId="15">わさび!$C$36</definedName>
    <definedName name="一翻率" localSheetId="5">全体!$C$36</definedName>
    <definedName name="一翻率">Template1!$C$37</definedName>
    <definedName name="逆転数">#REF!</definedName>
    <definedName name="逆転率">#REF!</definedName>
    <definedName name="現行連続アガリ" localSheetId="3">Template1!$C$31</definedName>
    <definedName name="現行連続アガリ" localSheetId="10">いちかわ!$C$30</definedName>
    <definedName name="現行連続アガリ" localSheetId="6">だいち!$C$30</definedName>
    <definedName name="現行連続アガリ" localSheetId="12">たか!$C$30</definedName>
    <definedName name="現行連続アガリ" localSheetId="8">たかの!$C$30</definedName>
    <definedName name="現行連続アガリ" localSheetId="11">ただ!$C$30</definedName>
    <definedName name="現行連続アガリ" localSheetId="13">のり!$C$30</definedName>
    <definedName name="現行連続アガリ" localSheetId="9">まっつん!$C$30</definedName>
    <definedName name="現行連続アガリ" localSheetId="14">りくと!$C$30</definedName>
    <definedName name="現行連続アガリ" localSheetId="7">れんたろう!$C$30</definedName>
    <definedName name="現行連続アガリ" localSheetId="15">わさび!$C$30</definedName>
    <definedName name="現行連続アガリ" localSheetId="5">全体!$C$30</definedName>
    <definedName name="現行連続アガリ">#REF!</definedName>
    <definedName name="現行連続無放銃" localSheetId="3">Template1!$C$32</definedName>
    <definedName name="現行連続無放銃" localSheetId="10">いちかわ!$C$31</definedName>
    <definedName name="現行連続無放銃" localSheetId="6">だいち!$C$31</definedName>
    <definedName name="現行連続無放銃" localSheetId="12">たか!$C$31</definedName>
    <definedName name="現行連続無放銃" localSheetId="8">たかの!$C$31</definedName>
    <definedName name="現行連続無放銃" localSheetId="11">ただ!$C$31</definedName>
    <definedName name="現行連続無放銃" localSheetId="13">のり!$C$31</definedName>
    <definedName name="現行連続無放銃" localSheetId="9">まっつん!$C$31</definedName>
    <definedName name="現行連続無放銃" localSheetId="14">りくと!$C$31</definedName>
    <definedName name="現行連続無放銃" localSheetId="7">れんたろう!$C$31</definedName>
    <definedName name="現行連続無放銃" localSheetId="15">わさび!$C$31</definedName>
    <definedName name="現行連続無放銃" localSheetId="5">全体!$C$31</definedName>
    <definedName name="現行連続無放銃">#REF!</definedName>
    <definedName name="最高点" localSheetId="3">Template1!$B$34</definedName>
    <definedName name="最高点" localSheetId="10">いちかわ!$B$33</definedName>
    <definedName name="最高点" localSheetId="6">だいち!$B$33</definedName>
    <definedName name="最高点" localSheetId="12">たか!$B$33</definedName>
    <definedName name="最高点" localSheetId="8">たかの!$B$33</definedName>
    <definedName name="最高点" localSheetId="11">ただ!$B$33</definedName>
    <definedName name="最高点" localSheetId="13">のり!$B$33</definedName>
    <definedName name="最高点" localSheetId="9">まっつん!$B$33</definedName>
    <definedName name="最高点" localSheetId="14">りくと!$B$33</definedName>
    <definedName name="最高点" localSheetId="7">れんたろう!$B$33</definedName>
    <definedName name="最高点" localSheetId="15">わさび!$B$33</definedName>
    <definedName name="最高点" localSheetId="5">全体!$B$33</definedName>
    <definedName name="最高点">#REF!</definedName>
    <definedName name="最大ドラ数" localSheetId="3">Template1!$B$33</definedName>
    <definedName name="最大ドラ数" localSheetId="10">いちかわ!$B$32</definedName>
    <definedName name="最大ドラ数" localSheetId="6">だいち!$B$32</definedName>
    <definedName name="最大ドラ数" localSheetId="12">たか!$B$32</definedName>
    <definedName name="最大ドラ数" localSheetId="8">たかの!$B$32</definedName>
    <definedName name="最大ドラ数" localSheetId="11">ただ!$B$32</definedName>
    <definedName name="最大ドラ数" localSheetId="13">のり!$B$32</definedName>
    <definedName name="最大ドラ数" localSheetId="9">まっつん!$B$32</definedName>
    <definedName name="最大ドラ数" localSheetId="14">りくと!$B$32</definedName>
    <definedName name="最大ドラ数" localSheetId="7">れんたろう!$B$32</definedName>
    <definedName name="最大ドラ数" localSheetId="15">わさび!$B$32</definedName>
    <definedName name="最大ドラ数" localSheetId="5">全体!$B$32</definedName>
    <definedName name="最大ドラ数">#REF!</definedName>
    <definedName name="最大点数" localSheetId="3">Template1!$B$34</definedName>
    <definedName name="最大点数" localSheetId="10">いちかわ!$B$33</definedName>
    <definedName name="最大点数" localSheetId="6">だいち!$B$33</definedName>
    <definedName name="最大点数" localSheetId="12">たか!$B$33</definedName>
    <definedName name="最大点数" localSheetId="8">たかの!$B$33</definedName>
    <definedName name="最大点数" localSheetId="11">ただ!$B$33</definedName>
    <definedName name="最大点数" localSheetId="13">のり!$B$33</definedName>
    <definedName name="最大点数" localSheetId="9">まっつん!$B$33</definedName>
    <definedName name="最大点数" localSheetId="14">りくと!$B$33</definedName>
    <definedName name="最大点数" localSheetId="7">れんたろう!$B$33</definedName>
    <definedName name="最大点数" localSheetId="15">わさび!$B$33</definedName>
    <definedName name="最大点数" localSheetId="5">全体!$B$33</definedName>
    <definedName name="最大点数">#REF!</definedName>
    <definedName name="三位スコア" localSheetId="10">いちかわ!$B$12</definedName>
    <definedName name="三位スコア" localSheetId="6">だいち!$B$12</definedName>
    <definedName name="三位スコア" localSheetId="12">たか!$B$12</definedName>
    <definedName name="三位スコア" localSheetId="8">たかの!$B$12</definedName>
    <definedName name="三位スコア" localSheetId="11">ただ!$B$12</definedName>
    <definedName name="三位スコア" localSheetId="13">のり!$B$12</definedName>
    <definedName name="三位スコア" localSheetId="9">まっつん!$B$12</definedName>
    <definedName name="三位スコア" localSheetId="14">りくと!$B$12</definedName>
    <definedName name="三位スコア" localSheetId="7">れんたろう!$B$12</definedName>
    <definedName name="三位スコア" localSheetId="15">わさび!$B$12</definedName>
    <definedName name="三位スコア" localSheetId="5">全体!$B$12</definedName>
    <definedName name="三位スコア">Template1!$B$13</definedName>
    <definedName name="三位通算スコア" localSheetId="10">いちかわ!$C$12</definedName>
    <definedName name="三位通算スコア" localSheetId="6">だいち!$C$12</definedName>
    <definedName name="三位通算スコア" localSheetId="12">たか!$C$12</definedName>
    <definedName name="三位通算スコア" localSheetId="8">たかの!$C$12</definedName>
    <definedName name="三位通算スコア" localSheetId="11">ただ!$C$12</definedName>
    <definedName name="三位通算スコア" localSheetId="13">のり!$C$12</definedName>
    <definedName name="三位通算スコア" localSheetId="9">まっつん!$C$12</definedName>
    <definedName name="三位通算スコア" localSheetId="14">りくと!$C$12</definedName>
    <definedName name="三位通算スコア" localSheetId="7">れんたろう!$C$12</definedName>
    <definedName name="三位通算スコア" localSheetId="15">わさび!$C$12</definedName>
    <definedName name="三位通算スコア" localSheetId="5">全体!$C$12</definedName>
    <definedName name="三位通算スコア">Template1!$C$13</definedName>
    <definedName name="総局数" localSheetId="3">Template1!$B$3</definedName>
    <definedName name="総局数" localSheetId="10">いちかわ!$B$3</definedName>
    <definedName name="総局数" localSheetId="6">だいち!$B$3</definedName>
    <definedName name="総局数" localSheetId="12">たか!$B$3</definedName>
    <definedName name="総局数" localSheetId="8">たかの!$B$3</definedName>
    <definedName name="総局数" localSheetId="11">ただ!$B$3</definedName>
    <definedName name="総局数" localSheetId="13">のり!$B$3</definedName>
    <definedName name="総局数" localSheetId="9">まっつん!$B$3</definedName>
    <definedName name="総局数" localSheetId="14">りくと!$B$3</definedName>
    <definedName name="総局数" localSheetId="7">れんたろう!$B$3</definedName>
    <definedName name="総局数" localSheetId="15">わさび!$B$3</definedName>
    <definedName name="総局数" localSheetId="5">全体!$B$3</definedName>
    <definedName name="総局数">#REF!</definedName>
    <definedName name="対戦数" localSheetId="3">Template1!$B$2</definedName>
    <definedName name="対戦数" localSheetId="10">いちかわ!$B$2</definedName>
    <definedName name="対戦数" localSheetId="6">だいち!$B$2</definedName>
    <definedName name="対戦数" localSheetId="12">たか!$B$2</definedName>
    <definedName name="対戦数" localSheetId="8">たかの!$B$2</definedName>
    <definedName name="対戦数" localSheetId="11">ただ!$B$2</definedName>
    <definedName name="対戦数" localSheetId="13">のり!$B$2</definedName>
    <definedName name="対戦数" localSheetId="9">まっつん!$B$2</definedName>
    <definedName name="対戦数" localSheetId="14">りくと!$B$2</definedName>
    <definedName name="対戦数" localSheetId="7">れんたろう!$B$2</definedName>
    <definedName name="対戦数" localSheetId="15">わさび!$B$2</definedName>
    <definedName name="対戦数" localSheetId="5">全体!$B$2</definedName>
    <definedName name="対戦数">#REF!</definedName>
    <definedName name="通算アガリ点" localSheetId="3">Template1!$C$27</definedName>
    <definedName name="通算アガリ点" localSheetId="10">いちかわ!$C$26</definedName>
    <definedName name="通算アガリ点" localSheetId="6">だいち!$C$26</definedName>
    <definedName name="通算アガリ点" localSheetId="12">たか!$C$26</definedName>
    <definedName name="通算アガリ点" localSheetId="8">たかの!$C$26</definedName>
    <definedName name="通算アガリ点" localSheetId="11">ただ!$C$26</definedName>
    <definedName name="通算アガリ点" localSheetId="13">のり!$C$26</definedName>
    <definedName name="通算アガリ点" localSheetId="9">まっつん!$C$26</definedName>
    <definedName name="通算アガリ点" localSheetId="14">りくと!$C$26</definedName>
    <definedName name="通算アガリ点" localSheetId="7">れんたろう!$C$26</definedName>
    <definedName name="通算アガリ点" localSheetId="15">わさび!$C$26</definedName>
    <definedName name="通算アガリ点" localSheetId="5">全体!$C$26</definedName>
    <definedName name="通算アガリ点">#REF!</definedName>
    <definedName name="通算スコア" localSheetId="3">Template1!$B$4</definedName>
    <definedName name="通算スコア" localSheetId="10">いちかわ!$B$4</definedName>
    <definedName name="通算スコア" localSheetId="6">だいち!$B$4</definedName>
    <definedName name="通算スコア" localSheetId="12">たか!$B$4</definedName>
    <definedName name="通算スコア" localSheetId="8">たかの!$B$4</definedName>
    <definedName name="通算スコア" localSheetId="11">ただ!$B$4</definedName>
    <definedName name="通算スコア" localSheetId="13">のり!$B$4</definedName>
    <definedName name="通算スコア" localSheetId="9">まっつん!$B$4</definedName>
    <definedName name="通算スコア" localSheetId="14">りくと!$B$4</definedName>
    <definedName name="通算スコア" localSheetId="7">れんたろう!$B$4</definedName>
    <definedName name="通算スコア" localSheetId="15">わさび!$B$4</definedName>
    <definedName name="通算スコア" localSheetId="5">全体!$B$4</definedName>
    <definedName name="通算スコア">#REF!</definedName>
    <definedName name="通算副露アガリ点" localSheetId="3">Template1!$C$29</definedName>
    <definedName name="通算副露アガリ点" localSheetId="10">いちかわ!$C$28</definedName>
    <definedName name="通算副露アガリ点" localSheetId="6">だいち!$C$28</definedName>
    <definedName name="通算副露アガリ点" localSheetId="12">たか!$C$28</definedName>
    <definedName name="通算副露アガリ点" localSheetId="8">たかの!$C$28</definedName>
    <definedName name="通算副露アガリ点" localSheetId="11">ただ!$C$28</definedName>
    <definedName name="通算副露アガリ点" localSheetId="13">のり!$C$28</definedName>
    <definedName name="通算副露アガリ点" localSheetId="9">まっつん!$C$28</definedName>
    <definedName name="通算副露アガリ点" localSheetId="14">りくと!$C$28</definedName>
    <definedName name="通算副露アガリ点" localSheetId="7">れんたろう!$C$28</definedName>
    <definedName name="通算副露アガリ点" localSheetId="15">わさび!$C$28</definedName>
    <definedName name="通算副露アガリ点" localSheetId="5">全体!$C$28</definedName>
    <definedName name="通算副露アガリ点">#REF!</definedName>
    <definedName name="通算放銃点" localSheetId="3">Template1!$C$30</definedName>
    <definedName name="通算放銃点" localSheetId="10">いちかわ!$C$29</definedName>
    <definedName name="通算放銃点" localSheetId="6">だいち!$C$29</definedName>
    <definedName name="通算放銃点" localSheetId="12">たか!$C$29</definedName>
    <definedName name="通算放銃点" localSheetId="8">たかの!$C$29</definedName>
    <definedName name="通算放銃点" localSheetId="11">ただ!$C$29</definedName>
    <definedName name="通算放銃点" localSheetId="13">のり!$C$29</definedName>
    <definedName name="通算放銃点" localSheetId="9">まっつん!$C$29</definedName>
    <definedName name="通算放銃点" localSheetId="14">りくと!$C$29</definedName>
    <definedName name="通算放銃点" localSheetId="7">れんたろう!$C$29</definedName>
    <definedName name="通算放銃点" localSheetId="15">わさび!$C$29</definedName>
    <definedName name="通算放銃点" localSheetId="5">全体!$C$29</definedName>
    <definedName name="通算放銃点">#REF!</definedName>
    <definedName name="通算門前アガリ点" localSheetId="3">Template1!$C$28</definedName>
    <definedName name="通算門前アガリ点" localSheetId="10">いちかわ!$C$27</definedName>
    <definedName name="通算門前アガリ点" localSheetId="6">だいち!$C$27</definedName>
    <definedName name="通算門前アガリ点" localSheetId="12">たか!$C$27</definedName>
    <definedName name="通算門前アガリ点" localSheetId="8">たかの!$C$27</definedName>
    <definedName name="通算門前アガリ点" localSheetId="11">ただ!$C$27</definedName>
    <definedName name="通算門前アガリ点" localSheetId="13">のり!$C$27</definedName>
    <definedName name="通算門前アガリ点" localSheetId="9">まっつん!$C$27</definedName>
    <definedName name="通算門前アガリ点" localSheetId="14">りくと!$C$27</definedName>
    <definedName name="通算門前アガリ点" localSheetId="7">れんたろう!$C$27</definedName>
    <definedName name="通算門前アガリ点" localSheetId="15">わさび!$C$27</definedName>
    <definedName name="通算門前アガリ点" localSheetId="5">全体!$C$27</definedName>
    <definedName name="通算門前アガリ点">#REF!</definedName>
    <definedName name="二位スコア" localSheetId="10">いちかわ!$B$11</definedName>
    <definedName name="二位スコア" localSheetId="6">だいち!$B$11</definedName>
    <definedName name="二位スコア" localSheetId="12">たか!$B$11</definedName>
    <definedName name="二位スコア" localSheetId="8">たかの!$B$11</definedName>
    <definedName name="二位スコア" localSheetId="11">ただ!$B$11</definedName>
    <definedName name="二位スコア" localSheetId="13">のり!$B$11</definedName>
    <definedName name="二位スコア" localSheetId="9">まっつん!$B$11</definedName>
    <definedName name="二位スコア" localSheetId="14">りくと!$B$11</definedName>
    <definedName name="二位スコア" localSheetId="7">れんたろう!$B$11</definedName>
    <definedName name="二位スコア" localSheetId="15">わさび!$B$11</definedName>
    <definedName name="二位スコア" localSheetId="5">全体!$B$11</definedName>
    <definedName name="二位スコア">Template1!$B$12</definedName>
    <definedName name="二位数" localSheetId="3">Template1!$B$9</definedName>
    <definedName name="二位数" localSheetId="10">いちかわ!$B$8</definedName>
    <definedName name="二位数" localSheetId="6">だいち!$B$8</definedName>
    <definedName name="二位数" localSheetId="12">たか!$B$8</definedName>
    <definedName name="二位数" localSheetId="8">たかの!$B$8</definedName>
    <definedName name="二位数" localSheetId="11">ただ!$B$8</definedName>
    <definedName name="二位数" localSheetId="13">のり!$B$8</definedName>
    <definedName name="二位数" localSheetId="9">まっつん!$B$8</definedName>
    <definedName name="二位数" localSheetId="14">りくと!$B$8</definedName>
    <definedName name="二位数" localSheetId="7">れんたろう!$B$8</definedName>
    <definedName name="二位数" localSheetId="15">わさび!$B$8</definedName>
    <definedName name="二位数" localSheetId="5">全体!$B$8</definedName>
    <definedName name="二位数">#REF!</definedName>
    <definedName name="二位通算スコア" localSheetId="10">いちかわ!$C$11</definedName>
    <definedName name="二位通算スコア" localSheetId="6">だいち!$C$11</definedName>
    <definedName name="二位通算スコア" localSheetId="12">たか!$C$11</definedName>
    <definedName name="二位通算スコア" localSheetId="8">たかの!$C$11</definedName>
    <definedName name="二位通算スコア" localSheetId="11">ただ!$C$11</definedName>
    <definedName name="二位通算スコア" localSheetId="13">のり!$C$11</definedName>
    <definedName name="二位通算スコア" localSheetId="9">まっつん!$C$11</definedName>
    <definedName name="二位通算スコア" localSheetId="14">りくと!$C$11</definedName>
    <definedName name="二位通算スコア" localSheetId="7">れんたろう!$C$11</definedName>
    <definedName name="二位通算スコア" localSheetId="15">わさび!$C$11</definedName>
    <definedName name="二位通算スコア" localSheetId="5">全体!$C$11</definedName>
    <definedName name="二位通算スコア">Template1!$C$12</definedName>
    <definedName name="二位率" localSheetId="3">Template1!$C$9</definedName>
    <definedName name="二位率" localSheetId="10">いちかわ!$C$8</definedName>
    <definedName name="二位率" localSheetId="6">だいち!$C$8</definedName>
    <definedName name="二位率" localSheetId="12">たか!$C$8</definedName>
    <definedName name="二位率" localSheetId="8">たかの!$C$8</definedName>
    <definedName name="二位率" localSheetId="11">ただ!$C$8</definedName>
    <definedName name="二位率" localSheetId="13">のり!$C$8</definedName>
    <definedName name="二位率" localSheetId="9">まっつん!$C$8</definedName>
    <definedName name="二位率" localSheetId="14">りくと!$C$8</definedName>
    <definedName name="二位率" localSheetId="7">れんたろう!$C$8</definedName>
    <definedName name="二位率" localSheetId="15">わさび!$C$8</definedName>
    <definedName name="二位率" localSheetId="5">全体!$C$8</definedName>
    <definedName name="二位率">#REF!</definedName>
    <definedName name="副露アガリ数" localSheetId="3">Template1!$B$25</definedName>
    <definedName name="副露アガリ数" localSheetId="10">いちかわ!$B$24</definedName>
    <definedName name="副露アガリ数" localSheetId="6">だいち!$B$24</definedName>
    <definedName name="副露アガリ数" localSheetId="12">たか!$B$24</definedName>
    <definedName name="副露アガリ数" localSheetId="8">たかの!$B$24</definedName>
    <definedName name="副露アガリ数" localSheetId="11">ただ!$B$24</definedName>
    <definedName name="副露アガリ数" localSheetId="13">のり!$B$24</definedName>
    <definedName name="副露アガリ数" localSheetId="9">まっつん!$B$24</definedName>
    <definedName name="副露アガリ数" localSheetId="14">りくと!$B$24</definedName>
    <definedName name="副露アガリ数" localSheetId="7">れんたろう!$B$24</definedName>
    <definedName name="副露アガリ数" localSheetId="15">わさび!$B$24</definedName>
    <definedName name="副露アガリ数" localSheetId="5">全体!$B$24</definedName>
    <definedName name="副露アガリ数">#REF!</definedName>
    <definedName name="副露アガリ点" localSheetId="3">Template1!$B$29</definedName>
    <definedName name="副露アガリ点" localSheetId="10">いちかわ!$B$28</definedName>
    <definedName name="副露アガリ点" localSheetId="6">だいち!$B$28</definedName>
    <definedName name="副露アガリ点" localSheetId="12">たか!$B$28</definedName>
    <definedName name="副露アガリ点" localSheetId="8">たかの!$B$28</definedName>
    <definedName name="副露アガリ点" localSheetId="11">ただ!$B$28</definedName>
    <definedName name="副露アガリ点" localSheetId="13">のり!$B$28</definedName>
    <definedName name="副露アガリ点" localSheetId="9">まっつん!$B$28</definedName>
    <definedName name="副露アガリ点" localSheetId="14">りくと!$B$28</definedName>
    <definedName name="副露アガリ点" localSheetId="7">れんたろう!$B$28</definedName>
    <definedName name="副露アガリ点" localSheetId="15">わさび!$B$28</definedName>
    <definedName name="副露アガリ点" localSheetId="5">全体!$B$28</definedName>
    <definedName name="副露アガリ点">#REF!</definedName>
    <definedName name="副露アガリ率" localSheetId="3">Template1!$C$25</definedName>
    <definedName name="副露アガリ率" localSheetId="10">いちかわ!$C$24</definedName>
    <definedName name="副露アガリ率" localSheetId="6">だいち!$C$24</definedName>
    <definedName name="副露アガリ率" localSheetId="12">たか!$C$24</definedName>
    <definedName name="副露アガリ率" localSheetId="8">たかの!$C$24</definedName>
    <definedName name="副露アガリ率" localSheetId="11">ただ!$C$24</definedName>
    <definedName name="副露アガリ率" localSheetId="13">のり!$C$24</definedName>
    <definedName name="副露アガリ率" localSheetId="9">まっつん!$C$24</definedName>
    <definedName name="副露アガリ率" localSheetId="14">りくと!$C$24</definedName>
    <definedName name="副露アガリ率" localSheetId="7">れんたろう!$C$24</definedName>
    <definedName name="副露アガリ率" localSheetId="15">わさび!$C$24</definedName>
    <definedName name="副露アガリ率" localSheetId="5">全体!$C$24</definedName>
    <definedName name="副露アガリ率">#REF!</definedName>
    <definedName name="副露数" localSheetId="3">Template1!$B$17</definedName>
    <definedName name="副露数" localSheetId="10">いちかわ!$B$16</definedName>
    <definedName name="副露数" localSheetId="6">だいち!$B$16</definedName>
    <definedName name="副露数" localSheetId="12">たか!$B$16</definedName>
    <definedName name="副露数" localSheetId="8">たかの!$B$16</definedName>
    <definedName name="副露数" localSheetId="11">ただ!$B$16</definedName>
    <definedName name="副露数" localSheetId="13">のり!$B$16</definedName>
    <definedName name="副露数" localSheetId="9">まっつん!$B$16</definedName>
    <definedName name="副露数" localSheetId="14">りくと!$B$16</definedName>
    <definedName name="副露数" localSheetId="7">れんたろう!$B$16</definedName>
    <definedName name="副露数" localSheetId="15">わさび!$B$16</definedName>
    <definedName name="副露数" localSheetId="5">全体!$B$16</definedName>
    <definedName name="副露数">#REF!</definedName>
    <definedName name="副露成功数" localSheetId="3">Template1!$B$19</definedName>
    <definedName name="副露成功数" localSheetId="10">いちかわ!$B$18</definedName>
    <definedName name="副露成功数" localSheetId="6">だいち!$B$18</definedName>
    <definedName name="副露成功数" localSheetId="12">たか!$B$18</definedName>
    <definedName name="副露成功数" localSheetId="8">たかの!$B$18</definedName>
    <definedName name="副露成功数" localSheetId="11">ただ!$B$18</definedName>
    <definedName name="副露成功数" localSheetId="13">のり!$B$18</definedName>
    <definedName name="副露成功数" localSheetId="9">まっつん!$B$18</definedName>
    <definedName name="副露成功数" localSheetId="14">りくと!$B$18</definedName>
    <definedName name="副露成功数" localSheetId="7">れんたろう!$B$18</definedName>
    <definedName name="副露成功数" localSheetId="15">わさび!$B$18</definedName>
    <definedName name="副露成功数" localSheetId="5">全体!$B$18</definedName>
    <definedName name="副露成功数">#REF!</definedName>
    <definedName name="副露成功率" localSheetId="3">Template1!$C$19</definedName>
    <definedName name="副露成功率" localSheetId="10">いちかわ!$C$18</definedName>
    <definedName name="副露成功率" localSheetId="6">だいち!$C$18</definedName>
    <definedName name="副露成功率" localSheetId="12">たか!$C$18</definedName>
    <definedName name="副露成功率" localSheetId="8">たかの!$C$18</definedName>
    <definedName name="副露成功率" localSheetId="11">ただ!$C$18</definedName>
    <definedName name="副露成功率" localSheetId="13">のり!$C$18</definedName>
    <definedName name="副露成功率" localSheetId="9">まっつん!$C$18</definedName>
    <definedName name="副露成功率" localSheetId="14">りくと!$C$18</definedName>
    <definedName name="副露成功率" localSheetId="7">れんたろう!$C$18</definedName>
    <definedName name="副露成功率" localSheetId="15">わさび!$C$18</definedName>
    <definedName name="副露成功率" localSheetId="5">全体!$C$18</definedName>
    <definedName name="副露成功率">#REF!</definedName>
    <definedName name="副露率" localSheetId="3">Template1!$C$17</definedName>
    <definedName name="副露率" localSheetId="10">いちかわ!$C$16</definedName>
    <definedName name="副露率" localSheetId="6">だいち!$C$16</definedName>
    <definedName name="副露率" localSheetId="12">たか!$C$16</definedName>
    <definedName name="副露率" localSheetId="8">たかの!$C$16</definedName>
    <definedName name="副露率" localSheetId="11">ただ!$C$16</definedName>
    <definedName name="副露率" localSheetId="13">のり!$C$16</definedName>
    <definedName name="副露率" localSheetId="9">まっつん!$C$16</definedName>
    <definedName name="副露率" localSheetId="14">りくと!$C$16</definedName>
    <definedName name="副露率" localSheetId="7">れんたろう!$C$16</definedName>
    <definedName name="副露率" localSheetId="15">わさび!$C$16</definedName>
    <definedName name="副露率" localSheetId="5">全体!$C$16</definedName>
    <definedName name="副露率">#REF!</definedName>
    <definedName name="平均アガリ点" localSheetId="3">Template1!$B$27</definedName>
    <definedName name="平均アガリ点" localSheetId="10">いちかわ!$B$26</definedName>
    <definedName name="平均アガリ点" localSheetId="6">だいち!$B$26</definedName>
    <definedName name="平均アガリ点" localSheetId="12">たか!$B$26</definedName>
    <definedName name="平均アガリ点" localSheetId="8">たかの!$B$26</definedName>
    <definedName name="平均アガリ点" localSheetId="11">ただ!$B$26</definedName>
    <definedName name="平均アガリ点" localSheetId="13">のり!$B$26</definedName>
    <definedName name="平均アガリ点" localSheetId="9">まっつん!$B$26</definedName>
    <definedName name="平均アガリ点" localSheetId="14">りくと!$B$26</definedName>
    <definedName name="平均アガリ点" localSheetId="7">れんたろう!$B$26</definedName>
    <definedName name="平均アガリ点" localSheetId="15">わさび!$B$26</definedName>
    <definedName name="平均アガリ点" localSheetId="5">全体!$B$26</definedName>
    <definedName name="平均アガリ点">#REF!</definedName>
    <definedName name="平均スコア" localSheetId="3">Template1!$B$5</definedName>
    <definedName name="平均スコア" localSheetId="10">いちかわ!$B$5</definedName>
    <definedName name="平均スコア" localSheetId="6">だいち!$B$5</definedName>
    <definedName name="平均スコア" localSheetId="12">たか!$B$5</definedName>
    <definedName name="平均スコア" localSheetId="8">たかの!$B$5</definedName>
    <definedName name="平均スコア" localSheetId="11">ただ!$B$5</definedName>
    <definedName name="平均スコア" localSheetId="13">のり!$B$5</definedName>
    <definedName name="平均スコア" localSheetId="9">まっつん!$B$5</definedName>
    <definedName name="平均スコア" localSheetId="14">りくと!$B$5</definedName>
    <definedName name="平均スコア" localSheetId="7">れんたろう!$B$5</definedName>
    <definedName name="平均スコア" localSheetId="15">わさび!$B$5</definedName>
    <definedName name="平均スコア" localSheetId="5">全体!$B$5</definedName>
    <definedName name="平均スコア">#REF!</definedName>
    <definedName name="平均順位" localSheetId="3">Template1!$B$7</definedName>
    <definedName name="平均順位" localSheetId="10">いちかわ!$B$6</definedName>
    <definedName name="平均順位" localSheetId="6">だいち!$B$6</definedName>
    <definedName name="平均順位" localSheetId="12">たか!$B$6</definedName>
    <definedName name="平均順位" localSheetId="8">たかの!$B$6</definedName>
    <definedName name="平均順位" localSheetId="11">ただ!$B$6</definedName>
    <definedName name="平均順位" localSheetId="13">のり!$B$6</definedName>
    <definedName name="平均順位" localSheetId="9">まっつん!$B$6</definedName>
    <definedName name="平均順位" localSheetId="14">りくと!$B$6</definedName>
    <definedName name="平均順位" localSheetId="7">れんたろう!$B$6</definedName>
    <definedName name="平均順位" localSheetId="15">わさび!$B$6</definedName>
    <definedName name="平均順位" localSheetId="5">全体!$B$6</definedName>
    <definedName name="平均順位">#REF!</definedName>
    <definedName name="平均放銃点" localSheetId="3">Template1!$B$30</definedName>
    <definedName name="平均放銃点" localSheetId="10">いちかわ!$B$29</definedName>
    <definedName name="平均放銃点" localSheetId="6">だいち!$B$29</definedName>
    <definedName name="平均放銃点" localSheetId="12">たか!$B$29</definedName>
    <definedName name="平均放銃点" localSheetId="8">たかの!$B$29</definedName>
    <definedName name="平均放銃点" localSheetId="11">ただ!$B$29</definedName>
    <definedName name="平均放銃点" localSheetId="13">のり!$B$29</definedName>
    <definedName name="平均放銃点" localSheetId="9">まっつん!$B$29</definedName>
    <definedName name="平均放銃点" localSheetId="14">りくと!$B$29</definedName>
    <definedName name="平均放銃点" localSheetId="7">れんたろう!$B$29</definedName>
    <definedName name="平均放銃点" localSheetId="15">わさび!$B$29</definedName>
    <definedName name="平均放銃点" localSheetId="5">全体!$B$29</definedName>
    <definedName name="平均放銃点">#REF!</definedName>
    <definedName name="放銃数" localSheetId="3">Template1!$B$21</definedName>
    <definedName name="放銃数" localSheetId="10">いちかわ!$B$20</definedName>
    <definedName name="放銃数" localSheetId="6">だいち!$B$20</definedName>
    <definedName name="放銃数" localSheetId="12">たか!$B$20</definedName>
    <definedName name="放銃数" localSheetId="8">たかの!$B$20</definedName>
    <definedName name="放銃数" localSheetId="11">ただ!$B$20</definedName>
    <definedName name="放銃数" localSheetId="13">のり!$B$20</definedName>
    <definedName name="放銃数" localSheetId="9">まっつん!$B$20</definedName>
    <definedName name="放銃数" localSheetId="14">りくと!$B$20</definedName>
    <definedName name="放銃数" localSheetId="7">れんたろう!$B$20</definedName>
    <definedName name="放銃数" localSheetId="15">わさび!$B$20</definedName>
    <definedName name="放銃数" localSheetId="5">全体!$B$20</definedName>
    <definedName name="放銃数">#REF!</definedName>
    <definedName name="放銃率" localSheetId="3">Template1!$C$21</definedName>
    <definedName name="放銃率" localSheetId="10">いちかわ!$C$20</definedName>
    <definedName name="放銃率" localSheetId="6">だいち!$C$20</definedName>
    <definedName name="放銃率" localSheetId="12">たか!$C$20</definedName>
    <definedName name="放銃率" localSheetId="8">たかの!$C$20</definedName>
    <definedName name="放銃率" localSheetId="11">ただ!$C$20</definedName>
    <definedName name="放銃率" localSheetId="13">のり!$C$20</definedName>
    <definedName name="放銃率" localSheetId="9">まっつん!$C$20</definedName>
    <definedName name="放銃率" localSheetId="14">りくと!$C$20</definedName>
    <definedName name="放銃率" localSheetId="7">れんたろう!$C$20</definedName>
    <definedName name="放銃率" localSheetId="15">わさび!$C$20</definedName>
    <definedName name="放銃率" localSheetId="5">全体!$C$20</definedName>
    <definedName name="放銃率">#REF!</definedName>
    <definedName name="名前" localSheetId="3">Template1!$B$1</definedName>
    <definedName name="名前" localSheetId="10">いちかわ!$B$1</definedName>
    <definedName name="名前" localSheetId="6">だいち!$B$1</definedName>
    <definedName name="名前" localSheetId="12">たか!$B$1</definedName>
    <definedName name="名前" localSheetId="8">たかの!$B$1</definedName>
    <definedName name="名前" localSheetId="11">ただ!$B$1</definedName>
    <definedName name="名前" localSheetId="13">のり!$B$1</definedName>
    <definedName name="名前" localSheetId="9">まっつん!$B$1</definedName>
    <definedName name="名前" localSheetId="14">りくと!$B$1</definedName>
    <definedName name="名前" localSheetId="7">れんたろう!$B$1</definedName>
    <definedName name="名前" localSheetId="15">わさび!$B$1</definedName>
    <definedName name="名前" localSheetId="5">全体!$B$1</definedName>
    <definedName name="名前">#REF!</definedName>
    <definedName name="門前アガリ点" localSheetId="3">Template1!$B$28</definedName>
    <definedName name="門前アガリ点" localSheetId="10">いちかわ!$B$27</definedName>
    <definedName name="門前アガリ点" localSheetId="6">だいち!$B$27</definedName>
    <definedName name="門前アガリ点" localSheetId="12">たか!$B$27</definedName>
    <definedName name="門前アガリ点" localSheetId="8">たかの!$B$27</definedName>
    <definedName name="門前アガリ点" localSheetId="11">ただ!$B$27</definedName>
    <definedName name="門前アガリ点" localSheetId="13">のり!$B$27</definedName>
    <definedName name="門前アガリ点" localSheetId="9">まっつん!$B$27</definedName>
    <definedName name="門前アガリ点" localSheetId="14">りくと!$B$27</definedName>
    <definedName name="門前アガリ点" localSheetId="7">れんたろう!$B$27</definedName>
    <definedName name="門前アガリ点" localSheetId="15">わさび!$B$27</definedName>
    <definedName name="門前アガリ点" localSheetId="5">全体!$B$27</definedName>
    <definedName name="門前アガリ点">#REF!</definedName>
    <definedName name="連続アガリ" localSheetId="3">Template1!$B$31</definedName>
    <definedName name="連続アガリ" localSheetId="10">いちかわ!$B$30</definedName>
    <definedName name="連続アガリ" localSheetId="6">だいち!$B$30</definedName>
    <definedName name="連続アガリ" localSheetId="12">たか!$B$30</definedName>
    <definedName name="連続アガリ" localSheetId="8">たかの!$B$30</definedName>
    <definedName name="連続アガリ" localSheetId="11">ただ!$B$30</definedName>
    <definedName name="連続アガリ" localSheetId="13">のり!$B$30</definedName>
    <definedName name="連続アガリ" localSheetId="9">まっつん!$B$30</definedName>
    <definedName name="連続アガリ" localSheetId="14">りくと!$B$30</definedName>
    <definedName name="連続アガリ" localSheetId="7">れんたろう!$B$30</definedName>
    <definedName name="連続アガリ" localSheetId="15">わさび!$B$30</definedName>
    <definedName name="連続アガリ" localSheetId="5">全体!$B$30</definedName>
    <definedName name="連続アガリ">#REF!</definedName>
    <definedName name="連続無放銃" localSheetId="3">Template1!$B$32</definedName>
    <definedName name="連続無放銃" localSheetId="10">いちかわ!$B$31</definedName>
    <definedName name="連続無放銃" localSheetId="6">だいち!$B$31</definedName>
    <definedName name="連続無放銃" localSheetId="12">たか!$B$31</definedName>
    <definedName name="連続無放銃" localSheetId="8">たかの!$B$31</definedName>
    <definedName name="連続無放銃" localSheetId="11">ただ!$B$31</definedName>
    <definedName name="連続無放銃" localSheetId="13">のり!$B$31</definedName>
    <definedName name="連続無放銃" localSheetId="9">まっつん!$B$31</definedName>
    <definedName name="連続無放銃" localSheetId="14">りくと!$B$31</definedName>
    <definedName name="連続無放銃" localSheetId="7">れんたろう!$B$31</definedName>
    <definedName name="連続無放銃" localSheetId="15">わさび!$B$31</definedName>
    <definedName name="連続無放銃" localSheetId="5">全体!$B$31</definedName>
    <definedName name="連続無放銃">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O23" i="6312" l="1"/>
  <c r="O16" i="6308"/>
  <c r="O20" i="6314" l="1"/>
  <c r="O17" i="6314"/>
  <c r="O15" i="6320"/>
  <c r="O17" i="6322"/>
  <c r="O17" i="6312"/>
  <c r="O15" i="6312"/>
  <c r="O15" i="6322"/>
  <c r="O16" i="6322"/>
  <c r="H46" i="6322"/>
  <c r="C34" i="6322"/>
  <c r="B29" i="6322"/>
  <c r="C20" i="6322"/>
  <c r="B19" i="6322"/>
  <c r="H50" i="6322" s="1"/>
  <c r="H20" i="6322"/>
  <c r="B18" i="6322"/>
  <c r="B28" i="6322" s="1"/>
  <c r="C17" i="6322"/>
  <c r="B17" i="6322"/>
  <c r="C16" i="6322"/>
  <c r="C15" i="6322"/>
  <c r="C14" i="6322"/>
  <c r="H16" i="6322"/>
  <c r="O12" i="6322"/>
  <c r="B12" i="6322"/>
  <c r="O11" i="6322"/>
  <c r="B11" i="6322"/>
  <c r="O10" i="6322"/>
  <c r="B10" i="6322"/>
  <c r="C9" i="6322"/>
  <c r="C8" i="6322"/>
  <c r="O7" i="6322"/>
  <c r="C7" i="6322"/>
  <c r="O6" i="6322"/>
  <c r="B6" i="6322"/>
  <c r="O5" i="6322"/>
  <c r="H6" i="6322"/>
  <c r="B5" i="6322"/>
  <c r="O4" i="6322"/>
  <c r="O3" i="6322"/>
  <c r="O2" i="6322"/>
  <c r="O19" i="6302"/>
  <c r="O17" i="6320"/>
  <c r="O16" i="6320"/>
  <c r="C36" i="6320"/>
  <c r="C34" i="6320"/>
  <c r="B29" i="6320"/>
  <c r="B28" i="6320"/>
  <c r="H26" i="6320"/>
  <c r="C22" i="6320"/>
  <c r="C20" i="6320"/>
  <c r="B19" i="6320"/>
  <c r="H48" i="6320" s="1"/>
  <c r="C18" i="6320"/>
  <c r="B18" i="6320"/>
  <c r="B17" i="6320"/>
  <c r="C17" i="6320" s="1"/>
  <c r="C16" i="6320"/>
  <c r="C15" i="6320"/>
  <c r="C14" i="6320"/>
  <c r="O12" i="6320"/>
  <c r="B12" i="6320"/>
  <c r="O11" i="6320"/>
  <c r="B11" i="6320"/>
  <c r="O10" i="6320"/>
  <c r="B10" i="6320"/>
  <c r="B13" i="6320" s="1"/>
  <c r="C9" i="6320"/>
  <c r="H8" i="6320"/>
  <c r="C8" i="6320"/>
  <c r="O7" i="6320"/>
  <c r="C7" i="6320"/>
  <c r="O6" i="6320"/>
  <c r="B6" i="6320"/>
  <c r="O5" i="6320"/>
  <c r="B5" i="6320"/>
  <c r="O4" i="6320"/>
  <c r="O3" i="6320"/>
  <c r="O2" i="6320"/>
  <c r="O18" i="6302"/>
  <c r="H3" i="6322" l="1"/>
  <c r="H47" i="6322"/>
  <c r="C36" i="6322"/>
  <c r="C22" i="6322"/>
  <c r="H37" i="6322"/>
  <c r="C23" i="6322"/>
  <c r="H38" i="6322"/>
  <c r="H17" i="6322"/>
  <c r="H2" i="6322"/>
  <c r="H27" i="6322"/>
  <c r="C42" i="6322"/>
  <c r="H36" i="6322"/>
  <c r="H23" i="6322"/>
  <c r="B26" i="6322"/>
  <c r="H43" i="6322"/>
  <c r="B13" i="6322"/>
  <c r="C18" i="6322"/>
  <c r="C46" i="6322"/>
  <c r="H48" i="6322"/>
  <c r="H8" i="6322"/>
  <c r="C40" i="6322"/>
  <c r="H41" i="6322"/>
  <c r="C48" i="6322"/>
  <c r="H11" i="6322"/>
  <c r="H14" i="6322"/>
  <c r="C21" i="6322"/>
  <c r="H30" i="6322"/>
  <c r="H42" i="6322"/>
  <c r="H52" i="6322"/>
  <c r="H49" i="6322"/>
  <c r="H5" i="6322"/>
  <c r="H12" i="6322"/>
  <c r="H18" i="6322"/>
  <c r="H25" i="6322"/>
  <c r="H31" i="6322"/>
  <c r="C38" i="6322"/>
  <c r="H44" i="6322"/>
  <c r="C19" i="6322"/>
  <c r="C24" i="6322"/>
  <c r="H33" i="6322"/>
  <c r="H39" i="6322"/>
  <c r="C44" i="6322"/>
  <c r="H51" i="6322"/>
  <c r="H10" i="6322"/>
  <c r="H4" i="6322"/>
  <c r="H13" i="6322"/>
  <c r="H15" i="6322"/>
  <c r="H7" i="6322"/>
  <c r="H21" i="6322"/>
  <c r="C25" i="6322"/>
  <c r="H34" i="6322"/>
  <c r="H40" i="6322"/>
  <c r="H45" i="6322"/>
  <c r="H9" i="6322"/>
  <c r="B27" i="6322"/>
  <c r="H19" i="6322"/>
  <c r="H22" i="6322"/>
  <c r="H26" i="6322"/>
  <c r="H29" i="6322"/>
  <c r="H35" i="6322"/>
  <c r="C39" i="6322"/>
  <c r="C43" i="6322"/>
  <c r="C47" i="6322"/>
  <c r="H24" i="6322"/>
  <c r="H28" i="6322"/>
  <c r="H32" i="6322"/>
  <c r="C37" i="6322"/>
  <c r="C41" i="6322"/>
  <c r="C45" i="6322"/>
  <c r="H37" i="6320"/>
  <c r="H10" i="6320"/>
  <c r="B26" i="6320"/>
  <c r="H19" i="6320"/>
  <c r="H41" i="6320"/>
  <c r="H2" i="6320"/>
  <c r="H16" i="6320"/>
  <c r="H45" i="6320"/>
  <c r="C44" i="6320"/>
  <c r="H3" i="6320"/>
  <c r="C19" i="6320"/>
  <c r="H31" i="6320"/>
  <c r="C48" i="6320"/>
  <c r="C40" i="6320"/>
  <c r="H30" i="6320"/>
  <c r="H7" i="6320"/>
  <c r="H22" i="6320"/>
  <c r="H49" i="6320"/>
  <c r="H13" i="6320"/>
  <c r="H23" i="6320"/>
  <c r="H32" i="6320"/>
  <c r="C45" i="6320"/>
  <c r="H20" i="6320"/>
  <c r="H28" i="6320"/>
  <c r="C38" i="6320"/>
  <c r="C42" i="6320"/>
  <c r="H9" i="6320"/>
  <c r="H14" i="6320"/>
  <c r="C24" i="6320"/>
  <c r="H39" i="6320"/>
  <c r="H43" i="6320"/>
  <c r="H47" i="6320"/>
  <c r="H52" i="6320"/>
  <c r="H18" i="6320"/>
  <c r="H21" i="6320"/>
  <c r="H25" i="6320"/>
  <c r="H29" i="6320"/>
  <c r="H35" i="6320"/>
  <c r="C39" i="6320"/>
  <c r="C43" i="6320"/>
  <c r="C47" i="6320"/>
  <c r="H27" i="6320"/>
  <c r="C37" i="6320"/>
  <c r="C41" i="6320"/>
  <c r="H50" i="6320"/>
  <c r="H17" i="6320"/>
  <c r="C23" i="6320"/>
  <c r="B27" i="6320"/>
  <c r="H33" i="6320"/>
  <c r="H38" i="6320"/>
  <c r="H42" i="6320"/>
  <c r="H46" i="6320"/>
  <c r="H51" i="6320"/>
  <c r="H6" i="6320"/>
  <c r="H11" i="6320"/>
  <c r="H24" i="6320"/>
  <c r="H34" i="6320"/>
  <c r="C46" i="6320"/>
  <c r="H5" i="6320"/>
  <c r="H4" i="6320"/>
  <c r="H12" i="6320"/>
  <c r="H15" i="6320"/>
  <c r="C21" i="6320"/>
  <c r="C25" i="6320"/>
  <c r="H36" i="6320"/>
  <c r="H40" i="6320"/>
  <c r="H44" i="6320"/>
  <c r="O17" i="6306"/>
  <c r="O15" i="6314"/>
  <c r="O16" i="6312" l="1"/>
  <c r="O19" i="6314"/>
  <c r="O19" i="6316"/>
  <c r="O18" i="6312"/>
  <c r="O18" i="6316"/>
  <c r="O15" i="6306"/>
  <c r="O17" i="6318" l="1"/>
  <c r="O16" i="6316"/>
  <c r="O17" i="6304"/>
  <c r="O16" i="6318" l="1"/>
  <c r="O15" i="6318"/>
  <c r="C34" i="6318"/>
  <c r="B29" i="6318"/>
  <c r="C20" i="6318"/>
  <c r="B19" i="6318"/>
  <c r="H5" i="6318" s="1"/>
  <c r="H22" i="6318"/>
  <c r="B18" i="6318"/>
  <c r="C18" i="6318" s="1"/>
  <c r="B17" i="6318"/>
  <c r="C17" i="6318" s="1"/>
  <c r="C16" i="6318"/>
  <c r="C15" i="6318"/>
  <c r="C14" i="6318"/>
  <c r="O12" i="6318"/>
  <c r="B12" i="6318"/>
  <c r="O11" i="6318"/>
  <c r="B11" i="6318"/>
  <c r="O10" i="6318"/>
  <c r="B10" i="6318"/>
  <c r="C9" i="6318"/>
  <c r="C8" i="6318"/>
  <c r="O7" i="6318"/>
  <c r="C7" i="6318"/>
  <c r="O6" i="6318"/>
  <c r="B6" i="6318"/>
  <c r="O5" i="6318"/>
  <c r="B5" i="6318"/>
  <c r="O4" i="6318"/>
  <c r="O3" i="6318"/>
  <c r="O2" i="6318"/>
  <c r="H6" i="6318"/>
  <c r="O17" i="6316"/>
  <c r="O15" i="6316"/>
  <c r="C34" i="6316"/>
  <c r="B29" i="6316"/>
  <c r="C20" i="6316"/>
  <c r="B19" i="6316"/>
  <c r="H51" i="6316" s="1"/>
  <c r="B18" i="6316"/>
  <c r="B28" i="6316" s="1"/>
  <c r="B17" i="6316"/>
  <c r="C17" i="6316" s="1"/>
  <c r="C16" i="6316"/>
  <c r="C15" i="6316"/>
  <c r="C14" i="6316"/>
  <c r="O12" i="6316"/>
  <c r="B12" i="6316"/>
  <c r="O11" i="6316"/>
  <c r="B11" i="6316"/>
  <c r="O10" i="6316"/>
  <c r="B10" i="6316"/>
  <c r="C9" i="6316"/>
  <c r="C8" i="6316"/>
  <c r="O7" i="6316"/>
  <c r="C7" i="6316"/>
  <c r="O6" i="6316"/>
  <c r="B6" i="6316"/>
  <c r="O5" i="6316"/>
  <c r="B5" i="6316"/>
  <c r="O4" i="6316"/>
  <c r="O3" i="6316"/>
  <c r="O2" i="6316"/>
  <c r="O22" i="6312"/>
  <c r="O19" i="6312"/>
  <c r="O17" i="6302"/>
  <c r="B13" i="6316" l="1"/>
  <c r="H22" i="6316"/>
  <c r="H8" i="6316"/>
  <c r="H13" i="6316"/>
  <c r="H30" i="6316"/>
  <c r="H2" i="6318"/>
  <c r="H11" i="6318"/>
  <c r="H13" i="6318"/>
  <c r="H3" i="6318"/>
  <c r="H15" i="6318"/>
  <c r="C21" i="6318"/>
  <c r="H36" i="6318"/>
  <c r="H41" i="6318"/>
  <c r="H48" i="6318"/>
  <c r="H31" i="6318"/>
  <c r="H37" i="6318"/>
  <c r="H42" i="6318"/>
  <c r="H49" i="6318"/>
  <c r="H19" i="6318"/>
  <c r="C19" i="6318"/>
  <c r="C24" i="6318"/>
  <c r="H33" i="6318"/>
  <c r="H38" i="6318"/>
  <c r="H44" i="6318"/>
  <c r="H17" i="6318"/>
  <c r="H21" i="6318"/>
  <c r="C23" i="6318"/>
  <c r="H12" i="6318"/>
  <c r="B27" i="6318"/>
  <c r="H8" i="6318"/>
  <c r="H7" i="6318"/>
  <c r="H14" i="6318"/>
  <c r="H16" i="6318"/>
  <c r="H18" i="6318"/>
  <c r="H20" i="6318"/>
  <c r="C25" i="6318"/>
  <c r="H40" i="6318"/>
  <c r="H45" i="6318"/>
  <c r="B13" i="6318"/>
  <c r="H46" i="6318"/>
  <c r="H51" i="6318"/>
  <c r="C22" i="6318"/>
  <c r="B26" i="6318"/>
  <c r="H39" i="6318"/>
  <c r="H43" i="6318"/>
  <c r="H47" i="6318"/>
  <c r="H52" i="6318"/>
  <c r="B28" i="6318"/>
  <c r="H23" i="6318"/>
  <c r="H24" i="6318"/>
  <c r="H26" i="6318"/>
  <c r="H28" i="6318"/>
  <c r="H29" i="6318"/>
  <c r="H32" i="6318"/>
  <c r="H35" i="6318"/>
  <c r="C37" i="6318"/>
  <c r="C39" i="6318"/>
  <c r="C41" i="6318"/>
  <c r="C43" i="6318"/>
  <c r="C45" i="6318"/>
  <c r="C47" i="6318"/>
  <c r="H50" i="6318"/>
  <c r="H9" i="6318"/>
  <c r="H10" i="6318"/>
  <c r="H25" i="6318"/>
  <c r="H27" i="6318"/>
  <c r="H4" i="6318"/>
  <c r="H30" i="6318"/>
  <c r="H34" i="6318"/>
  <c r="C36" i="6318"/>
  <c r="C38" i="6318"/>
  <c r="C40" i="6318"/>
  <c r="C42" i="6318"/>
  <c r="C44" i="6318"/>
  <c r="C46" i="6318"/>
  <c r="C48" i="6318"/>
  <c r="C18" i="6316"/>
  <c r="H6" i="6316"/>
  <c r="H14" i="6316"/>
  <c r="B26" i="6316"/>
  <c r="C36" i="6316"/>
  <c r="H41" i="6316"/>
  <c r="C46" i="6316"/>
  <c r="H31" i="6316"/>
  <c r="C48" i="6316"/>
  <c r="H7" i="6316"/>
  <c r="C42" i="6316"/>
  <c r="C19" i="6316"/>
  <c r="C44" i="6316"/>
  <c r="H49" i="6316"/>
  <c r="H21" i="6316"/>
  <c r="C22" i="6316"/>
  <c r="H37" i="6316"/>
  <c r="H11" i="6316"/>
  <c r="H3" i="6316"/>
  <c r="H18" i="6316"/>
  <c r="H15" i="6316"/>
  <c r="H34" i="6316"/>
  <c r="C38" i="6316"/>
  <c r="H4" i="6316"/>
  <c r="H2" i="6316"/>
  <c r="H12" i="6316"/>
  <c r="H17" i="6316"/>
  <c r="H23" i="6316"/>
  <c r="C24" i="6316"/>
  <c r="C40" i="6316"/>
  <c r="H45" i="6316"/>
  <c r="H5" i="6316"/>
  <c r="H25" i="6316"/>
  <c r="H27" i="6316"/>
  <c r="H39" i="6316"/>
  <c r="H43" i="6316"/>
  <c r="H47" i="6316"/>
  <c r="H52" i="6316"/>
  <c r="H24" i="6316"/>
  <c r="H26" i="6316"/>
  <c r="H10" i="6316"/>
  <c r="H28" i="6316"/>
  <c r="H29" i="6316"/>
  <c r="H32" i="6316"/>
  <c r="H35" i="6316"/>
  <c r="C37" i="6316"/>
  <c r="C39" i="6316"/>
  <c r="C41" i="6316"/>
  <c r="C43" i="6316"/>
  <c r="C45" i="6316"/>
  <c r="C47" i="6316"/>
  <c r="H50" i="6316"/>
  <c r="H9" i="6316"/>
  <c r="H16" i="6316"/>
  <c r="H19" i="6316"/>
  <c r="H20" i="6316"/>
  <c r="C21" i="6316"/>
  <c r="C23" i="6316"/>
  <c r="C25" i="6316"/>
  <c r="B27" i="6316"/>
  <c r="H33" i="6316"/>
  <c r="H36" i="6316"/>
  <c r="H38" i="6316"/>
  <c r="H40" i="6316"/>
  <c r="H42" i="6316"/>
  <c r="H44" i="6316"/>
  <c r="H46" i="6316"/>
  <c r="H48" i="6316"/>
  <c r="O18" i="6308" l="1"/>
  <c r="O18" i="6314"/>
  <c r="O16" i="6314"/>
  <c r="C34" i="6314"/>
  <c r="B29" i="6314"/>
  <c r="C20" i="6314"/>
  <c r="B19" i="6314"/>
  <c r="H51" i="6314" s="1"/>
  <c r="B18" i="6314"/>
  <c r="B28" i="6314" s="1"/>
  <c r="B17" i="6314"/>
  <c r="C17" i="6314" s="1"/>
  <c r="C16" i="6314"/>
  <c r="C15" i="6314"/>
  <c r="C14" i="6314"/>
  <c r="O12" i="6314"/>
  <c r="B12" i="6314"/>
  <c r="O11" i="6314"/>
  <c r="B11" i="6314"/>
  <c r="O10" i="6314"/>
  <c r="B10" i="6314"/>
  <c r="C9" i="6314"/>
  <c r="C8" i="6314"/>
  <c r="O7" i="6314"/>
  <c r="C7" i="6314"/>
  <c r="O6" i="6314"/>
  <c r="B6" i="6314"/>
  <c r="O5" i="6314"/>
  <c r="B5" i="6314"/>
  <c r="O4" i="6314"/>
  <c r="O3" i="6314"/>
  <c r="O2" i="6314"/>
  <c r="O18" i="6304"/>
  <c r="O21" i="6302"/>
  <c r="B13" i="6314" l="1"/>
  <c r="C18" i="6314"/>
  <c r="H19" i="6314"/>
  <c r="H6" i="6314"/>
  <c r="H4" i="6314"/>
  <c r="C42" i="6314"/>
  <c r="H45" i="6314"/>
  <c r="C44" i="6314"/>
  <c r="H17" i="6314"/>
  <c r="C22" i="6314"/>
  <c r="H11" i="6314"/>
  <c r="C23" i="6314"/>
  <c r="C24" i="6314"/>
  <c r="H32" i="6314"/>
  <c r="H42" i="6314"/>
  <c r="C46" i="6314"/>
  <c r="H8" i="6314"/>
  <c r="H21" i="6314"/>
  <c r="H34" i="6314"/>
  <c r="H15" i="6314"/>
  <c r="H24" i="6314"/>
  <c r="H37" i="6314"/>
  <c r="H49" i="6314"/>
  <c r="H16" i="6314"/>
  <c r="H20" i="6314"/>
  <c r="C25" i="6314"/>
  <c r="H38" i="6314"/>
  <c r="H10" i="6314"/>
  <c r="C38" i="6314"/>
  <c r="H50" i="6314"/>
  <c r="C19" i="6314"/>
  <c r="H28" i="6314"/>
  <c r="H7" i="6314"/>
  <c r="H12" i="6314"/>
  <c r="H22" i="6314"/>
  <c r="H9" i="6314"/>
  <c r="H40" i="6314"/>
  <c r="H14" i="6314"/>
  <c r="B27" i="6314"/>
  <c r="C36" i="6314"/>
  <c r="H43" i="6314"/>
  <c r="H48" i="6314"/>
  <c r="H26" i="6314"/>
  <c r="H31" i="6314"/>
  <c r="H39" i="6314"/>
  <c r="H44" i="6314"/>
  <c r="C48" i="6314"/>
  <c r="H35" i="6314"/>
  <c r="H41" i="6314"/>
  <c r="H46" i="6314"/>
  <c r="H3" i="6314"/>
  <c r="H2" i="6314"/>
  <c r="H5" i="6314"/>
  <c r="H18" i="6314"/>
  <c r="C21" i="6314"/>
  <c r="B26" i="6314"/>
  <c r="C40" i="6314"/>
  <c r="H47" i="6314"/>
  <c r="H52" i="6314"/>
  <c r="H13" i="6314"/>
  <c r="H23" i="6314"/>
  <c r="H27" i="6314"/>
  <c r="H30" i="6314"/>
  <c r="H36" i="6314"/>
  <c r="C39" i="6314"/>
  <c r="C43" i="6314"/>
  <c r="C47" i="6314"/>
  <c r="H25" i="6314"/>
  <c r="H29" i="6314"/>
  <c r="H33" i="6314"/>
  <c r="C37" i="6314"/>
  <c r="C41" i="6314"/>
  <c r="C45" i="6314"/>
  <c r="O20" i="6304" l="1"/>
  <c r="O16" i="6304"/>
  <c r="O20" i="6312"/>
  <c r="O21" i="6312"/>
  <c r="C34" i="6312"/>
  <c r="B29" i="6312"/>
  <c r="C20" i="6312"/>
  <c r="B19" i="6312"/>
  <c r="H6" i="6312" s="1"/>
  <c r="B18" i="6312"/>
  <c r="B28" i="6312" s="1"/>
  <c r="B17" i="6312"/>
  <c r="C17" i="6312" s="1"/>
  <c r="C16" i="6312"/>
  <c r="C15" i="6312"/>
  <c r="C14" i="6312"/>
  <c r="O12" i="6312"/>
  <c r="B12" i="6312"/>
  <c r="O11" i="6312"/>
  <c r="B11" i="6312"/>
  <c r="O10" i="6312"/>
  <c r="B10" i="6312"/>
  <c r="C9" i="6312"/>
  <c r="C8" i="6312"/>
  <c r="O7" i="6312"/>
  <c r="C7" i="6312"/>
  <c r="O6" i="6312"/>
  <c r="B6" i="6312"/>
  <c r="O5" i="6312"/>
  <c r="B5" i="6312"/>
  <c r="O4" i="6312"/>
  <c r="O3" i="6312"/>
  <c r="O2" i="6312"/>
  <c r="O16" i="6302"/>
  <c r="O16" i="6310"/>
  <c r="O15" i="6310"/>
  <c r="C34" i="6310"/>
  <c r="B29" i="6310"/>
  <c r="C20" i="6310"/>
  <c r="B19" i="6310"/>
  <c r="H51" i="6310" s="1"/>
  <c r="C18" i="6310"/>
  <c r="B18" i="6310"/>
  <c r="B28" i="6310" s="1"/>
  <c r="B17" i="6310"/>
  <c r="C17" i="6310" s="1"/>
  <c r="C16" i="6310"/>
  <c r="C15" i="6310"/>
  <c r="C14" i="6310"/>
  <c r="O12" i="6310"/>
  <c r="B12" i="6310"/>
  <c r="O11" i="6310"/>
  <c r="B11" i="6310"/>
  <c r="O10" i="6310"/>
  <c r="B10" i="6310"/>
  <c r="C9" i="6310"/>
  <c r="H11" i="6310"/>
  <c r="C8" i="6310"/>
  <c r="O7" i="6310"/>
  <c r="C7" i="6310"/>
  <c r="O6" i="6310"/>
  <c r="B6" i="6310"/>
  <c r="O5" i="6310"/>
  <c r="B5" i="6310"/>
  <c r="O4" i="6310"/>
  <c r="H9" i="6310"/>
  <c r="O3" i="6310"/>
  <c r="O2" i="6310"/>
  <c r="O22" i="6302"/>
  <c r="B13" i="6310" l="1"/>
  <c r="C36" i="6310"/>
  <c r="C38" i="6310"/>
  <c r="C42" i="6310"/>
  <c r="H14" i="6310"/>
  <c r="H25" i="6310"/>
  <c r="H43" i="6310"/>
  <c r="H4" i="6310"/>
  <c r="C44" i="6310"/>
  <c r="H12" i="6310"/>
  <c r="H23" i="6310"/>
  <c r="C24" i="6310"/>
  <c r="H27" i="6310"/>
  <c r="C46" i="6310"/>
  <c r="H10" i="6310"/>
  <c r="H15" i="6310"/>
  <c r="H30" i="6310"/>
  <c r="H8" i="6310"/>
  <c r="H6" i="6310"/>
  <c r="H34" i="6310"/>
  <c r="H21" i="6310"/>
  <c r="H47" i="6310"/>
  <c r="B13" i="6312"/>
  <c r="C18" i="6312"/>
  <c r="H10" i="6312"/>
  <c r="H7" i="6312"/>
  <c r="H14" i="6312"/>
  <c r="H17" i="6312"/>
  <c r="H8" i="6312"/>
  <c r="C19" i="6312"/>
  <c r="C24" i="6312"/>
  <c r="H20" i="6312"/>
  <c r="H43" i="6312"/>
  <c r="H47" i="6312"/>
  <c r="H25" i="6312"/>
  <c r="H30" i="6312"/>
  <c r="C39" i="6312"/>
  <c r="C43" i="6312"/>
  <c r="H5" i="6312"/>
  <c r="H16" i="6312"/>
  <c r="H21" i="6312"/>
  <c r="C21" i="6312"/>
  <c r="C25" i="6312"/>
  <c r="H36" i="6312"/>
  <c r="H48" i="6312"/>
  <c r="H15" i="6312"/>
  <c r="H12" i="6312"/>
  <c r="H28" i="6312"/>
  <c r="H13" i="6312"/>
  <c r="C36" i="6312"/>
  <c r="C40" i="6312"/>
  <c r="C44" i="6312"/>
  <c r="C48" i="6312"/>
  <c r="H39" i="6312"/>
  <c r="H52" i="6312"/>
  <c r="H23" i="6312"/>
  <c r="H19" i="6312"/>
  <c r="H35" i="6312"/>
  <c r="C47" i="6312"/>
  <c r="H40" i="6312"/>
  <c r="H44" i="6312"/>
  <c r="H4" i="6312"/>
  <c r="H22" i="6312"/>
  <c r="H24" i="6312"/>
  <c r="C22" i="6312"/>
  <c r="B26" i="6312"/>
  <c r="H31" i="6312"/>
  <c r="H37" i="6312"/>
  <c r="H41" i="6312"/>
  <c r="H45" i="6312"/>
  <c r="H49" i="6312"/>
  <c r="H26" i="6312"/>
  <c r="H32" i="6312"/>
  <c r="C45" i="6312"/>
  <c r="H29" i="6312"/>
  <c r="C37" i="6312"/>
  <c r="C41" i="6312"/>
  <c r="H50" i="6312"/>
  <c r="H18" i="6312"/>
  <c r="C23" i="6312"/>
  <c r="B27" i="6312"/>
  <c r="H33" i="6312"/>
  <c r="H38" i="6312"/>
  <c r="H42" i="6312"/>
  <c r="H46" i="6312"/>
  <c r="H51" i="6312"/>
  <c r="H2" i="6312"/>
  <c r="H3" i="6312"/>
  <c r="H11" i="6312"/>
  <c r="H27" i="6312"/>
  <c r="H9" i="6312"/>
  <c r="H34" i="6312"/>
  <c r="C38" i="6312"/>
  <c r="C42" i="6312"/>
  <c r="C46" i="6312"/>
  <c r="C48" i="6310"/>
  <c r="H7" i="6310"/>
  <c r="H39" i="6310"/>
  <c r="H2" i="6310"/>
  <c r="H3" i="6310"/>
  <c r="C19" i="6310"/>
  <c r="C40" i="6310"/>
  <c r="H52" i="6310"/>
  <c r="H19" i="6310"/>
  <c r="H22" i="6310"/>
  <c r="H26" i="6310"/>
  <c r="H29" i="6310"/>
  <c r="H35" i="6310"/>
  <c r="C39" i="6310"/>
  <c r="C43" i="6310"/>
  <c r="C47" i="6310"/>
  <c r="H5" i="6310"/>
  <c r="H13" i="6310"/>
  <c r="H16" i="6310"/>
  <c r="C21" i="6310"/>
  <c r="C25" i="6310"/>
  <c r="H36" i="6310"/>
  <c r="H40" i="6310"/>
  <c r="H44" i="6310"/>
  <c r="H48" i="6310"/>
  <c r="H17" i="6310"/>
  <c r="H20" i="6310"/>
  <c r="C22" i="6310"/>
  <c r="B26" i="6310"/>
  <c r="H31" i="6310"/>
  <c r="H37" i="6310"/>
  <c r="H41" i="6310"/>
  <c r="H45" i="6310"/>
  <c r="H49" i="6310"/>
  <c r="H24" i="6310"/>
  <c r="H28" i="6310"/>
  <c r="H32" i="6310"/>
  <c r="C37" i="6310"/>
  <c r="C41" i="6310"/>
  <c r="C45" i="6310"/>
  <c r="H50" i="6310"/>
  <c r="H18" i="6310"/>
  <c r="C23" i="6310"/>
  <c r="B27" i="6310"/>
  <c r="H33" i="6310"/>
  <c r="H38" i="6310"/>
  <c r="H42" i="6310"/>
  <c r="H46" i="6310"/>
  <c r="O15" i="6308"/>
  <c r="O17" i="6308"/>
  <c r="C34" i="6308"/>
  <c r="B29" i="6308"/>
  <c r="C20" i="6308"/>
  <c r="B19" i="6308"/>
  <c r="H51" i="6308" s="1"/>
  <c r="B18" i="6308"/>
  <c r="B28" i="6308" s="1"/>
  <c r="B17" i="6308"/>
  <c r="C17" i="6308" s="1"/>
  <c r="C16" i="6308"/>
  <c r="C15" i="6308"/>
  <c r="C14" i="6308"/>
  <c r="O12" i="6308"/>
  <c r="B12" i="6308"/>
  <c r="O11" i="6308"/>
  <c r="B11" i="6308"/>
  <c r="O10" i="6308"/>
  <c r="B10" i="6308"/>
  <c r="C9" i="6308"/>
  <c r="C8" i="6308"/>
  <c r="O7" i="6308"/>
  <c r="C7" i="6308"/>
  <c r="O6" i="6308"/>
  <c r="B6" i="6308"/>
  <c r="O5" i="6308"/>
  <c r="B5" i="6308"/>
  <c r="O4" i="6308"/>
  <c r="O3" i="6308"/>
  <c r="O2" i="6308"/>
  <c r="O18" i="6306"/>
  <c r="O16" i="6306"/>
  <c r="H38" i="6306"/>
  <c r="C34" i="6306"/>
  <c r="B29" i="6306"/>
  <c r="C20" i="6306"/>
  <c r="B19" i="6306"/>
  <c r="H52" i="6306" s="1"/>
  <c r="B18" i="6306"/>
  <c r="B28" i="6306" s="1"/>
  <c r="B17" i="6306"/>
  <c r="C17" i="6306" s="1"/>
  <c r="C16" i="6306"/>
  <c r="C15" i="6306"/>
  <c r="C14" i="6306"/>
  <c r="O12" i="6306"/>
  <c r="B12" i="6306"/>
  <c r="O11" i="6306"/>
  <c r="B11" i="6306"/>
  <c r="O10" i="6306"/>
  <c r="B10" i="6306"/>
  <c r="C9" i="6306"/>
  <c r="C8" i="6306"/>
  <c r="O7" i="6306"/>
  <c r="C7" i="6306"/>
  <c r="O6" i="6306"/>
  <c r="B6" i="6306"/>
  <c r="O5" i="6306"/>
  <c r="B5" i="6306"/>
  <c r="O4" i="6306"/>
  <c r="O3" i="6306"/>
  <c r="O2" i="6306"/>
  <c r="O23" i="6302"/>
  <c r="O19" i="6304"/>
  <c r="O15" i="6304"/>
  <c r="C34" i="6304"/>
  <c r="B29" i="6304"/>
  <c r="C20" i="6304"/>
  <c r="B19" i="6304"/>
  <c r="H15" i="6304" s="1"/>
  <c r="B18" i="6304"/>
  <c r="B28" i="6304" s="1"/>
  <c r="B17" i="6304"/>
  <c r="C17" i="6304" s="1"/>
  <c r="C16" i="6304"/>
  <c r="C15" i="6304"/>
  <c r="C14" i="6304"/>
  <c r="O12" i="6304"/>
  <c r="B12" i="6304"/>
  <c r="B13" i="6304" s="1"/>
  <c r="O11" i="6304"/>
  <c r="B11" i="6304"/>
  <c r="O10" i="6304"/>
  <c r="B10" i="6304"/>
  <c r="C9" i="6304"/>
  <c r="C8" i="6304"/>
  <c r="O7" i="6304"/>
  <c r="C7" i="6304"/>
  <c r="O6" i="6304"/>
  <c r="B6" i="6304"/>
  <c r="O5" i="6304"/>
  <c r="B5" i="6304"/>
  <c r="O4" i="6304"/>
  <c r="O3" i="6304"/>
  <c r="O2" i="6304"/>
  <c r="O20" i="6302"/>
  <c r="O15" i="6302"/>
  <c r="C34" i="6302"/>
  <c r="B29" i="6302"/>
  <c r="C20" i="6302"/>
  <c r="B19" i="6302"/>
  <c r="H18" i="6302" s="1"/>
  <c r="B18" i="6302"/>
  <c r="B28" i="6302" s="1"/>
  <c r="B17" i="6302"/>
  <c r="C17" i="6302" s="1"/>
  <c r="C16" i="6302"/>
  <c r="C15" i="6302"/>
  <c r="C14" i="6302"/>
  <c r="O12" i="6302"/>
  <c r="B12" i="6302"/>
  <c r="O11" i="6302"/>
  <c r="B11" i="6302"/>
  <c r="O10" i="6302"/>
  <c r="B10" i="6302"/>
  <c r="C9" i="6302"/>
  <c r="C8" i="6302"/>
  <c r="O7" i="6302"/>
  <c r="C7" i="6302"/>
  <c r="O6" i="6302"/>
  <c r="B6" i="6302"/>
  <c r="O5" i="6302"/>
  <c r="B5" i="6302"/>
  <c r="O4" i="6302"/>
  <c r="O3" i="6302"/>
  <c r="O2" i="6302"/>
  <c r="B13" i="6308" l="1"/>
  <c r="C18" i="6306"/>
  <c r="H8" i="6306"/>
  <c r="C18" i="6304"/>
  <c r="H27" i="6306"/>
  <c r="B27" i="6306"/>
  <c r="H3" i="6306"/>
  <c r="C18" i="6308"/>
  <c r="B13" i="6302"/>
  <c r="H18" i="6308"/>
  <c r="H7" i="6308"/>
  <c r="H9" i="6308"/>
  <c r="H27" i="6308"/>
  <c r="H2" i="6308"/>
  <c r="C42" i="6308"/>
  <c r="C46" i="6308"/>
  <c r="H17" i="6308"/>
  <c r="H8" i="6308"/>
  <c r="H5" i="6308"/>
  <c r="H11" i="6308"/>
  <c r="H34" i="6308"/>
  <c r="C19" i="6308"/>
  <c r="H3" i="6308"/>
  <c r="H15" i="6308"/>
  <c r="H24" i="6308"/>
  <c r="C38" i="6308"/>
  <c r="C24" i="6308"/>
  <c r="H39" i="6308"/>
  <c r="H43" i="6308"/>
  <c r="H47" i="6308"/>
  <c r="H52" i="6308"/>
  <c r="H22" i="6308"/>
  <c r="H25" i="6308"/>
  <c r="H13" i="6308"/>
  <c r="H30" i="6308"/>
  <c r="H35" i="6308"/>
  <c r="C39" i="6308"/>
  <c r="C43" i="6308"/>
  <c r="C47" i="6308"/>
  <c r="H4" i="6308"/>
  <c r="H16" i="6308"/>
  <c r="C25" i="6308"/>
  <c r="H36" i="6308"/>
  <c r="H48" i="6308"/>
  <c r="H6" i="6308"/>
  <c r="H10" i="6308"/>
  <c r="H12" i="6308"/>
  <c r="H28" i="6308"/>
  <c r="H14" i="6308"/>
  <c r="C36" i="6308"/>
  <c r="C40" i="6308"/>
  <c r="C44" i="6308"/>
  <c r="C48" i="6308"/>
  <c r="H19" i="6308"/>
  <c r="C21" i="6308"/>
  <c r="H40" i="6308"/>
  <c r="H44" i="6308"/>
  <c r="H20" i="6308"/>
  <c r="H23" i="6308"/>
  <c r="C22" i="6308"/>
  <c r="B26" i="6308"/>
  <c r="H31" i="6308"/>
  <c r="H37" i="6308"/>
  <c r="H41" i="6308"/>
  <c r="H45" i="6308"/>
  <c r="H49" i="6308"/>
  <c r="H26" i="6308"/>
  <c r="H29" i="6308"/>
  <c r="H32" i="6308"/>
  <c r="C37" i="6308"/>
  <c r="C41" i="6308"/>
  <c r="C45" i="6308"/>
  <c r="H50" i="6308"/>
  <c r="H21" i="6308"/>
  <c r="C23" i="6308"/>
  <c r="B27" i="6308"/>
  <c r="H33" i="6308"/>
  <c r="H38" i="6308"/>
  <c r="H42" i="6308"/>
  <c r="H46" i="6308"/>
  <c r="B13" i="6306"/>
  <c r="H12" i="6306"/>
  <c r="H44" i="6306"/>
  <c r="H2" i="6306"/>
  <c r="C21" i="6306"/>
  <c r="H15" i="6306"/>
  <c r="H11" i="6306"/>
  <c r="H30" i="6306"/>
  <c r="H5" i="6306"/>
  <c r="H18" i="6306"/>
  <c r="H13" i="6306"/>
  <c r="H46" i="6306"/>
  <c r="H20" i="6306"/>
  <c r="C44" i="6306"/>
  <c r="H10" i="6306"/>
  <c r="C23" i="6306"/>
  <c r="H36" i="6306"/>
  <c r="C46" i="6306"/>
  <c r="C38" i="6306"/>
  <c r="H40" i="6306"/>
  <c r="H9" i="6306"/>
  <c r="H7" i="6306"/>
  <c r="H16" i="6306"/>
  <c r="H19" i="6306"/>
  <c r="H26" i="6306"/>
  <c r="C36" i="6306"/>
  <c r="H48" i="6306"/>
  <c r="H33" i="6306"/>
  <c r="C40" i="6306"/>
  <c r="C48" i="6306"/>
  <c r="C24" i="6306"/>
  <c r="H34" i="6306"/>
  <c r="H42" i="6306"/>
  <c r="H51" i="6306"/>
  <c r="H6" i="6306"/>
  <c r="H17" i="6306"/>
  <c r="C19" i="6306"/>
  <c r="C25" i="6306"/>
  <c r="C42" i="6306"/>
  <c r="H4" i="6306"/>
  <c r="H22" i="6306"/>
  <c r="H24" i="6306"/>
  <c r="H14" i="6306"/>
  <c r="H29" i="6306"/>
  <c r="H35" i="6306"/>
  <c r="C39" i="6306"/>
  <c r="C43" i="6306"/>
  <c r="C47" i="6306"/>
  <c r="H21" i="6306"/>
  <c r="H23" i="6306"/>
  <c r="C22" i="6306"/>
  <c r="B26" i="6306"/>
  <c r="H31" i="6306"/>
  <c r="H37" i="6306"/>
  <c r="H41" i="6306"/>
  <c r="H45" i="6306"/>
  <c r="H49" i="6306"/>
  <c r="H25" i="6306"/>
  <c r="H28" i="6306"/>
  <c r="H32" i="6306"/>
  <c r="C37" i="6306"/>
  <c r="C41" i="6306"/>
  <c r="C45" i="6306"/>
  <c r="H50" i="6306"/>
  <c r="H39" i="6306"/>
  <c r="H43" i="6306"/>
  <c r="H47" i="6306"/>
  <c r="H10" i="6302"/>
  <c r="C18" i="6302"/>
  <c r="C36" i="6304"/>
  <c r="H23" i="6304"/>
  <c r="H8" i="6304"/>
  <c r="H40" i="6304"/>
  <c r="H26" i="6304"/>
  <c r="H42" i="6304"/>
  <c r="C38" i="6304"/>
  <c r="C21" i="6304"/>
  <c r="H11" i="6304"/>
  <c r="C44" i="6304"/>
  <c r="H29" i="6304"/>
  <c r="H12" i="6304"/>
  <c r="H7" i="6304"/>
  <c r="H5" i="6304"/>
  <c r="H17" i="6304"/>
  <c r="H21" i="6304"/>
  <c r="C22" i="6304"/>
  <c r="H46" i="6304"/>
  <c r="H19" i="6304"/>
  <c r="B26" i="6304"/>
  <c r="C42" i="6304"/>
  <c r="H2" i="6304"/>
  <c r="H10" i="6304"/>
  <c r="H35" i="6304"/>
  <c r="H3" i="6304"/>
  <c r="H9" i="6304"/>
  <c r="H22" i="6304"/>
  <c r="H25" i="6304"/>
  <c r="C25" i="6304"/>
  <c r="H36" i="6304"/>
  <c r="C46" i="6304"/>
  <c r="H48" i="6304"/>
  <c r="C24" i="6304"/>
  <c r="H32" i="6304"/>
  <c r="C39" i="6304"/>
  <c r="C48" i="6304"/>
  <c r="H13" i="6304"/>
  <c r="H6" i="6304"/>
  <c r="H16" i="6304"/>
  <c r="H20" i="6304"/>
  <c r="C19" i="6304"/>
  <c r="H14" i="6304"/>
  <c r="H18" i="6304"/>
  <c r="C40" i="6304"/>
  <c r="H50" i="6304"/>
  <c r="H44" i="6304"/>
  <c r="H4" i="6304"/>
  <c r="H28" i="6304"/>
  <c r="H31" i="6304"/>
  <c r="H38" i="6304"/>
  <c r="C43" i="6304"/>
  <c r="H52" i="6304"/>
  <c r="C47" i="6304"/>
  <c r="H37" i="6304"/>
  <c r="H41" i="6304"/>
  <c r="H45" i="6304"/>
  <c r="H49" i="6304"/>
  <c r="H27" i="6304"/>
  <c r="H30" i="6304"/>
  <c r="H33" i="6304"/>
  <c r="C37" i="6304"/>
  <c r="C41" i="6304"/>
  <c r="C45" i="6304"/>
  <c r="H51" i="6304"/>
  <c r="H24" i="6304"/>
  <c r="C23" i="6304"/>
  <c r="B27" i="6304"/>
  <c r="H34" i="6304"/>
  <c r="H39" i="6304"/>
  <c r="H43" i="6304"/>
  <c r="H47" i="6304"/>
  <c r="H27" i="6302"/>
  <c r="H22" i="6302"/>
  <c r="H42" i="6302"/>
  <c r="H36" i="6302"/>
  <c r="H37" i="6302"/>
  <c r="H4" i="6302"/>
  <c r="H6" i="6302"/>
  <c r="C40" i="6302"/>
  <c r="C46" i="6302"/>
  <c r="H12" i="6302"/>
  <c r="H11" i="6302"/>
  <c r="C22" i="6302"/>
  <c r="H8" i="6302"/>
  <c r="H48" i="6302"/>
  <c r="H32" i="6302"/>
  <c r="C36" i="6302"/>
  <c r="C42" i="6302"/>
  <c r="C47" i="6302"/>
  <c r="H25" i="6302"/>
  <c r="C19" i="6302"/>
  <c r="C24" i="6302"/>
  <c r="H38" i="6302"/>
  <c r="H44" i="6302"/>
  <c r="H49" i="6302"/>
  <c r="H13" i="6302"/>
  <c r="H14" i="6302"/>
  <c r="C48" i="6302"/>
  <c r="H15" i="6302"/>
  <c r="C43" i="6302"/>
  <c r="H21" i="6302"/>
  <c r="C25" i="6302"/>
  <c r="H24" i="6302"/>
  <c r="H40" i="6302"/>
  <c r="H45" i="6302"/>
  <c r="H50" i="6302"/>
  <c r="H23" i="6302"/>
  <c r="H2" i="6302"/>
  <c r="C38" i="6302"/>
  <c r="H9" i="6302"/>
  <c r="H19" i="6302"/>
  <c r="H28" i="6302"/>
  <c r="H30" i="6302"/>
  <c r="H35" i="6302"/>
  <c r="C39" i="6302"/>
  <c r="C44" i="6302"/>
  <c r="H5" i="6302"/>
  <c r="H16" i="6302"/>
  <c r="H3" i="6302"/>
  <c r="H17" i="6302"/>
  <c r="H7" i="6302"/>
  <c r="H20" i="6302"/>
  <c r="H26" i="6302"/>
  <c r="C21" i="6302"/>
  <c r="B26" i="6302"/>
  <c r="H41" i="6302"/>
  <c r="H46" i="6302"/>
  <c r="H52" i="6302"/>
  <c r="H29" i="6302"/>
  <c r="H31" i="6302"/>
  <c r="H33" i="6302"/>
  <c r="C37" i="6302"/>
  <c r="C41" i="6302"/>
  <c r="C45" i="6302"/>
  <c r="H51" i="6302"/>
  <c r="C23" i="6302"/>
  <c r="B27" i="6302"/>
  <c r="H34" i="6302"/>
  <c r="H39" i="6302"/>
  <c r="H43" i="6302"/>
  <c r="H47" i="6302"/>
  <c r="C35" i="6023" l="1"/>
  <c r="B30" i="6023"/>
  <c r="C21" i="6023"/>
  <c r="C20" i="6023"/>
  <c r="B20" i="6023"/>
  <c r="H52" i="6023" s="1"/>
  <c r="C19" i="6023"/>
  <c r="B19" i="6023"/>
  <c r="B29" i="6023" s="1"/>
  <c r="C18" i="6023"/>
  <c r="B18" i="6023"/>
  <c r="C17" i="6023"/>
  <c r="C16" i="6023"/>
  <c r="C15" i="6023"/>
  <c r="P12" i="6023"/>
  <c r="H12" i="6023"/>
  <c r="B13" i="6023"/>
  <c r="P11" i="6023"/>
  <c r="B12" i="6023"/>
  <c r="P10" i="6023"/>
  <c r="B11" i="6023"/>
  <c r="C10" i="6023"/>
  <c r="C9" i="6023"/>
  <c r="P7" i="6023"/>
  <c r="C8" i="6023"/>
  <c r="P6" i="6023"/>
  <c r="B7" i="6023"/>
  <c r="P5" i="6023"/>
  <c r="B5" i="6023"/>
  <c r="P4" i="6023"/>
  <c r="P3" i="6023"/>
  <c r="H3" i="6023"/>
  <c r="P2" i="6023"/>
  <c r="H9" i="6023" l="1"/>
  <c r="B14" i="6023"/>
  <c r="H6" i="6023"/>
  <c r="H17" i="6023"/>
  <c r="H20" i="6023"/>
  <c r="H24" i="6023"/>
  <c r="H28" i="6023"/>
  <c r="H31" i="6023"/>
  <c r="C38" i="6023"/>
  <c r="C40" i="6023"/>
  <c r="C44" i="6023"/>
  <c r="C48" i="6023"/>
  <c r="H11" i="6023"/>
  <c r="H14" i="6023"/>
  <c r="C22" i="6023"/>
  <c r="B28" i="6023"/>
  <c r="H32" i="6023"/>
  <c r="H45" i="6023"/>
  <c r="H19" i="6023"/>
  <c r="H21" i="6023"/>
  <c r="H23" i="6023"/>
  <c r="H25" i="6023"/>
  <c r="H27" i="6023"/>
  <c r="H29" i="6023"/>
  <c r="H33" i="6023"/>
  <c r="C37" i="6023"/>
  <c r="C39" i="6023"/>
  <c r="C41" i="6023"/>
  <c r="C43" i="6023"/>
  <c r="C45" i="6023"/>
  <c r="C47" i="6023"/>
  <c r="C49" i="6023"/>
  <c r="H51" i="6023"/>
  <c r="H22" i="6023"/>
  <c r="H26" i="6023"/>
  <c r="H34" i="6023"/>
  <c r="C42" i="6023"/>
  <c r="C46" i="6023"/>
  <c r="H49" i="6023"/>
  <c r="H5" i="6023"/>
  <c r="H16" i="6023"/>
  <c r="C24" i="6023"/>
  <c r="C26" i="6023"/>
  <c r="H35" i="6023"/>
  <c r="H37" i="6023"/>
  <c r="H39" i="6023"/>
  <c r="H41" i="6023"/>
  <c r="H43" i="6023"/>
  <c r="H47" i="6023"/>
  <c r="H50" i="6023"/>
  <c r="H2" i="6023"/>
  <c r="H4" i="6023"/>
  <c r="H8" i="6023"/>
  <c r="H10" i="6023"/>
  <c r="H7" i="6023"/>
  <c r="H13" i="6023"/>
  <c r="H15" i="6023"/>
  <c r="H18" i="6023"/>
  <c r="C23" i="6023"/>
  <c r="C25" i="6023"/>
  <c r="B27" i="6023"/>
  <c r="H30" i="6023"/>
  <c r="H36" i="6023"/>
  <c r="H38" i="6023"/>
  <c r="H40" i="6023"/>
  <c r="H42" i="6023"/>
  <c r="H44" i="6023"/>
  <c r="H46" i="6023"/>
  <c r="H48" i="6023"/>
</calcChain>
</file>

<file path=xl/sharedStrings.xml><?xml version="1.0" encoding="utf-8"?>
<sst xmlns="http://schemas.openxmlformats.org/spreadsheetml/2006/main" count="2832" uniqueCount="213">
  <si>
    <t>名前</t>
    <rPh sb="0" eb="2">
      <t>ナマエ</t>
    </rPh>
    <phoneticPr fontId="1"/>
  </si>
  <si>
    <t>平均順位</t>
    <rPh sb="0" eb="4">
      <t>ヘイキンジュンイ</t>
    </rPh>
    <phoneticPr fontId="1"/>
  </si>
  <si>
    <t>1位</t>
    <rPh sb="1" eb="2">
      <t>イ</t>
    </rPh>
    <phoneticPr fontId="1"/>
  </si>
  <si>
    <t>2位</t>
    <rPh sb="1" eb="2">
      <t>イ</t>
    </rPh>
    <phoneticPr fontId="1"/>
  </si>
  <si>
    <t>3位</t>
    <rPh sb="1" eb="2">
      <t>イ</t>
    </rPh>
    <phoneticPr fontId="1"/>
  </si>
  <si>
    <t>平均アガリ点</t>
    <rPh sb="0" eb="2">
      <t>ヘイキン</t>
    </rPh>
    <rPh sb="5" eb="6">
      <t>テン</t>
    </rPh>
    <phoneticPr fontId="1"/>
  </si>
  <si>
    <t>通算スコア</t>
    <rPh sb="0" eb="2">
      <t>ツウサン</t>
    </rPh>
    <phoneticPr fontId="1"/>
  </si>
  <si>
    <t>平均スコア</t>
    <rPh sb="0" eb="2">
      <t>ヘイキン</t>
    </rPh>
    <phoneticPr fontId="1"/>
  </si>
  <si>
    <t>総局数</t>
    <rPh sb="0" eb="2">
      <t>ソウキョク</t>
    </rPh>
    <rPh sb="2" eb="3">
      <t>スウ</t>
    </rPh>
    <phoneticPr fontId="1"/>
  </si>
  <si>
    <t>対戦数</t>
    <rPh sb="0" eb="2">
      <t>タイセン</t>
    </rPh>
    <rPh sb="2" eb="3">
      <t>スウ</t>
    </rPh>
    <phoneticPr fontId="1"/>
  </si>
  <si>
    <t>アガリ</t>
    <phoneticPr fontId="1"/>
  </si>
  <si>
    <t>ロン</t>
    <phoneticPr fontId="1"/>
  </si>
  <si>
    <t>ツモ</t>
    <phoneticPr fontId="1"/>
  </si>
  <si>
    <t>放銃</t>
    <rPh sb="0" eb="2">
      <t>ホウジュウ</t>
    </rPh>
    <phoneticPr fontId="1"/>
  </si>
  <si>
    <t>トップ率</t>
    <rPh sb="3" eb="4">
      <t>リツ</t>
    </rPh>
    <phoneticPr fontId="1"/>
  </si>
  <si>
    <t>平均順位</t>
    <rPh sb="0" eb="4">
      <t>ヘイキン</t>
    </rPh>
    <phoneticPr fontId="1"/>
  </si>
  <si>
    <t>平均放銃点</t>
    <rPh sb="0" eb="2">
      <t>ヘイキン</t>
    </rPh>
    <rPh sb="2" eb="4">
      <t>ホウジュウ</t>
    </rPh>
    <rPh sb="4" eb="5">
      <t>テン</t>
    </rPh>
    <phoneticPr fontId="1"/>
  </si>
  <si>
    <t>ふっとび率</t>
    <rPh sb="4" eb="5">
      <t>リツ</t>
    </rPh>
    <phoneticPr fontId="1"/>
  </si>
  <si>
    <t>ふっとび</t>
    <phoneticPr fontId="1"/>
  </si>
  <si>
    <t>回</t>
    <rPh sb="0" eb="1">
      <t>カイ</t>
    </rPh>
    <phoneticPr fontId="1"/>
  </si>
  <si>
    <t>立直</t>
    <rPh sb="0" eb="2">
      <t>リーチ</t>
    </rPh>
    <phoneticPr fontId="1"/>
  </si>
  <si>
    <t>一発</t>
  </si>
  <si>
    <t>ドラ</t>
  </si>
  <si>
    <t>裏ドラ</t>
    <rPh sb="0" eb="1">
      <t>ウラ</t>
    </rPh>
    <phoneticPr fontId="1"/>
  </si>
  <si>
    <t>平和</t>
  </si>
  <si>
    <t>一盃口</t>
  </si>
  <si>
    <t>タンヤオ</t>
  </si>
  <si>
    <t>役牌</t>
  </si>
  <si>
    <t>海底摸月</t>
  </si>
  <si>
    <t>河底撈魚</t>
  </si>
  <si>
    <t>嶺上開花</t>
  </si>
  <si>
    <t>槍槓</t>
  </si>
  <si>
    <t>ダブル立直</t>
  </si>
  <si>
    <t>一気通貫</t>
  </si>
  <si>
    <t>チャンタ</t>
  </si>
  <si>
    <t>三色同刻</t>
  </si>
  <si>
    <t>三暗刻</t>
  </si>
  <si>
    <t>三槓子</t>
  </si>
  <si>
    <t>対々和</t>
  </si>
  <si>
    <t>小三元</t>
  </si>
  <si>
    <t>混老頭</t>
  </si>
  <si>
    <t>七対子</t>
  </si>
  <si>
    <t>二盃口</t>
  </si>
  <si>
    <t>純チャン</t>
  </si>
  <si>
    <t>混一色</t>
  </si>
  <si>
    <t>流し満貫</t>
    <rPh sb="0" eb="1">
      <t>ナガ</t>
    </rPh>
    <rPh sb="2" eb="4">
      <t>マンガン</t>
    </rPh>
    <phoneticPr fontId="1"/>
  </si>
  <si>
    <t>清一色</t>
  </si>
  <si>
    <t>国士無双</t>
  </si>
  <si>
    <t>四暗刻</t>
  </si>
  <si>
    <t>字一色</t>
  </si>
  <si>
    <t>大三元</t>
  </si>
  <si>
    <t>大四喜</t>
  </si>
  <si>
    <t>小四喜</t>
  </si>
  <si>
    <t>緑一色</t>
  </si>
  <si>
    <t>清老頭</t>
  </si>
  <si>
    <t>四槓子</t>
  </si>
  <si>
    <t>九蓮宝燈</t>
  </si>
  <si>
    <t>天和</t>
  </si>
  <si>
    <t>地和</t>
  </si>
  <si>
    <t>人和</t>
  </si>
  <si>
    <t>大車輪</t>
  </si>
  <si>
    <t>大竹林</t>
  </si>
  <si>
    <t>大数隣</t>
  </si>
  <si>
    <t>八連荘</t>
  </si>
  <si>
    <t>01</t>
    <phoneticPr fontId="1"/>
  </si>
  <si>
    <t>02</t>
    <phoneticPr fontId="1"/>
  </si>
  <si>
    <t>03</t>
  </si>
  <si>
    <t>04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</si>
  <si>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</si>
  <si>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</si>
  <si>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</si>
  <si>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</si>
  <si>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</si>
  <si>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</si>
  <si>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</si>
  <si>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</si>
  <si>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</si>
  <si>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</si>
  <si>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</si>
  <si>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</si>
  <si>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</si>
  <si>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</si>
  <si>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</si>
  <si>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</si>
  <si>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</si>
  <si>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</si>
  <si>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</si>
  <si>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</si>
  <si>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</si>
  <si>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</si>
  <si>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</si>
  <si>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</si>
  <si>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</si>
  <si>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</si>
  <si>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</si>
  <si>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</si>
  <si>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</si>
  <si>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</si>
  <si>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</si>
  <si>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</si>
  <si>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</si>
  <si>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</si>
  <si>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</si>
  <si>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</si>
  <si>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</si>
  <si>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</si>
  <si>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</si>
  <si>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</si>
  <si>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</si>
  <si>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</si>
  <si>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</si>
  <si>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</si>
  <si>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国士13面</t>
    <phoneticPr fontId="1"/>
  </si>
  <si>
    <t>四暗刻単騎</t>
    <phoneticPr fontId="1"/>
  </si>
  <si>
    <t>純正九蓮</t>
    <phoneticPr fontId="1"/>
  </si>
  <si>
    <t>役</t>
    <rPh sb="0" eb="1">
      <t>ヤク</t>
    </rPh>
    <phoneticPr fontId="1"/>
  </si>
  <si>
    <t>回数</t>
    <rPh sb="0" eb="2">
      <t>カイスウ</t>
    </rPh>
    <phoneticPr fontId="1"/>
  </si>
  <si>
    <t>割合</t>
    <rPh sb="0" eb="2">
      <t>ワリアイ</t>
    </rPh>
    <phoneticPr fontId="1"/>
  </si>
  <si>
    <t>副露</t>
    <rPh sb="0" eb="2">
      <t>フーロ</t>
    </rPh>
    <phoneticPr fontId="1"/>
  </si>
  <si>
    <t>副露率</t>
    <rPh sb="0" eb="2">
      <t>フーロ</t>
    </rPh>
    <rPh sb="2" eb="3">
      <t>リツ</t>
    </rPh>
    <phoneticPr fontId="1"/>
  </si>
  <si>
    <t>スコア</t>
    <phoneticPr fontId="1"/>
  </si>
  <si>
    <t>リーチ</t>
    <phoneticPr fontId="1"/>
  </si>
  <si>
    <t>リーチ率</t>
    <rPh sb="3" eb="4">
      <t>リツ</t>
    </rPh>
    <phoneticPr fontId="1"/>
  </si>
  <si>
    <t>リーチ成功</t>
    <rPh sb="3" eb="5">
      <t>セイコウ</t>
    </rPh>
    <phoneticPr fontId="1"/>
  </si>
  <si>
    <t>副露成功</t>
    <rPh sb="0" eb="2">
      <t>フーロ</t>
    </rPh>
    <rPh sb="2" eb="4">
      <t>セイコウ</t>
    </rPh>
    <phoneticPr fontId="1"/>
  </si>
  <si>
    <t>リーチ成功率</t>
    <rPh sb="3" eb="5">
      <t>セイコウ</t>
    </rPh>
    <rPh sb="5" eb="6">
      <t>リツ</t>
    </rPh>
    <phoneticPr fontId="1"/>
  </si>
  <si>
    <t>だいち</t>
  </si>
  <si>
    <t>Sheet1</t>
  </si>
  <si>
    <t>東1局</t>
    <rPh sb="0" eb="1">
      <t>ヒガシ</t>
    </rPh>
    <rPh sb="2" eb="3">
      <t>キョク</t>
    </rPh>
    <phoneticPr fontId="1"/>
  </si>
  <si>
    <t>東2局</t>
    <rPh sb="0" eb="1">
      <t>ヒガシ</t>
    </rPh>
    <rPh sb="2" eb="3">
      <t>キョク</t>
    </rPh>
    <phoneticPr fontId="1"/>
  </si>
  <si>
    <t>東3局</t>
    <rPh sb="0" eb="1">
      <t>ヒガシ</t>
    </rPh>
    <rPh sb="2" eb="3">
      <t>キョク</t>
    </rPh>
    <phoneticPr fontId="1"/>
  </si>
  <si>
    <t>南1局</t>
    <rPh sb="0" eb="1">
      <t>ミナミ</t>
    </rPh>
    <rPh sb="2" eb="3">
      <t>キョク</t>
    </rPh>
    <phoneticPr fontId="1"/>
  </si>
  <si>
    <t>南2局</t>
    <rPh sb="0" eb="1">
      <t>ミナミ</t>
    </rPh>
    <rPh sb="2" eb="3">
      <t>キョク</t>
    </rPh>
    <phoneticPr fontId="1"/>
  </si>
  <si>
    <t>南3局</t>
    <rPh sb="0" eb="1">
      <t>ミナミ</t>
    </rPh>
    <rPh sb="2" eb="3">
      <t>キョク</t>
    </rPh>
    <phoneticPr fontId="1"/>
  </si>
  <si>
    <t>局</t>
    <rPh sb="0" eb="1">
      <t>キョク</t>
    </rPh>
    <phoneticPr fontId="1"/>
  </si>
  <si>
    <t>平均点数</t>
    <rPh sb="0" eb="2">
      <t>ヘイキン</t>
    </rPh>
    <rPh sb="2" eb="4">
      <t>テンスウ</t>
    </rPh>
    <phoneticPr fontId="1"/>
  </si>
  <si>
    <t>最大ドラ数</t>
    <rPh sb="0" eb="2">
      <t>サイダイ</t>
    </rPh>
    <rPh sb="4" eb="5">
      <t>スウ</t>
    </rPh>
    <phoneticPr fontId="1"/>
  </si>
  <si>
    <t>チョンボ</t>
    <phoneticPr fontId="1"/>
  </si>
  <si>
    <t>ツモ率</t>
    <rPh sb="2" eb="3">
      <t>リツ</t>
    </rPh>
    <phoneticPr fontId="1"/>
  </si>
  <si>
    <t>全体</t>
  </si>
  <si>
    <t>放銃率</t>
    <rPh sb="0" eb="2">
      <t>ホウジュウ</t>
    </rPh>
    <rPh sb="2" eb="3">
      <t>リツ</t>
    </rPh>
    <phoneticPr fontId="1"/>
  </si>
  <si>
    <t>アガリ率</t>
    <rPh sb="3" eb="4">
      <t>リツ</t>
    </rPh>
    <phoneticPr fontId="1"/>
  </si>
  <si>
    <t>副露成功率</t>
    <rPh sb="0" eb="2">
      <t>フーロ</t>
    </rPh>
    <rPh sb="2" eb="4">
      <t>セイコウ</t>
    </rPh>
    <rPh sb="4" eb="5">
      <t>リツ</t>
    </rPh>
    <phoneticPr fontId="1"/>
  </si>
  <si>
    <t>アガリ率</t>
    <rPh sb="3" eb="4">
      <t>リ</t>
    </rPh>
    <phoneticPr fontId="1"/>
  </si>
  <si>
    <t>放銃率</t>
    <rPh sb="0" eb="3">
      <t>ホウジュウリツ</t>
    </rPh>
    <phoneticPr fontId="1"/>
  </si>
  <si>
    <t>副露成功率</t>
    <rPh sb="0" eb="2">
      <t>フーロ</t>
    </rPh>
    <rPh sb="2" eb="5">
      <t>セイコウリツ</t>
    </rPh>
    <phoneticPr fontId="1"/>
  </si>
  <si>
    <t>順位</t>
    <rPh sb="0" eb="2">
      <t>ジュンイ</t>
    </rPh>
    <phoneticPr fontId="1"/>
  </si>
  <si>
    <t>相手</t>
    <rPh sb="0" eb="2">
      <t>アイテ</t>
    </rPh>
    <phoneticPr fontId="1"/>
  </si>
  <si>
    <t>合計</t>
    <rPh sb="0" eb="2">
      <t>ゴウケイ</t>
    </rPh>
    <phoneticPr fontId="1"/>
  </si>
  <si>
    <t>相関</t>
    <rPh sb="0" eb="2">
      <t>ソウカン</t>
    </rPh>
    <phoneticPr fontId="1"/>
  </si>
  <si>
    <t>ラス率</t>
    <rPh sb="2" eb="3">
      <t>リツ</t>
    </rPh>
    <phoneticPr fontId="1"/>
  </si>
  <si>
    <t>起家</t>
    <rPh sb="0" eb="2">
      <t>チーチャ</t>
    </rPh>
    <phoneticPr fontId="1"/>
  </si>
  <si>
    <t>東家</t>
    <rPh sb="0" eb="2">
      <t>トンチャ</t>
    </rPh>
    <phoneticPr fontId="1"/>
  </si>
  <si>
    <t>南家</t>
    <rPh sb="0" eb="2">
      <t>ナンチャ</t>
    </rPh>
    <phoneticPr fontId="1"/>
  </si>
  <si>
    <t>西家</t>
    <rPh sb="0" eb="2">
      <t>シャーチャ</t>
    </rPh>
    <phoneticPr fontId="1"/>
  </si>
  <si>
    <t>コード</t>
    <phoneticPr fontId="1"/>
  </si>
  <si>
    <t>51</t>
    <phoneticPr fontId="1"/>
  </si>
  <si>
    <t>オープン立直</t>
    <rPh sb="4" eb="6">
      <t>リーチ</t>
    </rPh>
    <phoneticPr fontId="1"/>
  </si>
  <si>
    <t>連続アガリ</t>
    <rPh sb="0" eb="2">
      <t>レンゾク</t>
    </rPh>
    <phoneticPr fontId="1"/>
  </si>
  <si>
    <t>連続無放銃</t>
    <rPh sb="0" eb="2">
      <t>レンゾク</t>
    </rPh>
    <rPh sb="2" eb="5">
      <t>ムホウジュウ</t>
    </rPh>
    <phoneticPr fontId="1"/>
  </si>
  <si>
    <t>52</t>
  </si>
  <si>
    <t>赤ドラ</t>
  </si>
  <si>
    <t>53</t>
    <phoneticPr fontId="1"/>
  </si>
  <si>
    <t>十三不塔</t>
    <rPh sb="0" eb="4">
      <t>シー</t>
    </rPh>
    <phoneticPr fontId="1"/>
  </si>
  <si>
    <t>れんたろう</t>
  </si>
  <si>
    <t>平均放銃点</t>
  </si>
  <si>
    <t>門前アガリ点</t>
    <rPh sb="0" eb="2">
      <t>メンゼン</t>
    </rPh>
    <rPh sb="5" eb="6">
      <t>テン</t>
    </rPh>
    <phoneticPr fontId="1"/>
  </si>
  <si>
    <t>副露アガリ点</t>
    <rPh sb="0" eb="2">
      <t>フーロ</t>
    </rPh>
    <rPh sb="5" eb="6">
      <t>テン</t>
    </rPh>
    <phoneticPr fontId="1"/>
  </si>
  <si>
    <t>2翻</t>
    <phoneticPr fontId="1"/>
  </si>
  <si>
    <t>3翻</t>
    <rPh sb="1" eb="2">
      <t>ホン</t>
    </rPh>
    <phoneticPr fontId="1"/>
  </si>
  <si>
    <t>4翻</t>
    <phoneticPr fontId="1"/>
  </si>
  <si>
    <t>5翻</t>
    <rPh sb="1" eb="2">
      <t>ホン</t>
    </rPh>
    <phoneticPr fontId="1"/>
  </si>
  <si>
    <t>1翻</t>
    <rPh sb="1" eb="2">
      <t>ホン</t>
    </rPh>
    <phoneticPr fontId="1"/>
  </si>
  <si>
    <t>6翻</t>
    <phoneticPr fontId="1"/>
  </si>
  <si>
    <t>7翻</t>
    <rPh sb="1" eb="2">
      <t>ホン</t>
    </rPh>
    <phoneticPr fontId="1"/>
  </si>
  <si>
    <t>8翻</t>
    <phoneticPr fontId="1"/>
  </si>
  <si>
    <t>9翻</t>
    <rPh sb="1" eb="2">
      <t>ホン</t>
    </rPh>
    <phoneticPr fontId="1"/>
  </si>
  <si>
    <t>10翻</t>
    <phoneticPr fontId="1"/>
  </si>
  <si>
    <t>11翻</t>
    <rPh sb="2" eb="3">
      <t>ホン</t>
    </rPh>
    <phoneticPr fontId="1"/>
  </si>
  <si>
    <t>12翻</t>
    <phoneticPr fontId="1"/>
  </si>
  <si>
    <t>13翻～</t>
    <rPh sb="2" eb="3">
      <t>ホン</t>
    </rPh>
    <phoneticPr fontId="1"/>
  </si>
  <si>
    <t>最高点</t>
    <rPh sb="0" eb="3">
      <t>サイコウテン</t>
    </rPh>
    <phoneticPr fontId="1"/>
  </si>
  <si>
    <t>副露アガリ</t>
    <rPh sb="0" eb="2">
      <t>フーロ</t>
    </rPh>
    <phoneticPr fontId="1"/>
  </si>
  <si>
    <t>ダマアガリ</t>
    <phoneticPr fontId="1"/>
  </si>
  <si>
    <t>リーチアガリ</t>
    <phoneticPr fontId="1"/>
  </si>
  <si>
    <t>1位スコア</t>
    <rPh sb="1" eb="2">
      <t>イ</t>
    </rPh>
    <phoneticPr fontId="1"/>
  </si>
  <si>
    <t>2位スコア</t>
    <phoneticPr fontId="1"/>
  </si>
  <si>
    <t>3位スコア</t>
    <phoneticPr fontId="1"/>
  </si>
  <si>
    <t>バランス</t>
    <phoneticPr fontId="1"/>
  </si>
  <si>
    <t>Sheet2</t>
  </si>
  <si>
    <t>たかの</t>
  </si>
  <si>
    <t>hh</t>
    <phoneticPr fontId="1"/>
  </si>
  <si>
    <t>2020-09-25@0.xlsm</t>
  </si>
  <si>
    <t>2020-09-27@0.xlsm</t>
  </si>
  <si>
    <t>いちかわ</t>
  </si>
  <si>
    <t>まっつん</t>
  </si>
  <si>
    <t>Sheet3</t>
  </si>
  <si>
    <t>2020-10-01@0.xlsm</t>
  </si>
  <si>
    <t>ただ</t>
  </si>
  <si>
    <t>2020-10-03@0.xlsm</t>
  </si>
  <si>
    <t>のり</t>
  </si>
  <si>
    <t>たか</t>
  </si>
  <si>
    <t>Sheet4</t>
  </si>
  <si>
    <t>2020-10-04@0.xlsm</t>
  </si>
  <si>
    <t>2020-10-05@0.xlsm</t>
  </si>
  <si>
    <t>2020-10-06@0.xlsm</t>
  </si>
  <si>
    <t>2020-10-07@0.xlsm</t>
  </si>
  <si>
    <t>わさび</t>
  </si>
  <si>
    <t>りくと</t>
  </si>
  <si>
    <t>2020-10-08@0.xlsm</t>
  </si>
  <si>
    <t>2020-10-09@0.xlsm</t>
  </si>
  <si>
    <t>レーティング</t>
    <phoneticPr fontId="1"/>
  </si>
  <si>
    <t>R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</si>
</sst>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2">
    <numFmt numFmtId="176" formatCode="0\ &quot;回&quot;"/>
    <numFmt numFmtId="177" formatCode="\+0.0;\-0.0;\±0"/>
    <numFmt numFmtId="178" formatCode="0.00\ &quot;位&quot;"/>
    <numFmt numFmtId="179" formatCode="0.0%"/>
    <numFmt numFmtId="180" formatCode="yyyy/mm/dd\ hh:mm"/>
    <numFmt numFmtId="181" formatCode="0\ &quot;個&quot;"/>
    <numFmt numFmtId="182" formatCode="0&quot;位&quot;"/>
    <numFmt numFmtId="183" formatCode="0\ &quot;位&quot;"/>
    <numFmt numFmtId="184" formatCode="\+0.00;\-0.00;\±0"/>
    <numFmt numFmtId="185" formatCode="\+0;\-0;\±0"/>
    <numFmt numFmtId="186" formatCode="0.0000"/>
    <numFmt numFmtId="187" formatCode="0.0"/>
  </numFmts>
  <fonts count="6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theme="0"/>
      <name val="游ゴシック"/>
      <family val="2"/>
      <charset val="128"/>
      <scheme val="minor"/>
    </font>
    <font>
      <sz val="11"/>
      <color theme="0"/>
      <name val="游ゴシック"/>
      <family val="3"/>
      <charset val="128"/>
      <scheme val="minor"/>
    </font>
    <font>
      <sz val="11"/>
      <name val="游ゴシック"/>
      <family val="3"/>
      <charset val="128"/>
      <scheme val="minor"/>
    </font>
    <font>
      <sz val="11"/>
      <color rgb="FF000000"/>
      <name val="游ゴシック"/>
      <family val="3"/>
      <charset val="128"/>
    </font>
  </fonts>
  <fills count="2">
    <fill>
      <patternFill patternType="none"/>
    </fill>
    <fill>
      <patternFill patternType="gray125"/>
    </fill>
  </fills>
  <borders count="57">
    <border>
      <left/>
      <right/>
      <top/>
      <bottom/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/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/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indexed="64"/>
      </bottom>
      <diagonal/>
    </border>
    <border>
      <left style="double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double">
        <color auto="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double">
        <color auto="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 diagonalDown="1">
      <left style="double">
        <color auto="1"/>
      </left>
      <right/>
      <top style="thin">
        <color auto="1"/>
      </top>
      <bottom style="thin">
        <color auto="1"/>
      </bottom>
      <diagonal style="thin">
        <color auto="1"/>
      </diagonal>
    </border>
    <border diagonalDown="1">
      <left/>
      <right style="double">
        <color auto="1"/>
      </right>
      <top style="thin">
        <color auto="1"/>
      </top>
      <bottom style="thin">
        <color auto="1"/>
      </bottom>
      <diagonal style="thin">
        <color auto="1"/>
      </diagonal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 style="thin">
        <color theme="0" tint="-0.1499679555650502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1499679555650502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theme="0" tint="-0.24994659260841701"/>
      </left>
      <right/>
      <top style="thin">
        <color theme="0" tint="-0.24994659260841701"/>
      </top>
      <bottom/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theme="0" tint="-0.24994659260841701"/>
      </bottom>
      <diagonal/>
    </border>
  </borders>
  <cellStyleXfs count="1">
    <xf numFmtId="0" fontId="0" fillId="0" borderId="0">
      <alignment vertical="center"/>
    </xf>
  </cellStyleXfs>
  <cellXfs count="168">
    <xf numFmtId="0" fontId="0" fillId="0" borderId="0" xfId="0">
      <alignment vertical="center"/>
    </xf>
    <xf numFmtId="14" fontId="0" fillId="0" borderId="0" xfId="0" applyNumberFormat="1" applyBorder="1" applyAlignment="1">
      <alignment horizontal="left" vertical="center"/>
    </xf>
    <xf numFmtId="0" fontId="0" fillId="0" borderId="0" xfId="0" applyBorder="1" applyAlignment="1">
      <alignment horizontal="left" vertical="center"/>
    </xf>
    <xf numFmtId="180" fontId="0" fillId="0" borderId="0" xfId="0" applyNumberFormat="1" applyBorder="1" applyAlignment="1">
      <alignment horizontal="left" vertical="center"/>
    </xf>
    <xf numFmtId="0" fontId="0" fillId="0" borderId="10" xfId="0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179" fontId="0" fillId="0" borderId="6" xfId="0" applyNumberFormat="1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179" fontId="0" fillId="0" borderId="3" xfId="0" applyNumberFormat="1" applyBorder="1" applyAlignment="1">
      <alignment horizontal="center" vertical="center" shrinkToFit="1"/>
    </xf>
    <xf numFmtId="179" fontId="0" fillId="0" borderId="7" xfId="0" applyNumberFormat="1" applyBorder="1" applyAlignment="1">
      <alignment horizontal="center" vertical="center" shrinkToFit="1"/>
    </xf>
    <xf numFmtId="1" fontId="2" fillId="0" borderId="3" xfId="0" applyNumberFormat="1" applyFont="1" applyBorder="1" applyAlignment="1">
      <alignment horizontal="center" vertical="center" shrinkToFit="1"/>
    </xf>
    <xf numFmtId="179" fontId="0" fillId="0" borderId="5" xfId="0" applyNumberFormat="1" applyBorder="1" applyAlignment="1">
      <alignment horizontal="center" vertical="center" shrinkToFit="1"/>
    </xf>
    <xf numFmtId="179" fontId="0" fillId="0" borderId="12" xfId="0" applyNumberFormat="1" applyBorder="1" applyAlignment="1">
      <alignment horizontal="center" vertical="center" shrinkToFit="1"/>
    </xf>
    <xf numFmtId="176" fontId="0" fillId="0" borderId="9" xfId="0" applyNumberFormat="1" applyBorder="1" applyAlignment="1">
      <alignment horizontal="center" vertical="center" shrinkToFit="1"/>
    </xf>
    <xf numFmtId="176" fontId="0" fillId="0" borderId="8" xfId="0" applyNumberFormat="1" applyBorder="1" applyAlignment="1">
      <alignment horizontal="center" vertical="center" shrinkToFit="1"/>
    </xf>
    <xf numFmtId="176" fontId="0" fillId="0" borderId="16" xfId="0" applyNumberFormat="1" applyBorder="1" applyAlignment="1">
      <alignment horizontal="center" vertical="center" shrinkToFit="1"/>
    </xf>
    <xf numFmtId="176" fontId="0" fillId="0" borderId="14" xfId="0" applyNumberFormat="1" applyBorder="1" applyAlignment="1">
      <alignment horizontal="center" vertical="center" shrinkToFit="1"/>
    </xf>
    <xf numFmtId="176" fontId="0" fillId="0" borderId="17" xfId="0" applyNumberFormat="1" applyBorder="1" applyAlignment="1">
      <alignment horizontal="center" vertical="center" shrinkToFit="1"/>
    </xf>
    <xf numFmtId="1" fontId="0" fillId="0" borderId="8" xfId="0" applyNumberFormat="1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6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5" xfId="0" applyBorder="1" applyAlignment="1">
      <alignment horizontal="center" vertical="center" shrinkToFit="1"/>
    </xf>
    <xf numFmtId="49" fontId="3" fillId="0" borderId="1" xfId="0" applyNumberFormat="1" applyFont="1" applyBorder="1" applyAlignment="1">
      <alignment horizontal="center" vertical="center" shrinkToFit="1"/>
    </xf>
    <xf numFmtId="49" fontId="3" fillId="0" borderId="2" xfId="0" applyNumberFormat="1" applyFont="1" applyBorder="1" applyAlignment="1">
      <alignment horizontal="center" vertical="center" shrinkToFit="1"/>
    </xf>
    <xf numFmtId="49" fontId="3" fillId="0" borderId="4" xfId="0" applyNumberFormat="1" applyFont="1" applyBorder="1" applyAlignment="1">
      <alignment horizontal="center" vertical="center" shrinkToFit="1"/>
    </xf>
    <xf numFmtId="176" fontId="0" fillId="0" borderId="4" xfId="0" applyNumberFormat="1" applyBorder="1" applyAlignment="1">
      <alignment horizontal="center" vertical="center" shrinkToFit="1"/>
    </xf>
    <xf numFmtId="177" fontId="0" fillId="0" borderId="0" xfId="0" applyNumberFormat="1" applyAlignment="1">
      <alignment horizontal="center" vertical="center" shrinkToFit="1"/>
    </xf>
    <xf numFmtId="179" fontId="0" fillId="0" borderId="0" xfId="0" applyNumberFormat="1" applyAlignment="1">
      <alignment horizontal="center" vertical="center" shrinkToFit="1"/>
    </xf>
    <xf numFmtId="1" fontId="0" fillId="0" borderId="0" xfId="0" applyNumberFormat="1" applyAlignment="1">
      <alignment horizontal="center" vertical="center" shrinkToFit="1"/>
    </xf>
    <xf numFmtId="176" fontId="0" fillId="0" borderId="0" xfId="0" applyNumberFormat="1" applyAlignment="1">
      <alignment horizontal="center" vertical="center" shrinkToFit="1"/>
    </xf>
    <xf numFmtId="0" fontId="0" fillId="0" borderId="0" xfId="0" applyNumberFormat="1" applyAlignment="1">
      <alignment horizontal="center" vertical="center" shrinkToFit="1"/>
    </xf>
    <xf numFmtId="178" fontId="0" fillId="0" borderId="0" xfId="0" applyNumberFormat="1" applyAlignment="1">
      <alignment horizontal="center" vertical="center" shrinkToFit="1"/>
    </xf>
    <xf numFmtId="182" fontId="0" fillId="0" borderId="28" xfId="0" applyNumberFormat="1" applyBorder="1" applyAlignment="1">
      <alignment horizontal="center" vertical="center" shrinkToFit="1"/>
    </xf>
    <xf numFmtId="0" fontId="0" fillId="0" borderId="0" xfId="0" applyBorder="1">
      <alignment vertical="center"/>
    </xf>
    <xf numFmtId="182" fontId="0" fillId="0" borderId="31" xfId="0" applyNumberFormat="1" applyBorder="1" applyAlignment="1">
      <alignment horizontal="center" vertical="center" shrinkToFit="1"/>
    </xf>
    <xf numFmtId="0" fontId="0" fillId="0" borderId="9" xfId="0" applyBorder="1" applyAlignment="1">
      <alignment horizontal="center" vertical="center" shrinkToFit="1"/>
    </xf>
    <xf numFmtId="177" fontId="0" fillId="0" borderId="32" xfId="0" applyNumberFormat="1" applyBorder="1" applyAlignment="1">
      <alignment horizontal="center" vertical="center" shrinkToFit="1"/>
    </xf>
    <xf numFmtId="0" fontId="0" fillId="0" borderId="33" xfId="0" applyBorder="1" applyAlignment="1">
      <alignment horizontal="center" vertical="center" shrinkToFit="1"/>
    </xf>
    <xf numFmtId="178" fontId="0" fillId="0" borderId="32" xfId="0" applyNumberFormat="1" applyBorder="1" applyAlignment="1">
      <alignment horizontal="center" vertical="center" shrinkToFit="1"/>
    </xf>
    <xf numFmtId="179" fontId="0" fillId="0" borderId="32" xfId="0" applyNumberFormat="1" applyBorder="1" applyAlignment="1">
      <alignment horizontal="center" vertical="center" shrinkToFit="1"/>
    </xf>
    <xf numFmtId="179" fontId="0" fillId="0" borderId="32" xfId="0" applyNumberFormat="1" applyBorder="1" applyAlignment="1">
      <alignment horizontal="center" vertical="center"/>
    </xf>
    <xf numFmtId="1" fontId="0" fillId="0" borderId="32" xfId="0" applyNumberFormat="1" applyBorder="1" applyAlignment="1">
      <alignment horizontal="center" vertical="center" shrinkToFit="1"/>
    </xf>
    <xf numFmtId="182" fontId="0" fillId="0" borderId="34" xfId="0" applyNumberFormat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177" fontId="0" fillId="0" borderId="35" xfId="0" applyNumberFormat="1" applyBorder="1" applyAlignment="1">
      <alignment horizontal="center" vertical="center" shrinkToFit="1"/>
    </xf>
    <xf numFmtId="0" fontId="0" fillId="0" borderId="36" xfId="0" applyBorder="1" applyAlignment="1">
      <alignment horizontal="center" vertical="center" shrinkToFit="1"/>
    </xf>
    <xf numFmtId="178" fontId="0" fillId="0" borderId="35" xfId="0" applyNumberFormat="1" applyBorder="1" applyAlignment="1">
      <alignment horizontal="center" vertical="center" shrinkToFit="1"/>
    </xf>
    <xf numFmtId="179" fontId="0" fillId="0" borderId="35" xfId="0" applyNumberFormat="1" applyBorder="1" applyAlignment="1">
      <alignment horizontal="center" vertical="center" shrinkToFit="1"/>
    </xf>
    <xf numFmtId="179" fontId="0" fillId="0" borderId="35" xfId="0" applyNumberFormat="1" applyBorder="1" applyAlignment="1">
      <alignment horizontal="center" vertical="center"/>
    </xf>
    <xf numFmtId="1" fontId="0" fillId="0" borderId="35" xfId="0" applyNumberFormat="1" applyBorder="1" applyAlignment="1">
      <alignment horizontal="center" vertical="center" shrinkToFit="1"/>
    </xf>
    <xf numFmtId="0" fontId="0" fillId="0" borderId="37" xfId="0" applyBorder="1" applyAlignment="1">
      <alignment horizontal="center" vertical="center" shrinkToFit="1"/>
    </xf>
    <xf numFmtId="1" fontId="0" fillId="0" borderId="32" xfId="0" applyNumberFormat="1" applyBorder="1" applyAlignment="1">
      <alignment horizontal="center" vertical="center"/>
    </xf>
    <xf numFmtId="1" fontId="0" fillId="0" borderId="35" xfId="0" applyNumberFormat="1" applyBorder="1" applyAlignment="1">
      <alignment horizontal="center" vertical="center"/>
    </xf>
    <xf numFmtId="183" fontId="0" fillId="0" borderId="6" xfId="0" applyNumberFormat="1" applyBorder="1" applyAlignment="1">
      <alignment horizontal="center" vertical="center" shrinkToFit="1"/>
    </xf>
    <xf numFmtId="183" fontId="0" fillId="0" borderId="3" xfId="0" applyNumberFormat="1" applyBorder="1" applyAlignment="1">
      <alignment horizontal="center" vertical="center" shrinkToFit="1"/>
    </xf>
    <xf numFmtId="183" fontId="0" fillId="0" borderId="5" xfId="0" applyNumberFormat="1" applyBorder="1" applyAlignment="1">
      <alignment horizontal="center" vertical="center" shrinkToFit="1"/>
    </xf>
    <xf numFmtId="184" fontId="0" fillId="0" borderId="32" xfId="0" applyNumberFormat="1" applyBorder="1" applyAlignment="1">
      <alignment horizontal="center" vertical="center" shrinkToFit="1"/>
    </xf>
    <xf numFmtId="184" fontId="0" fillId="0" borderId="35" xfId="0" applyNumberFormat="1" applyBorder="1" applyAlignment="1">
      <alignment horizontal="center" vertical="center" shrinkToFit="1"/>
    </xf>
    <xf numFmtId="177" fontId="0" fillId="0" borderId="6" xfId="0" applyNumberFormat="1" applyBorder="1" applyAlignment="1">
      <alignment horizontal="center" vertical="center" shrinkToFit="1"/>
    </xf>
    <xf numFmtId="177" fontId="0" fillId="0" borderId="3" xfId="0" applyNumberFormat="1" applyBorder="1" applyAlignment="1">
      <alignment horizontal="center" vertical="center" shrinkToFit="1"/>
    </xf>
    <xf numFmtId="0" fontId="2" fillId="0" borderId="48" xfId="0" applyFont="1" applyBorder="1" applyAlignment="1">
      <alignment horizontal="center" vertical="center" shrinkToFit="1"/>
    </xf>
    <xf numFmtId="1" fontId="2" fillId="0" borderId="49" xfId="0" applyNumberFormat="1" applyFont="1" applyBorder="1" applyAlignment="1">
      <alignment horizontal="center" vertical="center" shrinkToFit="1"/>
    </xf>
    <xf numFmtId="1" fontId="2" fillId="0" borderId="50" xfId="0" applyNumberFormat="1" applyFont="1" applyBorder="1" applyAlignment="1">
      <alignment horizontal="center" vertical="center" shrinkToFit="1"/>
    </xf>
    <xf numFmtId="1" fontId="2" fillId="0" borderId="51" xfId="0" applyNumberFormat="1" applyFont="1" applyBorder="1" applyAlignment="1">
      <alignment horizontal="center" vertical="center" shrinkToFit="1"/>
    </xf>
    <xf numFmtId="0" fontId="3" fillId="0" borderId="48" xfId="0" applyFont="1" applyBorder="1" applyAlignment="1">
      <alignment horizontal="center" vertical="center" shrinkToFit="1"/>
    </xf>
    <xf numFmtId="0" fontId="3" fillId="0" borderId="49" xfId="0" applyFont="1" applyBorder="1" applyAlignment="1">
      <alignment horizontal="center" vertical="center" shrinkToFit="1"/>
    </xf>
    <xf numFmtId="0" fontId="3" fillId="0" borderId="50" xfId="0" applyFont="1" applyBorder="1" applyAlignment="1">
      <alignment horizontal="center" vertical="center" shrinkToFit="1"/>
    </xf>
    <xf numFmtId="0" fontId="3" fillId="0" borderId="51" xfId="0" applyFont="1" applyBorder="1" applyAlignment="1">
      <alignment horizontal="center" vertical="center" shrinkToFit="1"/>
    </xf>
    <xf numFmtId="1" fontId="2" fillId="0" borderId="40" xfId="0" applyNumberFormat="1" applyFont="1" applyBorder="1" applyAlignment="1">
      <alignment horizontal="center" vertical="center" shrinkToFit="1"/>
    </xf>
    <xf numFmtId="0" fontId="0" fillId="0" borderId="40" xfId="0" applyBorder="1" applyAlignment="1">
      <alignment vertical="center" shrinkToFit="1"/>
    </xf>
    <xf numFmtId="0" fontId="0" fillId="0" borderId="52" xfId="0" applyBorder="1" applyAlignment="1">
      <alignment horizontal="center" vertical="center" shrinkToFit="1"/>
    </xf>
    <xf numFmtId="0" fontId="0" fillId="0" borderId="53" xfId="0" applyBorder="1" applyAlignment="1">
      <alignment horizontal="center" vertical="center" shrinkToFit="1"/>
    </xf>
    <xf numFmtId="0" fontId="0" fillId="0" borderId="25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176" fontId="4" fillId="0" borderId="41" xfId="0" applyNumberFormat="1" applyFont="1" applyBorder="1" applyAlignment="1">
      <alignment horizontal="center" vertical="center" shrinkToFit="1"/>
    </xf>
    <xf numFmtId="176" fontId="4" fillId="0" borderId="42" xfId="0" applyNumberFormat="1" applyFont="1" applyBorder="1" applyAlignment="1">
      <alignment horizontal="center" vertical="center" shrinkToFit="1"/>
    </xf>
    <xf numFmtId="176" fontId="4" fillId="0" borderId="43" xfId="0" applyNumberFormat="1" applyFont="1" applyBorder="1" applyAlignment="1">
      <alignment horizontal="center" vertical="center" shrinkToFit="1"/>
    </xf>
    <xf numFmtId="185" fontId="0" fillId="0" borderId="1" xfId="0" applyNumberFormat="1" applyBorder="1" applyAlignment="1">
      <alignment horizontal="center" vertical="center" shrinkToFit="1"/>
    </xf>
    <xf numFmtId="185" fontId="0" fillId="0" borderId="2" xfId="0" applyNumberFormat="1" applyBorder="1" applyAlignment="1">
      <alignment horizontal="center" vertical="center" shrinkToFit="1"/>
    </xf>
    <xf numFmtId="185" fontId="0" fillId="0" borderId="4" xfId="0" applyNumberFormat="1" applyBorder="1" applyAlignment="1">
      <alignment horizontal="center" vertical="center" shrinkToFit="1"/>
    </xf>
    <xf numFmtId="184" fontId="0" fillId="0" borderId="1" xfId="0" applyNumberFormat="1" applyBorder="1" applyAlignment="1">
      <alignment horizontal="center" vertical="center" shrinkToFit="1"/>
    </xf>
    <xf numFmtId="184" fontId="0" fillId="0" borderId="2" xfId="0" applyNumberFormat="1" applyBorder="1" applyAlignment="1">
      <alignment horizontal="center" vertical="center" shrinkToFit="1"/>
    </xf>
    <xf numFmtId="184" fontId="0" fillId="0" borderId="4" xfId="0" applyNumberFormat="1" applyBorder="1" applyAlignment="1">
      <alignment horizontal="center" vertical="center" shrinkToFit="1"/>
    </xf>
    <xf numFmtId="185" fontId="0" fillId="0" borderId="40" xfId="0" applyNumberFormat="1" applyBorder="1" applyAlignment="1">
      <alignment horizontal="center" vertical="center" shrinkToFit="1"/>
    </xf>
    <xf numFmtId="0" fontId="0" fillId="0" borderId="44" xfId="0" applyBorder="1" applyAlignment="1">
      <alignment horizontal="center" vertical="center" shrinkToFit="1"/>
    </xf>
    <xf numFmtId="10" fontId="0" fillId="0" borderId="45" xfId="0" applyNumberFormat="1" applyBorder="1" applyAlignment="1">
      <alignment horizontal="center" vertical="center" shrinkToFit="1"/>
    </xf>
    <xf numFmtId="10" fontId="0" fillId="0" borderId="46" xfId="0" applyNumberFormat="1" applyBorder="1" applyAlignment="1">
      <alignment horizontal="center" vertical="center" shrinkToFit="1"/>
    </xf>
    <xf numFmtId="10" fontId="0" fillId="0" borderId="47" xfId="0" applyNumberFormat="1" applyBorder="1" applyAlignment="1">
      <alignment horizontal="center" vertical="center" shrinkToFit="1"/>
    </xf>
    <xf numFmtId="176" fontId="2" fillId="0" borderId="3" xfId="0" applyNumberFormat="1" applyFont="1" applyBorder="1" applyAlignment="1">
      <alignment horizontal="center" vertical="center" shrinkToFit="1"/>
    </xf>
    <xf numFmtId="49" fontId="3" fillId="0" borderId="54" xfId="0" applyNumberFormat="1" applyFont="1" applyBorder="1" applyAlignment="1">
      <alignment horizontal="center" vertical="center" shrinkToFit="1"/>
    </xf>
    <xf numFmtId="0" fontId="0" fillId="0" borderId="7" xfId="0" applyBorder="1" applyAlignment="1">
      <alignment horizontal="center" vertical="center" shrinkToFit="1"/>
    </xf>
    <xf numFmtId="10" fontId="0" fillId="0" borderId="55" xfId="0" applyNumberFormat="1" applyBorder="1" applyAlignment="1">
      <alignment horizontal="center" vertical="center" shrinkToFit="1"/>
    </xf>
    <xf numFmtId="183" fontId="0" fillId="0" borderId="7" xfId="0" applyNumberFormat="1" applyBorder="1" applyAlignment="1">
      <alignment horizontal="center" vertical="center" shrinkToFit="1"/>
    </xf>
    <xf numFmtId="1" fontId="0" fillId="0" borderId="16" xfId="0" applyNumberFormat="1" applyBorder="1" applyAlignment="1">
      <alignment horizontal="center" vertical="center" shrinkToFit="1"/>
    </xf>
    <xf numFmtId="1" fontId="2" fillId="0" borderId="7" xfId="0" applyNumberFormat="1" applyFont="1" applyBorder="1" applyAlignment="1">
      <alignment horizontal="center" vertical="center" shrinkToFit="1"/>
    </xf>
    <xf numFmtId="176" fontId="0" fillId="0" borderId="27" xfId="0" applyNumberFormat="1" applyBorder="1" applyAlignment="1">
      <alignment horizontal="center" vertical="center" shrinkToFit="1"/>
    </xf>
    <xf numFmtId="179" fontId="0" fillId="0" borderId="56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0" fontId="0" fillId="0" borderId="0" xfId="0" applyAlignment="1">
      <alignment vertical="center" shrinkToFit="1"/>
    </xf>
    <xf numFmtId="0" fontId="3" fillId="0" borderId="10" xfId="0" applyFont="1" applyBorder="1" applyAlignment="1">
      <alignment horizontal="center" vertical="center" shrinkToFit="1"/>
    </xf>
    <xf numFmtId="187" fontId="0" fillId="0" borderId="0" xfId="0" applyNumberFormat="1" applyAlignment="1">
      <alignment vertical="center" shrinkToFit="1"/>
    </xf>
    <xf numFmtId="0" fontId="4" fillId="0" borderId="40" xfId="0" applyFont="1" applyBorder="1" applyAlignment="1">
      <alignment horizontal="center" vertical="center" shrinkToFit="1"/>
    </xf>
    <xf numFmtId="0" fontId="0" fillId="0" borderId="0" xfId="0" applyAlignment="1">
      <alignment horizontal="center" vertical="center" shrinkToFit="1"/>
    </xf>
    <xf numFmtId="176" fontId="4" fillId="0" borderId="0" xfId="0" applyNumberFormat="1" applyFont="1" applyAlignment="1">
      <alignment horizontal="center" vertical="center" shrinkToFit="1"/>
    </xf>
    <xf numFmtId="184" fontId="0" fillId="0" borderId="16" xfId="0" applyNumberFormat="1" applyBorder="1" applyAlignment="1">
      <alignment horizontal="center" vertical="center" shrinkToFit="1"/>
    </xf>
    <xf numFmtId="184" fontId="2" fillId="0" borderId="7" xfId="0" applyNumberFormat="1" applyFont="1" applyBorder="1" applyAlignment="1">
      <alignment horizontal="center" vertical="center" shrinkToFit="1"/>
    </xf>
    <xf numFmtId="0" fontId="4" fillId="0" borderId="0" xfId="0" applyFont="1" applyAlignment="1">
      <alignment vertical="center" shrinkToFit="1"/>
    </xf>
    <xf numFmtId="49" fontId="4" fillId="0" borderId="0" xfId="0" applyNumberFormat="1" applyFont="1" applyAlignment="1">
      <alignment horizontal="center" vertical="center" shrinkToFit="1"/>
    </xf>
    <xf numFmtId="176" fontId="0" fillId="0" borderId="32" xfId="0" applyNumberFormat="1" applyBorder="1" applyAlignment="1">
      <alignment horizontal="center" vertical="center" shrinkToFit="1"/>
    </xf>
    <xf numFmtId="176" fontId="0" fillId="0" borderId="35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184" fontId="0" fillId="0" borderId="25" xfId="0" applyNumberFormat="1" applyBorder="1" applyAlignment="1">
      <alignment horizontal="center" vertical="center" shrinkToFit="1"/>
    </xf>
    <xf numFmtId="184" fontId="0" fillId="0" borderId="26" xfId="0" applyNumberFormat="1" applyBorder="1" applyAlignment="1">
      <alignment horizontal="center" vertical="center" shrinkToFit="1"/>
    </xf>
    <xf numFmtId="181" fontId="0" fillId="0" borderId="23" xfId="0" applyNumberFormat="1" applyBorder="1" applyAlignment="1">
      <alignment horizontal="center" vertical="center" shrinkToFit="1"/>
    </xf>
    <xf numFmtId="181" fontId="0" fillId="0" borderId="24" xfId="0" applyNumberFormat="1" applyBorder="1" applyAlignment="1">
      <alignment horizontal="center" vertical="center" shrinkToFit="1"/>
    </xf>
    <xf numFmtId="1" fontId="0" fillId="0" borderId="25" xfId="0" applyNumberFormat="1" applyBorder="1" applyAlignment="1">
      <alignment horizontal="center" vertical="center" shrinkToFit="1"/>
    </xf>
    <xf numFmtId="1" fontId="0" fillId="0" borderId="26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4" xfId="0" applyNumberFormat="1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176" fontId="0" fillId="0" borderId="26" xfId="0" applyNumberFormat="1" applyBorder="1" applyAlignment="1">
      <alignment horizontal="center" vertical="center" shrinkToFit="1"/>
    </xf>
    <xf numFmtId="177" fontId="0" fillId="0" borderId="25" xfId="0" applyNumberFormat="1" applyBorder="1" applyAlignment="1">
      <alignment horizontal="center" vertical="center" shrinkToFit="1"/>
    </xf>
    <xf numFmtId="177" fontId="0" fillId="0" borderId="26" xfId="0" applyNumberFormat="1" applyBorder="1" applyAlignment="1">
      <alignment horizontal="center" vertical="center" shrinkToFit="1"/>
    </xf>
    <xf numFmtId="178" fontId="0" fillId="0" borderId="25" xfId="0" applyNumberFormat="1" applyBorder="1" applyAlignment="1">
      <alignment horizontal="center" vertical="center" shrinkToFit="1"/>
    </xf>
    <xf numFmtId="178" fontId="0" fillId="0" borderId="26" xfId="0" applyNumberFormat="1" applyBorder="1" applyAlignment="1">
      <alignment horizontal="center" vertical="center" shrinkToFit="1"/>
    </xf>
    <xf numFmtId="0" fontId="0" fillId="0" borderId="29" xfId="0" applyNumberFormat="1" applyBorder="1" applyAlignment="1">
      <alignment horizontal="center" vertical="center" shrinkToFit="1"/>
    </xf>
    <xf numFmtId="0" fontId="0" fillId="0" borderId="30" xfId="0" applyNumberFormat="1" applyBorder="1" applyAlignment="1">
      <alignment horizontal="center" vertical="center" shrinkToFit="1"/>
    </xf>
    <xf numFmtId="186" fontId="0" fillId="0" borderId="29" xfId="0" applyNumberFormat="1" applyBorder="1" applyAlignment="1">
      <alignment horizontal="center" vertical="center" shrinkToFit="1"/>
    </xf>
    <xf numFmtId="186" fontId="0" fillId="0" borderId="30" xfId="0" applyNumberFormat="1" applyBorder="1" applyAlignment="1">
      <alignment horizontal="center" vertical="center" shrinkToFit="1"/>
    </xf>
    <xf numFmtId="0" fontId="0" fillId="0" borderId="29" xfId="0" applyBorder="1" applyAlignment="1">
      <alignment horizontal="center" vertical="center" shrinkToFit="1"/>
    </xf>
    <xf numFmtId="0" fontId="0" fillId="0" borderId="30" xfId="0" applyBorder="1" applyAlignment="1">
      <alignment horizontal="center" vertical="center" shrinkToFit="1"/>
    </xf>
    <xf numFmtId="186" fontId="0" fillId="0" borderId="38" xfId="0" applyNumberFormat="1" applyBorder="1" applyAlignment="1">
      <alignment horizontal="center" vertical="center" shrinkToFit="1"/>
    </xf>
    <xf numFmtId="186" fontId="0" fillId="0" borderId="39" xfId="0" applyNumberFormat="1" applyBorder="1" applyAlignment="1">
      <alignment horizontal="center" vertical="center" shrinkToFit="1"/>
    </xf>
    <xf numFmtId="1" fontId="0" fillId="0" borderId="11" xfId="0" applyNumberFormat="1" applyBorder="1" applyAlignment="1">
      <alignment horizontal="center" vertical="center" shrinkToFit="1"/>
    </xf>
    <xf numFmtId="1" fontId="0" fillId="0" borderId="6" xfId="0" applyNumberFormat="1" applyBorder="1" applyAlignment="1">
      <alignment horizontal="center" vertical="center" shrinkToFit="1"/>
    </xf>
    <xf numFmtId="1" fontId="0" fillId="0" borderId="3" xfId="0" applyNumberFormat="1" applyBorder="1" applyAlignment="1">
      <alignment horizontal="center" vertical="center" shrinkToFit="1"/>
    </xf>
    <xf numFmtId="177" fontId="0" fillId="0" borderId="1" xfId="0" applyNumberFormat="1" applyBorder="1" applyAlignment="1">
      <alignment horizontal="center" vertical="center" shrinkToFit="1"/>
    </xf>
    <xf numFmtId="177" fontId="0" fillId="0" borderId="2" xfId="0" applyNumberFormat="1" applyBorder="1" applyAlignment="1">
      <alignment horizontal="center" vertical="center" shrinkToFit="1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chartsheet" Target="chartsheets/sheet12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chartsheet" Target="chartsheets/sheet7.xml"/><Relationship Id="rId42" Type="http://schemas.openxmlformats.org/officeDocument/2006/relationships/chartsheet" Target="chartsheets/sheet15.xml"/><Relationship Id="rId47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chartsheet" Target="chartsheets/sheet6.xml"/><Relationship Id="rId38" Type="http://schemas.openxmlformats.org/officeDocument/2006/relationships/chartsheet" Target="chartsheets/sheet11.xml"/><Relationship Id="rId46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chartsheet" Target="chartsheets/sheet2.xml"/><Relationship Id="rId41" Type="http://schemas.openxmlformats.org/officeDocument/2006/relationships/chartsheet" Target="chartsheets/sheet14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chartsheet" Target="chartsheets/sheet5.xml"/><Relationship Id="rId37" Type="http://schemas.openxmlformats.org/officeDocument/2006/relationships/chartsheet" Target="chartsheets/sheet10.xml"/><Relationship Id="rId40" Type="http://schemas.openxmlformats.org/officeDocument/2006/relationships/chartsheet" Target="chartsheets/sheet13.xml"/><Relationship Id="rId45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chartsheet" Target="chartsheets/sheet1.xml"/><Relationship Id="rId36" Type="http://schemas.openxmlformats.org/officeDocument/2006/relationships/chartsheet" Target="chartsheets/sheet9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chartsheet" Target="chartsheets/sheet4.xml"/><Relationship Id="rId44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chartsheet" Target="chartsheets/sheet3.xml"/><Relationship Id="rId35" Type="http://schemas.openxmlformats.org/officeDocument/2006/relationships/chartsheet" Target="chartsheets/sheet8.xml"/><Relationship Id="rId43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36.xml.rels><?xml version="1.0" encoding="UTF-8" standalone="yes"?>
<Relationships xmlns="http://schemas.openxmlformats.org/package/2006/relationships"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37.xml"/><Relationship Id="rId1" Type="http://schemas.microsoft.com/office/2011/relationships/chartStyle" Target="style37.xml"/></Relationships>
</file>

<file path=xl/charts/_rels/chart38.xml.rels><?xml version="1.0" encoding="UTF-8" standalone="yes"?>
<Relationships xmlns="http://schemas.openxmlformats.org/package/2006/relationships"><Relationship Id="rId2" Type="http://schemas.microsoft.com/office/2011/relationships/chartColorStyle" Target="colors38.xml"/><Relationship Id="rId1" Type="http://schemas.microsoft.com/office/2011/relationships/chartStyle" Target="style38.xml"/></Relationships>
</file>

<file path=xl/charts/_rels/chart39.xml.rels><?xml version="1.0" encoding="UTF-8" standalone="yes"?>
<Relationships xmlns="http://schemas.openxmlformats.org/package/2006/relationships"><Relationship Id="rId2" Type="http://schemas.microsoft.com/office/2011/relationships/chartColorStyle" Target="colors39.xml"/><Relationship Id="rId1" Type="http://schemas.microsoft.com/office/2011/relationships/chartStyle" Target="style39.xml"/></Relationships>
</file>

<file path=xl/charts/_rels/chart40.xml.rels><?xml version="1.0" encoding="UTF-8" standalone="yes"?>
<Relationships xmlns="http://schemas.openxmlformats.org/package/2006/relationships"><Relationship Id="rId2" Type="http://schemas.microsoft.com/office/2011/relationships/chartColorStyle" Target="colors40.xml"/><Relationship Id="rId1" Type="http://schemas.microsoft.com/office/2011/relationships/chartStyle" Target="style40.xml"/></Relationships>
</file>

<file path=xl/charts/_rels/chart41.xml.rels><?xml version="1.0" encoding="UTF-8" standalone="yes"?>
<Relationships xmlns="http://schemas.openxmlformats.org/package/2006/relationships"><Relationship Id="rId2" Type="http://schemas.microsoft.com/office/2011/relationships/chartColorStyle" Target="colors41.xml"/><Relationship Id="rId1" Type="http://schemas.microsoft.com/office/2011/relationships/chartStyle" Target="style41.xml"/></Relationships>
</file>

<file path=xl/charts/_rels/chart42.xml.rels><?xml version="1.0" encoding="UTF-8" standalone="yes"?>
<Relationships xmlns="http://schemas.openxmlformats.org/package/2006/relationships"><Relationship Id="rId2" Type="http://schemas.microsoft.com/office/2011/relationships/chartColorStyle" Target="colors42.xml"/><Relationship Id="rId1" Type="http://schemas.microsoft.com/office/2011/relationships/chartStyle" Target="style42.xml"/></Relationships>
</file>

<file path=xl/charts/_rels/chart43.xml.rels><?xml version="1.0" encoding="UTF-8" standalone="yes"?>
<Relationships xmlns="http://schemas.openxmlformats.org/package/2006/relationships"><Relationship Id="rId2" Type="http://schemas.microsoft.com/office/2011/relationships/chartColorStyle" Target="colors43.xml"/><Relationship Id="rId1" Type="http://schemas.microsoft.com/office/2011/relationships/chartStyle" Target="style43.xml"/></Relationships>
</file>

<file path=xl/charts/_rels/chart44.xml.rels><?xml version="1.0" encoding="UTF-8" standalone="yes"?>
<Relationships xmlns="http://schemas.openxmlformats.org/package/2006/relationships"><Relationship Id="rId2" Type="http://schemas.microsoft.com/office/2011/relationships/chartColorStyle" Target="colors44.xml"/><Relationship Id="rId1" Type="http://schemas.microsoft.com/office/2011/relationships/chartStyle" Target="style44.xml"/></Relationships>
</file>

<file path=xl/charts/_rels/chart45.xml.rels><?xml version="1.0" encoding="UTF-8" standalone="yes"?>
<Relationships xmlns="http://schemas.openxmlformats.org/package/2006/relationships"><Relationship Id="rId2" Type="http://schemas.microsoft.com/office/2011/relationships/chartColorStyle" Target="colors45.xml"/><Relationship Id="rId1" Type="http://schemas.microsoft.com/office/2011/relationships/chartStyle" Target="style45.xml"/></Relationships>
</file>

<file path=xl/charts/_rels/chart46.xml.rels><?xml version="1.0" encoding="UTF-8" standalone="yes"?>
<Relationships xmlns="http://schemas.openxmlformats.org/package/2006/relationships"><Relationship Id="rId2" Type="http://schemas.microsoft.com/office/2011/relationships/chartColorStyle" Target="colors46.xml"/><Relationship Id="rId1" Type="http://schemas.microsoft.com/office/2011/relationships/chartStyle" Target="style46.xml"/></Relationships>
</file>

<file path=xl/charts/_rels/chart47.xml.rels><?xml version="1.0" encoding="UTF-8" standalone="yes"?>
<Relationships xmlns="http://schemas.openxmlformats.org/package/2006/relationships"><Relationship Id="rId2" Type="http://schemas.microsoft.com/office/2011/relationships/chartColorStyle" Target="colors47.xml"/><Relationship Id="rId1" Type="http://schemas.microsoft.com/office/2011/relationships/chartStyle" Target="style47.xml"/></Relationships>
</file>

<file path=xl/charts/_rels/chart48.xml.rels><?xml version="1.0" encoding="UTF-8" standalone="yes"?>
<Relationships xmlns="http://schemas.openxmlformats.org/package/2006/relationships"><Relationship Id="rId2" Type="http://schemas.microsoft.com/office/2011/relationships/chartColorStyle" Target="colors48.xml"/><Relationship Id="rId1" Type="http://schemas.microsoft.com/office/2011/relationships/chartStyle" Target="style48.xml"/></Relationships>
</file>

<file path=xl/charts/_rels/chart49.xml.rels><?xml version="1.0" encoding="UTF-8" standalone="yes"?>
<Relationships xmlns="http://schemas.openxmlformats.org/package/2006/relationships"><Relationship Id="rId2" Type="http://schemas.microsoft.com/office/2011/relationships/chartColorStyle" Target="colors49.xml"/><Relationship Id="rId1" Type="http://schemas.microsoft.com/office/2011/relationships/chartStyle" Target="style49.xml"/></Relationships>
</file>

<file path=xl/charts/_rels/chart50.xml.rels><?xml version="1.0" encoding="UTF-8" standalone="yes"?>
<Relationships xmlns="http://schemas.openxmlformats.org/package/2006/relationships"><Relationship Id="rId2" Type="http://schemas.microsoft.com/office/2011/relationships/chartColorStyle" Target="colors50.xml"/><Relationship Id="rId1" Type="http://schemas.microsoft.com/office/2011/relationships/chartStyle" Target="style50.xml"/></Relationships>
</file>

<file path=xl/charts/_rels/chart51.xml.rels><?xml version="1.0" encoding="UTF-8" standalone="yes"?>
<Relationships xmlns="http://schemas.openxmlformats.org/package/2006/relationships"><Relationship Id="rId2" Type="http://schemas.microsoft.com/office/2011/relationships/chartColorStyle" Target="colors51.xml"/><Relationship Id="rId1" Type="http://schemas.microsoft.com/office/2011/relationships/chartStyle" Target="style51.xml"/></Relationships>
</file>

<file path=xl/charts/_rels/chart52.xml.rels><?xml version="1.0" encoding="UTF-8" standalone="yes"?>
<Relationships xmlns="http://schemas.openxmlformats.org/package/2006/relationships"><Relationship Id="rId2" Type="http://schemas.microsoft.com/office/2011/relationships/chartColorStyle" Target="colors52.xml"/><Relationship Id="rId1" Type="http://schemas.microsoft.com/office/2011/relationships/chartStyle" Target="style5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Template1!$L$1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Template1!$K$2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Template1!$L$2</c:f>
              <c:numCache>
                <c:formatCode>\+0.0;\-0.0;\±0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8C3-4198-83CC-4E91FF118AB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Template1!$P$1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Template1!$O$2:$O$7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Template1!$P$2:$P$7</c:f>
              <c:numCache>
                <c:formatCode>\+0;\-0;\±0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222-4FF8-B778-E9F0B94751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At val="0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Template1!$A$37:$A$49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Template1!$B$37:$B$49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739-40D6-AC41-B4DBEBCBEB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At val="0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Template1!$M$1</c:f>
              <c:strCache>
                <c:ptCount val="1"/>
                <c:pt idx="0">
                  <c:v>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Template1!$K$2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Template1!$M$2</c:f>
              <c:numCache>
                <c:formatCode>0</c:formatCode>
                <c:ptCount val="1"/>
                <c:pt idx="0">
                  <c:v>1500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8C3-4198-83CC-4E91FF118AB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150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全体!$L$1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全体!$K$2:$K$71</c:f>
              <c:numCache>
                <c:formatCode>General</c:formatCode>
                <c:ptCount val="7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</c:numCache>
            </c:numRef>
          </c:xVal>
          <c:yVal>
            <c:numRef>
              <c:f>全体!$L$2:$L$71</c:f>
              <c:numCache>
                <c:formatCode>\+0.0;\-0.0;\±0</c:formatCode>
                <c:ptCount val="70"/>
                <c:pt idx="0">
                  <c:v>0</c:v>
                </c:pt>
                <c:pt idx="1">
                  <c:v>20.9</c:v>
                </c:pt>
                <c:pt idx="2">
                  <c:v>-10.100000000000001</c:v>
                </c:pt>
                <c:pt idx="3">
                  <c:v>-1.7763568394002505E-15</c:v>
                </c:pt>
                <c:pt idx="4">
                  <c:v>26.299999999999997</c:v>
                </c:pt>
                <c:pt idx="5">
                  <c:v>-41.600000000000009</c:v>
                </c:pt>
                <c:pt idx="6">
                  <c:v>-7.1054273576010019E-15</c:v>
                </c:pt>
                <c:pt idx="7">
                  <c:v>-33.600000000000009</c:v>
                </c:pt>
                <c:pt idx="8">
                  <c:v>21.999999999999993</c:v>
                </c:pt>
                <c:pt idx="9">
                  <c:v>-7.1054273576010019E-15</c:v>
                </c:pt>
                <c:pt idx="10">
                  <c:v>-30.700000000000006</c:v>
                </c:pt>
                <c:pt idx="11">
                  <c:v>-34.000000000000007</c:v>
                </c:pt>
                <c:pt idx="12">
                  <c:v>-7.1054273576010019E-15</c:v>
                </c:pt>
                <c:pt idx="13">
                  <c:v>48.999999999999993</c:v>
                </c:pt>
                <c:pt idx="14">
                  <c:v>3.4999999999999929</c:v>
                </c:pt>
                <c:pt idx="15">
                  <c:v>-7.1054273576010019E-15</c:v>
                </c:pt>
                <c:pt idx="16">
                  <c:v>-11.600000000000007</c:v>
                </c:pt>
                <c:pt idx="17">
                  <c:v>-7.1054273576010019E-15</c:v>
                </c:pt>
                <c:pt idx="18">
                  <c:v>-7.1054273576010019E-15</c:v>
                </c:pt>
                <c:pt idx="19">
                  <c:v>-23.100000000000009</c:v>
                </c:pt>
                <c:pt idx="20">
                  <c:v>-31.300000000000008</c:v>
                </c:pt>
                <c:pt idx="21">
                  <c:v>-7.1054273576010019E-15</c:v>
                </c:pt>
                <c:pt idx="22">
                  <c:v>-4.4000000000000075</c:v>
                </c:pt>
                <c:pt idx="23">
                  <c:v>37.999999999999993</c:v>
                </c:pt>
                <c:pt idx="24">
                  <c:v>-7.1054273576010019E-15</c:v>
                </c:pt>
                <c:pt idx="25">
                  <c:v>-28.000000000000007</c:v>
                </c:pt>
                <c:pt idx="26">
                  <c:v>-8.0000000000000071</c:v>
                </c:pt>
                <c:pt idx="27">
                  <c:v>-7.1054273576010019E-15</c:v>
                </c:pt>
                <c:pt idx="28">
                  <c:v>36.899999999999991</c:v>
                </c:pt>
                <c:pt idx="29">
                  <c:v>-3.1000000000000085</c:v>
                </c:pt>
                <c:pt idx="30">
                  <c:v>-8.4376949871511897E-15</c:v>
                </c:pt>
                <c:pt idx="31">
                  <c:v>49.599999999999994</c:v>
                </c:pt>
                <c:pt idx="32">
                  <c:v>36.799999999999997</c:v>
                </c:pt>
                <c:pt idx="33">
                  <c:v>0</c:v>
                </c:pt>
                <c:pt idx="34">
                  <c:v>33.6</c:v>
                </c:pt>
                <c:pt idx="35">
                  <c:v>-20.199999999999996</c:v>
                </c:pt>
                <c:pt idx="36">
                  <c:v>3.5527136788005009E-15</c:v>
                </c:pt>
                <c:pt idx="37">
                  <c:v>-34.399999999999991</c:v>
                </c:pt>
                <c:pt idx="38">
                  <c:v>-23.79999999999999</c:v>
                </c:pt>
                <c:pt idx="39">
                  <c:v>1.0658141036401503E-14</c:v>
                </c:pt>
                <c:pt idx="40">
                  <c:v>-28.79999999999999</c:v>
                </c:pt>
                <c:pt idx="41">
                  <c:v>-22.499999999999989</c:v>
                </c:pt>
                <c:pt idx="42">
                  <c:v>1.0658141036401503E-14</c:v>
                </c:pt>
                <c:pt idx="43">
                  <c:v>26.600000000000012</c:v>
                </c:pt>
                <c:pt idx="44">
                  <c:v>-6.5999999999999908</c:v>
                </c:pt>
                <c:pt idx="45">
                  <c:v>8.8817841970012523E-15</c:v>
                </c:pt>
                <c:pt idx="46">
                  <c:v>-27.999999999999993</c:v>
                </c:pt>
                <c:pt idx="47">
                  <c:v>50.000000000000007</c:v>
                </c:pt>
                <c:pt idx="48">
                  <c:v>7.1054273576010019E-15</c:v>
                </c:pt>
                <c:pt idx="49">
                  <c:v>-21.399999999999991</c:v>
                </c:pt>
                <c:pt idx="50">
                  <c:v>-26.599999999999991</c:v>
                </c:pt>
                <c:pt idx="51">
                  <c:v>1.0658141036401503E-14</c:v>
                </c:pt>
                <c:pt idx="52">
                  <c:v>-24.199999999999989</c:v>
                </c:pt>
                <c:pt idx="53">
                  <c:v>-20.199999999999989</c:v>
                </c:pt>
                <c:pt idx="54">
                  <c:v>1.0658141036401503E-14</c:v>
                </c:pt>
                <c:pt idx="55">
                  <c:v>-17.499999999999989</c:v>
                </c:pt>
                <c:pt idx="56">
                  <c:v>0.50000000000001066</c:v>
                </c:pt>
                <c:pt idx="57">
                  <c:v>1.0658141036401503E-14</c:v>
                </c:pt>
                <c:pt idx="58">
                  <c:v>16.600000000000012</c:v>
                </c:pt>
                <c:pt idx="59">
                  <c:v>13.600000000000012</c:v>
                </c:pt>
                <c:pt idx="60">
                  <c:v>1.2434497875801753E-14</c:v>
                </c:pt>
                <c:pt idx="61">
                  <c:v>-13.999999999999988</c:v>
                </c:pt>
                <c:pt idx="62">
                  <c:v>-39.699999999999989</c:v>
                </c:pt>
                <c:pt idx="63">
                  <c:v>1.4210854715202004E-14</c:v>
                </c:pt>
                <c:pt idx="64">
                  <c:v>-19.799999999999986</c:v>
                </c:pt>
                <c:pt idx="65">
                  <c:v>-50.899999999999991</c:v>
                </c:pt>
                <c:pt idx="66">
                  <c:v>7.1054273576010019E-15</c:v>
                </c:pt>
                <c:pt idx="67">
                  <c:v>-26.699999999999992</c:v>
                </c:pt>
                <c:pt idx="68">
                  <c:v>7.0000000000000107</c:v>
                </c:pt>
                <c:pt idx="69">
                  <c:v>1.0658141036401503E-14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16E-4728-B881-3DE5D2E85D5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全体!$O$1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全体!$N$2:$N$7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全体!$O$2:$O$7</c:f>
              <c:numCache>
                <c:formatCode>\+0;\-0;\±0</c:formatCode>
                <c:ptCount val="6"/>
                <c:pt idx="0">
                  <c:v>-43.478260869565219</c:v>
                </c:pt>
                <c:pt idx="1">
                  <c:v>45.454545454545453</c:v>
                </c:pt>
                <c:pt idx="2">
                  <c:v>-15.151515151515152</c:v>
                </c:pt>
                <c:pt idx="3">
                  <c:v>16.666666666666668</c:v>
                </c:pt>
                <c:pt idx="4">
                  <c:v>-18.518518518518519</c:v>
                </c:pt>
                <c:pt idx="5">
                  <c:v>20.833333333333332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370-43FA-AC5B-09C55E3B678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全体!$A$36:$A$48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全体!$B$36:$B$48</c:f>
              <c:numCache>
                <c:formatCode>0\ "回"</c:formatCode>
                <c:ptCount val="13"/>
                <c:pt idx="0">
                  <c:v>13</c:v>
                </c:pt>
                <c:pt idx="1">
                  <c:v>34</c:v>
                </c:pt>
                <c:pt idx="2">
                  <c:v>30</c:v>
                </c:pt>
                <c:pt idx="3">
                  <c:v>26</c:v>
                </c:pt>
                <c:pt idx="4">
                  <c:v>16</c:v>
                </c:pt>
                <c:pt idx="5">
                  <c:v>24</c:v>
                </c:pt>
                <c:pt idx="6">
                  <c:v>11</c:v>
                </c:pt>
                <c:pt idx="7">
                  <c:v>4</c:v>
                </c:pt>
                <c:pt idx="8">
                  <c:v>2</c:v>
                </c:pt>
                <c:pt idx="9">
                  <c:v>1</c:v>
                </c:pt>
                <c:pt idx="10">
                  <c:v>1</c:v>
                </c:pt>
                <c:pt idx="11">
                  <c:v>0</c:v>
                </c:pt>
                <c:pt idx="12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950-4035-9C9B-87ECC922C79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だいち!$L$1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だいち!$K$2:$K$18</c:f>
              <c:numCache>
                <c:formatCode>General</c:formatCode>
                <c:ptCount val="1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</c:numCache>
            </c:numRef>
          </c:xVal>
          <c:yVal>
            <c:numRef>
              <c:f>だいち!$L$2:$L$18</c:f>
              <c:numCache>
                <c:formatCode>\+0.0;\-0.0;\±0</c:formatCode>
                <c:ptCount val="17"/>
                <c:pt idx="0">
                  <c:v>0</c:v>
                </c:pt>
                <c:pt idx="1">
                  <c:v>20.9</c:v>
                </c:pt>
                <c:pt idx="2">
                  <c:v>62.5</c:v>
                </c:pt>
                <c:pt idx="3">
                  <c:v>40.5</c:v>
                </c:pt>
                <c:pt idx="4">
                  <c:v>74.5</c:v>
                </c:pt>
                <c:pt idx="5">
                  <c:v>123.5</c:v>
                </c:pt>
                <c:pt idx="6">
                  <c:v>111.9</c:v>
                </c:pt>
                <c:pt idx="7">
                  <c:v>103.7</c:v>
                </c:pt>
                <c:pt idx="8">
                  <c:v>140.6</c:v>
                </c:pt>
                <c:pt idx="9">
                  <c:v>127.8</c:v>
                </c:pt>
                <c:pt idx="10">
                  <c:v>134.4</c:v>
                </c:pt>
                <c:pt idx="11">
                  <c:v>212.4</c:v>
                </c:pt>
                <c:pt idx="12">
                  <c:v>239</c:v>
                </c:pt>
                <c:pt idx="13">
                  <c:v>236</c:v>
                </c:pt>
                <c:pt idx="14">
                  <c:v>222</c:v>
                </c:pt>
                <c:pt idx="15">
                  <c:v>190.9</c:v>
                </c:pt>
                <c:pt idx="16">
                  <c:v>164.20000000000002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634-4403-B215-FB8CC182D55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だいち!$O$1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だいち!$N$2:$N$7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だいち!$O$2:$O$7</c:f>
              <c:numCache>
                <c:formatCode>\+0;\-0;\±0</c:formatCode>
                <c:ptCount val="6"/>
                <c:pt idx="0">
                  <c:v>2050</c:v>
                </c:pt>
                <c:pt idx="1">
                  <c:v>-986.66666666666663</c:v>
                </c:pt>
                <c:pt idx="2">
                  <c:v>633.33333333333337</c:v>
                </c:pt>
                <c:pt idx="3">
                  <c:v>285.71428571428572</c:v>
                </c:pt>
                <c:pt idx="4">
                  <c:v>-353.84615384615387</c:v>
                </c:pt>
                <c:pt idx="5">
                  <c:v>-966.66666666666663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595-43F0-A12D-C687491C642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だいち!$A$36:$A$48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だいち!$B$36:$B$48</c:f>
              <c:numCache>
                <c:formatCode>0\ "回"</c:formatCode>
                <c:ptCount val="13"/>
                <c:pt idx="0">
                  <c:v>2</c:v>
                </c:pt>
                <c:pt idx="1">
                  <c:v>7</c:v>
                </c:pt>
                <c:pt idx="2">
                  <c:v>11</c:v>
                </c:pt>
                <c:pt idx="3">
                  <c:v>5</c:v>
                </c:pt>
                <c:pt idx="4">
                  <c:v>5</c:v>
                </c:pt>
                <c:pt idx="5">
                  <c:v>9</c:v>
                </c:pt>
                <c:pt idx="6">
                  <c:v>4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FC8-4923-BCD1-10687AD153A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れんたろう!$L$1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れんたろう!$K$2:$K$8</c:f>
              <c:numCache>
                <c:formatCode>General</c:formatCode>
                <c:ptCount val="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</c:numCache>
            </c:numRef>
          </c:xVal>
          <c:yVal>
            <c:numRef>
              <c:f>れんたろう!$L$2:$L$8</c:f>
              <c:numCache>
                <c:formatCode>\+0.0;\-0.0;\±0</c:formatCode>
                <c:ptCount val="7"/>
                <c:pt idx="0">
                  <c:v>0</c:v>
                </c:pt>
                <c:pt idx="1">
                  <c:v>-31</c:v>
                </c:pt>
                <c:pt idx="2">
                  <c:v>-98.9</c:v>
                </c:pt>
                <c:pt idx="3">
                  <c:v>-65.300000000000011</c:v>
                </c:pt>
                <c:pt idx="4">
                  <c:v>-99.700000000000017</c:v>
                </c:pt>
                <c:pt idx="5">
                  <c:v>-132.90000000000003</c:v>
                </c:pt>
                <c:pt idx="6">
                  <c:v>-182.90000000000003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D65-47A5-BB26-33130E20A2B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れんたろう!$O$1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れんたろう!$N$2:$N$7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れんたろう!$O$2:$O$7</c:f>
              <c:numCache>
                <c:formatCode>\+0;\-0;\±0</c:formatCode>
                <c:ptCount val="6"/>
                <c:pt idx="0">
                  <c:v>-2033.3333333333333</c:v>
                </c:pt>
                <c:pt idx="1">
                  <c:v>-3380</c:v>
                </c:pt>
                <c:pt idx="2">
                  <c:v>-3720</c:v>
                </c:pt>
                <c:pt idx="3">
                  <c:v>-680</c:v>
                </c:pt>
                <c:pt idx="4">
                  <c:v>-50</c:v>
                </c:pt>
                <c:pt idx="5">
                  <c:v>-2700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826-4343-8E3A-4811B044F66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れんたろう!$A$36:$A$48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れんたろう!$B$36:$B$48</c:f>
              <c:numCache>
                <c:formatCode>0\ "回"</c:formatCode>
                <c:ptCount val="1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0</c:v>
                </c:pt>
                <c:pt idx="4">
                  <c:v>3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BDE-47EE-9E7B-888912C0D0E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たかの!$L$1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たかの!$K$2:$K$8</c:f>
              <c:numCache>
                <c:formatCode>General</c:formatCode>
                <c:ptCount val="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</c:numCache>
            </c:numRef>
          </c:xVal>
          <c:yVal>
            <c:numRef>
              <c:f>たかの!$L$2:$L$8</c:f>
              <c:numCache>
                <c:formatCode>\+0.0;\-0.0;\±0</c:formatCode>
                <c:ptCount val="7"/>
                <c:pt idx="0">
                  <c:v>0</c:v>
                </c:pt>
                <c:pt idx="1">
                  <c:v>10.1</c:v>
                </c:pt>
                <c:pt idx="2">
                  <c:v>36.4</c:v>
                </c:pt>
                <c:pt idx="3">
                  <c:v>36.4</c:v>
                </c:pt>
                <c:pt idx="4">
                  <c:v>13.299999999999997</c:v>
                </c:pt>
                <c:pt idx="5">
                  <c:v>8.0999999999999979</c:v>
                </c:pt>
                <c:pt idx="6">
                  <c:v>24.7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F59-472D-982E-1AF6112D9E7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たかの!$O$1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たかの!$N$2:$N$7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たかの!$O$2:$O$7</c:f>
              <c:numCache>
                <c:formatCode>\+0;\-0;\±0</c:formatCode>
                <c:ptCount val="6"/>
                <c:pt idx="0">
                  <c:v>1750</c:v>
                </c:pt>
                <c:pt idx="1">
                  <c:v>-2783.3333333333335</c:v>
                </c:pt>
                <c:pt idx="2">
                  <c:v>583.33333333333337</c:v>
                </c:pt>
                <c:pt idx="3">
                  <c:v>-150</c:v>
                </c:pt>
                <c:pt idx="4">
                  <c:v>3350</c:v>
                </c:pt>
                <c:pt idx="5">
                  <c:v>2300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243-4F8F-A172-F8C5D17731B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たかの!$A$36:$A$48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たかの!$B$36:$B$48</c:f>
              <c:numCache>
                <c:formatCode>0\ "回"</c:formatCode>
                <c:ptCount val="13"/>
                <c:pt idx="0">
                  <c:v>1</c:v>
                </c:pt>
                <c:pt idx="1">
                  <c:v>5</c:v>
                </c:pt>
                <c:pt idx="2">
                  <c:v>3</c:v>
                </c:pt>
                <c:pt idx="3">
                  <c:v>2</c:v>
                </c:pt>
                <c:pt idx="4">
                  <c:v>1</c:v>
                </c:pt>
                <c:pt idx="5">
                  <c:v>1</c:v>
                </c:pt>
                <c:pt idx="6">
                  <c:v>2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F5D-437E-88BF-4D132E28790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まっつん!$K$2:$K$5</c:f>
              <c:numCache>
                <c:formatCode>General</c:formatCode>
                <c:ptCount val="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</c:numCache>
            </c:numRef>
          </c:xVal>
          <c:yVal>
            <c:numRef>
              <c:f>まっつん!$L$2:$L$5</c:f>
              <c:numCache>
                <c:formatCode>\+0.0;\-0.0;\±0</c:formatCode>
                <c:ptCount val="4"/>
                <c:pt idx="0">
                  <c:v>0</c:v>
                </c:pt>
                <c:pt idx="1">
                  <c:v>-33.6</c:v>
                </c:pt>
                <c:pt idx="2">
                  <c:v>-36.9</c:v>
                </c:pt>
                <c:pt idx="3">
                  <c:v>-40.4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ED7-4453-B726-9FA66B9E613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まっつん!$O$1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まっつん!$N$2:$N$7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まっつん!$O$2:$O$7</c:f>
              <c:numCache>
                <c:formatCode>\+0;\-0;\±0</c:formatCode>
                <c:ptCount val="6"/>
                <c:pt idx="0">
                  <c:v>2566.6666666666665</c:v>
                </c:pt>
                <c:pt idx="1">
                  <c:v>4066.6666666666665</c:v>
                </c:pt>
                <c:pt idx="2">
                  <c:v>-2766.6666666666665</c:v>
                </c:pt>
                <c:pt idx="3">
                  <c:v>-9750</c:v>
                </c:pt>
                <c:pt idx="4">
                  <c:v>-10500</c:v>
                </c:pt>
                <c:pt idx="5">
                  <c:v>-750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1B9-4AAD-A7B3-BAA38CDBBBF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まっつん!$A$36:$A$48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まっつん!$B$36:$B$48</c:f>
              <c:numCache>
                <c:formatCode>0\ "回"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0</c:v>
                </c:pt>
                <c:pt idx="3">
                  <c:v>2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F13-4196-A06E-0AF54B60DF7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いちかわ!$L$1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いちかわ!$K$2:$K$15</c:f>
              <c:numCache>
                <c:formatCode>General</c:formatCode>
                <c:ptCount val="1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</c:numCache>
            </c:numRef>
          </c:xVal>
          <c:yVal>
            <c:numRef>
              <c:f>いちかわ!$L$2:$L$15</c:f>
              <c:numCache>
                <c:formatCode>\+0.0;\-0.0;\±0</c:formatCode>
                <c:ptCount val="14"/>
                <c:pt idx="0">
                  <c:v>0</c:v>
                </c:pt>
                <c:pt idx="1">
                  <c:v>55.6</c:v>
                </c:pt>
                <c:pt idx="2">
                  <c:v>24.900000000000002</c:v>
                </c:pt>
                <c:pt idx="3">
                  <c:v>-20.599999999999998</c:v>
                </c:pt>
                <c:pt idx="4">
                  <c:v>-25</c:v>
                </c:pt>
                <c:pt idx="5">
                  <c:v>-53</c:v>
                </c:pt>
                <c:pt idx="6">
                  <c:v>-32.799999999999997</c:v>
                </c:pt>
                <c:pt idx="7">
                  <c:v>-22.199999999999996</c:v>
                </c:pt>
                <c:pt idx="8">
                  <c:v>0.30000000000000426</c:v>
                </c:pt>
                <c:pt idx="9">
                  <c:v>20.500000000000004</c:v>
                </c:pt>
                <c:pt idx="10">
                  <c:v>6.9000000000000039</c:v>
                </c:pt>
                <c:pt idx="11">
                  <c:v>-18.799999999999997</c:v>
                </c:pt>
                <c:pt idx="12">
                  <c:v>32.1</c:v>
                </c:pt>
                <c:pt idx="13">
                  <c:v>65.800000000000011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401-4B99-8A4D-6B0BCF9494B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いちかわ!$O$1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いちかわ!$N$2:$N$7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いちかわ!$O$2:$O$7</c:f>
              <c:numCache>
                <c:formatCode>\+0;\-0;\±0</c:formatCode>
                <c:ptCount val="6"/>
                <c:pt idx="0">
                  <c:v>-676.92307692307691</c:v>
                </c:pt>
                <c:pt idx="1">
                  <c:v>1615.3846153846155</c:v>
                </c:pt>
                <c:pt idx="2">
                  <c:v>284.61538461538464</c:v>
                </c:pt>
                <c:pt idx="3">
                  <c:v>1009.0909090909091</c:v>
                </c:pt>
                <c:pt idx="4">
                  <c:v>2188.8888888888887</c:v>
                </c:pt>
                <c:pt idx="5">
                  <c:v>1266.6666666666667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CFC-47E4-8C74-D0546679D14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いちかわ!$A$36:$A$48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いちかわ!$B$36:$B$48</c:f>
              <c:numCache>
                <c:formatCode>0\ "回"</c:formatCode>
                <c:ptCount val="13"/>
                <c:pt idx="0">
                  <c:v>2</c:v>
                </c:pt>
                <c:pt idx="1">
                  <c:v>7</c:v>
                </c:pt>
                <c:pt idx="2">
                  <c:v>6</c:v>
                </c:pt>
                <c:pt idx="3">
                  <c:v>6</c:v>
                </c:pt>
                <c:pt idx="4">
                  <c:v>2</c:v>
                </c:pt>
                <c:pt idx="5">
                  <c:v>4</c:v>
                </c:pt>
                <c:pt idx="6">
                  <c:v>2</c:v>
                </c:pt>
                <c:pt idx="7">
                  <c:v>1</c:v>
                </c:pt>
                <c:pt idx="8">
                  <c:v>1</c:v>
                </c:pt>
                <c:pt idx="9">
                  <c:v>0</c:v>
                </c:pt>
                <c:pt idx="10">
                  <c:v>1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C35-47A2-A102-25332891022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ただ!$L$1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ただ!$K$2:$K$9</c:f>
              <c:numCache>
                <c:formatCode>General</c:formatCode>
                <c:ptCount val="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</c:numCache>
            </c:numRef>
          </c:xVal>
          <c:yVal>
            <c:numRef>
              <c:f>ただ!$L$2:$L$9</c:f>
              <c:numCache>
                <c:formatCode>\+0.0;\-0.0;\±0</c:formatCode>
                <c:ptCount val="8"/>
                <c:pt idx="0">
                  <c:v>0</c:v>
                </c:pt>
                <c:pt idx="1">
                  <c:v>11.6</c:v>
                </c:pt>
                <c:pt idx="2">
                  <c:v>42.9</c:v>
                </c:pt>
                <c:pt idx="3">
                  <c:v>49.199999999999996</c:v>
                </c:pt>
                <c:pt idx="4">
                  <c:v>75.8</c:v>
                </c:pt>
                <c:pt idx="5">
                  <c:v>47.8</c:v>
                </c:pt>
                <c:pt idx="6">
                  <c:v>26.4</c:v>
                </c:pt>
                <c:pt idx="7">
                  <c:v>25.9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BC6-438C-9135-2CA86DF6B4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ただ!$O$1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ただ!$N$2:$N$7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ただ!$O$2:$O$7</c:f>
              <c:numCache>
                <c:formatCode>\+0;\-0;\±0</c:formatCode>
                <c:ptCount val="6"/>
                <c:pt idx="0">
                  <c:v>-3000</c:v>
                </c:pt>
                <c:pt idx="1">
                  <c:v>3650</c:v>
                </c:pt>
                <c:pt idx="2">
                  <c:v>3816.6666666666665</c:v>
                </c:pt>
                <c:pt idx="3">
                  <c:v>3583.3333333333335</c:v>
                </c:pt>
                <c:pt idx="4">
                  <c:v>-283.33333333333331</c:v>
                </c:pt>
                <c:pt idx="5">
                  <c:v>-2660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C53-4C83-8FE4-60D38AEEFD7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ただ!$A$36:$A$48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ただ!$B$36:$B$48</c:f>
              <c:numCache>
                <c:formatCode>0\ "回"</c:formatCode>
                <c:ptCount val="13"/>
                <c:pt idx="0">
                  <c:v>2</c:v>
                </c:pt>
                <c:pt idx="1">
                  <c:v>5</c:v>
                </c:pt>
                <c:pt idx="2">
                  <c:v>3</c:v>
                </c:pt>
                <c:pt idx="3">
                  <c:v>5</c:v>
                </c:pt>
                <c:pt idx="4">
                  <c:v>3</c:v>
                </c:pt>
                <c:pt idx="5">
                  <c:v>1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B03-48BA-B113-BBFB9B51C75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たか!$L$1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たか!$K$2:$K$12</c:f>
              <c:numCache>
                <c:formatCode>General</c:formatCode>
                <c:ptCount val="1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</c:numCache>
            </c:numRef>
          </c:xVal>
          <c:yVal>
            <c:numRef>
              <c:f>たか!$L$2:$L$12</c:f>
              <c:numCache>
                <c:formatCode>\+0.0;\-0.0;\±0</c:formatCode>
                <c:ptCount val="11"/>
                <c:pt idx="0">
                  <c:v>0</c:v>
                </c:pt>
                <c:pt idx="1">
                  <c:v>42.4</c:v>
                </c:pt>
                <c:pt idx="2">
                  <c:v>50.4</c:v>
                </c:pt>
                <c:pt idx="3">
                  <c:v>10.399999999999999</c:v>
                </c:pt>
                <c:pt idx="4">
                  <c:v>60</c:v>
                </c:pt>
                <c:pt idx="5">
                  <c:v>6.2000000000000028</c:v>
                </c:pt>
                <c:pt idx="6">
                  <c:v>30.000000000000004</c:v>
                </c:pt>
                <c:pt idx="7">
                  <c:v>1.2000000000000028</c:v>
                </c:pt>
                <c:pt idx="8">
                  <c:v>40.900000000000006</c:v>
                </c:pt>
                <c:pt idx="9">
                  <c:v>21.100000000000005</c:v>
                </c:pt>
                <c:pt idx="10">
                  <c:v>14.100000000000005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D81-4774-AD81-1F01698A7F6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たか!$O$1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たか!$N$2:$N$7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たか!$O$2:$O$7</c:f>
              <c:numCache>
                <c:formatCode>\+0;\-0;\±0</c:formatCode>
                <c:ptCount val="6"/>
                <c:pt idx="0">
                  <c:v>1180</c:v>
                </c:pt>
                <c:pt idx="1">
                  <c:v>770</c:v>
                </c:pt>
                <c:pt idx="2">
                  <c:v>-3420</c:v>
                </c:pt>
                <c:pt idx="3">
                  <c:v>-866.66666666666663</c:v>
                </c:pt>
                <c:pt idx="4">
                  <c:v>-600</c:v>
                </c:pt>
                <c:pt idx="5">
                  <c:v>3850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7D6-4D6C-B2F4-4CA7EE7A10C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たか!$A$36:$A$48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たか!$B$36:$B$48</c:f>
              <c:numCache>
                <c:formatCode>0\ "回"</c:formatCode>
                <c:ptCount val="13"/>
                <c:pt idx="0">
                  <c:v>4</c:v>
                </c:pt>
                <c:pt idx="1">
                  <c:v>5</c:v>
                </c:pt>
                <c:pt idx="2">
                  <c:v>0</c:v>
                </c:pt>
                <c:pt idx="3">
                  <c:v>2</c:v>
                </c:pt>
                <c:pt idx="4">
                  <c:v>2</c:v>
                </c:pt>
                <c:pt idx="5">
                  <c:v>3</c:v>
                </c:pt>
                <c:pt idx="6">
                  <c:v>2</c:v>
                </c:pt>
                <c:pt idx="7">
                  <c:v>1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967-423E-8FE0-619D63766C7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のり!$L$1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のり!$K$2:$K$6</c:f>
              <c:numCache>
                <c:formatCode>General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のり!$L$2:$L$6</c:f>
              <c:numCache>
                <c:formatCode>\+0.0;\-0.0;\±0</c:formatCode>
                <c:ptCount val="5"/>
                <c:pt idx="0">
                  <c:v>0</c:v>
                </c:pt>
                <c:pt idx="1">
                  <c:v>-38</c:v>
                </c:pt>
                <c:pt idx="2">
                  <c:v>-18</c:v>
                </c:pt>
                <c:pt idx="3">
                  <c:v>-14.9</c:v>
                </c:pt>
                <c:pt idx="4">
                  <c:v>-51.699999999999996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D16-40A0-85DB-539B8CBD1DC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のり!$O$1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のり!$N$2:$N$7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のり!$O$2:$O$7</c:f>
              <c:numCache>
                <c:formatCode>\+0;\-0;\±0</c:formatCode>
                <c:ptCount val="6"/>
                <c:pt idx="0">
                  <c:v>-6625</c:v>
                </c:pt>
                <c:pt idx="1">
                  <c:v>-1125</c:v>
                </c:pt>
                <c:pt idx="2">
                  <c:v>6750</c:v>
                </c:pt>
                <c:pt idx="3">
                  <c:v>-766.66666666666663</c:v>
                </c:pt>
                <c:pt idx="4">
                  <c:v>-4000</c:v>
                </c:pt>
                <c:pt idx="5">
                  <c:v>-7800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810-4483-BD7D-40BAA69382A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のり!$A$36:$A$48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のり!$B$36:$B$48</c:f>
              <c:numCache>
                <c:formatCode>0\ "回"</c:formatCode>
                <c:ptCount val="13"/>
                <c:pt idx="0">
                  <c:v>1</c:v>
                </c:pt>
                <c:pt idx="1">
                  <c:v>2</c:v>
                </c:pt>
                <c:pt idx="2">
                  <c:v>1</c:v>
                </c:pt>
                <c:pt idx="3">
                  <c:v>1</c:v>
                </c:pt>
                <c:pt idx="4">
                  <c:v>0</c:v>
                </c:pt>
                <c:pt idx="5">
                  <c:v>2</c:v>
                </c:pt>
                <c:pt idx="6">
                  <c:v>0</c:v>
                </c:pt>
                <c:pt idx="7">
                  <c:v>1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69C-43A8-81F3-5BDBB9506A9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りくと!$L$1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りくと!$K$2:$K$4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りくと!$L$2:$L$4</c:f>
              <c:numCache>
                <c:formatCode>\+0.0;\-0.0;\±0</c:formatCode>
                <c:ptCount val="3"/>
                <c:pt idx="0">
                  <c:v>0</c:v>
                </c:pt>
                <c:pt idx="1">
                  <c:v>-24.2</c:v>
                </c:pt>
                <c:pt idx="2">
                  <c:v>-6.1999999999999993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57F-4C7C-AD82-5B34BC8EA5C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りくと!$O$1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りくと!$N$2:$N$7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りくと!$O$2:$O$7</c:f>
              <c:numCache>
                <c:formatCode>\+0;\-0;\±0</c:formatCode>
                <c:ptCount val="6"/>
                <c:pt idx="0">
                  <c:v>5000</c:v>
                </c:pt>
                <c:pt idx="1">
                  <c:v>-2600</c:v>
                </c:pt>
                <c:pt idx="2">
                  <c:v>900</c:v>
                </c:pt>
                <c:pt idx="3">
                  <c:v>-3750</c:v>
                </c:pt>
                <c:pt idx="4">
                  <c:v>-400</c:v>
                </c:pt>
                <c:pt idx="5">
                  <c:v>-4500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CDB-4D21-8D00-51DA45FE7C8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りくと!$A$36:$A$48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りくと!$B$36:$B$48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3</c:v>
                </c:pt>
                <c:pt idx="3">
                  <c:v>1</c:v>
                </c:pt>
                <c:pt idx="4">
                  <c:v>0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5BA-4D7F-B522-BEF887DC398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わさび!$L$1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わさび!$K$2:$K$4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わさび!$L$2:$L$4</c:f>
              <c:numCache>
                <c:formatCode>\+0.0;\-0.0;\±0</c:formatCode>
                <c:ptCount val="3"/>
                <c:pt idx="0">
                  <c:v>0</c:v>
                </c:pt>
                <c:pt idx="1">
                  <c:v>4</c:v>
                </c:pt>
                <c:pt idx="2">
                  <c:v>-13.5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FD5-4200-8227-77AFEB88432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わさび!$O$1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わさび!$N$2:$N$7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わさび!$O$2:$O$7</c:f>
              <c:numCache>
                <c:formatCode>\+0;\-0;\±0</c:formatCode>
                <c:ptCount val="6"/>
                <c:pt idx="0">
                  <c:v>-3650</c:v>
                </c:pt>
                <c:pt idx="1">
                  <c:v>-850</c:v>
                </c:pt>
                <c:pt idx="2">
                  <c:v>-4150</c:v>
                </c:pt>
                <c:pt idx="3">
                  <c:v>2900</c:v>
                </c:pt>
                <c:pt idx="4">
                  <c:v>1850</c:v>
                </c:pt>
                <c:pt idx="5">
                  <c:v>12000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B56-4069-B77E-D7809D6B4DD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わさび!$A$36:$A$48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わさび!$B$36:$B$48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2</c:v>
                </c:pt>
                <c:pt idx="4">
                  <c:v>0</c:v>
                </c:pt>
                <c:pt idx="5">
                  <c:v>2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27D-4814-A66B-D59D635C68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たか2!$B$1:$B$2</c:f>
              <c:strCache>
                <c:ptCount val="2"/>
                <c:pt idx="0">
                  <c:v>たか</c:v>
                </c:pt>
                <c:pt idx="1">
                  <c:v>通算スコア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たか2!$A$3:$A$13</c:f>
              <c:numCache>
                <c:formatCode>0\ "回"</c:formatCode>
                <c:ptCount val="1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</c:numCache>
            </c:numRef>
          </c:xVal>
          <c:yVal>
            <c:numRef>
              <c:f>たか2!$B$3:$B$13</c:f>
              <c:numCache>
                <c:formatCode>\+0.0;\-0.0;\±0</c:formatCode>
                <c:ptCount val="11"/>
                <c:pt idx="0">
                  <c:v>0</c:v>
                </c:pt>
                <c:pt idx="1">
                  <c:v>42.4</c:v>
                </c:pt>
                <c:pt idx="2">
                  <c:v>50.4</c:v>
                </c:pt>
                <c:pt idx="3">
                  <c:v>10.399999999999999</c:v>
                </c:pt>
                <c:pt idx="4">
                  <c:v>60</c:v>
                </c:pt>
                <c:pt idx="5">
                  <c:v>6.2000000000000028</c:v>
                </c:pt>
                <c:pt idx="6">
                  <c:v>30.000000000000004</c:v>
                </c:pt>
                <c:pt idx="7">
                  <c:v>1.2000000000000028</c:v>
                </c:pt>
                <c:pt idx="8">
                  <c:v>40.900000000000006</c:v>
                </c:pt>
                <c:pt idx="9">
                  <c:v>21.100000000000005</c:v>
                </c:pt>
                <c:pt idx="10">
                  <c:v>14.100000000000005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248-4FE8-A8B2-4ECB92B9A4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1.0658141036401503E-14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たか2!$C$1:$C$2</c:f>
              <c:strCache>
                <c:ptCount val="2"/>
                <c:pt idx="0">
                  <c:v>たか</c:v>
                </c:pt>
                <c:pt idx="1">
                  <c:v>平均スコア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たか2!$A$3:$A$13</c:f>
              <c:numCache>
                <c:formatCode>0\ "回"</c:formatCode>
                <c:ptCount val="1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</c:numCache>
            </c:numRef>
          </c:xVal>
          <c:yVal>
            <c:numRef>
              <c:f>たか2!$C$3:$C$13</c:f>
              <c:numCache>
                <c:formatCode>\+0.0;\-0.0;\±0</c:formatCode>
                <c:ptCount val="11"/>
                <c:pt idx="1">
                  <c:v>42.4</c:v>
                </c:pt>
                <c:pt idx="2">
                  <c:v>25.2</c:v>
                </c:pt>
                <c:pt idx="3">
                  <c:v>3.4666666666666663</c:v>
                </c:pt>
                <c:pt idx="4">
                  <c:v>15</c:v>
                </c:pt>
                <c:pt idx="5">
                  <c:v>1.2400000000000007</c:v>
                </c:pt>
                <c:pt idx="6">
                  <c:v>5.0000000000000009</c:v>
                </c:pt>
                <c:pt idx="7">
                  <c:v>0.17142857142857185</c:v>
                </c:pt>
                <c:pt idx="8">
                  <c:v>5.1125000000000007</c:v>
                </c:pt>
                <c:pt idx="9">
                  <c:v>2.344444444444445</c:v>
                </c:pt>
                <c:pt idx="10">
                  <c:v>1.4100000000000006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8CC-43E6-BBBF-C5F3C62A55D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1.5446581212176091E-16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>
        <c:manualLayout>
          <c:layoutTarget val="inner"/>
          <c:xMode val="edge"/>
          <c:yMode val="edge"/>
          <c:x val="5.0866323827072416E-2"/>
          <c:y val="9.5976502261529054E-2"/>
          <c:w val="0.92789967068874057"/>
          <c:h val="0.85767024934613867"/>
        </c:manualLayout>
      </c:layout>
      <c:scatterChart>
        <c:scatterStyle val="lineMarker"/>
        <c:varyColors val="0"/>
        <c:ser>
          <c:idx val="0"/>
          <c:order val="0"/>
          <c:tx>
            <c:strRef>
              <c:f>たか2!$D$1:$D$2</c:f>
              <c:strCache>
                <c:ptCount val="2"/>
                <c:pt idx="0">
                  <c:v>たか</c:v>
                </c:pt>
                <c:pt idx="1">
                  <c:v>平均順位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たか2!$A$3:$A$13</c:f>
              <c:numCache>
                <c:formatCode>0\ "回"</c:formatCode>
                <c:ptCount val="1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</c:numCache>
            </c:numRef>
          </c:xVal>
          <c:yVal>
            <c:numRef>
              <c:f>たか2!$D$3:$D$13</c:f>
              <c:numCache>
                <c:formatCode>0.00\ "位"</c:formatCode>
                <c:ptCount val="11"/>
                <c:pt idx="1">
                  <c:v>1</c:v>
                </c:pt>
                <c:pt idx="2">
                  <c:v>1.5</c:v>
                </c:pt>
                <c:pt idx="3">
                  <c:v>2</c:v>
                </c:pt>
                <c:pt idx="4">
                  <c:v>1.75</c:v>
                </c:pt>
                <c:pt idx="5">
                  <c:v>2</c:v>
                </c:pt>
                <c:pt idx="6">
                  <c:v>1.8333333333333333</c:v>
                </c:pt>
                <c:pt idx="7">
                  <c:v>2</c:v>
                </c:pt>
                <c:pt idx="8">
                  <c:v>1.875</c:v>
                </c:pt>
                <c:pt idx="9">
                  <c:v>1.8888888888888888</c:v>
                </c:pt>
                <c:pt idx="10">
                  <c:v>1.9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1CA-4B73-A478-5CECE427DE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t"/>
        <c:numFmt formatCode="0" sourceLinked="0"/>
        <c:majorTickMark val="none"/>
        <c:minorTickMark val="none"/>
        <c:tickLblPos val="high"/>
        <c:spPr>
          <a:noFill/>
          <a:ln w="19050">
            <a:solidFill>
              <a:schemeClr val="tx1">
                <a:lumMod val="65000"/>
                <a:lumOff val="3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2"/>
        <c:crossBetween val="midCat"/>
      </c:valAx>
      <c:valAx>
        <c:axId val="575703272"/>
        <c:scaling>
          <c:orientation val="maxMin"/>
          <c:max val="3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\ &quot;位&quot;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  <c:majorUnit val="0.5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たか2!$E$1:$E$2</c:f>
              <c:strCache>
                <c:ptCount val="2"/>
                <c:pt idx="0">
                  <c:v>たか</c:v>
                </c:pt>
                <c:pt idx="1">
                  <c:v>トップ率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たか2!$A$3:$A$13</c:f>
              <c:numCache>
                <c:formatCode>0\ "回"</c:formatCode>
                <c:ptCount val="1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</c:numCache>
            </c:numRef>
          </c:xVal>
          <c:yVal>
            <c:numRef>
              <c:f>たか2!$E$3:$E$13</c:f>
              <c:numCache>
                <c:formatCode>0.0%</c:formatCode>
                <c:ptCount val="11"/>
                <c:pt idx="1">
                  <c:v>1</c:v>
                </c:pt>
                <c:pt idx="2">
                  <c:v>0.5</c:v>
                </c:pt>
                <c:pt idx="3">
                  <c:v>0.33333333333333331</c:v>
                </c:pt>
                <c:pt idx="4">
                  <c:v>0.5</c:v>
                </c:pt>
                <c:pt idx="5">
                  <c:v>0.4</c:v>
                </c:pt>
                <c:pt idx="6">
                  <c:v>0.5</c:v>
                </c:pt>
                <c:pt idx="7">
                  <c:v>0.42857142857142855</c:v>
                </c:pt>
                <c:pt idx="8">
                  <c:v>0.5</c:v>
                </c:pt>
                <c:pt idx="9">
                  <c:v>0.44444444444444442</c:v>
                </c:pt>
                <c:pt idx="10">
                  <c:v>0.4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91A-49FC-A7F1-1C9BECE138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33333333333333331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たか2!$F$1:$F$2</c:f>
              <c:strCache>
                <c:ptCount val="2"/>
                <c:pt idx="0">
                  <c:v>たか</c:v>
                </c:pt>
                <c:pt idx="1">
                  <c:v>ラス率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たか2!$A$3:$A$13</c:f>
              <c:numCache>
                <c:formatCode>0\ "回"</c:formatCode>
                <c:ptCount val="1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</c:numCache>
            </c:numRef>
          </c:xVal>
          <c:yVal>
            <c:numRef>
              <c:f>たか2!$F$3:$F$13</c:f>
              <c:numCache>
                <c:formatCode>0.0%</c:formatCode>
                <c:ptCount val="11"/>
                <c:pt idx="1">
                  <c:v>0</c:v>
                </c:pt>
                <c:pt idx="2">
                  <c:v>0</c:v>
                </c:pt>
                <c:pt idx="3">
                  <c:v>0.33333333333333331</c:v>
                </c:pt>
                <c:pt idx="4">
                  <c:v>0.25</c:v>
                </c:pt>
                <c:pt idx="5">
                  <c:v>0.4</c:v>
                </c:pt>
                <c:pt idx="6">
                  <c:v>0.33333333333333331</c:v>
                </c:pt>
                <c:pt idx="7">
                  <c:v>0.42857142857142855</c:v>
                </c:pt>
                <c:pt idx="8">
                  <c:v>0.375</c:v>
                </c:pt>
                <c:pt idx="9">
                  <c:v>0.33333333333333331</c:v>
                </c:pt>
                <c:pt idx="10">
                  <c:v>0.3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86E-41BF-A266-1116E0BBF4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33333333333333331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たか2!$G$1:$G$2</c:f>
              <c:strCache>
                <c:ptCount val="2"/>
                <c:pt idx="0">
                  <c:v>たか</c:v>
                </c:pt>
                <c:pt idx="1">
                  <c:v>アガリ率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たか2!$A$3:$A$13</c:f>
              <c:numCache>
                <c:formatCode>0\ "回"</c:formatCode>
                <c:ptCount val="1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</c:numCache>
            </c:numRef>
          </c:xVal>
          <c:yVal>
            <c:numRef>
              <c:f>たか2!$G$3:$G$13</c:f>
              <c:numCache>
                <c:formatCode>0.0%</c:formatCode>
                <c:ptCount val="11"/>
                <c:pt idx="1">
                  <c:v>0.35714285714285715</c:v>
                </c:pt>
                <c:pt idx="2">
                  <c:v>0.35294117647058826</c:v>
                </c:pt>
                <c:pt idx="3">
                  <c:v>0.25</c:v>
                </c:pt>
                <c:pt idx="4">
                  <c:v>0.34285714285714286</c:v>
                </c:pt>
                <c:pt idx="5">
                  <c:v>0.27272727272727271</c:v>
                </c:pt>
                <c:pt idx="6">
                  <c:v>0.3</c:v>
                </c:pt>
                <c:pt idx="7">
                  <c:v>0.25862068965517243</c:v>
                </c:pt>
                <c:pt idx="8">
                  <c:v>0.27692307692307694</c:v>
                </c:pt>
                <c:pt idx="9">
                  <c:v>0.25</c:v>
                </c:pt>
                <c:pt idx="10">
                  <c:v>0.24358974358974358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CCD-49E2-985A-5C6FC7504B9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2874779541446208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たか2!$H$1:$H$2</c:f>
              <c:strCache>
                <c:ptCount val="2"/>
                <c:pt idx="0">
                  <c:v>たか</c:v>
                </c:pt>
                <c:pt idx="1">
                  <c:v>放銃率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たか2!$A$3:$A$13</c:f>
              <c:numCache>
                <c:formatCode>0\ "回"</c:formatCode>
                <c:ptCount val="1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</c:numCache>
            </c:numRef>
          </c:xVal>
          <c:yVal>
            <c:numRef>
              <c:f>たか2!$H$3:$H$13</c:f>
              <c:numCache>
                <c:formatCode>0.0%</c:formatCode>
                <c:ptCount val="11"/>
                <c:pt idx="1">
                  <c:v>7.1428571428571425E-2</c:v>
                </c:pt>
                <c:pt idx="2">
                  <c:v>5.8823529411764705E-2</c:v>
                </c:pt>
                <c:pt idx="3">
                  <c:v>0.10714285714285714</c:v>
                </c:pt>
                <c:pt idx="4">
                  <c:v>0.11428571428571428</c:v>
                </c:pt>
                <c:pt idx="5">
                  <c:v>0.18181818181818182</c:v>
                </c:pt>
                <c:pt idx="6">
                  <c:v>0.16</c:v>
                </c:pt>
                <c:pt idx="7">
                  <c:v>0.17241379310344829</c:v>
                </c:pt>
                <c:pt idx="8">
                  <c:v>0.16923076923076924</c:v>
                </c:pt>
                <c:pt idx="9">
                  <c:v>0.18055555555555555</c:v>
                </c:pt>
                <c:pt idx="10">
                  <c:v>0.16666666666666666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8B4-4F77-82F7-F0F3CF1D68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15167548500881833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たか2!$I$1:$I$2</c:f>
              <c:strCache>
                <c:ptCount val="2"/>
                <c:pt idx="0">
                  <c:v>たか</c:v>
                </c:pt>
                <c:pt idx="1">
                  <c:v>平均アガリ点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たか2!$A$3:$A$13</c:f>
              <c:numCache>
                <c:formatCode>0\ "回"</c:formatCode>
                <c:ptCount val="1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</c:numCache>
            </c:numRef>
          </c:xVal>
          <c:yVal>
            <c:numRef>
              <c:f>たか2!$I$3:$I$13</c:f>
              <c:numCache>
                <c:formatCode>0</c:formatCode>
                <c:ptCount val="11"/>
                <c:pt idx="1">
                  <c:v>8980</c:v>
                </c:pt>
                <c:pt idx="2">
                  <c:v>8816.6666666666661</c:v>
                </c:pt>
                <c:pt idx="3">
                  <c:v>7857.1428571428569</c:v>
                </c:pt>
                <c:pt idx="4">
                  <c:v>8625</c:v>
                </c:pt>
                <c:pt idx="5">
                  <c:v>8625</c:v>
                </c:pt>
                <c:pt idx="6">
                  <c:v>7693.333333333333</c:v>
                </c:pt>
                <c:pt idx="7">
                  <c:v>7693.333333333333</c:v>
                </c:pt>
                <c:pt idx="8">
                  <c:v>7905.5555555555557</c:v>
                </c:pt>
                <c:pt idx="9">
                  <c:v>7905.5555555555557</c:v>
                </c:pt>
                <c:pt idx="10">
                  <c:v>7557.894736842105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5C9-4B64-9205-41354802BB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8095.0920245398775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たか2!$J$1:$J$2</c:f>
              <c:strCache>
                <c:ptCount val="2"/>
                <c:pt idx="0">
                  <c:v>たか</c:v>
                </c:pt>
                <c:pt idx="1">
                  <c:v>平均放銃点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たか2!$A$3:$A$13</c:f>
              <c:numCache>
                <c:formatCode>0\ "回"</c:formatCode>
                <c:ptCount val="1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</c:numCache>
            </c:numRef>
          </c:xVal>
          <c:yVal>
            <c:numRef>
              <c:f>たか2!$J$3:$J$13</c:f>
              <c:numCache>
                <c:formatCode>0</c:formatCode>
                <c:ptCount val="11"/>
                <c:pt idx="1">
                  <c:v>-12000</c:v>
                </c:pt>
                <c:pt idx="2">
                  <c:v>-12000</c:v>
                </c:pt>
                <c:pt idx="3">
                  <c:v>-9933.3333333333339</c:v>
                </c:pt>
                <c:pt idx="4">
                  <c:v>-8425</c:v>
                </c:pt>
                <c:pt idx="5">
                  <c:v>-8400</c:v>
                </c:pt>
                <c:pt idx="6">
                  <c:v>-8400</c:v>
                </c:pt>
                <c:pt idx="7">
                  <c:v>-7820</c:v>
                </c:pt>
                <c:pt idx="8">
                  <c:v>-7227.272727272727</c:v>
                </c:pt>
                <c:pt idx="9">
                  <c:v>-6907.6923076923076</c:v>
                </c:pt>
                <c:pt idx="10">
                  <c:v>-6907.6923076923076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E0C-48CE-B085-A862FAE715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-8122.0930232558139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たか2!$K$1:$K$2</c:f>
              <c:strCache>
                <c:ptCount val="2"/>
                <c:pt idx="0">
                  <c:v>たか</c:v>
                </c:pt>
                <c:pt idx="1">
                  <c:v>ふっとび率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たか2!$A$3:$A$13</c:f>
              <c:numCache>
                <c:formatCode>0\ "回"</c:formatCode>
                <c:ptCount val="1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</c:numCache>
            </c:numRef>
          </c:xVal>
          <c:yVal>
            <c:numRef>
              <c:f>たか2!$K$3:$K$13</c:f>
              <c:numCache>
                <c:formatCode>0.0%</c:formatCode>
                <c:ptCount val="11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0.2</c:v>
                </c:pt>
                <c:pt idx="6">
                  <c:v>0.16666666666666666</c:v>
                </c:pt>
                <c:pt idx="7">
                  <c:v>0.14285714285714285</c:v>
                </c:pt>
                <c:pt idx="8">
                  <c:v>0.125</c:v>
                </c:pt>
                <c:pt idx="9">
                  <c:v>0.1111111111111111</c:v>
                </c:pt>
                <c:pt idx="10">
                  <c:v>0.1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C9F-483C-8BF9-3EEEDDBC11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5.7971014492753624E-2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たか2!$L$1:$L$2</c:f>
              <c:strCache>
                <c:ptCount val="2"/>
                <c:pt idx="0">
                  <c:v>たか</c:v>
                </c:pt>
                <c:pt idx="1">
                  <c:v>リーチ率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たか2!$A$3:$A$13</c:f>
              <c:numCache>
                <c:formatCode>0\ "回"</c:formatCode>
                <c:ptCount val="1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</c:numCache>
            </c:numRef>
          </c:xVal>
          <c:yVal>
            <c:numRef>
              <c:f>たか2!$L$3:$L$13</c:f>
              <c:numCache>
                <c:formatCode>0.0%</c:formatCode>
                <c:ptCount val="11"/>
                <c:pt idx="1">
                  <c:v>0.42857142857142855</c:v>
                </c:pt>
                <c:pt idx="2">
                  <c:v>0.41176470588235292</c:v>
                </c:pt>
                <c:pt idx="3">
                  <c:v>0.39285714285714285</c:v>
                </c:pt>
                <c:pt idx="4">
                  <c:v>0.4</c:v>
                </c:pt>
                <c:pt idx="5">
                  <c:v>0.36363636363636365</c:v>
                </c:pt>
                <c:pt idx="6">
                  <c:v>0.34</c:v>
                </c:pt>
                <c:pt idx="7">
                  <c:v>0.29310344827586204</c:v>
                </c:pt>
                <c:pt idx="8">
                  <c:v>0.27692307692307694</c:v>
                </c:pt>
                <c:pt idx="9">
                  <c:v>0.25</c:v>
                </c:pt>
                <c:pt idx="10">
                  <c:v>0.26923076923076922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A8D-4737-A6AF-5494A42741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24514991181657847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たか2!$M$1:$M$2</c:f>
              <c:strCache>
                <c:ptCount val="2"/>
                <c:pt idx="0">
                  <c:v>たか</c:v>
                </c:pt>
                <c:pt idx="1">
                  <c:v>副露率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たか2!$A$3:$A$13</c:f>
              <c:numCache>
                <c:formatCode>0\ "回"</c:formatCode>
                <c:ptCount val="1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</c:numCache>
            </c:numRef>
          </c:xVal>
          <c:yVal>
            <c:numRef>
              <c:f>たか2!$M$3:$M$13</c:f>
              <c:numCache>
                <c:formatCode>0.0%</c:formatCode>
                <c:ptCount val="11"/>
                <c:pt idx="1">
                  <c:v>0.21428571428571427</c:v>
                </c:pt>
                <c:pt idx="2">
                  <c:v>0.17647058823529413</c:v>
                </c:pt>
                <c:pt idx="3">
                  <c:v>0.25</c:v>
                </c:pt>
                <c:pt idx="4">
                  <c:v>0.22857142857142856</c:v>
                </c:pt>
                <c:pt idx="5">
                  <c:v>0.18181818181818182</c:v>
                </c:pt>
                <c:pt idx="6">
                  <c:v>0.18</c:v>
                </c:pt>
                <c:pt idx="7">
                  <c:v>0.18965517241379309</c:v>
                </c:pt>
                <c:pt idx="8">
                  <c:v>0.2</c:v>
                </c:pt>
                <c:pt idx="9">
                  <c:v>0.20833333333333334</c:v>
                </c:pt>
                <c:pt idx="10">
                  <c:v>0.21794871794871795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6AD-4CCE-BF2B-5C9AEAB897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24514991181657847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たか2!$N$1:$N$2</c:f>
              <c:strCache>
                <c:ptCount val="2"/>
                <c:pt idx="0">
                  <c:v>たか</c:v>
                </c:pt>
                <c:pt idx="1">
                  <c:v>リーチ成功率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たか2!$A$3:$A$13</c:f>
              <c:numCache>
                <c:formatCode>0\ "回"</c:formatCode>
                <c:ptCount val="1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</c:numCache>
            </c:numRef>
          </c:xVal>
          <c:yVal>
            <c:numRef>
              <c:f>たか2!$N$3:$N$13</c:f>
              <c:numCache>
                <c:formatCode>0.0%</c:formatCode>
                <c:ptCount val="11"/>
                <c:pt idx="1">
                  <c:v>0.33333333333333331</c:v>
                </c:pt>
                <c:pt idx="2">
                  <c:v>0.42857142857142855</c:v>
                </c:pt>
                <c:pt idx="3">
                  <c:v>0.27272727272727271</c:v>
                </c:pt>
                <c:pt idx="4">
                  <c:v>0.42857142857142855</c:v>
                </c:pt>
                <c:pt idx="5">
                  <c:v>0.375</c:v>
                </c:pt>
                <c:pt idx="6">
                  <c:v>0.41176470588235292</c:v>
                </c:pt>
                <c:pt idx="7">
                  <c:v>0.41176470588235292</c:v>
                </c:pt>
                <c:pt idx="8">
                  <c:v>0.44444444444444442</c:v>
                </c:pt>
                <c:pt idx="9">
                  <c:v>0.44444444444444442</c:v>
                </c:pt>
                <c:pt idx="10">
                  <c:v>0.42857142857142855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B12-4F93-81A3-2013D910695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49640287769784175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5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たか2!$O$1:$O$2</c:f>
              <c:strCache>
                <c:ptCount val="2"/>
                <c:pt idx="0">
                  <c:v>たか</c:v>
                </c:pt>
                <c:pt idx="1">
                  <c:v>副露成功率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たか2!$A$3:$A$13</c:f>
              <c:numCache>
                <c:formatCode>0\ "回"</c:formatCode>
                <c:ptCount val="1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</c:numCache>
            </c:numRef>
          </c:xVal>
          <c:yVal>
            <c:numRef>
              <c:f>たか2!$O$3:$O$13</c:f>
              <c:numCache>
                <c:formatCode>0.0%</c:formatCode>
                <c:ptCount val="11"/>
                <c:pt idx="1">
                  <c:v>1</c:v>
                </c:pt>
                <c:pt idx="2">
                  <c:v>1</c:v>
                </c:pt>
                <c:pt idx="3">
                  <c:v>0.5714285714285714</c:v>
                </c:pt>
                <c:pt idx="4">
                  <c:v>0.625</c:v>
                </c:pt>
                <c:pt idx="5">
                  <c:v>0.625</c:v>
                </c:pt>
                <c:pt idx="6">
                  <c:v>0.66666666666666663</c:v>
                </c:pt>
                <c:pt idx="7">
                  <c:v>0.54545454545454541</c:v>
                </c:pt>
                <c:pt idx="8">
                  <c:v>0.46153846153846156</c:v>
                </c:pt>
                <c:pt idx="9">
                  <c:v>0.4</c:v>
                </c:pt>
                <c:pt idx="10">
                  <c:v>0.35294117647058826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1B5-4210-90DD-8BD1D614F2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43884892086330934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5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たか2!$P$1:$P$2</c:f>
              <c:strCache>
                <c:ptCount val="2"/>
                <c:pt idx="0">
                  <c:v>たか</c:v>
                </c:pt>
                <c:pt idx="1">
                  <c:v>ツモ率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たか2!$A$3:$A$13</c:f>
              <c:numCache>
                <c:formatCode>0\ "回"</c:formatCode>
                <c:ptCount val="1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</c:numCache>
            </c:numRef>
          </c:xVal>
          <c:yVal>
            <c:numRef>
              <c:f>たか2!$P$3:$P$13</c:f>
              <c:numCache>
                <c:formatCode>0.0%</c:formatCode>
                <c:ptCount val="11"/>
                <c:pt idx="1">
                  <c:v>0.2</c:v>
                </c:pt>
                <c:pt idx="2">
                  <c:v>0.16666666666666666</c:v>
                </c:pt>
                <c:pt idx="3">
                  <c:v>0.2857142857142857</c:v>
                </c:pt>
                <c:pt idx="4">
                  <c:v>0.33333333333333331</c:v>
                </c:pt>
                <c:pt idx="5">
                  <c:v>0.33333333333333331</c:v>
                </c:pt>
                <c:pt idx="6">
                  <c:v>0.4</c:v>
                </c:pt>
                <c:pt idx="7">
                  <c:v>0.4</c:v>
                </c:pt>
                <c:pt idx="8">
                  <c:v>0.5</c:v>
                </c:pt>
                <c:pt idx="9">
                  <c:v>0.5</c:v>
                </c:pt>
                <c:pt idx="10">
                  <c:v>0.47368421052631576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3D4-46D3-9A87-4D49E92CB3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47239263803680981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4.xml"/></Relationships>
</file>

<file path=xl/chart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5.xml"/></Relationships>
</file>

<file path=xl/chart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6.xml"/></Relationships>
</file>

<file path=xl/chart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7.xml"/></Relationships>
</file>

<file path=xl/chart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8.xml"/></Relationships>
</file>

<file path=xl/chart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9.xml"/></Relationships>
</file>

<file path=xl/chart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0.xml"/></Relationships>
</file>

<file path=xl/chart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1.xml"/></Relationships>
</file>

<file path=xl/chart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2.xml"/></Relationships>
</file>

<file path=xl/chart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3.xml"/></Relationships>
</file>

<file path=xl/chart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4.xml"/></Relationships>
</file>

<file path=xl/chart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5.xml"/></Relationships>
</file>

<file path=xl/chart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6.xml"/></Relationships>
</file>

<file path=xl/chartsheets/_rels/sheet1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7.xml"/></Relationships>
</file>

<file path=xl/chartsheets/_rels/sheet1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8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98DAB81F-B507-474C-8D8B-DB860531E829}">
  <sheetPr codeName="グラフ25"/>
  <sheetViews>
    <sheetView zoomScale="122" workbookViewId="0" zoomToFit="1"/>
  </sheetViews>
  <pageMargins left="0.7" right="0.7" top="0.75" bottom="0.75" header="0.3" footer="0.3"/>
  <drawing r:id="rId1"/>
</chartsheet>
</file>

<file path=xl/chartsheets/sheet2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A0C9280-4942-49E0-8F9D-75380B045F17}">
  <sheetPr codeName="グラフ26"/>
  <sheetViews>
    <sheetView zoomScale="122" workbookViewId="0" zoomToFit="1"/>
  </sheetViews>
  <pageMargins left="0.7" right="0.7" top="0.75" bottom="0.75" header="0.3" footer="0.3"/>
  <drawing r:id="rId1"/>
</chartsheet>
</file>

<file path=xl/chartsheets/sheet3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E4723981-49EE-48B1-BCB7-B429207C980C}">
  <sheetPr codeName="グラフ11"/>
  <sheetViews>
    <sheetView zoomScale="122" workbookViewId="0" zoomToFit="1"/>
  </sheetViews>
  <pageMargins left="0.7" right="0.7" top="0.75" bottom="0.75" header="0.3" footer="0.3"/>
  <drawing r:id="rId1"/>
</chartsheet>
</file>

<file path=xl/chartsheets/sheet4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D8AF8B8E-18E6-4D45-8842-AD6B185B1DF1}">
  <sheetPr codeName="グラフ12"/>
  <sheetViews>
    <sheetView zoomScale="122" workbookViewId="0" zoomToFit="1"/>
  </sheetViews>
  <pageMargins left="0.7" right="0.7" top="0.75" bottom="0.75" header="0.3" footer="0.3"/>
  <drawing r:id="rId1"/>
</chartsheet>
</file>

<file path=xl/chartsheets/sheet5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6F4C223D-DB87-4162-9163-A21ED8DED6C0}">
  <sheetPr codeName="グラフ21"/>
  <sheetViews>
    <sheetView zoomScale="122" workbookViewId="0" zoomToFit="1"/>
  </sheetViews>
  <pageMargins left="0.7" right="0.7" top="0.75" bottom="0.75" header="0.3" footer="0.3"/>
  <drawing r:id="rId1"/>
</chartsheet>
</file>

<file path=xl/chartsheets/sheet6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8717A0A4-B5B2-4036-9115-D2707E42B987}">
  <sheetPr codeName="グラフ13"/>
  <sheetViews>
    <sheetView zoomScale="122" workbookViewId="0" zoomToFit="1"/>
  </sheetViews>
  <pageMargins left="0.7" right="0.7" top="0.75" bottom="0.75" header="0.3" footer="0.3"/>
  <drawing r:id="rId1"/>
</chartsheet>
</file>

<file path=xl/chartsheets/sheet7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6ACA186E-FAC7-43D2-B5EC-98EE5D89B0F4}">
  <sheetPr codeName="グラフ14"/>
  <sheetViews>
    <sheetView zoomScale="122" workbookViewId="0" zoomToFit="1"/>
  </sheetViews>
  <pageMargins left="0.7" right="0.7" top="0.75" bottom="0.75" header="0.3" footer="0.3"/>
  <drawing r:id="rId1"/>
</chartsheet>
</file>

<file path=xl/chartsheets/sheet8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F9DEC94D-A0B4-4D52-ADFA-EBB7D1847F78}">
  <sheetPr codeName="グラフ15"/>
  <sheetViews>
    <sheetView zoomScale="122" workbookViewId="0" zoomToFit="1"/>
  </sheetViews>
  <pageMargins left="0.7" right="0.7" top="0.75" bottom="0.75" header="0.3" footer="0.3"/>
  <drawing r:id="rId1"/>
</chartsheet>
</file>

<file path=xl/chartsheets/sheet9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81891DCD-354E-4AD2-BAEE-3F58C05B2E44}">
  <sheetPr codeName="グラフ16"/>
  <sheetViews>
    <sheetView zoomScale="122" workbookViewId="0" zoomToFit="1"/>
  </sheetViews>
  <pageMargins left="0.7" right="0.7" top="0.75" bottom="0.75" header="0.3" footer="0.3"/>
  <drawing r:id="rId1"/>
</chartsheet>
</file>

<file path=xl/chartsheets/sheet10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6A486C32-CD1C-480C-B360-20B23A5B59B7}">
  <sheetPr codeName="グラフ17"/>
  <sheetViews>
    <sheetView zoomScale="122" workbookViewId="0" zoomToFit="1"/>
  </sheetViews>
  <pageMargins left="0.7" right="0.7" top="0.75" bottom="0.75" header="0.3" footer="0.3"/>
  <drawing r:id="rId1"/>
</chartsheet>
</file>

<file path=xl/chartsheets/sheet1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1F6232C9-A680-4D32-92D3-41314363256C}">
  <sheetPr codeName="グラフ19"/>
  <sheetViews>
    <sheetView zoomScale="122" workbookViewId="0" zoomToFit="1"/>
  </sheetViews>
  <pageMargins left="0.7" right="0.7" top="0.75" bottom="0.75" header="0.3" footer="0.3"/>
  <drawing r:id="rId1"/>
</chartsheet>
</file>

<file path=xl/chartsheets/sheet12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4321832-619A-41F8-B4FC-63960B9825E7}">
  <sheetPr codeName="グラフ20"/>
  <sheetViews>
    <sheetView zoomScale="122" workbookViewId="0" zoomToFit="1"/>
  </sheetViews>
  <pageMargins left="0.7" right="0.7" top="0.75" bottom="0.75" header="0.3" footer="0.3"/>
  <drawing r:id="rId1"/>
</chartsheet>
</file>

<file path=xl/chartsheets/sheet13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B312A6CF-DA23-4E8E-8527-53CE5D2198AC}">
  <sheetPr codeName="グラフ27"/>
  <sheetViews>
    <sheetView zoomScale="115" workbookViewId="0" zoomToFit="1"/>
  </sheetViews>
  <pageMargins left="0.7" right="0.7" top="0.75" bottom="0.75" header="0.3" footer="0.3"/>
  <drawing r:id="rId1"/>
</chartsheet>
</file>

<file path=xl/chartsheets/sheet14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94CAB09A-FFF4-44E1-BDEB-CB1A99BD4045}">
  <sheetPr codeName="グラフ22"/>
  <sheetViews>
    <sheetView zoomScale="122" workbookViewId="0" zoomToFit="1"/>
  </sheetViews>
  <pageMargins left="0.7" right="0.7" top="0.75" bottom="0.75" header="0.3" footer="0.3"/>
  <drawing r:id="rId1"/>
</chartsheet>
</file>

<file path=xl/chartsheets/sheet15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32ECB117-108C-4447-B3EC-09099EA4D221}">
  <sheetPr codeName="グラフ23"/>
  <sheetViews>
    <sheetView zoomScale="122" workbookViewId="0" zoomToFit="1"/>
  </sheetViews>
  <pageMargins left="0.7" right="0.7" top="0.75" bottom="0.75" header="0.3" footer="0.3"/>
  <drawing r:id="rId1"/>
</chartsheet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chart" Target="../charts/chart4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.xml"/><Relationship Id="rId2" Type="http://schemas.openxmlformats.org/officeDocument/2006/relationships/chart" Target="../charts/chart6.xml"/><Relationship Id="rId1" Type="http://schemas.openxmlformats.org/officeDocument/2006/relationships/chart" Target="../charts/chart5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0.xml"/><Relationship Id="rId2" Type="http://schemas.openxmlformats.org/officeDocument/2006/relationships/chart" Target="../charts/chart9.xml"/><Relationship Id="rId1" Type="http://schemas.openxmlformats.org/officeDocument/2006/relationships/chart" Target="../charts/chart8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3.xml"/><Relationship Id="rId2" Type="http://schemas.openxmlformats.org/officeDocument/2006/relationships/chart" Target="../charts/chart12.xml"/><Relationship Id="rId1" Type="http://schemas.openxmlformats.org/officeDocument/2006/relationships/chart" Target="../charts/chart11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6.xml"/><Relationship Id="rId2" Type="http://schemas.openxmlformats.org/officeDocument/2006/relationships/chart" Target="../charts/chart15.xml"/><Relationship Id="rId1" Type="http://schemas.openxmlformats.org/officeDocument/2006/relationships/chart" Target="../charts/chart14.xm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9.xml"/><Relationship Id="rId2" Type="http://schemas.openxmlformats.org/officeDocument/2006/relationships/chart" Target="../charts/chart18.xml"/><Relationship Id="rId1" Type="http://schemas.openxmlformats.org/officeDocument/2006/relationships/chart" Target="../charts/chart17.xml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2.xml"/><Relationship Id="rId2" Type="http://schemas.openxmlformats.org/officeDocument/2006/relationships/chart" Target="../charts/chart21.xml"/><Relationship Id="rId1" Type="http://schemas.openxmlformats.org/officeDocument/2006/relationships/chart" Target="../charts/chart20.xml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5.xml"/><Relationship Id="rId2" Type="http://schemas.openxmlformats.org/officeDocument/2006/relationships/chart" Target="../charts/chart24.xml"/><Relationship Id="rId1" Type="http://schemas.openxmlformats.org/officeDocument/2006/relationships/chart" Target="../charts/chart23.xml"/></Relationships>
</file>

<file path=xl/drawings/_rels/drawing1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8.xml"/><Relationship Id="rId2" Type="http://schemas.openxmlformats.org/officeDocument/2006/relationships/chart" Target="../charts/chart27.xml"/><Relationship Id="rId1" Type="http://schemas.openxmlformats.org/officeDocument/2006/relationships/chart" Target="../charts/chart26.xml"/></Relationships>
</file>

<file path=xl/drawings/_rels/drawing1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1.xml"/><Relationship Id="rId2" Type="http://schemas.openxmlformats.org/officeDocument/2006/relationships/chart" Target="../charts/chart30.xml"/><Relationship Id="rId1" Type="http://schemas.openxmlformats.org/officeDocument/2006/relationships/chart" Target="../charts/chart29.xml"/></Relationships>
</file>

<file path=xl/drawings/_rels/drawing1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4.xml"/><Relationship Id="rId2" Type="http://schemas.openxmlformats.org/officeDocument/2006/relationships/chart" Target="../charts/chart33.xml"/><Relationship Id="rId1" Type="http://schemas.openxmlformats.org/officeDocument/2006/relationships/chart" Target="../charts/chart32.xml"/></Relationships>
</file>

<file path=xl/drawings/_rels/drawing1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7.xml"/><Relationship Id="rId2" Type="http://schemas.openxmlformats.org/officeDocument/2006/relationships/chart" Target="../charts/chart36.xml"/><Relationship Id="rId1" Type="http://schemas.openxmlformats.org/officeDocument/2006/relationships/chart" Target="../charts/chart35.xml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8.xml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9.xml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0.xml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1.xml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2.xml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3.xml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4.xml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5.xml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6.xml"/></Relationships>
</file>

<file path=xl/drawings/_rels/drawing2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7.xml"/></Relationships>
</file>

<file path=xl/drawings/_rels/drawing2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8.xml"/></Relationships>
</file>

<file path=xl/drawings/_rels/drawing2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9.xml"/></Relationships>
</file>

<file path=xl/drawings/_rels/drawing2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0.xml"/></Relationships>
</file>

<file path=xl/drawings/_rels/drawing2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1.xml"/></Relationships>
</file>

<file path=xl/drawings/_rels/drawing2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258763</xdr:colOff>
      <xdr:row>0</xdr:row>
      <xdr:rowOff>211365</xdr:rowOff>
    </xdr:from>
    <xdr:to>
      <xdr:col>24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258100</xdr:colOff>
      <xdr:row>24</xdr:row>
      <xdr:rowOff>28369</xdr:rowOff>
    </xdr:from>
    <xdr:to>
      <xdr:col>24</xdr:col>
      <xdr:colOff>376900</xdr:colOff>
      <xdr:row>34</xdr:row>
      <xdr:rowOff>195094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258100</xdr:colOff>
      <xdr:row>35</xdr:row>
      <xdr:rowOff>165735</xdr:rowOff>
    </xdr:from>
    <xdr:to>
      <xdr:col>24</xdr:col>
      <xdr:colOff>376900</xdr:colOff>
      <xdr:row>46</xdr:row>
      <xdr:rowOff>113385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258763</xdr:colOff>
      <xdr:row>12</xdr:row>
      <xdr:rowOff>119867</xdr:rowOff>
    </xdr:from>
    <xdr:to>
      <xdr:col>24</xdr:col>
      <xdr:colOff>376237</xdr:colOff>
      <xdr:row>23</xdr:row>
      <xdr:rowOff>57727</xdr:rowOff>
    </xdr:to>
    <xdr:graphicFrame macro="">
      <xdr:nvGraphicFramePr>
        <xdr:cNvPr id="5" name="Score">
          <a:extLst>
            <a:ext uri="{FF2B5EF4-FFF2-40B4-BE49-F238E27FC236}">
              <a16:creationId xmlns:a16="http://schemas.microsoft.com/office/drawing/2014/main" id="{E9D5D196-D81C-4C37-8A74-CE91D963792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30480</xdr:colOff>
          <xdr:row>0</xdr:row>
          <xdr:rowOff>30480</xdr:rowOff>
        </xdr:from>
        <xdr:to>
          <xdr:col>0</xdr:col>
          <xdr:colOff>426720</xdr:colOff>
          <xdr:row>0</xdr:row>
          <xdr:rowOff>220980</xdr:rowOff>
        </xdr:to>
        <xdr:sp macro="" textlink="">
          <xdr:nvSpPr>
            <xdr:cNvPr id="31745" name="Button 1" hidden="1">
              <a:extLst>
                <a:ext uri="{63B3BB69-23CF-44E3-9099-C40C66FF867C}">
                  <a14:compatExt spid="_x0000_s31745"/>
                </a:ext>
                <a:ext uri="{FF2B5EF4-FFF2-40B4-BE49-F238E27FC236}">
                  <a16:creationId xmlns:a16="http://schemas.microsoft.com/office/drawing/2014/main" id="{00000000-0008-0000-0400-000001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集計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7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8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9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9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A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B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B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C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C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D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D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E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E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E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F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F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F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absoluteAnchor>
    <xdr:pos x="0" y="0"/>
    <xdr:ext cx="9294395" cy="6075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B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5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C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6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D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7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E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8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F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9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0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0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1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1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2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2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3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3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4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4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5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5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6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6.xml><?xml version="1.0" encoding="utf-8"?>
<xdr:wsDr xmlns:xdr="http://schemas.openxmlformats.org/drawingml/2006/spreadsheetDrawing" xmlns:a="http://schemas.openxmlformats.org/drawingml/2006/main">
  <xdr:absoluteAnchor>
    <xdr:pos x="0" y="0"/>
    <xdr:ext cx="9289774" cy="6062870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7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7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8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8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9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234C90-B33D-4483-A231-EEDC080ABC69}">
  <sheetPr codeName="Sheet3"/>
  <dimension ref="A1:F11"/>
  <sheetViews>
    <sheetView workbookViewId="0"/>
  </sheetViews>
  <sheetFormatPr defaultColWidth="9" defaultRowHeight="18" x14ac:dyDescent="0.45"/>
  <cols>
    <col min="1" max="1" width="19.09765625" style="2" customWidth="1"/>
    <col min="2" max="2" width="19.09765625" style="3" customWidth="1"/>
    <col min="3" max="16384" width="9" style="2"/>
  </cols>
  <sheetData>
    <row r="1" spans="1:6" x14ac:dyDescent="0.45">
      <c r="A1" s="1">
        <v>32874</v>
      </c>
      <c r="B1" s="1">
        <v>2958465</v>
      </c>
    </row>
    <row r="2" spans="1:6" x14ac:dyDescent="0.45">
      <c r="A2" s="2" t="s">
        <v>192</v>
      </c>
      <c r="B2" s="3">
        <v>44099.878622685188</v>
      </c>
      <c r="C2" s="2" t="s">
        <v>127</v>
      </c>
      <c r="D2" s="2" t="s">
        <v>189</v>
      </c>
    </row>
    <row r="3" spans="1:6" x14ac:dyDescent="0.45">
      <c r="A3" s="2" t="s">
        <v>193</v>
      </c>
      <c r="B3" s="3">
        <v>44101.628645833334</v>
      </c>
      <c r="C3" s="2" t="s">
        <v>127</v>
      </c>
      <c r="D3" s="2" t="s">
        <v>189</v>
      </c>
      <c r="E3" s="2" t="s">
        <v>196</v>
      </c>
    </row>
    <row r="4" spans="1:6" x14ac:dyDescent="0.45">
      <c r="A4" s="2" t="s">
        <v>197</v>
      </c>
      <c r="B4" s="3">
        <v>44105.687534722223</v>
      </c>
      <c r="C4" s="2" t="s">
        <v>127</v>
      </c>
      <c r="D4" s="2" t="s">
        <v>189</v>
      </c>
    </row>
    <row r="5" spans="1:6" x14ac:dyDescent="0.45">
      <c r="A5" s="2" t="s">
        <v>199</v>
      </c>
      <c r="B5" s="3">
        <v>44108.654826388891</v>
      </c>
      <c r="C5" s="2" t="s">
        <v>127</v>
      </c>
      <c r="D5" s="2" t="s">
        <v>189</v>
      </c>
      <c r="E5" s="2" t="s">
        <v>196</v>
      </c>
      <c r="F5" s="2" t="s">
        <v>202</v>
      </c>
    </row>
    <row r="6" spans="1:6" x14ac:dyDescent="0.45">
      <c r="A6" s="2" t="s">
        <v>203</v>
      </c>
      <c r="B6" s="3">
        <v>44108.750254629631</v>
      </c>
      <c r="C6" s="2" t="s">
        <v>127</v>
      </c>
      <c r="D6" s="2" t="s">
        <v>189</v>
      </c>
      <c r="E6" s="2" t="s">
        <v>196</v>
      </c>
      <c r="F6" s="2" t="s">
        <v>202</v>
      </c>
    </row>
    <row r="7" spans="1:6" x14ac:dyDescent="0.45">
      <c r="A7" s="2" t="s">
        <v>204</v>
      </c>
      <c r="B7" s="3">
        <v>44109.78162037037</v>
      </c>
      <c r="C7" s="2" t="s">
        <v>127</v>
      </c>
    </row>
    <row r="8" spans="1:6" x14ac:dyDescent="0.45">
      <c r="A8" s="2" t="s">
        <v>205</v>
      </c>
      <c r="B8" s="3">
        <v>44110.846435185187</v>
      </c>
      <c r="C8" s="2" t="s">
        <v>127</v>
      </c>
    </row>
    <row r="9" spans="1:6" x14ac:dyDescent="0.45">
      <c r="A9" s="2" t="s">
        <v>206</v>
      </c>
      <c r="B9" s="3">
        <v>44111.787476851852</v>
      </c>
      <c r="C9" s="2" t="s">
        <v>127</v>
      </c>
      <c r="D9" s="2" t="s">
        <v>189</v>
      </c>
    </row>
    <row r="10" spans="1:6" x14ac:dyDescent="0.45">
      <c r="A10" s="2" t="s">
        <v>209</v>
      </c>
      <c r="B10" s="3">
        <v>44112.702719907407</v>
      </c>
      <c r="C10" s="2" t="s">
        <v>127</v>
      </c>
    </row>
    <row r="11" spans="1:6" x14ac:dyDescent="0.45">
      <c r="A11" s="2" t="s">
        <v>210</v>
      </c>
      <c r="B11" s="3">
        <v>44114.010949074072</v>
      </c>
      <c r="C11" s="2" t="s">
        <v>127</v>
      </c>
      <c r="D11" s="2" t="s">
        <v>189</v>
      </c>
      <c r="E11" s="2" t="s">
        <v>196</v>
      </c>
    </row>
  </sheetData>
  <phoneticPr fontId="1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0684E7-1BA3-464F-800F-57D537058131}">
  <sheetPr codeName="Sheet5"/>
  <dimension ref="A1:P3"/>
  <sheetViews>
    <sheetView workbookViewId="0"/>
  </sheetViews>
  <sheetFormatPr defaultColWidth="10.59765625" defaultRowHeight="18" x14ac:dyDescent="0.45"/>
  <cols>
    <col min="1" max="1" width="10.59765625" style="35"/>
    <col min="2" max="3" width="10.59765625" style="32"/>
    <col min="4" max="4" width="10.59765625" style="37"/>
    <col min="5" max="8" width="10.59765625" style="33"/>
    <col min="9" max="10" width="10.59765625" style="34"/>
    <col min="11" max="16" width="10.59765625" style="33"/>
    <col min="17" max="16384" width="10.59765625" style="36"/>
  </cols>
  <sheetData>
    <row r="1" spans="1:16" x14ac:dyDescent="0.45">
      <c r="A1" s="36"/>
      <c r="B1" s="36"/>
      <c r="C1" s="36"/>
      <c r="E1" s="36"/>
      <c r="F1" s="36"/>
      <c r="G1" s="36"/>
      <c r="H1" s="36"/>
      <c r="I1" s="36"/>
      <c r="J1" s="36"/>
      <c r="K1" s="36"/>
      <c r="L1" s="36"/>
      <c r="M1" s="36"/>
      <c r="N1" s="36"/>
      <c r="O1" s="36"/>
      <c r="P1" s="36"/>
    </row>
    <row r="2" spans="1:16" x14ac:dyDescent="0.45">
      <c r="A2" s="36" t="s">
        <v>9</v>
      </c>
      <c r="B2" s="36" t="s">
        <v>6</v>
      </c>
      <c r="C2" s="36" t="s">
        <v>7</v>
      </c>
      <c r="D2" s="37" t="s">
        <v>15</v>
      </c>
      <c r="E2" s="36" t="s">
        <v>14</v>
      </c>
      <c r="F2" s="36" t="s">
        <v>150</v>
      </c>
      <c r="G2" s="36" t="s">
        <v>141</v>
      </c>
      <c r="H2" s="36" t="s">
        <v>140</v>
      </c>
      <c r="I2" s="36" t="s">
        <v>5</v>
      </c>
      <c r="J2" s="36" t="s">
        <v>16</v>
      </c>
      <c r="K2" s="36" t="s">
        <v>17</v>
      </c>
      <c r="L2" s="36" t="s">
        <v>122</v>
      </c>
      <c r="M2" s="36" t="s">
        <v>119</v>
      </c>
      <c r="N2" s="36" t="s">
        <v>125</v>
      </c>
      <c r="O2" s="36" t="s">
        <v>142</v>
      </c>
      <c r="P2" s="36" t="s">
        <v>138</v>
      </c>
    </row>
    <row r="3" spans="1:16" x14ac:dyDescent="0.45">
      <c r="A3" s="35">
        <v>0</v>
      </c>
      <c r="B3" s="32">
        <v>0</v>
      </c>
    </row>
  </sheetData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7650B7-B87C-4F32-BBC8-D00876651E74}">
  <sheetPr codeName="Sheet1"/>
  <dimension ref="A1:B11"/>
  <sheetViews>
    <sheetView workbookViewId="0"/>
  </sheetViews>
  <sheetFormatPr defaultRowHeight="18" x14ac:dyDescent="0.45"/>
  <cols>
    <col min="1" max="1" width="11" customWidth="1"/>
    <col min="2" max="2" width="9" customWidth="1"/>
  </cols>
  <sheetData>
    <row r="1" spans="1:2" x14ac:dyDescent="0.45">
      <c r="A1" t="s">
        <v>139</v>
      </c>
      <c r="B1">
        <v>69</v>
      </c>
    </row>
    <row r="2" spans="1:2" x14ac:dyDescent="0.45">
      <c r="A2" t="s">
        <v>126</v>
      </c>
      <c r="B2">
        <v>16</v>
      </c>
    </row>
    <row r="3" spans="1:2" x14ac:dyDescent="0.45">
      <c r="A3" t="s">
        <v>164</v>
      </c>
      <c r="B3">
        <v>6</v>
      </c>
    </row>
    <row r="4" spans="1:2" x14ac:dyDescent="0.45">
      <c r="A4" t="s">
        <v>190</v>
      </c>
      <c r="B4">
        <v>6</v>
      </c>
    </row>
    <row r="5" spans="1:2" x14ac:dyDescent="0.45">
      <c r="A5" t="s">
        <v>195</v>
      </c>
      <c r="B5">
        <v>3</v>
      </c>
    </row>
    <row r="6" spans="1:2" x14ac:dyDescent="0.45">
      <c r="A6" t="s">
        <v>194</v>
      </c>
      <c r="B6">
        <v>13</v>
      </c>
    </row>
    <row r="7" spans="1:2" x14ac:dyDescent="0.45">
      <c r="A7" t="s">
        <v>198</v>
      </c>
      <c r="B7">
        <v>7</v>
      </c>
    </row>
    <row r="8" spans="1:2" x14ac:dyDescent="0.45">
      <c r="A8" t="s">
        <v>201</v>
      </c>
      <c r="B8">
        <v>10</v>
      </c>
    </row>
    <row r="9" spans="1:2" x14ac:dyDescent="0.45">
      <c r="A9" t="s">
        <v>200</v>
      </c>
      <c r="B9">
        <v>4</v>
      </c>
    </row>
    <row r="10" spans="1:2" x14ac:dyDescent="0.45">
      <c r="A10" t="s">
        <v>208</v>
      </c>
      <c r="B10">
        <v>2</v>
      </c>
    </row>
    <row r="11" spans="1:2" x14ac:dyDescent="0.45">
      <c r="A11" t="s">
        <v>207</v>
      </c>
      <c r="B11">
        <v>2</v>
      </c>
    </row>
  </sheetData>
  <phoneticPr fontId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21EF70-E5AA-4531-88B6-6E46E5A0D80D}">
  <sheetPr codeName="Sheet2"/>
  <dimension ref="A1:R52"/>
  <sheetViews>
    <sheetView showGridLines="0" tabSelected="1" zoomScaleNormal="100" workbookViewId="0"/>
  </sheetViews>
  <sheetFormatPr defaultColWidth="9" defaultRowHeight="18" x14ac:dyDescent="0.45"/>
  <cols>
    <col min="1" max="1" width="13" style="107" customWidth="1"/>
    <col min="2" max="3" width="9" style="107" customWidth="1"/>
    <col min="4" max="4" width="3.59765625" style="107" customWidth="1"/>
    <col min="5" max="5" width="3.59765625" style="116" bestFit="1" customWidth="1"/>
    <col min="6" max="6" width="11" style="111" bestFit="1" customWidth="1"/>
    <col min="7" max="9" width="9" style="107" customWidth="1"/>
    <col min="10" max="10" width="3.59765625" style="107" customWidth="1"/>
    <col min="11" max="11" width="3.5" style="78" customWidth="1"/>
    <col min="12" max="12" width="9" style="167" customWidth="1"/>
    <col min="13" max="13" width="9" style="165" customWidth="1"/>
    <col min="14" max="14" width="3.59765625" style="107" customWidth="1"/>
    <col min="15" max="15" width="9" style="78" customWidth="1"/>
    <col min="16" max="16" width="9" style="87" customWidth="1"/>
    <col min="17" max="17" width="9" style="81" customWidth="1"/>
    <col min="18" max="18" width="3.59765625" style="72" customWidth="1"/>
    <col min="19" max="16384" width="9" style="107"/>
  </cols>
  <sheetData>
    <row r="1" spans="1:18" x14ac:dyDescent="0.45">
      <c r="A1" s="19" t="s">
        <v>0</v>
      </c>
      <c r="B1" s="145"/>
      <c r="C1" s="146"/>
      <c r="E1" s="108" t="s">
        <v>155</v>
      </c>
      <c r="F1" s="104" t="s">
        <v>115</v>
      </c>
      <c r="G1" s="103" t="s">
        <v>116</v>
      </c>
      <c r="H1" s="90" t="s">
        <v>117</v>
      </c>
      <c r="I1" s="104" t="s">
        <v>146</v>
      </c>
      <c r="K1" s="76" t="s">
        <v>19</v>
      </c>
      <c r="L1" s="4" t="s">
        <v>120</v>
      </c>
      <c r="M1" s="163" t="s">
        <v>212</v>
      </c>
      <c r="N1" s="109"/>
      <c r="O1" s="76" t="s">
        <v>134</v>
      </c>
      <c r="P1" s="4" t="s">
        <v>135</v>
      </c>
      <c r="Q1" s="110" t="s">
        <v>116</v>
      </c>
      <c r="R1" s="66" t="s">
        <v>148</v>
      </c>
    </row>
    <row r="2" spans="1:18" x14ac:dyDescent="0.45">
      <c r="A2" s="20" t="s">
        <v>9</v>
      </c>
      <c r="B2" s="147">
        <v>0</v>
      </c>
      <c r="C2" s="148"/>
      <c r="E2" s="28" t="s">
        <v>64</v>
      </c>
      <c r="F2" s="25" t="s">
        <v>20</v>
      </c>
      <c r="G2" s="13">
        <v>0</v>
      </c>
      <c r="H2" s="91">
        <f>IF(B$20=0,0,G2/B$20)</f>
        <v>0</v>
      </c>
      <c r="I2" s="59"/>
      <c r="K2" s="77">
        <v>0</v>
      </c>
      <c r="L2" s="166">
        <v>0</v>
      </c>
      <c r="M2" s="164">
        <v>1500</v>
      </c>
      <c r="O2" s="77" t="s">
        <v>128</v>
      </c>
      <c r="P2" s="83">
        <f t="shared" ref="P2:P7" si="0">IF(Q2=0,0,R2/Q2)</f>
        <v>0</v>
      </c>
      <c r="Q2" s="80">
        <v>0</v>
      </c>
      <c r="R2" s="67">
        <v>0</v>
      </c>
    </row>
    <row r="3" spans="1:18" x14ac:dyDescent="0.45">
      <c r="A3" s="21" t="s">
        <v>8</v>
      </c>
      <c r="B3" s="149">
        <v>0</v>
      </c>
      <c r="C3" s="150"/>
      <c r="E3" s="29" t="s">
        <v>65</v>
      </c>
      <c r="F3" s="26" t="s">
        <v>21</v>
      </c>
      <c r="G3" s="14">
        <v>0</v>
      </c>
      <c r="H3" s="92">
        <f>IF(B$20=0,0,G3/B$20)</f>
        <v>0</v>
      </c>
      <c r="I3" s="60"/>
      <c r="O3" s="78" t="s">
        <v>129</v>
      </c>
      <c r="P3" s="84">
        <f t="shared" si="0"/>
        <v>0</v>
      </c>
      <c r="Q3" s="81">
        <v>0</v>
      </c>
      <c r="R3" s="68">
        <v>0</v>
      </c>
    </row>
    <row r="4" spans="1:18" x14ac:dyDescent="0.45">
      <c r="A4" s="21" t="s">
        <v>6</v>
      </c>
      <c r="B4" s="151">
        <v>0</v>
      </c>
      <c r="C4" s="152"/>
      <c r="E4" s="29" t="s">
        <v>66</v>
      </c>
      <c r="F4" s="26" t="s">
        <v>22</v>
      </c>
      <c r="G4" s="14">
        <v>0</v>
      </c>
      <c r="H4" s="92">
        <f>IF(B$20=0,0,G4/B$20)</f>
        <v>0</v>
      </c>
      <c r="I4" s="60"/>
      <c r="O4" s="78" t="s">
        <v>130</v>
      </c>
      <c r="P4" s="84">
        <f t="shared" si="0"/>
        <v>0</v>
      </c>
      <c r="Q4" s="81">
        <v>0</v>
      </c>
      <c r="R4" s="68">
        <v>0</v>
      </c>
    </row>
    <row r="5" spans="1:18" x14ac:dyDescent="0.45">
      <c r="A5" s="21" t="s">
        <v>7</v>
      </c>
      <c r="B5" s="139">
        <f>IF(B$2=0,0,B$4/B$2)</f>
        <v>0</v>
      </c>
      <c r="C5" s="140"/>
      <c r="E5" s="29" t="s">
        <v>67</v>
      </c>
      <c r="F5" s="26" t="s">
        <v>23</v>
      </c>
      <c r="G5" s="14">
        <v>0</v>
      </c>
      <c r="H5" s="92">
        <f>IF(B$20=0,0,G5/B$20)</f>
        <v>0</v>
      </c>
      <c r="I5" s="60"/>
      <c r="O5" s="78" t="s">
        <v>131</v>
      </c>
      <c r="P5" s="84">
        <f t="shared" si="0"/>
        <v>0</v>
      </c>
      <c r="Q5" s="81">
        <v>0</v>
      </c>
      <c r="R5" s="68">
        <v>0</v>
      </c>
    </row>
    <row r="6" spans="1:18" x14ac:dyDescent="0.45">
      <c r="A6" s="21" t="s">
        <v>211</v>
      </c>
      <c r="B6" s="143">
        <v>1500</v>
      </c>
      <c r="C6" s="144"/>
      <c r="E6" s="29" t="s">
        <v>68</v>
      </c>
      <c r="F6" s="26" t="s">
        <v>12</v>
      </c>
      <c r="G6" s="14">
        <v>0</v>
      </c>
      <c r="H6" s="92">
        <f>IF(B$20=0,0,G6/B$20)</f>
        <v>0</v>
      </c>
      <c r="I6" s="60"/>
      <c r="O6" s="78" t="s">
        <v>132</v>
      </c>
      <c r="P6" s="84">
        <f t="shared" si="0"/>
        <v>0</v>
      </c>
      <c r="Q6" s="81">
        <v>0</v>
      </c>
      <c r="R6" s="68">
        <v>0</v>
      </c>
    </row>
    <row r="7" spans="1:18" x14ac:dyDescent="0.45">
      <c r="A7" s="21" t="s">
        <v>1</v>
      </c>
      <c r="B7" s="153">
        <f>IF(B$2=0,0,(B$8*1+B$9*2+B$10*3)/B$2)</f>
        <v>0</v>
      </c>
      <c r="C7" s="154"/>
      <c r="E7" s="29" t="s">
        <v>69</v>
      </c>
      <c r="F7" s="26" t="s">
        <v>24</v>
      </c>
      <c r="G7" s="14">
        <v>0</v>
      </c>
      <c r="H7" s="92">
        <f>IF(B$20=0,0,G7/B$20)</f>
        <v>0</v>
      </c>
      <c r="I7" s="60"/>
      <c r="O7" s="79" t="s">
        <v>133</v>
      </c>
      <c r="P7" s="85">
        <f t="shared" si="0"/>
        <v>0</v>
      </c>
      <c r="Q7" s="82">
        <v>0</v>
      </c>
      <c r="R7" s="69">
        <v>0</v>
      </c>
    </row>
    <row r="8" spans="1:18" x14ac:dyDescent="0.45">
      <c r="A8" s="21" t="s">
        <v>2</v>
      </c>
      <c r="B8" s="14">
        <v>0</v>
      </c>
      <c r="C8" s="8">
        <f t="shared" ref="C8:C15" si="1">IF(B$2=0,0,B8/B$2)</f>
        <v>0</v>
      </c>
      <c r="E8" s="29" t="s">
        <v>70</v>
      </c>
      <c r="F8" s="26" t="s">
        <v>25</v>
      </c>
      <c r="G8" s="14">
        <v>0</v>
      </c>
      <c r="H8" s="92">
        <f>IF(B$20=0,0,G8/B$20)</f>
        <v>0</v>
      </c>
      <c r="I8" s="60"/>
      <c r="O8" s="111"/>
      <c r="P8" s="89"/>
      <c r="Q8" s="112"/>
      <c r="R8" s="74"/>
    </row>
    <row r="9" spans="1:18" x14ac:dyDescent="0.45">
      <c r="A9" s="21" t="s">
        <v>3</v>
      </c>
      <c r="B9" s="14">
        <v>0</v>
      </c>
      <c r="C9" s="8">
        <f t="shared" si="1"/>
        <v>0</v>
      </c>
      <c r="E9" s="29" t="s">
        <v>71</v>
      </c>
      <c r="F9" s="26" t="s">
        <v>26</v>
      </c>
      <c r="G9" s="14">
        <v>0</v>
      </c>
      <c r="H9" s="92">
        <f>IF(B$20=0,0,G9/B$20)</f>
        <v>0</v>
      </c>
      <c r="I9" s="60"/>
      <c r="O9" s="76" t="s">
        <v>151</v>
      </c>
      <c r="P9" s="4" t="s">
        <v>120</v>
      </c>
      <c r="Q9" s="110" t="s">
        <v>116</v>
      </c>
      <c r="R9" s="70" t="s">
        <v>148</v>
      </c>
    </row>
    <row r="10" spans="1:18" x14ac:dyDescent="0.45">
      <c r="A10" s="22" t="s">
        <v>4</v>
      </c>
      <c r="B10" s="15">
        <v>0</v>
      </c>
      <c r="C10" s="9">
        <f t="shared" si="1"/>
        <v>0</v>
      </c>
      <c r="E10" s="29" t="s">
        <v>72</v>
      </c>
      <c r="F10" s="26" t="s">
        <v>27</v>
      </c>
      <c r="G10" s="14">
        <v>0</v>
      </c>
      <c r="H10" s="92">
        <f>IF(B$20=0,0,G10/B$20)</f>
        <v>0</v>
      </c>
      <c r="I10" s="60"/>
      <c r="O10" s="77" t="s">
        <v>152</v>
      </c>
      <c r="P10" s="86">
        <f>IF(Q10=0,0,R10/Q10)</f>
        <v>0</v>
      </c>
      <c r="Q10" s="80">
        <v>0</v>
      </c>
      <c r="R10" s="71">
        <v>0</v>
      </c>
    </row>
    <row r="11" spans="1:18" x14ac:dyDescent="0.45">
      <c r="A11" s="22" t="s">
        <v>185</v>
      </c>
      <c r="B11" s="113">
        <f>IF(B8=0,0,C11/B8)</f>
        <v>0</v>
      </c>
      <c r="C11" s="114">
        <v>0</v>
      </c>
      <c r="E11" s="29" t="s">
        <v>73</v>
      </c>
      <c r="F11" s="26" t="s">
        <v>28</v>
      </c>
      <c r="G11" s="14">
        <v>0</v>
      </c>
      <c r="H11" s="92">
        <f>IF(B$20=0,0,G11/B$20)</f>
        <v>0</v>
      </c>
      <c r="I11" s="60"/>
      <c r="O11" s="78" t="s">
        <v>153</v>
      </c>
      <c r="P11" s="87">
        <f>IF(Q11=0,0,R11/Q11)</f>
        <v>0</v>
      </c>
      <c r="Q11" s="81">
        <v>0</v>
      </c>
      <c r="R11" s="72">
        <v>0</v>
      </c>
    </row>
    <row r="12" spans="1:18" x14ac:dyDescent="0.45">
      <c r="A12" s="22" t="s">
        <v>186</v>
      </c>
      <c r="B12" s="113">
        <f>IF(B9=0,0,C12/B9)</f>
        <v>0</v>
      </c>
      <c r="C12" s="114">
        <v>0</v>
      </c>
      <c r="E12" s="29" t="s">
        <v>74</v>
      </c>
      <c r="F12" s="26" t="s">
        <v>29</v>
      </c>
      <c r="G12" s="14">
        <v>0</v>
      </c>
      <c r="H12" s="92">
        <f>IF(B$20=0,0,G12/B$20)</f>
        <v>0</v>
      </c>
      <c r="I12" s="60"/>
      <c r="O12" s="79" t="s">
        <v>154</v>
      </c>
      <c r="P12" s="88">
        <f>IF(Q12=0,0,R12/Q12)</f>
        <v>0</v>
      </c>
      <c r="Q12" s="82">
        <v>0</v>
      </c>
      <c r="R12" s="73">
        <v>0</v>
      </c>
    </row>
    <row r="13" spans="1:18" x14ac:dyDescent="0.45">
      <c r="A13" s="22" t="s">
        <v>187</v>
      </c>
      <c r="B13" s="113">
        <f>IF(B10=0,0,C13/B10)</f>
        <v>0</v>
      </c>
      <c r="C13" s="114">
        <v>0</v>
      </c>
      <c r="E13" s="29" t="s">
        <v>75</v>
      </c>
      <c r="F13" s="26" t="s">
        <v>30</v>
      </c>
      <c r="G13" s="14">
        <v>0</v>
      </c>
      <c r="H13" s="92">
        <f>IF(B$20=0,0,G13/B$20)</f>
        <v>0</v>
      </c>
      <c r="I13" s="60"/>
      <c r="O13" s="107"/>
      <c r="P13" s="75"/>
      <c r="Q13" s="115"/>
      <c r="R13" s="75"/>
    </row>
    <row r="14" spans="1:18" x14ac:dyDescent="0.45">
      <c r="A14" s="22" t="s">
        <v>188</v>
      </c>
      <c r="B14" s="139">
        <f>AVERAGE(B11:B13)</f>
        <v>0</v>
      </c>
      <c r="C14" s="140"/>
      <c r="E14" s="29" t="s">
        <v>76</v>
      </c>
      <c r="F14" s="26" t="s">
        <v>31</v>
      </c>
      <c r="G14" s="14">
        <v>0</v>
      </c>
      <c r="H14" s="92">
        <f>IF(B$20=0,0,G14/B$20)</f>
        <v>0</v>
      </c>
      <c r="I14" s="60"/>
      <c r="O14" s="76" t="s">
        <v>147</v>
      </c>
      <c r="P14" s="4" t="s">
        <v>120</v>
      </c>
      <c r="Q14" s="110" t="s">
        <v>116</v>
      </c>
      <c r="R14" s="70" t="s">
        <v>148</v>
      </c>
    </row>
    <row r="15" spans="1:18" x14ac:dyDescent="0.45">
      <c r="A15" s="23" t="s">
        <v>18</v>
      </c>
      <c r="B15" s="16">
        <v>0</v>
      </c>
      <c r="C15" s="11">
        <f t="shared" si="1"/>
        <v>0</v>
      </c>
      <c r="E15" s="29" t="s">
        <v>77</v>
      </c>
      <c r="F15" s="26" t="s">
        <v>32</v>
      </c>
      <c r="G15" s="14">
        <v>0</v>
      </c>
      <c r="H15" s="92">
        <f>IF(B$20=0,0,G15/B$20)</f>
        <v>0</v>
      </c>
      <c r="I15" s="60"/>
      <c r="O15" s="77"/>
      <c r="P15" s="86"/>
      <c r="Q15" s="80"/>
      <c r="R15" s="71"/>
    </row>
    <row r="16" spans="1:18" x14ac:dyDescent="0.45">
      <c r="A16" s="24" t="s">
        <v>121</v>
      </c>
      <c r="B16" s="17">
        <v>0</v>
      </c>
      <c r="C16" s="12">
        <f>IF(B$3=0,0,B16/B$3)</f>
        <v>0</v>
      </c>
      <c r="E16" s="29" t="s">
        <v>78</v>
      </c>
      <c r="F16" s="26" t="s">
        <v>33</v>
      </c>
      <c r="G16" s="14">
        <v>0</v>
      </c>
      <c r="H16" s="92">
        <f>IF(B$20=0,0,G16/B$20)</f>
        <v>0</v>
      </c>
      <c r="I16" s="60"/>
    </row>
    <row r="17" spans="1:9" x14ac:dyDescent="0.45">
      <c r="A17" s="21" t="s">
        <v>118</v>
      </c>
      <c r="B17" s="14">
        <v>0</v>
      </c>
      <c r="C17" s="8">
        <f>IF(B$3=0,0,B17/B$3)</f>
        <v>0</v>
      </c>
      <c r="E17" s="29" t="s">
        <v>79</v>
      </c>
      <c r="F17" s="26" t="s">
        <v>34</v>
      </c>
      <c r="G17" s="14">
        <v>0</v>
      </c>
      <c r="H17" s="92">
        <f>IF(B$20=0,0,G17/B$20)</f>
        <v>0</v>
      </c>
      <c r="I17" s="60"/>
    </row>
    <row r="18" spans="1:9" x14ac:dyDescent="0.45">
      <c r="A18" s="20" t="s">
        <v>123</v>
      </c>
      <c r="B18" s="13">
        <f>B24</f>
        <v>0</v>
      </c>
      <c r="C18" s="6">
        <f>IF(B$16=0,0,B18/B$16)</f>
        <v>0</v>
      </c>
      <c r="E18" s="29" t="s">
        <v>80</v>
      </c>
      <c r="F18" s="26" t="s">
        <v>35</v>
      </c>
      <c r="G18" s="14">
        <v>0</v>
      </c>
      <c r="H18" s="92">
        <f>IF(B$20=0,0,G18/B$20)</f>
        <v>0</v>
      </c>
      <c r="I18" s="60"/>
    </row>
    <row r="19" spans="1:9" x14ac:dyDescent="0.45">
      <c r="A19" s="20" t="s">
        <v>124</v>
      </c>
      <c r="B19" s="13">
        <f>B25</f>
        <v>0</v>
      </c>
      <c r="C19" s="6">
        <f>IF(B$17=0,0,B19/B$17)</f>
        <v>0</v>
      </c>
      <c r="E19" s="29" t="s">
        <v>81</v>
      </c>
      <c r="F19" s="26" t="s">
        <v>36</v>
      </c>
      <c r="G19" s="14">
        <v>0</v>
      </c>
      <c r="H19" s="92">
        <f>IF(B$20=0,0,G19/B$20)</f>
        <v>0</v>
      </c>
      <c r="I19" s="60"/>
    </row>
    <row r="20" spans="1:9" x14ac:dyDescent="0.45">
      <c r="A20" s="20" t="s">
        <v>10</v>
      </c>
      <c r="B20" s="13">
        <f>B23+B22</f>
        <v>0</v>
      </c>
      <c r="C20" s="6">
        <f>IF(B$3=0,0,B20/B$3)</f>
        <v>0</v>
      </c>
      <c r="E20" s="29" t="s">
        <v>82</v>
      </c>
      <c r="F20" s="26" t="s">
        <v>37</v>
      </c>
      <c r="G20" s="14">
        <v>0</v>
      </c>
      <c r="H20" s="92">
        <f>IF(B$20=0,0,G20/B$20)</f>
        <v>0</v>
      </c>
      <c r="I20" s="60"/>
    </row>
    <row r="21" spans="1:9" x14ac:dyDescent="0.45">
      <c r="A21" s="21" t="s">
        <v>13</v>
      </c>
      <c r="B21" s="14">
        <v>0</v>
      </c>
      <c r="C21" s="8">
        <f>IF(B$3=0,0,B21/B$3)</f>
        <v>0</v>
      </c>
      <c r="E21" s="29" t="s">
        <v>83</v>
      </c>
      <c r="F21" s="26" t="s">
        <v>38</v>
      </c>
      <c r="G21" s="14">
        <v>0</v>
      </c>
      <c r="H21" s="92">
        <f>IF(B$20=0,0,G21/B$20)</f>
        <v>0</v>
      </c>
      <c r="I21" s="60"/>
    </row>
    <row r="22" spans="1:9" x14ac:dyDescent="0.45">
      <c r="A22" s="21" t="s">
        <v>12</v>
      </c>
      <c r="B22" s="14">
        <v>0</v>
      </c>
      <c r="C22" s="8">
        <f>IF(B$20=0,0,B22/B$20)</f>
        <v>0</v>
      </c>
      <c r="E22" s="29" t="s">
        <v>84</v>
      </c>
      <c r="F22" s="26" t="s">
        <v>39</v>
      </c>
      <c r="G22" s="14">
        <v>0</v>
      </c>
      <c r="H22" s="92">
        <f>IF(B$20=0,0,G22/B$20)</f>
        <v>0</v>
      </c>
      <c r="I22" s="60"/>
    </row>
    <row r="23" spans="1:9" x14ac:dyDescent="0.45">
      <c r="A23" s="21" t="s">
        <v>11</v>
      </c>
      <c r="B23" s="14">
        <v>0</v>
      </c>
      <c r="C23" s="8">
        <f>IF(B$20=0,0,B23/B$20)</f>
        <v>0</v>
      </c>
      <c r="E23" s="29" t="s">
        <v>85</v>
      </c>
      <c r="F23" s="26" t="s">
        <v>40</v>
      </c>
      <c r="G23" s="14">
        <v>0</v>
      </c>
      <c r="H23" s="92">
        <f>IF(B$20=0,0,G23/B$20)</f>
        <v>0</v>
      </c>
      <c r="I23" s="60"/>
    </row>
    <row r="24" spans="1:9" x14ac:dyDescent="0.45">
      <c r="A24" s="21" t="s">
        <v>184</v>
      </c>
      <c r="B24" s="14">
        <v>0</v>
      </c>
      <c r="C24" s="8">
        <f>IF(B$20=0,0,B24/B$20)</f>
        <v>0</v>
      </c>
      <c r="E24" s="29" t="s">
        <v>86</v>
      </c>
      <c r="F24" s="26" t="s">
        <v>41</v>
      </c>
      <c r="G24" s="14">
        <v>0</v>
      </c>
      <c r="H24" s="92">
        <f>IF(B$20=0,0,G24/B$20)</f>
        <v>0</v>
      </c>
      <c r="I24" s="60"/>
    </row>
    <row r="25" spans="1:9" x14ac:dyDescent="0.45">
      <c r="A25" s="21" t="s">
        <v>182</v>
      </c>
      <c r="B25" s="14">
        <v>0</v>
      </c>
      <c r="C25" s="8">
        <f>IF(B$20=0,0,B25/B$20)</f>
        <v>0</v>
      </c>
      <c r="E25" s="29" t="s">
        <v>87</v>
      </c>
      <c r="F25" s="26" t="s">
        <v>42</v>
      </c>
      <c r="G25" s="14">
        <v>0</v>
      </c>
      <c r="H25" s="92">
        <f>IF(B$20=0,0,G25/B$20)</f>
        <v>0</v>
      </c>
      <c r="I25" s="60"/>
    </row>
    <row r="26" spans="1:9" x14ac:dyDescent="0.45">
      <c r="A26" s="21" t="s">
        <v>183</v>
      </c>
      <c r="B26" s="14">
        <v>0</v>
      </c>
      <c r="C26" s="8">
        <f>IF(B$20=0,0,B26/B$20)</f>
        <v>0</v>
      </c>
      <c r="E26" s="29" t="s">
        <v>88</v>
      </c>
      <c r="F26" s="26" t="s">
        <v>43</v>
      </c>
      <c r="G26" s="14">
        <v>0</v>
      </c>
      <c r="H26" s="92">
        <f>IF(B$20=0,0,G26/B$20)</f>
        <v>0</v>
      </c>
      <c r="I26" s="60"/>
    </row>
    <row r="27" spans="1:9" x14ac:dyDescent="0.45">
      <c r="A27" s="21" t="s">
        <v>5</v>
      </c>
      <c r="B27" s="18">
        <f>IF(B$20=0,0,C27/B$20)</f>
        <v>0</v>
      </c>
      <c r="C27" s="10">
        <v>0</v>
      </c>
      <c r="E27" s="29" t="s">
        <v>89</v>
      </c>
      <c r="F27" s="26" t="s">
        <v>44</v>
      </c>
      <c r="G27" s="14">
        <v>0</v>
      </c>
      <c r="H27" s="92">
        <f>IF(B$20=0,0,G27/B$20)</f>
        <v>0</v>
      </c>
      <c r="I27" s="60"/>
    </row>
    <row r="28" spans="1:9" x14ac:dyDescent="0.45">
      <c r="A28" s="22" t="s">
        <v>166</v>
      </c>
      <c r="B28" s="99">
        <f>IF($B$20-B$19=0,0,C28/($B$20-B$19))</f>
        <v>0</v>
      </c>
      <c r="C28" s="100">
        <v>0</v>
      </c>
      <c r="E28" s="29" t="s">
        <v>90</v>
      </c>
      <c r="F28" s="26" t="s">
        <v>45</v>
      </c>
      <c r="G28" s="14">
        <v>0</v>
      </c>
      <c r="H28" s="92">
        <f>IF(B$20=0,0,G28/B$20)</f>
        <v>0</v>
      </c>
      <c r="I28" s="60"/>
    </row>
    <row r="29" spans="1:9" x14ac:dyDescent="0.45">
      <c r="A29" s="22" t="s">
        <v>167</v>
      </c>
      <c r="B29" s="99">
        <f>IF(B$19=0,0,C29/B$19)</f>
        <v>0</v>
      </c>
      <c r="C29" s="100">
        <v>0</v>
      </c>
      <c r="E29" s="29" t="s">
        <v>91</v>
      </c>
      <c r="F29" s="26" t="s">
        <v>46</v>
      </c>
      <c r="G29" s="14">
        <v>0</v>
      </c>
      <c r="H29" s="92">
        <f>IF(B$20=0,0,G29/B$20)</f>
        <v>0</v>
      </c>
      <c r="I29" s="60"/>
    </row>
    <row r="30" spans="1:9" x14ac:dyDescent="0.45">
      <c r="A30" s="22" t="s">
        <v>165</v>
      </c>
      <c r="B30" s="99">
        <f>IF(B$21=0,0,C30/B$21)</f>
        <v>0</v>
      </c>
      <c r="C30" s="100">
        <v>0</v>
      </c>
      <c r="E30" s="29" t="s">
        <v>92</v>
      </c>
      <c r="F30" s="26" t="s">
        <v>47</v>
      </c>
      <c r="G30" s="14">
        <v>0</v>
      </c>
      <c r="H30" s="92">
        <f>IF(B$20=0,0,G30/B$20)</f>
        <v>0</v>
      </c>
      <c r="I30" s="60"/>
    </row>
    <row r="31" spans="1:9" x14ac:dyDescent="0.45">
      <c r="A31" s="21" t="s">
        <v>158</v>
      </c>
      <c r="B31" s="14">
        <v>0</v>
      </c>
      <c r="C31" s="94">
        <v>0</v>
      </c>
      <c r="E31" s="29" t="s">
        <v>93</v>
      </c>
      <c r="F31" s="26" t="s">
        <v>48</v>
      </c>
      <c r="G31" s="14">
        <v>0</v>
      </c>
      <c r="H31" s="92">
        <f>IF(B$20=0,0,G31/B$20)</f>
        <v>0</v>
      </c>
      <c r="I31" s="60"/>
    </row>
    <row r="32" spans="1:9" x14ac:dyDescent="0.45">
      <c r="A32" s="21" t="s">
        <v>159</v>
      </c>
      <c r="B32" s="14">
        <v>0</v>
      </c>
      <c r="C32" s="94">
        <v>0</v>
      </c>
      <c r="E32" s="29" t="s">
        <v>94</v>
      </c>
      <c r="F32" s="26" t="s">
        <v>49</v>
      </c>
      <c r="G32" s="14">
        <v>0</v>
      </c>
      <c r="H32" s="92">
        <f>IF(B$20=0,0,G32/B$20)</f>
        <v>0</v>
      </c>
      <c r="I32" s="60"/>
    </row>
    <row r="33" spans="1:9" x14ac:dyDescent="0.45">
      <c r="A33" s="56" t="s">
        <v>136</v>
      </c>
      <c r="B33" s="141">
        <v>0</v>
      </c>
      <c r="C33" s="142"/>
      <c r="E33" s="29" t="s">
        <v>95</v>
      </c>
      <c r="F33" s="26" t="s">
        <v>50</v>
      </c>
      <c r="G33" s="14">
        <v>0</v>
      </c>
      <c r="H33" s="92">
        <f>IF(B$20=0,0,G33/B$20)</f>
        <v>0</v>
      </c>
      <c r="I33" s="60"/>
    </row>
    <row r="34" spans="1:9" x14ac:dyDescent="0.45">
      <c r="A34" s="24" t="s">
        <v>181</v>
      </c>
      <c r="B34" s="143">
        <v>-1000000</v>
      </c>
      <c r="C34" s="144"/>
      <c r="E34" s="29" t="s">
        <v>96</v>
      </c>
      <c r="F34" s="26" t="s">
        <v>51</v>
      </c>
      <c r="G34" s="14">
        <v>0</v>
      </c>
      <c r="H34" s="92">
        <f>IF(B$20=0,0,G34/B$20)</f>
        <v>0</v>
      </c>
      <c r="I34" s="60"/>
    </row>
    <row r="35" spans="1:9" x14ac:dyDescent="0.45">
      <c r="A35" s="23" t="s">
        <v>137</v>
      </c>
      <c r="B35" s="31">
        <v>0</v>
      </c>
      <c r="C35" s="11">
        <f>IF(B$3=0,0,B35/B$3)</f>
        <v>0</v>
      </c>
      <c r="E35" s="29" t="s">
        <v>97</v>
      </c>
      <c r="F35" s="26" t="s">
        <v>52</v>
      </c>
      <c r="G35" s="14">
        <v>0</v>
      </c>
      <c r="H35" s="92">
        <f>IF(B$20=0,0,G35/B$20)</f>
        <v>0</v>
      </c>
      <c r="I35" s="60"/>
    </row>
    <row r="36" spans="1:9" x14ac:dyDescent="0.45">
      <c r="E36" s="29" t="s">
        <v>98</v>
      </c>
      <c r="F36" s="26" t="s">
        <v>53</v>
      </c>
      <c r="G36" s="14">
        <v>0</v>
      </c>
      <c r="H36" s="92">
        <f>IF(B$20=0,0,G36/B$20)</f>
        <v>0</v>
      </c>
      <c r="I36" s="60"/>
    </row>
    <row r="37" spans="1:9" x14ac:dyDescent="0.45">
      <c r="A37" s="56" t="s">
        <v>172</v>
      </c>
      <c r="B37" s="105">
        <v>0</v>
      </c>
      <c r="C37" s="102">
        <f t="shared" ref="C37:C49" si="2">IF(B$20=0,0,B37/B$20)</f>
        <v>0</v>
      </c>
      <c r="E37" s="29" t="s">
        <v>99</v>
      </c>
      <c r="F37" s="26" t="s">
        <v>54</v>
      </c>
      <c r="G37" s="14">
        <v>0</v>
      </c>
      <c r="H37" s="92">
        <f>IF(B$20=0,0,G37/B$20)</f>
        <v>0</v>
      </c>
      <c r="I37" s="60"/>
    </row>
    <row r="38" spans="1:9" x14ac:dyDescent="0.45">
      <c r="A38" s="21" t="s">
        <v>168</v>
      </c>
      <c r="B38" s="14">
        <v>0</v>
      </c>
      <c r="C38" s="8">
        <f t="shared" si="2"/>
        <v>0</v>
      </c>
      <c r="E38" s="29" t="s">
        <v>100</v>
      </c>
      <c r="F38" s="26" t="s">
        <v>55</v>
      </c>
      <c r="G38" s="14">
        <v>0</v>
      </c>
      <c r="H38" s="92">
        <f>IF(B$20=0,0,G38/B$20)</f>
        <v>0</v>
      </c>
      <c r="I38" s="60"/>
    </row>
    <row r="39" spans="1:9" x14ac:dyDescent="0.45">
      <c r="A39" s="21" t="s">
        <v>169</v>
      </c>
      <c r="B39" s="106">
        <v>0</v>
      </c>
      <c r="C39" s="8">
        <f t="shared" si="2"/>
        <v>0</v>
      </c>
      <c r="E39" s="29" t="s">
        <v>101</v>
      </c>
      <c r="F39" s="26" t="s">
        <v>56</v>
      </c>
      <c r="G39" s="14">
        <v>0</v>
      </c>
      <c r="H39" s="92">
        <f>IF(B$20=0,0,G39/B$20)</f>
        <v>0</v>
      </c>
      <c r="I39" s="60"/>
    </row>
    <row r="40" spans="1:9" x14ac:dyDescent="0.45">
      <c r="A40" s="21" t="s">
        <v>170</v>
      </c>
      <c r="B40" s="106">
        <v>0</v>
      </c>
      <c r="C40" s="8">
        <f t="shared" si="2"/>
        <v>0</v>
      </c>
      <c r="E40" s="29" t="s">
        <v>102</v>
      </c>
      <c r="F40" s="26" t="s">
        <v>57</v>
      </c>
      <c r="G40" s="14">
        <v>0</v>
      </c>
      <c r="H40" s="92">
        <f>IF(B$20=0,0,G40/B$20)</f>
        <v>0</v>
      </c>
      <c r="I40" s="60"/>
    </row>
    <row r="41" spans="1:9" x14ac:dyDescent="0.45">
      <c r="A41" s="21" t="s">
        <v>171</v>
      </c>
      <c r="B41" s="106">
        <v>0</v>
      </c>
      <c r="C41" s="8">
        <f t="shared" si="2"/>
        <v>0</v>
      </c>
      <c r="E41" s="29" t="s">
        <v>103</v>
      </c>
      <c r="F41" s="26" t="s">
        <v>58</v>
      </c>
      <c r="G41" s="14">
        <v>0</v>
      </c>
      <c r="H41" s="92">
        <f>IF(B$20=0,0,G41/B$20)</f>
        <v>0</v>
      </c>
      <c r="I41" s="60"/>
    </row>
    <row r="42" spans="1:9" x14ac:dyDescent="0.45">
      <c r="A42" s="21" t="s">
        <v>173</v>
      </c>
      <c r="B42" s="106">
        <v>0</v>
      </c>
      <c r="C42" s="8">
        <f t="shared" si="2"/>
        <v>0</v>
      </c>
      <c r="E42" s="29" t="s">
        <v>104</v>
      </c>
      <c r="F42" s="26" t="s">
        <v>59</v>
      </c>
      <c r="G42" s="14">
        <v>0</v>
      </c>
      <c r="H42" s="92">
        <f>IF(B$20=0,0,G42/B$20)</f>
        <v>0</v>
      </c>
      <c r="I42" s="60"/>
    </row>
    <row r="43" spans="1:9" x14ac:dyDescent="0.45">
      <c r="A43" s="21" t="s">
        <v>174</v>
      </c>
      <c r="B43" s="106">
        <v>0</v>
      </c>
      <c r="C43" s="8">
        <f t="shared" si="2"/>
        <v>0</v>
      </c>
      <c r="E43" s="29" t="s">
        <v>105</v>
      </c>
      <c r="F43" s="26" t="s">
        <v>112</v>
      </c>
      <c r="G43" s="14">
        <v>0</v>
      </c>
      <c r="H43" s="92">
        <f>IF(B$20=0,0,G43/B$20)</f>
        <v>0</v>
      </c>
      <c r="I43" s="60"/>
    </row>
    <row r="44" spans="1:9" x14ac:dyDescent="0.45">
      <c r="A44" s="21" t="s">
        <v>175</v>
      </c>
      <c r="B44" s="106">
        <v>0</v>
      </c>
      <c r="C44" s="8">
        <f t="shared" si="2"/>
        <v>0</v>
      </c>
      <c r="E44" s="29" t="s">
        <v>106</v>
      </c>
      <c r="F44" s="26" t="s">
        <v>113</v>
      </c>
      <c r="G44" s="14">
        <v>0</v>
      </c>
      <c r="H44" s="92">
        <f>IF(B$20=0,0,G44/B$20)</f>
        <v>0</v>
      </c>
      <c r="I44" s="60"/>
    </row>
    <row r="45" spans="1:9" x14ac:dyDescent="0.45">
      <c r="A45" s="21" t="s">
        <v>176</v>
      </c>
      <c r="B45" s="106">
        <v>0</v>
      </c>
      <c r="C45" s="8">
        <f t="shared" si="2"/>
        <v>0</v>
      </c>
      <c r="E45" s="29" t="s">
        <v>107</v>
      </c>
      <c r="F45" s="26" t="s">
        <v>114</v>
      </c>
      <c r="G45" s="14">
        <v>0</v>
      </c>
      <c r="H45" s="92">
        <f>IF(B$20=0,0,G45/B$20)</f>
        <v>0</v>
      </c>
      <c r="I45" s="60"/>
    </row>
    <row r="46" spans="1:9" x14ac:dyDescent="0.45">
      <c r="A46" s="21" t="s">
        <v>177</v>
      </c>
      <c r="B46" s="106">
        <v>0</v>
      </c>
      <c r="C46" s="8">
        <f t="shared" si="2"/>
        <v>0</v>
      </c>
      <c r="E46" s="29" t="s">
        <v>108</v>
      </c>
      <c r="F46" s="26" t="s">
        <v>60</v>
      </c>
      <c r="G46" s="14">
        <v>0</v>
      </c>
      <c r="H46" s="92">
        <f>IF(B$20=0,0,G46/B$20)</f>
        <v>0</v>
      </c>
      <c r="I46" s="60"/>
    </row>
    <row r="47" spans="1:9" x14ac:dyDescent="0.45">
      <c r="A47" s="21" t="s">
        <v>178</v>
      </c>
      <c r="B47" s="106">
        <v>0</v>
      </c>
      <c r="C47" s="8">
        <f t="shared" si="2"/>
        <v>0</v>
      </c>
      <c r="E47" s="29" t="s">
        <v>109</v>
      </c>
      <c r="F47" s="26" t="s">
        <v>61</v>
      </c>
      <c r="G47" s="14">
        <v>0</v>
      </c>
      <c r="H47" s="92">
        <f>IF(B$20=0,0,G47/B$20)</f>
        <v>0</v>
      </c>
      <c r="I47" s="60"/>
    </row>
    <row r="48" spans="1:9" x14ac:dyDescent="0.45">
      <c r="A48" s="21" t="s">
        <v>179</v>
      </c>
      <c r="B48" s="106">
        <v>0</v>
      </c>
      <c r="C48" s="8">
        <f t="shared" si="2"/>
        <v>0</v>
      </c>
      <c r="E48" s="29" t="s">
        <v>110</v>
      </c>
      <c r="F48" s="26" t="s">
        <v>62</v>
      </c>
      <c r="G48" s="14">
        <v>0</v>
      </c>
      <c r="H48" s="92">
        <f>IF(B$20=0,0,G48/B$20)</f>
        <v>0</v>
      </c>
      <c r="I48" s="60"/>
    </row>
    <row r="49" spans="1:9" x14ac:dyDescent="0.45">
      <c r="A49" s="23" t="s">
        <v>180</v>
      </c>
      <c r="B49" s="101">
        <v>0</v>
      </c>
      <c r="C49" s="11">
        <f t="shared" si="2"/>
        <v>0</v>
      </c>
      <c r="E49" s="29" t="s">
        <v>111</v>
      </c>
      <c r="F49" s="26" t="s">
        <v>63</v>
      </c>
      <c r="G49" s="14">
        <v>0</v>
      </c>
      <c r="H49" s="92">
        <f>IF(B$20=0,0,G49/B$20)</f>
        <v>0</v>
      </c>
      <c r="I49" s="60"/>
    </row>
    <row r="50" spans="1:9" x14ac:dyDescent="0.45">
      <c r="E50" s="29" t="s">
        <v>156</v>
      </c>
      <c r="F50" s="26" t="s">
        <v>157</v>
      </c>
      <c r="G50" s="14">
        <v>0</v>
      </c>
      <c r="H50" s="92">
        <f>IF(B$20=0,0,G50/B$20)</f>
        <v>0</v>
      </c>
      <c r="I50" s="60"/>
    </row>
    <row r="51" spans="1:9" x14ac:dyDescent="0.45">
      <c r="E51" s="95" t="s">
        <v>160</v>
      </c>
      <c r="F51" s="96" t="s">
        <v>161</v>
      </c>
      <c r="G51" s="15">
        <v>0</v>
      </c>
      <c r="H51" s="97">
        <f>IF(B$20=0,0,G51/B$20)</f>
        <v>0</v>
      </c>
      <c r="I51" s="98"/>
    </row>
    <row r="52" spans="1:9" x14ac:dyDescent="0.45">
      <c r="E52" s="30" t="s">
        <v>162</v>
      </c>
      <c r="F52" s="27" t="s">
        <v>163</v>
      </c>
      <c r="G52" s="16">
        <v>0</v>
      </c>
      <c r="H52" s="93">
        <f>IF(B$20=0,0,G52/B$20)</f>
        <v>0</v>
      </c>
      <c r="I52" s="61"/>
    </row>
  </sheetData>
  <mergeCells count="10">
    <mergeCell ref="B14:C14"/>
    <mergeCell ref="B33:C33"/>
    <mergeCell ref="B34:C34"/>
    <mergeCell ref="B1:C1"/>
    <mergeCell ref="B2:C2"/>
    <mergeCell ref="B3:C3"/>
    <mergeCell ref="B4:C4"/>
    <mergeCell ref="B5:C5"/>
    <mergeCell ref="B7:C7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122897-C4B8-49B0-9FE2-F94D20C617C1}">
  <sheetPr codeName="Sheet31"/>
  <dimension ref="A1:AK13"/>
  <sheetViews>
    <sheetView showGridLines="0" zoomScale="130" zoomScaleNormal="130" workbookViewId="0"/>
  </sheetViews>
  <sheetFormatPr defaultColWidth="9" defaultRowHeight="18" x14ac:dyDescent="0.45"/>
  <cols>
    <col min="1" max="1" width="6" style="48" customWidth="1"/>
    <col min="2" max="2" width="10.59765625" style="51" customWidth="1"/>
    <col min="3" max="3" width="10.59765625" style="118" customWidth="1"/>
    <col min="4" max="4" width="10.59765625" style="49" customWidth="1"/>
    <col min="5" max="5" width="10.59765625" style="50" customWidth="1"/>
    <col min="6" max="6" width="10.59765625" style="51" customWidth="1"/>
    <col min="7" max="7" width="10.59765625" style="63" customWidth="1"/>
    <col min="8" max="8" width="10.59765625" style="51" customWidth="1"/>
    <col min="9" max="9" width="10.59765625" style="63" customWidth="1"/>
    <col min="10" max="10" width="10.59765625" style="51" customWidth="1"/>
    <col min="11" max="11" width="10.59765625" style="52" customWidth="1"/>
    <col min="12" max="12" width="10.59765625" style="51" customWidth="1"/>
    <col min="13" max="13" width="10.59765625" style="53" customWidth="1"/>
    <col min="14" max="14" width="10.59765625" style="51" customWidth="1"/>
    <col min="15" max="15" width="10.59765625" style="53" customWidth="1"/>
    <col min="16" max="16" width="10.59765625" style="51" customWidth="1"/>
    <col min="17" max="17" width="10.59765625" style="54" customWidth="1"/>
    <col min="18" max="18" width="10.59765625" style="51" customWidth="1"/>
    <col min="19" max="19" width="10.59765625" style="54" customWidth="1"/>
    <col min="20" max="20" width="10.59765625" style="51" customWidth="1"/>
    <col min="21" max="21" width="10.59765625" style="55" customWidth="1"/>
    <col min="22" max="22" width="10.59765625" style="51" customWidth="1"/>
    <col min="23" max="23" width="10.59765625" style="55" customWidth="1"/>
    <col min="24" max="24" width="10.59765625" style="51" customWidth="1"/>
    <col min="25" max="25" width="10.59765625" style="53" customWidth="1"/>
    <col min="26" max="26" width="10.59765625" style="51" customWidth="1"/>
    <col min="27" max="27" width="10.59765625" style="54" customWidth="1"/>
    <col min="28" max="28" width="10.59765625" style="51" customWidth="1"/>
    <col min="29" max="29" width="10.59765625" style="54" customWidth="1"/>
    <col min="30" max="30" width="10.59765625" style="51" customWidth="1"/>
    <col min="31" max="31" width="10.59765625" style="54" customWidth="1"/>
    <col min="32" max="32" width="10.59765625" style="51" customWidth="1"/>
    <col min="33" max="33" width="10.59765625" style="54" customWidth="1"/>
    <col min="34" max="34" width="10.59765625" style="51" customWidth="1"/>
    <col min="35" max="35" width="10.59765625" style="54" customWidth="1"/>
    <col min="36" max="36" width="10.59765625" style="51" customWidth="1"/>
    <col min="37" max="37" width="10.59765625" style="58" customWidth="1"/>
    <col min="38" max="16384" width="9" style="39"/>
  </cols>
  <sheetData>
    <row r="1" spans="1:37" x14ac:dyDescent="0.45">
      <c r="A1" s="38" t="s">
        <v>191</v>
      </c>
      <c r="B1" s="159" t="s">
        <v>9</v>
      </c>
      <c r="C1" s="160"/>
      <c r="D1" s="155" t="s">
        <v>6</v>
      </c>
      <c r="E1" s="156"/>
      <c r="F1" s="155" t="s">
        <v>7</v>
      </c>
      <c r="G1" s="156"/>
      <c r="H1" s="159" t="s">
        <v>188</v>
      </c>
      <c r="I1" s="160"/>
      <c r="J1" s="155" t="s">
        <v>15</v>
      </c>
      <c r="K1" s="156"/>
      <c r="L1" s="155" t="s">
        <v>14</v>
      </c>
      <c r="M1" s="156"/>
      <c r="N1" s="155" t="s">
        <v>150</v>
      </c>
      <c r="O1" s="156"/>
      <c r="P1" s="155" t="s">
        <v>143</v>
      </c>
      <c r="Q1" s="156"/>
      <c r="R1" s="155" t="s">
        <v>144</v>
      </c>
      <c r="S1" s="156"/>
      <c r="T1" s="155" t="s">
        <v>5</v>
      </c>
      <c r="U1" s="156"/>
      <c r="V1" s="155" t="s">
        <v>16</v>
      </c>
      <c r="W1" s="156"/>
      <c r="X1" s="155" t="s">
        <v>17</v>
      </c>
      <c r="Y1" s="156"/>
      <c r="Z1" s="155" t="s">
        <v>122</v>
      </c>
      <c r="AA1" s="156"/>
      <c r="AB1" s="155" t="s">
        <v>119</v>
      </c>
      <c r="AC1" s="156"/>
      <c r="AD1" s="155" t="s">
        <v>125</v>
      </c>
      <c r="AE1" s="156"/>
      <c r="AF1" s="155" t="s">
        <v>145</v>
      </c>
      <c r="AG1" s="156"/>
      <c r="AH1" s="155" t="s">
        <v>138</v>
      </c>
      <c r="AI1" s="156"/>
      <c r="AJ1" s="155" t="s">
        <v>181</v>
      </c>
      <c r="AK1" s="156"/>
    </row>
    <row r="2" spans="1:37" x14ac:dyDescent="0.45">
      <c r="A2" s="38" t="s">
        <v>149</v>
      </c>
      <c r="B2" s="157">
        <v>0.98424698880689065</v>
      </c>
      <c r="C2" s="158"/>
      <c r="D2" s="161"/>
      <c r="E2" s="162"/>
      <c r="F2" s="161"/>
      <c r="G2" s="162"/>
      <c r="H2" s="157">
        <v>0.53339748222002181</v>
      </c>
      <c r="I2" s="158"/>
      <c r="J2" s="157">
        <v>0.72861174743049417</v>
      </c>
      <c r="K2" s="158"/>
      <c r="L2" s="157">
        <v>0.80651623049346866</v>
      </c>
      <c r="M2" s="158"/>
      <c r="N2" s="157">
        <v>0.70528496577096034</v>
      </c>
      <c r="O2" s="158"/>
      <c r="P2" s="157">
        <v>0.82010567699960935</v>
      </c>
      <c r="Q2" s="158"/>
      <c r="R2" s="157">
        <v>0.96577937717044204</v>
      </c>
      <c r="S2" s="158"/>
      <c r="T2" s="157">
        <v>0.99766980468520172</v>
      </c>
      <c r="U2" s="158"/>
      <c r="V2" s="157">
        <v>-0.45719708461827702</v>
      </c>
      <c r="W2" s="158"/>
      <c r="X2" s="157">
        <v>0.99236187315755353</v>
      </c>
      <c r="Y2" s="158"/>
      <c r="Z2" s="157">
        <v>-0.96792396623636268</v>
      </c>
      <c r="AA2" s="158"/>
      <c r="AB2" s="157">
        <v>0.99998107781297074</v>
      </c>
      <c r="AC2" s="158"/>
      <c r="AD2" s="157">
        <v>0.44362491345176608</v>
      </c>
      <c r="AE2" s="158"/>
      <c r="AF2" s="157">
        <v>0.77236493499108894</v>
      </c>
      <c r="AG2" s="158"/>
      <c r="AH2" s="157">
        <v>0.90953455704406827</v>
      </c>
      <c r="AI2" s="158"/>
      <c r="AJ2" s="157">
        <v>0.98963887122471073</v>
      </c>
      <c r="AK2" s="158"/>
    </row>
    <row r="3" spans="1:37" x14ac:dyDescent="0.45">
      <c r="A3" s="40">
        <v>1</v>
      </c>
      <c r="B3" s="43" t="s">
        <v>139</v>
      </c>
      <c r="C3" s="117">
        <v>23</v>
      </c>
      <c r="D3" s="41" t="s">
        <v>126</v>
      </c>
      <c r="E3" s="42">
        <v>164.20000000000002</v>
      </c>
      <c r="F3" s="43" t="s">
        <v>126</v>
      </c>
      <c r="G3" s="62">
        <v>10.262500000000001</v>
      </c>
      <c r="H3" s="43" t="s">
        <v>194</v>
      </c>
      <c r="I3" s="62">
        <v>5.5599999999999987</v>
      </c>
      <c r="J3" s="43" t="s">
        <v>198</v>
      </c>
      <c r="K3" s="44">
        <v>1.7142857142857142</v>
      </c>
      <c r="L3" s="43" t="s">
        <v>208</v>
      </c>
      <c r="M3" s="45">
        <v>0.5</v>
      </c>
      <c r="N3" s="43" t="s">
        <v>198</v>
      </c>
      <c r="O3" s="45">
        <v>0.14285714285714285</v>
      </c>
      <c r="P3" s="43" t="s">
        <v>190</v>
      </c>
      <c r="Q3" s="46">
        <v>0.33962264150943394</v>
      </c>
      <c r="R3" s="43" t="s">
        <v>195</v>
      </c>
      <c r="S3" s="46">
        <v>4.7619047619047616E-2</v>
      </c>
      <c r="T3" s="43" t="s">
        <v>207</v>
      </c>
      <c r="U3" s="47">
        <v>10925</v>
      </c>
      <c r="V3" s="43" t="s">
        <v>195</v>
      </c>
      <c r="W3" s="47">
        <v>-3900</v>
      </c>
      <c r="X3" s="43" t="s">
        <v>126</v>
      </c>
      <c r="Y3" s="45">
        <v>0</v>
      </c>
      <c r="Z3" s="43" t="s">
        <v>190</v>
      </c>
      <c r="AA3" s="46">
        <v>0.28301886792452829</v>
      </c>
      <c r="AB3" s="43" t="s">
        <v>190</v>
      </c>
      <c r="AC3" s="46">
        <v>0.43396226415094341</v>
      </c>
      <c r="AD3" s="43" t="s">
        <v>208</v>
      </c>
      <c r="AE3" s="46">
        <v>1</v>
      </c>
      <c r="AF3" s="43" t="s">
        <v>126</v>
      </c>
      <c r="AG3" s="46">
        <v>0.54838709677419351</v>
      </c>
      <c r="AH3" s="43" t="s">
        <v>207</v>
      </c>
      <c r="AI3" s="46">
        <v>1</v>
      </c>
      <c r="AJ3" s="43" t="s">
        <v>126</v>
      </c>
      <c r="AK3" s="57">
        <v>103000</v>
      </c>
    </row>
    <row r="4" spans="1:37" x14ac:dyDescent="0.45">
      <c r="A4" s="48">
        <v>2</v>
      </c>
      <c r="B4" s="51" t="s">
        <v>126</v>
      </c>
      <c r="C4" s="118">
        <v>16</v>
      </c>
      <c r="D4" s="49" t="s">
        <v>194</v>
      </c>
      <c r="E4" s="50">
        <v>65.800000000000011</v>
      </c>
      <c r="F4" s="51" t="s">
        <v>194</v>
      </c>
      <c r="G4" s="63">
        <v>5.0615384615384622</v>
      </c>
      <c r="H4" s="51" t="s">
        <v>126</v>
      </c>
      <c r="I4" s="63">
        <v>2.9888888888888885</v>
      </c>
      <c r="J4" s="51" t="s">
        <v>126</v>
      </c>
      <c r="K4" s="52">
        <v>1.75</v>
      </c>
      <c r="L4" s="51" t="s">
        <v>126</v>
      </c>
      <c r="M4" s="53">
        <v>0.4375</v>
      </c>
      <c r="N4" s="51" t="s">
        <v>190</v>
      </c>
      <c r="O4" s="53">
        <v>0.16666666666666666</v>
      </c>
      <c r="P4" s="51" t="s">
        <v>126</v>
      </c>
      <c r="Q4" s="54">
        <v>0.33587786259541985</v>
      </c>
      <c r="R4" s="51" t="s">
        <v>198</v>
      </c>
      <c r="S4" s="54">
        <v>0.109375</v>
      </c>
      <c r="T4" s="51" t="s">
        <v>126</v>
      </c>
      <c r="U4" s="55">
        <v>9059.0909090909099</v>
      </c>
      <c r="V4" s="51" t="s">
        <v>208</v>
      </c>
      <c r="W4" s="55">
        <v>-5766.666666666667</v>
      </c>
      <c r="X4" s="51" t="s">
        <v>190</v>
      </c>
      <c r="Y4" s="53">
        <v>0</v>
      </c>
      <c r="Z4" s="51" t="s">
        <v>201</v>
      </c>
      <c r="AA4" s="54">
        <v>0.26923076923076922</v>
      </c>
      <c r="AB4" s="51" t="s">
        <v>200</v>
      </c>
      <c r="AC4" s="54">
        <v>0.2857142857142857</v>
      </c>
      <c r="AD4" s="51" t="s">
        <v>198</v>
      </c>
      <c r="AE4" s="54">
        <v>0.625</v>
      </c>
      <c r="AF4" s="51" t="s">
        <v>194</v>
      </c>
      <c r="AG4" s="54">
        <v>0.54545454545454541</v>
      </c>
      <c r="AH4" s="51" t="s">
        <v>208</v>
      </c>
      <c r="AI4" s="54">
        <v>0.8</v>
      </c>
      <c r="AJ4" s="51" t="s">
        <v>139</v>
      </c>
      <c r="AK4" s="58">
        <v>103000</v>
      </c>
    </row>
    <row r="5" spans="1:37" x14ac:dyDescent="0.45">
      <c r="A5" s="48">
        <v>3</v>
      </c>
      <c r="B5" s="51" t="s">
        <v>194</v>
      </c>
      <c r="C5" s="118">
        <v>13</v>
      </c>
      <c r="D5" s="49" t="s">
        <v>198</v>
      </c>
      <c r="E5" s="50">
        <v>25.9</v>
      </c>
      <c r="F5" s="51" t="s">
        <v>190</v>
      </c>
      <c r="G5" s="63">
        <v>4.1166666666666663</v>
      </c>
      <c r="H5" s="51" t="s">
        <v>190</v>
      </c>
      <c r="I5" s="63">
        <v>0.43333333333333357</v>
      </c>
      <c r="J5" s="51" t="s">
        <v>201</v>
      </c>
      <c r="K5" s="52">
        <v>1.9</v>
      </c>
      <c r="L5" s="51" t="s">
        <v>198</v>
      </c>
      <c r="M5" s="53">
        <v>0.42857142857142855</v>
      </c>
      <c r="N5" s="51" t="s">
        <v>126</v>
      </c>
      <c r="O5" s="53">
        <v>0.1875</v>
      </c>
      <c r="P5" s="51" t="s">
        <v>194</v>
      </c>
      <c r="Q5" s="54">
        <v>0.32653061224489793</v>
      </c>
      <c r="R5" s="51" t="s">
        <v>126</v>
      </c>
      <c r="S5" s="54">
        <v>0.12977099236641221</v>
      </c>
      <c r="T5" s="51" t="s">
        <v>190</v>
      </c>
      <c r="U5" s="55">
        <v>8355.5555555555547</v>
      </c>
      <c r="V5" s="51" t="s">
        <v>201</v>
      </c>
      <c r="W5" s="55">
        <v>-6907.6923076923076</v>
      </c>
      <c r="X5" s="51" t="s">
        <v>195</v>
      </c>
      <c r="Y5" s="53">
        <v>0</v>
      </c>
      <c r="Z5" s="51" t="s">
        <v>200</v>
      </c>
      <c r="AA5" s="54">
        <v>0.25714285714285712</v>
      </c>
      <c r="AB5" s="51" t="s">
        <v>207</v>
      </c>
      <c r="AC5" s="54">
        <v>0.27777777777777779</v>
      </c>
      <c r="AD5" s="51" t="s">
        <v>194</v>
      </c>
      <c r="AE5" s="54">
        <v>0.6</v>
      </c>
      <c r="AF5" s="51" t="s">
        <v>198</v>
      </c>
      <c r="AG5" s="54">
        <v>0.46153846153846156</v>
      </c>
      <c r="AH5" s="51" t="s">
        <v>190</v>
      </c>
      <c r="AI5" s="54">
        <v>0.55555555555555558</v>
      </c>
      <c r="AJ5" s="51" t="s">
        <v>194</v>
      </c>
      <c r="AK5" s="58">
        <v>80600</v>
      </c>
    </row>
    <row r="6" spans="1:37" x14ac:dyDescent="0.45">
      <c r="A6" s="48">
        <v>4</v>
      </c>
      <c r="B6" s="51" t="s">
        <v>201</v>
      </c>
      <c r="C6" s="118">
        <v>10</v>
      </c>
      <c r="D6" s="49" t="s">
        <v>190</v>
      </c>
      <c r="E6" s="50">
        <v>24.7</v>
      </c>
      <c r="F6" s="51" t="s">
        <v>198</v>
      </c>
      <c r="G6" s="63">
        <v>3.6999999999999997</v>
      </c>
      <c r="H6" s="51" t="s">
        <v>139</v>
      </c>
      <c r="I6" s="63">
        <v>0</v>
      </c>
      <c r="J6" s="51" t="s">
        <v>194</v>
      </c>
      <c r="K6" s="52">
        <v>2</v>
      </c>
      <c r="L6" s="51" t="s">
        <v>201</v>
      </c>
      <c r="M6" s="53">
        <v>0.4</v>
      </c>
      <c r="N6" s="51" t="s">
        <v>201</v>
      </c>
      <c r="O6" s="53">
        <v>0.3</v>
      </c>
      <c r="P6" s="51" t="s">
        <v>198</v>
      </c>
      <c r="Q6" s="54">
        <v>0.3125</v>
      </c>
      <c r="R6" s="51" t="s">
        <v>190</v>
      </c>
      <c r="S6" s="54">
        <v>0.13207547169811321</v>
      </c>
      <c r="T6" s="51" t="s">
        <v>200</v>
      </c>
      <c r="U6" s="55">
        <v>8212.5</v>
      </c>
      <c r="V6" s="51" t="s">
        <v>126</v>
      </c>
      <c r="W6" s="55">
        <v>-7182.3529411764703</v>
      </c>
      <c r="X6" s="51" t="s">
        <v>198</v>
      </c>
      <c r="Y6" s="53">
        <v>0</v>
      </c>
      <c r="Z6" s="51" t="s">
        <v>194</v>
      </c>
      <c r="AA6" s="54">
        <v>0.25510204081632654</v>
      </c>
      <c r="AB6" s="51" t="s">
        <v>164</v>
      </c>
      <c r="AC6" s="54">
        <v>0.25490196078431371</v>
      </c>
      <c r="AD6" s="51" t="s">
        <v>126</v>
      </c>
      <c r="AE6" s="54">
        <v>0.53125</v>
      </c>
      <c r="AF6" s="51" t="s">
        <v>139</v>
      </c>
      <c r="AG6" s="54">
        <v>0.43884892086330934</v>
      </c>
      <c r="AH6" s="51" t="s">
        <v>126</v>
      </c>
      <c r="AI6" s="54">
        <v>0.52272727272727271</v>
      </c>
      <c r="AJ6" s="51" t="s">
        <v>201</v>
      </c>
      <c r="AK6" s="58">
        <v>74600</v>
      </c>
    </row>
    <row r="7" spans="1:37" x14ac:dyDescent="0.45">
      <c r="A7" s="48">
        <v>5</v>
      </c>
      <c r="B7" s="51" t="s">
        <v>198</v>
      </c>
      <c r="C7" s="118">
        <v>7</v>
      </c>
      <c r="D7" s="49" t="s">
        <v>201</v>
      </c>
      <c r="E7" s="50">
        <v>14.100000000000005</v>
      </c>
      <c r="F7" s="51" t="s">
        <v>201</v>
      </c>
      <c r="G7" s="63">
        <v>1.4100000000000006</v>
      </c>
      <c r="H7" s="51" t="s">
        <v>198</v>
      </c>
      <c r="I7" s="63">
        <v>-1.8777777777777764</v>
      </c>
      <c r="J7" s="51" t="s">
        <v>139</v>
      </c>
      <c r="K7" s="52">
        <v>2</v>
      </c>
      <c r="L7" s="51" t="s">
        <v>194</v>
      </c>
      <c r="M7" s="53">
        <v>0.38461538461538464</v>
      </c>
      <c r="N7" s="51" t="s">
        <v>139</v>
      </c>
      <c r="O7" s="53">
        <v>0.33333333333333331</v>
      </c>
      <c r="P7" s="51" t="s">
        <v>139</v>
      </c>
      <c r="Q7" s="54">
        <v>0.2874779541446208</v>
      </c>
      <c r="R7" s="51" t="s">
        <v>139</v>
      </c>
      <c r="S7" s="54">
        <v>0.15167548500881833</v>
      </c>
      <c r="T7" s="51" t="s">
        <v>194</v>
      </c>
      <c r="U7" s="55">
        <v>8165.625</v>
      </c>
      <c r="V7" s="51" t="s">
        <v>194</v>
      </c>
      <c r="W7" s="55">
        <v>-7356.25</v>
      </c>
      <c r="X7" s="51" t="s">
        <v>200</v>
      </c>
      <c r="Y7" s="53">
        <v>0</v>
      </c>
      <c r="Z7" s="51" t="s">
        <v>198</v>
      </c>
      <c r="AA7" s="54">
        <v>0.25</v>
      </c>
      <c r="AB7" s="51" t="s">
        <v>139</v>
      </c>
      <c r="AC7" s="54">
        <v>0.24514991181657847</v>
      </c>
      <c r="AD7" s="51" t="s">
        <v>195</v>
      </c>
      <c r="AE7" s="54">
        <v>0.5</v>
      </c>
      <c r="AF7" s="51" t="s">
        <v>200</v>
      </c>
      <c r="AG7" s="54">
        <v>0.4</v>
      </c>
      <c r="AH7" s="51" t="s">
        <v>201</v>
      </c>
      <c r="AI7" s="54">
        <v>0.47368421052631576</v>
      </c>
      <c r="AJ7" s="51" t="s">
        <v>190</v>
      </c>
      <c r="AK7" s="58">
        <v>61300</v>
      </c>
    </row>
    <row r="8" spans="1:37" x14ac:dyDescent="0.45">
      <c r="A8" s="48">
        <v>6</v>
      </c>
      <c r="B8" s="51" t="s">
        <v>164</v>
      </c>
      <c r="C8" s="118">
        <v>6</v>
      </c>
      <c r="D8" s="49" t="s">
        <v>139</v>
      </c>
      <c r="E8" s="50">
        <v>1.0658141036401503E-14</v>
      </c>
      <c r="F8" s="51" t="s">
        <v>139</v>
      </c>
      <c r="G8" s="63">
        <v>1.5446581212176091E-16</v>
      </c>
      <c r="H8" s="51" t="s">
        <v>208</v>
      </c>
      <c r="I8" s="63">
        <v>-2.0666666666666664</v>
      </c>
      <c r="J8" s="51" t="s">
        <v>190</v>
      </c>
      <c r="K8" s="52">
        <v>2</v>
      </c>
      <c r="L8" s="51" t="s">
        <v>139</v>
      </c>
      <c r="M8" s="53">
        <v>0.33333333333333331</v>
      </c>
      <c r="N8" s="51" t="s">
        <v>195</v>
      </c>
      <c r="O8" s="53">
        <v>0.33333333333333331</v>
      </c>
      <c r="P8" s="51" t="s">
        <v>208</v>
      </c>
      <c r="Q8" s="54">
        <v>0.27777777777777779</v>
      </c>
      <c r="R8" s="51" t="s">
        <v>194</v>
      </c>
      <c r="S8" s="54">
        <v>0.16326530612244897</v>
      </c>
      <c r="T8" s="51" t="s">
        <v>139</v>
      </c>
      <c r="U8" s="55">
        <v>8095.0920245398775</v>
      </c>
      <c r="V8" s="51" t="s">
        <v>198</v>
      </c>
      <c r="W8" s="55">
        <v>-7371.4285714285716</v>
      </c>
      <c r="X8" s="51" t="s">
        <v>208</v>
      </c>
      <c r="Y8" s="53">
        <v>0</v>
      </c>
      <c r="Z8" s="51" t="s">
        <v>139</v>
      </c>
      <c r="AA8" s="54">
        <v>0.24514991181657847</v>
      </c>
      <c r="AB8" s="51" t="s">
        <v>195</v>
      </c>
      <c r="AC8" s="54">
        <v>0.23809523809523808</v>
      </c>
      <c r="AD8" s="51" t="s">
        <v>139</v>
      </c>
      <c r="AE8" s="54">
        <v>0.49640287769784175</v>
      </c>
      <c r="AF8" s="51" t="s">
        <v>207</v>
      </c>
      <c r="AG8" s="54">
        <v>0.4</v>
      </c>
      <c r="AH8" s="51" t="s">
        <v>139</v>
      </c>
      <c r="AI8" s="54">
        <v>0.47239263803680981</v>
      </c>
      <c r="AJ8" s="51" t="s">
        <v>164</v>
      </c>
      <c r="AK8" s="58">
        <v>58600</v>
      </c>
    </row>
    <row r="9" spans="1:37" x14ac:dyDescent="0.45">
      <c r="A9" s="48">
        <v>7</v>
      </c>
      <c r="B9" s="51" t="s">
        <v>190</v>
      </c>
      <c r="C9" s="118">
        <v>6</v>
      </c>
      <c r="D9" s="49" t="s">
        <v>208</v>
      </c>
      <c r="E9" s="50">
        <v>-6.1999999999999993</v>
      </c>
      <c r="F9" s="51" t="s">
        <v>208</v>
      </c>
      <c r="G9" s="63">
        <v>-3.0999999999999996</v>
      </c>
      <c r="H9" s="51" t="s">
        <v>201</v>
      </c>
      <c r="I9" s="63">
        <v>-2.7527777777777778</v>
      </c>
      <c r="J9" s="51" t="s">
        <v>208</v>
      </c>
      <c r="K9" s="52">
        <v>2</v>
      </c>
      <c r="L9" s="51" t="s">
        <v>200</v>
      </c>
      <c r="M9" s="53">
        <v>0.25</v>
      </c>
      <c r="N9" s="51" t="s">
        <v>194</v>
      </c>
      <c r="O9" s="53">
        <v>0.38461538461538464</v>
      </c>
      <c r="P9" s="51" t="s">
        <v>201</v>
      </c>
      <c r="Q9" s="54">
        <v>0.24358974358974358</v>
      </c>
      <c r="R9" s="51" t="s">
        <v>201</v>
      </c>
      <c r="S9" s="54">
        <v>0.16666666666666666</v>
      </c>
      <c r="T9" s="51" t="s">
        <v>201</v>
      </c>
      <c r="U9" s="55">
        <v>7557.894736842105</v>
      </c>
      <c r="V9" s="51" t="s">
        <v>190</v>
      </c>
      <c r="W9" s="55">
        <v>-7571.4285714285716</v>
      </c>
      <c r="X9" s="51" t="s">
        <v>207</v>
      </c>
      <c r="Y9" s="53">
        <v>0</v>
      </c>
      <c r="Z9" s="51" t="s">
        <v>126</v>
      </c>
      <c r="AA9" s="54">
        <v>0.24427480916030533</v>
      </c>
      <c r="AB9" s="51" t="s">
        <v>126</v>
      </c>
      <c r="AC9" s="54">
        <v>0.23664122137404581</v>
      </c>
      <c r="AD9" s="51" t="s">
        <v>190</v>
      </c>
      <c r="AE9" s="54">
        <v>0.46666666666666667</v>
      </c>
      <c r="AF9" s="51" t="s">
        <v>190</v>
      </c>
      <c r="AG9" s="54">
        <v>0.39130434782608697</v>
      </c>
      <c r="AH9" s="51" t="s">
        <v>194</v>
      </c>
      <c r="AI9" s="54">
        <v>0.46875</v>
      </c>
      <c r="AJ9" s="51" t="s">
        <v>198</v>
      </c>
      <c r="AK9" s="58">
        <v>56300</v>
      </c>
    </row>
    <row r="10" spans="1:37" x14ac:dyDescent="0.45">
      <c r="A10" s="48">
        <v>8</v>
      </c>
      <c r="B10" s="51" t="s">
        <v>200</v>
      </c>
      <c r="C10" s="118">
        <v>4</v>
      </c>
      <c r="D10" s="49" t="s">
        <v>207</v>
      </c>
      <c r="E10" s="50">
        <v>-13.5</v>
      </c>
      <c r="F10" s="51" t="s">
        <v>207</v>
      </c>
      <c r="G10" s="63">
        <v>-6.75</v>
      </c>
      <c r="H10" s="51" t="s">
        <v>164</v>
      </c>
      <c r="I10" s="63">
        <v>-3.2333333333333321</v>
      </c>
      <c r="J10" s="51" t="s">
        <v>200</v>
      </c>
      <c r="K10" s="52">
        <v>2.25</v>
      </c>
      <c r="L10" s="51" t="s">
        <v>164</v>
      </c>
      <c r="M10" s="53">
        <v>0.16666666666666666</v>
      </c>
      <c r="N10" s="51" t="s">
        <v>200</v>
      </c>
      <c r="O10" s="53">
        <v>0.5</v>
      </c>
      <c r="P10" s="51" t="s">
        <v>200</v>
      </c>
      <c r="Q10" s="54">
        <v>0.22857142857142856</v>
      </c>
      <c r="R10" s="51" t="s">
        <v>208</v>
      </c>
      <c r="S10" s="54">
        <v>0.16666666666666666</v>
      </c>
      <c r="T10" s="51" t="s">
        <v>208</v>
      </c>
      <c r="U10" s="55">
        <v>7460</v>
      </c>
      <c r="V10" s="51" t="s">
        <v>139</v>
      </c>
      <c r="W10" s="55">
        <v>-8122.0930232558139</v>
      </c>
      <c r="X10" s="51" t="s">
        <v>139</v>
      </c>
      <c r="Y10" s="53">
        <v>5.7971014492753624E-2</v>
      </c>
      <c r="Z10" s="51" t="s">
        <v>208</v>
      </c>
      <c r="AA10" s="54">
        <v>0.22222222222222221</v>
      </c>
      <c r="AB10" s="51" t="s">
        <v>194</v>
      </c>
      <c r="AC10" s="54">
        <v>0.22448979591836735</v>
      </c>
      <c r="AD10" s="51" t="s">
        <v>201</v>
      </c>
      <c r="AE10" s="54">
        <v>0.42857142857142855</v>
      </c>
      <c r="AF10" s="51" t="s">
        <v>201</v>
      </c>
      <c r="AG10" s="54">
        <v>0.35294117647058826</v>
      </c>
      <c r="AH10" s="51" t="s">
        <v>198</v>
      </c>
      <c r="AI10" s="54">
        <v>0.35</v>
      </c>
      <c r="AJ10" s="51" t="s">
        <v>200</v>
      </c>
      <c r="AK10" s="58">
        <v>45000</v>
      </c>
    </row>
    <row r="11" spans="1:37" x14ac:dyDescent="0.45">
      <c r="A11" s="48">
        <v>9</v>
      </c>
      <c r="B11" s="51" t="s">
        <v>195</v>
      </c>
      <c r="C11" s="118">
        <v>3</v>
      </c>
      <c r="D11" s="49" t="s">
        <v>195</v>
      </c>
      <c r="E11" s="50">
        <v>-40.4</v>
      </c>
      <c r="F11" s="51" t="s">
        <v>200</v>
      </c>
      <c r="G11" s="63">
        <v>-12.924999999999999</v>
      </c>
      <c r="H11" s="51" t="s">
        <v>207</v>
      </c>
      <c r="I11" s="63">
        <v>-4.5</v>
      </c>
      <c r="J11" s="51" t="s">
        <v>195</v>
      </c>
      <c r="K11" s="52">
        <v>2.3333333333333335</v>
      </c>
      <c r="L11" s="51" t="s">
        <v>190</v>
      </c>
      <c r="M11" s="53">
        <v>0.16666666666666666</v>
      </c>
      <c r="N11" s="51" t="s">
        <v>208</v>
      </c>
      <c r="O11" s="53">
        <v>0.5</v>
      </c>
      <c r="P11" s="51" t="s">
        <v>207</v>
      </c>
      <c r="Q11" s="54">
        <v>0.22222222222222221</v>
      </c>
      <c r="R11" s="51" t="s">
        <v>207</v>
      </c>
      <c r="S11" s="54">
        <v>0.16666666666666666</v>
      </c>
      <c r="T11" s="51" t="s">
        <v>164</v>
      </c>
      <c r="U11" s="55">
        <v>7340</v>
      </c>
      <c r="V11" s="51" t="s">
        <v>200</v>
      </c>
      <c r="W11" s="55">
        <v>-9387.5</v>
      </c>
      <c r="X11" s="51" t="s">
        <v>194</v>
      </c>
      <c r="Y11" s="53">
        <v>7.6923076923076927E-2</v>
      </c>
      <c r="Z11" s="51" t="s">
        <v>207</v>
      </c>
      <c r="AA11" s="54">
        <v>0.22222222222222221</v>
      </c>
      <c r="AB11" s="51" t="s">
        <v>201</v>
      </c>
      <c r="AC11" s="54">
        <v>0.21794871794871795</v>
      </c>
      <c r="AD11" s="51" t="s">
        <v>164</v>
      </c>
      <c r="AE11" s="54">
        <v>0.27272727272727271</v>
      </c>
      <c r="AF11" s="51" t="s">
        <v>164</v>
      </c>
      <c r="AG11" s="54">
        <v>0.30769230769230771</v>
      </c>
      <c r="AH11" s="51" t="s">
        <v>164</v>
      </c>
      <c r="AI11" s="54">
        <v>0.3</v>
      </c>
      <c r="AJ11" s="51" t="s">
        <v>208</v>
      </c>
      <c r="AK11" s="58">
        <v>43000</v>
      </c>
    </row>
    <row r="12" spans="1:37" x14ac:dyDescent="0.45">
      <c r="A12" s="48">
        <v>10</v>
      </c>
      <c r="B12" s="51" t="s">
        <v>208</v>
      </c>
      <c r="C12" s="118">
        <v>2</v>
      </c>
      <c r="D12" s="49" t="s">
        <v>200</v>
      </c>
      <c r="E12" s="50">
        <v>-51.699999999999996</v>
      </c>
      <c r="F12" s="51" t="s">
        <v>195</v>
      </c>
      <c r="G12" s="63">
        <v>-13.466666666666667</v>
      </c>
      <c r="H12" s="51" t="s">
        <v>200</v>
      </c>
      <c r="I12" s="63">
        <v>-4.7666666666666657</v>
      </c>
      <c r="J12" s="51" t="s">
        <v>207</v>
      </c>
      <c r="K12" s="52">
        <v>2.5</v>
      </c>
      <c r="L12" s="51" t="s">
        <v>195</v>
      </c>
      <c r="M12" s="53">
        <v>0</v>
      </c>
      <c r="N12" s="51" t="s">
        <v>207</v>
      </c>
      <c r="O12" s="53">
        <v>0.5</v>
      </c>
      <c r="P12" s="51" t="s">
        <v>164</v>
      </c>
      <c r="Q12" s="54">
        <v>0.19607843137254902</v>
      </c>
      <c r="R12" s="51" t="s">
        <v>164</v>
      </c>
      <c r="S12" s="54">
        <v>0.21568627450980393</v>
      </c>
      <c r="T12" s="51" t="s">
        <v>198</v>
      </c>
      <c r="U12" s="55">
        <v>6405</v>
      </c>
      <c r="V12" s="51" t="s">
        <v>207</v>
      </c>
      <c r="W12" s="55">
        <v>-10300</v>
      </c>
      <c r="X12" s="51" t="s">
        <v>201</v>
      </c>
      <c r="Y12" s="53">
        <v>0.1</v>
      </c>
      <c r="Z12" s="51" t="s">
        <v>164</v>
      </c>
      <c r="AA12" s="54">
        <v>0.21568627450980393</v>
      </c>
      <c r="AB12" s="51" t="s">
        <v>198</v>
      </c>
      <c r="AC12" s="54">
        <v>0.203125</v>
      </c>
      <c r="AD12" s="51" t="s">
        <v>207</v>
      </c>
      <c r="AE12" s="54">
        <v>0.25</v>
      </c>
      <c r="AF12" s="51" t="s">
        <v>195</v>
      </c>
      <c r="AG12" s="54">
        <v>0.2</v>
      </c>
      <c r="AH12" s="51" t="s">
        <v>200</v>
      </c>
      <c r="AI12" s="54">
        <v>0.25</v>
      </c>
      <c r="AJ12" s="51" t="s">
        <v>207</v>
      </c>
      <c r="AK12" s="58">
        <v>39000</v>
      </c>
    </row>
    <row r="13" spans="1:37" x14ac:dyDescent="0.45">
      <c r="A13" s="48">
        <v>11</v>
      </c>
      <c r="B13" s="51" t="s">
        <v>207</v>
      </c>
      <c r="C13" s="118">
        <v>2</v>
      </c>
      <c r="D13" s="49" t="s">
        <v>164</v>
      </c>
      <c r="E13" s="50">
        <v>-182.90000000000003</v>
      </c>
      <c r="F13" s="51" t="s">
        <v>164</v>
      </c>
      <c r="G13" s="63">
        <v>-30.483333333333338</v>
      </c>
      <c r="H13" s="51" t="s">
        <v>195</v>
      </c>
      <c r="I13" s="63">
        <v>-12.333333333333334</v>
      </c>
      <c r="J13" s="51" t="s">
        <v>164</v>
      </c>
      <c r="K13" s="52">
        <v>2.6666666666666665</v>
      </c>
      <c r="L13" s="51" t="s">
        <v>207</v>
      </c>
      <c r="M13" s="53">
        <v>0</v>
      </c>
      <c r="N13" s="51" t="s">
        <v>164</v>
      </c>
      <c r="O13" s="53">
        <v>0.83333333333333337</v>
      </c>
      <c r="P13" s="51" t="s">
        <v>195</v>
      </c>
      <c r="Q13" s="54">
        <v>0.14285714285714285</v>
      </c>
      <c r="R13" s="51" t="s">
        <v>200</v>
      </c>
      <c r="S13" s="54">
        <v>0.22857142857142856</v>
      </c>
      <c r="T13" s="51" t="s">
        <v>195</v>
      </c>
      <c r="U13" s="55">
        <v>5800</v>
      </c>
      <c r="V13" s="51" t="s">
        <v>164</v>
      </c>
      <c r="W13" s="55">
        <v>-12463.636363636364</v>
      </c>
      <c r="X13" s="51" t="s">
        <v>164</v>
      </c>
      <c r="Y13" s="53">
        <v>0.33333333333333331</v>
      </c>
      <c r="Z13" s="51" t="s">
        <v>195</v>
      </c>
      <c r="AA13" s="54">
        <v>9.5238095238095233E-2</v>
      </c>
      <c r="AB13" s="51" t="s">
        <v>208</v>
      </c>
      <c r="AC13" s="54">
        <v>0</v>
      </c>
      <c r="AD13" s="51" t="s">
        <v>200</v>
      </c>
      <c r="AE13" s="54">
        <v>0.22222222222222221</v>
      </c>
      <c r="AF13" s="51" t="s">
        <v>208</v>
      </c>
      <c r="AG13" s="54">
        <v>0</v>
      </c>
      <c r="AH13" s="51" t="s">
        <v>195</v>
      </c>
      <c r="AI13" s="54">
        <v>0</v>
      </c>
      <c r="AJ13" s="51" t="s">
        <v>195</v>
      </c>
      <c r="AK13" s="58">
        <v>31700</v>
      </c>
    </row>
  </sheetData>
  <sortState xmlns:xlrd2="http://schemas.microsoft.com/office/spreadsheetml/2017/richdata2" ref="AJ3:AK42">
    <sortCondition descending="1" ref="AK1"/>
  </sortState>
  <mergeCells count="36">
    <mergeCell ref="AH2:AI2"/>
    <mergeCell ref="R1:S1"/>
    <mergeCell ref="AJ2:AK2"/>
    <mergeCell ref="Z2:AA2"/>
    <mergeCell ref="AB2:AC2"/>
    <mergeCell ref="AD2:AE2"/>
    <mergeCell ref="AF2:AG2"/>
    <mergeCell ref="R2:S2"/>
    <mergeCell ref="T2:U2"/>
    <mergeCell ref="V2:W2"/>
    <mergeCell ref="X2:Y2"/>
    <mergeCell ref="AJ1:AK1"/>
    <mergeCell ref="T1:U1"/>
    <mergeCell ref="V1:W1"/>
    <mergeCell ref="X1:Y1"/>
    <mergeCell ref="AH1:AI1"/>
    <mergeCell ref="F1:G1"/>
    <mergeCell ref="J1:K1"/>
    <mergeCell ref="L1:M1"/>
    <mergeCell ref="B1:C1"/>
    <mergeCell ref="D2:E2"/>
    <mergeCell ref="F2:G2"/>
    <mergeCell ref="J2:K2"/>
    <mergeCell ref="L2:M2"/>
    <mergeCell ref="B2:C2"/>
    <mergeCell ref="D1:E1"/>
    <mergeCell ref="N2:O2"/>
    <mergeCell ref="H2:I2"/>
    <mergeCell ref="P1:Q1"/>
    <mergeCell ref="N1:O1"/>
    <mergeCell ref="H1:I1"/>
    <mergeCell ref="Z1:AA1"/>
    <mergeCell ref="AB1:AC1"/>
    <mergeCell ref="AD1:AE1"/>
    <mergeCell ref="AF1:AG1"/>
    <mergeCell ref="P2:Q2"/>
  </mergeCells>
  <phoneticPr fontId="1"/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1745" r:id="rId4" name="Button 1">
              <controlPr defaultSize="0" print="0" autoFill="0" autoPict="0" macro="[0]!集計">
                <anchor moveWithCells="1">
                  <from>
                    <xdr:col>0</xdr:col>
                    <xdr:colOff>30480</xdr:colOff>
                    <xdr:row>0</xdr:row>
                    <xdr:rowOff>30480</xdr:rowOff>
                  </from>
                  <to>
                    <xdr:col>0</xdr:col>
                    <xdr:colOff>426720</xdr:colOff>
                    <xdr:row>0</xdr:row>
                    <xdr:rowOff>220980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472990-2DAC-4500-9354-D9CF23DB8966}">
  <sheetPr codeName="Sheet4"/>
  <dimension ref="A1:Q71"/>
  <sheetViews>
    <sheetView showGridLines="0" zoomScaleNormal="100" workbookViewId="0"/>
  </sheetViews>
  <sheetFormatPr defaultColWidth="9" defaultRowHeight="18" x14ac:dyDescent="0.45"/>
  <cols>
    <col min="1" max="1" width="13" style="107" customWidth="1"/>
    <col min="2" max="3" width="9" style="107" customWidth="1"/>
    <col min="4" max="4" width="3.59765625" style="107" customWidth="1"/>
    <col min="5" max="5" width="3.59765625" style="116" bestFit="1" customWidth="1"/>
    <col min="6" max="6" width="11" style="111" bestFit="1" customWidth="1"/>
    <col min="7" max="9" width="9" style="107" customWidth="1"/>
    <col min="10" max="10" width="3.59765625" style="107" customWidth="1"/>
    <col min="11" max="11" width="3.5" style="7" customWidth="1"/>
    <col min="12" max="12" width="9" style="65" customWidth="1"/>
    <col min="13" max="13" width="3.59765625" style="107" customWidth="1"/>
    <col min="14" max="14" width="9" style="78" customWidth="1"/>
    <col min="15" max="15" width="9" style="87" customWidth="1"/>
    <col min="16" max="16" width="9" style="81" customWidth="1"/>
    <col min="17" max="17" width="3.59765625" style="72" customWidth="1"/>
    <col min="18" max="16384" width="9" style="107"/>
  </cols>
  <sheetData>
    <row r="1" spans="1:17" x14ac:dyDescent="0.45">
      <c r="A1" s="19" t="s">
        <v>0</v>
      </c>
      <c r="B1" s="145" t="s">
        <v>139</v>
      </c>
      <c r="C1" s="146"/>
      <c r="E1" s="108" t="s">
        <v>155</v>
      </c>
      <c r="F1" s="120" t="s">
        <v>115</v>
      </c>
      <c r="G1" s="119" t="s">
        <v>116</v>
      </c>
      <c r="H1" s="90" t="s">
        <v>117</v>
      </c>
      <c r="I1" s="120" t="s">
        <v>146</v>
      </c>
      <c r="K1" s="4" t="s">
        <v>19</v>
      </c>
      <c r="L1" s="120" t="s">
        <v>120</v>
      </c>
      <c r="M1" s="109"/>
      <c r="N1" s="76" t="s">
        <v>134</v>
      </c>
      <c r="O1" s="4" t="s">
        <v>135</v>
      </c>
      <c r="P1" s="110" t="s">
        <v>116</v>
      </c>
      <c r="Q1" s="66" t="s">
        <v>148</v>
      </c>
    </row>
    <row r="2" spans="1:17" x14ac:dyDescent="0.45">
      <c r="A2" s="20" t="s">
        <v>9</v>
      </c>
      <c r="B2" s="147">
        <v>69</v>
      </c>
      <c r="C2" s="148"/>
      <c r="E2" s="28" t="s">
        <v>66</v>
      </c>
      <c r="F2" s="25" t="s">
        <v>22</v>
      </c>
      <c r="G2" s="13">
        <v>120</v>
      </c>
      <c r="H2" s="91">
        <f t="shared" ref="H2:H33" si="0">IF(B$19=0,0,G2/B$19)</f>
        <v>0.73619631901840488</v>
      </c>
      <c r="I2" s="59">
        <v>4</v>
      </c>
      <c r="K2" s="5">
        <v>0</v>
      </c>
      <c r="L2" s="64">
        <v>0</v>
      </c>
      <c r="N2" s="77" t="s">
        <v>128</v>
      </c>
      <c r="O2" s="83">
        <f t="shared" ref="O2:O7" si="1">IF(P2=0,0,Q2/P2)</f>
        <v>-43.478260869565219</v>
      </c>
      <c r="P2" s="80">
        <v>69</v>
      </c>
      <c r="Q2" s="67">
        <v>-3000</v>
      </c>
    </row>
    <row r="3" spans="1:17" x14ac:dyDescent="0.45">
      <c r="A3" s="21" t="s">
        <v>8</v>
      </c>
      <c r="B3" s="149">
        <v>567</v>
      </c>
      <c r="C3" s="150"/>
      <c r="E3" s="29" t="s">
        <v>72</v>
      </c>
      <c r="F3" s="26" t="s">
        <v>27</v>
      </c>
      <c r="G3" s="14">
        <v>108</v>
      </c>
      <c r="H3" s="92">
        <f t="shared" si="0"/>
        <v>0.66257668711656437</v>
      </c>
      <c r="I3" s="60">
        <v>5</v>
      </c>
      <c r="K3" s="7">
        <v>1</v>
      </c>
      <c r="L3" s="65">
        <v>20.9</v>
      </c>
      <c r="N3" s="78" t="s">
        <v>129</v>
      </c>
      <c r="O3" s="84">
        <f t="shared" si="1"/>
        <v>45.454545454545453</v>
      </c>
      <c r="P3" s="81">
        <v>66</v>
      </c>
      <c r="Q3" s="68">
        <v>3000</v>
      </c>
    </row>
    <row r="4" spans="1:17" x14ac:dyDescent="0.45">
      <c r="A4" s="21" t="s">
        <v>6</v>
      </c>
      <c r="B4" s="151">
        <v>1.0658141036401503E-14</v>
      </c>
      <c r="C4" s="152"/>
      <c r="E4" s="29" t="s">
        <v>64</v>
      </c>
      <c r="F4" s="26" t="s">
        <v>20</v>
      </c>
      <c r="G4" s="14">
        <v>65</v>
      </c>
      <c r="H4" s="92">
        <f t="shared" si="0"/>
        <v>0.3987730061349693</v>
      </c>
      <c r="I4" s="60">
        <v>5</v>
      </c>
      <c r="K4" s="7">
        <v>2</v>
      </c>
      <c r="L4" s="65">
        <v>-10.100000000000001</v>
      </c>
      <c r="N4" s="78" t="s">
        <v>130</v>
      </c>
      <c r="O4" s="84">
        <f t="shared" si="1"/>
        <v>-15.151515151515152</v>
      </c>
      <c r="P4" s="81">
        <v>66</v>
      </c>
      <c r="Q4" s="68">
        <v>-1000</v>
      </c>
    </row>
    <row r="5" spans="1:17" x14ac:dyDescent="0.45">
      <c r="A5" s="21" t="s">
        <v>7</v>
      </c>
      <c r="B5" s="139">
        <f>IF(B$2=0,0,B$4/B$2)</f>
        <v>1.5446581212176091E-16</v>
      </c>
      <c r="C5" s="140"/>
      <c r="E5" s="29" t="s">
        <v>160</v>
      </c>
      <c r="F5" s="26" t="s">
        <v>161</v>
      </c>
      <c r="G5" s="14">
        <v>62</v>
      </c>
      <c r="H5" s="92">
        <f t="shared" si="0"/>
        <v>0.38036809815950923</v>
      </c>
      <c r="I5" s="60">
        <v>6</v>
      </c>
      <c r="K5" s="7">
        <v>3</v>
      </c>
      <c r="L5" s="65">
        <v>-1.7763568394002505E-15</v>
      </c>
      <c r="N5" s="78" t="s">
        <v>131</v>
      </c>
      <c r="O5" s="84">
        <f t="shared" si="1"/>
        <v>16.666666666666668</v>
      </c>
      <c r="P5" s="81">
        <v>60</v>
      </c>
      <c r="Q5" s="68">
        <v>1000</v>
      </c>
    </row>
    <row r="6" spans="1:17" x14ac:dyDescent="0.45">
      <c r="A6" s="21" t="s">
        <v>1</v>
      </c>
      <c r="B6" s="153">
        <f>IF(B$2=0,0,(B$7*1+B$8*2+B$9*3)/B$2)</f>
        <v>2</v>
      </c>
      <c r="C6" s="154"/>
      <c r="E6" s="29" t="s">
        <v>68</v>
      </c>
      <c r="F6" s="26" t="s">
        <v>12</v>
      </c>
      <c r="G6" s="14">
        <v>46</v>
      </c>
      <c r="H6" s="92">
        <f t="shared" si="0"/>
        <v>0.2822085889570552</v>
      </c>
      <c r="I6" s="60">
        <v>6</v>
      </c>
      <c r="K6" s="7">
        <v>4</v>
      </c>
      <c r="L6" s="65">
        <v>26.299999999999997</v>
      </c>
      <c r="N6" s="78" t="s">
        <v>132</v>
      </c>
      <c r="O6" s="84">
        <f t="shared" si="1"/>
        <v>-18.518518518518519</v>
      </c>
      <c r="P6" s="81">
        <v>54</v>
      </c>
      <c r="Q6" s="68">
        <v>-1000</v>
      </c>
    </row>
    <row r="7" spans="1:17" x14ac:dyDescent="0.45">
      <c r="A7" s="21" t="s">
        <v>2</v>
      </c>
      <c r="B7" s="14">
        <v>23</v>
      </c>
      <c r="C7" s="8">
        <f t="shared" ref="C7:C14" si="2">IF(B$2=0,0,B7/B$2)</f>
        <v>0.33333333333333331</v>
      </c>
      <c r="E7" s="29" t="s">
        <v>67</v>
      </c>
      <c r="F7" s="26" t="s">
        <v>23</v>
      </c>
      <c r="G7" s="14">
        <v>38</v>
      </c>
      <c r="H7" s="92">
        <f t="shared" si="0"/>
        <v>0.23312883435582821</v>
      </c>
      <c r="I7" s="60">
        <v>6</v>
      </c>
      <c r="K7" s="7">
        <v>5</v>
      </c>
      <c r="L7" s="65">
        <v>-41.600000000000009</v>
      </c>
      <c r="N7" s="79" t="s">
        <v>133</v>
      </c>
      <c r="O7" s="85">
        <f t="shared" si="1"/>
        <v>20.833333333333332</v>
      </c>
      <c r="P7" s="82">
        <v>48</v>
      </c>
      <c r="Q7" s="69">
        <v>1000</v>
      </c>
    </row>
    <row r="8" spans="1:17" x14ac:dyDescent="0.45">
      <c r="A8" s="21" t="s">
        <v>3</v>
      </c>
      <c r="B8" s="14">
        <v>23</v>
      </c>
      <c r="C8" s="8">
        <f t="shared" si="2"/>
        <v>0.33333333333333331</v>
      </c>
      <c r="E8" s="29" t="s">
        <v>89</v>
      </c>
      <c r="F8" s="26" t="s">
        <v>44</v>
      </c>
      <c r="G8" s="14">
        <v>28</v>
      </c>
      <c r="H8" s="92">
        <f t="shared" si="0"/>
        <v>0.17177914110429449</v>
      </c>
      <c r="I8" s="60">
        <v>6</v>
      </c>
      <c r="K8" s="7">
        <v>6</v>
      </c>
      <c r="L8" s="65">
        <v>-7.1054273576010019E-15</v>
      </c>
      <c r="N8" s="111"/>
      <c r="O8" s="89"/>
      <c r="P8" s="112"/>
      <c r="Q8" s="74"/>
    </row>
    <row r="9" spans="1:17" x14ac:dyDescent="0.45">
      <c r="A9" s="22" t="s">
        <v>4</v>
      </c>
      <c r="B9" s="15">
        <v>23</v>
      </c>
      <c r="C9" s="9">
        <f t="shared" si="2"/>
        <v>0.33333333333333331</v>
      </c>
      <c r="E9" s="29" t="s">
        <v>69</v>
      </c>
      <c r="F9" s="26" t="s">
        <v>24</v>
      </c>
      <c r="G9" s="14">
        <v>19</v>
      </c>
      <c r="H9" s="92">
        <f t="shared" si="0"/>
        <v>0.1165644171779141</v>
      </c>
      <c r="I9" s="60">
        <v>5</v>
      </c>
      <c r="K9" s="7">
        <v>7</v>
      </c>
      <c r="L9" s="65">
        <v>-33.600000000000009</v>
      </c>
      <c r="N9" s="76" t="s">
        <v>151</v>
      </c>
      <c r="O9" s="4" t="s">
        <v>120</v>
      </c>
      <c r="P9" s="110" t="s">
        <v>116</v>
      </c>
      <c r="Q9" s="70" t="s">
        <v>148</v>
      </c>
    </row>
    <row r="10" spans="1:17" x14ac:dyDescent="0.45">
      <c r="A10" s="22" t="s">
        <v>185</v>
      </c>
      <c r="B10" s="113">
        <f>IF(B7=0,0,C10/B7)</f>
        <v>34.047826086956533</v>
      </c>
      <c r="C10" s="114">
        <v>783.10000000000025</v>
      </c>
      <c r="E10" s="29" t="s">
        <v>70</v>
      </c>
      <c r="F10" s="26" t="s">
        <v>25</v>
      </c>
      <c r="G10" s="14">
        <v>16</v>
      </c>
      <c r="H10" s="92">
        <f t="shared" si="0"/>
        <v>9.815950920245399E-2</v>
      </c>
      <c r="I10" s="60">
        <v>5</v>
      </c>
      <c r="K10" s="7">
        <v>8</v>
      </c>
      <c r="L10" s="65">
        <v>21.999999999999993</v>
      </c>
      <c r="N10" s="77" t="s">
        <v>152</v>
      </c>
      <c r="O10" s="86">
        <f>IF(P10=0,0,Q10/P10)</f>
        <v>-3.7695652173913037</v>
      </c>
      <c r="P10" s="80">
        <v>23</v>
      </c>
      <c r="Q10" s="71">
        <v>-86.699999999999989</v>
      </c>
    </row>
    <row r="11" spans="1:17" x14ac:dyDescent="0.45">
      <c r="A11" s="22" t="s">
        <v>186</v>
      </c>
      <c r="B11" s="113">
        <f>IF(B8=0,0,C11/B8)</f>
        <v>-1.5869565217391308</v>
      </c>
      <c r="C11" s="114">
        <v>-36.500000000000007</v>
      </c>
      <c r="E11" s="29" t="s">
        <v>65</v>
      </c>
      <c r="F11" s="26" t="s">
        <v>21</v>
      </c>
      <c r="G11" s="14">
        <v>10</v>
      </c>
      <c r="H11" s="92">
        <f t="shared" si="0"/>
        <v>6.1349693251533742E-2</v>
      </c>
      <c r="I11" s="60">
        <v>5</v>
      </c>
      <c r="K11" s="7">
        <v>9</v>
      </c>
      <c r="L11" s="65">
        <v>-7.1054273576010019E-15</v>
      </c>
      <c r="N11" s="78" t="s">
        <v>153</v>
      </c>
      <c r="O11" s="87">
        <f>IF(P11=0,0,Q11/P11)</f>
        <v>-3.5000000000000004</v>
      </c>
      <c r="P11" s="81">
        <v>23</v>
      </c>
      <c r="Q11" s="72">
        <v>-80.500000000000014</v>
      </c>
    </row>
    <row r="12" spans="1:17" x14ac:dyDescent="0.45">
      <c r="A12" s="22" t="s">
        <v>187</v>
      </c>
      <c r="B12" s="113">
        <f>IF(B9=0,0,C12/B9)</f>
        <v>-32.460869565217401</v>
      </c>
      <c r="C12" s="114">
        <v>-746.60000000000014</v>
      </c>
      <c r="E12" s="29" t="s">
        <v>83</v>
      </c>
      <c r="F12" s="26" t="s">
        <v>38</v>
      </c>
      <c r="G12" s="14">
        <v>10</v>
      </c>
      <c r="H12" s="92">
        <f t="shared" si="0"/>
        <v>6.1349693251533742E-2</v>
      </c>
      <c r="I12" s="60">
        <v>5</v>
      </c>
      <c r="K12" s="7">
        <v>10</v>
      </c>
      <c r="L12" s="65">
        <v>-30.700000000000006</v>
      </c>
      <c r="N12" s="79" t="s">
        <v>154</v>
      </c>
      <c r="O12" s="88">
        <f>IF(P12=0,0,Q12/P12)</f>
        <v>7.269565217391305</v>
      </c>
      <c r="P12" s="82">
        <v>23</v>
      </c>
      <c r="Q12" s="73">
        <v>167.20000000000002</v>
      </c>
    </row>
    <row r="13" spans="1:17" x14ac:dyDescent="0.45">
      <c r="A13" s="22" t="s">
        <v>188</v>
      </c>
      <c r="B13" s="139">
        <f>AVERAGE(B10:B12)</f>
        <v>0</v>
      </c>
      <c r="C13" s="140"/>
      <c r="E13" s="29" t="s">
        <v>71</v>
      </c>
      <c r="F13" s="26" t="s">
        <v>26</v>
      </c>
      <c r="G13" s="14">
        <v>9</v>
      </c>
      <c r="H13" s="92">
        <f t="shared" si="0"/>
        <v>5.5214723926380369E-2</v>
      </c>
      <c r="I13" s="60">
        <v>5</v>
      </c>
      <c r="K13" s="7">
        <v>11</v>
      </c>
      <c r="L13" s="65">
        <v>-34.000000000000007</v>
      </c>
      <c r="N13" s="107"/>
      <c r="O13" s="75"/>
      <c r="P13" s="115"/>
      <c r="Q13" s="75"/>
    </row>
    <row r="14" spans="1:17" x14ac:dyDescent="0.45">
      <c r="A14" s="23" t="s">
        <v>18</v>
      </c>
      <c r="B14" s="16">
        <v>4</v>
      </c>
      <c r="C14" s="11">
        <f t="shared" si="2"/>
        <v>5.7971014492753624E-2</v>
      </c>
      <c r="E14" s="29" t="s">
        <v>86</v>
      </c>
      <c r="F14" s="26" t="s">
        <v>41</v>
      </c>
      <c r="G14" s="14">
        <v>8</v>
      </c>
      <c r="H14" s="92">
        <f t="shared" si="0"/>
        <v>4.9079754601226995E-2</v>
      </c>
      <c r="I14" s="60">
        <v>4</v>
      </c>
      <c r="K14" s="7">
        <v>12</v>
      </c>
      <c r="L14" s="65">
        <v>-7.1054273576010019E-15</v>
      </c>
      <c r="N14" s="76" t="s">
        <v>147</v>
      </c>
      <c r="O14" s="4" t="s">
        <v>120</v>
      </c>
      <c r="P14" s="110" t="s">
        <v>116</v>
      </c>
      <c r="Q14" s="70" t="s">
        <v>148</v>
      </c>
    </row>
    <row r="15" spans="1:17" x14ac:dyDescent="0.45">
      <c r="A15" s="24" t="s">
        <v>121</v>
      </c>
      <c r="B15" s="17">
        <v>139</v>
      </c>
      <c r="C15" s="12">
        <f>IF(B$3=0,0,B15/B$3)</f>
        <v>0.24514991181657847</v>
      </c>
      <c r="E15" s="29" t="s">
        <v>81</v>
      </c>
      <c r="F15" s="26" t="s">
        <v>36</v>
      </c>
      <c r="G15" s="14">
        <v>7</v>
      </c>
      <c r="H15" s="92">
        <f t="shared" si="0"/>
        <v>4.2944785276073622E-2</v>
      </c>
      <c r="I15" s="60">
        <v>5</v>
      </c>
      <c r="K15" s="7">
        <v>13</v>
      </c>
      <c r="L15" s="65">
        <v>48.999999999999993</v>
      </c>
      <c r="N15" s="77" t="s">
        <v>164</v>
      </c>
      <c r="O15" s="86">
        <f t="shared" ref="O15:O23" si="3">IF(P15=0,0,Q15/P15)</f>
        <v>45.725000000000001</v>
      </c>
      <c r="P15" s="80">
        <v>12</v>
      </c>
      <c r="Q15" s="71">
        <v>548.70000000000005</v>
      </c>
    </row>
    <row r="16" spans="1:17" x14ac:dyDescent="0.45">
      <c r="A16" s="21" t="s">
        <v>118</v>
      </c>
      <c r="B16" s="14">
        <v>139</v>
      </c>
      <c r="C16" s="8">
        <f>IF(B$3=0,0,B16/B$3)</f>
        <v>0.24514991181657847</v>
      </c>
      <c r="E16" s="29" t="s">
        <v>78</v>
      </c>
      <c r="F16" s="26" t="s">
        <v>33</v>
      </c>
      <c r="G16" s="14">
        <v>4</v>
      </c>
      <c r="H16" s="92">
        <f t="shared" si="0"/>
        <v>2.4539877300613498E-2</v>
      </c>
      <c r="I16" s="60">
        <v>5</v>
      </c>
      <c r="K16" s="7">
        <v>14</v>
      </c>
      <c r="L16" s="65">
        <v>3.4999999999999929</v>
      </c>
      <c r="N16" s="78" t="s">
        <v>195</v>
      </c>
      <c r="O16" s="87">
        <f t="shared" si="3"/>
        <v>20.2</v>
      </c>
      <c r="P16" s="81">
        <v>6</v>
      </c>
      <c r="Q16" s="72">
        <v>121.19999999999999</v>
      </c>
    </row>
    <row r="17" spans="1:17" x14ac:dyDescent="0.45">
      <c r="A17" s="20" t="s">
        <v>123</v>
      </c>
      <c r="B17" s="13">
        <f>B23</f>
        <v>69</v>
      </c>
      <c r="C17" s="6">
        <f>IF(B$15=0,0,B17/B$15)</f>
        <v>0.49640287769784175</v>
      </c>
      <c r="E17" s="29" t="s">
        <v>91</v>
      </c>
      <c r="F17" s="26" t="s">
        <v>46</v>
      </c>
      <c r="G17" s="14">
        <v>3</v>
      </c>
      <c r="H17" s="92">
        <f t="shared" si="0"/>
        <v>1.8404907975460124E-2</v>
      </c>
      <c r="I17" s="60">
        <v>3</v>
      </c>
      <c r="K17" s="7">
        <v>15</v>
      </c>
      <c r="L17" s="65">
        <v>-7.1054273576010019E-15</v>
      </c>
      <c r="N17" s="78" t="s">
        <v>200</v>
      </c>
      <c r="O17" s="87">
        <f t="shared" si="3"/>
        <v>19.387500000000003</v>
      </c>
      <c r="P17" s="81">
        <v>8</v>
      </c>
      <c r="Q17" s="72">
        <v>155.10000000000002</v>
      </c>
    </row>
    <row r="18" spans="1:17" x14ac:dyDescent="0.45">
      <c r="A18" s="20" t="s">
        <v>124</v>
      </c>
      <c r="B18" s="13">
        <f>B24</f>
        <v>61</v>
      </c>
      <c r="C18" s="6">
        <f>IF(B$16=0,0,B18/B$16)</f>
        <v>0.43884892086330934</v>
      </c>
      <c r="E18" s="29" t="s">
        <v>156</v>
      </c>
      <c r="F18" s="26" t="s">
        <v>157</v>
      </c>
      <c r="G18" s="14">
        <v>3</v>
      </c>
      <c r="H18" s="92">
        <f t="shared" si="0"/>
        <v>1.8404907975460124E-2</v>
      </c>
      <c r="I18" s="60">
        <v>3</v>
      </c>
      <c r="K18" s="7">
        <v>16</v>
      </c>
      <c r="L18" s="65">
        <v>-11.600000000000007</v>
      </c>
      <c r="N18" s="78" t="s">
        <v>207</v>
      </c>
      <c r="O18" s="87">
        <f t="shared" si="3"/>
        <v>10.125</v>
      </c>
      <c r="P18" s="81">
        <v>4</v>
      </c>
      <c r="Q18" s="72">
        <v>40.5</v>
      </c>
    </row>
    <row r="19" spans="1:17" x14ac:dyDescent="0.45">
      <c r="A19" s="20" t="s">
        <v>10</v>
      </c>
      <c r="B19" s="13">
        <f>B22+B21</f>
        <v>163</v>
      </c>
      <c r="C19" s="6">
        <f>IF(B$3=0,0,B19/B$3)</f>
        <v>0.2874779541446208</v>
      </c>
      <c r="E19" s="29" t="s">
        <v>79</v>
      </c>
      <c r="F19" s="26" t="s">
        <v>34</v>
      </c>
      <c r="G19" s="14">
        <v>2</v>
      </c>
      <c r="H19" s="92">
        <f t="shared" si="0"/>
        <v>1.2269938650306749E-2</v>
      </c>
      <c r="I19" s="60">
        <v>3</v>
      </c>
      <c r="K19" s="7">
        <v>17</v>
      </c>
      <c r="L19" s="65">
        <v>-7.1054273576010019E-15</v>
      </c>
      <c r="N19" s="78" t="s">
        <v>208</v>
      </c>
      <c r="O19" s="87">
        <f t="shared" si="3"/>
        <v>4.6499999999999986</v>
      </c>
      <c r="P19" s="81">
        <v>4</v>
      </c>
      <c r="Q19" s="72">
        <v>18.599999999999994</v>
      </c>
    </row>
    <row r="20" spans="1:17" x14ac:dyDescent="0.45">
      <c r="A20" s="21" t="s">
        <v>13</v>
      </c>
      <c r="B20" s="14">
        <v>86</v>
      </c>
      <c r="C20" s="8">
        <f>IF(B$3=0,0,B20/B$3)</f>
        <v>0.15167548500881833</v>
      </c>
      <c r="E20" s="29" t="s">
        <v>73</v>
      </c>
      <c r="F20" s="26" t="s">
        <v>28</v>
      </c>
      <c r="G20" s="14">
        <v>1</v>
      </c>
      <c r="H20" s="92">
        <f t="shared" si="0"/>
        <v>6.1349693251533744E-3</v>
      </c>
      <c r="I20" s="60">
        <v>2</v>
      </c>
      <c r="K20" s="7">
        <v>18</v>
      </c>
      <c r="L20" s="65">
        <v>-7.1054273576010019E-15</v>
      </c>
      <c r="N20" s="78" t="s">
        <v>190</v>
      </c>
      <c r="O20" s="87">
        <f t="shared" si="3"/>
        <v>-3.6374999999999988</v>
      </c>
      <c r="P20" s="81">
        <v>32</v>
      </c>
      <c r="Q20" s="72">
        <v>-116.39999999999996</v>
      </c>
    </row>
    <row r="21" spans="1:17" x14ac:dyDescent="0.45">
      <c r="A21" s="21" t="s">
        <v>12</v>
      </c>
      <c r="B21" s="14">
        <v>77</v>
      </c>
      <c r="C21" s="8">
        <f>IF(B$19=0,0,B21/B$19)</f>
        <v>0.47239263803680981</v>
      </c>
      <c r="E21" s="29" t="s">
        <v>75</v>
      </c>
      <c r="F21" s="26" t="s">
        <v>30</v>
      </c>
      <c r="G21" s="14">
        <v>1</v>
      </c>
      <c r="H21" s="92">
        <f t="shared" si="0"/>
        <v>6.1349693251533744E-3</v>
      </c>
      <c r="I21" s="60">
        <v>2</v>
      </c>
      <c r="K21" s="7">
        <v>19</v>
      </c>
      <c r="L21" s="65">
        <v>-23.100000000000009</v>
      </c>
      <c r="N21" s="78" t="s">
        <v>198</v>
      </c>
      <c r="O21" s="87">
        <f t="shared" si="3"/>
        <v>-5.5500000000000034</v>
      </c>
      <c r="P21" s="81">
        <v>14</v>
      </c>
      <c r="Q21" s="72">
        <v>-77.700000000000045</v>
      </c>
    </row>
    <row r="22" spans="1:17" x14ac:dyDescent="0.45">
      <c r="A22" s="21" t="s">
        <v>11</v>
      </c>
      <c r="B22" s="14">
        <v>86</v>
      </c>
      <c r="C22" s="8">
        <f>IF(B$19=0,0,B22/B$19)</f>
        <v>0.52760736196319014</v>
      </c>
      <c r="E22" s="29" t="s">
        <v>77</v>
      </c>
      <c r="F22" s="26" t="s">
        <v>32</v>
      </c>
      <c r="G22" s="14">
        <v>1</v>
      </c>
      <c r="H22" s="92">
        <f t="shared" si="0"/>
        <v>6.1349693251533744E-3</v>
      </c>
      <c r="I22" s="60">
        <v>2</v>
      </c>
      <c r="K22" s="7">
        <v>20</v>
      </c>
      <c r="L22" s="65">
        <v>-31.300000000000008</v>
      </c>
      <c r="N22" s="78" t="s">
        <v>194</v>
      </c>
      <c r="O22" s="87">
        <f t="shared" si="3"/>
        <v>-7.5923076923076938</v>
      </c>
      <c r="P22" s="81">
        <v>26</v>
      </c>
      <c r="Q22" s="72">
        <v>-197.40000000000003</v>
      </c>
    </row>
    <row r="23" spans="1:17" x14ac:dyDescent="0.45">
      <c r="A23" s="21" t="s">
        <v>184</v>
      </c>
      <c r="B23" s="14">
        <v>69</v>
      </c>
      <c r="C23" s="8">
        <f>IF(B$19=0,0,B23/B$19)</f>
        <v>0.42331288343558282</v>
      </c>
      <c r="E23" s="29" t="s">
        <v>85</v>
      </c>
      <c r="F23" s="26" t="s">
        <v>40</v>
      </c>
      <c r="G23" s="14">
        <v>1</v>
      </c>
      <c r="H23" s="92">
        <f t="shared" si="0"/>
        <v>6.1349693251533744E-3</v>
      </c>
      <c r="I23" s="60">
        <v>2</v>
      </c>
      <c r="K23" s="7">
        <v>21</v>
      </c>
      <c r="L23" s="65">
        <v>-7.1054273576010019E-15</v>
      </c>
      <c r="N23" s="78" t="s">
        <v>126</v>
      </c>
      <c r="O23" s="87">
        <f t="shared" si="3"/>
        <v>-15.393749999999992</v>
      </c>
      <c r="P23" s="81">
        <v>32</v>
      </c>
      <c r="Q23" s="72">
        <v>-492.59999999999974</v>
      </c>
    </row>
    <row r="24" spans="1:17" x14ac:dyDescent="0.45">
      <c r="A24" s="21" t="s">
        <v>182</v>
      </c>
      <c r="B24" s="14">
        <v>61</v>
      </c>
      <c r="C24" s="8">
        <f>IF(B$19=0,0,B24/B$19)</f>
        <v>0.37423312883435583</v>
      </c>
      <c r="E24" s="29" t="s">
        <v>92</v>
      </c>
      <c r="F24" s="26" t="s">
        <v>47</v>
      </c>
      <c r="G24" s="14">
        <v>1</v>
      </c>
      <c r="H24" s="92">
        <f t="shared" si="0"/>
        <v>6.1349693251533744E-3</v>
      </c>
      <c r="I24" s="60">
        <v>2</v>
      </c>
      <c r="K24" s="7">
        <v>22</v>
      </c>
      <c r="L24" s="65">
        <v>-4.4000000000000075</v>
      </c>
    </row>
    <row r="25" spans="1:17" x14ac:dyDescent="0.45">
      <c r="A25" s="21" t="s">
        <v>183</v>
      </c>
      <c r="B25" s="14">
        <v>33</v>
      </c>
      <c r="C25" s="8">
        <f>IF(B$19=0,0,B25/B$19)</f>
        <v>0.20245398773006135</v>
      </c>
      <c r="E25" s="29" t="s">
        <v>74</v>
      </c>
      <c r="F25" s="26" t="s">
        <v>29</v>
      </c>
      <c r="G25" s="14">
        <v>0</v>
      </c>
      <c r="H25" s="92">
        <f t="shared" si="0"/>
        <v>0</v>
      </c>
      <c r="I25" s="60">
        <v>1</v>
      </c>
      <c r="K25" s="7">
        <v>23</v>
      </c>
      <c r="L25" s="65">
        <v>37.999999999999993</v>
      </c>
    </row>
    <row r="26" spans="1:17" x14ac:dyDescent="0.45">
      <c r="A26" s="21" t="s">
        <v>5</v>
      </c>
      <c r="B26" s="18">
        <f>IF(B$19=0,0,C26/B$19)</f>
        <v>8095.0920245398775</v>
      </c>
      <c r="C26" s="10">
        <v>1319500</v>
      </c>
      <c r="E26" s="29" t="s">
        <v>76</v>
      </c>
      <c r="F26" s="26" t="s">
        <v>31</v>
      </c>
      <c r="G26" s="14">
        <v>0</v>
      </c>
      <c r="H26" s="92">
        <f t="shared" si="0"/>
        <v>0</v>
      </c>
      <c r="I26" s="60">
        <v>1</v>
      </c>
      <c r="K26" s="7">
        <v>24</v>
      </c>
      <c r="L26" s="65">
        <v>-7.1054273576010019E-15</v>
      </c>
    </row>
    <row r="27" spans="1:17" x14ac:dyDescent="0.45">
      <c r="A27" s="22" t="s">
        <v>166</v>
      </c>
      <c r="B27" s="99">
        <f>IF($B$19-B$18=0,0,C27/($B$19-B$18))</f>
        <v>8735.2941176470595</v>
      </c>
      <c r="C27" s="100">
        <v>891000</v>
      </c>
      <c r="E27" s="29" t="s">
        <v>80</v>
      </c>
      <c r="F27" s="26" t="s">
        <v>35</v>
      </c>
      <c r="G27" s="14">
        <v>0</v>
      </c>
      <c r="H27" s="92">
        <f t="shared" si="0"/>
        <v>0</v>
      </c>
      <c r="I27" s="60">
        <v>1</v>
      </c>
      <c r="K27" s="7">
        <v>25</v>
      </c>
      <c r="L27" s="65">
        <v>-28.000000000000007</v>
      </c>
    </row>
    <row r="28" spans="1:17" x14ac:dyDescent="0.45">
      <c r="A28" s="22" t="s">
        <v>167</v>
      </c>
      <c r="B28" s="99">
        <f>IF(B$18=0,0,C28/B$18)</f>
        <v>7024.5901639344265</v>
      </c>
      <c r="C28" s="100">
        <v>428500</v>
      </c>
      <c r="E28" s="29" t="s">
        <v>82</v>
      </c>
      <c r="F28" s="26" t="s">
        <v>37</v>
      </c>
      <c r="G28" s="14">
        <v>0</v>
      </c>
      <c r="H28" s="92">
        <f t="shared" si="0"/>
        <v>0</v>
      </c>
      <c r="I28" s="60">
        <v>1</v>
      </c>
      <c r="K28" s="7">
        <v>26</v>
      </c>
      <c r="L28" s="65">
        <v>-8.0000000000000071</v>
      </c>
    </row>
    <row r="29" spans="1:17" x14ac:dyDescent="0.45">
      <c r="A29" s="22" t="s">
        <v>165</v>
      </c>
      <c r="B29" s="99">
        <f>IF(B$20=0,0,C29/B$20)</f>
        <v>-8122.0930232558139</v>
      </c>
      <c r="C29" s="100">
        <v>-698500</v>
      </c>
      <c r="E29" s="29" t="s">
        <v>84</v>
      </c>
      <c r="F29" s="26" t="s">
        <v>39</v>
      </c>
      <c r="G29" s="14">
        <v>0</v>
      </c>
      <c r="H29" s="92">
        <f t="shared" si="0"/>
        <v>0</v>
      </c>
      <c r="I29" s="60">
        <v>1</v>
      </c>
      <c r="K29" s="7">
        <v>27</v>
      </c>
      <c r="L29" s="65">
        <v>-7.1054273576010019E-15</v>
      </c>
    </row>
    <row r="30" spans="1:17" x14ac:dyDescent="0.45">
      <c r="A30" s="21" t="s">
        <v>158</v>
      </c>
      <c r="B30" s="14">
        <v>6</v>
      </c>
      <c r="C30" s="94">
        <v>0</v>
      </c>
      <c r="E30" s="29" t="s">
        <v>87</v>
      </c>
      <c r="F30" s="26" t="s">
        <v>42</v>
      </c>
      <c r="G30" s="14">
        <v>0</v>
      </c>
      <c r="H30" s="92">
        <f t="shared" si="0"/>
        <v>0</v>
      </c>
      <c r="I30" s="60">
        <v>1</v>
      </c>
      <c r="K30" s="7">
        <v>28</v>
      </c>
      <c r="L30" s="65">
        <v>36.899999999999991</v>
      </c>
    </row>
    <row r="31" spans="1:17" x14ac:dyDescent="0.45">
      <c r="A31" s="21" t="s">
        <v>159</v>
      </c>
      <c r="B31" s="14">
        <v>18</v>
      </c>
      <c r="C31" s="94">
        <v>10</v>
      </c>
      <c r="E31" s="29" t="s">
        <v>88</v>
      </c>
      <c r="F31" s="26" t="s">
        <v>43</v>
      </c>
      <c r="G31" s="14">
        <v>0</v>
      </c>
      <c r="H31" s="92">
        <f t="shared" si="0"/>
        <v>0</v>
      </c>
      <c r="I31" s="60">
        <v>1</v>
      </c>
      <c r="K31" s="7">
        <v>29</v>
      </c>
      <c r="L31" s="65">
        <v>-3.1000000000000085</v>
      </c>
    </row>
    <row r="32" spans="1:17" x14ac:dyDescent="0.45">
      <c r="A32" s="56" t="s">
        <v>136</v>
      </c>
      <c r="B32" s="141">
        <v>7</v>
      </c>
      <c r="C32" s="142"/>
      <c r="E32" s="29" t="s">
        <v>90</v>
      </c>
      <c r="F32" s="26" t="s">
        <v>45</v>
      </c>
      <c r="G32" s="14">
        <v>0</v>
      </c>
      <c r="H32" s="92">
        <f t="shared" si="0"/>
        <v>0</v>
      </c>
      <c r="I32" s="60">
        <v>1</v>
      </c>
      <c r="K32" s="7">
        <v>30</v>
      </c>
      <c r="L32" s="65">
        <v>-8.4376949871511897E-15</v>
      </c>
    </row>
    <row r="33" spans="1:12" x14ac:dyDescent="0.45">
      <c r="A33" s="24" t="s">
        <v>181</v>
      </c>
      <c r="B33" s="143">
        <v>103000</v>
      </c>
      <c r="C33" s="144"/>
      <c r="E33" s="29" t="s">
        <v>93</v>
      </c>
      <c r="F33" s="26" t="s">
        <v>48</v>
      </c>
      <c r="G33" s="14">
        <v>0</v>
      </c>
      <c r="H33" s="92">
        <f t="shared" si="0"/>
        <v>0</v>
      </c>
      <c r="I33" s="60">
        <v>1</v>
      </c>
      <c r="K33" s="7">
        <v>31</v>
      </c>
      <c r="L33" s="65">
        <v>49.599999999999994</v>
      </c>
    </row>
    <row r="34" spans="1:12" x14ac:dyDescent="0.45">
      <c r="A34" s="23" t="s">
        <v>137</v>
      </c>
      <c r="B34" s="31">
        <v>3</v>
      </c>
      <c r="C34" s="11">
        <f>IF(B$3=0,0,B34/B$3)</f>
        <v>5.2910052910052907E-3</v>
      </c>
      <c r="E34" s="29" t="s">
        <v>94</v>
      </c>
      <c r="F34" s="26" t="s">
        <v>49</v>
      </c>
      <c r="G34" s="14">
        <v>0</v>
      </c>
      <c r="H34" s="92">
        <f t="shared" ref="H34:H65" si="4">IF(B$19=0,0,G34/B$19)</f>
        <v>0</v>
      </c>
      <c r="I34" s="60">
        <v>1</v>
      </c>
      <c r="K34" s="7">
        <v>32</v>
      </c>
      <c r="L34" s="65">
        <v>36.799999999999997</v>
      </c>
    </row>
    <row r="35" spans="1:12" x14ac:dyDescent="0.45">
      <c r="E35" s="29" t="s">
        <v>95</v>
      </c>
      <c r="F35" s="26" t="s">
        <v>50</v>
      </c>
      <c r="G35" s="14">
        <v>0</v>
      </c>
      <c r="H35" s="92">
        <f t="shared" si="4"/>
        <v>0</v>
      </c>
      <c r="I35" s="60">
        <v>1</v>
      </c>
      <c r="K35" s="7">
        <v>33</v>
      </c>
      <c r="L35" s="65">
        <v>0</v>
      </c>
    </row>
    <row r="36" spans="1:12" x14ac:dyDescent="0.45">
      <c r="A36" s="56" t="s">
        <v>172</v>
      </c>
      <c r="B36" s="121">
        <v>13</v>
      </c>
      <c r="C36" s="102">
        <f t="shared" ref="C36:C48" si="5">IF(B$19=0,0,B36/B$19)</f>
        <v>7.9754601226993863E-2</v>
      </c>
      <c r="E36" s="29" t="s">
        <v>96</v>
      </c>
      <c r="F36" s="26" t="s">
        <v>51</v>
      </c>
      <c r="G36" s="14">
        <v>0</v>
      </c>
      <c r="H36" s="92">
        <f t="shared" si="4"/>
        <v>0</v>
      </c>
      <c r="I36" s="60">
        <v>1</v>
      </c>
      <c r="K36" s="7">
        <v>34</v>
      </c>
      <c r="L36" s="65">
        <v>33.6</v>
      </c>
    </row>
    <row r="37" spans="1:12" x14ac:dyDescent="0.45">
      <c r="A37" s="21" t="s">
        <v>168</v>
      </c>
      <c r="B37" s="14">
        <v>34</v>
      </c>
      <c r="C37" s="8">
        <f t="shared" si="5"/>
        <v>0.20858895705521471</v>
      </c>
      <c r="E37" s="29" t="s">
        <v>97</v>
      </c>
      <c r="F37" s="26" t="s">
        <v>52</v>
      </c>
      <c r="G37" s="14">
        <v>0</v>
      </c>
      <c r="H37" s="92">
        <f t="shared" si="4"/>
        <v>0</v>
      </c>
      <c r="I37" s="60">
        <v>1</v>
      </c>
      <c r="K37" s="7">
        <v>35</v>
      </c>
      <c r="L37" s="65">
        <v>-20.199999999999996</v>
      </c>
    </row>
    <row r="38" spans="1:12" x14ac:dyDescent="0.45">
      <c r="A38" s="21" t="s">
        <v>169</v>
      </c>
      <c r="B38" s="122">
        <v>30</v>
      </c>
      <c r="C38" s="8">
        <f t="shared" si="5"/>
        <v>0.18404907975460122</v>
      </c>
      <c r="E38" s="29" t="s">
        <v>98</v>
      </c>
      <c r="F38" s="26" t="s">
        <v>53</v>
      </c>
      <c r="G38" s="14">
        <v>0</v>
      </c>
      <c r="H38" s="92">
        <f t="shared" si="4"/>
        <v>0</v>
      </c>
      <c r="I38" s="60">
        <v>1</v>
      </c>
      <c r="K38" s="7">
        <v>36</v>
      </c>
      <c r="L38" s="65">
        <v>3.5527136788005009E-15</v>
      </c>
    </row>
    <row r="39" spans="1:12" x14ac:dyDescent="0.45">
      <c r="A39" s="21" t="s">
        <v>170</v>
      </c>
      <c r="B39" s="122">
        <v>26</v>
      </c>
      <c r="C39" s="8">
        <f t="shared" si="5"/>
        <v>0.15950920245398773</v>
      </c>
      <c r="E39" s="29" t="s">
        <v>99</v>
      </c>
      <c r="F39" s="26" t="s">
        <v>54</v>
      </c>
      <c r="G39" s="14">
        <v>0</v>
      </c>
      <c r="H39" s="92">
        <f t="shared" si="4"/>
        <v>0</v>
      </c>
      <c r="I39" s="60">
        <v>1</v>
      </c>
      <c r="K39" s="7">
        <v>37</v>
      </c>
      <c r="L39" s="65">
        <v>-34.399999999999991</v>
      </c>
    </row>
    <row r="40" spans="1:12" x14ac:dyDescent="0.45">
      <c r="A40" s="21" t="s">
        <v>171</v>
      </c>
      <c r="B40" s="122">
        <v>16</v>
      </c>
      <c r="C40" s="8">
        <f t="shared" si="5"/>
        <v>9.815950920245399E-2</v>
      </c>
      <c r="E40" s="29" t="s">
        <v>100</v>
      </c>
      <c r="F40" s="26" t="s">
        <v>55</v>
      </c>
      <c r="G40" s="14">
        <v>0</v>
      </c>
      <c r="H40" s="92">
        <f t="shared" si="4"/>
        <v>0</v>
      </c>
      <c r="I40" s="60">
        <v>1</v>
      </c>
      <c r="K40" s="7">
        <v>38</v>
      </c>
      <c r="L40" s="65">
        <v>-23.79999999999999</v>
      </c>
    </row>
    <row r="41" spans="1:12" x14ac:dyDescent="0.45">
      <c r="A41" s="21" t="s">
        <v>173</v>
      </c>
      <c r="B41" s="122">
        <v>24</v>
      </c>
      <c r="C41" s="8">
        <f t="shared" si="5"/>
        <v>0.14723926380368099</v>
      </c>
      <c r="E41" s="29" t="s">
        <v>101</v>
      </c>
      <c r="F41" s="26" t="s">
        <v>56</v>
      </c>
      <c r="G41" s="14">
        <v>0</v>
      </c>
      <c r="H41" s="92">
        <f t="shared" si="4"/>
        <v>0</v>
      </c>
      <c r="I41" s="60">
        <v>1</v>
      </c>
      <c r="K41" s="7">
        <v>39</v>
      </c>
      <c r="L41" s="65">
        <v>1.0658141036401503E-14</v>
      </c>
    </row>
    <row r="42" spans="1:12" x14ac:dyDescent="0.45">
      <c r="A42" s="21" t="s">
        <v>174</v>
      </c>
      <c r="B42" s="122">
        <v>11</v>
      </c>
      <c r="C42" s="8">
        <f t="shared" si="5"/>
        <v>6.7484662576687116E-2</v>
      </c>
      <c r="E42" s="29" t="s">
        <v>102</v>
      </c>
      <c r="F42" s="26" t="s">
        <v>57</v>
      </c>
      <c r="G42" s="14">
        <v>0</v>
      </c>
      <c r="H42" s="92">
        <f t="shared" si="4"/>
        <v>0</v>
      </c>
      <c r="I42" s="60">
        <v>1</v>
      </c>
      <c r="K42" s="7">
        <v>40</v>
      </c>
      <c r="L42" s="65">
        <v>-28.79999999999999</v>
      </c>
    </row>
    <row r="43" spans="1:12" x14ac:dyDescent="0.45">
      <c r="A43" s="21" t="s">
        <v>175</v>
      </c>
      <c r="B43" s="122">
        <v>4</v>
      </c>
      <c r="C43" s="8">
        <f t="shared" si="5"/>
        <v>2.4539877300613498E-2</v>
      </c>
      <c r="E43" s="29" t="s">
        <v>103</v>
      </c>
      <c r="F43" s="26" t="s">
        <v>58</v>
      </c>
      <c r="G43" s="14">
        <v>0</v>
      </c>
      <c r="H43" s="92">
        <f t="shared" si="4"/>
        <v>0</v>
      </c>
      <c r="I43" s="60">
        <v>1</v>
      </c>
      <c r="K43" s="7">
        <v>41</v>
      </c>
      <c r="L43" s="65">
        <v>-22.499999999999989</v>
      </c>
    </row>
    <row r="44" spans="1:12" x14ac:dyDescent="0.45">
      <c r="A44" s="21" t="s">
        <v>176</v>
      </c>
      <c r="B44" s="122">
        <v>2</v>
      </c>
      <c r="C44" s="8">
        <f t="shared" si="5"/>
        <v>1.2269938650306749E-2</v>
      </c>
      <c r="E44" s="29" t="s">
        <v>104</v>
      </c>
      <c r="F44" s="26" t="s">
        <v>59</v>
      </c>
      <c r="G44" s="14">
        <v>0</v>
      </c>
      <c r="H44" s="92">
        <f t="shared" si="4"/>
        <v>0</v>
      </c>
      <c r="I44" s="60">
        <v>1</v>
      </c>
      <c r="K44" s="7">
        <v>42</v>
      </c>
      <c r="L44" s="65">
        <v>1.0658141036401503E-14</v>
      </c>
    </row>
    <row r="45" spans="1:12" x14ac:dyDescent="0.45">
      <c r="A45" s="21" t="s">
        <v>177</v>
      </c>
      <c r="B45" s="122">
        <v>1</v>
      </c>
      <c r="C45" s="8">
        <f t="shared" si="5"/>
        <v>6.1349693251533744E-3</v>
      </c>
      <c r="E45" s="29" t="s">
        <v>105</v>
      </c>
      <c r="F45" s="26" t="s">
        <v>112</v>
      </c>
      <c r="G45" s="14">
        <v>0</v>
      </c>
      <c r="H45" s="92">
        <f t="shared" si="4"/>
        <v>0</v>
      </c>
      <c r="I45" s="60">
        <v>1</v>
      </c>
      <c r="K45" s="7">
        <v>43</v>
      </c>
      <c r="L45" s="65">
        <v>26.600000000000012</v>
      </c>
    </row>
    <row r="46" spans="1:12" x14ac:dyDescent="0.45">
      <c r="A46" s="21" t="s">
        <v>178</v>
      </c>
      <c r="B46" s="122">
        <v>1</v>
      </c>
      <c r="C46" s="8">
        <f t="shared" si="5"/>
        <v>6.1349693251533744E-3</v>
      </c>
      <c r="E46" s="29" t="s">
        <v>106</v>
      </c>
      <c r="F46" s="26" t="s">
        <v>113</v>
      </c>
      <c r="G46" s="14">
        <v>0</v>
      </c>
      <c r="H46" s="92">
        <f t="shared" si="4"/>
        <v>0</v>
      </c>
      <c r="I46" s="60">
        <v>1</v>
      </c>
      <c r="K46" s="7">
        <v>44</v>
      </c>
      <c r="L46" s="65">
        <v>-6.5999999999999908</v>
      </c>
    </row>
    <row r="47" spans="1:12" x14ac:dyDescent="0.45">
      <c r="A47" s="21" t="s">
        <v>179</v>
      </c>
      <c r="B47" s="122">
        <v>0</v>
      </c>
      <c r="C47" s="8">
        <f t="shared" si="5"/>
        <v>0</v>
      </c>
      <c r="E47" s="29" t="s">
        <v>107</v>
      </c>
      <c r="F47" s="26" t="s">
        <v>114</v>
      </c>
      <c r="G47" s="14">
        <v>0</v>
      </c>
      <c r="H47" s="92">
        <f t="shared" si="4"/>
        <v>0</v>
      </c>
      <c r="I47" s="60">
        <v>1</v>
      </c>
      <c r="K47" s="7">
        <v>45</v>
      </c>
      <c r="L47" s="65">
        <v>8.8817841970012523E-15</v>
      </c>
    </row>
    <row r="48" spans="1:12" x14ac:dyDescent="0.45">
      <c r="A48" s="23" t="s">
        <v>180</v>
      </c>
      <c r="B48" s="101">
        <v>1</v>
      </c>
      <c r="C48" s="11">
        <f t="shared" si="5"/>
        <v>6.1349693251533744E-3</v>
      </c>
      <c r="E48" s="29" t="s">
        <v>108</v>
      </c>
      <c r="F48" s="26" t="s">
        <v>60</v>
      </c>
      <c r="G48" s="14">
        <v>0</v>
      </c>
      <c r="H48" s="92">
        <f t="shared" si="4"/>
        <v>0</v>
      </c>
      <c r="I48" s="60">
        <v>1</v>
      </c>
      <c r="K48" s="7">
        <v>46</v>
      </c>
      <c r="L48" s="65">
        <v>-27.999999999999993</v>
      </c>
    </row>
    <row r="49" spans="5:12" x14ac:dyDescent="0.45">
      <c r="E49" s="29" t="s">
        <v>109</v>
      </c>
      <c r="F49" s="26" t="s">
        <v>61</v>
      </c>
      <c r="G49" s="14">
        <v>0</v>
      </c>
      <c r="H49" s="92">
        <f t="shared" si="4"/>
        <v>0</v>
      </c>
      <c r="I49" s="60">
        <v>1</v>
      </c>
      <c r="K49" s="7">
        <v>47</v>
      </c>
      <c r="L49" s="65">
        <v>50.000000000000007</v>
      </c>
    </row>
    <row r="50" spans="5:12" x14ac:dyDescent="0.45">
      <c r="E50" s="29" t="s">
        <v>110</v>
      </c>
      <c r="F50" s="26" t="s">
        <v>62</v>
      </c>
      <c r="G50" s="14">
        <v>0</v>
      </c>
      <c r="H50" s="92">
        <f t="shared" si="4"/>
        <v>0</v>
      </c>
      <c r="I50" s="60">
        <v>1</v>
      </c>
      <c r="K50" s="7">
        <v>48</v>
      </c>
      <c r="L50" s="65">
        <v>7.1054273576010019E-15</v>
      </c>
    </row>
    <row r="51" spans="5:12" x14ac:dyDescent="0.45">
      <c r="E51" s="95" t="s">
        <v>111</v>
      </c>
      <c r="F51" s="96" t="s">
        <v>63</v>
      </c>
      <c r="G51" s="15">
        <v>0</v>
      </c>
      <c r="H51" s="97">
        <f t="shared" si="4"/>
        <v>0</v>
      </c>
      <c r="I51" s="98">
        <v>1</v>
      </c>
      <c r="K51" s="7">
        <v>49</v>
      </c>
      <c r="L51" s="65">
        <v>-21.399999999999991</v>
      </c>
    </row>
    <row r="52" spans="5:12" x14ac:dyDescent="0.45">
      <c r="E52" s="30" t="s">
        <v>162</v>
      </c>
      <c r="F52" s="27" t="s">
        <v>163</v>
      </c>
      <c r="G52" s="16">
        <v>0</v>
      </c>
      <c r="H52" s="93">
        <f t="shared" si="4"/>
        <v>0</v>
      </c>
      <c r="I52" s="61">
        <v>1</v>
      </c>
      <c r="K52" s="7">
        <v>50</v>
      </c>
      <c r="L52" s="65">
        <v>-26.599999999999991</v>
      </c>
    </row>
    <row r="53" spans="5:12" x14ac:dyDescent="0.45">
      <c r="K53" s="7">
        <v>51</v>
      </c>
      <c r="L53" s="65">
        <v>1.0658141036401503E-14</v>
      </c>
    </row>
    <row r="54" spans="5:12" x14ac:dyDescent="0.45">
      <c r="K54" s="7">
        <v>52</v>
      </c>
      <c r="L54" s="65">
        <v>-24.199999999999989</v>
      </c>
    </row>
    <row r="55" spans="5:12" x14ac:dyDescent="0.45">
      <c r="K55" s="7">
        <v>53</v>
      </c>
      <c r="L55" s="65">
        <v>-20.199999999999989</v>
      </c>
    </row>
    <row r="56" spans="5:12" x14ac:dyDescent="0.45">
      <c r="K56" s="7">
        <v>54</v>
      </c>
      <c r="L56" s="65">
        <v>1.0658141036401503E-14</v>
      </c>
    </row>
    <row r="57" spans="5:12" x14ac:dyDescent="0.45">
      <c r="K57" s="7">
        <v>55</v>
      </c>
      <c r="L57" s="65">
        <v>-17.499999999999989</v>
      </c>
    </row>
    <row r="58" spans="5:12" x14ac:dyDescent="0.45">
      <c r="K58" s="7">
        <v>56</v>
      </c>
      <c r="L58" s="65">
        <v>0.50000000000001066</v>
      </c>
    </row>
    <row r="59" spans="5:12" x14ac:dyDescent="0.45">
      <c r="K59" s="7">
        <v>57</v>
      </c>
      <c r="L59" s="65">
        <v>1.0658141036401503E-14</v>
      </c>
    </row>
    <row r="60" spans="5:12" x14ac:dyDescent="0.45">
      <c r="K60" s="7">
        <v>58</v>
      </c>
      <c r="L60" s="65">
        <v>16.600000000000012</v>
      </c>
    </row>
    <row r="61" spans="5:12" x14ac:dyDescent="0.45">
      <c r="K61" s="7">
        <v>59</v>
      </c>
      <c r="L61" s="65">
        <v>13.600000000000012</v>
      </c>
    </row>
    <row r="62" spans="5:12" x14ac:dyDescent="0.45">
      <c r="K62" s="7">
        <v>60</v>
      </c>
      <c r="L62" s="65">
        <v>1.2434497875801753E-14</v>
      </c>
    </row>
    <row r="63" spans="5:12" x14ac:dyDescent="0.45">
      <c r="K63" s="7">
        <v>61</v>
      </c>
      <c r="L63" s="65">
        <v>-13.999999999999988</v>
      </c>
    </row>
    <row r="64" spans="5:12" x14ac:dyDescent="0.45">
      <c r="K64" s="7">
        <v>62</v>
      </c>
      <c r="L64" s="65">
        <v>-39.699999999999989</v>
      </c>
    </row>
    <row r="65" spans="11:12" x14ac:dyDescent="0.45">
      <c r="K65" s="7">
        <v>63</v>
      </c>
      <c r="L65" s="65">
        <v>1.4210854715202004E-14</v>
      </c>
    </row>
    <row r="66" spans="11:12" x14ac:dyDescent="0.45">
      <c r="K66" s="7">
        <v>64</v>
      </c>
      <c r="L66" s="65">
        <v>-19.799999999999986</v>
      </c>
    </row>
    <row r="67" spans="11:12" x14ac:dyDescent="0.45">
      <c r="K67" s="7">
        <v>65</v>
      </c>
      <c r="L67" s="65">
        <v>-50.899999999999991</v>
      </c>
    </row>
    <row r="68" spans="11:12" x14ac:dyDescent="0.45">
      <c r="K68" s="7">
        <v>66</v>
      </c>
      <c r="L68" s="65">
        <v>7.1054273576010019E-15</v>
      </c>
    </row>
    <row r="69" spans="11:12" x14ac:dyDescent="0.45">
      <c r="K69" s="7">
        <v>67</v>
      </c>
      <c r="L69" s="65">
        <v>-26.699999999999992</v>
      </c>
    </row>
    <row r="70" spans="11:12" x14ac:dyDescent="0.45">
      <c r="K70" s="7">
        <v>68</v>
      </c>
      <c r="L70" s="65">
        <v>7.0000000000000107</v>
      </c>
    </row>
    <row r="71" spans="11:12" x14ac:dyDescent="0.45">
      <c r="K71" s="7">
        <v>69</v>
      </c>
      <c r="L71" s="65">
        <v>1.0658141036401503E-14</v>
      </c>
    </row>
  </sheetData>
  <sortState xmlns:xlrd2="http://schemas.microsoft.com/office/spreadsheetml/2017/richdata2" ref="N15:Q23">
    <sortCondition descending="1" ref="O15"/>
  </sortState>
  <mergeCells count="9">
    <mergeCell ref="B13:C13"/>
    <mergeCell ref="B32:C32"/>
    <mergeCell ref="B33:C33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882128-FC14-42E5-B139-62205313CBA1}">
  <sheetPr codeName="Sheet7"/>
  <dimension ref="A1:Q52"/>
  <sheetViews>
    <sheetView showGridLines="0" zoomScaleNormal="100" workbookViewId="0"/>
  </sheetViews>
  <sheetFormatPr defaultColWidth="9" defaultRowHeight="18" x14ac:dyDescent="0.45"/>
  <cols>
    <col min="1" max="1" width="13" style="107" customWidth="1"/>
    <col min="2" max="3" width="9" style="107" customWidth="1"/>
    <col min="4" max="4" width="3.59765625" style="107" customWidth="1"/>
    <col min="5" max="5" width="3.59765625" style="116" bestFit="1" customWidth="1"/>
    <col min="6" max="6" width="11" style="111" bestFit="1" customWidth="1"/>
    <col min="7" max="9" width="9" style="107" customWidth="1"/>
    <col min="10" max="10" width="3.59765625" style="107" customWidth="1"/>
    <col min="11" max="11" width="3.5" style="7" customWidth="1"/>
    <col min="12" max="12" width="9" style="65" customWidth="1"/>
    <col min="13" max="13" width="3.59765625" style="107" customWidth="1"/>
    <col min="14" max="14" width="9" style="78" customWidth="1"/>
    <col min="15" max="15" width="9" style="87" customWidth="1"/>
    <col min="16" max="16" width="9" style="81" customWidth="1"/>
    <col min="17" max="17" width="3.59765625" style="72" customWidth="1"/>
    <col min="18" max="16384" width="9" style="107"/>
  </cols>
  <sheetData>
    <row r="1" spans="1:17" x14ac:dyDescent="0.45">
      <c r="A1" s="19" t="s">
        <v>0</v>
      </c>
      <c r="B1" s="145" t="s">
        <v>126</v>
      </c>
      <c r="C1" s="146"/>
      <c r="E1" s="108" t="s">
        <v>155</v>
      </c>
      <c r="F1" s="120" t="s">
        <v>115</v>
      </c>
      <c r="G1" s="119" t="s">
        <v>116</v>
      </c>
      <c r="H1" s="90" t="s">
        <v>117</v>
      </c>
      <c r="I1" s="120" t="s">
        <v>146</v>
      </c>
      <c r="K1" s="4" t="s">
        <v>19</v>
      </c>
      <c r="L1" s="120" t="s">
        <v>120</v>
      </c>
      <c r="M1" s="109"/>
      <c r="N1" s="76" t="s">
        <v>134</v>
      </c>
      <c r="O1" s="4" t="s">
        <v>135</v>
      </c>
      <c r="P1" s="110" t="s">
        <v>116</v>
      </c>
      <c r="Q1" s="66" t="s">
        <v>148</v>
      </c>
    </row>
    <row r="2" spans="1:17" x14ac:dyDescent="0.45">
      <c r="A2" s="20" t="s">
        <v>9</v>
      </c>
      <c r="B2" s="147">
        <v>16</v>
      </c>
      <c r="C2" s="148"/>
      <c r="E2" s="28" t="s">
        <v>72</v>
      </c>
      <c r="F2" s="25" t="s">
        <v>27</v>
      </c>
      <c r="G2" s="13">
        <v>34</v>
      </c>
      <c r="H2" s="91">
        <f t="shared" ref="H2:H33" si="0">IF(B$19=0,0,G2/B$19)</f>
        <v>0.77272727272727271</v>
      </c>
      <c r="I2" s="59">
        <v>4</v>
      </c>
      <c r="K2" s="5">
        <v>0</v>
      </c>
      <c r="L2" s="64">
        <v>0</v>
      </c>
      <c r="N2" s="77" t="s">
        <v>128</v>
      </c>
      <c r="O2" s="83">
        <f t="shared" ref="O2:O7" si="1">IF(P2=0,0,Q2/P2)</f>
        <v>2050</v>
      </c>
      <c r="P2" s="80">
        <v>16</v>
      </c>
      <c r="Q2" s="67">
        <v>32800</v>
      </c>
    </row>
    <row r="3" spans="1:17" x14ac:dyDescent="0.45">
      <c r="A3" s="21" t="s">
        <v>8</v>
      </c>
      <c r="B3" s="149">
        <v>131</v>
      </c>
      <c r="C3" s="150"/>
      <c r="E3" s="29" t="s">
        <v>66</v>
      </c>
      <c r="F3" s="26" t="s">
        <v>22</v>
      </c>
      <c r="G3" s="14">
        <v>31</v>
      </c>
      <c r="H3" s="92">
        <f t="shared" si="0"/>
        <v>0.70454545454545459</v>
      </c>
      <c r="I3" s="60">
        <v>5</v>
      </c>
      <c r="K3" s="7">
        <v>1</v>
      </c>
      <c r="L3" s="65">
        <v>20.9</v>
      </c>
      <c r="N3" s="78" t="s">
        <v>129</v>
      </c>
      <c r="O3" s="84">
        <f t="shared" si="1"/>
        <v>-986.66666666666663</v>
      </c>
      <c r="P3" s="81">
        <v>15</v>
      </c>
      <c r="Q3" s="68">
        <v>-14800</v>
      </c>
    </row>
    <row r="4" spans="1:17" x14ac:dyDescent="0.45">
      <c r="A4" s="21" t="s">
        <v>6</v>
      </c>
      <c r="B4" s="151">
        <v>164.20000000000002</v>
      </c>
      <c r="C4" s="152"/>
      <c r="E4" s="29" t="s">
        <v>160</v>
      </c>
      <c r="F4" s="26" t="s">
        <v>161</v>
      </c>
      <c r="G4" s="14">
        <v>18</v>
      </c>
      <c r="H4" s="92">
        <f t="shared" si="0"/>
        <v>0.40909090909090912</v>
      </c>
      <c r="I4" s="60">
        <v>4</v>
      </c>
      <c r="K4" s="7">
        <v>2</v>
      </c>
      <c r="L4" s="65">
        <v>62.5</v>
      </c>
      <c r="N4" s="78" t="s">
        <v>130</v>
      </c>
      <c r="O4" s="84">
        <f t="shared" si="1"/>
        <v>633.33333333333337</v>
      </c>
      <c r="P4" s="81">
        <v>15</v>
      </c>
      <c r="Q4" s="68">
        <v>9500</v>
      </c>
    </row>
    <row r="5" spans="1:17" x14ac:dyDescent="0.45">
      <c r="A5" s="21" t="s">
        <v>7</v>
      </c>
      <c r="B5" s="139">
        <f>IF(B$2=0,0,B$4/B$2)</f>
        <v>10.262500000000001</v>
      </c>
      <c r="C5" s="140"/>
      <c r="E5" s="29" t="s">
        <v>64</v>
      </c>
      <c r="F5" s="26" t="s">
        <v>20</v>
      </c>
      <c r="G5" s="14">
        <v>15</v>
      </c>
      <c r="H5" s="92">
        <f t="shared" si="0"/>
        <v>0.34090909090909088</v>
      </c>
      <c r="I5" s="60">
        <v>7</v>
      </c>
      <c r="K5" s="7">
        <v>3</v>
      </c>
      <c r="L5" s="65">
        <v>40.5</v>
      </c>
      <c r="N5" s="78" t="s">
        <v>131</v>
      </c>
      <c r="O5" s="84">
        <f t="shared" si="1"/>
        <v>285.71428571428572</v>
      </c>
      <c r="P5" s="81">
        <v>14</v>
      </c>
      <c r="Q5" s="68">
        <v>4000</v>
      </c>
    </row>
    <row r="6" spans="1:17" x14ac:dyDescent="0.45">
      <c r="A6" s="21" t="s">
        <v>1</v>
      </c>
      <c r="B6" s="153">
        <f>IF(B$2=0,0,(B$7*1+B$8*2+B$9*3)/B$2)</f>
        <v>1.75</v>
      </c>
      <c r="C6" s="154"/>
      <c r="E6" s="29" t="s">
        <v>68</v>
      </c>
      <c r="F6" s="26" t="s">
        <v>12</v>
      </c>
      <c r="G6" s="14">
        <v>14</v>
      </c>
      <c r="H6" s="92">
        <f t="shared" si="0"/>
        <v>0.31818181818181818</v>
      </c>
      <c r="I6" s="60">
        <v>4</v>
      </c>
      <c r="K6" s="7">
        <v>4</v>
      </c>
      <c r="L6" s="65">
        <v>74.5</v>
      </c>
      <c r="N6" s="78" t="s">
        <v>132</v>
      </c>
      <c r="O6" s="84">
        <f t="shared" si="1"/>
        <v>-353.84615384615387</v>
      </c>
      <c r="P6" s="81">
        <v>13</v>
      </c>
      <c r="Q6" s="68">
        <v>-4600</v>
      </c>
    </row>
    <row r="7" spans="1:17" x14ac:dyDescent="0.45">
      <c r="A7" s="21" t="s">
        <v>2</v>
      </c>
      <c r="B7" s="14">
        <v>7</v>
      </c>
      <c r="C7" s="8">
        <f t="shared" ref="C7:C14" si="2">IF(B$2=0,0,B7/B$2)</f>
        <v>0.4375</v>
      </c>
      <c r="E7" s="29" t="s">
        <v>89</v>
      </c>
      <c r="F7" s="26" t="s">
        <v>44</v>
      </c>
      <c r="G7" s="14">
        <v>8</v>
      </c>
      <c r="H7" s="92">
        <f t="shared" si="0"/>
        <v>0.18181818181818182</v>
      </c>
      <c r="I7" s="60">
        <v>5</v>
      </c>
      <c r="K7" s="7">
        <v>5</v>
      </c>
      <c r="L7" s="65">
        <v>123.5</v>
      </c>
      <c r="N7" s="79" t="s">
        <v>133</v>
      </c>
      <c r="O7" s="85">
        <f t="shared" si="1"/>
        <v>-966.66666666666663</v>
      </c>
      <c r="P7" s="82">
        <v>12</v>
      </c>
      <c r="Q7" s="69">
        <v>-11600</v>
      </c>
    </row>
    <row r="8" spans="1:17" x14ac:dyDescent="0.45">
      <c r="A8" s="21" t="s">
        <v>3</v>
      </c>
      <c r="B8" s="14">
        <v>6</v>
      </c>
      <c r="C8" s="8">
        <f t="shared" si="2"/>
        <v>0.375</v>
      </c>
      <c r="E8" s="29" t="s">
        <v>67</v>
      </c>
      <c r="F8" s="26" t="s">
        <v>23</v>
      </c>
      <c r="G8" s="14">
        <v>6</v>
      </c>
      <c r="H8" s="92">
        <f t="shared" si="0"/>
        <v>0.13636363636363635</v>
      </c>
      <c r="I8" s="60">
        <v>9</v>
      </c>
      <c r="K8" s="7">
        <v>6</v>
      </c>
      <c r="L8" s="65">
        <v>111.9</v>
      </c>
      <c r="N8" s="111"/>
      <c r="O8" s="89"/>
      <c r="P8" s="112"/>
      <c r="Q8" s="74"/>
    </row>
    <row r="9" spans="1:17" x14ac:dyDescent="0.45">
      <c r="A9" s="22" t="s">
        <v>4</v>
      </c>
      <c r="B9" s="15">
        <v>3</v>
      </c>
      <c r="C9" s="9">
        <f t="shared" si="2"/>
        <v>0.1875</v>
      </c>
      <c r="E9" s="29" t="s">
        <v>69</v>
      </c>
      <c r="F9" s="26" t="s">
        <v>24</v>
      </c>
      <c r="G9" s="14">
        <v>6</v>
      </c>
      <c r="H9" s="92">
        <f t="shared" si="0"/>
        <v>0.13636363636363635</v>
      </c>
      <c r="I9" s="60">
        <v>4</v>
      </c>
      <c r="K9" s="7">
        <v>7</v>
      </c>
      <c r="L9" s="65">
        <v>103.7</v>
      </c>
      <c r="N9" s="76" t="s">
        <v>151</v>
      </c>
      <c r="O9" s="4" t="s">
        <v>120</v>
      </c>
      <c r="P9" s="110" t="s">
        <v>116</v>
      </c>
      <c r="Q9" s="70" t="s">
        <v>148</v>
      </c>
    </row>
    <row r="10" spans="1:17" x14ac:dyDescent="0.45">
      <c r="A10" s="22" t="s">
        <v>185</v>
      </c>
      <c r="B10" s="113">
        <f>IF(B7=0,0,C10/B7)</f>
        <v>41</v>
      </c>
      <c r="C10" s="114">
        <v>287</v>
      </c>
      <c r="E10" s="29" t="s">
        <v>83</v>
      </c>
      <c r="F10" s="26" t="s">
        <v>38</v>
      </c>
      <c r="G10" s="14">
        <v>5</v>
      </c>
      <c r="H10" s="92">
        <f t="shared" si="0"/>
        <v>0.11363636363636363</v>
      </c>
      <c r="I10" s="60">
        <v>2</v>
      </c>
      <c r="K10" s="7">
        <v>8</v>
      </c>
      <c r="L10" s="65">
        <v>140.6</v>
      </c>
      <c r="N10" s="77" t="s">
        <v>152</v>
      </c>
      <c r="O10" s="86">
        <f>IF(P10=0,0,Q10/P10)</f>
        <v>9.0833333333333339</v>
      </c>
      <c r="P10" s="80">
        <v>6</v>
      </c>
      <c r="Q10" s="71">
        <v>54.5</v>
      </c>
    </row>
    <row r="11" spans="1:17" x14ac:dyDescent="0.45">
      <c r="A11" s="22" t="s">
        <v>186</v>
      </c>
      <c r="B11" s="113">
        <f>IF(B8=0,0,C11/B8)</f>
        <v>-8.9</v>
      </c>
      <c r="C11" s="114">
        <v>-53.4</v>
      </c>
      <c r="E11" s="29" t="s">
        <v>70</v>
      </c>
      <c r="F11" s="26" t="s">
        <v>25</v>
      </c>
      <c r="G11" s="14">
        <v>4</v>
      </c>
      <c r="H11" s="92">
        <f t="shared" si="0"/>
        <v>9.0909090909090912E-2</v>
      </c>
      <c r="I11" s="60">
        <v>6</v>
      </c>
      <c r="K11" s="7">
        <v>9</v>
      </c>
      <c r="L11" s="65">
        <v>127.8</v>
      </c>
      <c r="N11" s="78" t="s">
        <v>153</v>
      </c>
      <c r="O11" s="87">
        <f>IF(P11=0,0,Q11/P11)</f>
        <v>4.58</v>
      </c>
      <c r="P11" s="81">
        <v>5</v>
      </c>
      <c r="Q11" s="72">
        <v>22.9</v>
      </c>
    </row>
    <row r="12" spans="1:17" x14ac:dyDescent="0.45">
      <c r="A12" s="22" t="s">
        <v>187</v>
      </c>
      <c r="B12" s="113">
        <f>IF(B9=0,0,C12/B9)</f>
        <v>-23.133333333333336</v>
      </c>
      <c r="C12" s="114">
        <v>-69.400000000000006</v>
      </c>
      <c r="E12" s="29" t="s">
        <v>81</v>
      </c>
      <c r="F12" s="26" t="s">
        <v>36</v>
      </c>
      <c r="G12" s="14">
        <v>3</v>
      </c>
      <c r="H12" s="92">
        <f t="shared" si="0"/>
        <v>6.8181818181818177E-2</v>
      </c>
      <c r="I12" s="60">
        <v>3</v>
      </c>
      <c r="K12" s="7">
        <v>10</v>
      </c>
      <c r="L12" s="65">
        <v>134.4</v>
      </c>
      <c r="N12" s="79" t="s">
        <v>154</v>
      </c>
      <c r="O12" s="88">
        <f>IF(P12=0,0,Q12/P12)</f>
        <v>17.360000000000003</v>
      </c>
      <c r="P12" s="82">
        <v>5</v>
      </c>
      <c r="Q12" s="73">
        <v>86.800000000000011</v>
      </c>
    </row>
    <row r="13" spans="1:17" x14ac:dyDescent="0.45">
      <c r="A13" s="22" t="s">
        <v>188</v>
      </c>
      <c r="B13" s="139">
        <f>AVERAGE(B10:B12)</f>
        <v>2.9888888888888885</v>
      </c>
      <c r="C13" s="140"/>
      <c r="E13" s="29" t="s">
        <v>65</v>
      </c>
      <c r="F13" s="26" t="s">
        <v>21</v>
      </c>
      <c r="G13" s="14">
        <v>2</v>
      </c>
      <c r="H13" s="92">
        <f t="shared" si="0"/>
        <v>4.5454545454545456E-2</v>
      </c>
      <c r="I13" s="60">
        <v>6</v>
      </c>
      <c r="K13" s="7">
        <v>11</v>
      </c>
      <c r="L13" s="65">
        <v>212.4</v>
      </c>
      <c r="N13" s="107"/>
      <c r="O13" s="75"/>
      <c r="P13" s="115"/>
      <c r="Q13" s="75"/>
    </row>
    <row r="14" spans="1:17" x14ac:dyDescent="0.45">
      <c r="A14" s="23" t="s">
        <v>18</v>
      </c>
      <c r="B14" s="16">
        <v>0</v>
      </c>
      <c r="C14" s="11">
        <f t="shared" si="2"/>
        <v>0</v>
      </c>
      <c r="E14" s="29" t="s">
        <v>86</v>
      </c>
      <c r="F14" s="26" t="s">
        <v>41</v>
      </c>
      <c r="G14" s="14">
        <v>2</v>
      </c>
      <c r="H14" s="92">
        <f t="shared" si="0"/>
        <v>4.5454545454545456E-2</v>
      </c>
      <c r="I14" s="60">
        <v>5</v>
      </c>
      <c r="K14" s="7">
        <v>12</v>
      </c>
      <c r="L14" s="65">
        <v>239</v>
      </c>
      <c r="N14" s="76" t="s">
        <v>147</v>
      </c>
      <c r="O14" s="4" t="s">
        <v>120</v>
      </c>
      <c r="P14" s="110" t="s">
        <v>116</v>
      </c>
      <c r="Q14" s="70" t="s">
        <v>148</v>
      </c>
    </row>
    <row r="15" spans="1:17" x14ac:dyDescent="0.45">
      <c r="A15" s="24" t="s">
        <v>121</v>
      </c>
      <c r="B15" s="17">
        <v>32</v>
      </c>
      <c r="C15" s="12">
        <f>IF(B$3=0,0,B15/B$3)</f>
        <v>0.24427480916030533</v>
      </c>
      <c r="E15" s="29" t="s">
        <v>156</v>
      </c>
      <c r="F15" s="26" t="s">
        <v>157</v>
      </c>
      <c r="G15" s="14">
        <v>2</v>
      </c>
      <c r="H15" s="92">
        <f t="shared" si="0"/>
        <v>4.5454545454545456E-2</v>
      </c>
      <c r="I15" s="60">
        <v>2</v>
      </c>
      <c r="K15" s="7">
        <v>13</v>
      </c>
      <c r="L15" s="65">
        <v>236</v>
      </c>
      <c r="N15" s="77" t="s">
        <v>164</v>
      </c>
      <c r="O15" s="86">
        <f t="shared" ref="O15:O20" si="3">IF(P15=0,0,Q15/P15)</f>
        <v>82.3</v>
      </c>
      <c r="P15" s="80">
        <v>4</v>
      </c>
      <c r="Q15" s="71">
        <v>329.2</v>
      </c>
    </row>
    <row r="16" spans="1:17" x14ac:dyDescent="0.45">
      <c r="A16" s="21" t="s">
        <v>118</v>
      </c>
      <c r="B16" s="14">
        <v>31</v>
      </c>
      <c r="C16" s="8">
        <f>IF(B$3=0,0,B16/B$3)</f>
        <v>0.23664122137404581</v>
      </c>
      <c r="E16" s="29" t="s">
        <v>71</v>
      </c>
      <c r="F16" s="26" t="s">
        <v>26</v>
      </c>
      <c r="G16" s="14">
        <v>1</v>
      </c>
      <c r="H16" s="92">
        <f t="shared" si="0"/>
        <v>2.2727272727272728E-2</v>
      </c>
      <c r="I16" s="60">
        <v>7</v>
      </c>
      <c r="K16" s="7">
        <v>14</v>
      </c>
      <c r="L16" s="65">
        <v>222</v>
      </c>
      <c r="N16" s="78" t="s">
        <v>195</v>
      </c>
      <c r="O16" s="87">
        <f t="shared" si="3"/>
        <v>33.800000000000004</v>
      </c>
      <c r="P16" s="81">
        <v>3</v>
      </c>
      <c r="Q16" s="72">
        <v>101.4</v>
      </c>
    </row>
    <row r="17" spans="1:17" x14ac:dyDescent="0.45">
      <c r="A17" s="20" t="s">
        <v>123</v>
      </c>
      <c r="B17" s="13">
        <f>B23</f>
        <v>17</v>
      </c>
      <c r="C17" s="6">
        <f>IF(B$15=0,0,B17/B$15)</f>
        <v>0.53125</v>
      </c>
      <c r="E17" s="29" t="s">
        <v>79</v>
      </c>
      <c r="F17" s="26" t="s">
        <v>34</v>
      </c>
      <c r="G17" s="14">
        <v>1</v>
      </c>
      <c r="H17" s="92">
        <f t="shared" si="0"/>
        <v>2.2727272727272728E-2</v>
      </c>
      <c r="I17" s="60">
        <v>2</v>
      </c>
      <c r="K17" s="7">
        <v>15</v>
      </c>
      <c r="L17" s="65">
        <v>190.9</v>
      </c>
      <c r="N17" s="78" t="s">
        <v>200</v>
      </c>
      <c r="O17" s="87">
        <f t="shared" si="3"/>
        <v>28.9</v>
      </c>
      <c r="P17" s="81">
        <v>2</v>
      </c>
      <c r="Q17" s="72">
        <v>57.8</v>
      </c>
    </row>
    <row r="18" spans="1:17" x14ac:dyDescent="0.45">
      <c r="A18" s="20" t="s">
        <v>124</v>
      </c>
      <c r="B18" s="13">
        <f>B24</f>
        <v>17</v>
      </c>
      <c r="C18" s="6">
        <f>IF(B$16=0,0,B18/B$16)</f>
        <v>0.54838709677419351</v>
      </c>
      <c r="E18" s="29" t="s">
        <v>92</v>
      </c>
      <c r="F18" s="26" t="s">
        <v>47</v>
      </c>
      <c r="G18" s="14">
        <v>1</v>
      </c>
      <c r="H18" s="92">
        <f t="shared" si="0"/>
        <v>2.2727272727272728E-2</v>
      </c>
      <c r="I18" s="60">
        <v>1</v>
      </c>
      <c r="K18" s="7">
        <v>16</v>
      </c>
      <c r="L18" s="65">
        <v>164.20000000000002</v>
      </c>
      <c r="N18" s="78" t="s">
        <v>198</v>
      </c>
      <c r="O18" s="87">
        <f t="shared" si="3"/>
        <v>14.26</v>
      </c>
      <c r="P18" s="81">
        <v>5</v>
      </c>
      <c r="Q18" s="72">
        <v>71.3</v>
      </c>
    </row>
    <row r="19" spans="1:17" x14ac:dyDescent="0.45">
      <c r="A19" s="20" t="s">
        <v>10</v>
      </c>
      <c r="B19" s="13">
        <f>B22+B21</f>
        <v>44</v>
      </c>
      <c r="C19" s="6">
        <f>IF(B$3=0,0,B19/B$3)</f>
        <v>0.33587786259541985</v>
      </c>
      <c r="E19" s="29" t="s">
        <v>73</v>
      </c>
      <c r="F19" s="26" t="s">
        <v>28</v>
      </c>
      <c r="G19" s="14">
        <v>0</v>
      </c>
      <c r="H19" s="92">
        <f t="shared" si="0"/>
        <v>0</v>
      </c>
      <c r="I19" s="60">
        <v>3</v>
      </c>
      <c r="N19" s="78" t="s">
        <v>190</v>
      </c>
      <c r="O19" s="87">
        <f t="shared" si="3"/>
        <v>-2.6</v>
      </c>
      <c r="P19" s="81">
        <v>11</v>
      </c>
      <c r="Q19" s="72">
        <v>-28.6</v>
      </c>
    </row>
    <row r="20" spans="1:17" x14ac:dyDescent="0.45">
      <c r="A20" s="21" t="s">
        <v>13</v>
      </c>
      <c r="B20" s="14">
        <v>17</v>
      </c>
      <c r="C20" s="8">
        <f>IF(B$3=0,0,B20/B$3)</f>
        <v>0.12977099236641221</v>
      </c>
      <c r="E20" s="29" t="s">
        <v>74</v>
      </c>
      <c r="F20" s="26" t="s">
        <v>29</v>
      </c>
      <c r="G20" s="14">
        <v>0</v>
      </c>
      <c r="H20" s="92">
        <f t="shared" si="0"/>
        <v>0</v>
      </c>
      <c r="I20" s="60">
        <v>1</v>
      </c>
      <c r="N20" s="78" t="s">
        <v>194</v>
      </c>
      <c r="O20" s="87">
        <f t="shared" si="3"/>
        <v>-5.4999999999999982</v>
      </c>
      <c r="P20" s="81">
        <v>7</v>
      </c>
      <c r="Q20" s="72">
        <v>-38.499999999999986</v>
      </c>
    </row>
    <row r="21" spans="1:17" x14ac:dyDescent="0.45">
      <c r="A21" s="21" t="s">
        <v>12</v>
      </c>
      <c r="B21" s="14">
        <v>23</v>
      </c>
      <c r="C21" s="8">
        <f>IF(B$19=0,0,B21/B$19)</f>
        <v>0.52272727272727271</v>
      </c>
      <c r="E21" s="29" t="s">
        <v>75</v>
      </c>
      <c r="F21" s="26" t="s">
        <v>30</v>
      </c>
      <c r="G21" s="14">
        <v>0</v>
      </c>
      <c r="H21" s="92">
        <f t="shared" si="0"/>
        <v>0</v>
      </c>
      <c r="I21" s="60">
        <v>3</v>
      </c>
    </row>
    <row r="22" spans="1:17" x14ac:dyDescent="0.45">
      <c r="A22" s="21" t="s">
        <v>11</v>
      </c>
      <c r="B22" s="14">
        <v>21</v>
      </c>
      <c r="C22" s="8">
        <f>IF(B$19=0,0,B22/B$19)</f>
        <v>0.47727272727272729</v>
      </c>
      <c r="E22" s="29" t="s">
        <v>76</v>
      </c>
      <c r="F22" s="26" t="s">
        <v>31</v>
      </c>
      <c r="G22" s="14">
        <v>0</v>
      </c>
      <c r="H22" s="92">
        <f t="shared" si="0"/>
        <v>0</v>
      </c>
      <c r="I22" s="60">
        <v>1</v>
      </c>
    </row>
    <row r="23" spans="1:17" x14ac:dyDescent="0.45">
      <c r="A23" s="21" t="s">
        <v>184</v>
      </c>
      <c r="B23" s="14">
        <v>17</v>
      </c>
      <c r="C23" s="8">
        <f>IF(B$19=0,0,B23/B$19)</f>
        <v>0.38636363636363635</v>
      </c>
      <c r="E23" s="29" t="s">
        <v>77</v>
      </c>
      <c r="F23" s="26" t="s">
        <v>32</v>
      </c>
      <c r="G23" s="14">
        <v>0</v>
      </c>
      <c r="H23" s="92">
        <f t="shared" si="0"/>
        <v>0</v>
      </c>
      <c r="I23" s="60">
        <v>3</v>
      </c>
    </row>
    <row r="24" spans="1:17" x14ac:dyDescent="0.45">
      <c r="A24" s="21" t="s">
        <v>182</v>
      </c>
      <c r="B24" s="14">
        <v>17</v>
      </c>
      <c r="C24" s="8">
        <f>IF(B$19=0,0,B24/B$19)</f>
        <v>0.38636363636363635</v>
      </c>
      <c r="E24" s="29" t="s">
        <v>78</v>
      </c>
      <c r="F24" s="26" t="s">
        <v>33</v>
      </c>
      <c r="G24" s="14">
        <v>0</v>
      </c>
      <c r="H24" s="92">
        <f t="shared" si="0"/>
        <v>0</v>
      </c>
      <c r="I24" s="60">
        <v>6</v>
      </c>
    </row>
    <row r="25" spans="1:17" x14ac:dyDescent="0.45">
      <c r="A25" s="21" t="s">
        <v>183</v>
      </c>
      <c r="B25" s="14">
        <v>10</v>
      </c>
      <c r="C25" s="8">
        <f>IF(B$19=0,0,B25/B$19)</f>
        <v>0.22727272727272727</v>
      </c>
      <c r="E25" s="29" t="s">
        <v>80</v>
      </c>
      <c r="F25" s="26" t="s">
        <v>35</v>
      </c>
      <c r="G25" s="14">
        <v>0</v>
      </c>
      <c r="H25" s="92">
        <f t="shared" si="0"/>
        <v>0</v>
      </c>
      <c r="I25" s="60">
        <v>1</v>
      </c>
    </row>
    <row r="26" spans="1:17" x14ac:dyDescent="0.45">
      <c r="A26" s="21" t="s">
        <v>5</v>
      </c>
      <c r="B26" s="18">
        <f>IF(B$19=0,0,C26/B$19)</f>
        <v>9059.0909090909099</v>
      </c>
      <c r="C26" s="10">
        <v>398600</v>
      </c>
      <c r="E26" s="29" t="s">
        <v>82</v>
      </c>
      <c r="F26" s="26" t="s">
        <v>37</v>
      </c>
      <c r="G26" s="14">
        <v>0</v>
      </c>
      <c r="H26" s="92">
        <f t="shared" si="0"/>
        <v>0</v>
      </c>
      <c r="I26" s="60">
        <v>1</v>
      </c>
    </row>
    <row r="27" spans="1:17" x14ac:dyDescent="0.45">
      <c r="A27" s="22" t="s">
        <v>166</v>
      </c>
      <c r="B27" s="99">
        <f>IF($B$19-B$18=0,0,C27/($B$19-B$18))</f>
        <v>9674.0740740740748</v>
      </c>
      <c r="C27" s="100">
        <v>261200</v>
      </c>
      <c r="E27" s="29" t="s">
        <v>84</v>
      </c>
      <c r="F27" s="26" t="s">
        <v>39</v>
      </c>
      <c r="G27" s="14">
        <v>0</v>
      </c>
      <c r="H27" s="92">
        <f t="shared" si="0"/>
        <v>0</v>
      </c>
      <c r="I27" s="60">
        <v>1</v>
      </c>
    </row>
    <row r="28" spans="1:17" x14ac:dyDescent="0.45">
      <c r="A28" s="22" t="s">
        <v>167</v>
      </c>
      <c r="B28" s="99">
        <f>IF(B$18=0,0,C28/B$18)</f>
        <v>8082.3529411764703</v>
      </c>
      <c r="C28" s="100">
        <v>137400</v>
      </c>
      <c r="E28" s="29" t="s">
        <v>85</v>
      </c>
      <c r="F28" s="26" t="s">
        <v>40</v>
      </c>
      <c r="G28" s="14">
        <v>0</v>
      </c>
      <c r="H28" s="92">
        <f t="shared" si="0"/>
        <v>0</v>
      </c>
      <c r="I28" s="60">
        <v>3</v>
      </c>
    </row>
    <row r="29" spans="1:17" x14ac:dyDescent="0.45">
      <c r="A29" s="22" t="s">
        <v>165</v>
      </c>
      <c r="B29" s="99">
        <f>IF(B$20=0,0,C29/B$20)</f>
        <v>-7182.3529411764703</v>
      </c>
      <c r="C29" s="100">
        <v>-122100</v>
      </c>
      <c r="E29" s="29" t="s">
        <v>87</v>
      </c>
      <c r="F29" s="26" t="s">
        <v>42</v>
      </c>
      <c r="G29" s="14">
        <v>0</v>
      </c>
      <c r="H29" s="92">
        <f t="shared" si="0"/>
        <v>0</v>
      </c>
      <c r="I29" s="60">
        <v>1</v>
      </c>
    </row>
    <row r="30" spans="1:17" x14ac:dyDescent="0.45">
      <c r="A30" s="21" t="s">
        <v>158</v>
      </c>
      <c r="B30" s="14">
        <v>6</v>
      </c>
      <c r="C30" s="94">
        <v>0</v>
      </c>
      <c r="E30" s="29" t="s">
        <v>88</v>
      </c>
      <c r="F30" s="26" t="s">
        <v>43</v>
      </c>
      <c r="G30" s="14">
        <v>0</v>
      </c>
      <c r="H30" s="92">
        <f t="shared" si="0"/>
        <v>0</v>
      </c>
      <c r="I30" s="60">
        <v>1</v>
      </c>
    </row>
    <row r="31" spans="1:17" x14ac:dyDescent="0.45">
      <c r="A31" s="21" t="s">
        <v>159</v>
      </c>
      <c r="B31" s="14">
        <v>17</v>
      </c>
      <c r="C31" s="94">
        <v>0</v>
      </c>
      <c r="E31" s="29" t="s">
        <v>90</v>
      </c>
      <c r="F31" s="26" t="s">
        <v>45</v>
      </c>
      <c r="G31" s="14">
        <v>0</v>
      </c>
      <c r="H31" s="92">
        <f t="shared" si="0"/>
        <v>0</v>
      </c>
      <c r="I31" s="60">
        <v>1</v>
      </c>
    </row>
    <row r="32" spans="1:17" x14ac:dyDescent="0.45">
      <c r="A32" s="56" t="s">
        <v>136</v>
      </c>
      <c r="B32" s="141">
        <v>4</v>
      </c>
      <c r="C32" s="142"/>
      <c r="E32" s="29" t="s">
        <v>91</v>
      </c>
      <c r="F32" s="26" t="s">
        <v>46</v>
      </c>
      <c r="G32" s="14">
        <v>0</v>
      </c>
      <c r="H32" s="92">
        <f t="shared" si="0"/>
        <v>0</v>
      </c>
      <c r="I32" s="60">
        <v>4</v>
      </c>
    </row>
    <row r="33" spans="1:9" x14ac:dyDescent="0.45">
      <c r="A33" s="24" t="s">
        <v>181</v>
      </c>
      <c r="B33" s="143">
        <v>103000</v>
      </c>
      <c r="C33" s="144"/>
      <c r="E33" s="29" t="s">
        <v>93</v>
      </c>
      <c r="F33" s="26" t="s">
        <v>48</v>
      </c>
      <c r="G33" s="14">
        <v>0</v>
      </c>
      <c r="H33" s="92">
        <f t="shared" si="0"/>
        <v>0</v>
      </c>
      <c r="I33" s="60">
        <v>1</v>
      </c>
    </row>
    <row r="34" spans="1:9" x14ac:dyDescent="0.45">
      <c r="A34" s="23" t="s">
        <v>137</v>
      </c>
      <c r="B34" s="31">
        <v>1</v>
      </c>
      <c r="C34" s="11">
        <f>IF(B$3=0,0,B34/B$3)</f>
        <v>7.6335877862595417E-3</v>
      </c>
      <c r="E34" s="29" t="s">
        <v>94</v>
      </c>
      <c r="F34" s="26" t="s">
        <v>49</v>
      </c>
      <c r="G34" s="14">
        <v>0</v>
      </c>
      <c r="H34" s="92">
        <f t="shared" ref="H34:H65" si="4">IF(B$19=0,0,G34/B$19)</f>
        <v>0</v>
      </c>
      <c r="I34" s="60">
        <v>1</v>
      </c>
    </row>
    <row r="35" spans="1:9" x14ac:dyDescent="0.45">
      <c r="E35" s="29" t="s">
        <v>95</v>
      </c>
      <c r="F35" s="26" t="s">
        <v>50</v>
      </c>
      <c r="G35" s="14">
        <v>0</v>
      </c>
      <c r="H35" s="92">
        <f t="shared" si="4"/>
        <v>0</v>
      </c>
      <c r="I35" s="60">
        <v>1</v>
      </c>
    </row>
    <row r="36" spans="1:9" x14ac:dyDescent="0.45">
      <c r="A36" s="56" t="s">
        <v>172</v>
      </c>
      <c r="B36" s="121">
        <v>2</v>
      </c>
      <c r="C36" s="102">
        <f t="shared" ref="C36:C48" si="5">IF(B$19=0,0,B36/B$19)</f>
        <v>4.5454545454545456E-2</v>
      </c>
      <c r="E36" s="29" t="s">
        <v>96</v>
      </c>
      <c r="F36" s="26" t="s">
        <v>51</v>
      </c>
      <c r="G36" s="14">
        <v>0</v>
      </c>
      <c r="H36" s="92">
        <f t="shared" si="4"/>
        <v>0</v>
      </c>
      <c r="I36" s="60">
        <v>1</v>
      </c>
    </row>
    <row r="37" spans="1:9" x14ac:dyDescent="0.45">
      <c r="A37" s="21" t="s">
        <v>168</v>
      </c>
      <c r="B37" s="14">
        <v>7</v>
      </c>
      <c r="C37" s="8">
        <f t="shared" si="5"/>
        <v>0.15909090909090909</v>
      </c>
      <c r="E37" s="29" t="s">
        <v>97</v>
      </c>
      <c r="F37" s="26" t="s">
        <v>52</v>
      </c>
      <c r="G37" s="14">
        <v>0</v>
      </c>
      <c r="H37" s="92">
        <f t="shared" si="4"/>
        <v>0</v>
      </c>
      <c r="I37" s="60">
        <v>1</v>
      </c>
    </row>
    <row r="38" spans="1:9" x14ac:dyDescent="0.45">
      <c r="A38" s="21" t="s">
        <v>169</v>
      </c>
      <c r="B38" s="122">
        <v>11</v>
      </c>
      <c r="C38" s="8">
        <f t="shared" si="5"/>
        <v>0.25</v>
      </c>
      <c r="E38" s="29" t="s">
        <v>98</v>
      </c>
      <c r="F38" s="26" t="s">
        <v>53</v>
      </c>
      <c r="G38" s="14">
        <v>0</v>
      </c>
      <c r="H38" s="92">
        <f t="shared" si="4"/>
        <v>0</v>
      </c>
      <c r="I38" s="60">
        <v>1</v>
      </c>
    </row>
    <row r="39" spans="1:9" x14ac:dyDescent="0.45">
      <c r="A39" s="21" t="s">
        <v>170</v>
      </c>
      <c r="B39" s="122">
        <v>5</v>
      </c>
      <c r="C39" s="8">
        <f t="shared" si="5"/>
        <v>0.11363636363636363</v>
      </c>
      <c r="E39" s="29" t="s">
        <v>99</v>
      </c>
      <c r="F39" s="26" t="s">
        <v>54</v>
      </c>
      <c r="G39" s="14">
        <v>0</v>
      </c>
      <c r="H39" s="92">
        <f t="shared" si="4"/>
        <v>0</v>
      </c>
      <c r="I39" s="60">
        <v>1</v>
      </c>
    </row>
    <row r="40" spans="1:9" x14ac:dyDescent="0.45">
      <c r="A40" s="21" t="s">
        <v>171</v>
      </c>
      <c r="B40" s="122">
        <v>5</v>
      </c>
      <c r="C40" s="8">
        <f t="shared" si="5"/>
        <v>0.11363636363636363</v>
      </c>
      <c r="E40" s="29" t="s">
        <v>100</v>
      </c>
      <c r="F40" s="26" t="s">
        <v>55</v>
      </c>
      <c r="G40" s="14">
        <v>0</v>
      </c>
      <c r="H40" s="92">
        <f t="shared" si="4"/>
        <v>0</v>
      </c>
      <c r="I40" s="60">
        <v>1</v>
      </c>
    </row>
    <row r="41" spans="1:9" x14ac:dyDescent="0.45">
      <c r="A41" s="21" t="s">
        <v>173</v>
      </c>
      <c r="B41" s="122">
        <v>9</v>
      </c>
      <c r="C41" s="8">
        <f t="shared" si="5"/>
        <v>0.20454545454545456</v>
      </c>
      <c r="E41" s="29" t="s">
        <v>101</v>
      </c>
      <c r="F41" s="26" t="s">
        <v>56</v>
      </c>
      <c r="G41" s="14">
        <v>0</v>
      </c>
      <c r="H41" s="92">
        <f t="shared" si="4"/>
        <v>0</v>
      </c>
      <c r="I41" s="60">
        <v>1</v>
      </c>
    </row>
    <row r="42" spans="1:9" x14ac:dyDescent="0.45">
      <c r="A42" s="21" t="s">
        <v>174</v>
      </c>
      <c r="B42" s="122">
        <v>4</v>
      </c>
      <c r="C42" s="8">
        <f t="shared" si="5"/>
        <v>9.0909090909090912E-2</v>
      </c>
      <c r="E42" s="29" t="s">
        <v>102</v>
      </c>
      <c r="F42" s="26" t="s">
        <v>57</v>
      </c>
      <c r="G42" s="14">
        <v>0</v>
      </c>
      <c r="H42" s="92">
        <f t="shared" si="4"/>
        <v>0</v>
      </c>
      <c r="I42" s="60">
        <v>1</v>
      </c>
    </row>
    <row r="43" spans="1:9" x14ac:dyDescent="0.45">
      <c r="A43" s="21" t="s">
        <v>175</v>
      </c>
      <c r="B43" s="122">
        <v>0</v>
      </c>
      <c r="C43" s="8">
        <f t="shared" si="5"/>
        <v>0</v>
      </c>
      <c r="E43" s="29" t="s">
        <v>103</v>
      </c>
      <c r="F43" s="26" t="s">
        <v>58</v>
      </c>
      <c r="G43" s="14">
        <v>0</v>
      </c>
      <c r="H43" s="92">
        <f t="shared" si="4"/>
        <v>0</v>
      </c>
      <c r="I43" s="60">
        <v>1</v>
      </c>
    </row>
    <row r="44" spans="1:9" x14ac:dyDescent="0.45">
      <c r="A44" s="21" t="s">
        <v>176</v>
      </c>
      <c r="B44" s="122">
        <v>0</v>
      </c>
      <c r="C44" s="8">
        <f t="shared" si="5"/>
        <v>0</v>
      </c>
      <c r="E44" s="29" t="s">
        <v>104</v>
      </c>
      <c r="F44" s="26" t="s">
        <v>59</v>
      </c>
      <c r="G44" s="14">
        <v>0</v>
      </c>
      <c r="H44" s="92">
        <f t="shared" si="4"/>
        <v>0</v>
      </c>
      <c r="I44" s="60">
        <v>1</v>
      </c>
    </row>
    <row r="45" spans="1:9" x14ac:dyDescent="0.45">
      <c r="A45" s="21" t="s">
        <v>177</v>
      </c>
      <c r="B45" s="122">
        <v>0</v>
      </c>
      <c r="C45" s="8">
        <f t="shared" si="5"/>
        <v>0</v>
      </c>
      <c r="E45" s="29" t="s">
        <v>105</v>
      </c>
      <c r="F45" s="26" t="s">
        <v>112</v>
      </c>
      <c r="G45" s="14">
        <v>0</v>
      </c>
      <c r="H45" s="92">
        <f t="shared" si="4"/>
        <v>0</v>
      </c>
      <c r="I45" s="60">
        <v>1</v>
      </c>
    </row>
    <row r="46" spans="1:9" x14ac:dyDescent="0.45">
      <c r="A46" s="21" t="s">
        <v>178</v>
      </c>
      <c r="B46" s="122">
        <v>0</v>
      </c>
      <c r="C46" s="8">
        <f t="shared" si="5"/>
        <v>0</v>
      </c>
      <c r="E46" s="29" t="s">
        <v>106</v>
      </c>
      <c r="F46" s="26" t="s">
        <v>113</v>
      </c>
      <c r="G46" s="14">
        <v>0</v>
      </c>
      <c r="H46" s="92">
        <f t="shared" si="4"/>
        <v>0</v>
      </c>
      <c r="I46" s="60">
        <v>1</v>
      </c>
    </row>
    <row r="47" spans="1:9" x14ac:dyDescent="0.45">
      <c r="A47" s="21" t="s">
        <v>179</v>
      </c>
      <c r="B47" s="122">
        <v>0</v>
      </c>
      <c r="C47" s="8">
        <f t="shared" si="5"/>
        <v>0</v>
      </c>
      <c r="E47" s="29" t="s">
        <v>107</v>
      </c>
      <c r="F47" s="26" t="s">
        <v>114</v>
      </c>
      <c r="G47" s="14">
        <v>0</v>
      </c>
      <c r="H47" s="92">
        <f t="shared" si="4"/>
        <v>0</v>
      </c>
      <c r="I47" s="60">
        <v>1</v>
      </c>
    </row>
    <row r="48" spans="1:9" x14ac:dyDescent="0.45">
      <c r="A48" s="23" t="s">
        <v>180</v>
      </c>
      <c r="B48" s="101">
        <v>1</v>
      </c>
      <c r="C48" s="11">
        <f t="shared" si="5"/>
        <v>2.2727272727272728E-2</v>
      </c>
      <c r="E48" s="29" t="s">
        <v>108</v>
      </c>
      <c r="F48" s="26" t="s">
        <v>60</v>
      </c>
      <c r="G48" s="14">
        <v>0</v>
      </c>
      <c r="H48" s="92">
        <f t="shared" si="4"/>
        <v>0</v>
      </c>
      <c r="I48" s="60">
        <v>1</v>
      </c>
    </row>
    <row r="49" spans="5:9" x14ac:dyDescent="0.45">
      <c r="E49" s="29" t="s">
        <v>109</v>
      </c>
      <c r="F49" s="26" t="s">
        <v>61</v>
      </c>
      <c r="G49" s="14">
        <v>0</v>
      </c>
      <c r="H49" s="92">
        <f t="shared" si="4"/>
        <v>0</v>
      </c>
      <c r="I49" s="60">
        <v>1</v>
      </c>
    </row>
    <row r="50" spans="5:9" x14ac:dyDescent="0.45">
      <c r="E50" s="29" t="s">
        <v>110</v>
      </c>
      <c r="F50" s="26" t="s">
        <v>62</v>
      </c>
      <c r="G50" s="14">
        <v>0</v>
      </c>
      <c r="H50" s="92">
        <f t="shared" si="4"/>
        <v>0</v>
      </c>
      <c r="I50" s="60">
        <v>1</v>
      </c>
    </row>
    <row r="51" spans="5:9" x14ac:dyDescent="0.45">
      <c r="E51" s="95" t="s">
        <v>111</v>
      </c>
      <c r="F51" s="96" t="s">
        <v>63</v>
      </c>
      <c r="G51" s="15">
        <v>0</v>
      </c>
      <c r="H51" s="97">
        <f t="shared" si="4"/>
        <v>0</v>
      </c>
      <c r="I51" s="98">
        <v>1</v>
      </c>
    </row>
    <row r="52" spans="5:9" x14ac:dyDescent="0.45">
      <c r="E52" s="30" t="s">
        <v>162</v>
      </c>
      <c r="F52" s="27" t="s">
        <v>163</v>
      </c>
      <c r="G52" s="16">
        <v>0</v>
      </c>
      <c r="H52" s="93">
        <f t="shared" si="4"/>
        <v>0</v>
      </c>
      <c r="I52" s="61">
        <v>1</v>
      </c>
    </row>
  </sheetData>
  <sortState xmlns:xlrd2="http://schemas.microsoft.com/office/spreadsheetml/2017/richdata2" ref="N15:Q20">
    <sortCondition descending="1" ref="O15"/>
  </sortState>
  <mergeCells count="9">
    <mergeCell ref="B13:C13"/>
    <mergeCell ref="B32:C32"/>
    <mergeCell ref="B33:C33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2F1E55-988C-4C30-B40E-A723D01ABF2C}">
  <sheetPr codeName="Sheet9"/>
  <dimension ref="A1:Q52"/>
  <sheetViews>
    <sheetView showGridLines="0" zoomScaleNormal="100" workbookViewId="0"/>
  </sheetViews>
  <sheetFormatPr defaultColWidth="9" defaultRowHeight="18" x14ac:dyDescent="0.45"/>
  <cols>
    <col min="1" max="1" width="13" style="107" customWidth="1"/>
    <col min="2" max="3" width="9" style="107" customWidth="1"/>
    <col min="4" max="4" width="3.59765625" style="107" customWidth="1"/>
    <col min="5" max="5" width="3.59765625" style="116" bestFit="1" customWidth="1"/>
    <col min="6" max="6" width="11" style="111" bestFit="1" customWidth="1"/>
    <col min="7" max="9" width="9" style="107" customWidth="1"/>
    <col min="10" max="10" width="3.59765625" style="107" customWidth="1"/>
    <col min="11" max="11" width="3.5" style="7" customWidth="1"/>
    <col min="12" max="12" width="9" style="65" customWidth="1"/>
    <col min="13" max="13" width="3.59765625" style="107" customWidth="1"/>
    <col min="14" max="14" width="9" style="78" customWidth="1"/>
    <col min="15" max="15" width="9" style="87" customWidth="1"/>
    <col min="16" max="16" width="9" style="81" customWidth="1"/>
    <col min="17" max="17" width="3.59765625" style="72" customWidth="1"/>
    <col min="18" max="16384" width="9" style="107"/>
  </cols>
  <sheetData>
    <row r="1" spans="1:17" x14ac:dyDescent="0.45">
      <c r="A1" s="19" t="s">
        <v>0</v>
      </c>
      <c r="B1" s="145" t="s">
        <v>164</v>
      </c>
      <c r="C1" s="146"/>
      <c r="E1" s="108" t="s">
        <v>155</v>
      </c>
      <c r="F1" s="120" t="s">
        <v>115</v>
      </c>
      <c r="G1" s="119" t="s">
        <v>116</v>
      </c>
      <c r="H1" s="90" t="s">
        <v>117</v>
      </c>
      <c r="I1" s="120" t="s">
        <v>146</v>
      </c>
      <c r="K1" s="4" t="s">
        <v>19</v>
      </c>
      <c r="L1" s="120" t="s">
        <v>120</v>
      </c>
      <c r="M1" s="109"/>
      <c r="N1" s="76" t="s">
        <v>134</v>
      </c>
      <c r="O1" s="4" t="s">
        <v>135</v>
      </c>
      <c r="P1" s="110" t="s">
        <v>116</v>
      </c>
      <c r="Q1" s="66" t="s">
        <v>148</v>
      </c>
    </row>
    <row r="2" spans="1:17" x14ac:dyDescent="0.45">
      <c r="A2" s="20" t="s">
        <v>9</v>
      </c>
      <c r="B2" s="147">
        <v>6</v>
      </c>
      <c r="C2" s="148"/>
      <c r="E2" s="28" t="s">
        <v>66</v>
      </c>
      <c r="F2" s="25" t="s">
        <v>22</v>
      </c>
      <c r="G2" s="13">
        <v>6</v>
      </c>
      <c r="H2" s="91">
        <f t="shared" ref="H2:H33" si="0">IF(B$19=0,0,G2/B$19)</f>
        <v>0.6</v>
      </c>
      <c r="I2" s="59">
        <v>8</v>
      </c>
      <c r="K2" s="5">
        <v>0</v>
      </c>
      <c r="L2" s="64">
        <v>0</v>
      </c>
      <c r="N2" s="77" t="s">
        <v>128</v>
      </c>
      <c r="O2" s="83">
        <f t="shared" ref="O2:O7" si="1">IF(P2=0,0,Q2/P2)</f>
        <v>-2033.3333333333333</v>
      </c>
      <c r="P2" s="80">
        <v>6</v>
      </c>
      <c r="Q2" s="67">
        <v>-12200</v>
      </c>
    </row>
    <row r="3" spans="1:17" x14ac:dyDescent="0.45">
      <c r="A3" s="21" t="s">
        <v>8</v>
      </c>
      <c r="B3" s="149">
        <v>51</v>
      </c>
      <c r="C3" s="150"/>
      <c r="E3" s="29" t="s">
        <v>72</v>
      </c>
      <c r="F3" s="26" t="s">
        <v>27</v>
      </c>
      <c r="G3" s="14">
        <v>6</v>
      </c>
      <c r="H3" s="92">
        <f t="shared" si="0"/>
        <v>0.6</v>
      </c>
      <c r="I3" s="60">
        <v>7</v>
      </c>
      <c r="K3" s="7">
        <v>1</v>
      </c>
      <c r="L3" s="65">
        <v>-31</v>
      </c>
      <c r="N3" s="78" t="s">
        <v>129</v>
      </c>
      <c r="O3" s="84">
        <f t="shared" si="1"/>
        <v>-3380</v>
      </c>
      <c r="P3" s="81">
        <v>5</v>
      </c>
      <c r="Q3" s="68">
        <v>-16900</v>
      </c>
    </row>
    <row r="4" spans="1:17" x14ac:dyDescent="0.45">
      <c r="A4" s="21" t="s">
        <v>6</v>
      </c>
      <c r="B4" s="151">
        <v>-182.90000000000003</v>
      </c>
      <c r="C4" s="152"/>
      <c r="E4" s="29" t="s">
        <v>160</v>
      </c>
      <c r="F4" s="26" t="s">
        <v>161</v>
      </c>
      <c r="G4" s="14">
        <v>4</v>
      </c>
      <c r="H4" s="92">
        <f t="shared" si="0"/>
        <v>0.4</v>
      </c>
      <c r="I4" s="60">
        <v>5</v>
      </c>
      <c r="K4" s="7">
        <v>2</v>
      </c>
      <c r="L4" s="65">
        <v>-98.9</v>
      </c>
      <c r="N4" s="78" t="s">
        <v>130</v>
      </c>
      <c r="O4" s="84">
        <f t="shared" si="1"/>
        <v>-3720</v>
      </c>
      <c r="P4" s="81">
        <v>5</v>
      </c>
      <c r="Q4" s="68">
        <v>-18600</v>
      </c>
    </row>
    <row r="5" spans="1:17" x14ac:dyDescent="0.45">
      <c r="A5" s="21" t="s">
        <v>7</v>
      </c>
      <c r="B5" s="139">
        <f>IF(B$2=0,0,B$4/B$2)</f>
        <v>-30.483333333333338</v>
      </c>
      <c r="C5" s="140"/>
      <c r="E5" s="29" t="s">
        <v>64</v>
      </c>
      <c r="F5" s="26" t="s">
        <v>20</v>
      </c>
      <c r="G5" s="14">
        <v>3</v>
      </c>
      <c r="H5" s="92">
        <f t="shared" si="0"/>
        <v>0.3</v>
      </c>
      <c r="I5" s="60">
        <v>9</v>
      </c>
      <c r="K5" s="7">
        <v>3</v>
      </c>
      <c r="L5" s="65">
        <v>-65.300000000000011</v>
      </c>
      <c r="N5" s="78" t="s">
        <v>131</v>
      </c>
      <c r="O5" s="84">
        <f t="shared" si="1"/>
        <v>-680</v>
      </c>
      <c r="P5" s="81">
        <v>5</v>
      </c>
      <c r="Q5" s="68">
        <v>-3400</v>
      </c>
    </row>
    <row r="6" spans="1:17" x14ac:dyDescent="0.45">
      <c r="A6" s="21" t="s">
        <v>1</v>
      </c>
      <c r="B6" s="153">
        <f>IF(B$2=0,0,(B$7*1+B$8*2+B$9*3)/B$2)</f>
        <v>2.6666666666666665</v>
      </c>
      <c r="C6" s="154"/>
      <c r="E6" s="29" t="s">
        <v>67</v>
      </c>
      <c r="F6" s="26" t="s">
        <v>23</v>
      </c>
      <c r="G6" s="14">
        <v>2</v>
      </c>
      <c r="H6" s="92">
        <f t="shared" si="0"/>
        <v>0.2</v>
      </c>
      <c r="I6" s="60">
        <v>7</v>
      </c>
      <c r="K6" s="7">
        <v>4</v>
      </c>
      <c r="L6" s="65">
        <v>-99.700000000000017</v>
      </c>
      <c r="N6" s="78" t="s">
        <v>132</v>
      </c>
      <c r="O6" s="84">
        <f t="shared" si="1"/>
        <v>-50</v>
      </c>
      <c r="P6" s="81">
        <v>4</v>
      </c>
      <c r="Q6" s="68">
        <v>-200</v>
      </c>
    </row>
    <row r="7" spans="1:17" x14ac:dyDescent="0.45">
      <c r="A7" s="21" t="s">
        <v>2</v>
      </c>
      <c r="B7" s="14">
        <v>1</v>
      </c>
      <c r="C7" s="8">
        <f t="shared" ref="C7:C14" si="2">IF(B$2=0,0,B7/B$2)</f>
        <v>0.16666666666666666</v>
      </c>
      <c r="E7" s="29" t="s">
        <v>68</v>
      </c>
      <c r="F7" s="26" t="s">
        <v>12</v>
      </c>
      <c r="G7" s="14">
        <v>1</v>
      </c>
      <c r="H7" s="92">
        <f t="shared" si="0"/>
        <v>0.1</v>
      </c>
      <c r="I7" s="60">
        <v>10</v>
      </c>
      <c r="K7" s="7">
        <v>5</v>
      </c>
      <c r="L7" s="65">
        <v>-132.90000000000003</v>
      </c>
      <c r="N7" s="79" t="s">
        <v>133</v>
      </c>
      <c r="O7" s="85">
        <f t="shared" si="1"/>
        <v>-2700</v>
      </c>
      <c r="P7" s="82">
        <v>3</v>
      </c>
      <c r="Q7" s="69">
        <v>-8100</v>
      </c>
    </row>
    <row r="8" spans="1:17" x14ac:dyDescent="0.45">
      <c r="A8" s="21" t="s">
        <v>3</v>
      </c>
      <c r="B8" s="14">
        <v>0</v>
      </c>
      <c r="C8" s="8">
        <f t="shared" si="2"/>
        <v>0</v>
      </c>
      <c r="E8" s="29" t="s">
        <v>69</v>
      </c>
      <c r="F8" s="26" t="s">
        <v>24</v>
      </c>
      <c r="G8" s="14">
        <v>1</v>
      </c>
      <c r="H8" s="92">
        <f t="shared" si="0"/>
        <v>0.1</v>
      </c>
      <c r="I8" s="60">
        <v>6</v>
      </c>
      <c r="K8" s="7">
        <v>6</v>
      </c>
      <c r="L8" s="65">
        <v>-182.90000000000003</v>
      </c>
      <c r="N8" s="111"/>
      <c r="O8" s="89"/>
      <c r="P8" s="112"/>
      <c r="Q8" s="74"/>
    </row>
    <row r="9" spans="1:17" x14ac:dyDescent="0.45">
      <c r="A9" s="22" t="s">
        <v>4</v>
      </c>
      <c r="B9" s="15">
        <v>5</v>
      </c>
      <c r="C9" s="9">
        <f t="shared" si="2"/>
        <v>0.83333333333333337</v>
      </c>
      <c r="E9" s="29" t="s">
        <v>70</v>
      </c>
      <c r="F9" s="26" t="s">
        <v>25</v>
      </c>
      <c r="G9" s="14">
        <v>1</v>
      </c>
      <c r="H9" s="92">
        <f t="shared" si="0"/>
        <v>0.1</v>
      </c>
      <c r="I9" s="60">
        <v>4</v>
      </c>
      <c r="N9" s="76" t="s">
        <v>151</v>
      </c>
      <c r="O9" s="4" t="s">
        <v>120</v>
      </c>
      <c r="P9" s="110" t="s">
        <v>116</v>
      </c>
      <c r="Q9" s="70" t="s">
        <v>148</v>
      </c>
    </row>
    <row r="10" spans="1:17" x14ac:dyDescent="0.45">
      <c r="A10" s="22" t="s">
        <v>185</v>
      </c>
      <c r="B10" s="113">
        <f>IF(B7=0,0,C10/B7)</f>
        <v>33.6</v>
      </c>
      <c r="C10" s="114">
        <v>33.6</v>
      </c>
      <c r="E10" s="29" t="s">
        <v>71</v>
      </c>
      <c r="F10" s="26" t="s">
        <v>26</v>
      </c>
      <c r="G10" s="14">
        <v>1</v>
      </c>
      <c r="H10" s="92">
        <f t="shared" si="0"/>
        <v>0.1</v>
      </c>
      <c r="I10" s="60">
        <v>2</v>
      </c>
      <c r="N10" s="77" t="s">
        <v>152</v>
      </c>
      <c r="O10" s="86">
        <f>IF(P10=0,0,Q10/P10)</f>
        <v>-0.39999999999999858</v>
      </c>
      <c r="P10" s="80">
        <v>2</v>
      </c>
      <c r="Q10" s="71">
        <v>-0.79999999999999716</v>
      </c>
    </row>
    <row r="11" spans="1:17" x14ac:dyDescent="0.45">
      <c r="A11" s="22" t="s">
        <v>186</v>
      </c>
      <c r="B11" s="113">
        <f>IF(B8=0,0,C11/B8)</f>
        <v>0</v>
      </c>
      <c r="C11" s="114">
        <v>0</v>
      </c>
      <c r="E11" s="29" t="s">
        <v>78</v>
      </c>
      <c r="F11" s="26" t="s">
        <v>33</v>
      </c>
      <c r="G11" s="14">
        <v>1</v>
      </c>
      <c r="H11" s="92">
        <f t="shared" si="0"/>
        <v>0.1</v>
      </c>
      <c r="I11" s="60">
        <v>2</v>
      </c>
      <c r="N11" s="78" t="s">
        <v>153</v>
      </c>
      <c r="O11" s="87">
        <f>IF(P11=0,0,Q11/P11)</f>
        <v>-44.033333333333339</v>
      </c>
      <c r="P11" s="81">
        <v>3</v>
      </c>
      <c r="Q11" s="72">
        <v>-132.10000000000002</v>
      </c>
    </row>
    <row r="12" spans="1:17" x14ac:dyDescent="0.45">
      <c r="A12" s="22" t="s">
        <v>187</v>
      </c>
      <c r="B12" s="113">
        <f>IF(B9=0,0,C12/B9)</f>
        <v>-43.3</v>
      </c>
      <c r="C12" s="114">
        <v>-216.5</v>
      </c>
      <c r="E12" s="29" t="s">
        <v>81</v>
      </c>
      <c r="F12" s="26" t="s">
        <v>36</v>
      </c>
      <c r="G12" s="14">
        <v>1</v>
      </c>
      <c r="H12" s="92">
        <f t="shared" si="0"/>
        <v>0.1</v>
      </c>
      <c r="I12" s="60">
        <v>2</v>
      </c>
      <c r="N12" s="79" t="s">
        <v>154</v>
      </c>
      <c r="O12" s="88">
        <f>IF(P12=0,0,Q12/P12)</f>
        <v>-50</v>
      </c>
      <c r="P12" s="82">
        <v>1</v>
      </c>
      <c r="Q12" s="73">
        <v>-50</v>
      </c>
    </row>
    <row r="13" spans="1:17" x14ac:dyDescent="0.45">
      <c r="A13" s="22" t="s">
        <v>188</v>
      </c>
      <c r="B13" s="139">
        <f>AVERAGE(B10:B12)</f>
        <v>-3.2333333333333321</v>
      </c>
      <c r="C13" s="140"/>
      <c r="E13" s="29" t="s">
        <v>83</v>
      </c>
      <c r="F13" s="26" t="s">
        <v>38</v>
      </c>
      <c r="G13" s="14">
        <v>1</v>
      </c>
      <c r="H13" s="92">
        <f t="shared" si="0"/>
        <v>0.1</v>
      </c>
      <c r="I13" s="60">
        <v>3</v>
      </c>
      <c r="N13" s="107"/>
      <c r="O13" s="75"/>
      <c r="P13" s="115"/>
      <c r="Q13" s="75"/>
    </row>
    <row r="14" spans="1:17" x14ac:dyDescent="0.45">
      <c r="A14" s="23" t="s">
        <v>18</v>
      </c>
      <c r="B14" s="16">
        <v>2</v>
      </c>
      <c r="C14" s="11">
        <f t="shared" si="2"/>
        <v>0.33333333333333331</v>
      </c>
      <c r="E14" s="29" t="s">
        <v>86</v>
      </c>
      <c r="F14" s="26" t="s">
        <v>41</v>
      </c>
      <c r="G14" s="14">
        <v>1</v>
      </c>
      <c r="H14" s="92">
        <f t="shared" si="0"/>
        <v>0.1</v>
      </c>
      <c r="I14" s="60">
        <v>2</v>
      </c>
      <c r="N14" s="76" t="s">
        <v>147</v>
      </c>
      <c r="O14" s="4" t="s">
        <v>120</v>
      </c>
      <c r="P14" s="110" t="s">
        <v>116</v>
      </c>
      <c r="Q14" s="70" t="s">
        <v>148</v>
      </c>
    </row>
    <row r="15" spans="1:17" x14ac:dyDescent="0.45">
      <c r="A15" s="24" t="s">
        <v>121</v>
      </c>
      <c r="B15" s="17">
        <v>11</v>
      </c>
      <c r="C15" s="12">
        <f>IF(B$3=0,0,B15/B$3)</f>
        <v>0.21568627450980393</v>
      </c>
      <c r="E15" s="29" t="s">
        <v>89</v>
      </c>
      <c r="F15" s="26" t="s">
        <v>44</v>
      </c>
      <c r="G15" s="14">
        <v>1</v>
      </c>
      <c r="H15" s="92">
        <f t="shared" si="0"/>
        <v>0.1</v>
      </c>
      <c r="I15" s="60">
        <v>10</v>
      </c>
      <c r="N15" s="77" t="s">
        <v>194</v>
      </c>
      <c r="O15" s="86">
        <f>IF(P15=0,0,Q15/P15)</f>
        <v>-15.799999999999997</v>
      </c>
      <c r="P15" s="80">
        <v>2</v>
      </c>
      <c r="Q15" s="71">
        <v>-31.599999999999994</v>
      </c>
    </row>
    <row r="16" spans="1:17" x14ac:dyDescent="0.45">
      <c r="A16" s="21" t="s">
        <v>118</v>
      </c>
      <c r="B16" s="14">
        <v>13</v>
      </c>
      <c r="C16" s="8">
        <f>IF(B$3=0,0,B16/B$3)</f>
        <v>0.25490196078431371</v>
      </c>
      <c r="E16" s="29" t="s">
        <v>65</v>
      </c>
      <c r="F16" s="26" t="s">
        <v>21</v>
      </c>
      <c r="G16" s="14">
        <v>0</v>
      </c>
      <c r="H16" s="92">
        <f t="shared" si="0"/>
        <v>0</v>
      </c>
      <c r="I16" s="60">
        <v>8</v>
      </c>
      <c r="N16" s="78" t="s">
        <v>190</v>
      </c>
      <c r="O16" s="87">
        <f>IF(P16=0,0,Q16/P16)</f>
        <v>-26.525000000000002</v>
      </c>
      <c r="P16" s="81">
        <v>4</v>
      </c>
      <c r="Q16" s="72">
        <v>-106.10000000000001</v>
      </c>
    </row>
    <row r="17" spans="1:17" x14ac:dyDescent="0.45">
      <c r="A17" s="20" t="s">
        <v>123</v>
      </c>
      <c r="B17" s="13">
        <f>B23</f>
        <v>3</v>
      </c>
      <c r="C17" s="6">
        <f>IF(B$15=0,0,B17/B$15)</f>
        <v>0.27272727272727271</v>
      </c>
      <c r="E17" s="29" t="s">
        <v>73</v>
      </c>
      <c r="F17" s="26" t="s">
        <v>28</v>
      </c>
      <c r="G17" s="14">
        <v>0</v>
      </c>
      <c r="H17" s="92">
        <f t="shared" si="0"/>
        <v>0</v>
      </c>
      <c r="I17" s="60">
        <v>3</v>
      </c>
      <c r="N17" s="78" t="s">
        <v>198</v>
      </c>
      <c r="O17" s="87">
        <f>IF(P17=0,0,Q17/P17)</f>
        <v>-40.900000000000006</v>
      </c>
      <c r="P17" s="81">
        <v>2</v>
      </c>
      <c r="Q17" s="72">
        <v>-81.800000000000011</v>
      </c>
    </row>
    <row r="18" spans="1:17" x14ac:dyDescent="0.45">
      <c r="A18" s="20" t="s">
        <v>124</v>
      </c>
      <c r="B18" s="13">
        <f>B24</f>
        <v>4</v>
      </c>
      <c r="C18" s="6">
        <f>IF(B$16=0,0,B18/B$16)</f>
        <v>0.30769230769230771</v>
      </c>
      <c r="E18" s="29" t="s">
        <v>74</v>
      </c>
      <c r="F18" s="26" t="s">
        <v>29</v>
      </c>
      <c r="G18" s="14">
        <v>0</v>
      </c>
      <c r="H18" s="92">
        <f t="shared" si="0"/>
        <v>0</v>
      </c>
      <c r="I18" s="60">
        <v>1</v>
      </c>
      <c r="N18" s="78" t="s">
        <v>126</v>
      </c>
      <c r="O18" s="87">
        <f>IF(P18=0,0,Q18/P18)</f>
        <v>-82.300000000000011</v>
      </c>
      <c r="P18" s="81">
        <v>4</v>
      </c>
      <c r="Q18" s="72">
        <v>-329.20000000000005</v>
      </c>
    </row>
    <row r="19" spans="1:17" x14ac:dyDescent="0.45">
      <c r="A19" s="20" t="s">
        <v>10</v>
      </c>
      <c r="B19" s="13">
        <f>B22+B21</f>
        <v>10</v>
      </c>
      <c r="C19" s="6">
        <f>IF(B$3=0,0,B19/B$3)</f>
        <v>0.19607843137254902</v>
      </c>
      <c r="E19" s="29" t="s">
        <v>75</v>
      </c>
      <c r="F19" s="26" t="s">
        <v>30</v>
      </c>
      <c r="G19" s="14">
        <v>0</v>
      </c>
      <c r="H19" s="92">
        <f t="shared" si="0"/>
        <v>0</v>
      </c>
      <c r="I19" s="60">
        <v>3</v>
      </c>
    </row>
    <row r="20" spans="1:17" x14ac:dyDescent="0.45">
      <c r="A20" s="21" t="s">
        <v>13</v>
      </c>
      <c r="B20" s="14">
        <v>11</v>
      </c>
      <c r="C20" s="8">
        <f>IF(B$3=0,0,B20/B$3)</f>
        <v>0.21568627450980393</v>
      </c>
      <c r="E20" s="29" t="s">
        <v>76</v>
      </c>
      <c r="F20" s="26" t="s">
        <v>31</v>
      </c>
      <c r="G20" s="14">
        <v>0</v>
      </c>
      <c r="H20" s="92">
        <f t="shared" si="0"/>
        <v>0</v>
      </c>
      <c r="I20" s="60">
        <v>1</v>
      </c>
    </row>
    <row r="21" spans="1:17" x14ac:dyDescent="0.45">
      <c r="A21" s="21" t="s">
        <v>12</v>
      </c>
      <c r="B21" s="14">
        <v>3</v>
      </c>
      <c r="C21" s="8">
        <f>IF(B$19=0,0,B21/B$19)</f>
        <v>0.3</v>
      </c>
      <c r="E21" s="29" t="s">
        <v>77</v>
      </c>
      <c r="F21" s="26" t="s">
        <v>32</v>
      </c>
      <c r="G21" s="14">
        <v>0</v>
      </c>
      <c r="H21" s="92">
        <f t="shared" si="0"/>
        <v>0</v>
      </c>
      <c r="I21" s="60">
        <v>3</v>
      </c>
    </row>
    <row r="22" spans="1:17" x14ac:dyDescent="0.45">
      <c r="A22" s="21" t="s">
        <v>11</v>
      </c>
      <c r="B22" s="14">
        <v>7</v>
      </c>
      <c r="C22" s="8">
        <f>IF(B$19=0,0,B22/B$19)</f>
        <v>0.7</v>
      </c>
      <c r="E22" s="29" t="s">
        <v>79</v>
      </c>
      <c r="F22" s="26" t="s">
        <v>34</v>
      </c>
      <c r="G22" s="14">
        <v>0</v>
      </c>
      <c r="H22" s="92">
        <f t="shared" si="0"/>
        <v>0</v>
      </c>
      <c r="I22" s="60">
        <v>4</v>
      </c>
    </row>
    <row r="23" spans="1:17" x14ac:dyDescent="0.45">
      <c r="A23" s="21" t="s">
        <v>184</v>
      </c>
      <c r="B23" s="14">
        <v>3</v>
      </c>
      <c r="C23" s="8">
        <f>IF(B$19=0,0,B23/B$19)</f>
        <v>0.3</v>
      </c>
      <c r="E23" s="29" t="s">
        <v>80</v>
      </c>
      <c r="F23" s="26" t="s">
        <v>35</v>
      </c>
      <c r="G23" s="14">
        <v>0</v>
      </c>
      <c r="H23" s="92">
        <f t="shared" si="0"/>
        <v>0</v>
      </c>
      <c r="I23" s="60">
        <v>1</v>
      </c>
    </row>
    <row r="24" spans="1:17" x14ac:dyDescent="0.45">
      <c r="A24" s="21" t="s">
        <v>182</v>
      </c>
      <c r="B24" s="14">
        <v>4</v>
      </c>
      <c r="C24" s="8">
        <f>IF(B$19=0,0,B24/B$19)</f>
        <v>0.4</v>
      </c>
      <c r="E24" s="29" t="s">
        <v>82</v>
      </c>
      <c r="F24" s="26" t="s">
        <v>37</v>
      </c>
      <c r="G24" s="14">
        <v>0</v>
      </c>
      <c r="H24" s="92">
        <f t="shared" si="0"/>
        <v>0</v>
      </c>
      <c r="I24" s="60">
        <v>1</v>
      </c>
    </row>
    <row r="25" spans="1:17" x14ac:dyDescent="0.45">
      <c r="A25" s="21" t="s">
        <v>183</v>
      </c>
      <c r="B25" s="14">
        <v>3</v>
      </c>
      <c r="C25" s="8">
        <f>IF(B$19=0,0,B25/B$19)</f>
        <v>0.3</v>
      </c>
      <c r="E25" s="29" t="s">
        <v>84</v>
      </c>
      <c r="F25" s="26" t="s">
        <v>39</v>
      </c>
      <c r="G25" s="14">
        <v>0</v>
      </c>
      <c r="H25" s="92">
        <f t="shared" si="0"/>
        <v>0</v>
      </c>
      <c r="I25" s="60">
        <v>1</v>
      </c>
    </row>
    <row r="26" spans="1:17" x14ac:dyDescent="0.45">
      <c r="A26" s="21" t="s">
        <v>5</v>
      </c>
      <c r="B26" s="18">
        <f>IF(B$19=0,0,C26/B$19)</f>
        <v>7340</v>
      </c>
      <c r="C26" s="10">
        <v>73400</v>
      </c>
      <c r="E26" s="29" t="s">
        <v>85</v>
      </c>
      <c r="F26" s="26" t="s">
        <v>40</v>
      </c>
      <c r="G26" s="14">
        <v>0</v>
      </c>
      <c r="H26" s="92">
        <f t="shared" si="0"/>
        <v>0</v>
      </c>
      <c r="I26" s="60">
        <v>3</v>
      </c>
    </row>
    <row r="27" spans="1:17" x14ac:dyDescent="0.45">
      <c r="A27" s="22" t="s">
        <v>166</v>
      </c>
      <c r="B27" s="99">
        <f>IF($B$19-B$18=0,0,C27/($B$19-B$18))</f>
        <v>7916.666666666667</v>
      </c>
      <c r="C27" s="100">
        <v>47500</v>
      </c>
      <c r="E27" s="29" t="s">
        <v>87</v>
      </c>
      <c r="F27" s="26" t="s">
        <v>42</v>
      </c>
      <c r="G27" s="14">
        <v>0</v>
      </c>
      <c r="H27" s="92">
        <f t="shared" si="0"/>
        <v>0</v>
      </c>
      <c r="I27" s="60">
        <v>1</v>
      </c>
    </row>
    <row r="28" spans="1:17" x14ac:dyDescent="0.45">
      <c r="A28" s="22" t="s">
        <v>167</v>
      </c>
      <c r="B28" s="99">
        <f>IF(B$18=0,0,C28/B$18)</f>
        <v>6475</v>
      </c>
      <c r="C28" s="100">
        <v>25900</v>
      </c>
      <c r="E28" s="29" t="s">
        <v>88</v>
      </c>
      <c r="F28" s="26" t="s">
        <v>43</v>
      </c>
      <c r="G28" s="14">
        <v>0</v>
      </c>
      <c r="H28" s="92">
        <f t="shared" si="0"/>
        <v>0</v>
      </c>
      <c r="I28" s="60">
        <v>1</v>
      </c>
    </row>
    <row r="29" spans="1:17" x14ac:dyDescent="0.45">
      <c r="A29" s="22" t="s">
        <v>165</v>
      </c>
      <c r="B29" s="99">
        <f>IF(B$20=0,0,C29/B$20)</f>
        <v>-12463.636363636364</v>
      </c>
      <c r="C29" s="100">
        <v>-137100</v>
      </c>
      <c r="E29" s="29" t="s">
        <v>90</v>
      </c>
      <c r="F29" s="26" t="s">
        <v>45</v>
      </c>
      <c r="G29" s="14">
        <v>0</v>
      </c>
      <c r="H29" s="92">
        <f t="shared" si="0"/>
        <v>0</v>
      </c>
      <c r="I29" s="60">
        <v>1</v>
      </c>
    </row>
    <row r="30" spans="1:17" x14ac:dyDescent="0.45">
      <c r="A30" s="21" t="s">
        <v>158</v>
      </c>
      <c r="B30" s="14">
        <v>3</v>
      </c>
      <c r="C30" s="94">
        <v>0</v>
      </c>
      <c r="E30" s="29" t="s">
        <v>91</v>
      </c>
      <c r="F30" s="26" t="s">
        <v>46</v>
      </c>
      <c r="G30" s="14">
        <v>0</v>
      </c>
      <c r="H30" s="92">
        <f t="shared" si="0"/>
        <v>0</v>
      </c>
      <c r="I30" s="60">
        <v>4</v>
      </c>
    </row>
    <row r="31" spans="1:17" x14ac:dyDescent="0.45">
      <c r="A31" s="21" t="s">
        <v>159</v>
      </c>
      <c r="B31" s="14">
        <v>7</v>
      </c>
      <c r="C31" s="94">
        <v>1</v>
      </c>
      <c r="E31" s="29" t="s">
        <v>92</v>
      </c>
      <c r="F31" s="26" t="s">
        <v>47</v>
      </c>
      <c r="G31" s="14">
        <v>0</v>
      </c>
      <c r="H31" s="92">
        <f t="shared" si="0"/>
        <v>0</v>
      </c>
      <c r="I31" s="60">
        <v>3</v>
      </c>
    </row>
    <row r="32" spans="1:17" x14ac:dyDescent="0.45">
      <c r="A32" s="56" t="s">
        <v>136</v>
      </c>
      <c r="B32" s="141">
        <v>4</v>
      </c>
      <c r="C32" s="142"/>
      <c r="E32" s="29" t="s">
        <v>93</v>
      </c>
      <c r="F32" s="26" t="s">
        <v>48</v>
      </c>
      <c r="G32" s="14">
        <v>0</v>
      </c>
      <c r="H32" s="92">
        <f t="shared" si="0"/>
        <v>0</v>
      </c>
      <c r="I32" s="60">
        <v>1</v>
      </c>
    </row>
    <row r="33" spans="1:9" x14ac:dyDescent="0.45">
      <c r="A33" s="24" t="s">
        <v>181</v>
      </c>
      <c r="B33" s="143">
        <v>58600</v>
      </c>
      <c r="C33" s="144"/>
      <c r="E33" s="29" t="s">
        <v>94</v>
      </c>
      <c r="F33" s="26" t="s">
        <v>49</v>
      </c>
      <c r="G33" s="14">
        <v>0</v>
      </c>
      <c r="H33" s="92">
        <f t="shared" si="0"/>
        <v>0</v>
      </c>
      <c r="I33" s="60">
        <v>1</v>
      </c>
    </row>
    <row r="34" spans="1:9" x14ac:dyDescent="0.45">
      <c r="A34" s="23" t="s">
        <v>137</v>
      </c>
      <c r="B34" s="31">
        <v>1</v>
      </c>
      <c r="C34" s="11">
        <f>IF(B$3=0,0,B34/B$3)</f>
        <v>1.9607843137254902E-2</v>
      </c>
      <c r="E34" s="29" t="s">
        <v>95</v>
      </c>
      <c r="F34" s="26" t="s">
        <v>50</v>
      </c>
      <c r="G34" s="14">
        <v>0</v>
      </c>
      <c r="H34" s="92">
        <f t="shared" ref="H34:H65" si="3">IF(B$19=0,0,G34/B$19)</f>
        <v>0</v>
      </c>
      <c r="I34" s="60">
        <v>1</v>
      </c>
    </row>
    <row r="35" spans="1:9" x14ac:dyDescent="0.45">
      <c r="E35" s="29" t="s">
        <v>96</v>
      </c>
      <c r="F35" s="26" t="s">
        <v>51</v>
      </c>
      <c r="G35" s="14">
        <v>0</v>
      </c>
      <c r="H35" s="92">
        <f t="shared" si="3"/>
        <v>0</v>
      </c>
      <c r="I35" s="60">
        <v>1</v>
      </c>
    </row>
    <row r="36" spans="1:9" x14ac:dyDescent="0.45">
      <c r="A36" s="56" t="s">
        <v>172</v>
      </c>
      <c r="B36" s="121">
        <v>1</v>
      </c>
      <c r="C36" s="102">
        <f t="shared" ref="C36:C48" si="4">IF(B$19=0,0,B36/B$19)</f>
        <v>0.1</v>
      </c>
      <c r="E36" s="29" t="s">
        <v>97</v>
      </c>
      <c r="F36" s="26" t="s">
        <v>52</v>
      </c>
      <c r="G36" s="14">
        <v>0</v>
      </c>
      <c r="H36" s="92">
        <f t="shared" si="3"/>
        <v>0</v>
      </c>
      <c r="I36" s="60">
        <v>1</v>
      </c>
    </row>
    <row r="37" spans="1:9" x14ac:dyDescent="0.45">
      <c r="A37" s="21" t="s">
        <v>168</v>
      </c>
      <c r="B37" s="14">
        <v>2</v>
      </c>
      <c r="C37" s="8">
        <f t="shared" si="4"/>
        <v>0.2</v>
      </c>
      <c r="E37" s="29" t="s">
        <v>98</v>
      </c>
      <c r="F37" s="26" t="s">
        <v>53</v>
      </c>
      <c r="G37" s="14">
        <v>0</v>
      </c>
      <c r="H37" s="92">
        <f t="shared" si="3"/>
        <v>0</v>
      </c>
      <c r="I37" s="60">
        <v>1</v>
      </c>
    </row>
    <row r="38" spans="1:9" x14ac:dyDescent="0.45">
      <c r="A38" s="21" t="s">
        <v>169</v>
      </c>
      <c r="B38" s="122">
        <v>3</v>
      </c>
      <c r="C38" s="8">
        <f t="shared" si="4"/>
        <v>0.3</v>
      </c>
      <c r="E38" s="29" t="s">
        <v>99</v>
      </c>
      <c r="F38" s="26" t="s">
        <v>54</v>
      </c>
      <c r="G38" s="14">
        <v>0</v>
      </c>
      <c r="H38" s="92">
        <f t="shared" si="3"/>
        <v>0</v>
      </c>
      <c r="I38" s="60">
        <v>1</v>
      </c>
    </row>
    <row r="39" spans="1:9" x14ac:dyDescent="0.45">
      <c r="A39" s="21" t="s">
        <v>170</v>
      </c>
      <c r="B39" s="122">
        <v>0</v>
      </c>
      <c r="C39" s="8">
        <f t="shared" si="4"/>
        <v>0</v>
      </c>
      <c r="E39" s="29" t="s">
        <v>100</v>
      </c>
      <c r="F39" s="26" t="s">
        <v>55</v>
      </c>
      <c r="G39" s="14">
        <v>0</v>
      </c>
      <c r="H39" s="92">
        <f t="shared" si="3"/>
        <v>0</v>
      </c>
      <c r="I39" s="60">
        <v>1</v>
      </c>
    </row>
    <row r="40" spans="1:9" x14ac:dyDescent="0.45">
      <c r="A40" s="21" t="s">
        <v>171</v>
      </c>
      <c r="B40" s="122">
        <v>3</v>
      </c>
      <c r="C40" s="8">
        <f t="shared" si="4"/>
        <v>0.3</v>
      </c>
      <c r="E40" s="29" t="s">
        <v>101</v>
      </c>
      <c r="F40" s="26" t="s">
        <v>56</v>
      </c>
      <c r="G40" s="14">
        <v>0</v>
      </c>
      <c r="H40" s="92">
        <f t="shared" si="3"/>
        <v>0</v>
      </c>
      <c r="I40" s="60">
        <v>1</v>
      </c>
    </row>
    <row r="41" spans="1:9" x14ac:dyDescent="0.45">
      <c r="A41" s="21" t="s">
        <v>173</v>
      </c>
      <c r="B41" s="122">
        <v>1</v>
      </c>
      <c r="C41" s="8">
        <f t="shared" si="4"/>
        <v>0.1</v>
      </c>
      <c r="E41" s="29" t="s">
        <v>102</v>
      </c>
      <c r="F41" s="26" t="s">
        <v>57</v>
      </c>
      <c r="G41" s="14">
        <v>0</v>
      </c>
      <c r="H41" s="92">
        <f t="shared" si="3"/>
        <v>0</v>
      </c>
      <c r="I41" s="60">
        <v>1</v>
      </c>
    </row>
    <row r="42" spans="1:9" x14ac:dyDescent="0.45">
      <c r="A42" s="21" t="s">
        <v>174</v>
      </c>
      <c r="B42" s="122">
        <v>0</v>
      </c>
      <c r="C42" s="8">
        <f t="shared" si="4"/>
        <v>0</v>
      </c>
      <c r="E42" s="29" t="s">
        <v>103</v>
      </c>
      <c r="F42" s="26" t="s">
        <v>58</v>
      </c>
      <c r="G42" s="14">
        <v>0</v>
      </c>
      <c r="H42" s="92">
        <f t="shared" si="3"/>
        <v>0</v>
      </c>
      <c r="I42" s="60">
        <v>1</v>
      </c>
    </row>
    <row r="43" spans="1:9" x14ac:dyDescent="0.45">
      <c r="A43" s="21" t="s">
        <v>175</v>
      </c>
      <c r="B43" s="122">
        <v>0</v>
      </c>
      <c r="C43" s="8">
        <f t="shared" si="4"/>
        <v>0</v>
      </c>
      <c r="E43" s="29" t="s">
        <v>104</v>
      </c>
      <c r="F43" s="26" t="s">
        <v>59</v>
      </c>
      <c r="G43" s="14">
        <v>0</v>
      </c>
      <c r="H43" s="92">
        <f t="shared" si="3"/>
        <v>0</v>
      </c>
      <c r="I43" s="60">
        <v>1</v>
      </c>
    </row>
    <row r="44" spans="1:9" x14ac:dyDescent="0.45">
      <c r="A44" s="21" t="s">
        <v>176</v>
      </c>
      <c r="B44" s="122">
        <v>0</v>
      </c>
      <c r="C44" s="8">
        <f t="shared" si="4"/>
        <v>0</v>
      </c>
      <c r="E44" s="29" t="s">
        <v>105</v>
      </c>
      <c r="F44" s="26" t="s">
        <v>112</v>
      </c>
      <c r="G44" s="14">
        <v>0</v>
      </c>
      <c r="H44" s="92">
        <f t="shared" si="3"/>
        <v>0</v>
      </c>
      <c r="I44" s="60">
        <v>1</v>
      </c>
    </row>
    <row r="45" spans="1:9" x14ac:dyDescent="0.45">
      <c r="A45" s="21" t="s">
        <v>177</v>
      </c>
      <c r="B45" s="122">
        <v>0</v>
      </c>
      <c r="C45" s="8">
        <f t="shared" si="4"/>
        <v>0</v>
      </c>
      <c r="E45" s="29" t="s">
        <v>106</v>
      </c>
      <c r="F45" s="26" t="s">
        <v>113</v>
      </c>
      <c r="G45" s="14">
        <v>0</v>
      </c>
      <c r="H45" s="92">
        <f t="shared" si="3"/>
        <v>0</v>
      </c>
      <c r="I45" s="60">
        <v>1</v>
      </c>
    </row>
    <row r="46" spans="1:9" x14ac:dyDescent="0.45">
      <c r="A46" s="21" t="s">
        <v>178</v>
      </c>
      <c r="B46" s="122">
        <v>0</v>
      </c>
      <c r="C46" s="8">
        <f t="shared" si="4"/>
        <v>0</v>
      </c>
      <c r="E46" s="29" t="s">
        <v>107</v>
      </c>
      <c r="F46" s="26" t="s">
        <v>114</v>
      </c>
      <c r="G46" s="14">
        <v>0</v>
      </c>
      <c r="H46" s="92">
        <f t="shared" si="3"/>
        <v>0</v>
      </c>
      <c r="I46" s="60">
        <v>1</v>
      </c>
    </row>
    <row r="47" spans="1:9" x14ac:dyDescent="0.45">
      <c r="A47" s="21" t="s">
        <v>179</v>
      </c>
      <c r="B47" s="122">
        <v>0</v>
      </c>
      <c r="C47" s="8">
        <f t="shared" si="4"/>
        <v>0</v>
      </c>
      <c r="E47" s="29" t="s">
        <v>108</v>
      </c>
      <c r="F47" s="26" t="s">
        <v>60</v>
      </c>
      <c r="G47" s="14">
        <v>0</v>
      </c>
      <c r="H47" s="92">
        <f t="shared" si="3"/>
        <v>0</v>
      </c>
      <c r="I47" s="60">
        <v>1</v>
      </c>
    </row>
    <row r="48" spans="1:9" x14ac:dyDescent="0.45">
      <c r="A48" s="23" t="s">
        <v>180</v>
      </c>
      <c r="B48" s="101">
        <v>0</v>
      </c>
      <c r="C48" s="11">
        <f t="shared" si="4"/>
        <v>0</v>
      </c>
      <c r="E48" s="29" t="s">
        <v>109</v>
      </c>
      <c r="F48" s="26" t="s">
        <v>61</v>
      </c>
      <c r="G48" s="14">
        <v>0</v>
      </c>
      <c r="H48" s="92">
        <f t="shared" si="3"/>
        <v>0</v>
      </c>
      <c r="I48" s="60">
        <v>1</v>
      </c>
    </row>
    <row r="49" spans="5:9" x14ac:dyDescent="0.45">
      <c r="E49" s="29" t="s">
        <v>110</v>
      </c>
      <c r="F49" s="26" t="s">
        <v>62</v>
      </c>
      <c r="G49" s="14">
        <v>0</v>
      </c>
      <c r="H49" s="92">
        <f t="shared" si="3"/>
        <v>0</v>
      </c>
      <c r="I49" s="60">
        <v>1</v>
      </c>
    </row>
    <row r="50" spans="5:9" x14ac:dyDescent="0.45">
      <c r="E50" s="29" t="s">
        <v>111</v>
      </c>
      <c r="F50" s="26" t="s">
        <v>63</v>
      </c>
      <c r="G50" s="14">
        <v>0</v>
      </c>
      <c r="H50" s="92">
        <f t="shared" si="3"/>
        <v>0</v>
      </c>
      <c r="I50" s="60">
        <v>1</v>
      </c>
    </row>
    <row r="51" spans="5:9" x14ac:dyDescent="0.45">
      <c r="E51" s="95" t="s">
        <v>156</v>
      </c>
      <c r="F51" s="96" t="s">
        <v>157</v>
      </c>
      <c r="G51" s="15">
        <v>0</v>
      </c>
      <c r="H51" s="97">
        <f t="shared" si="3"/>
        <v>0</v>
      </c>
      <c r="I51" s="98">
        <v>4</v>
      </c>
    </row>
    <row r="52" spans="5:9" x14ac:dyDescent="0.45">
      <c r="E52" s="30" t="s">
        <v>162</v>
      </c>
      <c r="F52" s="27" t="s">
        <v>163</v>
      </c>
      <c r="G52" s="16">
        <v>0</v>
      </c>
      <c r="H52" s="93">
        <f t="shared" si="3"/>
        <v>0</v>
      </c>
      <c r="I52" s="61">
        <v>1</v>
      </c>
    </row>
  </sheetData>
  <sortState xmlns:xlrd2="http://schemas.microsoft.com/office/spreadsheetml/2017/richdata2" ref="E2:I53">
    <sortCondition descending="1" ref="H1"/>
  </sortState>
  <mergeCells count="9">
    <mergeCell ref="B13:C13"/>
    <mergeCell ref="B32:C32"/>
    <mergeCell ref="B33:C33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967F6D-0431-4D85-85FC-8CA8342042F4}">
  <sheetPr codeName="Sheet11"/>
  <dimension ref="A1:Q52"/>
  <sheetViews>
    <sheetView showGridLines="0" zoomScaleNormal="100" workbookViewId="0"/>
  </sheetViews>
  <sheetFormatPr defaultColWidth="9" defaultRowHeight="18" x14ac:dyDescent="0.45"/>
  <cols>
    <col min="1" max="1" width="13" style="107" customWidth="1"/>
    <col min="2" max="3" width="9" style="107" customWidth="1"/>
    <col min="4" max="4" width="3.59765625" style="107" customWidth="1"/>
    <col min="5" max="5" width="3.59765625" style="116" bestFit="1" customWidth="1"/>
    <col min="6" max="6" width="11" style="111" bestFit="1" customWidth="1"/>
    <col min="7" max="9" width="9" style="107" customWidth="1"/>
    <col min="10" max="10" width="3.59765625" style="107" customWidth="1"/>
    <col min="11" max="11" width="3.5" style="7" customWidth="1"/>
    <col min="12" max="12" width="9" style="65" customWidth="1"/>
    <col min="13" max="13" width="3.59765625" style="107" customWidth="1"/>
    <col min="14" max="14" width="9" style="78" customWidth="1"/>
    <col min="15" max="15" width="9" style="87" customWidth="1"/>
    <col min="16" max="16" width="9" style="81" customWidth="1"/>
    <col min="17" max="17" width="3.59765625" style="72" customWidth="1"/>
    <col min="18" max="16384" width="9" style="107"/>
  </cols>
  <sheetData>
    <row r="1" spans="1:17" x14ac:dyDescent="0.45">
      <c r="A1" s="19" t="s">
        <v>0</v>
      </c>
      <c r="B1" s="145" t="s">
        <v>190</v>
      </c>
      <c r="C1" s="146"/>
      <c r="E1" s="108" t="s">
        <v>155</v>
      </c>
      <c r="F1" s="120" t="s">
        <v>115</v>
      </c>
      <c r="G1" s="119" t="s">
        <v>116</v>
      </c>
      <c r="H1" s="90" t="s">
        <v>117</v>
      </c>
      <c r="I1" s="120" t="s">
        <v>146</v>
      </c>
      <c r="K1" s="4" t="s">
        <v>19</v>
      </c>
      <c r="L1" s="120" t="s">
        <v>120</v>
      </c>
      <c r="M1" s="109"/>
      <c r="N1" s="76" t="s">
        <v>134</v>
      </c>
      <c r="O1" s="4" t="s">
        <v>135</v>
      </c>
      <c r="P1" s="110" t="s">
        <v>116</v>
      </c>
      <c r="Q1" s="66" t="s">
        <v>148</v>
      </c>
    </row>
    <row r="2" spans="1:17" x14ac:dyDescent="0.45">
      <c r="A2" s="20" t="s">
        <v>9</v>
      </c>
      <c r="B2" s="147">
        <v>6</v>
      </c>
      <c r="C2" s="148"/>
      <c r="E2" s="28" t="s">
        <v>72</v>
      </c>
      <c r="F2" s="25" t="s">
        <v>27</v>
      </c>
      <c r="G2" s="13">
        <v>18</v>
      </c>
      <c r="H2" s="91">
        <f t="shared" ref="H2:H33" si="0">IF(B$19=0,0,G2/B$19)</f>
        <v>1</v>
      </c>
      <c r="I2" s="59">
        <v>1</v>
      </c>
      <c r="K2" s="5">
        <v>0</v>
      </c>
      <c r="L2" s="64">
        <v>0</v>
      </c>
      <c r="N2" s="77" t="s">
        <v>128</v>
      </c>
      <c r="O2" s="83">
        <f t="shared" ref="O2:O7" si="1">IF(P2=0,0,Q2/P2)</f>
        <v>1750</v>
      </c>
      <c r="P2" s="80">
        <v>6</v>
      </c>
      <c r="Q2" s="67">
        <v>10500</v>
      </c>
    </row>
    <row r="3" spans="1:17" x14ac:dyDescent="0.45">
      <c r="A3" s="21" t="s">
        <v>8</v>
      </c>
      <c r="B3" s="149">
        <v>53</v>
      </c>
      <c r="C3" s="150"/>
      <c r="E3" s="29" t="s">
        <v>66</v>
      </c>
      <c r="F3" s="26" t="s">
        <v>22</v>
      </c>
      <c r="G3" s="14">
        <v>10</v>
      </c>
      <c r="H3" s="92">
        <f t="shared" si="0"/>
        <v>0.55555555555555558</v>
      </c>
      <c r="I3" s="60">
        <v>9</v>
      </c>
      <c r="K3" s="7">
        <v>1</v>
      </c>
      <c r="L3" s="65">
        <v>10.1</v>
      </c>
      <c r="N3" s="78" t="s">
        <v>129</v>
      </c>
      <c r="O3" s="84">
        <f t="shared" si="1"/>
        <v>-2783.3333333333335</v>
      </c>
      <c r="P3" s="81">
        <v>6</v>
      </c>
      <c r="Q3" s="68">
        <v>-16700</v>
      </c>
    </row>
    <row r="4" spans="1:17" x14ac:dyDescent="0.45">
      <c r="A4" s="21" t="s">
        <v>6</v>
      </c>
      <c r="B4" s="151">
        <v>24.7</v>
      </c>
      <c r="C4" s="152"/>
      <c r="E4" s="29" t="s">
        <v>67</v>
      </c>
      <c r="F4" s="26" t="s">
        <v>23</v>
      </c>
      <c r="G4" s="14">
        <v>10</v>
      </c>
      <c r="H4" s="92">
        <f t="shared" si="0"/>
        <v>0.55555555555555558</v>
      </c>
      <c r="I4" s="60">
        <v>2</v>
      </c>
      <c r="K4" s="7">
        <v>2</v>
      </c>
      <c r="L4" s="65">
        <v>36.4</v>
      </c>
      <c r="N4" s="78" t="s">
        <v>130</v>
      </c>
      <c r="O4" s="84">
        <f t="shared" si="1"/>
        <v>583.33333333333337</v>
      </c>
      <c r="P4" s="81">
        <v>6</v>
      </c>
      <c r="Q4" s="68">
        <v>3500</v>
      </c>
    </row>
    <row r="5" spans="1:17" x14ac:dyDescent="0.45">
      <c r="A5" s="21" t="s">
        <v>7</v>
      </c>
      <c r="B5" s="139">
        <f>IF(B$2=0,0,B$4/B$2)</f>
        <v>4.1166666666666663</v>
      </c>
      <c r="C5" s="140"/>
      <c r="E5" s="29" t="s">
        <v>160</v>
      </c>
      <c r="F5" s="26" t="s">
        <v>161</v>
      </c>
      <c r="G5" s="14">
        <v>8</v>
      </c>
      <c r="H5" s="92">
        <f t="shared" si="0"/>
        <v>0.44444444444444442</v>
      </c>
      <c r="I5" s="60">
        <v>3</v>
      </c>
      <c r="K5" s="7">
        <v>3</v>
      </c>
      <c r="L5" s="65">
        <v>36.4</v>
      </c>
      <c r="N5" s="78" t="s">
        <v>131</v>
      </c>
      <c r="O5" s="84">
        <f t="shared" si="1"/>
        <v>-150</v>
      </c>
      <c r="P5" s="81">
        <v>6</v>
      </c>
      <c r="Q5" s="68">
        <v>-900</v>
      </c>
    </row>
    <row r="6" spans="1:17" x14ac:dyDescent="0.45">
      <c r="A6" s="21" t="s">
        <v>1</v>
      </c>
      <c r="B6" s="153">
        <f>IF(B$2=0,0,(B$7*1+B$8*2+B$9*3)/B$2)</f>
        <v>2</v>
      </c>
      <c r="C6" s="154"/>
      <c r="E6" s="29" t="s">
        <v>64</v>
      </c>
      <c r="F6" s="26" t="s">
        <v>20</v>
      </c>
      <c r="G6" s="14">
        <v>7</v>
      </c>
      <c r="H6" s="92">
        <f t="shared" si="0"/>
        <v>0.3888888888888889</v>
      </c>
      <c r="I6" s="60">
        <v>6</v>
      </c>
      <c r="K6" s="7">
        <v>4</v>
      </c>
      <c r="L6" s="65">
        <v>13.299999999999997</v>
      </c>
      <c r="N6" s="78" t="s">
        <v>132</v>
      </c>
      <c r="O6" s="84">
        <f t="shared" si="1"/>
        <v>3350</v>
      </c>
      <c r="P6" s="81">
        <v>6</v>
      </c>
      <c r="Q6" s="68">
        <v>20100</v>
      </c>
    </row>
    <row r="7" spans="1:17" x14ac:dyDescent="0.45">
      <c r="A7" s="21" t="s">
        <v>2</v>
      </c>
      <c r="B7" s="14">
        <v>1</v>
      </c>
      <c r="C7" s="8">
        <f t="shared" ref="C7:C14" si="2">IF(B$2=0,0,B7/B$2)</f>
        <v>0.16666666666666666</v>
      </c>
      <c r="E7" s="29" t="s">
        <v>68</v>
      </c>
      <c r="F7" s="26" t="s">
        <v>12</v>
      </c>
      <c r="G7" s="14">
        <v>6</v>
      </c>
      <c r="H7" s="92">
        <f t="shared" si="0"/>
        <v>0.33333333333333331</v>
      </c>
      <c r="I7" s="60">
        <v>3</v>
      </c>
      <c r="K7" s="7">
        <v>5</v>
      </c>
      <c r="L7" s="65">
        <v>8.0999999999999979</v>
      </c>
      <c r="N7" s="79" t="s">
        <v>133</v>
      </c>
      <c r="O7" s="85">
        <f t="shared" si="1"/>
        <v>2300</v>
      </c>
      <c r="P7" s="82">
        <v>4</v>
      </c>
      <c r="Q7" s="69">
        <v>9200</v>
      </c>
    </row>
    <row r="8" spans="1:17" x14ac:dyDescent="0.45">
      <c r="A8" s="21" t="s">
        <v>3</v>
      </c>
      <c r="B8" s="14">
        <v>4</v>
      </c>
      <c r="C8" s="8">
        <f t="shared" si="2"/>
        <v>0.66666666666666663</v>
      </c>
      <c r="E8" s="29" t="s">
        <v>89</v>
      </c>
      <c r="F8" s="26" t="s">
        <v>44</v>
      </c>
      <c r="G8" s="14">
        <v>3</v>
      </c>
      <c r="H8" s="92">
        <f t="shared" si="0"/>
        <v>0.16666666666666666</v>
      </c>
      <c r="I8" s="60">
        <v>7</v>
      </c>
      <c r="K8" s="7">
        <v>6</v>
      </c>
      <c r="L8" s="65">
        <v>24.7</v>
      </c>
      <c r="N8" s="111"/>
      <c r="O8" s="89"/>
      <c r="P8" s="112"/>
      <c r="Q8" s="74"/>
    </row>
    <row r="9" spans="1:17" x14ac:dyDescent="0.45">
      <c r="A9" s="22" t="s">
        <v>4</v>
      </c>
      <c r="B9" s="15">
        <v>1</v>
      </c>
      <c r="C9" s="9">
        <f t="shared" si="2"/>
        <v>0.16666666666666666</v>
      </c>
      <c r="E9" s="29" t="s">
        <v>65</v>
      </c>
      <c r="F9" s="26" t="s">
        <v>21</v>
      </c>
      <c r="G9" s="14">
        <v>2</v>
      </c>
      <c r="H9" s="92">
        <f t="shared" si="0"/>
        <v>0.1111111111111111</v>
      </c>
      <c r="I9" s="60">
        <v>4</v>
      </c>
      <c r="N9" s="76" t="s">
        <v>151</v>
      </c>
      <c r="O9" s="4" t="s">
        <v>120</v>
      </c>
      <c r="P9" s="110" t="s">
        <v>116</v>
      </c>
      <c r="Q9" s="70" t="s">
        <v>148</v>
      </c>
    </row>
    <row r="10" spans="1:17" x14ac:dyDescent="0.45">
      <c r="A10" s="22" t="s">
        <v>185</v>
      </c>
      <c r="B10" s="113">
        <f>IF(B7=0,0,C10/B7)</f>
        <v>16.600000000000001</v>
      </c>
      <c r="C10" s="114">
        <v>16.600000000000001</v>
      </c>
      <c r="E10" s="29" t="s">
        <v>70</v>
      </c>
      <c r="F10" s="26" t="s">
        <v>25</v>
      </c>
      <c r="G10" s="14">
        <v>1</v>
      </c>
      <c r="H10" s="92">
        <f t="shared" si="0"/>
        <v>5.5555555555555552E-2</v>
      </c>
      <c r="I10" s="60">
        <v>7</v>
      </c>
      <c r="N10" s="77" t="s">
        <v>152</v>
      </c>
      <c r="O10" s="86">
        <f>IF(P10=0,0,Q10/P10)</f>
        <v>6.6000000000000005</v>
      </c>
      <c r="P10" s="80">
        <v>3</v>
      </c>
      <c r="Q10" s="71">
        <v>19.8</v>
      </c>
    </row>
    <row r="11" spans="1:17" x14ac:dyDescent="0.45">
      <c r="A11" s="22" t="s">
        <v>186</v>
      </c>
      <c r="B11" s="113">
        <f>IF(B8=0,0,C11/B8)</f>
        <v>7.8</v>
      </c>
      <c r="C11" s="114">
        <v>31.2</v>
      </c>
      <c r="E11" s="29" t="s">
        <v>71</v>
      </c>
      <c r="F11" s="26" t="s">
        <v>26</v>
      </c>
      <c r="G11" s="14">
        <v>1</v>
      </c>
      <c r="H11" s="92">
        <f t="shared" si="0"/>
        <v>5.5555555555555552E-2</v>
      </c>
      <c r="I11" s="60">
        <v>4</v>
      </c>
      <c r="N11" s="78" t="s">
        <v>153</v>
      </c>
      <c r="O11" s="87">
        <f>IF(P11=0,0,Q11/P11)</f>
        <v>-5.2</v>
      </c>
      <c r="P11" s="81">
        <v>1</v>
      </c>
      <c r="Q11" s="72">
        <v>-5.2</v>
      </c>
    </row>
    <row r="12" spans="1:17" x14ac:dyDescent="0.45">
      <c r="A12" s="22" t="s">
        <v>187</v>
      </c>
      <c r="B12" s="113">
        <f>IF(B9=0,0,C12/B9)</f>
        <v>-23.1</v>
      </c>
      <c r="C12" s="114">
        <v>-23.1</v>
      </c>
      <c r="E12" s="29" t="s">
        <v>83</v>
      </c>
      <c r="F12" s="26" t="s">
        <v>38</v>
      </c>
      <c r="G12" s="14">
        <v>1</v>
      </c>
      <c r="H12" s="92">
        <f t="shared" si="0"/>
        <v>5.5555555555555552E-2</v>
      </c>
      <c r="I12" s="60">
        <v>6</v>
      </c>
      <c r="N12" s="79" t="s">
        <v>154</v>
      </c>
      <c r="O12" s="88">
        <f>IF(P12=0,0,Q12/P12)</f>
        <v>5.05</v>
      </c>
      <c r="P12" s="82">
        <v>2</v>
      </c>
      <c r="Q12" s="73">
        <v>10.1</v>
      </c>
    </row>
    <row r="13" spans="1:17" x14ac:dyDescent="0.45">
      <c r="A13" s="22" t="s">
        <v>188</v>
      </c>
      <c r="B13" s="139">
        <f>AVERAGE(B10:B12)</f>
        <v>0.43333333333333357</v>
      </c>
      <c r="C13" s="140"/>
      <c r="E13" s="29" t="s">
        <v>86</v>
      </c>
      <c r="F13" s="26" t="s">
        <v>41</v>
      </c>
      <c r="G13" s="14">
        <v>1</v>
      </c>
      <c r="H13" s="92">
        <f t="shared" si="0"/>
        <v>5.5555555555555552E-2</v>
      </c>
      <c r="I13" s="60">
        <v>3</v>
      </c>
      <c r="N13" s="107"/>
      <c r="O13" s="75"/>
      <c r="P13" s="115"/>
      <c r="Q13" s="75"/>
    </row>
    <row r="14" spans="1:17" x14ac:dyDescent="0.45">
      <c r="A14" s="23" t="s">
        <v>18</v>
      </c>
      <c r="B14" s="16">
        <v>0</v>
      </c>
      <c r="C14" s="11">
        <f t="shared" si="2"/>
        <v>0</v>
      </c>
      <c r="E14" s="29" t="s">
        <v>91</v>
      </c>
      <c r="F14" s="26" t="s">
        <v>46</v>
      </c>
      <c r="G14" s="14">
        <v>1</v>
      </c>
      <c r="H14" s="92">
        <f t="shared" si="0"/>
        <v>5.5555555555555552E-2</v>
      </c>
      <c r="I14" s="60">
        <v>2</v>
      </c>
      <c r="N14" s="76" t="s">
        <v>147</v>
      </c>
      <c r="O14" s="4" t="s">
        <v>120</v>
      </c>
      <c r="P14" s="110" t="s">
        <v>116</v>
      </c>
      <c r="Q14" s="70" t="s">
        <v>148</v>
      </c>
    </row>
    <row r="15" spans="1:17" x14ac:dyDescent="0.45">
      <c r="A15" s="24" t="s">
        <v>121</v>
      </c>
      <c r="B15" s="17">
        <v>15</v>
      </c>
      <c r="C15" s="12">
        <f>IF(B$3=0,0,B15/B$3)</f>
        <v>0.28301886792452829</v>
      </c>
      <c r="E15" s="29" t="s">
        <v>69</v>
      </c>
      <c r="F15" s="26" t="s">
        <v>24</v>
      </c>
      <c r="G15" s="14">
        <v>0</v>
      </c>
      <c r="H15" s="92">
        <f t="shared" si="0"/>
        <v>0</v>
      </c>
      <c r="I15" s="60">
        <v>9</v>
      </c>
      <c r="N15" s="77" t="s">
        <v>164</v>
      </c>
      <c r="O15" s="86">
        <f>IF(P15=0,0,Q15/P15)</f>
        <v>67.650000000000006</v>
      </c>
      <c r="P15" s="80">
        <v>2</v>
      </c>
      <c r="Q15" s="71">
        <v>135.30000000000001</v>
      </c>
    </row>
    <row r="16" spans="1:17" x14ac:dyDescent="0.45">
      <c r="A16" s="21" t="s">
        <v>118</v>
      </c>
      <c r="B16" s="14">
        <v>23</v>
      </c>
      <c r="C16" s="8">
        <f>IF(B$3=0,0,B16/B$3)</f>
        <v>0.43396226415094341</v>
      </c>
      <c r="E16" s="29" t="s">
        <v>73</v>
      </c>
      <c r="F16" s="26" t="s">
        <v>28</v>
      </c>
      <c r="G16" s="14">
        <v>0</v>
      </c>
      <c r="H16" s="92">
        <f t="shared" si="0"/>
        <v>0</v>
      </c>
      <c r="I16" s="60">
        <v>3</v>
      </c>
      <c r="N16" s="78" t="s">
        <v>194</v>
      </c>
      <c r="O16" s="87">
        <f>IF(P16=0,0,Q16/P16)</f>
        <v>30.200000000000003</v>
      </c>
      <c r="P16" s="81">
        <v>1</v>
      </c>
      <c r="Q16" s="72">
        <v>30.200000000000003</v>
      </c>
    </row>
    <row r="17" spans="1:17" x14ac:dyDescent="0.45">
      <c r="A17" s="20" t="s">
        <v>123</v>
      </c>
      <c r="B17" s="13">
        <f>B23</f>
        <v>7</v>
      </c>
      <c r="C17" s="6">
        <f>IF(B$15=0,0,B17/B$15)</f>
        <v>0.46666666666666667</v>
      </c>
      <c r="E17" s="29" t="s">
        <v>74</v>
      </c>
      <c r="F17" s="26" t="s">
        <v>29</v>
      </c>
      <c r="G17" s="14">
        <v>0</v>
      </c>
      <c r="H17" s="92">
        <f t="shared" si="0"/>
        <v>0</v>
      </c>
      <c r="I17" s="60">
        <v>1</v>
      </c>
      <c r="N17" s="78" t="s">
        <v>126</v>
      </c>
      <c r="O17" s="87">
        <f>IF(P17=0,0,Q17/P17)</f>
        <v>-6.9333333333333336</v>
      </c>
      <c r="P17" s="81">
        <v>6</v>
      </c>
      <c r="Q17" s="72">
        <v>-41.6</v>
      </c>
    </row>
    <row r="18" spans="1:17" x14ac:dyDescent="0.45">
      <c r="A18" s="20" t="s">
        <v>124</v>
      </c>
      <c r="B18" s="13">
        <f>B24</f>
        <v>9</v>
      </c>
      <c r="C18" s="6">
        <f>IF(B$16=0,0,B18/B$16)</f>
        <v>0.39130434782608697</v>
      </c>
      <c r="E18" s="29" t="s">
        <v>75</v>
      </c>
      <c r="F18" s="26" t="s">
        <v>30</v>
      </c>
      <c r="G18" s="14">
        <v>0</v>
      </c>
      <c r="H18" s="92">
        <f t="shared" si="0"/>
        <v>0</v>
      </c>
      <c r="I18" s="60">
        <v>3</v>
      </c>
      <c r="N18" s="78" t="s">
        <v>198</v>
      </c>
      <c r="O18" s="87">
        <f>IF(P18=0,0,Q18/P18)</f>
        <v>-16.600000000000001</v>
      </c>
      <c r="P18" s="81">
        <v>3</v>
      </c>
      <c r="Q18" s="72">
        <v>-49.800000000000004</v>
      </c>
    </row>
    <row r="19" spans="1:17" x14ac:dyDescent="0.45">
      <c r="A19" s="20" t="s">
        <v>10</v>
      </c>
      <c r="B19" s="13">
        <f>B22+B21</f>
        <v>18</v>
      </c>
      <c r="C19" s="6">
        <f>IF(B$3=0,0,B19/B$3)</f>
        <v>0.33962264150943394</v>
      </c>
      <c r="E19" s="29" t="s">
        <v>76</v>
      </c>
      <c r="F19" s="26" t="s">
        <v>31</v>
      </c>
      <c r="G19" s="14">
        <v>0</v>
      </c>
      <c r="H19" s="92">
        <f t="shared" si="0"/>
        <v>0</v>
      </c>
      <c r="I19" s="60">
        <v>1</v>
      </c>
    </row>
    <row r="20" spans="1:17" x14ac:dyDescent="0.45">
      <c r="A20" s="21" t="s">
        <v>13</v>
      </c>
      <c r="B20" s="14">
        <v>7</v>
      </c>
      <c r="C20" s="8">
        <f>IF(B$3=0,0,B20/B$3)</f>
        <v>0.13207547169811321</v>
      </c>
      <c r="E20" s="29" t="s">
        <v>77</v>
      </c>
      <c r="F20" s="26" t="s">
        <v>32</v>
      </c>
      <c r="G20" s="14">
        <v>0</v>
      </c>
      <c r="H20" s="92">
        <f t="shared" si="0"/>
        <v>0</v>
      </c>
      <c r="I20" s="60">
        <v>3</v>
      </c>
    </row>
    <row r="21" spans="1:17" x14ac:dyDescent="0.45">
      <c r="A21" s="21" t="s">
        <v>12</v>
      </c>
      <c r="B21" s="14">
        <v>10</v>
      </c>
      <c r="C21" s="8">
        <f>IF(B$19=0,0,B21/B$19)</f>
        <v>0.55555555555555558</v>
      </c>
      <c r="E21" s="29" t="s">
        <v>78</v>
      </c>
      <c r="F21" s="26" t="s">
        <v>33</v>
      </c>
      <c r="G21" s="14">
        <v>0</v>
      </c>
      <c r="H21" s="92">
        <f t="shared" si="0"/>
        <v>0</v>
      </c>
      <c r="I21" s="60">
        <v>6</v>
      </c>
    </row>
    <row r="22" spans="1:17" x14ac:dyDescent="0.45">
      <c r="A22" s="21" t="s">
        <v>11</v>
      </c>
      <c r="B22" s="14">
        <v>8</v>
      </c>
      <c r="C22" s="8">
        <f>IF(B$19=0,0,B22/B$19)</f>
        <v>0.44444444444444442</v>
      </c>
      <c r="E22" s="29" t="s">
        <v>79</v>
      </c>
      <c r="F22" s="26" t="s">
        <v>34</v>
      </c>
      <c r="G22" s="14">
        <v>0</v>
      </c>
      <c r="H22" s="92">
        <f t="shared" si="0"/>
        <v>0</v>
      </c>
      <c r="I22" s="60">
        <v>4</v>
      </c>
    </row>
    <row r="23" spans="1:17" x14ac:dyDescent="0.45">
      <c r="A23" s="21" t="s">
        <v>184</v>
      </c>
      <c r="B23" s="14">
        <v>7</v>
      </c>
      <c r="C23" s="8">
        <f>IF(B$19=0,0,B23/B$19)</f>
        <v>0.3888888888888889</v>
      </c>
      <c r="E23" s="29" t="s">
        <v>80</v>
      </c>
      <c r="F23" s="26" t="s">
        <v>35</v>
      </c>
      <c r="G23" s="14">
        <v>0</v>
      </c>
      <c r="H23" s="92">
        <f t="shared" si="0"/>
        <v>0</v>
      </c>
      <c r="I23" s="60">
        <v>1</v>
      </c>
    </row>
    <row r="24" spans="1:17" x14ac:dyDescent="0.45">
      <c r="A24" s="21" t="s">
        <v>182</v>
      </c>
      <c r="B24" s="14">
        <v>9</v>
      </c>
      <c r="C24" s="8">
        <f>IF(B$19=0,0,B24/B$19)</f>
        <v>0.5</v>
      </c>
      <c r="E24" s="29" t="s">
        <v>81</v>
      </c>
      <c r="F24" s="26" t="s">
        <v>36</v>
      </c>
      <c r="G24" s="14">
        <v>0</v>
      </c>
      <c r="H24" s="92">
        <f t="shared" si="0"/>
        <v>0</v>
      </c>
      <c r="I24" s="60">
        <v>6</v>
      </c>
    </row>
    <row r="25" spans="1:17" x14ac:dyDescent="0.45">
      <c r="A25" s="21" t="s">
        <v>183</v>
      </c>
      <c r="B25" s="14">
        <v>2</v>
      </c>
      <c r="C25" s="8">
        <f>IF(B$19=0,0,B25/B$19)</f>
        <v>0.1111111111111111</v>
      </c>
      <c r="E25" s="29" t="s">
        <v>82</v>
      </c>
      <c r="F25" s="26" t="s">
        <v>37</v>
      </c>
      <c r="G25" s="14">
        <v>0</v>
      </c>
      <c r="H25" s="92">
        <f t="shared" si="0"/>
        <v>0</v>
      </c>
      <c r="I25" s="60">
        <v>1</v>
      </c>
    </row>
    <row r="26" spans="1:17" x14ac:dyDescent="0.45">
      <c r="A26" s="21" t="s">
        <v>5</v>
      </c>
      <c r="B26" s="18">
        <f>IF(B$19=0,0,C26/B$19)</f>
        <v>8355.5555555555547</v>
      </c>
      <c r="C26" s="10">
        <v>150400</v>
      </c>
      <c r="E26" s="29" t="s">
        <v>84</v>
      </c>
      <c r="F26" s="26" t="s">
        <v>39</v>
      </c>
      <c r="G26" s="14">
        <v>0</v>
      </c>
      <c r="H26" s="92">
        <f t="shared" si="0"/>
        <v>0</v>
      </c>
      <c r="I26" s="60">
        <v>1</v>
      </c>
    </row>
    <row r="27" spans="1:17" x14ac:dyDescent="0.45">
      <c r="A27" s="22" t="s">
        <v>166</v>
      </c>
      <c r="B27" s="99">
        <f>IF($B$19-B$18=0,0,C27/($B$19-B$18))</f>
        <v>10711.111111111111</v>
      </c>
      <c r="C27" s="100">
        <v>96400</v>
      </c>
      <c r="E27" s="29" t="s">
        <v>85</v>
      </c>
      <c r="F27" s="26" t="s">
        <v>40</v>
      </c>
      <c r="G27" s="14">
        <v>0</v>
      </c>
      <c r="H27" s="92">
        <f t="shared" si="0"/>
        <v>0</v>
      </c>
      <c r="I27" s="60">
        <v>3</v>
      </c>
    </row>
    <row r="28" spans="1:17" x14ac:dyDescent="0.45">
      <c r="A28" s="22" t="s">
        <v>167</v>
      </c>
      <c r="B28" s="99">
        <f>IF(B$18=0,0,C28/B$18)</f>
        <v>6000</v>
      </c>
      <c r="C28" s="100">
        <v>54000</v>
      </c>
      <c r="E28" s="29" t="s">
        <v>87</v>
      </c>
      <c r="F28" s="26" t="s">
        <v>42</v>
      </c>
      <c r="G28" s="14">
        <v>0</v>
      </c>
      <c r="H28" s="92">
        <f t="shared" si="0"/>
        <v>0</v>
      </c>
      <c r="I28" s="60">
        <v>1</v>
      </c>
    </row>
    <row r="29" spans="1:17" x14ac:dyDescent="0.45">
      <c r="A29" s="22" t="s">
        <v>165</v>
      </c>
      <c r="B29" s="99">
        <f>IF(B$20=0,0,C29/B$20)</f>
        <v>-7571.4285714285716</v>
      </c>
      <c r="C29" s="100">
        <v>-53000</v>
      </c>
      <c r="E29" s="29" t="s">
        <v>88</v>
      </c>
      <c r="F29" s="26" t="s">
        <v>43</v>
      </c>
      <c r="G29" s="14">
        <v>0</v>
      </c>
      <c r="H29" s="92">
        <f t="shared" si="0"/>
        <v>0</v>
      </c>
      <c r="I29" s="60">
        <v>1</v>
      </c>
    </row>
    <row r="30" spans="1:17" x14ac:dyDescent="0.45">
      <c r="A30" s="21" t="s">
        <v>158</v>
      </c>
      <c r="B30" s="14">
        <v>2</v>
      </c>
      <c r="C30" s="94">
        <v>2</v>
      </c>
      <c r="E30" s="29" t="s">
        <v>90</v>
      </c>
      <c r="F30" s="26" t="s">
        <v>45</v>
      </c>
      <c r="G30" s="14">
        <v>0</v>
      </c>
      <c r="H30" s="92">
        <f t="shared" si="0"/>
        <v>0</v>
      </c>
      <c r="I30" s="60">
        <v>1</v>
      </c>
    </row>
    <row r="31" spans="1:17" x14ac:dyDescent="0.45">
      <c r="A31" s="21" t="s">
        <v>159</v>
      </c>
      <c r="B31" s="14">
        <v>12</v>
      </c>
      <c r="C31" s="94">
        <v>4</v>
      </c>
      <c r="E31" s="29" t="s">
        <v>92</v>
      </c>
      <c r="F31" s="26" t="s">
        <v>47</v>
      </c>
      <c r="G31" s="14">
        <v>0</v>
      </c>
      <c r="H31" s="92">
        <f t="shared" si="0"/>
        <v>0</v>
      </c>
      <c r="I31" s="60">
        <v>3</v>
      </c>
    </row>
    <row r="32" spans="1:17" x14ac:dyDescent="0.45">
      <c r="A32" s="56" t="s">
        <v>136</v>
      </c>
      <c r="B32" s="141">
        <v>7</v>
      </c>
      <c r="C32" s="142"/>
      <c r="E32" s="29" t="s">
        <v>93</v>
      </c>
      <c r="F32" s="26" t="s">
        <v>48</v>
      </c>
      <c r="G32" s="14">
        <v>0</v>
      </c>
      <c r="H32" s="92">
        <f t="shared" si="0"/>
        <v>0</v>
      </c>
      <c r="I32" s="60">
        <v>1</v>
      </c>
    </row>
    <row r="33" spans="1:9" x14ac:dyDescent="0.45">
      <c r="A33" s="24" t="s">
        <v>181</v>
      </c>
      <c r="B33" s="143">
        <v>61300</v>
      </c>
      <c r="C33" s="144"/>
      <c r="E33" s="29" t="s">
        <v>94</v>
      </c>
      <c r="F33" s="26" t="s">
        <v>49</v>
      </c>
      <c r="G33" s="14">
        <v>0</v>
      </c>
      <c r="H33" s="92">
        <f t="shared" si="0"/>
        <v>0</v>
      </c>
      <c r="I33" s="60">
        <v>1</v>
      </c>
    </row>
    <row r="34" spans="1:9" x14ac:dyDescent="0.45">
      <c r="A34" s="23" t="s">
        <v>137</v>
      </c>
      <c r="B34" s="31">
        <v>0</v>
      </c>
      <c r="C34" s="11">
        <f>IF(B$3=0,0,B34/B$3)</f>
        <v>0</v>
      </c>
      <c r="E34" s="29" t="s">
        <v>95</v>
      </c>
      <c r="F34" s="26" t="s">
        <v>50</v>
      </c>
      <c r="G34" s="14">
        <v>0</v>
      </c>
      <c r="H34" s="92">
        <f t="shared" ref="H34:H65" si="3">IF(B$19=0,0,G34/B$19)</f>
        <v>0</v>
      </c>
      <c r="I34" s="60">
        <v>1</v>
      </c>
    </row>
    <row r="35" spans="1:9" x14ac:dyDescent="0.45">
      <c r="E35" s="29" t="s">
        <v>96</v>
      </c>
      <c r="F35" s="26" t="s">
        <v>51</v>
      </c>
      <c r="G35" s="14">
        <v>0</v>
      </c>
      <c r="H35" s="92">
        <f t="shared" si="3"/>
        <v>0</v>
      </c>
      <c r="I35" s="60">
        <v>1</v>
      </c>
    </row>
    <row r="36" spans="1:9" x14ac:dyDescent="0.45">
      <c r="A36" s="56" t="s">
        <v>172</v>
      </c>
      <c r="B36" s="121">
        <v>1</v>
      </c>
      <c r="C36" s="102">
        <f t="shared" ref="C36:C48" si="4">IF(B$19=0,0,B36/B$19)</f>
        <v>5.5555555555555552E-2</v>
      </c>
      <c r="E36" s="29" t="s">
        <v>97</v>
      </c>
      <c r="F36" s="26" t="s">
        <v>52</v>
      </c>
      <c r="G36" s="14">
        <v>0</v>
      </c>
      <c r="H36" s="92">
        <f t="shared" si="3"/>
        <v>0</v>
      </c>
      <c r="I36" s="60">
        <v>1</v>
      </c>
    </row>
    <row r="37" spans="1:9" x14ac:dyDescent="0.45">
      <c r="A37" s="21" t="s">
        <v>168</v>
      </c>
      <c r="B37" s="14">
        <v>5</v>
      </c>
      <c r="C37" s="8">
        <f t="shared" si="4"/>
        <v>0.27777777777777779</v>
      </c>
      <c r="E37" s="29" t="s">
        <v>98</v>
      </c>
      <c r="F37" s="26" t="s">
        <v>53</v>
      </c>
      <c r="G37" s="14">
        <v>0</v>
      </c>
      <c r="H37" s="92">
        <f t="shared" si="3"/>
        <v>0</v>
      </c>
      <c r="I37" s="60">
        <v>1</v>
      </c>
    </row>
    <row r="38" spans="1:9" x14ac:dyDescent="0.45">
      <c r="A38" s="21" t="s">
        <v>169</v>
      </c>
      <c r="B38" s="122">
        <v>3</v>
      </c>
      <c r="C38" s="8">
        <f t="shared" si="4"/>
        <v>0.16666666666666666</v>
      </c>
      <c r="E38" s="29" t="s">
        <v>99</v>
      </c>
      <c r="F38" s="26" t="s">
        <v>54</v>
      </c>
      <c r="G38" s="14">
        <v>0</v>
      </c>
      <c r="H38" s="92">
        <f t="shared" si="3"/>
        <v>0</v>
      </c>
      <c r="I38" s="60">
        <v>1</v>
      </c>
    </row>
    <row r="39" spans="1:9" x14ac:dyDescent="0.45">
      <c r="A39" s="21" t="s">
        <v>170</v>
      </c>
      <c r="B39" s="122">
        <v>2</v>
      </c>
      <c r="C39" s="8">
        <f t="shared" si="4"/>
        <v>0.1111111111111111</v>
      </c>
      <c r="E39" s="29" t="s">
        <v>100</v>
      </c>
      <c r="F39" s="26" t="s">
        <v>55</v>
      </c>
      <c r="G39" s="14">
        <v>0</v>
      </c>
      <c r="H39" s="92">
        <f t="shared" si="3"/>
        <v>0</v>
      </c>
      <c r="I39" s="60">
        <v>1</v>
      </c>
    </row>
    <row r="40" spans="1:9" x14ac:dyDescent="0.45">
      <c r="A40" s="21" t="s">
        <v>171</v>
      </c>
      <c r="B40" s="122">
        <v>1</v>
      </c>
      <c r="C40" s="8">
        <f t="shared" si="4"/>
        <v>5.5555555555555552E-2</v>
      </c>
      <c r="E40" s="29" t="s">
        <v>101</v>
      </c>
      <c r="F40" s="26" t="s">
        <v>56</v>
      </c>
      <c r="G40" s="14">
        <v>0</v>
      </c>
      <c r="H40" s="92">
        <f t="shared" si="3"/>
        <v>0</v>
      </c>
      <c r="I40" s="60">
        <v>1</v>
      </c>
    </row>
    <row r="41" spans="1:9" x14ac:dyDescent="0.45">
      <c r="A41" s="21" t="s">
        <v>173</v>
      </c>
      <c r="B41" s="122">
        <v>1</v>
      </c>
      <c r="C41" s="8">
        <f t="shared" si="4"/>
        <v>5.5555555555555552E-2</v>
      </c>
      <c r="E41" s="29" t="s">
        <v>102</v>
      </c>
      <c r="F41" s="26" t="s">
        <v>57</v>
      </c>
      <c r="G41" s="14">
        <v>0</v>
      </c>
      <c r="H41" s="92">
        <f t="shared" si="3"/>
        <v>0</v>
      </c>
      <c r="I41" s="60">
        <v>1</v>
      </c>
    </row>
    <row r="42" spans="1:9" x14ac:dyDescent="0.45">
      <c r="A42" s="21" t="s">
        <v>174</v>
      </c>
      <c r="B42" s="122">
        <v>2</v>
      </c>
      <c r="C42" s="8">
        <f t="shared" si="4"/>
        <v>0.1111111111111111</v>
      </c>
      <c r="E42" s="29" t="s">
        <v>103</v>
      </c>
      <c r="F42" s="26" t="s">
        <v>58</v>
      </c>
      <c r="G42" s="14">
        <v>0</v>
      </c>
      <c r="H42" s="92">
        <f t="shared" si="3"/>
        <v>0</v>
      </c>
      <c r="I42" s="60">
        <v>1</v>
      </c>
    </row>
    <row r="43" spans="1:9" x14ac:dyDescent="0.45">
      <c r="A43" s="21" t="s">
        <v>175</v>
      </c>
      <c r="B43" s="122">
        <v>1</v>
      </c>
      <c r="C43" s="8">
        <f t="shared" si="4"/>
        <v>5.5555555555555552E-2</v>
      </c>
      <c r="E43" s="29" t="s">
        <v>104</v>
      </c>
      <c r="F43" s="26" t="s">
        <v>59</v>
      </c>
      <c r="G43" s="14">
        <v>0</v>
      </c>
      <c r="H43" s="92">
        <f t="shared" si="3"/>
        <v>0</v>
      </c>
      <c r="I43" s="60">
        <v>1</v>
      </c>
    </row>
    <row r="44" spans="1:9" x14ac:dyDescent="0.45">
      <c r="A44" s="21" t="s">
        <v>176</v>
      </c>
      <c r="B44" s="122">
        <v>1</v>
      </c>
      <c r="C44" s="8">
        <f t="shared" si="4"/>
        <v>5.5555555555555552E-2</v>
      </c>
      <c r="E44" s="29" t="s">
        <v>105</v>
      </c>
      <c r="F44" s="26" t="s">
        <v>112</v>
      </c>
      <c r="G44" s="14">
        <v>0</v>
      </c>
      <c r="H44" s="92">
        <f t="shared" si="3"/>
        <v>0</v>
      </c>
      <c r="I44" s="60">
        <v>1</v>
      </c>
    </row>
    <row r="45" spans="1:9" x14ac:dyDescent="0.45">
      <c r="A45" s="21" t="s">
        <v>177</v>
      </c>
      <c r="B45" s="122">
        <v>1</v>
      </c>
      <c r="C45" s="8">
        <f t="shared" si="4"/>
        <v>5.5555555555555552E-2</v>
      </c>
      <c r="E45" s="29" t="s">
        <v>106</v>
      </c>
      <c r="F45" s="26" t="s">
        <v>113</v>
      </c>
      <c r="G45" s="14">
        <v>0</v>
      </c>
      <c r="H45" s="92">
        <f t="shared" si="3"/>
        <v>0</v>
      </c>
      <c r="I45" s="60">
        <v>1</v>
      </c>
    </row>
    <row r="46" spans="1:9" x14ac:dyDescent="0.45">
      <c r="A46" s="21" t="s">
        <v>178</v>
      </c>
      <c r="B46" s="122">
        <v>0</v>
      </c>
      <c r="C46" s="8">
        <f t="shared" si="4"/>
        <v>0</v>
      </c>
      <c r="E46" s="29" t="s">
        <v>107</v>
      </c>
      <c r="F46" s="26" t="s">
        <v>114</v>
      </c>
      <c r="G46" s="14">
        <v>0</v>
      </c>
      <c r="H46" s="92">
        <f t="shared" si="3"/>
        <v>0</v>
      </c>
      <c r="I46" s="60">
        <v>1</v>
      </c>
    </row>
    <row r="47" spans="1:9" x14ac:dyDescent="0.45">
      <c r="A47" s="21" t="s">
        <v>179</v>
      </c>
      <c r="B47" s="122">
        <v>0</v>
      </c>
      <c r="C47" s="8">
        <f t="shared" si="4"/>
        <v>0</v>
      </c>
      <c r="E47" s="29" t="s">
        <v>108</v>
      </c>
      <c r="F47" s="26" t="s">
        <v>60</v>
      </c>
      <c r="G47" s="14">
        <v>0</v>
      </c>
      <c r="H47" s="92">
        <f t="shared" si="3"/>
        <v>0</v>
      </c>
      <c r="I47" s="60">
        <v>1</v>
      </c>
    </row>
    <row r="48" spans="1:9" x14ac:dyDescent="0.45">
      <c r="A48" s="23" t="s">
        <v>180</v>
      </c>
      <c r="B48" s="101">
        <v>0</v>
      </c>
      <c r="C48" s="11">
        <f t="shared" si="4"/>
        <v>0</v>
      </c>
      <c r="E48" s="29" t="s">
        <v>109</v>
      </c>
      <c r="F48" s="26" t="s">
        <v>61</v>
      </c>
      <c r="G48" s="14">
        <v>0</v>
      </c>
      <c r="H48" s="92">
        <f t="shared" si="3"/>
        <v>0</v>
      </c>
      <c r="I48" s="60">
        <v>1</v>
      </c>
    </row>
    <row r="49" spans="5:9" x14ac:dyDescent="0.45">
      <c r="E49" s="29" t="s">
        <v>110</v>
      </c>
      <c r="F49" s="26" t="s">
        <v>62</v>
      </c>
      <c r="G49" s="14">
        <v>0</v>
      </c>
      <c r="H49" s="92">
        <f t="shared" si="3"/>
        <v>0</v>
      </c>
      <c r="I49" s="60">
        <v>1</v>
      </c>
    </row>
    <row r="50" spans="5:9" x14ac:dyDescent="0.45">
      <c r="E50" s="29" t="s">
        <v>111</v>
      </c>
      <c r="F50" s="26" t="s">
        <v>63</v>
      </c>
      <c r="G50" s="14">
        <v>0</v>
      </c>
      <c r="H50" s="92">
        <f t="shared" si="3"/>
        <v>0</v>
      </c>
      <c r="I50" s="60">
        <v>1</v>
      </c>
    </row>
    <row r="51" spans="5:9" x14ac:dyDescent="0.45">
      <c r="E51" s="95" t="s">
        <v>156</v>
      </c>
      <c r="F51" s="96" t="s">
        <v>157</v>
      </c>
      <c r="G51" s="15">
        <v>0</v>
      </c>
      <c r="H51" s="97">
        <f t="shared" si="3"/>
        <v>0</v>
      </c>
      <c r="I51" s="98">
        <v>4</v>
      </c>
    </row>
    <row r="52" spans="5:9" x14ac:dyDescent="0.45">
      <c r="E52" s="30" t="s">
        <v>162</v>
      </c>
      <c r="F52" s="27" t="s">
        <v>163</v>
      </c>
      <c r="G52" s="16">
        <v>0</v>
      </c>
      <c r="H52" s="93">
        <f t="shared" si="3"/>
        <v>0</v>
      </c>
      <c r="I52" s="61">
        <v>1</v>
      </c>
    </row>
  </sheetData>
  <sortState xmlns:xlrd2="http://schemas.microsoft.com/office/spreadsheetml/2017/richdata2" ref="E2:I53">
    <sortCondition descending="1" ref="H1"/>
  </sortState>
  <mergeCells count="9">
    <mergeCell ref="B13:C13"/>
    <mergeCell ref="B32:C32"/>
    <mergeCell ref="B33:C33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D8F831-B0BF-4384-94B8-8C2A2C04AA83}">
  <sheetPr codeName="Sheet13"/>
  <dimension ref="A1:Q52"/>
  <sheetViews>
    <sheetView showGridLines="0" zoomScaleNormal="100" workbookViewId="0"/>
  </sheetViews>
  <sheetFormatPr defaultColWidth="9" defaultRowHeight="18" x14ac:dyDescent="0.45"/>
  <cols>
    <col min="1" max="1" width="13" style="107" customWidth="1"/>
    <col min="2" max="3" width="9" style="107" customWidth="1"/>
    <col min="4" max="4" width="3.59765625" style="107" customWidth="1"/>
    <col min="5" max="5" width="3.59765625" style="116" bestFit="1" customWidth="1"/>
    <col min="6" max="6" width="11" style="111" bestFit="1" customWidth="1"/>
    <col min="7" max="9" width="9" style="107" customWidth="1"/>
    <col min="10" max="10" width="3.59765625" style="107" customWidth="1"/>
    <col min="11" max="11" width="3.5" style="7" customWidth="1"/>
    <col min="12" max="12" width="9" style="65" customWidth="1"/>
    <col min="13" max="13" width="3.59765625" style="107" customWidth="1"/>
    <col min="14" max="14" width="9" style="78" customWidth="1"/>
    <col min="15" max="15" width="9" style="87" customWidth="1"/>
    <col min="16" max="16" width="9" style="81" customWidth="1"/>
    <col min="17" max="17" width="3.59765625" style="72" customWidth="1"/>
    <col min="18" max="16384" width="9" style="107"/>
  </cols>
  <sheetData>
    <row r="1" spans="1:17" x14ac:dyDescent="0.45">
      <c r="A1" s="19" t="s">
        <v>0</v>
      </c>
      <c r="B1" s="145" t="s">
        <v>195</v>
      </c>
      <c r="C1" s="146"/>
      <c r="E1" s="108" t="s">
        <v>155</v>
      </c>
      <c r="F1" s="124" t="s">
        <v>115</v>
      </c>
      <c r="G1" s="123" t="s">
        <v>116</v>
      </c>
      <c r="H1" s="90" t="s">
        <v>117</v>
      </c>
      <c r="I1" s="124" t="s">
        <v>146</v>
      </c>
      <c r="K1" s="4" t="s">
        <v>19</v>
      </c>
      <c r="L1" s="124" t="s">
        <v>120</v>
      </c>
      <c r="M1" s="109"/>
      <c r="N1" s="76" t="s">
        <v>134</v>
      </c>
      <c r="O1" s="4" t="s">
        <v>135</v>
      </c>
      <c r="P1" s="110" t="s">
        <v>116</v>
      </c>
      <c r="Q1" s="66" t="s">
        <v>148</v>
      </c>
    </row>
    <row r="2" spans="1:17" x14ac:dyDescent="0.45">
      <c r="A2" s="20" t="s">
        <v>9</v>
      </c>
      <c r="B2" s="147">
        <v>3</v>
      </c>
      <c r="C2" s="148"/>
      <c r="E2" s="28" t="s">
        <v>160</v>
      </c>
      <c r="F2" s="25" t="s">
        <v>161</v>
      </c>
      <c r="G2" s="13">
        <v>3</v>
      </c>
      <c r="H2" s="91">
        <f t="shared" ref="H2:H33" si="0">IF(B$19=0,0,G2/B$19)</f>
        <v>1</v>
      </c>
      <c r="I2" s="59">
        <v>1</v>
      </c>
      <c r="K2" s="5">
        <v>0</v>
      </c>
      <c r="L2" s="64">
        <v>0</v>
      </c>
      <c r="N2" s="77" t="s">
        <v>128</v>
      </c>
      <c r="O2" s="83">
        <f t="shared" ref="O2:O7" si="1">IF(P2=0,0,Q2/P2)</f>
        <v>2566.6666666666665</v>
      </c>
      <c r="P2" s="80">
        <v>3</v>
      </c>
      <c r="Q2" s="67">
        <v>7700</v>
      </c>
    </row>
    <row r="3" spans="1:17" x14ac:dyDescent="0.45">
      <c r="A3" s="21" t="s">
        <v>8</v>
      </c>
      <c r="B3" s="149">
        <v>21</v>
      </c>
      <c r="C3" s="150"/>
      <c r="E3" s="29" t="s">
        <v>69</v>
      </c>
      <c r="F3" s="26" t="s">
        <v>24</v>
      </c>
      <c r="G3" s="14">
        <v>2</v>
      </c>
      <c r="H3" s="92">
        <f t="shared" si="0"/>
        <v>0.66666666666666663</v>
      </c>
      <c r="I3" s="60">
        <v>1</v>
      </c>
      <c r="K3" s="7">
        <v>1</v>
      </c>
      <c r="L3" s="65">
        <v>-33.6</v>
      </c>
      <c r="N3" s="78" t="s">
        <v>129</v>
      </c>
      <c r="O3" s="84">
        <f t="shared" si="1"/>
        <v>4066.6666666666665</v>
      </c>
      <c r="P3" s="81">
        <v>3</v>
      </c>
      <c r="Q3" s="68">
        <v>12200</v>
      </c>
    </row>
    <row r="4" spans="1:17" x14ac:dyDescent="0.45">
      <c r="A4" s="21" t="s">
        <v>6</v>
      </c>
      <c r="B4" s="151">
        <v>-40.4</v>
      </c>
      <c r="C4" s="152"/>
      <c r="E4" s="29" t="s">
        <v>64</v>
      </c>
      <c r="F4" s="26" t="s">
        <v>20</v>
      </c>
      <c r="G4" s="14">
        <v>1</v>
      </c>
      <c r="H4" s="92">
        <f t="shared" si="0"/>
        <v>0.33333333333333331</v>
      </c>
      <c r="I4" s="60">
        <v>8</v>
      </c>
      <c r="K4" s="7">
        <v>2</v>
      </c>
      <c r="L4" s="65">
        <v>-36.9</v>
      </c>
      <c r="N4" s="78" t="s">
        <v>130</v>
      </c>
      <c r="O4" s="84">
        <f t="shared" si="1"/>
        <v>-2766.6666666666665</v>
      </c>
      <c r="P4" s="81">
        <v>3</v>
      </c>
      <c r="Q4" s="68">
        <v>-8300</v>
      </c>
    </row>
    <row r="5" spans="1:17" x14ac:dyDescent="0.45">
      <c r="A5" s="21" t="s">
        <v>7</v>
      </c>
      <c r="B5" s="139">
        <f>IF(B$2=0,0,B$4/B$2)</f>
        <v>-13.466666666666667</v>
      </c>
      <c r="C5" s="140"/>
      <c r="E5" s="29" t="s">
        <v>67</v>
      </c>
      <c r="F5" s="26" t="s">
        <v>23</v>
      </c>
      <c r="G5" s="14">
        <v>1</v>
      </c>
      <c r="H5" s="92">
        <f t="shared" si="0"/>
        <v>0.33333333333333331</v>
      </c>
      <c r="I5" s="60">
        <v>3</v>
      </c>
      <c r="K5" s="7">
        <v>3</v>
      </c>
      <c r="L5" s="65">
        <v>-40.4</v>
      </c>
      <c r="N5" s="78" t="s">
        <v>131</v>
      </c>
      <c r="O5" s="84">
        <f t="shared" si="1"/>
        <v>-9750</v>
      </c>
      <c r="P5" s="81">
        <v>2</v>
      </c>
      <c r="Q5" s="68">
        <v>-19500</v>
      </c>
    </row>
    <row r="6" spans="1:17" x14ac:dyDescent="0.45">
      <c r="A6" s="21" t="s">
        <v>1</v>
      </c>
      <c r="B6" s="153">
        <f>IF(B$2=0,0,(B$7*1+B$8*2+B$9*3)/B$2)</f>
        <v>2.3333333333333335</v>
      </c>
      <c r="C6" s="154"/>
      <c r="E6" s="29" t="s">
        <v>72</v>
      </c>
      <c r="F6" s="26" t="s">
        <v>27</v>
      </c>
      <c r="G6" s="14">
        <v>1</v>
      </c>
      <c r="H6" s="92">
        <f t="shared" si="0"/>
        <v>0.33333333333333331</v>
      </c>
      <c r="I6" s="60">
        <v>10</v>
      </c>
      <c r="N6" s="78" t="s">
        <v>132</v>
      </c>
      <c r="O6" s="84">
        <f t="shared" si="1"/>
        <v>-10500</v>
      </c>
      <c r="P6" s="81">
        <v>2</v>
      </c>
      <c r="Q6" s="68">
        <v>-21000</v>
      </c>
    </row>
    <row r="7" spans="1:17" x14ac:dyDescent="0.45">
      <c r="A7" s="21" t="s">
        <v>2</v>
      </c>
      <c r="B7" s="14">
        <v>0</v>
      </c>
      <c r="C7" s="8">
        <f t="shared" ref="C7:C14" si="2">IF(B$2=0,0,B7/B$2)</f>
        <v>0</v>
      </c>
      <c r="E7" s="29" t="s">
        <v>89</v>
      </c>
      <c r="F7" s="26" t="s">
        <v>44</v>
      </c>
      <c r="G7" s="14">
        <v>1</v>
      </c>
      <c r="H7" s="92">
        <f t="shared" si="0"/>
        <v>0.33333333333333331</v>
      </c>
      <c r="I7" s="60">
        <v>2</v>
      </c>
      <c r="N7" s="79" t="s">
        <v>133</v>
      </c>
      <c r="O7" s="85">
        <f t="shared" si="1"/>
        <v>-750</v>
      </c>
      <c r="P7" s="82">
        <v>2</v>
      </c>
      <c r="Q7" s="69">
        <v>-1500</v>
      </c>
    </row>
    <row r="8" spans="1:17" x14ac:dyDescent="0.45">
      <c r="A8" s="21" t="s">
        <v>3</v>
      </c>
      <c r="B8" s="14">
        <v>2</v>
      </c>
      <c r="C8" s="8">
        <f t="shared" si="2"/>
        <v>0.66666666666666663</v>
      </c>
      <c r="E8" s="29" t="s">
        <v>65</v>
      </c>
      <c r="F8" s="26" t="s">
        <v>21</v>
      </c>
      <c r="G8" s="14">
        <v>0</v>
      </c>
      <c r="H8" s="92">
        <f t="shared" si="0"/>
        <v>0</v>
      </c>
      <c r="I8" s="60">
        <v>8</v>
      </c>
      <c r="N8" s="111"/>
      <c r="O8" s="89"/>
      <c r="P8" s="112"/>
      <c r="Q8" s="74"/>
    </row>
    <row r="9" spans="1:17" x14ac:dyDescent="0.45">
      <c r="A9" s="22" t="s">
        <v>4</v>
      </c>
      <c r="B9" s="15">
        <v>1</v>
      </c>
      <c r="C9" s="9">
        <f t="shared" si="2"/>
        <v>0.33333333333333331</v>
      </c>
      <c r="E9" s="29" t="s">
        <v>66</v>
      </c>
      <c r="F9" s="26" t="s">
        <v>22</v>
      </c>
      <c r="G9" s="14">
        <v>0</v>
      </c>
      <c r="H9" s="92">
        <f t="shared" si="0"/>
        <v>0</v>
      </c>
      <c r="I9" s="60">
        <v>11</v>
      </c>
      <c r="N9" s="76" t="s">
        <v>151</v>
      </c>
      <c r="O9" s="4" t="s">
        <v>120</v>
      </c>
      <c r="P9" s="110" t="s">
        <v>116</v>
      </c>
      <c r="Q9" s="70" t="s">
        <v>148</v>
      </c>
    </row>
    <row r="10" spans="1:17" x14ac:dyDescent="0.45">
      <c r="A10" s="22" t="s">
        <v>185</v>
      </c>
      <c r="B10" s="113">
        <f>IF(B7=0,0,C10/B7)</f>
        <v>0</v>
      </c>
      <c r="C10" s="114">
        <v>0</v>
      </c>
      <c r="E10" s="29" t="s">
        <v>68</v>
      </c>
      <c r="F10" s="26" t="s">
        <v>12</v>
      </c>
      <c r="G10" s="14">
        <v>0</v>
      </c>
      <c r="H10" s="92">
        <f t="shared" si="0"/>
        <v>0</v>
      </c>
      <c r="I10" s="60">
        <v>11</v>
      </c>
      <c r="N10" s="77" t="s">
        <v>152</v>
      </c>
      <c r="O10" s="86">
        <f>IF(P10=0,0,Q10/P10)</f>
        <v>-33.6</v>
      </c>
      <c r="P10" s="80">
        <v>1</v>
      </c>
      <c r="Q10" s="71">
        <v>-33.6</v>
      </c>
    </row>
    <row r="11" spans="1:17" x14ac:dyDescent="0.45">
      <c r="A11" s="22" t="s">
        <v>186</v>
      </c>
      <c r="B11" s="113">
        <f>IF(B8=0,0,C11/B8)</f>
        <v>-3.4</v>
      </c>
      <c r="C11" s="114">
        <v>-6.8</v>
      </c>
      <c r="E11" s="29" t="s">
        <v>70</v>
      </c>
      <c r="F11" s="26" t="s">
        <v>25</v>
      </c>
      <c r="G11" s="14">
        <v>0</v>
      </c>
      <c r="H11" s="92">
        <f t="shared" si="0"/>
        <v>0</v>
      </c>
      <c r="I11" s="60">
        <v>9</v>
      </c>
      <c r="N11" s="78" t="s">
        <v>153</v>
      </c>
      <c r="O11" s="87">
        <f>IF(P11=0,0,Q11/P11)</f>
        <v>-3.3</v>
      </c>
      <c r="P11" s="81">
        <v>1</v>
      </c>
      <c r="Q11" s="72">
        <v>-3.3</v>
      </c>
    </row>
    <row r="12" spans="1:17" x14ac:dyDescent="0.45">
      <c r="A12" s="22" t="s">
        <v>187</v>
      </c>
      <c r="B12" s="113">
        <f>IF(B9=0,0,C12/B9)</f>
        <v>-33.6</v>
      </c>
      <c r="C12" s="114">
        <v>-33.6</v>
      </c>
      <c r="E12" s="29" t="s">
        <v>71</v>
      </c>
      <c r="F12" s="26" t="s">
        <v>26</v>
      </c>
      <c r="G12" s="14">
        <v>0</v>
      </c>
      <c r="H12" s="92">
        <f t="shared" si="0"/>
        <v>0</v>
      </c>
      <c r="I12" s="60">
        <v>8</v>
      </c>
      <c r="N12" s="79" t="s">
        <v>154</v>
      </c>
      <c r="O12" s="88">
        <f>IF(P12=0,0,Q12/P12)</f>
        <v>-3.5</v>
      </c>
      <c r="P12" s="82">
        <v>1</v>
      </c>
      <c r="Q12" s="73">
        <v>-3.5</v>
      </c>
    </row>
    <row r="13" spans="1:17" x14ac:dyDescent="0.45">
      <c r="A13" s="22" t="s">
        <v>188</v>
      </c>
      <c r="B13" s="139">
        <f>AVERAGE(B10:B12)</f>
        <v>-12.333333333333334</v>
      </c>
      <c r="C13" s="140"/>
      <c r="E13" s="29" t="s">
        <v>73</v>
      </c>
      <c r="F13" s="26" t="s">
        <v>28</v>
      </c>
      <c r="G13" s="14">
        <v>0</v>
      </c>
      <c r="H13" s="92">
        <f t="shared" si="0"/>
        <v>0</v>
      </c>
      <c r="I13" s="60">
        <v>3</v>
      </c>
      <c r="N13" s="107"/>
      <c r="O13" s="75"/>
      <c r="P13" s="115"/>
      <c r="Q13" s="75"/>
    </row>
    <row r="14" spans="1:17" x14ac:dyDescent="0.45">
      <c r="A14" s="23" t="s">
        <v>18</v>
      </c>
      <c r="B14" s="16">
        <v>0</v>
      </c>
      <c r="C14" s="11">
        <f t="shared" si="2"/>
        <v>0</v>
      </c>
      <c r="E14" s="29" t="s">
        <v>74</v>
      </c>
      <c r="F14" s="26" t="s">
        <v>29</v>
      </c>
      <c r="G14" s="14">
        <v>0</v>
      </c>
      <c r="H14" s="92">
        <f t="shared" si="0"/>
        <v>0</v>
      </c>
      <c r="I14" s="60">
        <v>1</v>
      </c>
      <c r="N14" s="76" t="s">
        <v>147</v>
      </c>
      <c r="O14" s="4" t="s">
        <v>120</v>
      </c>
      <c r="P14" s="110" t="s">
        <v>116</v>
      </c>
      <c r="Q14" s="70" t="s">
        <v>148</v>
      </c>
    </row>
    <row r="15" spans="1:17" x14ac:dyDescent="0.45">
      <c r="A15" s="24" t="s">
        <v>121</v>
      </c>
      <c r="B15" s="17">
        <v>2</v>
      </c>
      <c r="C15" s="12">
        <f>IF(B$3=0,0,B15/B$3)</f>
        <v>9.5238095238095233E-2</v>
      </c>
      <c r="E15" s="29" t="s">
        <v>75</v>
      </c>
      <c r="F15" s="26" t="s">
        <v>30</v>
      </c>
      <c r="G15" s="14">
        <v>0</v>
      </c>
      <c r="H15" s="92">
        <f t="shared" si="0"/>
        <v>0</v>
      </c>
      <c r="I15" s="60">
        <v>3</v>
      </c>
      <c r="N15" s="77" t="s">
        <v>194</v>
      </c>
      <c r="O15" s="86">
        <f>IF(P15=0,0,Q15/P15)</f>
        <v>-6.5999999999999988</v>
      </c>
      <c r="P15" s="80">
        <v>3</v>
      </c>
      <c r="Q15" s="71">
        <v>-19.799999999999997</v>
      </c>
    </row>
    <row r="16" spans="1:17" x14ac:dyDescent="0.45">
      <c r="A16" s="21" t="s">
        <v>118</v>
      </c>
      <c r="B16" s="14">
        <v>5</v>
      </c>
      <c r="C16" s="8">
        <f>IF(B$3=0,0,B16/B$3)</f>
        <v>0.23809523809523808</v>
      </c>
      <c r="E16" s="29" t="s">
        <v>76</v>
      </c>
      <c r="F16" s="26" t="s">
        <v>31</v>
      </c>
      <c r="G16" s="14">
        <v>0</v>
      </c>
      <c r="H16" s="92">
        <f t="shared" si="0"/>
        <v>0</v>
      </c>
      <c r="I16" s="60">
        <v>1</v>
      </c>
      <c r="N16" s="78" t="s">
        <v>126</v>
      </c>
      <c r="O16" s="87">
        <f>IF(P16=0,0,Q16/P16)</f>
        <v>-33.800000000000004</v>
      </c>
      <c r="P16" s="81">
        <v>3</v>
      </c>
      <c r="Q16" s="72">
        <v>-101.4</v>
      </c>
    </row>
    <row r="17" spans="1:9" x14ac:dyDescent="0.45">
      <c r="A17" s="20" t="s">
        <v>123</v>
      </c>
      <c r="B17" s="13">
        <f>B23</f>
        <v>1</v>
      </c>
      <c r="C17" s="6">
        <f>IF(B$15=0,0,B17/B$15)</f>
        <v>0.5</v>
      </c>
      <c r="E17" s="29" t="s">
        <v>77</v>
      </c>
      <c r="F17" s="26" t="s">
        <v>32</v>
      </c>
      <c r="G17" s="14">
        <v>0</v>
      </c>
      <c r="H17" s="92">
        <f t="shared" si="0"/>
        <v>0</v>
      </c>
      <c r="I17" s="60">
        <v>3</v>
      </c>
    </row>
    <row r="18" spans="1:9" x14ac:dyDescent="0.45">
      <c r="A18" s="20" t="s">
        <v>124</v>
      </c>
      <c r="B18" s="13">
        <f>B24</f>
        <v>1</v>
      </c>
      <c r="C18" s="6">
        <f>IF(B$16=0,0,B18/B$16)</f>
        <v>0.2</v>
      </c>
      <c r="E18" s="29" t="s">
        <v>78</v>
      </c>
      <c r="F18" s="26" t="s">
        <v>33</v>
      </c>
      <c r="G18" s="14">
        <v>0</v>
      </c>
      <c r="H18" s="92">
        <f t="shared" si="0"/>
        <v>0</v>
      </c>
      <c r="I18" s="60">
        <v>6</v>
      </c>
    </row>
    <row r="19" spans="1:9" x14ac:dyDescent="0.45">
      <c r="A19" s="20" t="s">
        <v>10</v>
      </c>
      <c r="B19" s="13">
        <f>B22+B21</f>
        <v>3</v>
      </c>
      <c r="C19" s="6">
        <f>IF(B$3=0,0,B19/B$3)</f>
        <v>0.14285714285714285</v>
      </c>
      <c r="E19" s="29" t="s">
        <v>79</v>
      </c>
      <c r="F19" s="26" t="s">
        <v>34</v>
      </c>
      <c r="G19" s="14">
        <v>0</v>
      </c>
      <c r="H19" s="92">
        <f t="shared" si="0"/>
        <v>0</v>
      </c>
      <c r="I19" s="60">
        <v>4</v>
      </c>
    </row>
    <row r="20" spans="1:9" x14ac:dyDescent="0.45">
      <c r="A20" s="21" t="s">
        <v>13</v>
      </c>
      <c r="B20" s="14">
        <v>1</v>
      </c>
      <c r="C20" s="8">
        <f>IF(B$3=0,0,B20/B$3)</f>
        <v>4.7619047619047616E-2</v>
      </c>
      <c r="E20" s="29" t="s">
        <v>80</v>
      </c>
      <c r="F20" s="26" t="s">
        <v>35</v>
      </c>
      <c r="G20" s="14">
        <v>0</v>
      </c>
      <c r="H20" s="92">
        <f t="shared" si="0"/>
        <v>0</v>
      </c>
      <c r="I20" s="60">
        <v>1</v>
      </c>
    </row>
    <row r="21" spans="1:9" x14ac:dyDescent="0.45">
      <c r="A21" s="21" t="s">
        <v>12</v>
      </c>
      <c r="B21" s="14">
        <v>0</v>
      </c>
      <c r="C21" s="8">
        <f>IF(B$19=0,0,B21/B$19)</f>
        <v>0</v>
      </c>
      <c r="E21" s="29" t="s">
        <v>81</v>
      </c>
      <c r="F21" s="26" t="s">
        <v>36</v>
      </c>
      <c r="G21" s="14">
        <v>0</v>
      </c>
      <c r="H21" s="92">
        <f t="shared" si="0"/>
        <v>0</v>
      </c>
      <c r="I21" s="60">
        <v>6</v>
      </c>
    </row>
    <row r="22" spans="1:9" x14ac:dyDescent="0.45">
      <c r="A22" s="21" t="s">
        <v>11</v>
      </c>
      <c r="B22" s="14">
        <v>3</v>
      </c>
      <c r="C22" s="8">
        <f>IF(B$19=0,0,B22/B$19)</f>
        <v>1</v>
      </c>
      <c r="E22" s="29" t="s">
        <v>82</v>
      </c>
      <c r="F22" s="26" t="s">
        <v>37</v>
      </c>
      <c r="G22" s="14">
        <v>0</v>
      </c>
      <c r="H22" s="92">
        <f t="shared" si="0"/>
        <v>0</v>
      </c>
      <c r="I22" s="60">
        <v>1</v>
      </c>
    </row>
    <row r="23" spans="1:9" x14ac:dyDescent="0.45">
      <c r="A23" s="21" t="s">
        <v>184</v>
      </c>
      <c r="B23" s="14">
        <v>1</v>
      </c>
      <c r="C23" s="8">
        <f>IF(B$19=0,0,B23/B$19)</f>
        <v>0.33333333333333331</v>
      </c>
      <c r="E23" s="29" t="s">
        <v>83</v>
      </c>
      <c r="F23" s="26" t="s">
        <v>38</v>
      </c>
      <c r="G23" s="14">
        <v>0</v>
      </c>
      <c r="H23" s="92">
        <f t="shared" si="0"/>
        <v>0</v>
      </c>
      <c r="I23" s="60">
        <v>7</v>
      </c>
    </row>
    <row r="24" spans="1:9" x14ac:dyDescent="0.45">
      <c r="A24" s="21" t="s">
        <v>182</v>
      </c>
      <c r="B24" s="14">
        <v>1</v>
      </c>
      <c r="C24" s="8">
        <f>IF(B$19=0,0,B24/B$19)</f>
        <v>0.33333333333333331</v>
      </c>
      <c r="E24" s="29" t="s">
        <v>84</v>
      </c>
      <c r="F24" s="26" t="s">
        <v>39</v>
      </c>
      <c r="G24" s="14">
        <v>0</v>
      </c>
      <c r="H24" s="92">
        <f t="shared" si="0"/>
        <v>0</v>
      </c>
      <c r="I24" s="60">
        <v>1</v>
      </c>
    </row>
    <row r="25" spans="1:9" x14ac:dyDescent="0.45">
      <c r="A25" s="21" t="s">
        <v>183</v>
      </c>
      <c r="B25" s="14">
        <v>1</v>
      </c>
      <c r="C25" s="8">
        <f>IF(B$19=0,0,B25/B$19)</f>
        <v>0.33333333333333331</v>
      </c>
      <c r="E25" s="29" t="s">
        <v>85</v>
      </c>
      <c r="F25" s="26" t="s">
        <v>40</v>
      </c>
      <c r="G25" s="14">
        <v>0</v>
      </c>
      <c r="H25" s="92">
        <f t="shared" si="0"/>
        <v>0</v>
      </c>
      <c r="I25" s="60">
        <v>3</v>
      </c>
    </row>
    <row r="26" spans="1:9" x14ac:dyDescent="0.45">
      <c r="A26" s="21" t="s">
        <v>5</v>
      </c>
      <c r="B26" s="18">
        <f>IF(B$19=0,0,C26/B$19)</f>
        <v>5800</v>
      </c>
      <c r="C26" s="10">
        <v>17400</v>
      </c>
      <c r="E26" s="29" t="s">
        <v>86</v>
      </c>
      <c r="F26" s="26" t="s">
        <v>41</v>
      </c>
      <c r="G26" s="14">
        <v>0</v>
      </c>
      <c r="H26" s="92">
        <f t="shared" si="0"/>
        <v>0</v>
      </c>
      <c r="I26" s="60">
        <v>7</v>
      </c>
    </row>
    <row r="27" spans="1:9" x14ac:dyDescent="0.45">
      <c r="A27" s="22" t="s">
        <v>166</v>
      </c>
      <c r="B27" s="99">
        <f>IF($B$19-B$18=0,0,C27/($B$19-B$18))</f>
        <v>4850</v>
      </c>
      <c r="C27" s="100">
        <v>9700</v>
      </c>
      <c r="E27" s="29" t="s">
        <v>87</v>
      </c>
      <c r="F27" s="26" t="s">
        <v>42</v>
      </c>
      <c r="G27" s="14">
        <v>0</v>
      </c>
      <c r="H27" s="92">
        <f t="shared" si="0"/>
        <v>0</v>
      </c>
      <c r="I27" s="60">
        <v>1</v>
      </c>
    </row>
    <row r="28" spans="1:9" x14ac:dyDescent="0.45">
      <c r="A28" s="22" t="s">
        <v>167</v>
      </c>
      <c r="B28" s="99">
        <f>IF(B$18=0,0,C28/B$18)</f>
        <v>7700</v>
      </c>
      <c r="C28" s="100">
        <v>7700</v>
      </c>
      <c r="E28" s="29" t="s">
        <v>88</v>
      </c>
      <c r="F28" s="26" t="s">
        <v>43</v>
      </c>
      <c r="G28" s="14">
        <v>0</v>
      </c>
      <c r="H28" s="92">
        <f t="shared" si="0"/>
        <v>0</v>
      </c>
      <c r="I28" s="60">
        <v>1</v>
      </c>
    </row>
    <row r="29" spans="1:9" x14ac:dyDescent="0.45">
      <c r="A29" s="22" t="s">
        <v>165</v>
      </c>
      <c r="B29" s="99">
        <f>IF(B$20=0,0,C29/B$20)</f>
        <v>-3900</v>
      </c>
      <c r="C29" s="100">
        <v>-3900</v>
      </c>
      <c r="E29" s="29" t="s">
        <v>90</v>
      </c>
      <c r="F29" s="26" t="s">
        <v>45</v>
      </c>
      <c r="G29" s="14">
        <v>0</v>
      </c>
      <c r="H29" s="92">
        <f t="shared" si="0"/>
        <v>0</v>
      </c>
      <c r="I29" s="60">
        <v>1</v>
      </c>
    </row>
    <row r="30" spans="1:9" x14ac:dyDescent="0.45">
      <c r="A30" s="21" t="s">
        <v>158</v>
      </c>
      <c r="B30" s="14">
        <v>1</v>
      </c>
      <c r="C30" s="94">
        <v>0</v>
      </c>
      <c r="E30" s="29" t="s">
        <v>91</v>
      </c>
      <c r="F30" s="26" t="s">
        <v>46</v>
      </c>
      <c r="G30" s="14">
        <v>0</v>
      </c>
      <c r="H30" s="92">
        <f t="shared" si="0"/>
        <v>0</v>
      </c>
      <c r="I30" s="60">
        <v>4</v>
      </c>
    </row>
    <row r="31" spans="1:9" x14ac:dyDescent="0.45">
      <c r="A31" s="21" t="s">
        <v>159</v>
      </c>
      <c r="B31" s="14">
        <v>15</v>
      </c>
      <c r="C31" s="94">
        <v>15</v>
      </c>
      <c r="E31" s="29" t="s">
        <v>92</v>
      </c>
      <c r="F31" s="26" t="s">
        <v>47</v>
      </c>
      <c r="G31" s="14">
        <v>0</v>
      </c>
      <c r="H31" s="92">
        <f t="shared" si="0"/>
        <v>0</v>
      </c>
      <c r="I31" s="60">
        <v>3</v>
      </c>
    </row>
    <row r="32" spans="1:9" x14ac:dyDescent="0.45">
      <c r="A32" s="56" t="s">
        <v>136</v>
      </c>
      <c r="B32" s="141">
        <v>2</v>
      </c>
      <c r="C32" s="142"/>
      <c r="E32" s="29" t="s">
        <v>93</v>
      </c>
      <c r="F32" s="26" t="s">
        <v>48</v>
      </c>
      <c r="G32" s="14">
        <v>0</v>
      </c>
      <c r="H32" s="92">
        <f t="shared" si="0"/>
        <v>0</v>
      </c>
      <c r="I32" s="60">
        <v>1</v>
      </c>
    </row>
    <row r="33" spans="1:9" x14ac:dyDescent="0.45">
      <c r="A33" s="24" t="s">
        <v>181</v>
      </c>
      <c r="B33" s="143">
        <v>31700</v>
      </c>
      <c r="C33" s="144"/>
      <c r="E33" s="29" t="s">
        <v>94</v>
      </c>
      <c r="F33" s="26" t="s">
        <v>49</v>
      </c>
      <c r="G33" s="14">
        <v>0</v>
      </c>
      <c r="H33" s="92">
        <f t="shared" si="0"/>
        <v>0</v>
      </c>
      <c r="I33" s="60">
        <v>1</v>
      </c>
    </row>
    <row r="34" spans="1:9" x14ac:dyDescent="0.45">
      <c r="A34" s="23" t="s">
        <v>137</v>
      </c>
      <c r="B34" s="31">
        <v>0</v>
      </c>
      <c r="C34" s="11">
        <f>IF(B$3=0,0,B34/B$3)</f>
        <v>0</v>
      </c>
      <c r="E34" s="29" t="s">
        <v>95</v>
      </c>
      <c r="F34" s="26" t="s">
        <v>50</v>
      </c>
      <c r="G34" s="14">
        <v>0</v>
      </c>
      <c r="H34" s="92">
        <f t="shared" ref="H34:H65" si="3">IF(B$19=0,0,G34/B$19)</f>
        <v>0</v>
      </c>
      <c r="I34" s="60">
        <v>1</v>
      </c>
    </row>
    <row r="35" spans="1:9" x14ac:dyDescent="0.45">
      <c r="E35" s="29" t="s">
        <v>96</v>
      </c>
      <c r="F35" s="26" t="s">
        <v>51</v>
      </c>
      <c r="G35" s="14">
        <v>0</v>
      </c>
      <c r="H35" s="92">
        <f t="shared" si="3"/>
        <v>0</v>
      </c>
      <c r="I35" s="60">
        <v>1</v>
      </c>
    </row>
    <row r="36" spans="1:9" x14ac:dyDescent="0.45">
      <c r="A36" s="56" t="s">
        <v>172</v>
      </c>
      <c r="B36" s="125">
        <v>0</v>
      </c>
      <c r="C36" s="102">
        <f t="shared" ref="C36:C48" si="4">IF(B$19=0,0,B36/B$19)</f>
        <v>0</v>
      </c>
      <c r="E36" s="29" t="s">
        <v>97</v>
      </c>
      <c r="F36" s="26" t="s">
        <v>52</v>
      </c>
      <c r="G36" s="14">
        <v>0</v>
      </c>
      <c r="H36" s="92">
        <f t="shared" si="3"/>
        <v>0</v>
      </c>
      <c r="I36" s="60">
        <v>1</v>
      </c>
    </row>
    <row r="37" spans="1:9" x14ac:dyDescent="0.45">
      <c r="A37" s="21" t="s">
        <v>168</v>
      </c>
      <c r="B37" s="14">
        <v>1</v>
      </c>
      <c r="C37" s="8">
        <f t="shared" si="4"/>
        <v>0.33333333333333331</v>
      </c>
      <c r="E37" s="29" t="s">
        <v>98</v>
      </c>
      <c r="F37" s="26" t="s">
        <v>53</v>
      </c>
      <c r="G37" s="14">
        <v>0</v>
      </c>
      <c r="H37" s="92">
        <f t="shared" si="3"/>
        <v>0</v>
      </c>
      <c r="I37" s="60">
        <v>1</v>
      </c>
    </row>
    <row r="38" spans="1:9" x14ac:dyDescent="0.45">
      <c r="A38" s="21" t="s">
        <v>169</v>
      </c>
      <c r="B38" s="126">
        <v>0</v>
      </c>
      <c r="C38" s="8">
        <f t="shared" si="4"/>
        <v>0</v>
      </c>
      <c r="E38" s="29" t="s">
        <v>99</v>
      </c>
      <c r="F38" s="26" t="s">
        <v>54</v>
      </c>
      <c r="G38" s="14">
        <v>0</v>
      </c>
      <c r="H38" s="92">
        <f t="shared" si="3"/>
        <v>0</v>
      </c>
      <c r="I38" s="60">
        <v>1</v>
      </c>
    </row>
    <row r="39" spans="1:9" x14ac:dyDescent="0.45">
      <c r="A39" s="21" t="s">
        <v>170</v>
      </c>
      <c r="B39" s="126">
        <v>2</v>
      </c>
      <c r="C39" s="8">
        <f t="shared" si="4"/>
        <v>0.66666666666666663</v>
      </c>
      <c r="E39" s="29" t="s">
        <v>100</v>
      </c>
      <c r="F39" s="26" t="s">
        <v>55</v>
      </c>
      <c r="G39" s="14">
        <v>0</v>
      </c>
      <c r="H39" s="92">
        <f t="shared" si="3"/>
        <v>0</v>
      </c>
      <c r="I39" s="60">
        <v>1</v>
      </c>
    </row>
    <row r="40" spans="1:9" x14ac:dyDescent="0.45">
      <c r="A40" s="21" t="s">
        <v>171</v>
      </c>
      <c r="B40" s="126">
        <v>0</v>
      </c>
      <c r="C40" s="8">
        <f t="shared" si="4"/>
        <v>0</v>
      </c>
      <c r="E40" s="29" t="s">
        <v>101</v>
      </c>
      <c r="F40" s="26" t="s">
        <v>56</v>
      </c>
      <c r="G40" s="14">
        <v>0</v>
      </c>
      <c r="H40" s="92">
        <f t="shared" si="3"/>
        <v>0</v>
      </c>
      <c r="I40" s="60">
        <v>1</v>
      </c>
    </row>
    <row r="41" spans="1:9" x14ac:dyDescent="0.45">
      <c r="A41" s="21" t="s">
        <v>173</v>
      </c>
      <c r="B41" s="126">
        <v>0</v>
      </c>
      <c r="C41" s="8">
        <f t="shared" si="4"/>
        <v>0</v>
      </c>
      <c r="E41" s="29" t="s">
        <v>102</v>
      </c>
      <c r="F41" s="26" t="s">
        <v>57</v>
      </c>
      <c r="G41" s="14">
        <v>0</v>
      </c>
      <c r="H41" s="92">
        <f t="shared" si="3"/>
        <v>0</v>
      </c>
      <c r="I41" s="60">
        <v>1</v>
      </c>
    </row>
    <row r="42" spans="1:9" x14ac:dyDescent="0.45">
      <c r="A42" s="21" t="s">
        <v>174</v>
      </c>
      <c r="B42" s="126">
        <v>0</v>
      </c>
      <c r="C42" s="8">
        <f t="shared" si="4"/>
        <v>0</v>
      </c>
      <c r="E42" s="29" t="s">
        <v>103</v>
      </c>
      <c r="F42" s="26" t="s">
        <v>58</v>
      </c>
      <c r="G42" s="14">
        <v>0</v>
      </c>
      <c r="H42" s="92">
        <f t="shared" si="3"/>
        <v>0</v>
      </c>
      <c r="I42" s="60">
        <v>1</v>
      </c>
    </row>
    <row r="43" spans="1:9" x14ac:dyDescent="0.45">
      <c r="A43" s="21" t="s">
        <v>175</v>
      </c>
      <c r="B43" s="126">
        <v>0</v>
      </c>
      <c r="C43" s="8">
        <f t="shared" si="4"/>
        <v>0</v>
      </c>
      <c r="E43" s="29" t="s">
        <v>104</v>
      </c>
      <c r="F43" s="26" t="s">
        <v>59</v>
      </c>
      <c r="G43" s="14">
        <v>0</v>
      </c>
      <c r="H43" s="92">
        <f t="shared" si="3"/>
        <v>0</v>
      </c>
      <c r="I43" s="60">
        <v>1</v>
      </c>
    </row>
    <row r="44" spans="1:9" x14ac:dyDescent="0.45">
      <c r="A44" s="21" t="s">
        <v>176</v>
      </c>
      <c r="B44" s="126">
        <v>0</v>
      </c>
      <c r="C44" s="8">
        <f t="shared" si="4"/>
        <v>0</v>
      </c>
      <c r="E44" s="29" t="s">
        <v>105</v>
      </c>
      <c r="F44" s="26" t="s">
        <v>112</v>
      </c>
      <c r="G44" s="14">
        <v>0</v>
      </c>
      <c r="H44" s="92">
        <f t="shared" si="3"/>
        <v>0</v>
      </c>
      <c r="I44" s="60">
        <v>1</v>
      </c>
    </row>
    <row r="45" spans="1:9" x14ac:dyDescent="0.45">
      <c r="A45" s="21" t="s">
        <v>177</v>
      </c>
      <c r="B45" s="126">
        <v>0</v>
      </c>
      <c r="C45" s="8">
        <f t="shared" si="4"/>
        <v>0</v>
      </c>
      <c r="E45" s="29" t="s">
        <v>106</v>
      </c>
      <c r="F45" s="26" t="s">
        <v>113</v>
      </c>
      <c r="G45" s="14">
        <v>0</v>
      </c>
      <c r="H45" s="92">
        <f t="shared" si="3"/>
        <v>0</v>
      </c>
      <c r="I45" s="60">
        <v>1</v>
      </c>
    </row>
    <row r="46" spans="1:9" x14ac:dyDescent="0.45">
      <c r="A46" s="21" t="s">
        <v>178</v>
      </c>
      <c r="B46" s="126">
        <v>0</v>
      </c>
      <c r="C46" s="8">
        <f t="shared" si="4"/>
        <v>0</v>
      </c>
      <c r="E46" s="29" t="s">
        <v>107</v>
      </c>
      <c r="F46" s="26" t="s">
        <v>114</v>
      </c>
      <c r="G46" s="14">
        <v>0</v>
      </c>
      <c r="H46" s="92">
        <f t="shared" si="3"/>
        <v>0</v>
      </c>
      <c r="I46" s="60">
        <v>1</v>
      </c>
    </row>
    <row r="47" spans="1:9" x14ac:dyDescent="0.45">
      <c r="A47" s="21" t="s">
        <v>179</v>
      </c>
      <c r="B47" s="126">
        <v>0</v>
      </c>
      <c r="C47" s="8">
        <f t="shared" si="4"/>
        <v>0</v>
      </c>
      <c r="E47" s="29" t="s">
        <v>108</v>
      </c>
      <c r="F47" s="26" t="s">
        <v>60</v>
      </c>
      <c r="G47" s="14">
        <v>0</v>
      </c>
      <c r="H47" s="92">
        <f t="shared" si="3"/>
        <v>0</v>
      </c>
      <c r="I47" s="60">
        <v>1</v>
      </c>
    </row>
    <row r="48" spans="1:9" x14ac:dyDescent="0.45">
      <c r="A48" s="23" t="s">
        <v>180</v>
      </c>
      <c r="B48" s="101">
        <v>0</v>
      </c>
      <c r="C48" s="11">
        <f t="shared" si="4"/>
        <v>0</v>
      </c>
      <c r="E48" s="29" t="s">
        <v>109</v>
      </c>
      <c r="F48" s="26" t="s">
        <v>61</v>
      </c>
      <c r="G48" s="14">
        <v>0</v>
      </c>
      <c r="H48" s="92">
        <f t="shared" si="3"/>
        <v>0</v>
      </c>
      <c r="I48" s="60">
        <v>1</v>
      </c>
    </row>
    <row r="49" spans="5:9" x14ac:dyDescent="0.45">
      <c r="E49" s="29" t="s">
        <v>110</v>
      </c>
      <c r="F49" s="26" t="s">
        <v>62</v>
      </c>
      <c r="G49" s="14">
        <v>0</v>
      </c>
      <c r="H49" s="92">
        <f t="shared" si="3"/>
        <v>0</v>
      </c>
      <c r="I49" s="60">
        <v>1</v>
      </c>
    </row>
    <row r="50" spans="5:9" x14ac:dyDescent="0.45">
      <c r="E50" s="29" t="s">
        <v>111</v>
      </c>
      <c r="F50" s="26" t="s">
        <v>63</v>
      </c>
      <c r="G50" s="14">
        <v>0</v>
      </c>
      <c r="H50" s="92">
        <f t="shared" si="3"/>
        <v>0</v>
      </c>
      <c r="I50" s="60">
        <v>1</v>
      </c>
    </row>
    <row r="51" spans="5:9" x14ac:dyDescent="0.45">
      <c r="E51" s="95" t="s">
        <v>156</v>
      </c>
      <c r="F51" s="96" t="s">
        <v>157</v>
      </c>
      <c r="G51" s="15">
        <v>0</v>
      </c>
      <c r="H51" s="97">
        <f t="shared" si="3"/>
        <v>0</v>
      </c>
      <c r="I51" s="98">
        <v>4</v>
      </c>
    </row>
    <row r="52" spans="5:9" x14ac:dyDescent="0.45">
      <c r="E52" s="30" t="s">
        <v>162</v>
      </c>
      <c r="F52" s="27" t="s">
        <v>163</v>
      </c>
      <c r="G52" s="16">
        <v>0</v>
      </c>
      <c r="H52" s="93">
        <f t="shared" si="3"/>
        <v>0</v>
      </c>
      <c r="I52" s="61">
        <v>1</v>
      </c>
    </row>
  </sheetData>
  <sortState xmlns:xlrd2="http://schemas.microsoft.com/office/spreadsheetml/2017/richdata2" ref="E2:I53">
    <sortCondition descending="1" ref="H1"/>
  </sortState>
  <mergeCells count="9">
    <mergeCell ref="B13:C13"/>
    <mergeCell ref="B32:C32"/>
    <mergeCell ref="B33:C33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22BD75E-6A88-4E67-8A68-C9D67507F3BB}">
  <sheetPr codeName="Sheet15"/>
  <dimension ref="A1:Q52"/>
  <sheetViews>
    <sheetView showGridLines="0" zoomScaleNormal="100" workbookViewId="0"/>
  </sheetViews>
  <sheetFormatPr defaultColWidth="9" defaultRowHeight="18" x14ac:dyDescent="0.45"/>
  <cols>
    <col min="1" max="1" width="13" style="107" customWidth="1"/>
    <col min="2" max="3" width="9" style="107" customWidth="1"/>
    <col min="4" max="4" width="3.59765625" style="107" customWidth="1"/>
    <col min="5" max="5" width="3.59765625" style="116" bestFit="1" customWidth="1"/>
    <col min="6" max="6" width="11" style="111" bestFit="1" customWidth="1"/>
    <col min="7" max="9" width="9" style="107" customWidth="1"/>
    <col min="10" max="10" width="3.59765625" style="107" customWidth="1"/>
    <col min="11" max="11" width="3.5" style="7" customWidth="1"/>
    <col min="12" max="12" width="9" style="65" customWidth="1"/>
    <col min="13" max="13" width="3.59765625" style="107" customWidth="1"/>
    <col min="14" max="14" width="9" style="78" customWidth="1"/>
    <col min="15" max="15" width="9" style="87" customWidth="1"/>
    <col min="16" max="16" width="9" style="81" customWidth="1"/>
    <col min="17" max="17" width="3.59765625" style="72" customWidth="1"/>
    <col min="18" max="16384" width="9" style="107"/>
  </cols>
  <sheetData>
    <row r="1" spans="1:17" x14ac:dyDescent="0.45">
      <c r="A1" s="19" t="s">
        <v>0</v>
      </c>
      <c r="B1" s="145" t="s">
        <v>194</v>
      </c>
      <c r="C1" s="146"/>
      <c r="E1" s="108" t="s">
        <v>155</v>
      </c>
      <c r="F1" s="124" t="s">
        <v>115</v>
      </c>
      <c r="G1" s="123" t="s">
        <v>116</v>
      </c>
      <c r="H1" s="90" t="s">
        <v>117</v>
      </c>
      <c r="I1" s="124" t="s">
        <v>146</v>
      </c>
      <c r="K1" s="4" t="s">
        <v>19</v>
      </c>
      <c r="L1" s="124" t="s">
        <v>120</v>
      </c>
      <c r="M1" s="109"/>
      <c r="N1" s="76" t="s">
        <v>134</v>
      </c>
      <c r="O1" s="4" t="s">
        <v>135</v>
      </c>
      <c r="P1" s="110" t="s">
        <v>116</v>
      </c>
      <c r="Q1" s="66" t="s">
        <v>148</v>
      </c>
    </row>
    <row r="2" spans="1:17" x14ac:dyDescent="0.45">
      <c r="A2" s="20" t="s">
        <v>9</v>
      </c>
      <c r="B2" s="147">
        <v>13</v>
      </c>
      <c r="C2" s="148"/>
      <c r="E2" s="28" t="s">
        <v>66</v>
      </c>
      <c r="F2" s="25" t="s">
        <v>22</v>
      </c>
      <c r="G2" s="13">
        <v>33</v>
      </c>
      <c r="H2" s="91">
        <f t="shared" ref="H2:H33" si="0">IF(B$19=0,0,G2/B$19)</f>
        <v>1.03125</v>
      </c>
      <c r="I2" s="59">
        <v>2</v>
      </c>
      <c r="K2" s="5">
        <v>0</v>
      </c>
      <c r="L2" s="64">
        <v>0</v>
      </c>
      <c r="N2" s="77" t="s">
        <v>128</v>
      </c>
      <c r="O2" s="83">
        <f t="shared" ref="O2:O7" si="1">IF(P2=0,0,Q2/P2)</f>
        <v>-676.92307692307691</v>
      </c>
      <c r="P2" s="80">
        <v>13</v>
      </c>
      <c r="Q2" s="67">
        <v>-8800</v>
      </c>
    </row>
    <row r="3" spans="1:17" x14ac:dyDescent="0.45">
      <c r="A3" s="21" t="s">
        <v>8</v>
      </c>
      <c r="B3" s="149">
        <v>98</v>
      </c>
      <c r="C3" s="150"/>
      <c r="E3" s="29" t="s">
        <v>72</v>
      </c>
      <c r="F3" s="26" t="s">
        <v>27</v>
      </c>
      <c r="G3" s="14">
        <v>18</v>
      </c>
      <c r="H3" s="92">
        <f t="shared" si="0"/>
        <v>0.5625</v>
      </c>
      <c r="I3" s="60">
        <v>8</v>
      </c>
      <c r="K3" s="7">
        <v>1</v>
      </c>
      <c r="L3" s="65">
        <v>55.6</v>
      </c>
      <c r="N3" s="78" t="s">
        <v>129</v>
      </c>
      <c r="O3" s="84">
        <f t="shared" si="1"/>
        <v>1615.3846153846155</v>
      </c>
      <c r="P3" s="81">
        <v>13</v>
      </c>
      <c r="Q3" s="68">
        <v>21000</v>
      </c>
    </row>
    <row r="4" spans="1:17" x14ac:dyDescent="0.45">
      <c r="A4" s="21" t="s">
        <v>6</v>
      </c>
      <c r="B4" s="151">
        <v>65.800000000000011</v>
      </c>
      <c r="C4" s="152"/>
      <c r="E4" s="29" t="s">
        <v>64</v>
      </c>
      <c r="F4" s="26" t="s">
        <v>20</v>
      </c>
      <c r="G4" s="14">
        <v>15</v>
      </c>
      <c r="H4" s="92">
        <f t="shared" si="0"/>
        <v>0.46875</v>
      </c>
      <c r="I4" s="60">
        <v>2</v>
      </c>
      <c r="K4" s="7">
        <v>2</v>
      </c>
      <c r="L4" s="65">
        <v>24.900000000000002</v>
      </c>
      <c r="N4" s="78" t="s">
        <v>130</v>
      </c>
      <c r="O4" s="84">
        <f t="shared" si="1"/>
        <v>284.61538461538464</v>
      </c>
      <c r="P4" s="81">
        <v>13</v>
      </c>
      <c r="Q4" s="68">
        <v>3700</v>
      </c>
    </row>
    <row r="5" spans="1:17" x14ac:dyDescent="0.45">
      <c r="A5" s="21" t="s">
        <v>7</v>
      </c>
      <c r="B5" s="139">
        <f>IF(B$2=0,0,B$4/B$2)</f>
        <v>5.0615384615384622</v>
      </c>
      <c r="C5" s="140"/>
      <c r="E5" s="29" t="s">
        <v>67</v>
      </c>
      <c r="F5" s="26" t="s">
        <v>23</v>
      </c>
      <c r="G5" s="14">
        <v>10</v>
      </c>
      <c r="H5" s="92">
        <f t="shared" si="0"/>
        <v>0.3125</v>
      </c>
      <c r="I5" s="60">
        <v>4</v>
      </c>
      <c r="K5" s="7">
        <v>3</v>
      </c>
      <c r="L5" s="65">
        <v>-20.599999999999998</v>
      </c>
      <c r="N5" s="78" t="s">
        <v>131</v>
      </c>
      <c r="O5" s="84">
        <f t="shared" si="1"/>
        <v>1009.0909090909091</v>
      </c>
      <c r="P5" s="81">
        <v>11</v>
      </c>
      <c r="Q5" s="68">
        <v>11100</v>
      </c>
    </row>
    <row r="6" spans="1:17" x14ac:dyDescent="0.45">
      <c r="A6" s="21" t="s">
        <v>1</v>
      </c>
      <c r="B6" s="153">
        <f>IF(B$2=0,0,(B$7*1+B$8*2+B$9*3)/B$2)</f>
        <v>2</v>
      </c>
      <c r="C6" s="154"/>
      <c r="E6" s="29" t="s">
        <v>160</v>
      </c>
      <c r="F6" s="26" t="s">
        <v>161</v>
      </c>
      <c r="G6" s="14">
        <v>8</v>
      </c>
      <c r="H6" s="92">
        <f t="shared" si="0"/>
        <v>0.25</v>
      </c>
      <c r="I6" s="60">
        <v>9</v>
      </c>
      <c r="K6" s="7">
        <v>4</v>
      </c>
      <c r="L6" s="65">
        <v>-25</v>
      </c>
      <c r="N6" s="78" t="s">
        <v>132</v>
      </c>
      <c r="O6" s="84">
        <f t="shared" si="1"/>
        <v>2188.8888888888887</v>
      </c>
      <c r="P6" s="81">
        <v>9</v>
      </c>
      <c r="Q6" s="68">
        <v>19700</v>
      </c>
    </row>
    <row r="7" spans="1:17" x14ac:dyDescent="0.45">
      <c r="A7" s="21" t="s">
        <v>2</v>
      </c>
      <c r="B7" s="14">
        <v>5</v>
      </c>
      <c r="C7" s="8">
        <f t="shared" ref="C7:C14" si="2">IF(B$2=0,0,B7/B$2)</f>
        <v>0.38461538461538464</v>
      </c>
      <c r="E7" s="29" t="s">
        <v>68</v>
      </c>
      <c r="F7" s="26" t="s">
        <v>12</v>
      </c>
      <c r="G7" s="14">
        <v>7</v>
      </c>
      <c r="H7" s="92">
        <f t="shared" si="0"/>
        <v>0.21875</v>
      </c>
      <c r="I7" s="60">
        <v>8</v>
      </c>
      <c r="K7" s="7">
        <v>5</v>
      </c>
      <c r="L7" s="65">
        <v>-53</v>
      </c>
      <c r="N7" s="79" t="s">
        <v>133</v>
      </c>
      <c r="O7" s="85">
        <f t="shared" si="1"/>
        <v>1266.6666666666667</v>
      </c>
      <c r="P7" s="82">
        <v>9</v>
      </c>
      <c r="Q7" s="69">
        <v>11400</v>
      </c>
    </row>
    <row r="8" spans="1:17" x14ac:dyDescent="0.45">
      <c r="A8" s="21" t="s">
        <v>3</v>
      </c>
      <c r="B8" s="14">
        <v>3</v>
      </c>
      <c r="C8" s="8">
        <f t="shared" si="2"/>
        <v>0.23076923076923078</v>
      </c>
      <c r="E8" s="29" t="s">
        <v>69</v>
      </c>
      <c r="F8" s="26" t="s">
        <v>24</v>
      </c>
      <c r="G8" s="14">
        <v>5</v>
      </c>
      <c r="H8" s="92">
        <f t="shared" si="0"/>
        <v>0.15625</v>
      </c>
      <c r="I8" s="60">
        <v>3</v>
      </c>
      <c r="K8" s="7">
        <v>6</v>
      </c>
      <c r="L8" s="65">
        <v>-32.799999999999997</v>
      </c>
      <c r="N8" s="111"/>
      <c r="O8" s="89"/>
      <c r="P8" s="112"/>
      <c r="Q8" s="74"/>
    </row>
    <row r="9" spans="1:17" x14ac:dyDescent="0.45">
      <c r="A9" s="22" t="s">
        <v>4</v>
      </c>
      <c r="B9" s="15">
        <v>5</v>
      </c>
      <c r="C9" s="9">
        <f t="shared" si="2"/>
        <v>0.38461538461538464</v>
      </c>
      <c r="E9" s="29" t="s">
        <v>89</v>
      </c>
      <c r="F9" s="26" t="s">
        <v>44</v>
      </c>
      <c r="G9" s="14">
        <v>4</v>
      </c>
      <c r="H9" s="92">
        <f t="shared" si="0"/>
        <v>0.125</v>
      </c>
      <c r="I9" s="60">
        <v>9</v>
      </c>
      <c r="K9" s="7">
        <v>7</v>
      </c>
      <c r="L9" s="65">
        <v>-22.199999999999996</v>
      </c>
      <c r="N9" s="76" t="s">
        <v>151</v>
      </c>
      <c r="O9" s="4" t="s">
        <v>120</v>
      </c>
      <c r="P9" s="110" t="s">
        <v>116</v>
      </c>
      <c r="Q9" s="70" t="s">
        <v>148</v>
      </c>
    </row>
    <row r="10" spans="1:17" x14ac:dyDescent="0.45">
      <c r="A10" s="22" t="s">
        <v>185</v>
      </c>
      <c r="B10" s="113">
        <f>IF(B7=0,0,C10/B7)</f>
        <v>36.58</v>
      </c>
      <c r="C10" s="114">
        <v>182.89999999999998</v>
      </c>
      <c r="E10" s="29" t="s">
        <v>71</v>
      </c>
      <c r="F10" s="26" t="s">
        <v>26</v>
      </c>
      <c r="G10" s="14">
        <v>2</v>
      </c>
      <c r="H10" s="92">
        <f t="shared" si="0"/>
        <v>6.25E-2</v>
      </c>
      <c r="I10" s="60">
        <v>3</v>
      </c>
      <c r="K10" s="7">
        <v>8</v>
      </c>
      <c r="L10" s="65">
        <v>0.30000000000000426</v>
      </c>
      <c r="N10" s="77" t="s">
        <v>152</v>
      </c>
      <c r="O10" s="86">
        <f>IF(P10=0,0,Q10/P10)</f>
        <v>-21.033333333333335</v>
      </c>
      <c r="P10" s="80">
        <v>3</v>
      </c>
      <c r="Q10" s="71">
        <v>-63.1</v>
      </c>
    </row>
    <row r="11" spans="1:17" x14ac:dyDescent="0.45">
      <c r="A11" s="22" t="s">
        <v>186</v>
      </c>
      <c r="B11" s="113">
        <f>IF(B8=0,0,C11/B8)</f>
        <v>8.7999999999999989</v>
      </c>
      <c r="C11" s="114">
        <v>26.4</v>
      </c>
      <c r="E11" s="29" t="s">
        <v>81</v>
      </c>
      <c r="F11" s="26" t="s">
        <v>36</v>
      </c>
      <c r="G11" s="14">
        <v>2</v>
      </c>
      <c r="H11" s="92">
        <f t="shared" si="0"/>
        <v>6.25E-2</v>
      </c>
      <c r="I11" s="60">
        <v>4</v>
      </c>
      <c r="K11" s="7">
        <v>9</v>
      </c>
      <c r="L11" s="65">
        <v>20.500000000000004</v>
      </c>
      <c r="N11" s="78" t="s">
        <v>153</v>
      </c>
      <c r="O11" s="87">
        <f>IF(P11=0,0,Q11/P11)</f>
        <v>5.7400000000000011</v>
      </c>
      <c r="P11" s="81">
        <v>5</v>
      </c>
      <c r="Q11" s="72">
        <v>28.700000000000006</v>
      </c>
    </row>
    <row r="12" spans="1:17" x14ac:dyDescent="0.45">
      <c r="A12" s="22" t="s">
        <v>187</v>
      </c>
      <c r="B12" s="113">
        <f>IF(B9=0,0,C12/B9)</f>
        <v>-28.7</v>
      </c>
      <c r="C12" s="114">
        <v>-143.5</v>
      </c>
      <c r="E12" s="29" t="s">
        <v>83</v>
      </c>
      <c r="F12" s="26" t="s">
        <v>38</v>
      </c>
      <c r="G12" s="14">
        <v>2</v>
      </c>
      <c r="H12" s="92">
        <f t="shared" si="0"/>
        <v>6.25E-2</v>
      </c>
      <c r="I12" s="60">
        <v>4</v>
      </c>
      <c r="K12" s="7">
        <v>10</v>
      </c>
      <c r="L12" s="65">
        <v>6.9000000000000039</v>
      </c>
      <c r="N12" s="79" t="s">
        <v>154</v>
      </c>
      <c r="O12" s="88">
        <f>IF(P12=0,0,Q12/P12)</f>
        <v>20.04</v>
      </c>
      <c r="P12" s="82">
        <v>5</v>
      </c>
      <c r="Q12" s="73">
        <v>100.2</v>
      </c>
    </row>
    <row r="13" spans="1:17" x14ac:dyDescent="0.45">
      <c r="A13" s="22" t="s">
        <v>188</v>
      </c>
      <c r="B13" s="139">
        <f>AVERAGE(B10:B12)</f>
        <v>5.5599999999999987</v>
      </c>
      <c r="C13" s="140"/>
      <c r="E13" s="29" t="s">
        <v>91</v>
      </c>
      <c r="F13" s="26" t="s">
        <v>46</v>
      </c>
      <c r="G13" s="14">
        <v>2</v>
      </c>
      <c r="H13" s="92">
        <f t="shared" si="0"/>
        <v>6.25E-2</v>
      </c>
      <c r="I13" s="60">
        <v>1</v>
      </c>
      <c r="K13" s="7">
        <v>11</v>
      </c>
      <c r="L13" s="65">
        <v>-18.799999999999997</v>
      </c>
      <c r="N13" s="107"/>
      <c r="O13" s="75"/>
      <c r="P13" s="115"/>
      <c r="Q13" s="75"/>
    </row>
    <row r="14" spans="1:17" x14ac:dyDescent="0.45">
      <c r="A14" s="23" t="s">
        <v>18</v>
      </c>
      <c r="B14" s="16">
        <v>1</v>
      </c>
      <c r="C14" s="11">
        <f t="shared" si="2"/>
        <v>7.6923076923076927E-2</v>
      </c>
      <c r="E14" s="29" t="s">
        <v>65</v>
      </c>
      <c r="F14" s="26" t="s">
        <v>21</v>
      </c>
      <c r="G14" s="14">
        <v>1</v>
      </c>
      <c r="H14" s="92">
        <f t="shared" si="0"/>
        <v>3.125E-2</v>
      </c>
      <c r="I14" s="60">
        <v>7</v>
      </c>
      <c r="K14" s="7">
        <v>12</v>
      </c>
      <c r="L14" s="65">
        <v>32.1</v>
      </c>
      <c r="N14" s="76" t="s">
        <v>147</v>
      </c>
      <c r="O14" s="4" t="s">
        <v>120</v>
      </c>
      <c r="P14" s="110" t="s">
        <v>116</v>
      </c>
      <c r="Q14" s="70" t="s">
        <v>148</v>
      </c>
    </row>
    <row r="15" spans="1:17" x14ac:dyDescent="0.45">
      <c r="A15" s="24" t="s">
        <v>121</v>
      </c>
      <c r="B15" s="17">
        <v>25</v>
      </c>
      <c r="C15" s="12">
        <f>IF(B$3=0,0,B15/B$3)</f>
        <v>0.25510204081632654</v>
      </c>
      <c r="E15" s="29" t="s">
        <v>70</v>
      </c>
      <c r="F15" s="26" t="s">
        <v>25</v>
      </c>
      <c r="G15" s="14">
        <v>1</v>
      </c>
      <c r="H15" s="92">
        <f t="shared" si="0"/>
        <v>3.125E-2</v>
      </c>
      <c r="I15" s="60">
        <v>8</v>
      </c>
      <c r="K15" s="7">
        <v>13</v>
      </c>
      <c r="L15" s="65">
        <v>65.800000000000011</v>
      </c>
      <c r="N15" s="77" t="s">
        <v>208</v>
      </c>
      <c r="O15" s="86">
        <f t="shared" ref="O15:O23" si="3">IF(P15=0,0,Q15/P15)</f>
        <v>44.4</v>
      </c>
      <c r="P15" s="80">
        <v>1</v>
      </c>
      <c r="Q15" s="71">
        <v>44.4</v>
      </c>
    </row>
    <row r="16" spans="1:17" x14ac:dyDescent="0.45">
      <c r="A16" s="21" t="s">
        <v>118</v>
      </c>
      <c r="B16" s="14">
        <v>22</v>
      </c>
      <c r="C16" s="8">
        <f>IF(B$3=0,0,B16/B$3)</f>
        <v>0.22448979591836735</v>
      </c>
      <c r="E16" s="29" t="s">
        <v>73</v>
      </c>
      <c r="F16" s="26" t="s">
        <v>28</v>
      </c>
      <c r="G16" s="14">
        <v>1</v>
      </c>
      <c r="H16" s="92">
        <f t="shared" si="0"/>
        <v>3.125E-2</v>
      </c>
      <c r="I16" s="60">
        <v>1</v>
      </c>
      <c r="N16" s="78" t="s">
        <v>198</v>
      </c>
      <c r="O16" s="87">
        <f t="shared" si="3"/>
        <v>16.2</v>
      </c>
      <c r="P16" s="81">
        <v>1</v>
      </c>
      <c r="Q16" s="72">
        <v>16.2</v>
      </c>
    </row>
    <row r="17" spans="1:17" x14ac:dyDescent="0.45">
      <c r="A17" s="20" t="s">
        <v>123</v>
      </c>
      <c r="B17" s="13">
        <f>B23</f>
        <v>15</v>
      </c>
      <c r="C17" s="6">
        <f>IF(B$15=0,0,B17/B$15)</f>
        <v>0.6</v>
      </c>
      <c r="E17" s="29" t="s">
        <v>75</v>
      </c>
      <c r="F17" s="26" t="s">
        <v>30</v>
      </c>
      <c r="G17" s="14">
        <v>1</v>
      </c>
      <c r="H17" s="92">
        <f t="shared" si="0"/>
        <v>3.125E-2</v>
      </c>
      <c r="I17" s="60">
        <v>1</v>
      </c>
      <c r="N17" s="78" t="s">
        <v>207</v>
      </c>
      <c r="O17" s="87">
        <f t="shared" si="3"/>
        <v>16.2</v>
      </c>
      <c r="P17" s="81">
        <v>1</v>
      </c>
      <c r="Q17" s="72">
        <v>16.2</v>
      </c>
    </row>
    <row r="18" spans="1:17" x14ac:dyDescent="0.45">
      <c r="A18" s="20" t="s">
        <v>124</v>
      </c>
      <c r="B18" s="13">
        <f>B24</f>
        <v>12</v>
      </c>
      <c r="C18" s="6">
        <f>IF(B$16=0,0,B18/B$16)</f>
        <v>0.54545454545454541</v>
      </c>
      <c r="E18" s="29" t="s">
        <v>78</v>
      </c>
      <c r="F18" s="26" t="s">
        <v>33</v>
      </c>
      <c r="G18" s="14">
        <v>1</v>
      </c>
      <c r="H18" s="92">
        <f t="shared" si="0"/>
        <v>3.125E-2</v>
      </c>
      <c r="I18" s="60">
        <v>4</v>
      </c>
      <c r="N18" s="78" t="s">
        <v>164</v>
      </c>
      <c r="O18" s="87">
        <f t="shared" si="3"/>
        <v>15.799999999999997</v>
      </c>
      <c r="P18" s="81">
        <v>2</v>
      </c>
      <c r="Q18" s="72">
        <v>31.599999999999994</v>
      </c>
    </row>
    <row r="19" spans="1:17" x14ac:dyDescent="0.45">
      <c r="A19" s="20" t="s">
        <v>10</v>
      </c>
      <c r="B19" s="13">
        <f>B22+B21</f>
        <v>32</v>
      </c>
      <c r="C19" s="6">
        <f>IF(B$3=0,0,B19/B$3)</f>
        <v>0.32653061224489793</v>
      </c>
      <c r="E19" s="29" t="s">
        <v>86</v>
      </c>
      <c r="F19" s="26" t="s">
        <v>41</v>
      </c>
      <c r="G19" s="14">
        <v>1</v>
      </c>
      <c r="H19" s="92">
        <f t="shared" si="0"/>
        <v>3.125E-2</v>
      </c>
      <c r="I19" s="60">
        <v>6</v>
      </c>
      <c r="N19" s="78" t="s">
        <v>201</v>
      </c>
      <c r="O19" s="87">
        <f t="shared" si="3"/>
        <v>9.4124999999999996</v>
      </c>
      <c r="P19" s="81">
        <v>8</v>
      </c>
      <c r="Q19" s="72">
        <v>75.3</v>
      </c>
    </row>
    <row r="20" spans="1:17" x14ac:dyDescent="0.45">
      <c r="A20" s="21" t="s">
        <v>13</v>
      </c>
      <c r="B20" s="14">
        <v>16</v>
      </c>
      <c r="C20" s="8">
        <f>IF(B$3=0,0,B20/B$3)</f>
        <v>0.16326530612244897</v>
      </c>
      <c r="E20" s="29" t="s">
        <v>74</v>
      </c>
      <c r="F20" s="26" t="s">
        <v>29</v>
      </c>
      <c r="G20" s="14">
        <v>0</v>
      </c>
      <c r="H20" s="92">
        <f t="shared" si="0"/>
        <v>0</v>
      </c>
      <c r="I20" s="60">
        <v>1</v>
      </c>
      <c r="N20" s="78" t="s">
        <v>195</v>
      </c>
      <c r="O20" s="87">
        <f t="shared" si="3"/>
        <v>6.5999999999999988</v>
      </c>
      <c r="P20" s="81">
        <v>3</v>
      </c>
      <c r="Q20" s="72">
        <v>19.799999999999997</v>
      </c>
    </row>
    <row r="21" spans="1:17" x14ac:dyDescent="0.45">
      <c r="A21" s="21" t="s">
        <v>12</v>
      </c>
      <c r="B21" s="14">
        <v>15</v>
      </c>
      <c r="C21" s="8">
        <f>IF(B$19=0,0,B21/B$19)</f>
        <v>0.46875</v>
      </c>
      <c r="E21" s="29" t="s">
        <v>76</v>
      </c>
      <c r="F21" s="26" t="s">
        <v>31</v>
      </c>
      <c r="G21" s="14">
        <v>0</v>
      </c>
      <c r="H21" s="92">
        <f t="shared" si="0"/>
        <v>0</v>
      </c>
      <c r="I21" s="60">
        <v>1</v>
      </c>
      <c r="N21" s="78" t="s">
        <v>126</v>
      </c>
      <c r="O21" s="87">
        <f t="shared" si="3"/>
        <v>5.5</v>
      </c>
      <c r="P21" s="81">
        <v>7</v>
      </c>
      <c r="Q21" s="72">
        <v>38.5</v>
      </c>
    </row>
    <row r="22" spans="1:17" x14ac:dyDescent="0.45">
      <c r="A22" s="21" t="s">
        <v>11</v>
      </c>
      <c r="B22" s="14">
        <v>17</v>
      </c>
      <c r="C22" s="8">
        <f>IF(B$19=0,0,B22/B$19)</f>
        <v>0.53125</v>
      </c>
      <c r="E22" s="29" t="s">
        <v>77</v>
      </c>
      <c r="F22" s="26" t="s">
        <v>32</v>
      </c>
      <c r="G22" s="14">
        <v>0</v>
      </c>
      <c r="H22" s="92">
        <f t="shared" si="0"/>
        <v>0</v>
      </c>
      <c r="I22" s="60">
        <v>3</v>
      </c>
      <c r="N22" s="78" t="s">
        <v>200</v>
      </c>
      <c r="O22" s="87">
        <f t="shared" si="3"/>
        <v>-7.1999999999999993</v>
      </c>
      <c r="P22" s="81">
        <v>2</v>
      </c>
      <c r="Q22" s="72">
        <v>-14.399999999999999</v>
      </c>
    </row>
    <row r="23" spans="1:17" x14ac:dyDescent="0.45">
      <c r="A23" s="21" t="s">
        <v>184</v>
      </c>
      <c r="B23" s="14">
        <v>15</v>
      </c>
      <c r="C23" s="8">
        <f>IF(B$19=0,0,B23/B$19)</f>
        <v>0.46875</v>
      </c>
      <c r="E23" s="29" t="s">
        <v>79</v>
      </c>
      <c r="F23" s="26" t="s">
        <v>34</v>
      </c>
      <c r="G23" s="14">
        <v>0</v>
      </c>
      <c r="H23" s="92">
        <f t="shared" si="0"/>
        <v>0</v>
      </c>
      <c r="I23" s="60">
        <v>4</v>
      </c>
      <c r="N23" s="78" t="s">
        <v>190</v>
      </c>
      <c r="O23" s="87">
        <f t="shared" si="3"/>
        <v>-30.200000000000003</v>
      </c>
      <c r="P23" s="81">
        <v>1</v>
      </c>
      <c r="Q23" s="72">
        <v>-30.200000000000003</v>
      </c>
    </row>
    <row r="24" spans="1:17" x14ac:dyDescent="0.45">
      <c r="A24" s="21" t="s">
        <v>182</v>
      </c>
      <c r="B24" s="14">
        <v>12</v>
      </c>
      <c r="C24" s="8">
        <f>IF(B$19=0,0,B24/B$19)</f>
        <v>0.375</v>
      </c>
      <c r="E24" s="29" t="s">
        <v>80</v>
      </c>
      <c r="F24" s="26" t="s">
        <v>35</v>
      </c>
      <c r="G24" s="14">
        <v>0</v>
      </c>
      <c r="H24" s="92">
        <f t="shared" si="0"/>
        <v>0</v>
      </c>
      <c r="I24" s="60">
        <v>1</v>
      </c>
    </row>
    <row r="25" spans="1:17" x14ac:dyDescent="0.45">
      <c r="A25" s="21" t="s">
        <v>183</v>
      </c>
      <c r="B25" s="14">
        <v>5</v>
      </c>
      <c r="C25" s="8">
        <f>IF(B$19=0,0,B25/B$19)</f>
        <v>0.15625</v>
      </c>
      <c r="E25" s="29" t="s">
        <v>82</v>
      </c>
      <c r="F25" s="26" t="s">
        <v>37</v>
      </c>
      <c r="G25" s="14">
        <v>0</v>
      </c>
      <c r="H25" s="92">
        <f t="shared" si="0"/>
        <v>0</v>
      </c>
      <c r="I25" s="60">
        <v>1</v>
      </c>
    </row>
    <row r="26" spans="1:17" x14ac:dyDescent="0.45">
      <c r="A26" s="21" t="s">
        <v>5</v>
      </c>
      <c r="B26" s="18">
        <f>IF(B$19=0,0,C26/B$19)</f>
        <v>8165.625</v>
      </c>
      <c r="C26" s="10">
        <v>261300</v>
      </c>
      <c r="E26" s="29" t="s">
        <v>84</v>
      </c>
      <c r="F26" s="26" t="s">
        <v>39</v>
      </c>
      <c r="G26" s="14">
        <v>0</v>
      </c>
      <c r="H26" s="92">
        <f t="shared" si="0"/>
        <v>0</v>
      </c>
      <c r="I26" s="60">
        <v>1</v>
      </c>
    </row>
    <row r="27" spans="1:17" x14ac:dyDescent="0.45">
      <c r="A27" s="22" t="s">
        <v>166</v>
      </c>
      <c r="B27" s="99">
        <f>IF($B$19-B$18=0,0,C27/($B$19-B$18))</f>
        <v>8615</v>
      </c>
      <c r="C27" s="100">
        <v>172300</v>
      </c>
      <c r="E27" s="29" t="s">
        <v>85</v>
      </c>
      <c r="F27" s="26" t="s">
        <v>40</v>
      </c>
      <c r="G27" s="14">
        <v>0</v>
      </c>
      <c r="H27" s="92">
        <f t="shared" si="0"/>
        <v>0</v>
      </c>
      <c r="I27" s="60">
        <v>3</v>
      </c>
    </row>
    <row r="28" spans="1:17" x14ac:dyDescent="0.45">
      <c r="A28" s="22" t="s">
        <v>167</v>
      </c>
      <c r="B28" s="99">
        <f>IF(B$18=0,0,C28/B$18)</f>
        <v>7416.666666666667</v>
      </c>
      <c r="C28" s="100">
        <v>89000</v>
      </c>
      <c r="E28" s="29" t="s">
        <v>87</v>
      </c>
      <c r="F28" s="26" t="s">
        <v>42</v>
      </c>
      <c r="G28" s="14">
        <v>0</v>
      </c>
      <c r="H28" s="92">
        <f t="shared" si="0"/>
        <v>0</v>
      </c>
      <c r="I28" s="60">
        <v>1</v>
      </c>
    </row>
    <row r="29" spans="1:17" x14ac:dyDescent="0.45">
      <c r="A29" s="22" t="s">
        <v>165</v>
      </c>
      <c r="B29" s="99">
        <f>IF(B$20=0,0,C29/B$20)</f>
        <v>-7356.25</v>
      </c>
      <c r="C29" s="100">
        <v>-117700</v>
      </c>
      <c r="E29" s="29" t="s">
        <v>88</v>
      </c>
      <c r="F29" s="26" t="s">
        <v>43</v>
      </c>
      <c r="G29" s="14">
        <v>0</v>
      </c>
      <c r="H29" s="92">
        <f t="shared" si="0"/>
        <v>0</v>
      </c>
      <c r="I29" s="60">
        <v>1</v>
      </c>
    </row>
    <row r="30" spans="1:17" x14ac:dyDescent="0.45">
      <c r="A30" s="21" t="s">
        <v>158</v>
      </c>
      <c r="B30" s="14">
        <v>4</v>
      </c>
      <c r="C30" s="94">
        <v>1</v>
      </c>
      <c r="E30" s="29" t="s">
        <v>90</v>
      </c>
      <c r="F30" s="26" t="s">
        <v>45</v>
      </c>
      <c r="G30" s="14">
        <v>0</v>
      </c>
      <c r="H30" s="92">
        <f t="shared" si="0"/>
        <v>0</v>
      </c>
      <c r="I30" s="60">
        <v>1</v>
      </c>
    </row>
    <row r="31" spans="1:17" x14ac:dyDescent="0.45">
      <c r="A31" s="21" t="s">
        <v>159</v>
      </c>
      <c r="B31" s="14">
        <v>30</v>
      </c>
      <c r="C31" s="94">
        <v>4</v>
      </c>
      <c r="E31" s="29" t="s">
        <v>92</v>
      </c>
      <c r="F31" s="26" t="s">
        <v>47</v>
      </c>
      <c r="G31" s="14">
        <v>0</v>
      </c>
      <c r="H31" s="92">
        <f t="shared" si="0"/>
        <v>0</v>
      </c>
      <c r="I31" s="60">
        <v>3</v>
      </c>
    </row>
    <row r="32" spans="1:17" x14ac:dyDescent="0.45">
      <c r="A32" s="56" t="s">
        <v>136</v>
      </c>
      <c r="B32" s="141">
        <v>6</v>
      </c>
      <c r="C32" s="142"/>
      <c r="E32" s="29" t="s">
        <v>93</v>
      </c>
      <c r="F32" s="26" t="s">
        <v>48</v>
      </c>
      <c r="G32" s="14">
        <v>0</v>
      </c>
      <c r="H32" s="92">
        <f t="shared" si="0"/>
        <v>0</v>
      </c>
      <c r="I32" s="60">
        <v>1</v>
      </c>
    </row>
    <row r="33" spans="1:9" x14ac:dyDescent="0.45">
      <c r="A33" s="24" t="s">
        <v>181</v>
      </c>
      <c r="B33" s="143">
        <v>80600</v>
      </c>
      <c r="C33" s="144"/>
      <c r="E33" s="29" t="s">
        <v>94</v>
      </c>
      <c r="F33" s="26" t="s">
        <v>49</v>
      </c>
      <c r="G33" s="14">
        <v>0</v>
      </c>
      <c r="H33" s="92">
        <f t="shared" si="0"/>
        <v>0</v>
      </c>
      <c r="I33" s="60">
        <v>1</v>
      </c>
    </row>
    <row r="34" spans="1:9" x14ac:dyDescent="0.45">
      <c r="A34" s="23" t="s">
        <v>137</v>
      </c>
      <c r="B34" s="31">
        <v>1</v>
      </c>
      <c r="C34" s="11">
        <f>IF(B$3=0,0,B34/B$3)</f>
        <v>1.020408163265306E-2</v>
      </c>
      <c r="E34" s="29" t="s">
        <v>95</v>
      </c>
      <c r="F34" s="26" t="s">
        <v>50</v>
      </c>
      <c r="G34" s="14">
        <v>0</v>
      </c>
      <c r="H34" s="92">
        <f t="shared" ref="H34:H65" si="4">IF(B$19=0,0,G34/B$19)</f>
        <v>0</v>
      </c>
      <c r="I34" s="60">
        <v>1</v>
      </c>
    </row>
    <row r="35" spans="1:9" x14ac:dyDescent="0.45">
      <c r="E35" s="29" t="s">
        <v>96</v>
      </c>
      <c r="F35" s="26" t="s">
        <v>51</v>
      </c>
      <c r="G35" s="14">
        <v>0</v>
      </c>
      <c r="H35" s="92">
        <f t="shared" si="4"/>
        <v>0</v>
      </c>
      <c r="I35" s="60">
        <v>1</v>
      </c>
    </row>
    <row r="36" spans="1:9" x14ac:dyDescent="0.45">
      <c r="A36" s="56" t="s">
        <v>172</v>
      </c>
      <c r="B36" s="125">
        <v>2</v>
      </c>
      <c r="C36" s="102">
        <f t="shared" ref="C36:C48" si="5">IF(B$19=0,0,B36/B$19)</f>
        <v>6.25E-2</v>
      </c>
      <c r="E36" s="29" t="s">
        <v>97</v>
      </c>
      <c r="F36" s="26" t="s">
        <v>52</v>
      </c>
      <c r="G36" s="14">
        <v>0</v>
      </c>
      <c r="H36" s="92">
        <f t="shared" si="4"/>
        <v>0</v>
      </c>
      <c r="I36" s="60">
        <v>1</v>
      </c>
    </row>
    <row r="37" spans="1:9" x14ac:dyDescent="0.45">
      <c r="A37" s="21" t="s">
        <v>168</v>
      </c>
      <c r="B37" s="14">
        <v>7</v>
      </c>
      <c r="C37" s="8">
        <f t="shared" si="5"/>
        <v>0.21875</v>
      </c>
      <c r="E37" s="29" t="s">
        <v>98</v>
      </c>
      <c r="F37" s="26" t="s">
        <v>53</v>
      </c>
      <c r="G37" s="14">
        <v>0</v>
      </c>
      <c r="H37" s="92">
        <f t="shared" si="4"/>
        <v>0</v>
      </c>
      <c r="I37" s="60">
        <v>1</v>
      </c>
    </row>
    <row r="38" spans="1:9" x14ac:dyDescent="0.45">
      <c r="A38" s="21" t="s">
        <v>169</v>
      </c>
      <c r="B38" s="126">
        <v>6</v>
      </c>
      <c r="C38" s="8">
        <f t="shared" si="5"/>
        <v>0.1875</v>
      </c>
      <c r="E38" s="29" t="s">
        <v>99</v>
      </c>
      <c r="F38" s="26" t="s">
        <v>54</v>
      </c>
      <c r="G38" s="14">
        <v>0</v>
      </c>
      <c r="H38" s="92">
        <f t="shared" si="4"/>
        <v>0</v>
      </c>
      <c r="I38" s="60">
        <v>1</v>
      </c>
    </row>
    <row r="39" spans="1:9" x14ac:dyDescent="0.45">
      <c r="A39" s="21" t="s">
        <v>170</v>
      </c>
      <c r="B39" s="126">
        <v>6</v>
      </c>
      <c r="C39" s="8">
        <f t="shared" si="5"/>
        <v>0.1875</v>
      </c>
      <c r="E39" s="29" t="s">
        <v>100</v>
      </c>
      <c r="F39" s="26" t="s">
        <v>55</v>
      </c>
      <c r="G39" s="14">
        <v>0</v>
      </c>
      <c r="H39" s="92">
        <f t="shared" si="4"/>
        <v>0</v>
      </c>
      <c r="I39" s="60">
        <v>1</v>
      </c>
    </row>
    <row r="40" spans="1:9" x14ac:dyDescent="0.45">
      <c r="A40" s="21" t="s">
        <v>171</v>
      </c>
      <c r="B40" s="126">
        <v>2</v>
      </c>
      <c r="C40" s="8">
        <f t="shared" si="5"/>
        <v>6.25E-2</v>
      </c>
      <c r="E40" s="29" t="s">
        <v>101</v>
      </c>
      <c r="F40" s="26" t="s">
        <v>56</v>
      </c>
      <c r="G40" s="14">
        <v>0</v>
      </c>
      <c r="H40" s="92">
        <f t="shared" si="4"/>
        <v>0</v>
      </c>
      <c r="I40" s="60">
        <v>1</v>
      </c>
    </row>
    <row r="41" spans="1:9" x14ac:dyDescent="0.45">
      <c r="A41" s="21" t="s">
        <v>173</v>
      </c>
      <c r="B41" s="126">
        <v>4</v>
      </c>
      <c r="C41" s="8">
        <f t="shared" si="5"/>
        <v>0.125</v>
      </c>
      <c r="E41" s="29" t="s">
        <v>102</v>
      </c>
      <c r="F41" s="26" t="s">
        <v>57</v>
      </c>
      <c r="G41" s="14">
        <v>0</v>
      </c>
      <c r="H41" s="92">
        <f t="shared" si="4"/>
        <v>0</v>
      </c>
      <c r="I41" s="60">
        <v>1</v>
      </c>
    </row>
    <row r="42" spans="1:9" x14ac:dyDescent="0.45">
      <c r="A42" s="21" t="s">
        <v>174</v>
      </c>
      <c r="B42" s="126">
        <v>2</v>
      </c>
      <c r="C42" s="8">
        <f t="shared" si="5"/>
        <v>6.25E-2</v>
      </c>
      <c r="E42" s="29" t="s">
        <v>103</v>
      </c>
      <c r="F42" s="26" t="s">
        <v>58</v>
      </c>
      <c r="G42" s="14">
        <v>0</v>
      </c>
      <c r="H42" s="92">
        <f t="shared" si="4"/>
        <v>0</v>
      </c>
      <c r="I42" s="60">
        <v>1</v>
      </c>
    </row>
    <row r="43" spans="1:9" x14ac:dyDescent="0.45">
      <c r="A43" s="21" t="s">
        <v>175</v>
      </c>
      <c r="B43" s="126">
        <v>1</v>
      </c>
      <c r="C43" s="8">
        <f t="shared" si="5"/>
        <v>3.125E-2</v>
      </c>
      <c r="E43" s="29" t="s">
        <v>104</v>
      </c>
      <c r="F43" s="26" t="s">
        <v>59</v>
      </c>
      <c r="G43" s="14">
        <v>0</v>
      </c>
      <c r="H43" s="92">
        <f t="shared" si="4"/>
        <v>0</v>
      </c>
      <c r="I43" s="60">
        <v>1</v>
      </c>
    </row>
    <row r="44" spans="1:9" x14ac:dyDescent="0.45">
      <c r="A44" s="21" t="s">
        <v>176</v>
      </c>
      <c r="B44" s="126">
        <v>1</v>
      </c>
      <c r="C44" s="8">
        <f t="shared" si="5"/>
        <v>3.125E-2</v>
      </c>
      <c r="E44" s="29" t="s">
        <v>105</v>
      </c>
      <c r="F44" s="26" t="s">
        <v>112</v>
      </c>
      <c r="G44" s="14">
        <v>0</v>
      </c>
      <c r="H44" s="92">
        <f t="shared" si="4"/>
        <v>0</v>
      </c>
      <c r="I44" s="60">
        <v>1</v>
      </c>
    </row>
    <row r="45" spans="1:9" x14ac:dyDescent="0.45">
      <c r="A45" s="21" t="s">
        <v>177</v>
      </c>
      <c r="B45" s="126">
        <v>0</v>
      </c>
      <c r="C45" s="8">
        <f t="shared" si="5"/>
        <v>0</v>
      </c>
      <c r="E45" s="29" t="s">
        <v>106</v>
      </c>
      <c r="F45" s="26" t="s">
        <v>113</v>
      </c>
      <c r="G45" s="14">
        <v>0</v>
      </c>
      <c r="H45" s="92">
        <f t="shared" si="4"/>
        <v>0</v>
      </c>
      <c r="I45" s="60">
        <v>1</v>
      </c>
    </row>
    <row r="46" spans="1:9" x14ac:dyDescent="0.45">
      <c r="A46" s="21" t="s">
        <v>178</v>
      </c>
      <c r="B46" s="126">
        <v>1</v>
      </c>
      <c r="C46" s="8">
        <f t="shared" si="5"/>
        <v>3.125E-2</v>
      </c>
      <c r="E46" s="29" t="s">
        <v>107</v>
      </c>
      <c r="F46" s="26" t="s">
        <v>114</v>
      </c>
      <c r="G46" s="14">
        <v>0</v>
      </c>
      <c r="H46" s="92">
        <f t="shared" si="4"/>
        <v>0</v>
      </c>
      <c r="I46" s="60">
        <v>1</v>
      </c>
    </row>
    <row r="47" spans="1:9" x14ac:dyDescent="0.45">
      <c r="A47" s="21" t="s">
        <v>179</v>
      </c>
      <c r="B47" s="126">
        <v>0</v>
      </c>
      <c r="C47" s="8">
        <f t="shared" si="5"/>
        <v>0</v>
      </c>
      <c r="E47" s="29" t="s">
        <v>108</v>
      </c>
      <c r="F47" s="26" t="s">
        <v>60</v>
      </c>
      <c r="G47" s="14">
        <v>0</v>
      </c>
      <c r="H47" s="92">
        <f t="shared" si="4"/>
        <v>0</v>
      </c>
      <c r="I47" s="60">
        <v>1</v>
      </c>
    </row>
    <row r="48" spans="1:9" x14ac:dyDescent="0.45">
      <c r="A48" s="23" t="s">
        <v>180</v>
      </c>
      <c r="B48" s="101">
        <v>0</v>
      </c>
      <c r="C48" s="11">
        <f t="shared" si="5"/>
        <v>0</v>
      </c>
      <c r="E48" s="29" t="s">
        <v>109</v>
      </c>
      <c r="F48" s="26" t="s">
        <v>61</v>
      </c>
      <c r="G48" s="14">
        <v>0</v>
      </c>
      <c r="H48" s="92">
        <f t="shared" si="4"/>
        <v>0</v>
      </c>
      <c r="I48" s="60">
        <v>1</v>
      </c>
    </row>
    <row r="49" spans="5:9" x14ac:dyDescent="0.45">
      <c r="E49" s="29" t="s">
        <v>110</v>
      </c>
      <c r="F49" s="26" t="s">
        <v>62</v>
      </c>
      <c r="G49" s="14">
        <v>0</v>
      </c>
      <c r="H49" s="92">
        <f t="shared" si="4"/>
        <v>0</v>
      </c>
      <c r="I49" s="60">
        <v>1</v>
      </c>
    </row>
    <row r="50" spans="5:9" x14ac:dyDescent="0.45">
      <c r="E50" s="29" t="s">
        <v>111</v>
      </c>
      <c r="F50" s="26" t="s">
        <v>63</v>
      </c>
      <c r="G50" s="14">
        <v>0</v>
      </c>
      <c r="H50" s="92">
        <f t="shared" si="4"/>
        <v>0</v>
      </c>
      <c r="I50" s="60">
        <v>1</v>
      </c>
    </row>
    <row r="51" spans="5:9" x14ac:dyDescent="0.45">
      <c r="E51" s="95" t="s">
        <v>156</v>
      </c>
      <c r="F51" s="96" t="s">
        <v>157</v>
      </c>
      <c r="G51" s="15">
        <v>0</v>
      </c>
      <c r="H51" s="97">
        <f t="shared" si="4"/>
        <v>0</v>
      </c>
      <c r="I51" s="98">
        <v>4</v>
      </c>
    </row>
    <row r="52" spans="5:9" x14ac:dyDescent="0.45">
      <c r="E52" s="30" t="s">
        <v>162</v>
      </c>
      <c r="F52" s="27" t="s">
        <v>163</v>
      </c>
      <c r="G52" s="16">
        <v>0</v>
      </c>
      <c r="H52" s="93">
        <f t="shared" si="4"/>
        <v>0</v>
      </c>
      <c r="I52" s="61">
        <v>1</v>
      </c>
    </row>
  </sheetData>
  <sortState xmlns:xlrd2="http://schemas.microsoft.com/office/spreadsheetml/2017/richdata2" ref="N15:Q23">
    <sortCondition descending="1" ref="O15"/>
  </sortState>
  <mergeCells count="9">
    <mergeCell ref="B13:C13"/>
    <mergeCell ref="B32:C32"/>
    <mergeCell ref="B33:C33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482659-B6DC-4C0A-B351-DEF0856C2B6A}">
  <sheetPr codeName="Sheet17"/>
  <dimension ref="A1:Q52"/>
  <sheetViews>
    <sheetView showGridLines="0" zoomScaleNormal="100" workbookViewId="0"/>
  </sheetViews>
  <sheetFormatPr defaultColWidth="9" defaultRowHeight="18" x14ac:dyDescent="0.45"/>
  <cols>
    <col min="1" max="1" width="13" style="107" customWidth="1"/>
    <col min="2" max="3" width="9" style="107" customWidth="1"/>
    <col min="4" max="4" width="3.59765625" style="107" customWidth="1"/>
    <col min="5" max="5" width="3.59765625" style="116" bestFit="1" customWidth="1"/>
    <col min="6" max="6" width="11" style="111" bestFit="1" customWidth="1"/>
    <col min="7" max="9" width="9" style="107" customWidth="1"/>
    <col min="10" max="10" width="3.59765625" style="107" customWidth="1"/>
    <col min="11" max="11" width="3.5" style="7" customWidth="1"/>
    <col min="12" max="12" width="9" style="65" customWidth="1"/>
    <col min="13" max="13" width="3.59765625" style="107" customWidth="1"/>
    <col min="14" max="14" width="9" style="78" customWidth="1"/>
    <col min="15" max="15" width="9" style="87" customWidth="1"/>
    <col min="16" max="16" width="9" style="81" customWidth="1"/>
    <col min="17" max="17" width="3.59765625" style="72" customWidth="1"/>
    <col min="18" max="16384" width="9" style="107"/>
  </cols>
  <sheetData>
    <row r="1" spans="1:17" x14ac:dyDescent="0.45">
      <c r="A1" s="19" t="s">
        <v>0</v>
      </c>
      <c r="B1" s="145" t="s">
        <v>198</v>
      </c>
      <c r="C1" s="146"/>
      <c r="E1" s="108" t="s">
        <v>155</v>
      </c>
      <c r="F1" s="128" t="s">
        <v>115</v>
      </c>
      <c r="G1" s="127" t="s">
        <v>116</v>
      </c>
      <c r="H1" s="90" t="s">
        <v>117</v>
      </c>
      <c r="I1" s="128" t="s">
        <v>146</v>
      </c>
      <c r="K1" s="4" t="s">
        <v>19</v>
      </c>
      <c r="L1" s="128" t="s">
        <v>120</v>
      </c>
      <c r="M1" s="109"/>
      <c r="N1" s="76" t="s">
        <v>134</v>
      </c>
      <c r="O1" s="4" t="s">
        <v>135</v>
      </c>
      <c r="P1" s="110" t="s">
        <v>116</v>
      </c>
      <c r="Q1" s="66" t="s">
        <v>148</v>
      </c>
    </row>
    <row r="2" spans="1:17" x14ac:dyDescent="0.45">
      <c r="A2" s="20" t="s">
        <v>9</v>
      </c>
      <c r="B2" s="147">
        <v>7</v>
      </c>
      <c r="C2" s="148"/>
      <c r="E2" s="28" t="s">
        <v>66</v>
      </c>
      <c r="F2" s="25" t="s">
        <v>22</v>
      </c>
      <c r="G2" s="13">
        <v>13</v>
      </c>
      <c r="H2" s="91">
        <f t="shared" ref="H2:H33" si="0">IF(B$19=0,0,G2/B$19)</f>
        <v>0.65</v>
      </c>
      <c r="I2" s="59">
        <v>6</v>
      </c>
      <c r="K2" s="5">
        <v>0</v>
      </c>
      <c r="L2" s="64">
        <v>0</v>
      </c>
      <c r="N2" s="77" t="s">
        <v>128</v>
      </c>
      <c r="O2" s="83">
        <f t="shared" ref="O2:O7" si="1">IF(P2=0,0,Q2/P2)</f>
        <v>-3000</v>
      </c>
      <c r="P2" s="80">
        <v>7</v>
      </c>
      <c r="Q2" s="67">
        <v>-21000</v>
      </c>
    </row>
    <row r="3" spans="1:17" x14ac:dyDescent="0.45">
      <c r="A3" s="21" t="s">
        <v>8</v>
      </c>
      <c r="B3" s="149">
        <v>64</v>
      </c>
      <c r="C3" s="150"/>
      <c r="E3" s="29" t="s">
        <v>160</v>
      </c>
      <c r="F3" s="26" t="s">
        <v>161</v>
      </c>
      <c r="G3" s="14">
        <v>10</v>
      </c>
      <c r="H3" s="92">
        <f t="shared" si="0"/>
        <v>0.5</v>
      </c>
      <c r="I3" s="60">
        <v>2</v>
      </c>
      <c r="K3" s="7">
        <v>1</v>
      </c>
      <c r="L3" s="65">
        <v>11.6</v>
      </c>
      <c r="N3" s="78" t="s">
        <v>129</v>
      </c>
      <c r="O3" s="84">
        <f t="shared" si="1"/>
        <v>3650</v>
      </c>
      <c r="P3" s="81">
        <v>6</v>
      </c>
      <c r="Q3" s="68">
        <v>21900</v>
      </c>
    </row>
    <row r="4" spans="1:17" x14ac:dyDescent="0.45">
      <c r="A4" s="21" t="s">
        <v>6</v>
      </c>
      <c r="B4" s="151">
        <v>25.9</v>
      </c>
      <c r="C4" s="152"/>
      <c r="E4" s="29" t="s">
        <v>64</v>
      </c>
      <c r="F4" s="26" t="s">
        <v>20</v>
      </c>
      <c r="G4" s="14">
        <v>9</v>
      </c>
      <c r="H4" s="92">
        <f t="shared" si="0"/>
        <v>0.45</v>
      </c>
      <c r="I4" s="60">
        <v>3</v>
      </c>
      <c r="K4" s="7">
        <v>2</v>
      </c>
      <c r="L4" s="65">
        <v>42.9</v>
      </c>
      <c r="N4" s="78" t="s">
        <v>130</v>
      </c>
      <c r="O4" s="84">
        <f t="shared" si="1"/>
        <v>3816.6666666666665</v>
      </c>
      <c r="P4" s="81">
        <v>6</v>
      </c>
      <c r="Q4" s="68">
        <v>22900</v>
      </c>
    </row>
    <row r="5" spans="1:17" x14ac:dyDescent="0.45">
      <c r="A5" s="21" t="s">
        <v>7</v>
      </c>
      <c r="B5" s="139">
        <f>IF(B$2=0,0,B$4/B$2)</f>
        <v>3.6999999999999997</v>
      </c>
      <c r="C5" s="140"/>
      <c r="E5" s="29" t="s">
        <v>72</v>
      </c>
      <c r="F5" s="26" t="s">
        <v>27</v>
      </c>
      <c r="G5" s="14">
        <v>8</v>
      </c>
      <c r="H5" s="92">
        <f t="shared" si="0"/>
        <v>0.4</v>
      </c>
      <c r="I5" s="60">
        <v>9</v>
      </c>
      <c r="K5" s="7">
        <v>3</v>
      </c>
      <c r="L5" s="65">
        <v>49.199999999999996</v>
      </c>
      <c r="N5" s="78" t="s">
        <v>131</v>
      </c>
      <c r="O5" s="84">
        <f t="shared" si="1"/>
        <v>3583.3333333333335</v>
      </c>
      <c r="P5" s="81">
        <v>6</v>
      </c>
      <c r="Q5" s="68">
        <v>21500</v>
      </c>
    </row>
    <row r="6" spans="1:17" x14ac:dyDescent="0.45">
      <c r="A6" s="21" t="s">
        <v>1</v>
      </c>
      <c r="B6" s="153">
        <f>IF(B$2=0,0,(B$7*1+B$8*2+B$9*3)/B$2)</f>
        <v>1.7142857142857142</v>
      </c>
      <c r="C6" s="154"/>
      <c r="E6" s="29" t="s">
        <v>68</v>
      </c>
      <c r="F6" s="26" t="s">
        <v>12</v>
      </c>
      <c r="G6" s="14">
        <v>6</v>
      </c>
      <c r="H6" s="92">
        <f t="shared" si="0"/>
        <v>0.3</v>
      </c>
      <c r="I6" s="60">
        <v>5</v>
      </c>
      <c r="K6" s="7">
        <v>4</v>
      </c>
      <c r="L6" s="65">
        <v>75.8</v>
      </c>
      <c r="N6" s="78" t="s">
        <v>132</v>
      </c>
      <c r="O6" s="84">
        <f t="shared" si="1"/>
        <v>-283.33333333333331</v>
      </c>
      <c r="P6" s="81">
        <v>6</v>
      </c>
      <c r="Q6" s="68">
        <v>-1700</v>
      </c>
    </row>
    <row r="7" spans="1:17" x14ac:dyDescent="0.45">
      <c r="A7" s="21" t="s">
        <v>2</v>
      </c>
      <c r="B7" s="14">
        <v>3</v>
      </c>
      <c r="C7" s="8">
        <f t="shared" ref="C7:C14" si="2">IF(B$2=0,0,B7/B$2)</f>
        <v>0.42857142857142855</v>
      </c>
      <c r="E7" s="29" t="s">
        <v>70</v>
      </c>
      <c r="F7" s="26" t="s">
        <v>25</v>
      </c>
      <c r="G7" s="14">
        <v>6</v>
      </c>
      <c r="H7" s="92">
        <f t="shared" si="0"/>
        <v>0.3</v>
      </c>
      <c r="I7" s="60">
        <v>1</v>
      </c>
      <c r="K7" s="7">
        <v>5</v>
      </c>
      <c r="L7" s="65">
        <v>47.8</v>
      </c>
      <c r="N7" s="79" t="s">
        <v>133</v>
      </c>
      <c r="O7" s="85">
        <f t="shared" si="1"/>
        <v>-2660</v>
      </c>
      <c r="P7" s="82">
        <v>5</v>
      </c>
      <c r="Q7" s="69">
        <v>-13300</v>
      </c>
    </row>
    <row r="8" spans="1:17" x14ac:dyDescent="0.45">
      <c r="A8" s="21" t="s">
        <v>3</v>
      </c>
      <c r="B8" s="14">
        <v>3</v>
      </c>
      <c r="C8" s="8">
        <f t="shared" si="2"/>
        <v>0.42857142857142855</v>
      </c>
      <c r="E8" s="29" t="s">
        <v>71</v>
      </c>
      <c r="F8" s="26" t="s">
        <v>26</v>
      </c>
      <c r="G8" s="14">
        <v>3</v>
      </c>
      <c r="H8" s="92">
        <f t="shared" si="0"/>
        <v>0.15</v>
      </c>
      <c r="I8" s="60">
        <v>1</v>
      </c>
      <c r="K8" s="7">
        <v>6</v>
      </c>
      <c r="L8" s="65">
        <v>26.4</v>
      </c>
      <c r="N8" s="111"/>
      <c r="O8" s="89"/>
      <c r="P8" s="112"/>
      <c r="Q8" s="74"/>
    </row>
    <row r="9" spans="1:17" x14ac:dyDescent="0.45">
      <c r="A9" s="22" t="s">
        <v>4</v>
      </c>
      <c r="B9" s="15">
        <v>1</v>
      </c>
      <c r="C9" s="9">
        <f t="shared" si="2"/>
        <v>0.14285714285714285</v>
      </c>
      <c r="E9" s="29" t="s">
        <v>89</v>
      </c>
      <c r="F9" s="26" t="s">
        <v>44</v>
      </c>
      <c r="G9" s="14">
        <v>3</v>
      </c>
      <c r="H9" s="92">
        <f t="shared" si="0"/>
        <v>0.15</v>
      </c>
      <c r="I9" s="60">
        <v>8</v>
      </c>
      <c r="K9" s="7">
        <v>7</v>
      </c>
      <c r="L9" s="65">
        <v>25.9</v>
      </c>
      <c r="N9" s="76" t="s">
        <v>151</v>
      </c>
      <c r="O9" s="4" t="s">
        <v>120</v>
      </c>
      <c r="P9" s="110" t="s">
        <v>116</v>
      </c>
      <c r="Q9" s="70" t="s">
        <v>148</v>
      </c>
    </row>
    <row r="10" spans="1:17" x14ac:dyDescent="0.45">
      <c r="A10" s="22" t="s">
        <v>185</v>
      </c>
      <c r="B10" s="113">
        <f>IF(B7=0,0,C10/B7)</f>
        <v>23.166666666666668</v>
      </c>
      <c r="C10" s="114">
        <v>69.5</v>
      </c>
      <c r="E10" s="29" t="s">
        <v>67</v>
      </c>
      <c r="F10" s="26" t="s">
        <v>23</v>
      </c>
      <c r="G10" s="14">
        <v>2</v>
      </c>
      <c r="H10" s="92">
        <f t="shared" si="0"/>
        <v>0.1</v>
      </c>
      <c r="I10" s="60">
        <v>10</v>
      </c>
      <c r="N10" s="77" t="s">
        <v>152</v>
      </c>
      <c r="O10" s="86">
        <f>IF(P10=0,0,Q10/P10)</f>
        <v>-7.5999999999999988</v>
      </c>
      <c r="P10" s="80">
        <v>3</v>
      </c>
      <c r="Q10" s="71">
        <v>-22.799999999999997</v>
      </c>
    </row>
    <row r="11" spans="1:17" x14ac:dyDescent="0.45">
      <c r="A11" s="22" t="s">
        <v>186</v>
      </c>
      <c r="B11" s="113">
        <f>IF(B8=0,0,C11/B8)</f>
        <v>-7.3999999999999995</v>
      </c>
      <c r="C11" s="114">
        <v>-22.2</v>
      </c>
      <c r="E11" s="29" t="s">
        <v>69</v>
      </c>
      <c r="F11" s="26" t="s">
        <v>24</v>
      </c>
      <c r="G11" s="14">
        <v>1</v>
      </c>
      <c r="H11" s="92">
        <f t="shared" si="0"/>
        <v>0.05</v>
      </c>
      <c r="I11" s="60">
        <v>8</v>
      </c>
      <c r="N11" s="78" t="s">
        <v>153</v>
      </c>
      <c r="O11" s="87">
        <f>IF(P11=0,0,Q11/P11)</f>
        <v>8.9499999999999993</v>
      </c>
      <c r="P11" s="81">
        <v>2</v>
      </c>
      <c r="Q11" s="72">
        <v>17.899999999999999</v>
      </c>
    </row>
    <row r="12" spans="1:17" x14ac:dyDescent="0.45">
      <c r="A12" s="22" t="s">
        <v>187</v>
      </c>
      <c r="B12" s="113">
        <f>IF(B9=0,0,C12/B9)</f>
        <v>-21.4</v>
      </c>
      <c r="C12" s="114">
        <v>-21.4</v>
      </c>
      <c r="E12" s="29" t="s">
        <v>78</v>
      </c>
      <c r="F12" s="26" t="s">
        <v>33</v>
      </c>
      <c r="G12" s="14">
        <v>1</v>
      </c>
      <c r="H12" s="92">
        <f t="shared" si="0"/>
        <v>0.05</v>
      </c>
      <c r="I12" s="60">
        <v>3</v>
      </c>
      <c r="N12" s="79" t="s">
        <v>154</v>
      </c>
      <c r="O12" s="88">
        <f>IF(P12=0,0,Q12/P12)</f>
        <v>15.4</v>
      </c>
      <c r="P12" s="82">
        <v>2</v>
      </c>
      <c r="Q12" s="73">
        <v>30.8</v>
      </c>
    </row>
    <row r="13" spans="1:17" x14ac:dyDescent="0.45">
      <c r="A13" s="22" t="s">
        <v>188</v>
      </c>
      <c r="B13" s="139">
        <f>AVERAGE(B10:B12)</f>
        <v>-1.8777777777777764</v>
      </c>
      <c r="C13" s="140"/>
      <c r="E13" s="29" t="s">
        <v>79</v>
      </c>
      <c r="F13" s="26" t="s">
        <v>34</v>
      </c>
      <c r="G13" s="14">
        <v>1</v>
      </c>
      <c r="H13" s="92">
        <f t="shared" si="0"/>
        <v>0.05</v>
      </c>
      <c r="I13" s="60">
        <v>1</v>
      </c>
      <c r="N13" s="107"/>
      <c r="O13" s="75"/>
      <c r="P13" s="115"/>
      <c r="Q13" s="75"/>
    </row>
    <row r="14" spans="1:17" x14ac:dyDescent="0.45">
      <c r="A14" s="23" t="s">
        <v>18</v>
      </c>
      <c r="B14" s="16">
        <v>0</v>
      </c>
      <c r="C14" s="11">
        <f t="shared" si="2"/>
        <v>0</v>
      </c>
      <c r="E14" s="29" t="s">
        <v>156</v>
      </c>
      <c r="F14" s="26" t="s">
        <v>157</v>
      </c>
      <c r="G14" s="14">
        <v>1</v>
      </c>
      <c r="H14" s="92">
        <f t="shared" si="0"/>
        <v>0.05</v>
      </c>
      <c r="I14" s="60">
        <v>1</v>
      </c>
      <c r="N14" s="76" t="s">
        <v>147</v>
      </c>
      <c r="O14" s="4" t="s">
        <v>120</v>
      </c>
      <c r="P14" s="110" t="s">
        <v>116</v>
      </c>
      <c r="Q14" s="70" t="s">
        <v>148</v>
      </c>
    </row>
    <row r="15" spans="1:17" x14ac:dyDescent="0.45">
      <c r="A15" s="24" t="s">
        <v>121</v>
      </c>
      <c r="B15" s="17">
        <v>16</v>
      </c>
      <c r="C15" s="12">
        <f>IF(B$3=0,0,B15/B$3)</f>
        <v>0.25</v>
      </c>
      <c r="E15" s="29" t="s">
        <v>65</v>
      </c>
      <c r="F15" s="26" t="s">
        <v>21</v>
      </c>
      <c r="G15" s="14">
        <v>0</v>
      </c>
      <c r="H15" s="92">
        <f t="shared" si="0"/>
        <v>0</v>
      </c>
      <c r="I15" s="60">
        <v>8</v>
      </c>
      <c r="N15" s="77" t="s">
        <v>164</v>
      </c>
      <c r="O15" s="86">
        <f t="shared" ref="O15:O20" si="3">IF(P15=0,0,Q15/P15)</f>
        <v>40.900000000000006</v>
      </c>
      <c r="P15" s="80">
        <v>2</v>
      </c>
      <c r="Q15" s="71">
        <v>81.800000000000011</v>
      </c>
    </row>
    <row r="16" spans="1:17" x14ac:dyDescent="0.45">
      <c r="A16" s="21" t="s">
        <v>118</v>
      </c>
      <c r="B16" s="14">
        <v>13</v>
      </c>
      <c r="C16" s="8">
        <f>IF(B$3=0,0,B16/B$3)</f>
        <v>0.203125</v>
      </c>
      <c r="E16" s="29" t="s">
        <v>73</v>
      </c>
      <c r="F16" s="26" t="s">
        <v>28</v>
      </c>
      <c r="G16" s="14">
        <v>0</v>
      </c>
      <c r="H16" s="92">
        <f t="shared" si="0"/>
        <v>0</v>
      </c>
      <c r="I16" s="60">
        <v>3</v>
      </c>
      <c r="N16" s="78" t="s">
        <v>190</v>
      </c>
      <c r="O16" s="87">
        <f t="shared" si="3"/>
        <v>21.224999999999998</v>
      </c>
      <c r="P16" s="81">
        <v>4</v>
      </c>
      <c r="Q16" s="72">
        <v>84.899999999999991</v>
      </c>
    </row>
    <row r="17" spans="1:17" x14ac:dyDescent="0.45">
      <c r="A17" s="20" t="s">
        <v>123</v>
      </c>
      <c r="B17" s="13">
        <f>B23</f>
        <v>10</v>
      </c>
      <c r="C17" s="6">
        <f>IF(B$15=0,0,B17/B$15)</f>
        <v>0.625</v>
      </c>
      <c r="E17" s="29" t="s">
        <v>74</v>
      </c>
      <c r="F17" s="26" t="s">
        <v>29</v>
      </c>
      <c r="G17" s="14">
        <v>0</v>
      </c>
      <c r="H17" s="92">
        <f t="shared" si="0"/>
        <v>0</v>
      </c>
      <c r="I17" s="60">
        <v>1</v>
      </c>
      <c r="N17" s="78" t="s">
        <v>207</v>
      </c>
      <c r="O17" s="87">
        <f t="shared" si="3"/>
        <v>17</v>
      </c>
      <c r="P17" s="81">
        <v>1</v>
      </c>
      <c r="Q17" s="72">
        <v>17</v>
      </c>
    </row>
    <row r="18" spans="1:17" x14ac:dyDescent="0.45">
      <c r="A18" s="20" t="s">
        <v>124</v>
      </c>
      <c r="B18" s="13">
        <f>B24</f>
        <v>6</v>
      </c>
      <c r="C18" s="6">
        <f>IF(B$16=0,0,B18/B$16)</f>
        <v>0.46153846153846156</v>
      </c>
      <c r="E18" s="29" t="s">
        <v>75</v>
      </c>
      <c r="F18" s="26" t="s">
        <v>30</v>
      </c>
      <c r="G18" s="14">
        <v>0</v>
      </c>
      <c r="H18" s="92">
        <f t="shared" si="0"/>
        <v>0</v>
      </c>
      <c r="I18" s="60">
        <v>3</v>
      </c>
      <c r="N18" s="78" t="s">
        <v>126</v>
      </c>
      <c r="O18" s="87">
        <f t="shared" si="3"/>
        <v>-14.259999999999996</v>
      </c>
      <c r="P18" s="81">
        <v>5</v>
      </c>
      <c r="Q18" s="72">
        <v>-71.299999999999983</v>
      </c>
    </row>
    <row r="19" spans="1:17" x14ac:dyDescent="0.45">
      <c r="A19" s="20" t="s">
        <v>10</v>
      </c>
      <c r="B19" s="13">
        <f>B22+B21</f>
        <v>20</v>
      </c>
      <c r="C19" s="6">
        <f>IF(B$3=0,0,B19/B$3)</f>
        <v>0.3125</v>
      </c>
      <c r="E19" s="29" t="s">
        <v>76</v>
      </c>
      <c r="F19" s="26" t="s">
        <v>31</v>
      </c>
      <c r="G19" s="14">
        <v>0</v>
      </c>
      <c r="H19" s="92">
        <f t="shared" si="0"/>
        <v>0</v>
      </c>
      <c r="I19" s="60">
        <v>1</v>
      </c>
      <c r="N19" s="78" t="s">
        <v>194</v>
      </c>
      <c r="O19" s="87">
        <f t="shared" si="3"/>
        <v>-16.2</v>
      </c>
      <c r="P19" s="81">
        <v>1</v>
      </c>
      <c r="Q19" s="72">
        <v>-16.2</v>
      </c>
    </row>
    <row r="20" spans="1:17" x14ac:dyDescent="0.45">
      <c r="A20" s="21" t="s">
        <v>13</v>
      </c>
      <c r="B20" s="14">
        <v>7</v>
      </c>
      <c r="C20" s="8">
        <f>IF(B$3=0,0,B20/B$3)</f>
        <v>0.109375</v>
      </c>
      <c r="E20" s="29" t="s">
        <v>77</v>
      </c>
      <c r="F20" s="26" t="s">
        <v>32</v>
      </c>
      <c r="G20" s="14">
        <v>0</v>
      </c>
      <c r="H20" s="92">
        <f t="shared" si="0"/>
        <v>0</v>
      </c>
      <c r="I20" s="60">
        <v>3</v>
      </c>
      <c r="N20" s="78" t="s">
        <v>208</v>
      </c>
      <c r="O20" s="87">
        <f t="shared" si="3"/>
        <v>-18.5</v>
      </c>
      <c r="P20" s="81">
        <v>1</v>
      </c>
      <c r="Q20" s="72">
        <v>-18.5</v>
      </c>
    </row>
    <row r="21" spans="1:17" x14ac:dyDescent="0.45">
      <c r="A21" s="21" t="s">
        <v>12</v>
      </c>
      <c r="B21" s="14">
        <v>7</v>
      </c>
      <c r="C21" s="8">
        <f>IF(B$19=0,0,B21/B$19)</f>
        <v>0.35</v>
      </c>
      <c r="E21" s="29" t="s">
        <v>80</v>
      </c>
      <c r="F21" s="26" t="s">
        <v>35</v>
      </c>
      <c r="G21" s="14">
        <v>0</v>
      </c>
      <c r="H21" s="92">
        <f t="shared" si="0"/>
        <v>0</v>
      </c>
      <c r="I21" s="60">
        <v>1</v>
      </c>
    </row>
    <row r="22" spans="1:17" x14ac:dyDescent="0.45">
      <c r="A22" s="21" t="s">
        <v>11</v>
      </c>
      <c r="B22" s="14">
        <v>13</v>
      </c>
      <c r="C22" s="8">
        <f>IF(B$19=0,0,B22/B$19)</f>
        <v>0.65</v>
      </c>
      <c r="E22" s="29" t="s">
        <v>81</v>
      </c>
      <c r="F22" s="26" t="s">
        <v>36</v>
      </c>
      <c r="G22" s="14">
        <v>0</v>
      </c>
      <c r="H22" s="92">
        <f t="shared" si="0"/>
        <v>0</v>
      </c>
      <c r="I22" s="60">
        <v>6</v>
      </c>
    </row>
    <row r="23" spans="1:17" x14ac:dyDescent="0.45">
      <c r="A23" s="21" t="s">
        <v>184</v>
      </c>
      <c r="B23" s="14">
        <v>10</v>
      </c>
      <c r="C23" s="8">
        <f>IF(B$19=0,0,B23/B$19)</f>
        <v>0.5</v>
      </c>
      <c r="E23" s="29" t="s">
        <v>82</v>
      </c>
      <c r="F23" s="26" t="s">
        <v>37</v>
      </c>
      <c r="G23" s="14">
        <v>0</v>
      </c>
      <c r="H23" s="92">
        <f t="shared" si="0"/>
        <v>0</v>
      </c>
      <c r="I23" s="60">
        <v>1</v>
      </c>
    </row>
    <row r="24" spans="1:17" x14ac:dyDescent="0.45">
      <c r="A24" s="21" t="s">
        <v>182</v>
      </c>
      <c r="B24" s="14">
        <v>6</v>
      </c>
      <c r="C24" s="8">
        <f>IF(B$19=0,0,B24/B$19)</f>
        <v>0.3</v>
      </c>
      <c r="E24" s="29" t="s">
        <v>83</v>
      </c>
      <c r="F24" s="26" t="s">
        <v>38</v>
      </c>
      <c r="G24" s="14">
        <v>0</v>
      </c>
      <c r="H24" s="92">
        <f t="shared" si="0"/>
        <v>0</v>
      </c>
      <c r="I24" s="60">
        <v>7</v>
      </c>
    </row>
    <row r="25" spans="1:17" x14ac:dyDescent="0.45">
      <c r="A25" s="21" t="s">
        <v>183</v>
      </c>
      <c r="B25" s="14">
        <v>4</v>
      </c>
      <c r="C25" s="8">
        <f>IF(B$19=0,0,B25/B$19)</f>
        <v>0.2</v>
      </c>
      <c r="E25" s="29" t="s">
        <v>84</v>
      </c>
      <c r="F25" s="26" t="s">
        <v>39</v>
      </c>
      <c r="G25" s="14">
        <v>0</v>
      </c>
      <c r="H25" s="92">
        <f t="shared" si="0"/>
        <v>0</v>
      </c>
      <c r="I25" s="60">
        <v>1</v>
      </c>
    </row>
    <row r="26" spans="1:17" x14ac:dyDescent="0.45">
      <c r="A26" s="21" t="s">
        <v>5</v>
      </c>
      <c r="B26" s="18">
        <f>IF(B$19=0,0,C26/B$19)</f>
        <v>6405</v>
      </c>
      <c r="C26" s="10">
        <v>128100</v>
      </c>
      <c r="E26" s="29" t="s">
        <v>85</v>
      </c>
      <c r="F26" s="26" t="s">
        <v>40</v>
      </c>
      <c r="G26" s="14">
        <v>0</v>
      </c>
      <c r="H26" s="92">
        <f t="shared" si="0"/>
        <v>0</v>
      </c>
      <c r="I26" s="60">
        <v>3</v>
      </c>
    </row>
    <row r="27" spans="1:17" x14ac:dyDescent="0.45">
      <c r="A27" s="22" t="s">
        <v>166</v>
      </c>
      <c r="B27" s="99">
        <f>IF($B$19-B$18=0,0,C27/($B$19-B$18))</f>
        <v>7050</v>
      </c>
      <c r="C27" s="100">
        <v>98700</v>
      </c>
      <c r="E27" s="29" t="s">
        <v>86</v>
      </c>
      <c r="F27" s="26" t="s">
        <v>41</v>
      </c>
      <c r="G27" s="14">
        <v>0</v>
      </c>
      <c r="H27" s="92">
        <f t="shared" si="0"/>
        <v>0</v>
      </c>
      <c r="I27" s="60">
        <v>7</v>
      </c>
    </row>
    <row r="28" spans="1:17" x14ac:dyDescent="0.45">
      <c r="A28" s="22" t="s">
        <v>167</v>
      </c>
      <c r="B28" s="99">
        <f>IF(B$18=0,0,C28/B$18)</f>
        <v>4900</v>
      </c>
      <c r="C28" s="100">
        <v>29400</v>
      </c>
      <c r="E28" s="29" t="s">
        <v>87</v>
      </c>
      <c r="F28" s="26" t="s">
        <v>42</v>
      </c>
      <c r="G28" s="14">
        <v>0</v>
      </c>
      <c r="H28" s="92">
        <f t="shared" si="0"/>
        <v>0</v>
      </c>
      <c r="I28" s="60">
        <v>1</v>
      </c>
    </row>
    <row r="29" spans="1:17" x14ac:dyDescent="0.45">
      <c r="A29" s="22" t="s">
        <v>165</v>
      </c>
      <c r="B29" s="99">
        <f>IF(B$20=0,0,C29/B$20)</f>
        <v>-7371.4285714285716</v>
      </c>
      <c r="C29" s="100">
        <v>-51600</v>
      </c>
      <c r="E29" s="29" t="s">
        <v>88</v>
      </c>
      <c r="F29" s="26" t="s">
        <v>43</v>
      </c>
      <c r="G29" s="14">
        <v>0</v>
      </c>
      <c r="H29" s="92">
        <f t="shared" si="0"/>
        <v>0</v>
      </c>
      <c r="I29" s="60">
        <v>1</v>
      </c>
    </row>
    <row r="30" spans="1:17" x14ac:dyDescent="0.45">
      <c r="A30" s="21" t="s">
        <v>158</v>
      </c>
      <c r="B30" s="14">
        <v>4</v>
      </c>
      <c r="C30" s="94">
        <v>0</v>
      </c>
      <c r="E30" s="29" t="s">
        <v>90</v>
      </c>
      <c r="F30" s="26" t="s">
        <v>45</v>
      </c>
      <c r="G30" s="14">
        <v>0</v>
      </c>
      <c r="H30" s="92">
        <f t="shared" si="0"/>
        <v>0</v>
      </c>
      <c r="I30" s="60">
        <v>1</v>
      </c>
    </row>
    <row r="31" spans="1:17" x14ac:dyDescent="0.45">
      <c r="A31" s="21" t="s">
        <v>159</v>
      </c>
      <c r="B31" s="14">
        <v>14</v>
      </c>
      <c r="C31" s="94">
        <v>5</v>
      </c>
      <c r="E31" s="29" t="s">
        <v>91</v>
      </c>
      <c r="F31" s="26" t="s">
        <v>46</v>
      </c>
      <c r="G31" s="14">
        <v>0</v>
      </c>
      <c r="H31" s="92">
        <f t="shared" si="0"/>
        <v>0</v>
      </c>
      <c r="I31" s="60">
        <v>4</v>
      </c>
    </row>
    <row r="32" spans="1:17" x14ac:dyDescent="0.45">
      <c r="A32" s="56" t="s">
        <v>136</v>
      </c>
      <c r="B32" s="141">
        <v>3</v>
      </c>
      <c r="C32" s="142"/>
      <c r="E32" s="29" t="s">
        <v>92</v>
      </c>
      <c r="F32" s="26" t="s">
        <v>47</v>
      </c>
      <c r="G32" s="14">
        <v>0</v>
      </c>
      <c r="H32" s="92">
        <f t="shared" si="0"/>
        <v>0</v>
      </c>
      <c r="I32" s="60">
        <v>3</v>
      </c>
    </row>
    <row r="33" spans="1:9" x14ac:dyDescent="0.45">
      <c r="A33" s="24" t="s">
        <v>181</v>
      </c>
      <c r="B33" s="143">
        <v>56300</v>
      </c>
      <c r="C33" s="144"/>
      <c r="E33" s="29" t="s">
        <v>93</v>
      </c>
      <c r="F33" s="26" t="s">
        <v>48</v>
      </c>
      <c r="G33" s="14">
        <v>0</v>
      </c>
      <c r="H33" s="92">
        <f t="shared" si="0"/>
        <v>0</v>
      </c>
      <c r="I33" s="60">
        <v>1</v>
      </c>
    </row>
    <row r="34" spans="1:9" x14ac:dyDescent="0.45">
      <c r="A34" s="23" t="s">
        <v>137</v>
      </c>
      <c r="B34" s="31">
        <v>0</v>
      </c>
      <c r="C34" s="11">
        <f>IF(B$3=0,0,B34/B$3)</f>
        <v>0</v>
      </c>
      <c r="E34" s="29" t="s">
        <v>94</v>
      </c>
      <c r="F34" s="26" t="s">
        <v>49</v>
      </c>
      <c r="G34" s="14">
        <v>0</v>
      </c>
      <c r="H34" s="92">
        <f t="shared" ref="H34:H65" si="4">IF(B$19=0,0,G34/B$19)</f>
        <v>0</v>
      </c>
      <c r="I34" s="60">
        <v>1</v>
      </c>
    </row>
    <row r="35" spans="1:9" x14ac:dyDescent="0.45">
      <c r="E35" s="29" t="s">
        <v>95</v>
      </c>
      <c r="F35" s="26" t="s">
        <v>50</v>
      </c>
      <c r="G35" s="14">
        <v>0</v>
      </c>
      <c r="H35" s="92">
        <f t="shared" si="4"/>
        <v>0</v>
      </c>
      <c r="I35" s="60">
        <v>1</v>
      </c>
    </row>
    <row r="36" spans="1:9" x14ac:dyDescent="0.45">
      <c r="A36" s="56" t="s">
        <v>172</v>
      </c>
      <c r="B36" s="129">
        <v>2</v>
      </c>
      <c r="C36" s="102">
        <f t="shared" ref="C36:C48" si="5">IF(B$19=0,0,B36/B$19)</f>
        <v>0.1</v>
      </c>
      <c r="E36" s="29" t="s">
        <v>96</v>
      </c>
      <c r="F36" s="26" t="s">
        <v>51</v>
      </c>
      <c r="G36" s="14">
        <v>0</v>
      </c>
      <c r="H36" s="92">
        <f t="shared" si="4"/>
        <v>0</v>
      </c>
      <c r="I36" s="60">
        <v>1</v>
      </c>
    </row>
    <row r="37" spans="1:9" x14ac:dyDescent="0.45">
      <c r="A37" s="21" t="s">
        <v>168</v>
      </c>
      <c r="B37" s="14">
        <v>5</v>
      </c>
      <c r="C37" s="8">
        <f t="shared" si="5"/>
        <v>0.25</v>
      </c>
      <c r="E37" s="29" t="s">
        <v>97</v>
      </c>
      <c r="F37" s="26" t="s">
        <v>52</v>
      </c>
      <c r="G37" s="14">
        <v>0</v>
      </c>
      <c r="H37" s="92">
        <f t="shared" si="4"/>
        <v>0</v>
      </c>
      <c r="I37" s="60">
        <v>1</v>
      </c>
    </row>
    <row r="38" spans="1:9" x14ac:dyDescent="0.45">
      <c r="A38" s="21" t="s">
        <v>169</v>
      </c>
      <c r="B38" s="130">
        <v>3</v>
      </c>
      <c r="C38" s="8">
        <f t="shared" si="5"/>
        <v>0.15</v>
      </c>
      <c r="E38" s="29" t="s">
        <v>98</v>
      </c>
      <c r="F38" s="26" t="s">
        <v>53</v>
      </c>
      <c r="G38" s="14">
        <v>0</v>
      </c>
      <c r="H38" s="92">
        <f t="shared" si="4"/>
        <v>0</v>
      </c>
      <c r="I38" s="60">
        <v>1</v>
      </c>
    </row>
    <row r="39" spans="1:9" x14ac:dyDescent="0.45">
      <c r="A39" s="21" t="s">
        <v>170</v>
      </c>
      <c r="B39" s="130">
        <v>5</v>
      </c>
      <c r="C39" s="8">
        <f t="shared" si="5"/>
        <v>0.25</v>
      </c>
      <c r="E39" s="29" t="s">
        <v>99</v>
      </c>
      <c r="F39" s="26" t="s">
        <v>54</v>
      </c>
      <c r="G39" s="14">
        <v>0</v>
      </c>
      <c r="H39" s="92">
        <f t="shared" si="4"/>
        <v>0</v>
      </c>
      <c r="I39" s="60">
        <v>1</v>
      </c>
    </row>
    <row r="40" spans="1:9" x14ac:dyDescent="0.45">
      <c r="A40" s="21" t="s">
        <v>171</v>
      </c>
      <c r="B40" s="130">
        <v>3</v>
      </c>
      <c r="C40" s="8">
        <f t="shared" si="5"/>
        <v>0.15</v>
      </c>
      <c r="E40" s="29" t="s">
        <v>100</v>
      </c>
      <c r="F40" s="26" t="s">
        <v>55</v>
      </c>
      <c r="G40" s="14">
        <v>0</v>
      </c>
      <c r="H40" s="92">
        <f t="shared" si="4"/>
        <v>0</v>
      </c>
      <c r="I40" s="60">
        <v>1</v>
      </c>
    </row>
    <row r="41" spans="1:9" x14ac:dyDescent="0.45">
      <c r="A41" s="21" t="s">
        <v>173</v>
      </c>
      <c r="B41" s="130">
        <v>1</v>
      </c>
      <c r="C41" s="8">
        <f t="shared" si="5"/>
        <v>0.05</v>
      </c>
      <c r="E41" s="29" t="s">
        <v>101</v>
      </c>
      <c r="F41" s="26" t="s">
        <v>56</v>
      </c>
      <c r="G41" s="14">
        <v>0</v>
      </c>
      <c r="H41" s="92">
        <f t="shared" si="4"/>
        <v>0</v>
      </c>
      <c r="I41" s="60">
        <v>1</v>
      </c>
    </row>
    <row r="42" spans="1:9" x14ac:dyDescent="0.45">
      <c r="A42" s="21" t="s">
        <v>174</v>
      </c>
      <c r="B42" s="130">
        <v>1</v>
      </c>
      <c r="C42" s="8">
        <f t="shared" si="5"/>
        <v>0.05</v>
      </c>
      <c r="E42" s="29" t="s">
        <v>102</v>
      </c>
      <c r="F42" s="26" t="s">
        <v>57</v>
      </c>
      <c r="G42" s="14">
        <v>0</v>
      </c>
      <c r="H42" s="92">
        <f t="shared" si="4"/>
        <v>0</v>
      </c>
      <c r="I42" s="60">
        <v>1</v>
      </c>
    </row>
    <row r="43" spans="1:9" x14ac:dyDescent="0.45">
      <c r="A43" s="21" t="s">
        <v>175</v>
      </c>
      <c r="B43" s="130">
        <v>0</v>
      </c>
      <c r="C43" s="8">
        <f t="shared" si="5"/>
        <v>0</v>
      </c>
      <c r="E43" s="29" t="s">
        <v>103</v>
      </c>
      <c r="F43" s="26" t="s">
        <v>58</v>
      </c>
      <c r="G43" s="14">
        <v>0</v>
      </c>
      <c r="H43" s="92">
        <f t="shared" si="4"/>
        <v>0</v>
      </c>
      <c r="I43" s="60">
        <v>1</v>
      </c>
    </row>
    <row r="44" spans="1:9" x14ac:dyDescent="0.45">
      <c r="A44" s="21" t="s">
        <v>176</v>
      </c>
      <c r="B44" s="130">
        <v>0</v>
      </c>
      <c r="C44" s="8">
        <f t="shared" si="5"/>
        <v>0</v>
      </c>
      <c r="E44" s="29" t="s">
        <v>104</v>
      </c>
      <c r="F44" s="26" t="s">
        <v>59</v>
      </c>
      <c r="G44" s="14">
        <v>0</v>
      </c>
      <c r="H44" s="92">
        <f t="shared" si="4"/>
        <v>0</v>
      </c>
      <c r="I44" s="60">
        <v>1</v>
      </c>
    </row>
    <row r="45" spans="1:9" x14ac:dyDescent="0.45">
      <c r="A45" s="21" t="s">
        <v>177</v>
      </c>
      <c r="B45" s="130">
        <v>0</v>
      </c>
      <c r="C45" s="8">
        <f t="shared" si="5"/>
        <v>0</v>
      </c>
      <c r="E45" s="29" t="s">
        <v>105</v>
      </c>
      <c r="F45" s="26" t="s">
        <v>112</v>
      </c>
      <c r="G45" s="14">
        <v>0</v>
      </c>
      <c r="H45" s="92">
        <f t="shared" si="4"/>
        <v>0</v>
      </c>
      <c r="I45" s="60">
        <v>1</v>
      </c>
    </row>
    <row r="46" spans="1:9" x14ac:dyDescent="0.45">
      <c r="A46" s="21" t="s">
        <v>178</v>
      </c>
      <c r="B46" s="130">
        <v>0</v>
      </c>
      <c r="C46" s="8">
        <f t="shared" si="5"/>
        <v>0</v>
      </c>
      <c r="E46" s="29" t="s">
        <v>106</v>
      </c>
      <c r="F46" s="26" t="s">
        <v>113</v>
      </c>
      <c r="G46" s="14">
        <v>0</v>
      </c>
      <c r="H46" s="92">
        <f t="shared" si="4"/>
        <v>0</v>
      </c>
      <c r="I46" s="60">
        <v>1</v>
      </c>
    </row>
    <row r="47" spans="1:9" x14ac:dyDescent="0.45">
      <c r="A47" s="21" t="s">
        <v>179</v>
      </c>
      <c r="B47" s="130">
        <v>0</v>
      </c>
      <c r="C47" s="8">
        <f t="shared" si="5"/>
        <v>0</v>
      </c>
      <c r="E47" s="29" t="s">
        <v>107</v>
      </c>
      <c r="F47" s="26" t="s">
        <v>114</v>
      </c>
      <c r="G47" s="14">
        <v>0</v>
      </c>
      <c r="H47" s="92">
        <f t="shared" si="4"/>
        <v>0</v>
      </c>
      <c r="I47" s="60">
        <v>1</v>
      </c>
    </row>
    <row r="48" spans="1:9" x14ac:dyDescent="0.45">
      <c r="A48" s="23" t="s">
        <v>180</v>
      </c>
      <c r="B48" s="101">
        <v>0</v>
      </c>
      <c r="C48" s="11">
        <f t="shared" si="5"/>
        <v>0</v>
      </c>
      <c r="E48" s="29" t="s">
        <v>108</v>
      </c>
      <c r="F48" s="26" t="s">
        <v>60</v>
      </c>
      <c r="G48" s="14">
        <v>0</v>
      </c>
      <c r="H48" s="92">
        <f t="shared" si="4"/>
        <v>0</v>
      </c>
      <c r="I48" s="60">
        <v>1</v>
      </c>
    </row>
    <row r="49" spans="5:9" x14ac:dyDescent="0.45">
      <c r="E49" s="29" t="s">
        <v>109</v>
      </c>
      <c r="F49" s="26" t="s">
        <v>61</v>
      </c>
      <c r="G49" s="14">
        <v>0</v>
      </c>
      <c r="H49" s="92">
        <f t="shared" si="4"/>
        <v>0</v>
      </c>
      <c r="I49" s="60">
        <v>1</v>
      </c>
    </row>
    <row r="50" spans="5:9" x14ac:dyDescent="0.45">
      <c r="E50" s="29" t="s">
        <v>110</v>
      </c>
      <c r="F50" s="26" t="s">
        <v>62</v>
      </c>
      <c r="G50" s="14">
        <v>0</v>
      </c>
      <c r="H50" s="92">
        <f t="shared" si="4"/>
        <v>0</v>
      </c>
      <c r="I50" s="60">
        <v>1</v>
      </c>
    </row>
    <row r="51" spans="5:9" x14ac:dyDescent="0.45">
      <c r="E51" s="95" t="s">
        <v>111</v>
      </c>
      <c r="F51" s="96" t="s">
        <v>63</v>
      </c>
      <c r="G51" s="15">
        <v>0</v>
      </c>
      <c r="H51" s="97">
        <f t="shared" si="4"/>
        <v>0</v>
      </c>
      <c r="I51" s="98">
        <v>1</v>
      </c>
    </row>
    <row r="52" spans="5:9" x14ac:dyDescent="0.45">
      <c r="E52" s="30" t="s">
        <v>162</v>
      </c>
      <c r="F52" s="27" t="s">
        <v>163</v>
      </c>
      <c r="G52" s="16">
        <v>0</v>
      </c>
      <c r="H52" s="93">
        <f t="shared" si="4"/>
        <v>0</v>
      </c>
      <c r="I52" s="61">
        <v>1</v>
      </c>
    </row>
  </sheetData>
  <sortState xmlns:xlrd2="http://schemas.microsoft.com/office/spreadsheetml/2017/richdata2" ref="E2:I53">
    <sortCondition descending="1" ref="H1"/>
  </sortState>
  <mergeCells count="9">
    <mergeCell ref="B13:C13"/>
    <mergeCell ref="B32:C32"/>
    <mergeCell ref="B33:C33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EA1B26-2F7C-4110-8AF6-C715BFAF11B0}">
  <sheetPr codeName="Sheet19"/>
  <dimension ref="A1:Q52"/>
  <sheetViews>
    <sheetView showGridLines="0" zoomScaleNormal="100" workbookViewId="0"/>
  </sheetViews>
  <sheetFormatPr defaultColWidth="9" defaultRowHeight="18" x14ac:dyDescent="0.45"/>
  <cols>
    <col min="1" max="1" width="13" style="107" customWidth="1"/>
    <col min="2" max="3" width="9" style="107" customWidth="1"/>
    <col min="4" max="4" width="3.59765625" style="107" customWidth="1"/>
    <col min="5" max="5" width="3.59765625" style="116" bestFit="1" customWidth="1"/>
    <col min="6" max="6" width="11" style="111" bestFit="1" customWidth="1"/>
    <col min="7" max="9" width="9" style="107" customWidth="1"/>
    <col min="10" max="10" width="3.59765625" style="107" customWidth="1"/>
    <col min="11" max="11" width="3.5" style="7" customWidth="1"/>
    <col min="12" max="12" width="9" style="65" customWidth="1"/>
    <col min="13" max="13" width="3.59765625" style="107" customWidth="1"/>
    <col min="14" max="14" width="9" style="78" customWidth="1"/>
    <col min="15" max="15" width="9" style="87" customWidth="1"/>
    <col min="16" max="16" width="9" style="81" customWidth="1"/>
    <col min="17" max="17" width="3.59765625" style="72" customWidth="1"/>
    <col min="18" max="16384" width="9" style="107"/>
  </cols>
  <sheetData>
    <row r="1" spans="1:17" x14ac:dyDescent="0.45">
      <c r="A1" s="19" t="s">
        <v>0</v>
      </c>
      <c r="B1" s="145" t="s">
        <v>201</v>
      </c>
      <c r="C1" s="146"/>
      <c r="E1" s="108" t="s">
        <v>155</v>
      </c>
      <c r="F1" s="132" t="s">
        <v>115</v>
      </c>
      <c r="G1" s="131" t="s">
        <v>116</v>
      </c>
      <c r="H1" s="90" t="s">
        <v>117</v>
      </c>
      <c r="I1" s="132" t="s">
        <v>146</v>
      </c>
      <c r="K1" s="4" t="s">
        <v>19</v>
      </c>
      <c r="L1" s="132" t="s">
        <v>120</v>
      </c>
      <c r="M1" s="109"/>
      <c r="N1" s="76" t="s">
        <v>134</v>
      </c>
      <c r="O1" s="4" t="s">
        <v>135</v>
      </c>
      <c r="P1" s="110" t="s">
        <v>116</v>
      </c>
      <c r="Q1" s="66" t="s">
        <v>148</v>
      </c>
    </row>
    <row r="2" spans="1:17" x14ac:dyDescent="0.45">
      <c r="A2" s="20" t="s">
        <v>9</v>
      </c>
      <c r="B2" s="147">
        <v>10</v>
      </c>
      <c r="C2" s="148"/>
      <c r="E2" s="28" t="s">
        <v>66</v>
      </c>
      <c r="F2" s="25" t="s">
        <v>22</v>
      </c>
      <c r="G2" s="13">
        <v>12</v>
      </c>
      <c r="H2" s="91">
        <f t="shared" ref="H2:H33" si="0">IF(B$19=0,0,G2/B$19)</f>
        <v>0.63157894736842102</v>
      </c>
      <c r="I2" s="59">
        <v>7</v>
      </c>
      <c r="K2" s="5">
        <v>0</v>
      </c>
      <c r="L2" s="64">
        <v>0</v>
      </c>
      <c r="N2" s="77" t="s">
        <v>128</v>
      </c>
      <c r="O2" s="83">
        <f t="shared" ref="O2:O7" si="1">IF(P2=0,0,Q2/P2)</f>
        <v>1180</v>
      </c>
      <c r="P2" s="80">
        <v>10</v>
      </c>
      <c r="Q2" s="67">
        <v>11800</v>
      </c>
    </row>
    <row r="3" spans="1:17" x14ac:dyDescent="0.45">
      <c r="A3" s="21" t="s">
        <v>8</v>
      </c>
      <c r="B3" s="149">
        <v>78</v>
      </c>
      <c r="C3" s="150"/>
      <c r="E3" s="29" t="s">
        <v>72</v>
      </c>
      <c r="F3" s="26" t="s">
        <v>27</v>
      </c>
      <c r="G3" s="14">
        <v>12</v>
      </c>
      <c r="H3" s="92">
        <f t="shared" si="0"/>
        <v>0.63157894736842102</v>
      </c>
      <c r="I3" s="60">
        <v>6</v>
      </c>
      <c r="K3" s="7">
        <v>1</v>
      </c>
      <c r="L3" s="65">
        <v>42.4</v>
      </c>
      <c r="N3" s="78" t="s">
        <v>129</v>
      </c>
      <c r="O3" s="84">
        <f t="shared" si="1"/>
        <v>770</v>
      </c>
      <c r="P3" s="81">
        <v>10</v>
      </c>
      <c r="Q3" s="68">
        <v>7700</v>
      </c>
    </row>
    <row r="4" spans="1:17" x14ac:dyDescent="0.45">
      <c r="A4" s="21" t="s">
        <v>6</v>
      </c>
      <c r="B4" s="151">
        <v>14.100000000000005</v>
      </c>
      <c r="C4" s="152"/>
      <c r="E4" s="29" t="s">
        <v>64</v>
      </c>
      <c r="F4" s="26" t="s">
        <v>20</v>
      </c>
      <c r="G4" s="14">
        <v>8</v>
      </c>
      <c r="H4" s="92">
        <f t="shared" si="0"/>
        <v>0.42105263157894735</v>
      </c>
      <c r="I4" s="60">
        <v>4</v>
      </c>
      <c r="K4" s="7">
        <v>2</v>
      </c>
      <c r="L4" s="65">
        <v>50.4</v>
      </c>
      <c r="N4" s="78" t="s">
        <v>130</v>
      </c>
      <c r="O4" s="84">
        <f t="shared" si="1"/>
        <v>-3420</v>
      </c>
      <c r="P4" s="81">
        <v>10</v>
      </c>
      <c r="Q4" s="68">
        <v>-34200</v>
      </c>
    </row>
    <row r="5" spans="1:17" x14ac:dyDescent="0.45">
      <c r="A5" s="21" t="s">
        <v>7</v>
      </c>
      <c r="B5" s="139">
        <f>IF(B$2=0,0,B$4/B$2)</f>
        <v>1.4100000000000006</v>
      </c>
      <c r="C5" s="140"/>
      <c r="E5" s="29" t="s">
        <v>160</v>
      </c>
      <c r="F5" s="26" t="s">
        <v>161</v>
      </c>
      <c r="G5" s="14">
        <v>6</v>
      </c>
      <c r="H5" s="92">
        <f t="shared" si="0"/>
        <v>0.31578947368421051</v>
      </c>
      <c r="I5" s="60">
        <v>8</v>
      </c>
      <c r="K5" s="7">
        <v>3</v>
      </c>
      <c r="L5" s="65">
        <v>10.399999999999999</v>
      </c>
      <c r="N5" s="78" t="s">
        <v>131</v>
      </c>
      <c r="O5" s="84">
        <f t="shared" si="1"/>
        <v>-866.66666666666663</v>
      </c>
      <c r="P5" s="81">
        <v>9</v>
      </c>
      <c r="Q5" s="68">
        <v>-7800</v>
      </c>
    </row>
    <row r="6" spans="1:17" x14ac:dyDescent="0.45">
      <c r="A6" s="21" t="s">
        <v>1</v>
      </c>
      <c r="B6" s="153">
        <f>IF(B$2=0,0,(B$7*1+B$8*2+B$9*3)/B$2)</f>
        <v>1.9</v>
      </c>
      <c r="C6" s="154"/>
      <c r="E6" s="29" t="s">
        <v>68</v>
      </c>
      <c r="F6" s="26" t="s">
        <v>12</v>
      </c>
      <c r="G6" s="14">
        <v>4</v>
      </c>
      <c r="H6" s="92">
        <f t="shared" si="0"/>
        <v>0.21052631578947367</v>
      </c>
      <c r="I6" s="60">
        <v>9</v>
      </c>
      <c r="K6" s="7">
        <v>4</v>
      </c>
      <c r="L6" s="65">
        <v>60</v>
      </c>
      <c r="N6" s="78" t="s">
        <v>132</v>
      </c>
      <c r="O6" s="84">
        <f t="shared" si="1"/>
        <v>-600</v>
      </c>
      <c r="P6" s="81">
        <v>7</v>
      </c>
      <c r="Q6" s="68">
        <v>-4200</v>
      </c>
    </row>
    <row r="7" spans="1:17" x14ac:dyDescent="0.45">
      <c r="A7" s="21" t="s">
        <v>2</v>
      </c>
      <c r="B7" s="14">
        <v>4</v>
      </c>
      <c r="C7" s="8">
        <f t="shared" ref="C7:C14" si="2">IF(B$2=0,0,B7/B$2)</f>
        <v>0.4</v>
      </c>
      <c r="E7" s="29" t="s">
        <v>89</v>
      </c>
      <c r="F7" s="26" t="s">
        <v>44</v>
      </c>
      <c r="G7" s="14">
        <v>4</v>
      </c>
      <c r="H7" s="92">
        <f t="shared" si="0"/>
        <v>0.21052631578947367</v>
      </c>
      <c r="I7" s="60">
        <v>4</v>
      </c>
      <c r="K7" s="7">
        <v>5</v>
      </c>
      <c r="L7" s="65">
        <v>6.2000000000000028</v>
      </c>
      <c r="N7" s="79" t="s">
        <v>133</v>
      </c>
      <c r="O7" s="85">
        <f t="shared" si="1"/>
        <v>3850</v>
      </c>
      <c r="P7" s="82">
        <v>8</v>
      </c>
      <c r="Q7" s="69">
        <v>30800</v>
      </c>
    </row>
    <row r="8" spans="1:17" x14ac:dyDescent="0.45">
      <c r="A8" s="21" t="s">
        <v>3</v>
      </c>
      <c r="B8" s="14">
        <v>3</v>
      </c>
      <c r="C8" s="8">
        <f t="shared" si="2"/>
        <v>0.3</v>
      </c>
      <c r="E8" s="29" t="s">
        <v>65</v>
      </c>
      <c r="F8" s="26" t="s">
        <v>21</v>
      </c>
      <c r="G8" s="14">
        <v>3</v>
      </c>
      <c r="H8" s="92">
        <f t="shared" si="0"/>
        <v>0.15789473684210525</v>
      </c>
      <c r="I8" s="60">
        <v>2</v>
      </c>
      <c r="K8" s="7">
        <v>6</v>
      </c>
      <c r="L8" s="65">
        <v>30.000000000000004</v>
      </c>
      <c r="N8" s="111"/>
      <c r="O8" s="89"/>
      <c r="P8" s="112"/>
      <c r="Q8" s="74"/>
    </row>
    <row r="9" spans="1:17" x14ac:dyDescent="0.45">
      <c r="A9" s="22" t="s">
        <v>4</v>
      </c>
      <c r="B9" s="15">
        <v>3</v>
      </c>
      <c r="C9" s="9">
        <f t="shared" si="2"/>
        <v>0.3</v>
      </c>
      <c r="E9" s="29" t="s">
        <v>67</v>
      </c>
      <c r="F9" s="26" t="s">
        <v>23</v>
      </c>
      <c r="G9" s="14">
        <v>3</v>
      </c>
      <c r="H9" s="92">
        <f t="shared" si="0"/>
        <v>0.15789473684210525</v>
      </c>
      <c r="I9" s="60">
        <v>8</v>
      </c>
      <c r="K9" s="7">
        <v>7</v>
      </c>
      <c r="L9" s="65">
        <v>1.2000000000000028</v>
      </c>
      <c r="N9" s="76" t="s">
        <v>151</v>
      </c>
      <c r="O9" s="4" t="s">
        <v>120</v>
      </c>
      <c r="P9" s="110" t="s">
        <v>116</v>
      </c>
      <c r="Q9" s="70" t="s">
        <v>148</v>
      </c>
    </row>
    <row r="10" spans="1:17" x14ac:dyDescent="0.45">
      <c r="A10" s="22" t="s">
        <v>185</v>
      </c>
      <c r="B10" s="113">
        <f>IF(B7=0,0,C10/B7)</f>
        <v>38.875</v>
      </c>
      <c r="C10" s="114">
        <v>155.5</v>
      </c>
      <c r="E10" s="29" t="s">
        <v>86</v>
      </c>
      <c r="F10" s="26" t="s">
        <v>41</v>
      </c>
      <c r="G10" s="14">
        <v>3</v>
      </c>
      <c r="H10" s="92">
        <f t="shared" si="0"/>
        <v>0.15789473684210525</v>
      </c>
      <c r="I10" s="60">
        <v>1</v>
      </c>
      <c r="K10" s="7">
        <v>8</v>
      </c>
      <c r="L10" s="65">
        <v>40.900000000000006</v>
      </c>
      <c r="N10" s="77" t="s">
        <v>152</v>
      </c>
      <c r="O10" s="86">
        <f>IF(P10=0,0,Q10/P10)</f>
        <v>0.33333333333333331</v>
      </c>
      <c r="P10" s="80">
        <v>3</v>
      </c>
      <c r="Q10" s="71">
        <v>1</v>
      </c>
    </row>
    <row r="11" spans="1:17" x14ac:dyDescent="0.45">
      <c r="A11" s="22" t="s">
        <v>186</v>
      </c>
      <c r="B11" s="113">
        <f>IF(B8=0,0,C11/B8)</f>
        <v>-6.2666666666666666</v>
      </c>
      <c r="C11" s="114">
        <v>-18.8</v>
      </c>
      <c r="E11" s="29" t="s">
        <v>70</v>
      </c>
      <c r="F11" s="26" t="s">
        <v>25</v>
      </c>
      <c r="G11" s="14">
        <v>2</v>
      </c>
      <c r="H11" s="92">
        <f t="shared" si="0"/>
        <v>0.10526315789473684</v>
      </c>
      <c r="I11" s="60">
        <v>3</v>
      </c>
      <c r="K11" s="7">
        <v>9</v>
      </c>
      <c r="L11" s="65">
        <v>21.100000000000005</v>
      </c>
      <c r="N11" s="78" t="s">
        <v>153</v>
      </c>
      <c r="O11" s="87">
        <f>IF(P11=0,0,Q11/P11)</f>
        <v>-17.133333333333333</v>
      </c>
      <c r="P11" s="81">
        <v>3</v>
      </c>
      <c r="Q11" s="72">
        <v>-51.4</v>
      </c>
    </row>
    <row r="12" spans="1:17" x14ac:dyDescent="0.45">
      <c r="A12" s="22" t="s">
        <v>187</v>
      </c>
      <c r="B12" s="113">
        <f>IF(B9=0,0,C12/B9)</f>
        <v>-40.866666666666667</v>
      </c>
      <c r="C12" s="114">
        <v>-122.6</v>
      </c>
      <c r="E12" s="29" t="s">
        <v>69</v>
      </c>
      <c r="F12" s="26" t="s">
        <v>24</v>
      </c>
      <c r="G12" s="14">
        <v>1</v>
      </c>
      <c r="H12" s="92">
        <f t="shared" si="0"/>
        <v>5.2631578947368418E-2</v>
      </c>
      <c r="I12" s="60">
        <v>7</v>
      </c>
      <c r="K12" s="7">
        <v>10</v>
      </c>
      <c r="L12" s="65">
        <v>14.100000000000005</v>
      </c>
      <c r="N12" s="79" t="s">
        <v>154</v>
      </c>
      <c r="O12" s="88">
        <f>IF(P12=0,0,Q12/P12)</f>
        <v>16.125</v>
      </c>
      <c r="P12" s="82">
        <v>4</v>
      </c>
      <c r="Q12" s="73">
        <v>64.5</v>
      </c>
    </row>
    <row r="13" spans="1:17" x14ac:dyDescent="0.45">
      <c r="A13" s="22" t="s">
        <v>188</v>
      </c>
      <c r="B13" s="139">
        <f>AVERAGE(B10:B12)</f>
        <v>-2.7527777777777778</v>
      </c>
      <c r="C13" s="140"/>
      <c r="E13" s="29" t="s">
        <v>71</v>
      </c>
      <c r="F13" s="26" t="s">
        <v>26</v>
      </c>
      <c r="G13" s="14">
        <v>1</v>
      </c>
      <c r="H13" s="92">
        <f t="shared" si="0"/>
        <v>5.2631578947368418E-2</v>
      </c>
      <c r="I13" s="60">
        <v>6</v>
      </c>
      <c r="N13" s="107"/>
      <c r="O13" s="75"/>
      <c r="P13" s="115"/>
      <c r="Q13" s="75"/>
    </row>
    <row r="14" spans="1:17" x14ac:dyDescent="0.45">
      <c r="A14" s="23" t="s">
        <v>18</v>
      </c>
      <c r="B14" s="16">
        <v>1</v>
      </c>
      <c r="C14" s="11">
        <f t="shared" si="2"/>
        <v>0.1</v>
      </c>
      <c r="E14" s="29" t="s">
        <v>77</v>
      </c>
      <c r="F14" s="26" t="s">
        <v>32</v>
      </c>
      <c r="G14" s="14">
        <v>1</v>
      </c>
      <c r="H14" s="92">
        <f t="shared" si="0"/>
        <v>5.2631578947368418E-2</v>
      </c>
      <c r="I14" s="60">
        <v>1</v>
      </c>
      <c r="N14" s="76" t="s">
        <v>147</v>
      </c>
      <c r="O14" s="4" t="s">
        <v>120</v>
      </c>
      <c r="P14" s="110" t="s">
        <v>116</v>
      </c>
      <c r="Q14" s="70" t="s">
        <v>148</v>
      </c>
    </row>
    <row r="15" spans="1:17" x14ac:dyDescent="0.45">
      <c r="A15" s="24" t="s">
        <v>121</v>
      </c>
      <c r="B15" s="17">
        <v>21</v>
      </c>
      <c r="C15" s="12">
        <f>IF(B$3=0,0,B15/B$3)</f>
        <v>0.26923076923076922</v>
      </c>
      <c r="E15" s="29" t="s">
        <v>85</v>
      </c>
      <c r="F15" s="26" t="s">
        <v>40</v>
      </c>
      <c r="G15" s="14">
        <v>1</v>
      </c>
      <c r="H15" s="92">
        <f t="shared" si="0"/>
        <v>5.2631578947368418E-2</v>
      </c>
      <c r="I15" s="60">
        <v>1</v>
      </c>
      <c r="N15" s="77" t="s">
        <v>200</v>
      </c>
      <c r="O15" s="86">
        <f>IF(P15=0,0,Q15/P15)</f>
        <v>27.925000000000001</v>
      </c>
      <c r="P15" s="80">
        <v>4</v>
      </c>
      <c r="Q15" s="71">
        <v>111.7</v>
      </c>
    </row>
    <row r="16" spans="1:17" x14ac:dyDescent="0.45">
      <c r="A16" s="21" t="s">
        <v>118</v>
      </c>
      <c r="B16" s="14">
        <v>17</v>
      </c>
      <c r="C16" s="8">
        <f>IF(B$3=0,0,B16/B$3)</f>
        <v>0.21794871794871795</v>
      </c>
      <c r="E16" s="29" t="s">
        <v>73</v>
      </c>
      <c r="F16" s="26" t="s">
        <v>28</v>
      </c>
      <c r="G16" s="14">
        <v>0</v>
      </c>
      <c r="H16" s="92">
        <f t="shared" si="0"/>
        <v>0</v>
      </c>
      <c r="I16" s="60">
        <v>3</v>
      </c>
      <c r="N16" s="78" t="s">
        <v>126</v>
      </c>
      <c r="O16" s="87">
        <f>IF(P16=0,0,Q16/P16)</f>
        <v>14.040000000000001</v>
      </c>
      <c r="P16" s="81">
        <v>5</v>
      </c>
      <c r="Q16" s="72">
        <v>70.2</v>
      </c>
    </row>
    <row r="17" spans="1:17" x14ac:dyDescent="0.45">
      <c r="A17" s="20" t="s">
        <v>123</v>
      </c>
      <c r="B17" s="13">
        <f>B23</f>
        <v>9</v>
      </c>
      <c r="C17" s="6">
        <f>IF(B$15=0,0,B17/B$15)</f>
        <v>0.42857142857142855</v>
      </c>
      <c r="E17" s="29" t="s">
        <v>74</v>
      </c>
      <c r="F17" s="26" t="s">
        <v>29</v>
      </c>
      <c r="G17" s="14">
        <v>0</v>
      </c>
      <c r="H17" s="92">
        <f t="shared" si="0"/>
        <v>0</v>
      </c>
      <c r="I17" s="60">
        <v>1</v>
      </c>
      <c r="N17" s="78" t="s">
        <v>194</v>
      </c>
      <c r="O17" s="87">
        <f>IF(P17=0,0,Q17/P17)</f>
        <v>-9.4124999999999996</v>
      </c>
      <c r="P17" s="81">
        <v>8</v>
      </c>
      <c r="Q17" s="72">
        <v>-75.3</v>
      </c>
    </row>
    <row r="18" spans="1:17" x14ac:dyDescent="0.45">
      <c r="A18" s="20" t="s">
        <v>124</v>
      </c>
      <c r="B18" s="13">
        <f>B24</f>
        <v>6</v>
      </c>
      <c r="C18" s="6">
        <f>IF(B$16=0,0,B18/B$16)</f>
        <v>0.35294117647058826</v>
      </c>
      <c r="E18" s="29" t="s">
        <v>75</v>
      </c>
      <c r="F18" s="26" t="s">
        <v>30</v>
      </c>
      <c r="G18" s="14">
        <v>0</v>
      </c>
      <c r="H18" s="92">
        <f t="shared" si="0"/>
        <v>0</v>
      </c>
      <c r="I18" s="60">
        <v>3</v>
      </c>
      <c r="N18" s="78" t="s">
        <v>164</v>
      </c>
      <c r="O18" s="87">
        <f>IF(P18=0,0,Q18/P18)</f>
        <v>-14.600000000000005</v>
      </c>
      <c r="P18" s="81">
        <v>2</v>
      </c>
      <c r="Q18" s="72">
        <v>-29.20000000000001</v>
      </c>
    </row>
    <row r="19" spans="1:17" x14ac:dyDescent="0.45">
      <c r="A19" s="20" t="s">
        <v>10</v>
      </c>
      <c r="B19" s="13">
        <f>B22+B21</f>
        <v>19</v>
      </c>
      <c r="C19" s="6">
        <f>IF(B$3=0,0,B19/B$3)</f>
        <v>0.24358974358974358</v>
      </c>
      <c r="E19" s="29" t="s">
        <v>76</v>
      </c>
      <c r="F19" s="26" t="s">
        <v>31</v>
      </c>
      <c r="G19" s="14">
        <v>0</v>
      </c>
      <c r="H19" s="92">
        <f t="shared" si="0"/>
        <v>0</v>
      </c>
      <c r="I19" s="60">
        <v>1</v>
      </c>
      <c r="N19" s="78" t="s">
        <v>198</v>
      </c>
      <c r="O19" s="87">
        <f>IF(P19=0,0,Q19/P19)</f>
        <v>-35.1</v>
      </c>
      <c r="P19" s="81">
        <v>1</v>
      </c>
      <c r="Q19" s="72">
        <v>-35.1</v>
      </c>
    </row>
    <row r="20" spans="1:17" x14ac:dyDescent="0.45">
      <c r="A20" s="21" t="s">
        <v>13</v>
      </c>
      <c r="B20" s="14">
        <v>13</v>
      </c>
      <c r="C20" s="8">
        <f>IF(B$3=0,0,B20/B$3)</f>
        <v>0.16666666666666666</v>
      </c>
      <c r="E20" s="29" t="s">
        <v>78</v>
      </c>
      <c r="F20" s="26" t="s">
        <v>33</v>
      </c>
      <c r="G20" s="14">
        <v>0</v>
      </c>
      <c r="H20" s="92">
        <f t="shared" si="0"/>
        <v>0</v>
      </c>
      <c r="I20" s="60">
        <v>6</v>
      </c>
    </row>
    <row r="21" spans="1:17" x14ac:dyDescent="0.45">
      <c r="A21" s="21" t="s">
        <v>12</v>
      </c>
      <c r="B21" s="14">
        <v>9</v>
      </c>
      <c r="C21" s="8">
        <f>IF(B$19=0,0,B21/B$19)</f>
        <v>0.47368421052631576</v>
      </c>
      <c r="E21" s="29" t="s">
        <v>79</v>
      </c>
      <c r="F21" s="26" t="s">
        <v>34</v>
      </c>
      <c r="G21" s="14">
        <v>0</v>
      </c>
      <c r="H21" s="92">
        <f t="shared" si="0"/>
        <v>0</v>
      </c>
      <c r="I21" s="60">
        <v>4</v>
      </c>
    </row>
    <row r="22" spans="1:17" x14ac:dyDescent="0.45">
      <c r="A22" s="21" t="s">
        <v>11</v>
      </c>
      <c r="B22" s="14">
        <v>10</v>
      </c>
      <c r="C22" s="8">
        <f>IF(B$19=0,0,B22/B$19)</f>
        <v>0.52631578947368418</v>
      </c>
      <c r="E22" s="29" t="s">
        <v>80</v>
      </c>
      <c r="F22" s="26" t="s">
        <v>35</v>
      </c>
      <c r="G22" s="14">
        <v>0</v>
      </c>
      <c r="H22" s="92">
        <f t="shared" si="0"/>
        <v>0</v>
      </c>
      <c r="I22" s="60">
        <v>1</v>
      </c>
    </row>
    <row r="23" spans="1:17" x14ac:dyDescent="0.45">
      <c r="A23" s="21" t="s">
        <v>184</v>
      </c>
      <c r="B23" s="14">
        <v>9</v>
      </c>
      <c r="C23" s="8">
        <f>IF(B$19=0,0,B23/B$19)</f>
        <v>0.47368421052631576</v>
      </c>
      <c r="E23" s="29" t="s">
        <v>81</v>
      </c>
      <c r="F23" s="26" t="s">
        <v>36</v>
      </c>
      <c r="G23" s="14">
        <v>0</v>
      </c>
      <c r="H23" s="92">
        <f t="shared" si="0"/>
        <v>0</v>
      </c>
      <c r="I23" s="60">
        <v>6</v>
      </c>
    </row>
    <row r="24" spans="1:17" x14ac:dyDescent="0.45">
      <c r="A24" s="21" t="s">
        <v>182</v>
      </c>
      <c r="B24" s="14">
        <v>6</v>
      </c>
      <c r="C24" s="8">
        <f>IF(B$19=0,0,B24/B$19)</f>
        <v>0.31578947368421051</v>
      </c>
      <c r="E24" s="29" t="s">
        <v>82</v>
      </c>
      <c r="F24" s="26" t="s">
        <v>37</v>
      </c>
      <c r="G24" s="14">
        <v>0</v>
      </c>
      <c r="H24" s="92">
        <f t="shared" si="0"/>
        <v>0</v>
      </c>
      <c r="I24" s="60">
        <v>1</v>
      </c>
    </row>
    <row r="25" spans="1:17" x14ac:dyDescent="0.45">
      <c r="A25" s="21" t="s">
        <v>183</v>
      </c>
      <c r="B25" s="14">
        <v>4</v>
      </c>
      <c r="C25" s="8">
        <f>IF(B$19=0,0,B25/B$19)</f>
        <v>0.21052631578947367</v>
      </c>
      <c r="E25" s="29" t="s">
        <v>83</v>
      </c>
      <c r="F25" s="26" t="s">
        <v>38</v>
      </c>
      <c r="G25" s="14">
        <v>0</v>
      </c>
      <c r="H25" s="92">
        <f t="shared" si="0"/>
        <v>0</v>
      </c>
      <c r="I25" s="60">
        <v>7</v>
      </c>
    </row>
    <row r="26" spans="1:17" x14ac:dyDescent="0.45">
      <c r="A26" s="21" t="s">
        <v>5</v>
      </c>
      <c r="B26" s="18">
        <f>IF(B$19=0,0,C26/B$19)</f>
        <v>7557.894736842105</v>
      </c>
      <c r="C26" s="10">
        <v>143600</v>
      </c>
      <c r="E26" s="29" t="s">
        <v>84</v>
      </c>
      <c r="F26" s="26" t="s">
        <v>39</v>
      </c>
      <c r="G26" s="14">
        <v>0</v>
      </c>
      <c r="H26" s="92">
        <f t="shared" si="0"/>
        <v>0</v>
      </c>
      <c r="I26" s="60">
        <v>1</v>
      </c>
    </row>
    <row r="27" spans="1:17" x14ac:dyDescent="0.45">
      <c r="A27" s="22" t="s">
        <v>166</v>
      </c>
      <c r="B27" s="99">
        <f>IF($B$19-B$18=0,0,C27/($B$19-B$18))</f>
        <v>9023.0769230769238</v>
      </c>
      <c r="C27" s="100">
        <v>117300</v>
      </c>
      <c r="E27" s="29" t="s">
        <v>87</v>
      </c>
      <c r="F27" s="26" t="s">
        <v>42</v>
      </c>
      <c r="G27" s="14">
        <v>0</v>
      </c>
      <c r="H27" s="92">
        <f t="shared" si="0"/>
        <v>0</v>
      </c>
      <c r="I27" s="60">
        <v>1</v>
      </c>
    </row>
    <row r="28" spans="1:17" x14ac:dyDescent="0.45">
      <c r="A28" s="22" t="s">
        <v>167</v>
      </c>
      <c r="B28" s="99">
        <f>IF(B$18=0,0,C28/B$18)</f>
        <v>4383.333333333333</v>
      </c>
      <c r="C28" s="100">
        <v>26300</v>
      </c>
      <c r="E28" s="29" t="s">
        <v>88</v>
      </c>
      <c r="F28" s="26" t="s">
        <v>43</v>
      </c>
      <c r="G28" s="14">
        <v>0</v>
      </c>
      <c r="H28" s="92">
        <f t="shared" si="0"/>
        <v>0</v>
      </c>
      <c r="I28" s="60">
        <v>1</v>
      </c>
    </row>
    <row r="29" spans="1:17" x14ac:dyDescent="0.45">
      <c r="A29" s="22" t="s">
        <v>165</v>
      </c>
      <c r="B29" s="99">
        <f>IF(B$20=0,0,C29/B$20)</f>
        <v>-6907.6923076923076</v>
      </c>
      <c r="C29" s="100">
        <v>-89800</v>
      </c>
      <c r="E29" s="29" t="s">
        <v>90</v>
      </c>
      <c r="F29" s="26" t="s">
        <v>45</v>
      </c>
      <c r="G29" s="14">
        <v>0</v>
      </c>
      <c r="H29" s="92">
        <f t="shared" si="0"/>
        <v>0</v>
      </c>
      <c r="I29" s="60">
        <v>1</v>
      </c>
    </row>
    <row r="30" spans="1:17" x14ac:dyDescent="0.45">
      <c r="A30" s="21" t="s">
        <v>158</v>
      </c>
      <c r="B30" s="14">
        <v>2</v>
      </c>
      <c r="C30" s="94">
        <v>0</v>
      </c>
      <c r="E30" s="29" t="s">
        <v>91</v>
      </c>
      <c r="F30" s="26" t="s">
        <v>46</v>
      </c>
      <c r="G30" s="14">
        <v>0</v>
      </c>
      <c r="H30" s="92">
        <f t="shared" si="0"/>
        <v>0</v>
      </c>
      <c r="I30" s="60">
        <v>4</v>
      </c>
    </row>
    <row r="31" spans="1:17" x14ac:dyDescent="0.45">
      <c r="A31" s="21" t="s">
        <v>159</v>
      </c>
      <c r="B31" s="14">
        <v>17</v>
      </c>
      <c r="C31" s="94">
        <v>8</v>
      </c>
      <c r="E31" s="29" t="s">
        <v>92</v>
      </c>
      <c r="F31" s="26" t="s">
        <v>47</v>
      </c>
      <c r="G31" s="14">
        <v>0</v>
      </c>
      <c r="H31" s="92">
        <f t="shared" si="0"/>
        <v>0</v>
      </c>
      <c r="I31" s="60">
        <v>3</v>
      </c>
    </row>
    <row r="32" spans="1:17" x14ac:dyDescent="0.45">
      <c r="A32" s="56" t="s">
        <v>136</v>
      </c>
      <c r="B32" s="141">
        <v>5</v>
      </c>
      <c r="C32" s="142"/>
      <c r="E32" s="29" t="s">
        <v>93</v>
      </c>
      <c r="F32" s="26" t="s">
        <v>48</v>
      </c>
      <c r="G32" s="14">
        <v>0</v>
      </c>
      <c r="H32" s="92">
        <f t="shared" si="0"/>
        <v>0</v>
      </c>
      <c r="I32" s="60">
        <v>1</v>
      </c>
    </row>
    <row r="33" spans="1:9" x14ac:dyDescent="0.45">
      <c r="A33" s="24" t="s">
        <v>181</v>
      </c>
      <c r="B33" s="143">
        <v>74600</v>
      </c>
      <c r="C33" s="144"/>
      <c r="E33" s="29" t="s">
        <v>94</v>
      </c>
      <c r="F33" s="26" t="s">
        <v>49</v>
      </c>
      <c r="G33" s="14">
        <v>0</v>
      </c>
      <c r="H33" s="92">
        <f t="shared" si="0"/>
        <v>0</v>
      </c>
      <c r="I33" s="60">
        <v>1</v>
      </c>
    </row>
    <row r="34" spans="1:9" x14ac:dyDescent="0.45">
      <c r="A34" s="23" t="s">
        <v>137</v>
      </c>
      <c r="B34" s="31">
        <v>0</v>
      </c>
      <c r="C34" s="11">
        <f>IF(B$3=0,0,B34/B$3)</f>
        <v>0</v>
      </c>
      <c r="E34" s="29" t="s">
        <v>95</v>
      </c>
      <c r="F34" s="26" t="s">
        <v>50</v>
      </c>
      <c r="G34" s="14">
        <v>0</v>
      </c>
      <c r="H34" s="92">
        <f t="shared" ref="H34:H65" si="3">IF(B$19=0,0,G34/B$19)</f>
        <v>0</v>
      </c>
      <c r="I34" s="60">
        <v>1</v>
      </c>
    </row>
    <row r="35" spans="1:9" x14ac:dyDescent="0.45">
      <c r="E35" s="29" t="s">
        <v>96</v>
      </c>
      <c r="F35" s="26" t="s">
        <v>51</v>
      </c>
      <c r="G35" s="14">
        <v>0</v>
      </c>
      <c r="H35" s="92">
        <f t="shared" si="3"/>
        <v>0</v>
      </c>
      <c r="I35" s="60">
        <v>1</v>
      </c>
    </row>
    <row r="36" spans="1:9" x14ac:dyDescent="0.45">
      <c r="A36" s="56" t="s">
        <v>172</v>
      </c>
      <c r="B36" s="133">
        <v>4</v>
      </c>
      <c r="C36" s="102">
        <f t="shared" ref="C36:C48" si="4">IF(B$19=0,0,B36/B$19)</f>
        <v>0.21052631578947367</v>
      </c>
      <c r="E36" s="29" t="s">
        <v>97</v>
      </c>
      <c r="F36" s="26" t="s">
        <v>52</v>
      </c>
      <c r="G36" s="14">
        <v>0</v>
      </c>
      <c r="H36" s="92">
        <f t="shared" si="3"/>
        <v>0</v>
      </c>
      <c r="I36" s="60">
        <v>1</v>
      </c>
    </row>
    <row r="37" spans="1:9" x14ac:dyDescent="0.45">
      <c r="A37" s="21" t="s">
        <v>168</v>
      </c>
      <c r="B37" s="14">
        <v>5</v>
      </c>
      <c r="C37" s="8">
        <f t="shared" si="4"/>
        <v>0.26315789473684209</v>
      </c>
      <c r="E37" s="29" t="s">
        <v>98</v>
      </c>
      <c r="F37" s="26" t="s">
        <v>53</v>
      </c>
      <c r="G37" s="14">
        <v>0</v>
      </c>
      <c r="H37" s="92">
        <f t="shared" si="3"/>
        <v>0</v>
      </c>
      <c r="I37" s="60">
        <v>1</v>
      </c>
    </row>
    <row r="38" spans="1:9" x14ac:dyDescent="0.45">
      <c r="A38" s="21" t="s">
        <v>169</v>
      </c>
      <c r="B38" s="134">
        <v>0</v>
      </c>
      <c r="C38" s="8">
        <f t="shared" si="4"/>
        <v>0</v>
      </c>
      <c r="E38" s="29" t="s">
        <v>99</v>
      </c>
      <c r="F38" s="26" t="s">
        <v>54</v>
      </c>
      <c r="G38" s="14">
        <v>0</v>
      </c>
      <c r="H38" s="92">
        <f t="shared" si="3"/>
        <v>0</v>
      </c>
      <c r="I38" s="60">
        <v>1</v>
      </c>
    </row>
    <row r="39" spans="1:9" x14ac:dyDescent="0.45">
      <c r="A39" s="21" t="s">
        <v>170</v>
      </c>
      <c r="B39" s="134">
        <v>2</v>
      </c>
      <c r="C39" s="8">
        <f t="shared" si="4"/>
        <v>0.10526315789473684</v>
      </c>
      <c r="E39" s="29" t="s">
        <v>100</v>
      </c>
      <c r="F39" s="26" t="s">
        <v>55</v>
      </c>
      <c r="G39" s="14">
        <v>0</v>
      </c>
      <c r="H39" s="92">
        <f t="shared" si="3"/>
        <v>0</v>
      </c>
      <c r="I39" s="60">
        <v>1</v>
      </c>
    </row>
    <row r="40" spans="1:9" x14ac:dyDescent="0.45">
      <c r="A40" s="21" t="s">
        <v>171</v>
      </c>
      <c r="B40" s="134">
        <v>2</v>
      </c>
      <c r="C40" s="8">
        <f t="shared" si="4"/>
        <v>0.10526315789473684</v>
      </c>
      <c r="E40" s="29" t="s">
        <v>101</v>
      </c>
      <c r="F40" s="26" t="s">
        <v>56</v>
      </c>
      <c r="G40" s="14">
        <v>0</v>
      </c>
      <c r="H40" s="92">
        <f t="shared" si="3"/>
        <v>0</v>
      </c>
      <c r="I40" s="60">
        <v>1</v>
      </c>
    </row>
    <row r="41" spans="1:9" x14ac:dyDescent="0.45">
      <c r="A41" s="21" t="s">
        <v>173</v>
      </c>
      <c r="B41" s="134">
        <v>3</v>
      </c>
      <c r="C41" s="8">
        <f t="shared" si="4"/>
        <v>0.15789473684210525</v>
      </c>
      <c r="E41" s="29" t="s">
        <v>102</v>
      </c>
      <c r="F41" s="26" t="s">
        <v>57</v>
      </c>
      <c r="G41" s="14">
        <v>0</v>
      </c>
      <c r="H41" s="92">
        <f t="shared" si="3"/>
        <v>0</v>
      </c>
      <c r="I41" s="60">
        <v>1</v>
      </c>
    </row>
    <row r="42" spans="1:9" x14ac:dyDescent="0.45">
      <c r="A42" s="21" t="s">
        <v>174</v>
      </c>
      <c r="B42" s="134">
        <v>2</v>
      </c>
      <c r="C42" s="8">
        <f t="shared" si="4"/>
        <v>0.10526315789473684</v>
      </c>
      <c r="E42" s="29" t="s">
        <v>103</v>
      </c>
      <c r="F42" s="26" t="s">
        <v>58</v>
      </c>
      <c r="G42" s="14">
        <v>0</v>
      </c>
      <c r="H42" s="92">
        <f t="shared" si="3"/>
        <v>0</v>
      </c>
      <c r="I42" s="60">
        <v>1</v>
      </c>
    </row>
    <row r="43" spans="1:9" x14ac:dyDescent="0.45">
      <c r="A43" s="21" t="s">
        <v>175</v>
      </c>
      <c r="B43" s="134">
        <v>1</v>
      </c>
      <c r="C43" s="8">
        <f t="shared" si="4"/>
        <v>5.2631578947368418E-2</v>
      </c>
      <c r="E43" s="29" t="s">
        <v>104</v>
      </c>
      <c r="F43" s="26" t="s">
        <v>59</v>
      </c>
      <c r="G43" s="14">
        <v>0</v>
      </c>
      <c r="H43" s="92">
        <f t="shared" si="3"/>
        <v>0</v>
      </c>
      <c r="I43" s="60">
        <v>1</v>
      </c>
    </row>
    <row r="44" spans="1:9" x14ac:dyDescent="0.45">
      <c r="A44" s="21" t="s">
        <v>176</v>
      </c>
      <c r="B44" s="134">
        <v>0</v>
      </c>
      <c r="C44" s="8">
        <f t="shared" si="4"/>
        <v>0</v>
      </c>
      <c r="E44" s="29" t="s">
        <v>105</v>
      </c>
      <c r="F44" s="26" t="s">
        <v>112</v>
      </c>
      <c r="G44" s="14">
        <v>0</v>
      </c>
      <c r="H44" s="92">
        <f t="shared" si="3"/>
        <v>0</v>
      </c>
      <c r="I44" s="60">
        <v>1</v>
      </c>
    </row>
    <row r="45" spans="1:9" x14ac:dyDescent="0.45">
      <c r="A45" s="21" t="s">
        <v>177</v>
      </c>
      <c r="B45" s="134">
        <v>0</v>
      </c>
      <c r="C45" s="8">
        <f t="shared" si="4"/>
        <v>0</v>
      </c>
      <c r="E45" s="29" t="s">
        <v>106</v>
      </c>
      <c r="F45" s="26" t="s">
        <v>113</v>
      </c>
      <c r="G45" s="14">
        <v>0</v>
      </c>
      <c r="H45" s="92">
        <f t="shared" si="3"/>
        <v>0</v>
      </c>
      <c r="I45" s="60">
        <v>1</v>
      </c>
    </row>
    <row r="46" spans="1:9" x14ac:dyDescent="0.45">
      <c r="A46" s="21" t="s">
        <v>178</v>
      </c>
      <c r="B46" s="134">
        <v>0</v>
      </c>
      <c r="C46" s="8">
        <f t="shared" si="4"/>
        <v>0</v>
      </c>
      <c r="E46" s="29" t="s">
        <v>107</v>
      </c>
      <c r="F46" s="26" t="s">
        <v>114</v>
      </c>
      <c r="G46" s="14">
        <v>0</v>
      </c>
      <c r="H46" s="92">
        <f t="shared" si="3"/>
        <v>0</v>
      </c>
      <c r="I46" s="60">
        <v>1</v>
      </c>
    </row>
    <row r="47" spans="1:9" x14ac:dyDescent="0.45">
      <c r="A47" s="21" t="s">
        <v>179</v>
      </c>
      <c r="B47" s="134">
        <v>0</v>
      </c>
      <c r="C47" s="8">
        <f t="shared" si="4"/>
        <v>0</v>
      </c>
      <c r="E47" s="29" t="s">
        <v>108</v>
      </c>
      <c r="F47" s="26" t="s">
        <v>60</v>
      </c>
      <c r="G47" s="14">
        <v>0</v>
      </c>
      <c r="H47" s="92">
        <f t="shared" si="3"/>
        <v>0</v>
      </c>
      <c r="I47" s="60">
        <v>1</v>
      </c>
    </row>
    <row r="48" spans="1:9" x14ac:dyDescent="0.45">
      <c r="A48" s="23" t="s">
        <v>180</v>
      </c>
      <c r="B48" s="101">
        <v>0</v>
      </c>
      <c r="C48" s="11">
        <f t="shared" si="4"/>
        <v>0</v>
      </c>
      <c r="E48" s="29" t="s">
        <v>109</v>
      </c>
      <c r="F48" s="26" t="s">
        <v>61</v>
      </c>
      <c r="G48" s="14">
        <v>0</v>
      </c>
      <c r="H48" s="92">
        <f t="shared" si="3"/>
        <v>0</v>
      </c>
      <c r="I48" s="60">
        <v>1</v>
      </c>
    </row>
    <row r="49" spans="5:9" x14ac:dyDescent="0.45">
      <c r="E49" s="29" t="s">
        <v>110</v>
      </c>
      <c r="F49" s="26" t="s">
        <v>62</v>
      </c>
      <c r="G49" s="14">
        <v>0</v>
      </c>
      <c r="H49" s="92">
        <f t="shared" si="3"/>
        <v>0</v>
      </c>
      <c r="I49" s="60">
        <v>1</v>
      </c>
    </row>
    <row r="50" spans="5:9" x14ac:dyDescent="0.45">
      <c r="E50" s="29" t="s">
        <v>111</v>
      </c>
      <c r="F50" s="26" t="s">
        <v>63</v>
      </c>
      <c r="G50" s="14">
        <v>0</v>
      </c>
      <c r="H50" s="92">
        <f t="shared" si="3"/>
        <v>0</v>
      </c>
      <c r="I50" s="60">
        <v>1</v>
      </c>
    </row>
    <row r="51" spans="5:9" x14ac:dyDescent="0.45">
      <c r="E51" s="95" t="s">
        <v>156</v>
      </c>
      <c r="F51" s="96" t="s">
        <v>157</v>
      </c>
      <c r="G51" s="15">
        <v>0</v>
      </c>
      <c r="H51" s="97">
        <f t="shared" si="3"/>
        <v>0</v>
      </c>
      <c r="I51" s="98">
        <v>4</v>
      </c>
    </row>
    <row r="52" spans="5:9" x14ac:dyDescent="0.45">
      <c r="E52" s="30" t="s">
        <v>162</v>
      </c>
      <c r="F52" s="27" t="s">
        <v>163</v>
      </c>
      <c r="G52" s="16">
        <v>0</v>
      </c>
      <c r="H52" s="93">
        <f t="shared" si="3"/>
        <v>0</v>
      </c>
      <c r="I52" s="61">
        <v>1</v>
      </c>
    </row>
  </sheetData>
  <sortState xmlns:xlrd2="http://schemas.microsoft.com/office/spreadsheetml/2017/richdata2" ref="N15:Q19">
    <sortCondition descending="1" ref="O15"/>
  </sortState>
  <mergeCells count="9">
    <mergeCell ref="B13:C13"/>
    <mergeCell ref="B32:C32"/>
    <mergeCell ref="B33:C33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DE8ED1-7CDF-4C73-8F69-E379CBF42A5C}">
  <sheetPr codeName="Sheet21"/>
  <dimension ref="A1:Q52"/>
  <sheetViews>
    <sheetView showGridLines="0" zoomScaleNormal="100" workbookViewId="0"/>
  </sheetViews>
  <sheetFormatPr defaultColWidth="9" defaultRowHeight="18" x14ac:dyDescent="0.45"/>
  <cols>
    <col min="1" max="1" width="13" style="107" customWidth="1"/>
    <col min="2" max="3" width="9" style="107" customWidth="1"/>
    <col min="4" max="4" width="3.59765625" style="107" customWidth="1"/>
    <col min="5" max="5" width="3.59765625" style="116" bestFit="1" customWidth="1"/>
    <col min="6" max="6" width="11" style="111" bestFit="1" customWidth="1"/>
    <col min="7" max="9" width="9" style="107" customWidth="1"/>
    <col min="10" max="10" width="3.59765625" style="107" customWidth="1"/>
    <col min="11" max="11" width="3.5" style="7" customWidth="1"/>
    <col min="12" max="12" width="9" style="65" customWidth="1"/>
    <col min="13" max="13" width="3.59765625" style="107" customWidth="1"/>
    <col min="14" max="14" width="9" style="78" customWidth="1"/>
    <col min="15" max="15" width="9" style="87" customWidth="1"/>
    <col min="16" max="16" width="9" style="81" customWidth="1"/>
    <col min="17" max="17" width="3.59765625" style="72" customWidth="1"/>
    <col min="18" max="16384" width="9" style="107"/>
  </cols>
  <sheetData>
    <row r="1" spans="1:17" x14ac:dyDescent="0.45">
      <c r="A1" s="19" t="s">
        <v>0</v>
      </c>
      <c r="B1" s="145" t="s">
        <v>200</v>
      </c>
      <c r="C1" s="146"/>
      <c r="E1" s="108" t="s">
        <v>155</v>
      </c>
      <c r="F1" s="132" t="s">
        <v>115</v>
      </c>
      <c r="G1" s="131" t="s">
        <v>116</v>
      </c>
      <c r="H1" s="90" t="s">
        <v>117</v>
      </c>
      <c r="I1" s="132" t="s">
        <v>146</v>
      </c>
      <c r="K1" s="4" t="s">
        <v>19</v>
      </c>
      <c r="L1" s="132" t="s">
        <v>120</v>
      </c>
      <c r="M1" s="109"/>
      <c r="N1" s="76" t="s">
        <v>134</v>
      </c>
      <c r="O1" s="4" t="s">
        <v>135</v>
      </c>
      <c r="P1" s="110" t="s">
        <v>116</v>
      </c>
      <c r="Q1" s="66" t="s">
        <v>148</v>
      </c>
    </row>
    <row r="2" spans="1:17" x14ac:dyDescent="0.45">
      <c r="A2" s="20" t="s">
        <v>9</v>
      </c>
      <c r="B2" s="147">
        <v>4</v>
      </c>
      <c r="C2" s="148"/>
      <c r="E2" s="28" t="s">
        <v>72</v>
      </c>
      <c r="F2" s="25" t="s">
        <v>27</v>
      </c>
      <c r="G2" s="13">
        <v>7</v>
      </c>
      <c r="H2" s="91">
        <f t="shared" ref="H2:H33" si="0">IF(B$19=0,0,G2/B$19)</f>
        <v>0.875</v>
      </c>
      <c r="I2" s="59">
        <v>3</v>
      </c>
      <c r="K2" s="5">
        <v>0</v>
      </c>
      <c r="L2" s="64">
        <v>0</v>
      </c>
      <c r="N2" s="77" t="s">
        <v>128</v>
      </c>
      <c r="O2" s="83">
        <f t="shared" ref="O2:O7" si="1">IF(P2=0,0,Q2/P2)</f>
        <v>-6625</v>
      </c>
      <c r="P2" s="80">
        <v>4</v>
      </c>
      <c r="Q2" s="67">
        <v>-26500</v>
      </c>
    </row>
    <row r="3" spans="1:17" x14ac:dyDescent="0.45">
      <c r="A3" s="21" t="s">
        <v>8</v>
      </c>
      <c r="B3" s="149">
        <v>35</v>
      </c>
      <c r="C3" s="150"/>
      <c r="E3" s="29" t="s">
        <v>66</v>
      </c>
      <c r="F3" s="26" t="s">
        <v>22</v>
      </c>
      <c r="G3" s="14">
        <v>6</v>
      </c>
      <c r="H3" s="92">
        <f t="shared" si="0"/>
        <v>0.75</v>
      </c>
      <c r="I3" s="60">
        <v>3</v>
      </c>
      <c r="K3" s="7">
        <v>1</v>
      </c>
      <c r="L3" s="65">
        <v>-38</v>
      </c>
      <c r="N3" s="78" t="s">
        <v>129</v>
      </c>
      <c r="O3" s="84">
        <f t="shared" si="1"/>
        <v>-1125</v>
      </c>
      <c r="P3" s="81">
        <v>4</v>
      </c>
      <c r="Q3" s="68">
        <v>-4500</v>
      </c>
    </row>
    <row r="4" spans="1:17" x14ac:dyDescent="0.45">
      <c r="A4" s="21" t="s">
        <v>6</v>
      </c>
      <c r="B4" s="151">
        <v>-51.699999999999996</v>
      </c>
      <c r="C4" s="152"/>
      <c r="E4" s="29" t="s">
        <v>89</v>
      </c>
      <c r="F4" s="26" t="s">
        <v>44</v>
      </c>
      <c r="G4" s="14">
        <v>3</v>
      </c>
      <c r="H4" s="92">
        <f t="shared" si="0"/>
        <v>0.375</v>
      </c>
      <c r="I4" s="60">
        <v>1</v>
      </c>
      <c r="K4" s="7">
        <v>2</v>
      </c>
      <c r="L4" s="65">
        <v>-18</v>
      </c>
      <c r="N4" s="78" t="s">
        <v>130</v>
      </c>
      <c r="O4" s="84">
        <f t="shared" si="1"/>
        <v>6750</v>
      </c>
      <c r="P4" s="81">
        <v>4</v>
      </c>
      <c r="Q4" s="68">
        <v>27000</v>
      </c>
    </row>
    <row r="5" spans="1:17" x14ac:dyDescent="0.45">
      <c r="A5" s="21" t="s">
        <v>7</v>
      </c>
      <c r="B5" s="139">
        <f>IF(B$2=0,0,B$4/B$2)</f>
        <v>-12.924999999999999</v>
      </c>
      <c r="C5" s="140"/>
      <c r="E5" s="29" t="s">
        <v>160</v>
      </c>
      <c r="F5" s="26" t="s">
        <v>161</v>
      </c>
      <c r="G5" s="14">
        <v>3</v>
      </c>
      <c r="H5" s="92">
        <f t="shared" si="0"/>
        <v>0.375</v>
      </c>
      <c r="I5" s="60">
        <v>7</v>
      </c>
      <c r="K5" s="7">
        <v>3</v>
      </c>
      <c r="L5" s="65">
        <v>-14.9</v>
      </c>
      <c r="N5" s="78" t="s">
        <v>131</v>
      </c>
      <c r="O5" s="84">
        <f t="shared" si="1"/>
        <v>-766.66666666666663</v>
      </c>
      <c r="P5" s="81">
        <v>3</v>
      </c>
      <c r="Q5" s="68">
        <v>-2300</v>
      </c>
    </row>
    <row r="6" spans="1:17" x14ac:dyDescent="0.45">
      <c r="A6" s="21" t="s">
        <v>1</v>
      </c>
      <c r="B6" s="153">
        <f>IF(B$2=0,0,(B$7*1+B$8*2+B$9*3)/B$2)</f>
        <v>2.25</v>
      </c>
      <c r="C6" s="154"/>
      <c r="E6" s="29" t="s">
        <v>64</v>
      </c>
      <c r="F6" s="26" t="s">
        <v>20</v>
      </c>
      <c r="G6" s="14">
        <v>2</v>
      </c>
      <c r="H6" s="92">
        <f t="shared" si="0"/>
        <v>0.25</v>
      </c>
      <c r="I6" s="60">
        <v>10</v>
      </c>
      <c r="K6" s="7">
        <v>4</v>
      </c>
      <c r="L6" s="65">
        <v>-51.699999999999996</v>
      </c>
      <c r="N6" s="78" t="s">
        <v>132</v>
      </c>
      <c r="O6" s="84">
        <f t="shared" si="1"/>
        <v>-4000</v>
      </c>
      <c r="P6" s="81">
        <v>3</v>
      </c>
      <c r="Q6" s="68">
        <v>-12000</v>
      </c>
    </row>
    <row r="7" spans="1:17" x14ac:dyDescent="0.45">
      <c r="A7" s="21" t="s">
        <v>2</v>
      </c>
      <c r="B7" s="14">
        <v>1</v>
      </c>
      <c r="C7" s="8">
        <f t="shared" ref="C7:C14" si="2">IF(B$2=0,0,B7/B$2)</f>
        <v>0.25</v>
      </c>
      <c r="E7" s="29" t="s">
        <v>68</v>
      </c>
      <c r="F7" s="26" t="s">
        <v>12</v>
      </c>
      <c r="G7" s="14">
        <v>2</v>
      </c>
      <c r="H7" s="92">
        <f t="shared" si="0"/>
        <v>0.25</v>
      </c>
      <c r="I7" s="60">
        <v>7</v>
      </c>
      <c r="N7" s="79" t="s">
        <v>133</v>
      </c>
      <c r="O7" s="85">
        <f t="shared" si="1"/>
        <v>-7800</v>
      </c>
      <c r="P7" s="82">
        <v>3</v>
      </c>
      <c r="Q7" s="69">
        <v>-23400</v>
      </c>
    </row>
    <row r="8" spans="1:17" x14ac:dyDescent="0.45">
      <c r="A8" s="21" t="s">
        <v>3</v>
      </c>
      <c r="B8" s="14">
        <v>1</v>
      </c>
      <c r="C8" s="8">
        <f t="shared" si="2"/>
        <v>0.25</v>
      </c>
      <c r="E8" s="29" t="s">
        <v>65</v>
      </c>
      <c r="F8" s="26" t="s">
        <v>21</v>
      </c>
      <c r="G8" s="14">
        <v>1</v>
      </c>
      <c r="H8" s="92">
        <f t="shared" si="0"/>
        <v>0.125</v>
      </c>
      <c r="I8" s="60">
        <v>3</v>
      </c>
      <c r="N8" s="111"/>
      <c r="O8" s="89"/>
      <c r="P8" s="112"/>
      <c r="Q8" s="74"/>
    </row>
    <row r="9" spans="1:17" x14ac:dyDescent="0.45">
      <c r="A9" s="22" t="s">
        <v>4</v>
      </c>
      <c r="B9" s="15">
        <v>2</v>
      </c>
      <c r="C9" s="9">
        <f t="shared" si="2"/>
        <v>0.5</v>
      </c>
      <c r="E9" s="29" t="s">
        <v>81</v>
      </c>
      <c r="F9" s="26" t="s">
        <v>36</v>
      </c>
      <c r="G9" s="14">
        <v>1</v>
      </c>
      <c r="H9" s="92">
        <f t="shared" si="0"/>
        <v>0.125</v>
      </c>
      <c r="I9" s="60">
        <v>1</v>
      </c>
      <c r="N9" s="76" t="s">
        <v>151</v>
      </c>
      <c r="O9" s="4" t="s">
        <v>120</v>
      </c>
      <c r="P9" s="110" t="s">
        <v>116</v>
      </c>
      <c r="Q9" s="70" t="s">
        <v>148</v>
      </c>
    </row>
    <row r="10" spans="1:17" x14ac:dyDescent="0.45">
      <c r="A10" s="22" t="s">
        <v>185</v>
      </c>
      <c r="B10" s="113">
        <f>IF(B7=0,0,C10/B7)</f>
        <v>20</v>
      </c>
      <c r="C10" s="114">
        <v>20</v>
      </c>
      <c r="E10" s="29" t="s">
        <v>83</v>
      </c>
      <c r="F10" s="26" t="s">
        <v>38</v>
      </c>
      <c r="G10" s="14">
        <v>1</v>
      </c>
      <c r="H10" s="92">
        <f t="shared" si="0"/>
        <v>0.125</v>
      </c>
      <c r="I10" s="60">
        <v>1</v>
      </c>
      <c r="N10" s="77" t="s">
        <v>152</v>
      </c>
      <c r="O10" s="86">
        <f>IF(P10=0,0,Q10/P10)</f>
        <v>0</v>
      </c>
      <c r="P10" s="80">
        <v>0</v>
      </c>
      <c r="Q10" s="71">
        <v>0</v>
      </c>
    </row>
    <row r="11" spans="1:17" x14ac:dyDescent="0.45">
      <c r="A11" s="22" t="s">
        <v>186</v>
      </c>
      <c r="B11" s="113">
        <f>IF(B8=0,0,C11/B8)</f>
        <v>3.1</v>
      </c>
      <c r="C11" s="114">
        <v>3.1</v>
      </c>
      <c r="E11" s="29" t="s">
        <v>67</v>
      </c>
      <c r="F11" s="26" t="s">
        <v>23</v>
      </c>
      <c r="G11" s="14">
        <v>0</v>
      </c>
      <c r="H11" s="92">
        <f t="shared" si="0"/>
        <v>0</v>
      </c>
      <c r="I11" s="60">
        <v>11</v>
      </c>
      <c r="N11" s="78" t="s">
        <v>153</v>
      </c>
      <c r="O11" s="87">
        <f>IF(P11=0,0,Q11/P11)</f>
        <v>20</v>
      </c>
      <c r="P11" s="81">
        <v>1</v>
      </c>
      <c r="Q11" s="72">
        <v>20</v>
      </c>
    </row>
    <row r="12" spans="1:17" x14ac:dyDescent="0.45">
      <c r="A12" s="22" t="s">
        <v>187</v>
      </c>
      <c r="B12" s="113">
        <f>IF(B9=0,0,C12/B9)</f>
        <v>-37.4</v>
      </c>
      <c r="C12" s="114">
        <v>-74.8</v>
      </c>
      <c r="E12" s="29" t="s">
        <v>69</v>
      </c>
      <c r="F12" s="26" t="s">
        <v>24</v>
      </c>
      <c r="G12" s="14">
        <v>0</v>
      </c>
      <c r="H12" s="92">
        <f t="shared" si="0"/>
        <v>0</v>
      </c>
      <c r="I12" s="60">
        <v>9</v>
      </c>
      <c r="N12" s="79" t="s">
        <v>154</v>
      </c>
      <c r="O12" s="88">
        <f>IF(P12=0,0,Q12/P12)</f>
        <v>-23.899999999999995</v>
      </c>
      <c r="P12" s="82">
        <v>3</v>
      </c>
      <c r="Q12" s="73">
        <v>-71.699999999999989</v>
      </c>
    </row>
    <row r="13" spans="1:17" x14ac:dyDescent="0.45">
      <c r="A13" s="22" t="s">
        <v>188</v>
      </c>
      <c r="B13" s="139">
        <f>AVERAGE(B10:B12)</f>
        <v>-4.7666666666666657</v>
      </c>
      <c r="C13" s="140"/>
      <c r="E13" s="29" t="s">
        <v>70</v>
      </c>
      <c r="F13" s="26" t="s">
        <v>25</v>
      </c>
      <c r="G13" s="14">
        <v>0</v>
      </c>
      <c r="H13" s="92">
        <f t="shared" si="0"/>
        <v>0</v>
      </c>
      <c r="I13" s="60">
        <v>9</v>
      </c>
      <c r="N13" s="107"/>
      <c r="O13" s="75"/>
      <c r="P13" s="115"/>
      <c r="Q13" s="75"/>
    </row>
    <row r="14" spans="1:17" x14ac:dyDescent="0.45">
      <c r="A14" s="23" t="s">
        <v>18</v>
      </c>
      <c r="B14" s="16">
        <v>0</v>
      </c>
      <c r="C14" s="11">
        <f t="shared" si="2"/>
        <v>0</v>
      </c>
      <c r="E14" s="29" t="s">
        <v>71</v>
      </c>
      <c r="F14" s="26" t="s">
        <v>26</v>
      </c>
      <c r="G14" s="14">
        <v>0</v>
      </c>
      <c r="H14" s="92">
        <f t="shared" si="0"/>
        <v>0</v>
      </c>
      <c r="I14" s="60">
        <v>8</v>
      </c>
      <c r="N14" s="76" t="s">
        <v>147</v>
      </c>
      <c r="O14" s="4" t="s">
        <v>120</v>
      </c>
      <c r="P14" s="110" t="s">
        <v>116</v>
      </c>
      <c r="Q14" s="70" t="s">
        <v>148</v>
      </c>
    </row>
    <row r="15" spans="1:17" x14ac:dyDescent="0.45">
      <c r="A15" s="24" t="s">
        <v>121</v>
      </c>
      <c r="B15" s="17">
        <v>9</v>
      </c>
      <c r="C15" s="12">
        <f>IF(B$3=0,0,B15/B$3)</f>
        <v>0.25714285714285712</v>
      </c>
      <c r="E15" s="29" t="s">
        <v>73</v>
      </c>
      <c r="F15" s="26" t="s">
        <v>28</v>
      </c>
      <c r="G15" s="14">
        <v>0</v>
      </c>
      <c r="H15" s="92">
        <f t="shared" si="0"/>
        <v>0</v>
      </c>
      <c r="I15" s="60">
        <v>3</v>
      </c>
      <c r="N15" s="77" t="s">
        <v>194</v>
      </c>
      <c r="O15" s="86">
        <f>IF(P15=0,0,Q15/P15)</f>
        <v>7.1999999999999993</v>
      </c>
      <c r="P15" s="80">
        <v>2</v>
      </c>
      <c r="Q15" s="71">
        <v>14.399999999999999</v>
      </c>
    </row>
    <row r="16" spans="1:17" x14ac:dyDescent="0.45">
      <c r="A16" s="21" t="s">
        <v>118</v>
      </c>
      <c r="B16" s="14">
        <v>10</v>
      </c>
      <c r="C16" s="8">
        <f>IF(B$3=0,0,B16/B$3)</f>
        <v>0.2857142857142857</v>
      </c>
      <c r="E16" s="29" t="s">
        <v>74</v>
      </c>
      <c r="F16" s="26" t="s">
        <v>29</v>
      </c>
      <c r="G16" s="14">
        <v>0</v>
      </c>
      <c r="H16" s="92">
        <f t="shared" si="0"/>
        <v>0</v>
      </c>
      <c r="I16" s="60">
        <v>1</v>
      </c>
      <c r="N16" s="78" t="s">
        <v>201</v>
      </c>
      <c r="O16" s="87">
        <f>IF(P16=0,0,Q16/P16)</f>
        <v>-27.925000000000004</v>
      </c>
      <c r="P16" s="81">
        <v>4</v>
      </c>
      <c r="Q16" s="72">
        <v>-111.70000000000002</v>
      </c>
    </row>
    <row r="17" spans="1:17" x14ac:dyDescent="0.45">
      <c r="A17" s="20" t="s">
        <v>123</v>
      </c>
      <c r="B17" s="13">
        <f>B23</f>
        <v>2</v>
      </c>
      <c r="C17" s="6">
        <f>IF(B$15=0,0,B17/B$15)</f>
        <v>0.22222222222222221</v>
      </c>
      <c r="E17" s="29" t="s">
        <v>75</v>
      </c>
      <c r="F17" s="26" t="s">
        <v>30</v>
      </c>
      <c r="G17" s="14">
        <v>0</v>
      </c>
      <c r="H17" s="92">
        <f t="shared" si="0"/>
        <v>0</v>
      </c>
      <c r="I17" s="60">
        <v>3</v>
      </c>
      <c r="N17" s="78" t="s">
        <v>126</v>
      </c>
      <c r="O17" s="87">
        <f>IF(P17=0,0,Q17/P17)</f>
        <v>-28.9</v>
      </c>
      <c r="P17" s="81">
        <v>2</v>
      </c>
      <c r="Q17" s="72">
        <v>-57.8</v>
      </c>
    </row>
    <row r="18" spans="1:17" x14ac:dyDescent="0.45">
      <c r="A18" s="20" t="s">
        <v>124</v>
      </c>
      <c r="B18" s="13">
        <f>B24</f>
        <v>4</v>
      </c>
      <c r="C18" s="6">
        <f>IF(B$16=0,0,B18/B$16)</f>
        <v>0.4</v>
      </c>
      <c r="E18" s="29" t="s">
        <v>76</v>
      </c>
      <c r="F18" s="26" t="s">
        <v>31</v>
      </c>
      <c r="G18" s="14">
        <v>0</v>
      </c>
      <c r="H18" s="92">
        <f t="shared" si="0"/>
        <v>0</v>
      </c>
      <c r="I18" s="60">
        <v>1</v>
      </c>
    </row>
    <row r="19" spans="1:17" x14ac:dyDescent="0.45">
      <c r="A19" s="20" t="s">
        <v>10</v>
      </c>
      <c r="B19" s="13">
        <f>B22+B21</f>
        <v>8</v>
      </c>
      <c r="C19" s="6">
        <f>IF(B$3=0,0,B19/B$3)</f>
        <v>0.22857142857142856</v>
      </c>
      <c r="E19" s="29" t="s">
        <v>77</v>
      </c>
      <c r="F19" s="26" t="s">
        <v>32</v>
      </c>
      <c r="G19" s="14">
        <v>0</v>
      </c>
      <c r="H19" s="92">
        <f t="shared" si="0"/>
        <v>0</v>
      </c>
      <c r="I19" s="60">
        <v>3</v>
      </c>
    </row>
    <row r="20" spans="1:17" x14ac:dyDescent="0.45">
      <c r="A20" s="21" t="s">
        <v>13</v>
      </c>
      <c r="B20" s="14">
        <v>8</v>
      </c>
      <c r="C20" s="8">
        <f>IF(B$3=0,0,B20/B$3)</f>
        <v>0.22857142857142856</v>
      </c>
      <c r="E20" s="29" t="s">
        <v>78</v>
      </c>
      <c r="F20" s="26" t="s">
        <v>33</v>
      </c>
      <c r="G20" s="14">
        <v>0</v>
      </c>
      <c r="H20" s="92">
        <f t="shared" si="0"/>
        <v>0</v>
      </c>
      <c r="I20" s="60">
        <v>6</v>
      </c>
    </row>
    <row r="21" spans="1:17" x14ac:dyDescent="0.45">
      <c r="A21" s="21" t="s">
        <v>12</v>
      </c>
      <c r="B21" s="14">
        <v>2</v>
      </c>
      <c r="C21" s="8">
        <f>IF(B$19=0,0,B21/B$19)</f>
        <v>0.25</v>
      </c>
      <c r="E21" s="29" t="s">
        <v>79</v>
      </c>
      <c r="F21" s="26" t="s">
        <v>34</v>
      </c>
      <c r="G21" s="14">
        <v>0</v>
      </c>
      <c r="H21" s="92">
        <f t="shared" si="0"/>
        <v>0</v>
      </c>
      <c r="I21" s="60">
        <v>4</v>
      </c>
    </row>
    <row r="22" spans="1:17" x14ac:dyDescent="0.45">
      <c r="A22" s="21" t="s">
        <v>11</v>
      </c>
      <c r="B22" s="14">
        <v>6</v>
      </c>
      <c r="C22" s="8">
        <f>IF(B$19=0,0,B22/B$19)</f>
        <v>0.75</v>
      </c>
      <c r="E22" s="29" t="s">
        <v>80</v>
      </c>
      <c r="F22" s="26" t="s">
        <v>35</v>
      </c>
      <c r="G22" s="14">
        <v>0</v>
      </c>
      <c r="H22" s="92">
        <f t="shared" si="0"/>
        <v>0</v>
      </c>
      <c r="I22" s="60">
        <v>1</v>
      </c>
    </row>
    <row r="23" spans="1:17" x14ac:dyDescent="0.45">
      <c r="A23" s="21" t="s">
        <v>184</v>
      </c>
      <c r="B23" s="14">
        <v>2</v>
      </c>
      <c r="C23" s="8">
        <f>IF(B$19=0,0,B23/B$19)</f>
        <v>0.25</v>
      </c>
      <c r="E23" s="29" t="s">
        <v>82</v>
      </c>
      <c r="F23" s="26" t="s">
        <v>37</v>
      </c>
      <c r="G23" s="14">
        <v>0</v>
      </c>
      <c r="H23" s="92">
        <f t="shared" si="0"/>
        <v>0</v>
      </c>
      <c r="I23" s="60">
        <v>1</v>
      </c>
    </row>
    <row r="24" spans="1:17" x14ac:dyDescent="0.45">
      <c r="A24" s="21" t="s">
        <v>182</v>
      </c>
      <c r="B24" s="14">
        <v>4</v>
      </c>
      <c r="C24" s="8">
        <f>IF(B$19=0,0,B24/B$19)</f>
        <v>0.5</v>
      </c>
      <c r="E24" s="29" t="s">
        <v>84</v>
      </c>
      <c r="F24" s="26" t="s">
        <v>39</v>
      </c>
      <c r="G24" s="14">
        <v>0</v>
      </c>
      <c r="H24" s="92">
        <f t="shared" si="0"/>
        <v>0</v>
      </c>
      <c r="I24" s="60">
        <v>1</v>
      </c>
    </row>
    <row r="25" spans="1:17" x14ac:dyDescent="0.45">
      <c r="A25" s="21" t="s">
        <v>183</v>
      </c>
      <c r="B25" s="14">
        <v>2</v>
      </c>
      <c r="C25" s="8">
        <f>IF(B$19=0,0,B25/B$19)</f>
        <v>0.25</v>
      </c>
      <c r="E25" s="29" t="s">
        <v>85</v>
      </c>
      <c r="F25" s="26" t="s">
        <v>40</v>
      </c>
      <c r="G25" s="14">
        <v>0</v>
      </c>
      <c r="H25" s="92">
        <f t="shared" si="0"/>
        <v>0</v>
      </c>
      <c r="I25" s="60">
        <v>3</v>
      </c>
    </row>
    <row r="26" spans="1:17" x14ac:dyDescent="0.45">
      <c r="A26" s="21" t="s">
        <v>5</v>
      </c>
      <c r="B26" s="18">
        <f>IF(B$19=0,0,C26/B$19)</f>
        <v>8212.5</v>
      </c>
      <c r="C26" s="10">
        <v>65700</v>
      </c>
      <c r="E26" s="29" t="s">
        <v>86</v>
      </c>
      <c r="F26" s="26" t="s">
        <v>41</v>
      </c>
      <c r="G26" s="14">
        <v>0</v>
      </c>
      <c r="H26" s="92">
        <f t="shared" si="0"/>
        <v>0</v>
      </c>
      <c r="I26" s="60">
        <v>7</v>
      </c>
    </row>
    <row r="27" spans="1:17" x14ac:dyDescent="0.45">
      <c r="A27" s="22" t="s">
        <v>166</v>
      </c>
      <c r="B27" s="99">
        <f>IF($B$19-B$18=0,0,C27/($B$19-B$18))</f>
        <v>7725</v>
      </c>
      <c r="C27" s="100">
        <v>30900</v>
      </c>
      <c r="E27" s="29" t="s">
        <v>87</v>
      </c>
      <c r="F27" s="26" t="s">
        <v>42</v>
      </c>
      <c r="G27" s="14">
        <v>0</v>
      </c>
      <c r="H27" s="92">
        <f t="shared" si="0"/>
        <v>0</v>
      </c>
      <c r="I27" s="60">
        <v>1</v>
      </c>
    </row>
    <row r="28" spans="1:17" x14ac:dyDescent="0.45">
      <c r="A28" s="22" t="s">
        <v>167</v>
      </c>
      <c r="B28" s="99">
        <f>IF(B$18=0,0,C28/B$18)</f>
        <v>8700</v>
      </c>
      <c r="C28" s="100">
        <v>34800</v>
      </c>
      <c r="E28" s="29" t="s">
        <v>88</v>
      </c>
      <c r="F28" s="26" t="s">
        <v>43</v>
      </c>
      <c r="G28" s="14">
        <v>0</v>
      </c>
      <c r="H28" s="92">
        <f t="shared" si="0"/>
        <v>0</v>
      </c>
      <c r="I28" s="60">
        <v>1</v>
      </c>
    </row>
    <row r="29" spans="1:17" x14ac:dyDescent="0.45">
      <c r="A29" s="22" t="s">
        <v>165</v>
      </c>
      <c r="B29" s="99">
        <f>IF(B$20=0,0,C29/B$20)</f>
        <v>-9387.5</v>
      </c>
      <c r="C29" s="100">
        <v>-75100</v>
      </c>
      <c r="E29" s="29" t="s">
        <v>90</v>
      </c>
      <c r="F29" s="26" t="s">
        <v>45</v>
      </c>
      <c r="G29" s="14">
        <v>0</v>
      </c>
      <c r="H29" s="92">
        <f t="shared" si="0"/>
        <v>0</v>
      </c>
      <c r="I29" s="60">
        <v>1</v>
      </c>
    </row>
    <row r="30" spans="1:17" x14ac:dyDescent="0.45">
      <c r="A30" s="21" t="s">
        <v>158</v>
      </c>
      <c r="B30" s="14">
        <v>3</v>
      </c>
      <c r="C30" s="94">
        <v>0</v>
      </c>
      <c r="E30" s="29" t="s">
        <v>91</v>
      </c>
      <c r="F30" s="26" t="s">
        <v>46</v>
      </c>
      <c r="G30" s="14">
        <v>0</v>
      </c>
      <c r="H30" s="92">
        <f t="shared" si="0"/>
        <v>0</v>
      </c>
      <c r="I30" s="60">
        <v>4</v>
      </c>
    </row>
    <row r="31" spans="1:17" x14ac:dyDescent="0.45">
      <c r="A31" s="21" t="s">
        <v>159</v>
      </c>
      <c r="B31" s="14">
        <v>12</v>
      </c>
      <c r="C31" s="94">
        <v>0</v>
      </c>
      <c r="E31" s="29" t="s">
        <v>92</v>
      </c>
      <c r="F31" s="26" t="s">
        <v>47</v>
      </c>
      <c r="G31" s="14">
        <v>0</v>
      </c>
      <c r="H31" s="92">
        <f t="shared" si="0"/>
        <v>0</v>
      </c>
      <c r="I31" s="60">
        <v>3</v>
      </c>
    </row>
    <row r="32" spans="1:17" x14ac:dyDescent="0.45">
      <c r="A32" s="56" t="s">
        <v>136</v>
      </c>
      <c r="B32" s="141">
        <v>3</v>
      </c>
      <c r="C32" s="142"/>
      <c r="E32" s="29" t="s">
        <v>93</v>
      </c>
      <c r="F32" s="26" t="s">
        <v>48</v>
      </c>
      <c r="G32" s="14">
        <v>0</v>
      </c>
      <c r="H32" s="92">
        <f t="shared" si="0"/>
        <v>0</v>
      </c>
      <c r="I32" s="60">
        <v>1</v>
      </c>
    </row>
    <row r="33" spans="1:9" x14ac:dyDescent="0.45">
      <c r="A33" s="24" t="s">
        <v>181</v>
      </c>
      <c r="B33" s="143">
        <v>45000</v>
      </c>
      <c r="C33" s="144"/>
      <c r="E33" s="29" t="s">
        <v>94</v>
      </c>
      <c r="F33" s="26" t="s">
        <v>49</v>
      </c>
      <c r="G33" s="14">
        <v>0</v>
      </c>
      <c r="H33" s="92">
        <f t="shared" si="0"/>
        <v>0</v>
      </c>
      <c r="I33" s="60">
        <v>1</v>
      </c>
    </row>
    <row r="34" spans="1:9" x14ac:dyDescent="0.45">
      <c r="A34" s="23" t="s">
        <v>137</v>
      </c>
      <c r="B34" s="31">
        <v>0</v>
      </c>
      <c r="C34" s="11">
        <f>IF(B$3=0,0,B34/B$3)</f>
        <v>0</v>
      </c>
      <c r="E34" s="29" t="s">
        <v>95</v>
      </c>
      <c r="F34" s="26" t="s">
        <v>50</v>
      </c>
      <c r="G34" s="14">
        <v>0</v>
      </c>
      <c r="H34" s="92">
        <f t="shared" ref="H34:H65" si="3">IF(B$19=0,0,G34/B$19)</f>
        <v>0</v>
      </c>
      <c r="I34" s="60">
        <v>1</v>
      </c>
    </row>
    <row r="35" spans="1:9" x14ac:dyDescent="0.45">
      <c r="E35" s="29" t="s">
        <v>96</v>
      </c>
      <c r="F35" s="26" t="s">
        <v>51</v>
      </c>
      <c r="G35" s="14">
        <v>0</v>
      </c>
      <c r="H35" s="92">
        <f t="shared" si="3"/>
        <v>0</v>
      </c>
      <c r="I35" s="60">
        <v>1</v>
      </c>
    </row>
    <row r="36" spans="1:9" x14ac:dyDescent="0.45">
      <c r="A36" s="56" t="s">
        <v>172</v>
      </c>
      <c r="B36" s="133">
        <v>1</v>
      </c>
      <c r="C36" s="102">
        <f t="shared" ref="C36:C48" si="4">IF(B$19=0,0,B36/B$19)</f>
        <v>0.125</v>
      </c>
      <c r="E36" s="29" t="s">
        <v>97</v>
      </c>
      <c r="F36" s="26" t="s">
        <v>52</v>
      </c>
      <c r="G36" s="14">
        <v>0</v>
      </c>
      <c r="H36" s="92">
        <f t="shared" si="3"/>
        <v>0</v>
      </c>
      <c r="I36" s="60">
        <v>1</v>
      </c>
    </row>
    <row r="37" spans="1:9" x14ac:dyDescent="0.45">
      <c r="A37" s="21" t="s">
        <v>168</v>
      </c>
      <c r="B37" s="14">
        <v>2</v>
      </c>
      <c r="C37" s="8">
        <f t="shared" si="4"/>
        <v>0.25</v>
      </c>
      <c r="E37" s="29" t="s">
        <v>98</v>
      </c>
      <c r="F37" s="26" t="s">
        <v>53</v>
      </c>
      <c r="G37" s="14">
        <v>0</v>
      </c>
      <c r="H37" s="92">
        <f t="shared" si="3"/>
        <v>0</v>
      </c>
      <c r="I37" s="60">
        <v>1</v>
      </c>
    </row>
    <row r="38" spans="1:9" x14ac:dyDescent="0.45">
      <c r="A38" s="21" t="s">
        <v>169</v>
      </c>
      <c r="B38" s="134">
        <v>1</v>
      </c>
      <c r="C38" s="8">
        <f t="shared" si="4"/>
        <v>0.125</v>
      </c>
      <c r="E38" s="29" t="s">
        <v>99</v>
      </c>
      <c r="F38" s="26" t="s">
        <v>54</v>
      </c>
      <c r="G38" s="14">
        <v>0</v>
      </c>
      <c r="H38" s="92">
        <f t="shared" si="3"/>
        <v>0</v>
      </c>
      <c r="I38" s="60">
        <v>1</v>
      </c>
    </row>
    <row r="39" spans="1:9" x14ac:dyDescent="0.45">
      <c r="A39" s="21" t="s">
        <v>170</v>
      </c>
      <c r="B39" s="134">
        <v>1</v>
      </c>
      <c r="C39" s="8">
        <f t="shared" si="4"/>
        <v>0.125</v>
      </c>
      <c r="E39" s="29" t="s">
        <v>100</v>
      </c>
      <c r="F39" s="26" t="s">
        <v>55</v>
      </c>
      <c r="G39" s="14">
        <v>0</v>
      </c>
      <c r="H39" s="92">
        <f t="shared" si="3"/>
        <v>0</v>
      </c>
      <c r="I39" s="60">
        <v>1</v>
      </c>
    </row>
    <row r="40" spans="1:9" x14ac:dyDescent="0.45">
      <c r="A40" s="21" t="s">
        <v>171</v>
      </c>
      <c r="B40" s="134">
        <v>0</v>
      </c>
      <c r="C40" s="8">
        <f t="shared" si="4"/>
        <v>0</v>
      </c>
      <c r="E40" s="29" t="s">
        <v>101</v>
      </c>
      <c r="F40" s="26" t="s">
        <v>56</v>
      </c>
      <c r="G40" s="14">
        <v>0</v>
      </c>
      <c r="H40" s="92">
        <f t="shared" si="3"/>
        <v>0</v>
      </c>
      <c r="I40" s="60">
        <v>1</v>
      </c>
    </row>
    <row r="41" spans="1:9" x14ac:dyDescent="0.45">
      <c r="A41" s="21" t="s">
        <v>173</v>
      </c>
      <c r="B41" s="134">
        <v>2</v>
      </c>
      <c r="C41" s="8">
        <f t="shared" si="4"/>
        <v>0.25</v>
      </c>
      <c r="E41" s="29" t="s">
        <v>102</v>
      </c>
      <c r="F41" s="26" t="s">
        <v>57</v>
      </c>
      <c r="G41" s="14">
        <v>0</v>
      </c>
      <c r="H41" s="92">
        <f t="shared" si="3"/>
        <v>0</v>
      </c>
      <c r="I41" s="60">
        <v>1</v>
      </c>
    </row>
    <row r="42" spans="1:9" x14ac:dyDescent="0.45">
      <c r="A42" s="21" t="s">
        <v>174</v>
      </c>
      <c r="B42" s="134">
        <v>0</v>
      </c>
      <c r="C42" s="8">
        <f t="shared" si="4"/>
        <v>0</v>
      </c>
      <c r="E42" s="29" t="s">
        <v>103</v>
      </c>
      <c r="F42" s="26" t="s">
        <v>58</v>
      </c>
      <c r="G42" s="14">
        <v>0</v>
      </c>
      <c r="H42" s="92">
        <f t="shared" si="3"/>
        <v>0</v>
      </c>
      <c r="I42" s="60">
        <v>1</v>
      </c>
    </row>
    <row r="43" spans="1:9" x14ac:dyDescent="0.45">
      <c r="A43" s="21" t="s">
        <v>175</v>
      </c>
      <c r="B43" s="134">
        <v>1</v>
      </c>
      <c r="C43" s="8">
        <f t="shared" si="4"/>
        <v>0.125</v>
      </c>
      <c r="E43" s="29" t="s">
        <v>104</v>
      </c>
      <c r="F43" s="26" t="s">
        <v>59</v>
      </c>
      <c r="G43" s="14">
        <v>0</v>
      </c>
      <c r="H43" s="92">
        <f t="shared" si="3"/>
        <v>0</v>
      </c>
      <c r="I43" s="60">
        <v>1</v>
      </c>
    </row>
    <row r="44" spans="1:9" x14ac:dyDescent="0.45">
      <c r="A44" s="21" t="s">
        <v>176</v>
      </c>
      <c r="B44" s="134">
        <v>0</v>
      </c>
      <c r="C44" s="8">
        <f t="shared" si="4"/>
        <v>0</v>
      </c>
      <c r="E44" s="29" t="s">
        <v>105</v>
      </c>
      <c r="F44" s="26" t="s">
        <v>112</v>
      </c>
      <c r="G44" s="14">
        <v>0</v>
      </c>
      <c r="H44" s="92">
        <f t="shared" si="3"/>
        <v>0</v>
      </c>
      <c r="I44" s="60">
        <v>1</v>
      </c>
    </row>
    <row r="45" spans="1:9" x14ac:dyDescent="0.45">
      <c r="A45" s="21" t="s">
        <v>177</v>
      </c>
      <c r="B45" s="134">
        <v>0</v>
      </c>
      <c r="C45" s="8">
        <f t="shared" si="4"/>
        <v>0</v>
      </c>
      <c r="E45" s="29" t="s">
        <v>106</v>
      </c>
      <c r="F45" s="26" t="s">
        <v>113</v>
      </c>
      <c r="G45" s="14">
        <v>0</v>
      </c>
      <c r="H45" s="92">
        <f t="shared" si="3"/>
        <v>0</v>
      </c>
      <c r="I45" s="60">
        <v>1</v>
      </c>
    </row>
    <row r="46" spans="1:9" x14ac:dyDescent="0.45">
      <c r="A46" s="21" t="s">
        <v>178</v>
      </c>
      <c r="B46" s="134">
        <v>0</v>
      </c>
      <c r="C46" s="8">
        <f t="shared" si="4"/>
        <v>0</v>
      </c>
      <c r="E46" s="29" t="s">
        <v>107</v>
      </c>
      <c r="F46" s="26" t="s">
        <v>114</v>
      </c>
      <c r="G46" s="14">
        <v>0</v>
      </c>
      <c r="H46" s="92">
        <f t="shared" si="3"/>
        <v>0</v>
      </c>
      <c r="I46" s="60">
        <v>1</v>
      </c>
    </row>
    <row r="47" spans="1:9" x14ac:dyDescent="0.45">
      <c r="A47" s="21" t="s">
        <v>179</v>
      </c>
      <c r="B47" s="134">
        <v>0</v>
      </c>
      <c r="C47" s="8">
        <f t="shared" si="4"/>
        <v>0</v>
      </c>
      <c r="E47" s="29" t="s">
        <v>108</v>
      </c>
      <c r="F47" s="26" t="s">
        <v>60</v>
      </c>
      <c r="G47" s="14">
        <v>0</v>
      </c>
      <c r="H47" s="92">
        <f t="shared" si="3"/>
        <v>0</v>
      </c>
      <c r="I47" s="60">
        <v>1</v>
      </c>
    </row>
    <row r="48" spans="1:9" x14ac:dyDescent="0.45">
      <c r="A48" s="23" t="s">
        <v>180</v>
      </c>
      <c r="B48" s="101">
        <v>0</v>
      </c>
      <c r="C48" s="11">
        <f t="shared" si="4"/>
        <v>0</v>
      </c>
      <c r="E48" s="29" t="s">
        <v>109</v>
      </c>
      <c r="F48" s="26" t="s">
        <v>61</v>
      </c>
      <c r="G48" s="14">
        <v>0</v>
      </c>
      <c r="H48" s="92">
        <f t="shared" si="3"/>
        <v>0</v>
      </c>
      <c r="I48" s="60">
        <v>1</v>
      </c>
    </row>
    <row r="49" spans="5:9" x14ac:dyDescent="0.45">
      <c r="E49" s="29" t="s">
        <v>110</v>
      </c>
      <c r="F49" s="26" t="s">
        <v>62</v>
      </c>
      <c r="G49" s="14">
        <v>0</v>
      </c>
      <c r="H49" s="92">
        <f t="shared" si="3"/>
        <v>0</v>
      </c>
      <c r="I49" s="60">
        <v>1</v>
      </c>
    </row>
    <row r="50" spans="5:9" x14ac:dyDescent="0.45">
      <c r="E50" s="29" t="s">
        <v>111</v>
      </c>
      <c r="F50" s="26" t="s">
        <v>63</v>
      </c>
      <c r="G50" s="14">
        <v>0</v>
      </c>
      <c r="H50" s="92">
        <f t="shared" si="3"/>
        <v>0</v>
      </c>
      <c r="I50" s="60">
        <v>1</v>
      </c>
    </row>
    <row r="51" spans="5:9" x14ac:dyDescent="0.45">
      <c r="E51" s="95" t="s">
        <v>156</v>
      </c>
      <c r="F51" s="96" t="s">
        <v>157</v>
      </c>
      <c r="G51" s="15">
        <v>0</v>
      </c>
      <c r="H51" s="97">
        <f t="shared" si="3"/>
        <v>0</v>
      </c>
      <c r="I51" s="98">
        <v>4</v>
      </c>
    </row>
    <row r="52" spans="5:9" x14ac:dyDescent="0.45">
      <c r="E52" s="30" t="s">
        <v>162</v>
      </c>
      <c r="F52" s="27" t="s">
        <v>163</v>
      </c>
      <c r="G52" s="16">
        <v>0</v>
      </c>
      <c r="H52" s="93">
        <f t="shared" si="3"/>
        <v>0</v>
      </c>
      <c r="I52" s="61">
        <v>1</v>
      </c>
    </row>
  </sheetData>
  <sortState xmlns:xlrd2="http://schemas.microsoft.com/office/spreadsheetml/2017/richdata2" ref="E2:I53">
    <sortCondition descending="1" ref="H1"/>
  </sortState>
  <mergeCells count="9">
    <mergeCell ref="B13:C13"/>
    <mergeCell ref="B32:C32"/>
    <mergeCell ref="B33:C33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CEF49C-25BF-4719-95C3-27911BCF6944}">
  <sheetPr codeName="Sheet23"/>
  <dimension ref="A1:Q52"/>
  <sheetViews>
    <sheetView showGridLines="0" zoomScaleNormal="100" workbookViewId="0"/>
  </sheetViews>
  <sheetFormatPr defaultColWidth="9" defaultRowHeight="18" x14ac:dyDescent="0.45"/>
  <cols>
    <col min="1" max="1" width="13" style="107" customWidth="1"/>
    <col min="2" max="3" width="9" style="107" customWidth="1"/>
    <col min="4" max="4" width="3.59765625" style="107" customWidth="1"/>
    <col min="5" max="5" width="3.59765625" style="116" bestFit="1" customWidth="1"/>
    <col min="6" max="6" width="11" style="111" bestFit="1" customWidth="1"/>
    <col min="7" max="9" width="9" style="107" customWidth="1"/>
    <col min="10" max="10" width="3.59765625" style="107" customWidth="1"/>
    <col min="11" max="11" width="3.5" style="7" customWidth="1"/>
    <col min="12" max="12" width="9" style="65" customWidth="1"/>
    <col min="13" max="13" width="3.59765625" style="107" customWidth="1"/>
    <col min="14" max="14" width="9" style="78" customWidth="1"/>
    <col min="15" max="15" width="9" style="87" customWidth="1"/>
    <col min="16" max="16" width="9" style="81" customWidth="1"/>
    <col min="17" max="17" width="3.59765625" style="72" customWidth="1"/>
    <col min="18" max="16384" width="9" style="107"/>
  </cols>
  <sheetData>
    <row r="1" spans="1:17" x14ac:dyDescent="0.45">
      <c r="A1" s="19" t="s">
        <v>0</v>
      </c>
      <c r="B1" s="145" t="s">
        <v>208</v>
      </c>
      <c r="C1" s="146"/>
      <c r="E1" s="108" t="s">
        <v>155</v>
      </c>
      <c r="F1" s="136" t="s">
        <v>115</v>
      </c>
      <c r="G1" s="135" t="s">
        <v>116</v>
      </c>
      <c r="H1" s="90" t="s">
        <v>117</v>
      </c>
      <c r="I1" s="136" t="s">
        <v>146</v>
      </c>
      <c r="K1" s="4" t="s">
        <v>19</v>
      </c>
      <c r="L1" s="136" t="s">
        <v>120</v>
      </c>
      <c r="M1" s="109"/>
      <c r="N1" s="76" t="s">
        <v>134</v>
      </c>
      <c r="O1" s="4" t="s">
        <v>135</v>
      </c>
      <c r="P1" s="110" t="s">
        <v>116</v>
      </c>
      <c r="Q1" s="66" t="s">
        <v>148</v>
      </c>
    </row>
    <row r="2" spans="1:17" x14ac:dyDescent="0.45">
      <c r="A2" s="20" t="s">
        <v>9</v>
      </c>
      <c r="B2" s="147">
        <v>2</v>
      </c>
      <c r="C2" s="148"/>
      <c r="E2" s="28" t="s">
        <v>64</v>
      </c>
      <c r="F2" s="25" t="s">
        <v>20</v>
      </c>
      <c r="G2" s="13">
        <v>4</v>
      </c>
      <c r="H2" s="91">
        <f t="shared" ref="H2:H33" si="0">IF(B$19=0,0,G2/B$19)</f>
        <v>0.8</v>
      </c>
      <c r="I2" s="59">
        <v>1</v>
      </c>
      <c r="K2" s="5">
        <v>0</v>
      </c>
      <c r="L2" s="64">
        <v>0</v>
      </c>
      <c r="N2" s="77" t="s">
        <v>128</v>
      </c>
      <c r="O2" s="83">
        <f t="shared" ref="O2:O7" si="1">IF(P2=0,0,Q2/P2)</f>
        <v>5000</v>
      </c>
      <c r="P2" s="80">
        <v>2</v>
      </c>
      <c r="Q2" s="67">
        <v>10000</v>
      </c>
    </row>
    <row r="3" spans="1:17" x14ac:dyDescent="0.45">
      <c r="A3" s="21" t="s">
        <v>8</v>
      </c>
      <c r="B3" s="149">
        <v>18</v>
      </c>
      <c r="C3" s="150"/>
      <c r="E3" s="29" t="s">
        <v>68</v>
      </c>
      <c r="F3" s="26" t="s">
        <v>12</v>
      </c>
      <c r="G3" s="14">
        <v>4</v>
      </c>
      <c r="H3" s="92">
        <f t="shared" si="0"/>
        <v>0.8</v>
      </c>
      <c r="I3" s="60">
        <v>1</v>
      </c>
      <c r="K3" s="7">
        <v>1</v>
      </c>
      <c r="L3" s="65">
        <v>-24.2</v>
      </c>
      <c r="N3" s="78" t="s">
        <v>129</v>
      </c>
      <c r="O3" s="84">
        <f t="shared" si="1"/>
        <v>-2600</v>
      </c>
      <c r="P3" s="81">
        <v>2</v>
      </c>
      <c r="Q3" s="68">
        <v>-5200</v>
      </c>
    </row>
    <row r="4" spans="1:17" x14ac:dyDescent="0.45">
      <c r="A4" s="21" t="s">
        <v>6</v>
      </c>
      <c r="B4" s="151">
        <v>-6.1999999999999993</v>
      </c>
      <c r="C4" s="152"/>
      <c r="E4" s="29" t="s">
        <v>67</v>
      </c>
      <c r="F4" s="26" t="s">
        <v>23</v>
      </c>
      <c r="G4" s="14">
        <v>3</v>
      </c>
      <c r="H4" s="92">
        <f t="shared" si="0"/>
        <v>0.6</v>
      </c>
      <c r="I4" s="60">
        <v>1</v>
      </c>
      <c r="K4" s="7">
        <v>2</v>
      </c>
      <c r="L4" s="65">
        <v>-6.1999999999999993</v>
      </c>
      <c r="N4" s="78" t="s">
        <v>130</v>
      </c>
      <c r="O4" s="84">
        <f t="shared" si="1"/>
        <v>900</v>
      </c>
      <c r="P4" s="81">
        <v>2</v>
      </c>
      <c r="Q4" s="68">
        <v>1800</v>
      </c>
    </row>
    <row r="5" spans="1:17" x14ac:dyDescent="0.45">
      <c r="A5" s="21" t="s">
        <v>7</v>
      </c>
      <c r="B5" s="139">
        <f>IF(B$2=0,0,B$4/B$2)</f>
        <v>-3.0999999999999996</v>
      </c>
      <c r="C5" s="140"/>
      <c r="E5" s="29" t="s">
        <v>69</v>
      </c>
      <c r="F5" s="26" t="s">
        <v>24</v>
      </c>
      <c r="G5" s="14">
        <v>3</v>
      </c>
      <c r="H5" s="92">
        <f t="shared" si="0"/>
        <v>0.6</v>
      </c>
      <c r="I5" s="60">
        <v>2</v>
      </c>
      <c r="N5" s="78" t="s">
        <v>131</v>
      </c>
      <c r="O5" s="84">
        <f t="shared" si="1"/>
        <v>-3750</v>
      </c>
      <c r="P5" s="81">
        <v>2</v>
      </c>
      <c r="Q5" s="68">
        <v>-7500</v>
      </c>
    </row>
    <row r="6" spans="1:17" x14ac:dyDescent="0.45">
      <c r="A6" s="21" t="s">
        <v>1</v>
      </c>
      <c r="B6" s="153">
        <f>IF(B$2=0,0,(B$7*1+B$8*2+B$9*3)/B$2)</f>
        <v>2</v>
      </c>
      <c r="C6" s="154"/>
      <c r="E6" s="29" t="s">
        <v>66</v>
      </c>
      <c r="F6" s="26" t="s">
        <v>22</v>
      </c>
      <c r="G6" s="14">
        <v>2</v>
      </c>
      <c r="H6" s="92">
        <f t="shared" si="0"/>
        <v>0.4</v>
      </c>
      <c r="I6" s="60">
        <v>10</v>
      </c>
      <c r="N6" s="78" t="s">
        <v>132</v>
      </c>
      <c r="O6" s="84">
        <f t="shared" si="1"/>
        <v>-400</v>
      </c>
      <c r="P6" s="81">
        <v>2</v>
      </c>
      <c r="Q6" s="68">
        <v>-800</v>
      </c>
    </row>
    <row r="7" spans="1:17" x14ac:dyDescent="0.45">
      <c r="A7" s="21" t="s">
        <v>2</v>
      </c>
      <c r="B7" s="14">
        <v>1</v>
      </c>
      <c r="C7" s="8">
        <f t="shared" ref="C7:C14" si="2">IF(B$2=0,0,B7/B$2)</f>
        <v>0.5</v>
      </c>
      <c r="E7" s="29" t="s">
        <v>65</v>
      </c>
      <c r="F7" s="26" t="s">
        <v>21</v>
      </c>
      <c r="G7" s="14">
        <v>1</v>
      </c>
      <c r="H7" s="92">
        <f t="shared" si="0"/>
        <v>0.2</v>
      </c>
      <c r="I7" s="60">
        <v>1</v>
      </c>
      <c r="N7" s="79" t="s">
        <v>133</v>
      </c>
      <c r="O7" s="85">
        <f t="shared" si="1"/>
        <v>-4500</v>
      </c>
      <c r="P7" s="82">
        <v>1</v>
      </c>
      <c r="Q7" s="69">
        <v>-4500</v>
      </c>
    </row>
    <row r="8" spans="1:17" x14ac:dyDescent="0.45">
      <c r="A8" s="21" t="s">
        <v>3</v>
      </c>
      <c r="B8" s="14">
        <v>0</v>
      </c>
      <c r="C8" s="8">
        <f t="shared" si="2"/>
        <v>0</v>
      </c>
      <c r="E8" s="29" t="s">
        <v>70</v>
      </c>
      <c r="F8" s="26" t="s">
        <v>25</v>
      </c>
      <c r="G8" s="14">
        <v>1</v>
      </c>
      <c r="H8" s="92">
        <f t="shared" si="0"/>
        <v>0.2</v>
      </c>
      <c r="I8" s="60">
        <v>2</v>
      </c>
      <c r="N8" s="111"/>
      <c r="O8" s="89"/>
      <c r="P8" s="112"/>
      <c r="Q8" s="74"/>
    </row>
    <row r="9" spans="1:17" x14ac:dyDescent="0.45">
      <c r="A9" s="22" t="s">
        <v>4</v>
      </c>
      <c r="B9" s="15">
        <v>1</v>
      </c>
      <c r="C9" s="9">
        <f t="shared" si="2"/>
        <v>0.5</v>
      </c>
      <c r="E9" s="29" t="s">
        <v>160</v>
      </c>
      <c r="F9" s="26" t="s">
        <v>161</v>
      </c>
      <c r="G9" s="14">
        <v>1</v>
      </c>
      <c r="H9" s="92">
        <f t="shared" si="0"/>
        <v>0.2</v>
      </c>
      <c r="I9" s="60">
        <v>11</v>
      </c>
      <c r="N9" s="76" t="s">
        <v>151</v>
      </c>
      <c r="O9" s="4" t="s">
        <v>120</v>
      </c>
      <c r="P9" s="110" t="s">
        <v>116</v>
      </c>
      <c r="Q9" s="70" t="s">
        <v>148</v>
      </c>
    </row>
    <row r="10" spans="1:17" x14ac:dyDescent="0.45">
      <c r="A10" s="22" t="s">
        <v>185</v>
      </c>
      <c r="B10" s="113">
        <f>IF(B7=0,0,C10/B7)</f>
        <v>18</v>
      </c>
      <c r="C10" s="114">
        <v>18</v>
      </c>
      <c r="E10" s="29" t="s">
        <v>71</v>
      </c>
      <c r="F10" s="26" t="s">
        <v>26</v>
      </c>
      <c r="G10" s="14">
        <v>0</v>
      </c>
      <c r="H10" s="92">
        <f t="shared" si="0"/>
        <v>0</v>
      </c>
      <c r="I10" s="60">
        <v>8</v>
      </c>
      <c r="N10" s="77" t="s">
        <v>152</v>
      </c>
      <c r="O10" s="86">
        <f>IF(P10=0,0,Q10/P10)</f>
        <v>-24.2</v>
      </c>
      <c r="P10" s="80">
        <v>1</v>
      </c>
      <c r="Q10" s="71">
        <v>-24.2</v>
      </c>
    </row>
    <row r="11" spans="1:17" x14ac:dyDescent="0.45">
      <c r="A11" s="22" t="s">
        <v>186</v>
      </c>
      <c r="B11" s="113">
        <f>IF(B8=0,0,C11/B8)</f>
        <v>0</v>
      </c>
      <c r="C11" s="114">
        <v>0</v>
      </c>
      <c r="E11" s="29" t="s">
        <v>72</v>
      </c>
      <c r="F11" s="26" t="s">
        <v>27</v>
      </c>
      <c r="G11" s="14">
        <v>0</v>
      </c>
      <c r="H11" s="92">
        <f t="shared" si="0"/>
        <v>0</v>
      </c>
      <c r="I11" s="60">
        <v>11</v>
      </c>
      <c r="N11" s="78" t="s">
        <v>153</v>
      </c>
      <c r="O11" s="87">
        <f>IF(P11=0,0,Q11/P11)</f>
        <v>18</v>
      </c>
      <c r="P11" s="81">
        <v>1</v>
      </c>
      <c r="Q11" s="72">
        <v>18</v>
      </c>
    </row>
    <row r="12" spans="1:17" x14ac:dyDescent="0.45">
      <c r="A12" s="22" t="s">
        <v>187</v>
      </c>
      <c r="B12" s="113">
        <f>IF(B9=0,0,C12/B9)</f>
        <v>-24.2</v>
      </c>
      <c r="C12" s="114">
        <v>-24.2</v>
      </c>
      <c r="E12" s="29" t="s">
        <v>73</v>
      </c>
      <c r="F12" s="26" t="s">
        <v>28</v>
      </c>
      <c r="G12" s="14">
        <v>0</v>
      </c>
      <c r="H12" s="92">
        <f t="shared" si="0"/>
        <v>0</v>
      </c>
      <c r="I12" s="60">
        <v>3</v>
      </c>
      <c r="N12" s="79" t="s">
        <v>154</v>
      </c>
      <c r="O12" s="88">
        <f>IF(P12=0,0,Q12/P12)</f>
        <v>0</v>
      </c>
      <c r="P12" s="82">
        <v>0</v>
      </c>
      <c r="Q12" s="73">
        <v>0</v>
      </c>
    </row>
    <row r="13" spans="1:17" x14ac:dyDescent="0.45">
      <c r="A13" s="22" t="s">
        <v>188</v>
      </c>
      <c r="B13" s="139">
        <f>AVERAGE(B10:B12)</f>
        <v>-2.0666666666666664</v>
      </c>
      <c r="C13" s="140"/>
      <c r="E13" s="29" t="s">
        <v>74</v>
      </c>
      <c r="F13" s="26" t="s">
        <v>29</v>
      </c>
      <c r="G13" s="14">
        <v>0</v>
      </c>
      <c r="H13" s="92">
        <f t="shared" si="0"/>
        <v>0</v>
      </c>
      <c r="I13" s="60">
        <v>1</v>
      </c>
      <c r="N13" s="107"/>
      <c r="O13" s="75"/>
      <c r="P13" s="115"/>
      <c r="Q13" s="75"/>
    </row>
    <row r="14" spans="1:17" x14ac:dyDescent="0.45">
      <c r="A14" s="23" t="s">
        <v>18</v>
      </c>
      <c r="B14" s="16">
        <v>0</v>
      </c>
      <c r="C14" s="11">
        <f t="shared" si="2"/>
        <v>0</v>
      </c>
      <c r="E14" s="29" t="s">
        <v>75</v>
      </c>
      <c r="F14" s="26" t="s">
        <v>30</v>
      </c>
      <c r="G14" s="14">
        <v>0</v>
      </c>
      <c r="H14" s="92">
        <f t="shared" si="0"/>
        <v>0</v>
      </c>
      <c r="I14" s="60">
        <v>3</v>
      </c>
      <c r="N14" s="76" t="s">
        <v>147</v>
      </c>
      <c r="O14" s="4" t="s">
        <v>120</v>
      </c>
      <c r="P14" s="110" t="s">
        <v>116</v>
      </c>
      <c r="Q14" s="70" t="s">
        <v>148</v>
      </c>
    </row>
    <row r="15" spans="1:17" x14ac:dyDescent="0.45">
      <c r="A15" s="24" t="s">
        <v>121</v>
      </c>
      <c r="B15" s="17">
        <v>4</v>
      </c>
      <c r="C15" s="12">
        <f>IF(B$3=0,0,B15/B$3)</f>
        <v>0.22222222222222221</v>
      </c>
      <c r="E15" s="29" t="s">
        <v>76</v>
      </c>
      <c r="F15" s="26" t="s">
        <v>31</v>
      </c>
      <c r="G15" s="14">
        <v>0</v>
      </c>
      <c r="H15" s="92">
        <f t="shared" si="0"/>
        <v>0</v>
      </c>
      <c r="I15" s="60">
        <v>1</v>
      </c>
      <c r="N15" s="77" t="s">
        <v>198</v>
      </c>
      <c r="O15" s="86">
        <f>IF(P15=0,0,Q15/P15)</f>
        <v>18.5</v>
      </c>
      <c r="P15" s="80">
        <v>1</v>
      </c>
      <c r="Q15" s="71">
        <v>18.5</v>
      </c>
    </row>
    <row r="16" spans="1:17" x14ac:dyDescent="0.45">
      <c r="A16" s="21" t="s">
        <v>118</v>
      </c>
      <c r="B16" s="14">
        <v>0</v>
      </c>
      <c r="C16" s="8">
        <f>IF(B$3=0,0,B16/B$3)</f>
        <v>0</v>
      </c>
      <c r="E16" s="29" t="s">
        <v>77</v>
      </c>
      <c r="F16" s="26" t="s">
        <v>32</v>
      </c>
      <c r="G16" s="14">
        <v>0</v>
      </c>
      <c r="H16" s="92">
        <f t="shared" si="0"/>
        <v>0</v>
      </c>
      <c r="I16" s="60">
        <v>3</v>
      </c>
      <c r="N16" s="78" t="s">
        <v>207</v>
      </c>
      <c r="O16" s="87">
        <f>IF(P16=0,0,Q16/P16)</f>
        <v>3.6500000000000004</v>
      </c>
      <c r="P16" s="81">
        <v>2</v>
      </c>
      <c r="Q16" s="72">
        <v>7.3000000000000007</v>
      </c>
    </row>
    <row r="17" spans="1:17" x14ac:dyDescent="0.45">
      <c r="A17" s="20" t="s">
        <v>123</v>
      </c>
      <c r="B17" s="13">
        <f>B23</f>
        <v>4</v>
      </c>
      <c r="C17" s="6">
        <f>IF(B$15=0,0,B17/B$15)</f>
        <v>1</v>
      </c>
      <c r="E17" s="29" t="s">
        <v>78</v>
      </c>
      <c r="F17" s="26" t="s">
        <v>33</v>
      </c>
      <c r="G17" s="14">
        <v>0</v>
      </c>
      <c r="H17" s="92">
        <f t="shared" si="0"/>
        <v>0</v>
      </c>
      <c r="I17" s="60">
        <v>6</v>
      </c>
      <c r="N17" s="78" t="s">
        <v>194</v>
      </c>
      <c r="O17" s="87">
        <f>IF(P17=0,0,Q17/P17)</f>
        <v>-44.4</v>
      </c>
      <c r="P17" s="81">
        <v>1</v>
      </c>
      <c r="Q17" s="72">
        <v>-44.4</v>
      </c>
    </row>
    <row r="18" spans="1:17" x14ac:dyDescent="0.45">
      <c r="A18" s="20" t="s">
        <v>124</v>
      </c>
      <c r="B18" s="13">
        <f>B24</f>
        <v>0</v>
      </c>
      <c r="C18" s="6">
        <f>IF(B$16=0,0,B18/B$16)</f>
        <v>0</v>
      </c>
      <c r="E18" s="29" t="s">
        <v>79</v>
      </c>
      <c r="F18" s="26" t="s">
        <v>34</v>
      </c>
      <c r="G18" s="14">
        <v>0</v>
      </c>
      <c r="H18" s="92">
        <f t="shared" si="0"/>
        <v>0</v>
      </c>
      <c r="I18" s="60">
        <v>4</v>
      </c>
    </row>
    <row r="19" spans="1:17" x14ac:dyDescent="0.45">
      <c r="A19" s="20" t="s">
        <v>10</v>
      </c>
      <c r="B19" s="13">
        <f>B22+B21</f>
        <v>5</v>
      </c>
      <c r="C19" s="6">
        <f>IF(B$3=0,0,B19/B$3)</f>
        <v>0.27777777777777779</v>
      </c>
      <c r="E19" s="29" t="s">
        <v>80</v>
      </c>
      <c r="F19" s="26" t="s">
        <v>35</v>
      </c>
      <c r="G19" s="14">
        <v>0</v>
      </c>
      <c r="H19" s="92">
        <f t="shared" si="0"/>
        <v>0</v>
      </c>
      <c r="I19" s="60">
        <v>1</v>
      </c>
    </row>
    <row r="20" spans="1:17" x14ac:dyDescent="0.45">
      <c r="A20" s="21" t="s">
        <v>13</v>
      </c>
      <c r="B20" s="14">
        <v>3</v>
      </c>
      <c r="C20" s="8">
        <f>IF(B$3=0,0,B20/B$3)</f>
        <v>0.16666666666666666</v>
      </c>
      <c r="E20" s="29" t="s">
        <v>81</v>
      </c>
      <c r="F20" s="26" t="s">
        <v>36</v>
      </c>
      <c r="G20" s="14">
        <v>0</v>
      </c>
      <c r="H20" s="92">
        <f t="shared" si="0"/>
        <v>0</v>
      </c>
      <c r="I20" s="60">
        <v>6</v>
      </c>
    </row>
    <row r="21" spans="1:17" x14ac:dyDescent="0.45">
      <c r="A21" s="21" t="s">
        <v>12</v>
      </c>
      <c r="B21" s="14">
        <v>4</v>
      </c>
      <c r="C21" s="8">
        <f>IF(B$19=0,0,B21/B$19)</f>
        <v>0.8</v>
      </c>
      <c r="E21" s="29" t="s">
        <v>82</v>
      </c>
      <c r="F21" s="26" t="s">
        <v>37</v>
      </c>
      <c r="G21" s="14">
        <v>0</v>
      </c>
      <c r="H21" s="92">
        <f t="shared" si="0"/>
        <v>0</v>
      </c>
      <c r="I21" s="60">
        <v>1</v>
      </c>
    </row>
    <row r="22" spans="1:17" x14ac:dyDescent="0.45">
      <c r="A22" s="21" t="s">
        <v>11</v>
      </c>
      <c r="B22" s="14">
        <v>1</v>
      </c>
      <c r="C22" s="8">
        <f>IF(B$19=0,0,B22/B$19)</f>
        <v>0.2</v>
      </c>
      <c r="E22" s="29" t="s">
        <v>83</v>
      </c>
      <c r="F22" s="26" t="s">
        <v>38</v>
      </c>
      <c r="G22" s="14">
        <v>0</v>
      </c>
      <c r="H22" s="92">
        <f t="shared" si="0"/>
        <v>0</v>
      </c>
      <c r="I22" s="60">
        <v>7</v>
      </c>
    </row>
    <row r="23" spans="1:17" x14ac:dyDescent="0.45">
      <c r="A23" s="21" t="s">
        <v>184</v>
      </c>
      <c r="B23" s="14">
        <v>4</v>
      </c>
      <c r="C23" s="8">
        <f>IF(B$19=0,0,B23/B$19)</f>
        <v>0.8</v>
      </c>
      <c r="E23" s="29" t="s">
        <v>84</v>
      </c>
      <c r="F23" s="26" t="s">
        <v>39</v>
      </c>
      <c r="G23" s="14">
        <v>0</v>
      </c>
      <c r="H23" s="92">
        <f t="shared" si="0"/>
        <v>0</v>
      </c>
      <c r="I23" s="60">
        <v>1</v>
      </c>
    </row>
    <row r="24" spans="1:17" x14ac:dyDescent="0.45">
      <c r="A24" s="21" t="s">
        <v>182</v>
      </c>
      <c r="B24" s="14">
        <v>0</v>
      </c>
      <c r="C24" s="8">
        <f>IF(B$19=0,0,B24/B$19)</f>
        <v>0</v>
      </c>
      <c r="E24" s="29" t="s">
        <v>85</v>
      </c>
      <c r="F24" s="26" t="s">
        <v>40</v>
      </c>
      <c r="G24" s="14">
        <v>0</v>
      </c>
      <c r="H24" s="92">
        <f t="shared" si="0"/>
        <v>0</v>
      </c>
      <c r="I24" s="60">
        <v>3</v>
      </c>
    </row>
    <row r="25" spans="1:17" x14ac:dyDescent="0.45">
      <c r="A25" s="21" t="s">
        <v>183</v>
      </c>
      <c r="B25" s="14">
        <v>1</v>
      </c>
      <c r="C25" s="8">
        <f>IF(B$19=0,0,B25/B$19)</f>
        <v>0.2</v>
      </c>
      <c r="E25" s="29" t="s">
        <v>86</v>
      </c>
      <c r="F25" s="26" t="s">
        <v>41</v>
      </c>
      <c r="G25" s="14">
        <v>0</v>
      </c>
      <c r="H25" s="92">
        <f t="shared" si="0"/>
        <v>0</v>
      </c>
      <c r="I25" s="60">
        <v>7</v>
      </c>
    </row>
    <row r="26" spans="1:17" x14ac:dyDescent="0.45">
      <c r="A26" s="21" t="s">
        <v>5</v>
      </c>
      <c r="B26" s="18">
        <f>IF(B$19=0,0,C26/B$19)</f>
        <v>7460</v>
      </c>
      <c r="C26" s="10">
        <v>37300</v>
      </c>
      <c r="E26" s="29" t="s">
        <v>87</v>
      </c>
      <c r="F26" s="26" t="s">
        <v>42</v>
      </c>
      <c r="G26" s="14">
        <v>0</v>
      </c>
      <c r="H26" s="92">
        <f t="shared" si="0"/>
        <v>0</v>
      </c>
      <c r="I26" s="60">
        <v>1</v>
      </c>
    </row>
    <row r="27" spans="1:17" x14ac:dyDescent="0.45">
      <c r="A27" s="22" t="s">
        <v>166</v>
      </c>
      <c r="B27" s="99">
        <f>IF($B$19-B$18=0,0,C27/($B$19-B$18))</f>
        <v>7460</v>
      </c>
      <c r="C27" s="100">
        <v>37300</v>
      </c>
      <c r="E27" s="29" t="s">
        <v>88</v>
      </c>
      <c r="F27" s="26" t="s">
        <v>43</v>
      </c>
      <c r="G27" s="14">
        <v>0</v>
      </c>
      <c r="H27" s="92">
        <f t="shared" si="0"/>
        <v>0</v>
      </c>
      <c r="I27" s="60">
        <v>1</v>
      </c>
    </row>
    <row r="28" spans="1:17" x14ac:dyDescent="0.45">
      <c r="A28" s="22" t="s">
        <v>167</v>
      </c>
      <c r="B28" s="99">
        <f>IF(B$18=0,0,C28/B$18)</f>
        <v>0</v>
      </c>
      <c r="C28" s="100">
        <v>0</v>
      </c>
      <c r="E28" s="29" t="s">
        <v>89</v>
      </c>
      <c r="F28" s="26" t="s">
        <v>44</v>
      </c>
      <c r="G28" s="14">
        <v>0</v>
      </c>
      <c r="H28" s="92">
        <f t="shared" si="0"/>
        <v>0</v>
      </c>
      <c r="I28" s="60">
        <v>11</v>
      </c>
    </row>
    <row r="29" spans="1:17" x14ac:dyDescent="0.45">
      <c r="A29" s="22" t="s">
        <v>165</v>
      </c>
      <c r="B29" s="99">
        <f>IF(B$20=0,0,C29/B$20)</f>
        <v>-5766.666666666667</v>
      </c>
      <c r="C29" s="100">
        <v>-17300</v>
      </c>
      <c r="E29" s="29" t="s">
        <v>90</v>
      </c>
      <c r="F29" s="26" t="s">
        <v>45</v>
      </c>
      <c r="G29" s="14">
        <v>0</v>
      </c>
      <c r="H29" s="92">
        <f t="shared" si="0"/>
        <v>0</v>
      </c>
      <c r="I29" s="60">
        <v>1</v>
      </c>
    </row>
    <row r="30" spans="1:17" x14ac:dyDescent="0.45">
      <c r="A30" s="21" t="s">
        <v>158</v>
      </c>
      <c r="B30" s="14">
        <v>1</v>
      </c>
      <c r="C30" s="94">
        <v>0</v>
      </c>
      <c r="E30" s="29" t="s">
        <v>91</v>
      </c>
      <c r="F30" s="26" t="s">
        <v>46</v>
      </c>
      <c r="G30" s="14">
        <v>0</v>
      </c>
      <c r="H30" s="92">
        <f t="shared" si="0"/>
        <v>0</v>
      </c>
      <c r="I30" s="60">
        <v>4</v>
      </c>
    </row>
    <row r="31" spans="1:17" x14ac:dyDescent="0.45">
      <c r="A31" s="21" t="s">
        <v>159</v>
      </c>
      <c r="B31" s="14">
        <v>9</v>
      </c>
      <c r="C31" s="94">
        <v>1</v>
      </c>
      <c r="E31" s="29" t="s">
        <v>92</v>
      </c>
      <c r="F31" s="26" t="s">
        <v>47</v>
      </c>
      <c r="G31" s="14">
        <v>0</v>
      </c>
      <c r="H31" s="92">
        <f t="shared" si="0"/>
        <v>0</v>
      </c>
      <c r="I31" s="60">
        <v>3</v>
      </c>
    </row>
    <row r="32" spans="1:17" x14ac:dyDescent="0.45">
      <c r="A32" s="56" t="s">
        <v>136</v>
      </c>
      <c r="B32" s="141">
        <v>3</v>
      </c>
      <c r="C32" s="142"/>
      <c r="E32" s="29" t="s">
        <v>93</v>
      </c>
      <c r="F32" s="26" t="s">
        <v>48</v>
      </c>
      <c r="G32" s="14">
        <v>0</v>
      </c>
      <c r="H32" s="92">
        <f t="shared" si="0"/>
        <v>0</v>
      </c>
      <c r="I32" s="60">
        <v>1</v>
      </c>
    </row>
    <row r="33" spans="1:9" x14ac:dyDescent="0.45">
      <c r="A33" s="24" t="s">
        <v>181</v>
      </c>
      <c r="B33" s="143">
        <v>43000</v>
      </c>
      <c r="C33" s="144"/>
      <c r="E33" s="29" t="s">
        <v>94</v>
      </c>
      <c r="F33" s="26" t="s">
        <v>49</v>
      </c>
      <c r="G33" s="14">
        <v>0</v>
      </c>
      <c r="H33" s="92">
        <f t="shared" si="0"/>
        <v>0</v>
      </c>
      <c r="I33" s="60">
        <v>1</v>
      </c>
    </row>
    <row r="34" spans="1:9" x14ac:dyDescent="0.45">
      <c r="A34" s="23" t="s">
        <v>137</v>
      </c>
      <c r="B34" s="31">
        <v>0</v>
      </c>
      <c r="C34" s="11">
        <f>IF(B$3=0,0,B34/B$3)</f>
        <v>0</v>
      </c>
      <c r="E34" s="29" t="s">
        <v>95</v>
      </c>
      <c r="F34" s="26" t="s">
        <v>50</v>
      </c>
      <c r="G34" s="14">
        <v>0</v>
      </c>
      <c r="H34" s="92">
        <f t="shared" ref="H34:H65" si="3">IF(B$19=0,0,G34/B$19)</f>
        <v>0</v>
      </c>
      <c r="I34" s="60">
        <v>1</v>
      </c>
    </row>
    <row r="35" spans="1:9" x14ac:dyDescent="0.45">
      <c r="E35" s="29" t="s">
        <v>96</v>
      </c>
      <c r="F35" s="26" t="s">
        <v>51</v>
      </c>
      <c r="G35" s="14">
        <v>0</v>
      </c>
      <c r="H35" s="92">
        <f t="shared" si="3"/>
        <v>0</v>
      </c>
      <c r="I35" s="60">
        <v>1</v>
      </c>
    </row>
    <row r="36" spans="1:9" x14ac:dyDescent="0.45">
      <c r="A36" s="56" t="s">
        <v>172</v>
      </c>
      <c r="B36" s="137">
        <v>0</v>
      </c>
      <c r="C36" s="102">
        <f t="shared" ref="C36:C48" si="4">IF(B$19=0,0,B36/B$19)</f>
        <v>0</v>
      </c>
      <c r="E36" s="29" t="s">
        <v>97</v>
      </c>
      <c r="F36" s="26" t="s">
        <v>52</v>
      </c>
      <c r="G36" s="14">
        <v>0</v>
      </c>
      <c r="H36" s="92">
        <f t="shared" si="3"/>
        <v>0</v>
      </c>
      <c r="I36" s="60">
        <v>1</v>
      </c>
    </row>
    <row r="37" spans="1:9" x14ac:dyDescent="0.45">
      <c r="A37" s="21" t="s">
        <v>168</v>
      </c>
      <c r="B37" s="14">
        <v>0</v>
      </c>
      <c r="C37" s="8">
        <f t="shared" si="4"/>
        <v>0</v>
      </c>
      <c r="E37" s="29" t="s">
        <v>98</v>
      </c>
      <c r="F37" s="26" t="s">
        <v>53</v>
      </c>
      <c r="G37" s="14">
        <v>0</v>
      </c>
      <c r="H37" s="92">
        <f t="shared" si="3"/>
        <v>0</v>
      </c>
      <c r="I37" s="60">
        <v>1</v>
      </c>
    </row>
    <row r="38" spans="1:9" x14ac:dyDescent="0.45">
      <c r="A38" s="21" t="s">
        <v>169</v>
      </c>
      <c r="B38" s="138">
        <v>3</v>
      </c>
      <c r="C38" s="8">
        <f t="shared" si="4"/>
        <v>0.6</v>
      </c>
      <c r="E38" s="29" t="s">
        <v>99</v>
      </c>
      <c r="F38" s="26" t="s">
        <v>54</v>
      </c>
      <c r="G38" s="14">
        <v>0</v>
      </c>
      <c r="H38" s="92">
        <f t="shared" si="3"/>
        <v>0</v>
      </c>
      <c r="I38" s="60">
        <v>1</v>
      </c>
    </row>
    <row r="39" spans="1:9" x14ac:dyDescent="0.45">
      <c r="A39" s="21" t="s">
        <v>170</v>
      </c>
      <c r="B39" s="138">
        <v>1</v>
      </c>
      <c r="C39" s="8">
        <f t="shared" si="4"/>
        <v>0.2</v>
      </c>
      <c r="E39" s="29" t="s">
        <v>100</v>
      </c>
      <c r="F39" s="26" t="s">
        <v>55</v>
      </c>
      <c r="G39" s="14">
        <v>0</v>
      </c>
      <c r="H39" s="92">
        <f t="shared" si="3"/>
        <v>0</v>
      </c>
      <c r="I39" s="60">
        <v>1</v>
      </c>
    </row>
    <row r="40" spans="1:9" x14ac:dyDescent="0.45">
      <c r="A40" s="21" t="s">
        <v>171</v>
      </c>
      <c r="B40" s="138">
        <v>0</v>
      </c>
      <c r="C40" s="8">
        <f t="shared" si="4"/>
        <v>0</v>
      </c>
      <c r="E40" s="29" t="s">
        <v>101</v>
      </c>
      <c r="F40" s="26" t="s">
        <v>56</v>
      </c>
      <c r="G40" s="14">
        <v>0</v>
      </c>
      <c r="H40" s="92">
        <f t="shared" si="3"/>
        <v>0</v>
      </c>
      <c r="I40" s="60">
        <v>1</v>
      </c>
    </row>
    <row r="41" spans="1:9" x14ac:dyDescent="0.45">
      <c r="A41" s="21" t="s">
        <v>173</v>
      </c>
      <c r="B41" s="138">
        <v>1</v>
      </c>
      <c r="C41" s="8">
        <f t="shared" si="4"/>
        <v>0.2</v>
      </c>
      <c r="E41" s="29" t="s">
        <v>102</v>
      </c>
      <c r="F41" s="26" t="s">
        <v>57</v>
      </c>
      <c r="G41" s="14">
        <v>0</v>
      </c>
      <c r="H41" s="92">
        <f t="shared" si="3"/>
        <v>0</v>
      </c>
      <c r="I41" s="60">
        <v>1</v>
      </c>
    </row>
    <row r="42" spans="1:9" x14ac:dyDescent="0.45">
      <c r="A42" s="21" t="s">
        <v>174</v>
      </c>
      <c r="B42" s="138">
        <v>0</v>
      </c>
      <c r="C42" s="8">
        <f t="shared" si="4"/>
        <v>0</v>
      </c>
      <c r="E42" s="29" t="s">
        <v>103</v>
      </c>
      <c r="F42" s="26" t="s">
        <v>58</v>
      </c>
      <c r="G42" s="14">
        <v>0</v>
      </c>
      <c r="H42" s="92">
        <f t="shared" si="3"/>
        <v>0</v>
      </c>
      <c r="I42" s="60">
        <v>1</v>
      </c>
    </row>
    <row r="43" spans="1:9" x14ac:dyDescent="0.45">
      <c r="A43" s="21" t="s">
        <v>175</v>
      </c>
      <c r="B43" s="138">
        <v>0</v>
      </c>
      <c r="C43" s="8">
        <f t="shared" si="4"/>
        <v>0</v>
      </c>
      <c r="E43" s="29" t="s">
        <v>104</v>
      </c>
      <c r="F43" s="26" t="s">
        <v>59</v>
      </c>
      <c r="G43" s="14">
        <v>0</v>
      </c>
      <c r="H43" s="92">
        <f t="shared" si="3"/>
        <v>0</v>
      </c>
      <c r="I43" s="60">
        <v>1</v>
      </c>
    </row>
    <row r="44" spans="1:9" x14ac:dyDescent="0.45">
      <c r="A44" s="21" t="s">
        <v>176</v>
      </c>
      <c r="B44" s="138">
        <v>0</v>
      </c>
      <c r="C44" s="8">
        <f t="shared" si="4"/>
        <v>0</v>
      </c>
      <c r="E44" s="29" t="s">
        <v>105</v>
      </c>
      <c r="F44" s="26" t="s">
        <v>112</v>
      </c>
      <c r="G44" s="14">
        <v>0</v>
      </c>
      <c r="H44" s="92">
        <f t="shared" si="3"/>
        <v>0</v>
      </c>
      <c r="I44" s="60">
        <v>1</v>
      </c>
    </row>
    <row r="45" spans="1:9" x14ac:dyDescent="0.45">
      <c r="A45" s="21" t="s">
        <v>177</v>
      </c>
      <c r="B45" s="138">
        <v>0</v>
      </c>
      <c r="C45" s="8">
        <f t="shared" si="4"/>
        <v>0</v>
      </c>
      <c r="E45" s="29" t="s">
        <v>106</v>
      </c>
      <c r="F45" s="26" t="s">
        <v>113</v>
      </c>
      <c r="G45" s="14">
        <v>0</v>
      </c>
      <c r="H45" s="92">
        <f t="shared" si="3"/>
        <v>0</v>
      </c>
      <c r="I45" s="60">
        <v>1</v>
      </c>
    </row>
    <row r="46" spans="1:9" x14ac:dyDescent="0.45">
      <c r="A46" s="21" t="s">
        <v>178</v>
      </c>
      <c r="B46" s="138">
        <v>0</v>
      </c>
      <c r="C46" s="8">
        <f t="shared" si="4"/>
        <v>0</v>
      </c>
      <c r="E46" s="29" t="s">
        <v>107</v>
      </c>
      <c r="F46" s="26" t="s">
        <v>114</v>
      </c>
      <c r="G46" s="14">
        <v>0</v>
      </c>
      <c r="H46" s="92">
        <f t="shared" si="3"/>
        <v>0</v>
      </c>
      <c r="I46" s="60">
        <v>1</v>
      </c>
    </row>
    <row r="47" spans="1:9" x14ac:dyDescent="0.45">
      <c r="A47" s="21" t="s">
        <v>179</v>
      </c>
      <c r="B47" s="138">
        <v>0</v>
      </c>
      <c r="C47" s="8">
        <f t="shared" si="4"/>
        <v>0</v>
      </c>
      <c r="E47" s="29" t="s">
        <v>108</v>
      </c>
      <c r="F47" s="26" t="s">
        <v>60</v>
      </c>
      <c r="G47" s="14">
        <v>0</v>
      </c>
      <c r="H47" s="92">
        <f t="shared" si="3"/>
        <v>0</v>
      </c>
      <c r="I47" s="60">
        <v>1</v>
      </c>
    </row>
    <row r="48" spans="1:9" x14ac:dyDescent="0.45">
      <c r="A48" s="23" t="s">
        <v>180</v>
      </c>
      <c r="B48" s="101">
        <v>0</v>
      </c>
      <c r="C48" s="11">
        <f t="shared" si="4"/>
        <v>0</v>
      </c>
      <c r="E48" s="29" t="s">
        <v>109</v>
      </c>
      <c r="F48" s="26" t="s">
        <v>61</v>
      </c>
      <c r="G48" s="14">
        <v>0</v>
      </c>
      <c r="H48" s="92">
        <f t="shared" si="3"/>
        <v>0</v>
      </c>
      <c r="I48" s="60">
        <v>1</v>
      </c>
    </row>
    <row r="49" spans="5:9" x14ac:dyDescent="0.45">
      <c r="E49" s="29" t="s">
        <v>110</v>
      </c>
      <c r="F49" s="26" t="s">
        <v>62</v>
      </c>
      <c r="G49" s="14">
        <v>0</v>
      </c>
      <c r="H49" s="92">
        <f t="shared" si="3"/>
        <v>0</v>
      </c>
      <c r="I49" s="60">
        <v>1</v>
      </c>
    </row>
    <row r="50" spans="5:9" x14ac:dyDescent="0.45">
      <c r="E50" s="29" t="s">
        <v>111</v>
      </c>
      <c r="F50" s="26" t="s">
        <v>63</v>
      </c>
      <c r="G50" s="14">
        <v>0</v>
      </c>
      <c r="H50" s="92">
        <f t="shared" si="3"/>
        <v>0</v>
      </c>
      <c r="I50" s="60">
        <v>1</v>
      </c>
    </row>
    <row r="51" spans="5:9" x14ac:dyDescent="0.45">
      <c r="E51" s="95" t="s">
        <v>156</v>
      </c>
      <c r="F51" s="96" t="s">
        <v>157</v>
      </c>
      <c r="G51" s="15">
        <v>0</v>
      </c>
      <c r="H51" s="97">
        <f t="shared" si="3"/>
        <v>0</v>
      </c>
      <c r="I51" s="98">
        <v>4</v>
      </c>
    </row>
    <row r="52" spans="5:9" x14ac:dyDescent="0.45">
      <c r="E52" s="30" t="s">
        <v>162</v>
      </c>
      <c r="F52" s="27" t="s">
        <v>163</v>
      </c>
      <c r="G52" s="16">
        <v>0</v>
      </c>
      <c r="H52" s="93">
        <f t="shared" si="3"/>
        <v>0</v>
      </c>
      <c r="I52" s="61">
        <v>1</v>
      </c>
    </row>
  </sheetData>
  <sortState xmlns:xlrd2="http://schemas.microsoft.com/office/spreadsheetml/2017/richdata2" ref="E2:I53">
    <sortCondition descending="1" ref="H1"/>
  </sortState>
  <mergeCells count="9">
    <mergeCell ref="B13:C13"/>
    <mergeCell ref="B32:C32"/>
    <mergeCell ref="B33:C33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CC0992-5857-46C1-A606-E109AF7FEE3A}">
  <sheetPr codeName="Sheet25"/>
  <dimension ref="A1:Q52"/>
  <sheetViews>
    <sheetView showGridLines="0" zoomScaleNormal="100" workbookViewId="0"/>
  </sheetViews>
  <sheetFormatPr defaultColWidth="9" defaultRowHeight="18" x14ac:dyDescent="0.45"/>
  <cols>
    <col min="1" max="1" width="13" style="107" customWidth="1"/>
    <col min="2" max="3" width="9" style="107" customWidth="1"/>
    <col min="4" max="4" width="3.59765625" style="107" customWidth="1"/>
    <col min="5" max="5" width="3.59765625" style="116" bestFit="1" customWidth="1"/>
    <col min="6" max="6" width="11" style="111" bestFit="1" customWidth="1"/>
    <col min="7" max="9" width="9" style="107" customWidth="1"/>
    <col min="10" max="10" width="3.59765625" style="107" customWidth="1"/>
    <col min="11" max="11" width="3.5" style="7" customWidth="1"/>
    <col min="12" max="12" width="9" style="65" customWidth="1"/>
    <col min="13" max="13" width="3.59765625" style="107" customWidth="1"/>
    <col min="14" max="14" width="9" style="78" customWidth="1"/>
    <col min="15" max="15" width="9" style="87" customWidth="1"/>
    <col min="16" max="16" width="9" style="81" customWidth="1"/>
    <col min="17" max="17" width="3.59765625" style="72" customWidth="1"/>
    <col min="18" max="16384" width="9" style="107"/>
  </cols>
  <sheetData>
    <row r="1" spans="1:17" x14ac:dyDescent="0.45">
      <c r="A1" s="19" t="s">
        <v>0</v>
      </c>
      <c r="B1" s="145" t="s">
        <v>207</v>
      </c>
      <c r="C1" s="146"/>
      <c r="E1" s="108" t="s">
        <v>155</v>
      </c>
      <c r="F1" s="136" t="s">
        <v>115</v>
      </c>
      <c r="G1" s="135" t="s">
        <v>116</v>
      </c>
      <c r="H1" s="90" t="s">
        <v>117</v>
      </c>
      <c r="I1" s="136" t="s">
        <v>146</v>
      </c>
      <c r="K1" s="4" t="s">
        <v>19</v>
      </c>
      <c r="L1" s="136" t="s">
        <v>120</v>
      </c>
      <c r="M1" s="109"/>
      <c r="N1" s="76" t="s">
        <v>134</v>
      </c>
      <c r="O1" s="4" t="s">
        <v>135</v>
      </c>
      <c r="P1" s="110" t="s">
        <v>116</v>
      </c>
      <c r="Q1" s="66" t="s">
        <v>148</v>
      </c>
    </row>
    <row r="2" spans="1:17" x14ac:dyDescent="0.45">
      <c r="A2" s="20" t="s">
        <v>9</v>
      </c>
      <c r="B2" s="147">
        <v>2</v>
      </c>
      <c r="C2" s="148"/>
      <c r="E2" s="28" t="s">
        <v>66</v>
      </c>
      <c r="F2" s="25" t="s">
        <v>22</v>
      </c>
      <c r="G2" s="13">
        <v>7</v>
      </c>
      <c r="H2" s="91">
        <f t="shared" ref="H2:H33" si="0">IF(B$19=0,0,G2/B$19)</f>
        <v>1.75</v>
      </c>
      <c r="I2" s="59">
        <v>1</v>
      </c>
      <c r="K2" s="5">
        <v>0</v>
      </c>
      <c r="L2" s="64">
        <v>0</v>
      </c>
      <c r="N2" s="77" t="s">
        <v>128</v>
      </c>
      <c r="O2" s="83">
        <f t="shared" ref="O2:O7" si="1">IF(P2=0,0,Q2/P2)</f>
        <v>-3650</v>
      </c>
      <c r="P2" s="80">
        <v>2</v>
      </c>
      <c r="Q2" s="67">
        <v>-7300</v>
      </c>
    </row>
    <row r="3" spans="1:17" x14ac:dyDescent="0.45">
      <c r="A3" s="21" t="s">
        <v>8</v>
      </c>
      <c r="B3" s="149">
        <v>18</v>
      </c>
      <c r="C3" s="150"/>
      <c r="E3" s="29" t="s">
        <v>72</v>
      </c>
      <c r="F3" s="26" t="s">
        <v>27</v>
      </c>
      <c r="G3" s="14">
        <v>4</v>
      </c>
      <c r="H3" s="92">
        <f t="shared" si="0"/>
        <v>1</v>
      </c>
      <c r="I3" s="60">
        <v>1</v>
      </c>
      <c r="K3" s="7">
        <v>1</v>
      </c>
      <c r="L3" s="65">
        <v>4</v>
      </c>
      <c r="N3" s="78" t="s">
        <v>129</v>
      </c>
      <c r="O3" s="84">
        <f t="shared" si="1"/>
        <v>-850</v>
      </c>
      <c r="P3" s="81">
        <v>2</v>
      </c>
      <c r="Q3" s="68">
        <v>-1700</v>
      </c>
    </row>
    <row r="4" spans="1:17" x14ac:dyDescent="0.45">
      <c r="A4" s="21" t="s">
        <v>6</v>
      </c>
      <c r="B4" s="151">
        <v>-13.5</v>
      </c>
      <c r="C4" s="152"/>
      <c r="E4" s="29" t="s">
        <v>68</v>
      </c>
      <c r="F4" s="26" t="s">
        <v>12</v>
      </c>
      <c r="G4" s="14">
        <v>2</v>
      </c>
      <c r="H4" s="92">
        <f t="shared" si="0"/>
        <v>0.5</v>
      </c>
      <c r="I4" s="60">
        <v>2</v>
      </c>
      <c r="K4" s="7">
        <v>2</v>
      </c>
      <c r="L4" s="65">
        <v>-13.5</v>
      </c>
      <c r="N4" s="78" t="s">
        <v>130</v>
      </c>
      <c r="O4" s="84">
        <f t="shared" si="1"/>
        <v>-4150</v>
      </c>
      <c r="P4" s="81">
        <v>2</v>
      </c>
      <c r="Q4" s="68">
        <v>-8300</v>
      </c>
    </row>
    <row r="5" spans="1:17" x14ac:dyDescent="0.45">
      <c r="A5" s="21" t="s">
        <v>7</v>
      </c>
      <c r="B5" s="139">
        <f>IF(B$2=0,0,B$4/B$2)</f>
        <v>-6.75</v>
      </c>
      <c r="C5" s="140"/>
      <c r="E5" s="29" t="s">
        <v>64</v>
      </c>
      <c r="F5" s="26" t="s">
        <v>20</v>
      </c>
      <c r="G5" s="14">
        <v>1</v>
      </c>
      <c r="H5" s="92">
        <f t="shared" si="0"/>
        <v>0.25</v>
      </c>
      <c r="I5" s="60">
        <v>10</v>
      </c>
      <c r="N5" s="78" t="s">
        <v>131</v>
      </c>
      <c r="O5" s="84">
        <f t="shared" si="1"/>
        <v>2900</v>
      </c>
      <c r="P5" s="81">
        <v>2</v>
      </c>
      <c r="Q5" s="68">
        <v>5800</v>
      </c>
    </row>
    <row r="6" spans="1:17" x14ac:dyDescent="0.45">
      <c r="A6" s="21" t="s">
        <v>1</v>
      </c>
      <c r="B6" s="153">
        <f>IF(B$2=0,0,(B$7*1+B$8*2+B$9*3)/B$2)</f>
        <v>2.5</v>
      </c>
      <c r="C6" s="154"/>
      <c r="E6" s="29" t="s">
        <v>67</v>
      </c>
      <c r="F6" s="26" t="s">
        <v>23</v>
      </c>
      <c r="G6" s="14">
        <v>1</v>
      </c>
      <c r="H6" s="92">
        <f t="shared" si="0"/>
        <v>0.25</v>
      </c>
      <c r="I6" s="60">
        <v>5</v>
      </c>
      <c r="N6" s="78" t="s">
        <v>132</v>
      </c>
      <c r="O6" s="84">
        <f t="shared" si="1"/>
        <v>1850</v>
      </c>
      <c r="P6" s="81">
        <v>2</v>
      </c>
      <c r="Q6" s="68">
        <v>3700</v>
      </c>
    </row>
    <row r="7" spans="1:17" x14ac:dyDescent="0.45">
      <c r="A7" s="21" t="s">
        <v>2</v>
      </c>
      <c r="B7" s="14">
        <v>0</v>
      </c>
      <c r="C7" s="8">
        <f t="shared" ref="C7:C14" si="2">IF(B$2=0,0,B7/B$2)</f>
        <v>0</v>
      </c>
      <c r="E7" s="29" t="s">
        <v>78</v>
      </c>
      <c r="F7" s="26" t="s">
        <v>33</v>
      </c>
      <c r="G7" s="14">
        <v>1</v>
      </c>
      <c r="H7" s="92">
        <f t="shared" si="0"/>
        <v>0.25</v>
      </c>
      <c r="I7" s="60">
        <v>1</v>
      </c>
      <c r="N7" s="79" t="s">
        <v>133</v>
      </c>
      <c r="O7" s="85">
        <f t="shared" si="1"/>
        <v>12000</v>
      </c>
      <c r="P7" s="82">
        <v>1</v>
      </c>
      <c r="Q7" s="69">
        <v>12000</v>
      </c>
    </row>
    <row r="8" spans="1:17" x14ac:dyDescent="0.45">
      <c r="A8" s="21" t="s">
        <v>3</v>
      </c>
      <c r="B8" s="14">
        <v>1</v>
      </c>
      <c r="C8" s="8">
        <f t="shared" si="2"/>
        <v>0.5</v>
      </c>
      <c r="E8" s="29" t="s">
        <v>89</v>
      </c>
      <c r="F8" s="26" t="s">
        <v>44</v>
      </c>
      <c r="G8" s="14">
        <v>1</v>
      </c>
      <c r="H8" s="92">
        <f t="shared" si="0"/>
        <v>0.25</v>
      </c>
      <c r="I8" s="60">
        <v>3</v>
      </c>
      <c r="N8" s="111"/>
      <c r="O8" s="89"/>
      <c r="P8" s="112"/>
      <c r="Q8" s="74"/>
    </row>
    <row r="9" spans="1:17" x14ac:dyDescent="0.45">
      <c r="A9" s="22" t="s">
        <v>4</v>
      </c>
      <c r="B9" s="15">
        <v>1</v>
      </c>
      <c r="C9" s="9">
        <f t="shared" si="2"/>
        <v>0.5</v>
      </c>
      <c r="E9" s="29" t="s">
        <v>160</v>
      </c>
      <c r="F9" s="26" t="s">
        <v>161</v>
      </c>
      <c r="G9" s="14">
        <v>1</v>
      </c>
      <c r="H9" s="92">
        <f t="shared" si="0"/>
        <v>0.25</v>
      </c>
      <c r="I9" s="60">
        <v>9</v>
      </c>
      <c r="N9" s="76" t="s">
        <v>151</v>
      </c>
      <c r="O9" s="4" t="s">
        <v>120</v>
      </c>
      <c r="P9" s="110" t="s">
        <v>116</v>
      </c>
      <c r="Q9" s="70" t="s">
        <v>148</v>
      </c>
    </row>
    <row r="10" spans="1:17" x14ac:dyDescent="0.45">
      <c r="A10" s="22" t="s">
        <v>185</v>
      </c>
      <c r="B10" s="113">
        <f>IF(B7=0,0,C10/B7)</f>
        <v>0</v>
      </c>
      <c r="C10" s="114">
        <v>0</v>
      </c>
      <c r="E10" s="29" t="s">
        <v>65</v>
      </c>
      <c r="F10" s="26" t="s">
        <v>21</v>
      </c>
      <c r="G10" s="14">
        <v>0</v>
      </c>
      <c r="H10" s="92">
        <f t="shared" si="0"/>
        <v>0</v>
      </c>
      <c r="I10" s="60">
        <v>8</v>
      </c>
      <c r="N10" s="77" t="s">
        <v>152</v>
      </c>
      <c r="O10" s="86">
        <f>IF(P10=0,0,Q10/P10)</f>
        <v>-17.5</v>
      </c>
      <c r="P10" s="80">
        <v>1</v>
      </c>
      <c r="Q10" s="71">
        <v>-17.5</v>
      </c>
    </row>
    <row r="11" spans="1:17" x14ac:dyDescent="0.45">
      <c r="A11" s="22" t="s">
        <v>186</v>
      </c>
      <c r="B11" s="113">
        <f>IF(B8=0,0,C11/B8)</f>
        <v>4</v>
      </c>
      <c r="C11" s="114">
        <v>4</v>
      </c>
      <c r="E11" s="29" t="s">
        <v>69</v>
      </c>
      <c r="F11" s="26" t="s">
        <v>24</v>
      </c>
      <c r="G11" s="14">
        <v>0</v>
      </c>
      <c r="H11" s="92">
        <f t="shared" si="0"/>
        <v>0</v>
      </c>
      <c r="I11" s="60">
        <v>9</v>
      </c>
      <c r="N11" s="78" t="s">
        <v>153</v>
      </c>
      <c r="O11" s="87">
        <f>IF(P11=0,0,Q11/P11)</f>
        <v>4</v>
      </c>
      <c r="P11" s="81">
        <v>1</v>
      </c>
      <c r="Q11" s="72">
        <v>4</v>
      </c>
    </row>
    <row r="12" spans="1:17" x14ac:dyDescent="0.45">
      <c r="A12" s="22" t="s">
        <v>187</v>
      </c>
      <c r="B12" s="113">
        <f>IF(B9=0,0,C12/B9)</f>
        <v>-17.5</v>
      </c>
      <c r="C12" s="114">
        <v>-17.5</v>
      </c>
      <c r="E12" s="29" t="s">
        <v>70</v>
      </c>
      <c r="F12" s="26" t="s">
        <v>25</v>
      </c>
      <c r="G12" s="14">
        <v>0</v>
      </c>
      <c r="H12" s="92">
        <f t="shared" si="0"/>
        <v>0</v>
      </c>
      <c r="I12" s="60">
        <v>9</v>
      </c>
      <c r="N12" s="79" t="s">
        <v>154</v>
      </c>
      <c r="O12" s="88">
        <f>IF(P12=0,0,Q12/P12)</f>
        <v>0</v>
      </c>
      <c r="P12" s="82">
        <v>0</v>
      </c>
      <c r="Q12" s="73">
        <v>0</v>
      </c>
    </row>
    <row r="13" spans="1:17" x14ac:dyDescent="0.45">
      <c r="A13" s="22" t="s">
        <v>188</v>
      </c>
      <c r="B13" s="139">
        <f>AVERAGE(B10:B12)</f>
        <v>-4.5</v>
      </c>
      <c r="C13" s="140"/>
      <c r="E13" s="29" t="s">
        <v>71</v>
      </c>
      <c r="F13" s="26" t="s">
        <v>26</v>
      </c>
      <c r="G13" s="14">
        <v>0</v>
      </c>
      <c r="H13" s="92">
        <f t="shared" si="0"/>
        <v>0</v>
      </c>
      <c r="I13" s="60">
        <v>8</v>
      </c>
      <c r="N13" s="107"/>
      <c r="O13" s="75"/>
      <c r="P13" s="115"/>
      <c r="Q13" s="75"/>
    </row>
    <row r="14" spans="1:17" x14ac:dyDescent="0.45">
      <c r="A14" s="23" t="s">
        <v>18</v>
      </c>
      <c r="B14" s="16">
        <v>0</v>
      </c>
      <c r="C14" s="11">
        <f t="shared" si="2"/>
        <v>0</v>
      </c>
      <c r="E14" s="29" t="s">
        <v>73</v>
      </c>
      <c r="F14" s="26" t="s">
        <v>28</v>
      </c>
      <c r="G14" s="14">
        <v>0</v>
      </c>
      <c r="H14" s="92">
        <f t="shared" si="0"/>
        <v>0</v>
      </c>
      <c r="I14" s="60">
        <v>3</v>
      </c>
      <c r="N14" s="76" t="s">
        <v>147</v>
      </c>
      <c r="O14" s="4" t="s">
        <v>120</v>
      </c>
      <c r="P14" s="110" t="s">
        <v>116</v>
      </c>
      <c r="Q14" s="70" t="s">
        <v>148</v>
      </c>
    </row>
    <row r="15" spans="1:17" x14ac:dyDescent="0.45">
      <c r="A15" s="24" t="s">
        <v>121</v>
      </c>
      <c r="B15" s="17">
        <v>4</v>
      </c>
      <c r="C15" s="12">
        <f>IF(B$3=0,0,B15/B$3)</f>
        <v>0.22222222222222221</v>
      </c>
      <c r="E15" s="29" t="s">
        <v>74</v>
      </c>
      <c r="F15" s="26" t="s">
        <v>29</v>
      </c>
      <c r="G15" s="14">
        <v>0</v>
      </c>
      <c r="H15" s="92">
        <f t="shared" si="0"/>
        <v>0</v>
      </c>
      <c r="I15" s="60">
        <v>1</v>
      </c>
      <c r="N15" s="77" t="s">
        <v>208</v>
      </c>
      <c r="O15" s="86">
        <f>IF(P15=0,0,Q15/P15)</f>
        <v>-3.6500000000000004</v>
      </c>
      <c r="P15" s="80">
        <v>2</v>
      </c>
      <c r="Q15" s="71">
        <v>-7.3000000000000007</v>
      </c>
    </row>
    <row r="16" spans="1:17" x14ac:dyDescent="0.45">
      <c r="A16" s="21" t="s">
        <v>118</v>
      </c>
      <c r="B16" s="14">
        <v>5</v>
      </c>
      <c r="C16" s="8">
        <f>IF(B$3=0,0,B16/B$3)</f>
        <v>0.27777777777777779</v>
      </c>
      <c r="E16" s="29" t="s">
        <v>75</v>
      </c>
      <c r="F16" s="26" t="s">
        <v>30</v>
      </c>
      <c r="G16" s="14">
        <v>0</v>
      </c>
      <c r="H16" s="92">
        <f t="shared" si="0"/>
        <v>0</v>
      </c>
      <c r="I16" s="60">
        <v>3</v>
      </c>
      <c r="N16" s="78" t="s">
        <v>194</v>
      </c>
      <c r="O16" s="87">
        <f>IF(P16=0,0,Q16/P16)</f>
        <v>-16.2</v>
      </c>
      <c r="P16" s="81">
        <v>1</v>
      </c>
      <c r="Q16" s="72">
        <v>-16.2</v>
      </c>
    </row>
    <row r="17" spans="1:17" x14ac:dyDescent="0.45">
      <c r="A17" s="20" t="s">
        <v>123</v>
      </c>
      <c r="B17" s="13">
        <f>B23</f>
        <v>1</v>
      </c>
      <c r="C17" s="6">
        <f>IF(B$15=0,0,B17/B$15)</f>
        <v>0.25</v>
      </c>
      <c r="E17" s="29" t="s">
        <v>76</v>
      </c>
      <c r="F17" s="26" t="s">
        <v>31</v>
      </c>
      <c r="G17" s="14">
        <v>0</v>
      </c>
      <c r="H17" s="92">
        <f t="shared" si="0"/>
        <v>0</v>
      </c>
      <c r="I17" s="60">
        <v>1</v>
      </c>
      <c r="N17" s="78" t="s">
        <v>198</v>
      </c>
      <c r="O17" s="87">
        <f>IF(P17=0,0,Q17/P17)</f>
        <v>-17</v>
      </c>
      <c r="P17" s="81">
        <v>1</v>
      </c>
      <c r="Q17" s="72">
        <v>-17</v>
      </c>
    </row>
    <row r="18" spans="1:17" x14ac:dyDescent="0.45">
      <c r="A18" s="20" t="s">
        <v>124</v>
      </c>
      <c r="B18" s="13">
        <f>B24</f>
        <v>2</v>
      </c>
      <c r="C18" s="6">
        <f>IF(B$16=0,0,B18/B$16)</f>
        <v>0.4</v>
      </c>
      <c r="E18" s="29" t="s">
        <v>77</v>
      </c>
      <c r="F18" s="26" t="s">
        <v>32</v>
      </c>
      <c r="G18" s="14">
        <v>0</v>
      </c>
      <c r="H18" s="92">
        <f t="shared" si="0"/>
        <v>0</v>
      </c>
      <c r="I18" s="60">
        <v>3</v>
      </c>
    </row>
    <row r="19" spans="1:17" x14ac:dyDescent="0.45">
      <c r="A19" s="20" t="s">
        <v>10</v>
      </c>
      <c r="B19" s="13">
        <f>B22+B21</f>
        <v>4</v>
      </c>
      <c r="C19" s="6">
        <f>IF(B$3=0,0,B19/B$3)</f>
        <v>0.22222222222222221</v>
      </c>
      <c r="E19" s="29" t="s">
        <v>79</v>
      </c>
      <c r="F19" s="26" t="s">
        <v>34</v>
      </c>
      <c r="G19" s="14">
        <v>0</v>
      </c>
      <c r="H19" s="92">
        <f t="shared" si="0"/>
        <v>0</v>
      </c>
      <c r="I19" s="60">
        <v>4</v>
      </c>
    </row>
    <row r="20" spans="1:17" x14ac:dyDescent="0.45">
      <c r="A20" s="21" t="s">
        <v>13</v>
      </c>
      <c r="B20" s="14">
        <v>3</v>
      </c>
      <c r="C20" s="8">
        <f>IF(B$3=0,0,B20/B$3)</f>
        <v>0.16666666666666666</v>
      </c>
      <c r="E20" s="29" t="s">
        <v>80</v>
      </c>
      <c r="F20" s="26" t="s">
        <v>35</v>
      </c>
      <c r="G20" s="14">
        <v>0</v>
      </c>
      <c r="H20" s="92">
        <f t="shared" si="0"/>
        <v>0</v>
      </c>
      <c r="I20" s="60">
        <v>1</v>
      </c>
    </row>
    <row r="21" spans="1:17" x14ac:dyDescent="0.45">
      <c r="A21" s="21" t="s">
        <v>12</v>
      </c>
      <c r="B21" s="14">
        <v>4</v>
      </c>
      <c r="C21" s="8">
        <f>IF(B$19=0,0,B21/B$19)</f>
        <v>1</v>
      </c>
      <c r="E21" s="29" t="s">
        <v>81</v>
      </c>
      <c r="F21" s="26" t="s">
        <v>36</v>
      </c>
      <c r="G21" s="14">
        <v>0</v>
      </c>
      <c r="H21" s="92">
        <f t="shared" si="0"/>
        <v>0</v>
      </c>
      <c r="I21" s="60">
        <v>6</v>
      </c>
    </row>
    <row r="22" spans="1:17" x14ac:dyDescent="0.45">
      <c r="A22" s="21" t="s">
        <v>11</v>
      </c>
      <c r="B22" s="14">
        <v>0</v>
      </c>
      <c r="C22" s="8">
        <f>IF(B$19=0,0,B22/B$19)</f>
        <v>0</v>
      </c>
      <c r="E22" s="29" t="s">
        <v>82</v>
      </c>
      <c r="F22" s="26" t="s">
        <v>37</v>
      </c>
      <c r="G22" s="14">
        <v>0</v>
      </c>
      <c r="H22" s="92">
        <f t="shared" si="0"/>
        <v>0</v>
      </c>
      <c r="I22" s="60">
        <v>1</v>
      </c>
    </row>
    <row r="23" spans="1:17" x14ac:dyDescent="0.45">
      <c r="A23" s="21" t="s">
        <v>184</v>
      </c>
      <c r="B23" s="14">
        <v>1</v>
      </c>
      <c r="C23" s="8">
        <f>IF(B$19=0,0,B23/B$19)</f>
        <v>0.25</v>
      </c>
      <c r="E23" s="29" t="s">
        <v>83</v>
      </c>
      <c r="F23" s="26" t="s">
        <v>38</v>
      </c>
      <c r="G23" s="14">
        <v>0</v>
      </c>
      <c r="H23" s="92">
        <f t="shared" si="0"/>
        <v>0</v>
      </c>
      <c r="I23" s="60">
        <v>7</v>
      </c>
    </row>
    <row r="24" spans="1:17" x14ac:dyDescent="0.45">
      <c r="A24" s="21" t="s">
        <v>182</v>
      </c>
      <c r="B24" s="14">
        <v>2</v>
      </c>
      <c r="C24" s="8">
        <f>IF(B$19=0,0,B24/B$19)</f>
        <v>0.5</v>
      </c>
      <c r="E24" s="29" t="s">
        <v>84</v>
      </c>
      <c r="F24" s="26" t="s">
        <v>39</v>
      </c>
      <c r="G24" s="14">
        <v>0</v>
      </c>
      <c r="H24" s="92">
        <f t="shared" si="0"/>
        <v>0</v>
      </c>
      <c r="I24" s="60">
        <v>1</v>
      </c>
    </row>
    <row r="25" spans="1:17" x14ac:dyDescent="0.45">
      <c r="A25" s="21" t="s">
        <v>183</v>
      </c>
      <c r="B25" s="14">
        <v>1</v>
      </c>
      <c r="C25" s="8">
        <f>IF(B$19=0,0,B25/B$19)</f>
        <v>0.25</v>
      </c>
      <c r="E25" s="29" t="s">
        <v>85</v>
      </c>
      <c r="F25" s="26" t="s">
        <v>40</v>
      </c>
      <c r="G25" s="14">
        <v>0</v>
      </c>
      <c r="H25" s="92">
        <f t="shared" si="0"/>
        <v>0</v>
      </c>
      <c r="I25" s="60">
        <v>3</v>
      </c>
    </row>
    <row r="26" spans="1:17" x14ac:dyDescent="0.45">
      <c r="A26" s="21" t="s">
        <v>5</v>
      </c>
      <c r="B26" s="18">
        <f>IF(B$19=0,0,C26/B$19)</f>
        <v>10925</v>
      </c>
      <c r="C26" s="10">
        <v>43700</v>
      </c>
      <c r="E26" s="29" t="s">
        <v>86</v>
      </c>
      <c r="F26" s="26" t="s">
        <v>41</v>
      </c>
      <c r="G26" s="14">
        <v>0</v>
      </c>
      <c r="H26" s="92">
        <f t="shared" si="0"/>
        <v>0</v>
      </c>
      <c r="I26" s="60">
        <v>7</v>
      </c>
    </row>
    <row r="27" spans="1:17" x14ac:dyDescent="0.45">
      <c r="A27" s="22" t="s">
        <v>166</v>
      </c>
      <c r="B27" s="99">
        <f>IF($B$19-B$18=0,0,C27/($B$19-B$18))</f>
        <v>9850</v>
      </c>
      <c r="C27" s="100">
        <v>19700</v>
      </c>
      <c r="E27" s="29" t="s">
        <v>87</v>
      </c>
      <c r="F27" s="26" t="s">
        <v>42</v>
      </c>
      <c r="G27" s="14">
        <v>0</v>
      </c>
      <c r="H27" s="92">
        <f t="shared" si="0"/>
        <v>0</v>
      </c>
      <c r="I27" s="60">
        <v>1</v>
      </c>
    </row>
    <row r="28" spans="1:17" x14ac:dyDescent="0.45">
      <c r="A28" s="22" t="s">
        <v>167</v>
      </c>
      <c r="B28" s="99">
        <f>IF(B$18=0,0,C28/B$18)</f>
        <v>12000</v>
      </c>
      <c r="C28" s="100">
        <v>24000</v>
      </c>
      <c r="E28" s="29" t="s">
        <v>88</v>
      </c>
      <c r="F28" s="26" t="s">
        <v>43</v>
      </c>
      <c r="G28" s="14">
        <v>0</v>
      </c>
      <c r="H28" s="92">
        <f t="shared" si="0"/>
        <v>0</v>
      </c>
      <c r="I28" s="60">
        <v>1</v>
      </c>
    </row>
    <row r="29" spans="1:17" x14ac:dyDescent="0.45">
      <c r="A29" s="22" t="s">
        <v>165</v>
      </c>
      <c r="B29" s="99">
        <f>IF(B$20=0,0,C29/B$20)</f>
        <v>-10300</v>
      </c>
      <c r="C29" s="100">
        <v>-30900</v>
      </c>
      <c r="E29" s="29" t="s">
        <v>90</v>
      </c>
      <c r="F29" s="26" t="s">
        <v>45</v>
      </c>
      <c r="G29" s="14">
        <v>0</v>
      </c>
      <c r="H29" s="92">
        <f t="shared" si="0"/>
        <v>0</v>
      </c>
      <c r="I29" s="60">
        <v>1</v>
      </c>
    </row>
    <row r="30" spans="1:17" x14ac:dyDescent="0.45">
      <c r="A30" s="21" t="s">
        <v>158</v>
      </c>
      <c r="B30" s="14">
        <v>2</v>
      </c>
      <c r="C30" s="94">
        <v>1</v>
      </c>
      <c r="E30" s="29" t="s">
        <v>91</v>
      </c>
      <c r="F30" s="26" t="s">
        <v>46</v>
      </c>
      <c r="G30" s="14">
        <v>0</v>
      </c>
      <c r="H30" s="92">
        <f t="shared" si="0"/>
        <v>0</v>
      </c>
      <c r="I30" s="60">
        <v>4</v>
      </c>
    </row>
    <row r="31" spans="1:17" x14ac:dyDescent="0.45">
      <c r="A31" s="21" t="s">
        <v>159</v>
      </c>
      <c r="B31" s="14">
        <v>5</v>
      </c>
      <c r="C31" s="94">
        <v>3</v>
      </c>
      <c r="E31" s="29" t="s">
        <v>92</v>
      </c>
      <c r="F31" s="26" t="s">
        <v>47</v>
      </c>
      <c r="G31" s="14">
        <v>0</v>
      </c>
      <c r="H31" s="92">
        <f t="shared" si="0"/>
        <v>0</v>
      </c>
      <c r="I31" s="60">
        <v>3</v>
      </c>
    </row>
    <row r="32" spans="1:17" x14ac:dyDescent="0.45">
      <c r="A32" s="56" t="s">
        <v>136</v>
      </c>
      <c r="B32" s="141">
        <v>3</v>
      </c>
      <c r="C32" s="142"/>
      <c r="E32" s="29" t="s">
        <v>93</v>
      </c>
      <c r="F32" s="26" t="s">
        <v>48</v>
      </c>
      <c r="G32" s="14">
        <v>0</v>
      </c>
      <c r="H32" s="92">
        <f t="shared" si="0"/>
        <v>0</v>
      </c>
      <c r="I32" s="60">
        <v>1</v>
      </c>
    </row>
    <row r="33" spans="1:9" x14ac:dyDescent="0.45">
      <c r="A33" s="24" t="s">
        <v>181</v>
      </c>
      <c r="B33" s="143">
        <v>39000</v>
      </c>
      <c r="C33" s="144"/>
      <c r="E33" s="29" t="s">
        <v>94</v>
      </c>
      <c r="F33" s="26" t="s">
        <v>49</v>
      </c>
      <c r="G33" s="14">
        <v>0</v>
      </c>
      <c r="H33" s="92">
        <f t="shared" si="0"/>
        <v>0</v>
      </c>
      <c r="I33" s="60">
        <v>1</v>
      </c>
    </row>
    <row r="34" spans="1:9" x14ac:dyDescent="0.45">
      <c r="A34" s="23" t="s">
        <v>137</v>
      </c>
      <c r="B34" s="31">
        <v>0</v>
      </c>
      <c r="C34" s="11">
        <f>IF(B$3=0,0,B34/B$3)</f>
        <v>0</v>
      </c>
      <c r="E34" s="29" t="s">
        <v>95</v>
      </c>
      <c r="F34" s="26" t="s">
        <v>50</v>
      </c>
      <c r="G34" s="14">
        <v>0</v>
      </c>
      <c r="H34" s="92">
        <f t="shared" ref="H34:H65" si="3">IF(B$19=0,0,G34/B$19)</f>
        <v>0</v>
      </c>
      <c r="I34" s="60">
        <v>1</v>
      </c>
    </row>
    <row r="35" spans="1:9" x14ac:dyDescent="0.45">
      <c r="E35" s="29" t="s">
        <v>96</v>
      </c>
      <c r="F35" s="26" t="s">
        <v>51</v>
      </c>
      <c r="G35" s="14">
        <v>0</v>
      </c>
      <c r="H35" s="92">
        <f t="shared" si="3"/>
        <v>0</v>
      </c>
      <c r="I35" s="60">
        <v>1</v>
      </c>
    </row>
    <row r="36" spans="1:9" x14ac:dyDescent="0.45">
      <c r="A36" s="56" t="s">
        <v>172</v>
      </c>
      <c r="B36" s="137">
        <v>0</v>
      </c>
      <c r="C36" s="102">
        <f t="shared" ref="C36:C48" si="4">IF(B$19=0,0,B36/B$19)</f>
        <v>0</v>
      </c>
      <c r="E36" s="29" t="s">
        <v>97</v>
      </c>
      <c r="F36" s="26" t="s">
        <v>52</v>
      </c>
      <c r="G36" s="14">
        <v>0</v>
      </c>
      <c r="H36" s="92">
        <f t="shared" si="3"/>
        <v>0</v>
      </c>
      <c r="I36" s="60">
        <v>1</v>
      </c>
    </row>
    <row r="37" spans="1:9" x14ac:dyDescent="0.45">
      <c r="A37" s="21" t="s">
        <v>168</v>
      </c>
      <c r="B37" s="14">
        <v>0</v>
      </c>
      <c r="C37" s="8">
        <f t="shared" si="4"/>
        <v>0</v>
      </c>
      <c r="E37" s="29" t="s">
        <v>98</v>
      </c>
      <c r="F37" s="26" t="s">
        <v>53</v>
      </c>
      <c r="G37" s="14">
        <v>0</v>
      </c>
      <c r="H37" s="92">
        <f t="shared" si="3"/>
        <v>0</v>
      </c>
      <c r="I37" s="60">
        <v>1</v>
      </c>
    </row>
    <row r="38" spans="1:9" x14ac:dyDescent="0.45">
      <c r="A38" s="21" t="s">
        <v>169</v>
      </c>
      <c r="B38" s="138">
        <v>0</v>
      </c>
      <c r="C38" s="8">
        <f t="shared" si="4"/>
        <v>0</v>
      </c>
      <c r="E38" s="29" t="s">
        <v>99</v>
      </c>
      <c r="F38" s="26" t="s">
        <v>54</v>
      </c>
      <c r="G38" s="14">
        <v>0</v>
      </c>
      <c r="H38" s="92">
        <f t="shared" si="3"/>
        <v>0</v>
      </c>
      <c r="I38" s="60">
        <v>1</v>
      </c>
    </row>
    <row r="39" spans="1:9" x14ac:dyDescent="0.45">
      <c r="A39" s="21" t="s">
        <v>170</v>
      </c>
      <c r="B39" s="138">
        <v>2</v>
      </c>
      <c r="C39" s="8">
        <f t="shared" si="4"/>
        <v>0.5</v>
      </c>
      <c r="E39" s="29" t="s">
        <v>100</v>
      </c>
      <c r="F39" s="26" t="s">
        <v>55</v>
      </c>
      <c r="G39" s="14">
        <v>0</v>
      </c>
      <c r="H39" s="92">
        <f t="shared" si="3"/>
        <v>0</v>
      </c>
      <c r="I39" s="60">
        <v>1</v>
      </c>
    </row>
    <row r="40" spans="1:9" x14ac:dyDescent="0.45">
      <c r="A40" s="21" t="s">
        <v>171</v>
      </c>
      <c r="B40" s="138">
        <v>0</v>
      </c>
      <c r="C40" s="8">
        <f t="shared" si="4"/>
        <v>0</v>
      </c>
      <c r="E40" s="29" t="s">
        <v>101</v>
      </c>
      <c r="F40" s="26" t="s">
        <v>56</v>
      </c>
      <c r="G40" s="14">
        <v>0</v>
      </c>
      <c r="H40" s="92">
        <f t="shared" si="3"/>
        <v>0</v>
      </c>
      <c r="I40" s="60">
        <v>1</v>
      </c>
    </row>
    <row r="41" spans="1:9" x14ac:dyDescent="0.45">
      <c r="A41" s="21" t="s">
        <v>173</v>
      </c>
      <c r="B41" s="138">
        <v>2</v>
      </c>
      <c r="C41" s="8">
        <f t="shared" si="4"/>
        <v>0.5</v>
      </c>
      <c r="E41" s="29" t="s">
        <v>102</v>
      </c>
      <c r="F41" s="26" t="s">
        <v>57</v>
      </c>
      <c r="G41" s="14">
        <v>0</v>
      </c>
      <c r="H41" s="92">
        <f t="shared" si="3"/>
        <v>0</v>
      </c>
      <c r="I41" s="60">
        <v>1</v>
      </c>
    </row>
    <row r="42" spans="1:9" x14ac:dyDescent="0.45">
      <c r="A42" s="21" t="s">
        <v>174</v>
      </c>
      <c r="B42" s="138">
        <v>0</v>
      </c>
      <c r="C42" s="8">
        <f t="shared" si="4"/>
        <v>0</v>
      </c>
      <c r="E42" s="29" t="s">
        <v>103</v>
      </c>
      <c r="F42" s="26" t="s">
        <v>58</v>
      </c>
      <c r="G42" s="14">
        <v>0</v>
      </c>
      <c r="H42" s="92">
        <f t="shared" si="3"/>
        <v>0</v>
      </c>
      <c r="I42" s="60">
        <v>1</v>
      </c>
    </row>
    <row r="43" spans="1:9" x14ac:dyDescent="0.45">
      <c r="A43" s="21" t="s">
        <v>175</v>
      </c>
      <c r="B43" s="138">
        <v>0</v>
      </c>
      <c r="C43" s="8">
        <f t="shared" si="4"/>
        <v>0</v>
      </c>
      <c r="E43" s="29" t="s">
        <v>104</v>
      </c>
      <c r="F43" s="26" t="s">
        <v>59</v>
      </c>
      <c r="G43" s="14">
        <v>0</v>
      </c>
      <c r="H43" s="92">
        <f t="shared" si="3"/>
        <v>0</v>
      </c>
      <c r="I43" s="60">
        <v>1</v>
      </c>
    </row>
    <row r="44" spans="1:9" x14ac:dyDescent="0.45">
      <c r="A44" s="21" t="s">
        <v>176</v>
      </c>
      <c r="B44" s="138">
        <v>0</v>
      </c>
      <c r="C44" s="8">
        <f t="shared" si="4"/>
        <v>0</v>
      </c>
      <c r="E44" s="29" t="s">
        <v>105</v>
      </c>
      <c r="F44" s="26" t="s">
        <v>112</v>
      </c>
      <c r="G44" s="14">
        <v>0</v>
      </c>
      <c r="H44" s="92">
        <f t="shared" si="3"/>
        <v>0</v>
      </c>
      <c r="I44" s="60">
        <v>1</v>
      </c>
    </row>
    <row r="45" spans="1:9" x14ac:dyDescent="0.45">
      <c r="A45" s="21" t="s">
        <v>177</v>
      </c>
      <c r="B45" s="138">
        <v>0</v>
      </c>
      <c r="C45" s="8">
        <f t="shared" si="4"/>
        <v>0</v>
      </c>
      <c r="E45" s="29" t="s">
        <v>106</v>
      </c>
      <c r="F45" s="26" t="s">
        <v>113</v>
      </c>
      <c r="G45" s="14">
        <v>0</v>
      </c>
      <c r="H45" s="92">
        <f t="shared" si="3"/>
        <v>0</v>
      </c>
      <c r="I45" s="60">
        <v>1</v>
      </c>
    </row>
    <row r="46" spans="1:9" x14ac:dyDescent="0.45">
      <c r="A46" s="21" t="s">
        <v>178</v>
      </c>
      <c r="B46" s="138">
        <v>0</v>
      </c>
      <c r="C46" s="8">
        <f t="shared" si="4"/>
        <v>0</v>
      </c>
      <c r="E46" s="29" t="s">
        <v>107</v>
      </c>
      <c r="F46" s="26" t="s">
        <v>114</v>
      </c>
      <c r="G46" s="14">
        <v>0</v>
      </c>
      <c r="H46" s="92">
        <f t="shared" si="3"/>
        <v>0</v>
      </c>
      <c r="I46" s="60">
        <v>1</v>
      </c>
    </row>
    <row r="47" spans="1:9" x14ac:dyDescent="0.45">
      <c r="A47" s="21" t="s">
        <v>179</v>
      </c>
      <c r="B47" s="138">
        <v>0</v>
      </c>
      <c r="C47" s="8">
        <f t="shared" si="4"/>
        <v>0</v>
      </c>
      <c r="E47" s="29" t="s">
        <v>108</v>
      </c>
      <c r="F47" s="26" t="s">
        <v>60</v>
      </c>
      <c r="G47" s="14">
        <v>0</v>
      </c>
      <c r="H47" s="92">
        <f t="shared" si="3"/>
        <v>0</v>
      </c>
      <c r="I47" s="60">
        <v>1</v>
      </c>
    </row>
    <row r="48" spans="1:9" x14ac:dyDescent="0.45">
      <c r="A48" s="23" t="s">
        <v>180</v>
      </c>
      <c r="B48" s="101">
        <v>0</v>
      </c>
      <c r="C48" s="11">
        <f t="shared" si="4"/>
        <v>0</v>
      </c>
      <c r="E48" s="29" t="s">
        <v>109</v>
      </c>
      <c r="F48" s="26" t="s">
        <v>61</v>
      </c>
      <c r="G48" s="14">
        <v>0</v>
      </c>
      <c r="H48" s="92">
        <f t="shared" si="3"/>
        <v>0</v>
      </c>
      <c r="I48" s="60">
        <v>1</v>
      </c>
    </row>
    <row r="49" spans="5:9" x14ac:dyDescent="0.45">
      <c r="E49" s="29" t="s">
        <v>110</v>
      </c>
      <c r="F49" s="26" t="s">
        <v>62</v>
      </c>
      <c r="G49" s="14">
        <v>0</v>
      </c>
      <c r="H49" s="92">
        <f t="shared" si="3"/>
        <v>0</v>
      </c>
      <c r="I49" s="60">
        <v>1</v>
      </c>
    </row>
    <row r="50" spans="5:9" x14ac:dyDescent="0.45">
      <c r="E50" s="29" t="s">
        <v>111</v>
      </c>
      <c r="F50" s="26" t="s">
        <v>63</v>
      </c>
      <c r="G50" s="14">
        <v>0</v>
      </c>
      <c r="H50" s="92">
        <f t="shared" si="3"/>
        <v>0</v>
      </c>
      <c r="I50" s="60">
        <v>1</v>
      </c>
    </row>
    <row r="51" spans="5:9" x14ac:dyDescent="0.45">
      <c r="E51" s="95" t="s">
        <v>156</v>
      </c>
      <c r="F51" s="96" t="s">
        <v>157</v>
      </c>
      <c r="G51" s="15">
        <v>0</v>
      </c>
      <c r="H51" s="97">
        <f t="shared" si="3"/>
        <v>0</v>
      </c>
      <c r="I51" s="98">
        <v>4</v>
      </c>
    </row>
    <row r="52" spans="5:9" x14ac:dyDescent="0.45">
      <c r="E52" s="30" t="s">
        <v>162</v>
      </c>
      <c r="F52" s="27" t="s">
        <v>163</v>
      </c>
      <c r="G52" s="16">
        <v>0</v>
      </c>
      <c r="H52" s="93">
        <f t="shared" si="3"/>
        <v>0</v>
      </c>
      <c r="I52" s="61">
        <v>1</v>
      </c>
    </row>
  </sheetData>
  <sortState xmlns:xlrd2="http://schemas.microsoft.com/office/spreadsheetml/2017/richdata2" ref="E2:I53">
    <sortCondition descending="1" ref="H1"/>
  </sortState>
  <mergeCells count="9">
    <mergeCell ref="B13:C13"/>
    <mergeCell ref="B32:C32"/>
    <mergeCell ref="B33:C33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3C69C8-3885-43E1-B595-5A9E5AFC39C7}">
  <sheetPr codeName="Sheet26"/>
  <dimension ref="A1:Q5"/>
  <sheetViews>
    <sheetView workbookViewId="0"/>
  </sheetViews>
  <sheetFormatPr defaultColWidth="10.59765625" defaultRowHeight="18" x14ac:dyDescent="0.45"/>
  <cols>
    <col min="1" max="1" width="10.59765625" style="35"/>
    <col min="2" max="3" width="10.59765625" style="32"/>
    <col min="4" max="4" width="10.59765625" style="37"/>
    <col min="5" max="8" width="10.59765625" style="33"/>
    <col min="9" max="10" width="10.59765625" style="34"/>
    <col min="11" max="16" width="10.59765625" style="33"/>
    <col min="17" max="16384" width="10.59765625" style="36"/>
  </cols>
  <sheetData>
    <row r="1" spans="1:17" x14ac:dyDescent="0.45">
      <c r="A1" s="36" t="s">
        <v>207</v>
      </c>
      <c r="B1" s="36" t="s">
        <v>207</v>
      </c>
      <c r="C1" s="36" t="s">
        <v>207</v>
      </c>
      <c r="D1" s="37" t="s">
        <v>207</v>
      </c>
      <c r="E1" s="36" t="s">
        <v>207</v>
      </c>
      <c r="F1" s="36" t="s">
        <v>207</v>
      </c>
      <c r="G1" s="36" t="s">
        <v>207</v>
      </c>
      <c r="H1" s="36" t="s">
        <v>207</v>
      </c>
      <c r="I1" s="36" t="s">
        <v>207</v>
      </c>
      <c r="J1" s="36" t="s">
        <v>207</v>
      </c>
      <c r="K1" s="36" t="s">
        <v>207</v>
      </c>
      <c r="L1" s="36" t="s">
        <v>207</v>
      </c>
      <c r="M1" s="36" t="s">
        <v>207</v>
      </c>
      <c r="N1" s="36" t="s">
        <v>207</v>
      </c>
      <c r="O1" s="36" t="s">
        <v>207</v>
      </c>
      <c r="P1" s="36" t="s">
        <v>207</v>
      </c>
      <c r="Q1" s="36" t="s">
        <v>207</v>
      </c>
    </row>
    <row r="2" spans="1:17" x14ac:dyDescent="0.45">
      <c r="A2" s="36" t="s">
        <v>9</v>
      </c>
      <c r="B2" s="36" t="s">
        <v>6</v>
      </c>
      <c r="C2" s="36" t="s">
        <v>7</v>
      </c>
      <c r="D2" s="37" t="s">
        <v>15</v>
      </c>
      <c r="E2" s="36" t="s">
        <v>14</v>
      </c>
      <c r="F2" s="36" t="s">
        <v>150</v>
      </c>
      <c r="G2" s="36" t="s">
        <v>141</v>
      </c>
      <c r="H2" s="36" t="s">
        <v>140</v>
      </c>
      <c r="I2" s="36" t="s">
        <v>5</v>
      </c>
      <c r="J2" s="36" t="s">
        <v>16</v>
      </c>
      <c r="K2" s="36" t="s">
        <v>17</v>
      </c>
      <c r="L2" s="36" t="s">
        <v>122</v>
      </c>
      <c r="M2" s="36" t="s">
        <v>119</v>
      </c>
      <c r="N2" s="36" t="s">
        <v>125</v>
      </c>
      <c r="O2" s="36" t="s">
        <v>142</v>
      </c>
      <c r="P2" s="36" t="s">
        <v>138</v>
      </c>
    </row>
    <row r="3" spans="1:17" x14ac:dyDescent="0.45">
      <c r="A3" s="35">
        <v>0</v>
      </c>
      <c r="B3" s="32">
        <v>0</v>
      </c>
    </row>
    <row r="4" spans="1:17" x14ac:dyDescent="0.45">
      <c r="A4" s="35">
        <v>1</v>
      </c>
      <c r="B4" s="32">
        <v>4</v>
      </c>
      <c r="C4" s="32">
        <v>4</v>
      </c>
      <c r="D4" s="37">
        <v>2</v>
      </c>
      <c r="E4" s="33">
        <v>0</v>
      </c>
      <c r="F4" s="33">
        <v>0</v>
      </c>
      <c r="G4" s="33">
        <v>0.3</v>
      </c>
      <c r="H4" s="33">
        <v>0.2</v>
      </c>
      <c r="I4" s="34">
        <v>10566.666666666666</v>
      </c>
      <c r="J4" s="34">
        <v>-12850</v>
      </c>
      <c r="K4" s="33">
        <v>0</v>
      </c>
      <c r="L4" s="33">
        <v>0.3</v>
      </c>
      <c r="M4" s="33">
        <v>0.3</v>
      </c>
      <c r="N4" s="33">
        <v>0.33333333333333331</v>
      </c>
      <c r="O4" s="33">
        <v>0.33333333333333331</v>
      </c>
      <c r="P4" s="33">
        <v>1</v>
      </c>
    </row>
    <row r="5" spans="1:17" x14ac:dyDescent="0.45">
      <c r="A5" s="35">
        <v>2</v>
      </c>
      <c r="B5" s="32">
        <v>-13.5</v>
      </c>
      <c r="C5" s="32">
        <v>-6.75</v>
      </c>
      <c r="D5" s="37">
        <v>2.5</v>
      </c>
      <c r="E5" s="33">
        <v>0</v>
      </c>
      <c r="F5" s="33">
        <v>0.5</v>
      </c>
      <c r="G5" s="33">
        <v>0.22222222222222221</v>
      </c>
      <c r="H5" s="33">
        <v>0.16666666666666666</v>
      </c>
      <c r="I5" s="34">
        <v>10925</v>
      </c>
      <c r="J5" s="34">
        <v>-10300</v>
      </c>
      <c r="K5" s="33">
        <v>0</v>
      </c>
      <c r="L5" s="33">
        <v>0.22222222222222221</v>
      </c>
      <c r="M5" s="33">
        <v>0.27777777777777779</v>
      </c>
      <c r="N5" s="33">
        <v>0.25</v>
      </c>
      <c r="O5" s="33">
        <v>0.4</v>
      </c>
      <c r="P5" s="33">
        <v>1</v>
      </c>
    </row>
  </sheetData>
  <phoneticPr fontId="1"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D32D65-E234-4C7D-B013-CDA56BECDB74}">
  <sheetPr codeName="Sheet24"/>
  <dimension ref="A1:Q5"/>
  <sheetViews>
    <sheetView workbookViewId="0"/>
  </sheetViews>
  <sheetFormatPr defaultColWidth="10.59765625" defaultRowHeight="18" x14ac:dyDescent="0.45"/>
  <cols>
    <col min="1" max="1" width="10.59765625" style="35"/>
    <col min="2" max="3" width="10.59765625" style="32"/>
    <col min="4" max="4" width="10.59765625" style="37"/>
    <col min="5" max="8" width="10.59765625" style="33"/>
    <col min="9" max="10" width="10.59765625" style="34"/>
    <col min="11" max="16" width="10.59765625" style="33"/>
    <col min="17" max="16384" width="10.59765625" style="36"/>
  </cols>
  <sheetData>
    <row r="1" spans="1:17" x14ac:dyDescent="0.45">
      <c r="A1" s="36" t="s">
        <v>208</v>
      </c>
      <c r="B1" s="36" t="s">
        <v>208</v>
      </c>
      <c r="C1" s="36" t="s">
        <v>208</v>
      </c>
      <c r="D1" s="37" t="s">
        <v>208</v>
      </c>
      <c r="E1" s="36" t="s">
        <v>208</v>
      </c>
      <c r="F1" s="36" t="s">
        <v>208</v>
      </c>
      <c r="G1" s="36" t="s">
        <v>208</v>
      </c>
      <c r="H1" s="36" t="s">
        <v>208</v>
      </c>
      <c r="I1" s="36" t="s">
        <v>208</v>
      </c>
      <c r="J1" s="36" t="s">
        <v>208</v>
      </c>
      <c r="K1" s="36" t="s">
        <v>208</v>
      </c>
      <c r="L1" s="36" t="s">
        <v>208</v>
      </c>
      <c r="M1" s="36" t="s">
        <v>208</v>
      </c>
      <c r="N1" s="36" t="s">
        <v>208</v>
      </c>
      <c r="O1" s="36" t="s">
        <v>208</v>
      </c>
      <c r="P1" s="36" t="s">
        <v>208</v>
      </c>
      <c r="Q1" s="36" t="s">
        <v>208</v>
      </c>
    </row>
    <row r="2" spans="1:17" x14ac:dyDescent="0.45">
      <c r="A2" s="36" t="s">
        <v>9</v>
      </c>
      <c r="B2" s="36" t="s">
        <v>6</v>
      </c>
      <c r="C2" s="36" t="s">
        <v>7</v>
      </c>
      <c r="D2" s="37" t="s">
        <v>15</v>
      </c>
      <c r="E2" s="36" t="s">
        <v>14</v>
      </c>
      <c r="F2" s="36" t="s">
        <v>150</v>
      </c>
      <c r="G2" s="36" t="s">
        <v>141</v>
      </c>
      <c r="H2" s="36" t="s">
        <v>140</v>
      </c>
      <c r="I2" s="36" t="s">
        <v>5</v>
      </c>
      <c r="J2" s="36" t="s">
        <v>16</v>
      </c>
      <c r="K2" s="36" t="s">
        <v>17</v>
      </c>
      <c r="L2" s="36" t="s">
        <v>122</v>
      </c>
      <c r="M2" s="36" t="s">
        <v>119</v>
      </c>
      <c r="N2" s="36" t="s">
        <v>125</v>
      </c>
      <c r="O2" s="36" t="s">
        <v>142</v>
      </c>
      <c r="P2" s="36" t="s">
        <v>138</v>
      </c>
    </row>
    <row r="3" spans="1:17" x14ac:dyDescent="0.45">
      <c r="A3" s="35">
        <v>0</v>
      </c>
      <c r="B3" s="32">
        <v>0</v>
      </c>
    </row>
    <row r="4" spans="1:17" x14ac:dyDescent="0.45">
      <c r="A4" s="35">
        <v>1</v>
      </c>
      <c r="B4" s="32">
        <v>-24.2</v>
      </c>
      <c r="C4" s="32">
        <v>-24.2</v>
      </c>
      <c r="D4" s="37">
        <v>3</v>
      </c>
      <c r="E4" s="33">
        <v>0</v>
      </c>
      <c r="F4" s="33">
        <v>1</v>
      </c>
      <c r="G4" s="33">
        <v>0.2</v>
      </c>
      <c r="H4" s="33">
        <v>0.1</v>
      </c>
      <c r="I4" s="34">
        <v>4400</v>
      </c>
      <c r="J4" s="34">
        <v>-1300</v>
      </c>
      <c r="K4" s="33">
        <v>0</v>
      </c>
      <c r="L4" s="33">
        <v>0.1</v>
      </c>
      <c r="M4" s="33">
        <v>0</v>
      </c>
      <c r="N4" s="33">
        <v>1</v>
      </c>
      <c r="O4" s="33">
        <v>0</v>
      </c>
      <c r="P4" s="33">
        <v>1</v>
      </c>
    </row>
    <row r="5" spans="1:17" x14ac:dyDescent="0.45">
      <c r="A5" s="35">
        <v>2</v>
      </c>
      <c r="B5" s="32">
        <v>-6.1999999999999993</v>
      </c>
      <c r="C5" s="32">
        <v>-3.0999999999999996</v>
      </c>
      <c r="D5" s="37">
        <v>2</v>
      </c>
      <c r="E5" s="33">
        <v>0.5</v>
      </c>
      <c r="F5" s="33">
        <v>0.5</v>
      </c>
      <c r="G5" s="33">
        <v>0.27777777777777779</v>
      </c>
      <c r="H5" s="33">
        <v>0.16666666666666666</v>
      </c>
      <c r="I5" s="34">
        <v>7460</v>
      </c>
      <c r="J5" s="34">
        <v>-5766.666666666667</v>
      </c>
      <c r="K5" s="33">
        <v>0</v>
      </c>
      <c r="L5" s="33">
        <v>0.22222222222222221</v>
      </c>
      <c r="M5" s="33">
        <v>0</v>
      </c>
      <c r="N5" s="33">
        <v>1</v>
      </c>
      <c r="O5" s="33">
        <v>0</v>
      </c>
      <c r="P5" s="33">
        <v>0.8</v>
      </c>
    </row>
  </sheetData>
  <phoneticPr fontId="1"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04B6F4-C3A6-4C13-A457-9A8EBA944168}">
  <sheetPr codeName="Sheet22"/>
  <dimension ref="A1:Q7"/>
  <sheetViews>
    <sheetView workbookViewId="0"/>
  </sheetViews>
  <sheetFormatPr defaultColWidth="10.59765625" defaultRowHeight="18" x14ac:dyDescent="0.45"/>
  <cols>
    <col min="1" max="1" width="10.59765625" style="35"/>
    <col min="2" max="3" width="10.59765625" style="32"/>
    <col min="4" max="4" width="10.59765625" style="37"/>
    <col min="5" max="8" width="10.59765625" style="33"/>
    <col min="9" max="10" width="10.59765625" style="34"/>
    <col min="11" max="16" width="10.59765625" style="33"/>
    <col min="17" max="16384" width="10.59765625" style="36"/>
  </cols>
  <sheetData>
    <row r="1" spans="1:17" x14ac:dyDescent="0.45">
      <c r="A1" s="36" t="s">
        <v>200</v>
      </c>
      <c r="B1" s="36" t="s">
        <v>200</v>
      </c>
      <c r="C1" s="36" t="s">
        <v>200</v>
      </c>
      <c r="D1" s="37" t="s">
        <v>200</v>
      </c>
      <c r="E1" s="36" t="s">
        <v>200</v>
      </c>
      <c r="F1" s="36" t="s">
        <v>200</v>
      </c>
      <c r="G1" s="36" t="s">
        <v>200</v>
      </c>
      <c r="H1" s="36" t="s">
        <v>200</v>
      </c>
      <c r="I1" s="36" t="s">
        <v>200</v>
      </c>
      <c r="J1" s="36" t="s">
        <v>200</v>
      </c>
      <c r="K1" s="36" t="s">
        <v>200</v>
      </c>
      <c r="L1" s="36" t="s">
        <v>200</v>
      </c>
      <c r="M1" s="36" t="s">
        <v>200</v>
      </c>
      <c r="N1" s="36" t="s">
        <v>200</v>
      </c>
      <c r="O1" s="36" t="s">
        <v>200</v>
      </c>
      <c r="P1" s="36" t="s">
        <v>200</v>
      </c>
      <c r="Q1" s="36" t="s">
        <v>200</v>
      </c>
    </row>
    <row r="2" spans="1:17" x14ac:dyDescent="0.45">
      <c r="A2" s="36" t="s">
        <v>9</v>
      </c>
      <c r="B2" s="36" t="s">
        <v>6</v>
      </c>
      <c r="C2" s="36" t="s">
        <v>7</v>
      </c>
      <c r="D2" s="37" t="s">
        <v>15</v>
      </c>
      <c r="E2" s="36" t="s">
        <v>14</v>
      </c>
      <c r="F2" s="36" t="s">
        <v>150</v>
      </c>
      <c r="G2" s="36" t="s">
        <v>141</v>
      </c>
      <c r="H2" s="36" t="s">
        <v>140</v>
      </c>
      <c r="I2" s="36" t="s">
        <v>5</v>
      </c>
      <c r="J2" s="36" t="s">
        <v>16</v>
      </c>
      <c r="K2" s="36" t="s">
        <v>17</v>
      </c>
      <c r="L2" s="36" t="s">
        <v>122</v>
      </c>
      <c r="M2" s="36" t="s">
        <v>119</v>
      </c>
      <c r="N2" s="36" t="s">
        <v>125</v>
      </c>
      <c r="O2" s="36" t="s">
        <v>142</v>
      </c>
      <c r="P2" s="36" t="s">
        <v>138</v>
      </c>
    </row>
    <row r="3" spans="1:17" x14ac:dyDescent="0.45">
      <c r="A3" s="35">
        <v>0</v>
      </c>
      <c r="B3" s="32">
        <v>0</v>
      </c>
    </row>
    <row r="4" spans="1:17" x14ac:dyDescent="0.45">
      <c r="A4" s="35">
        <v>1</v>
      </c>
      <c r="B4" s="32">
        <v>-38</v>
      </c>
      <c r="C4" s="32">
        <v>-38</v>
      </c>
      <c r="D4" s="37">
        <v>3</v>
      </c>
      <c r="E4" s="33">
        <v>0</v>
      </c>
      <c r="F4" s="33">
        <v>1</v>
      </c>
      <c r="G4" s="33">
        <v>7.1428571428571425E-2</v>
      </c>
      <c r="H4" s="33">
        <v>0.21428571428571427</v>
      </c>
      <c r="I4" s="34">
        <v>4800</v>
      </c>
      <c r="J4" s="34">
        <v>-6600</v>
      </c>
      <c r="K4" s="33">
        <v>0</v>
      </c>
      <c r="L4" s="33">
        <v>0.2857142857142857</v>
      </c>
      <c r="M4" s="33">
        <v>0.14285714285714285</v>
      </c>
      <c r="N4" s="33">
        <v>0.25</v>
      </c>
      <c r="O4" s="33">
        <v>0</v>
      </c>
      <c r="P4" s="33">
        <v>0</v>
      </c>
    </row>
    <row r="5" spans="1:17" x14ac:dyDescent="0.45">
      <c r="A5" s="35">
        <v>2</v>
      </c>
      <c r="B5" s="32">
        <v>-18</v>
      </c>
      <c r="C5" s="32">
        <v>-9</v>
      </c>
      <c r="D5" s="37">
        <v>2</v>
      </c>
      <c r="E5" s="33">
        <v>0.5</v>
      </c>
      <c r="F5" s="33">
        <v>0.5</v>
      </c>
      <c r="G5" s="33">
        <v>0.17647058823529413</v>
      </c>
      <c r="H5" s="33">
        <v>0.23529411764705882</v>
      </c>
      <c r="I5" s="34">
        <v>7266.666666666667</v>
      </c>
      <c r="J5" s="34">
        <v>-6950</v>
      </c>
      <c r="K5" s="33">
        <v>0</v>
      </c>
      <c r="L5" s="33">
        <v>0.23529411764705882</v>
      </c>
      <c r="M5" s="33">
        <v>0.23529411764705882</v>
      </c>
      <c r="N5" s="33">
        <v>0.25</v>
      </c>
      <c r="O5" s="33">
        <v>0.5</v>
      </c>
      <c r="P5" s="33">
        <v>0</v>
      </c>
    </row>
    <row r="6" spans="1:17" x14ac:dyDescent="0.45">
      <c r="A6" s="35">
        <v>3</v>
      </c>
      <c r="B6" s="32">
        <v>-14.9</v>
      </c>
      <c r="C6" s="32">
        <v>-4.9666666666666668</v>
      </c>
      <c r="D6" s="37">
        <v>2</v>
      </c>
      <c r="E6" s="33">
        <v>0.33333333333333331</v>
      </c>
      <c r="F6" s="33">
        <v>0.33333333333333331</v>
      </c>
      <c r="G6" s="33">
        <v>0.25</v>
      </c>
      <c r="H6" s="33">
        <v>0.17857142857142858</v>
      </c>
      <c r="I6" s="34">
        <v>7671.4285714285716</v>
      </c>
      <c r="J6" s="34">
        <v>-9160</v>
      </c>
      <c r="K6" s="33">
        <v>0</v>
      </c>
      <c r="L6" s="33">
        <v>0.25</v>
      </c>
      <c r="M6" s="33">
        <v>0.2857142857142857</v>
      </c>
      <c r="N6" s="33">
        <v>0.14285714285714285</v>
      </c>
      <c r="O6" s="33">
        <v>0.5</v>
      </c>
      <c r="P6" s="33">
        <v>0.14285714285714285</v>
      </c>
    </row>
    <row r="7" spans="1:17" x14ac:dyDescent="0.45">
      <c r="A7" s="35">
        <v>4</v>
      </c>
      <c r="B7" s="32">
        <v>-51.699999999999996</v>
      </c>
      <c r="C7" s="32">
        <v>-12.924999999999999</v>
      </c>
      <c r="D7" s="37">
        <v>2.25</v>
      </c>
      <c r="E7" s="33">
        <v>0.25</v>
      </c>
      <c r="F7" s="33">
        <v>0.5</v>
      </c>
      <c r="G7" s="33">
        <v>0.22857142857142856</v>
      </c>
      <c r="H7" s="33">
        <v>0.22857142857142856</v>
      </c>
      <c r="I7" s="34">
        <v>8212.5</v>
      </c>
      <c r="J7" s="34">
        <v>-9387.5</v>
      </c>
      <c r="K7" s="33">
        <v>0</v>
      </c>
      <c r="L7" s="33">
        <v>0.25714285714285712</v>
      </c>
      <c r="M7" s="33">
        <v>0.2857142857142857</v>
      </c>
      <c r="N7" s="33">
        <v>0.22222222222222221</v>
      </c>
      <c r="O7" s="33">
        <v>0.4</v>
      </c>
      <c r="P7" s="33">
        <v>0.25</v>
      </c>
    </row>
  </sheetData>
  <phoneticPr fontId="1"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17479B-F3E5-43D0-992F-E2FEA8819562}">
  <sheetPr codeName="Sheet20"/>
  <dimension ref="A1:Q13"/>
  <sheetViews>
    <sheetView workbookViewId="0"/>
  </sheetViews>
  <sheetFormatPr defaultColWidth="10.59765625" defaultRowHeight="18" x14ac:dyDescent="0.45"/>
  <cols>
    <col min="1" max="1" width="10.59765625" style="35"/>
    <col min="2" max="3" width="10.59765625" style="32"/>
    <col min="4" max="4" width="10.59765625" style="37"/>
    <col min="5" max="8" width="10.59765625" style="33"/>
    <col min="9" max="10" width="10.59765625" style="34"/>
    <col min="11" max="16" width="10.59765625" style="33"/>
    <col min="17" max="16384" width="10.59765625" style="36"/>
  </cols>
  <sheetData>
    <row r="1" spans="1:17" x14ac:dyDescent="0.45">
      <c r="A1" s="36" t="s">
        <v>201</v>
      </c>
      <c r="B1" s="36" t="s">
        <v>201</v>
      </c>
      <c r="C1" s="36" t="s">
        <v>201</v>
      </c>
      <c r="D1" s="37" t="s">
        <v>201</v>
      </c>
      <c r="E1" s="36" t="s">
        <v>201</v>
      </c>
      <c r="F1" s="36" t="s">
        <v>201</v>
      </c>
      <c r="G1" s="36" t="s">
        <v>201</v>
      </c>
      <c r="H1" s="36" t="s">
        <v>201</v>
      </c>
      <c r="I1" s="36" t="s">
        <v>201</v>
      </c>
      <c r="J1" s="36" t="s">
        <v>201</v>
      </c>
      <c r="K1" s="36" t="s">
        <v>201</v>
      </c>
      <c r="L1" s="36" t="s">
        <v>201</v>
      </c>
      <c r="M1" s="36" t="s">
        <v>201</v>
      </c>
      <c r="N1" s="36" t="s">
        <v>201</v>
      </c>
      <c r="O1" s="36" t="s">
        <v>201</v>
      </c>
      <c r="P1" s="36" t="s">
        <v>201</v>
      </c>
      <c r="Q1" s="36" t="s">
        <v>201</v>
      </c>
    </row>
    <row r="2" spans="1:17" x14ac:dyDescent="0.45">
      <c r="A2" s="36" t="s">
        <v>9</v>
      </c>
      <c r="B2" s="36" t="s">
        <v>6</v>
      </c>
      <c r="C2" s="36" t="s">
        <v>7</v>
      </c>
      <c r="D2" s="37" t="s">
        <v>15</v>
      </c>
      <c r="E2" s="36" t="s">
        <v>14</v>
      </c>
      <c r="F2" s="36" t="s">
        <v>150</v>
      </c>
      <c r="G2" s="36" t="s">
        <v>141</v>
      </c>
      <c r="H2" s="36" t="s">
        <v>140</v>
      </c>
      <c r="I2" s="36" t="s">
        <v>5</v>
      </c>
      <c r="J2" s="36" t="s">
        <v>16</v>
      </c>
      <c r="K2" s="36" t="s">
        <v>17</v>
      </c>
      <c r="L2" s="36" t="s">
        <v>122</v>
      </c>
      <c r="M2" s="36" t="s">
        <v>119</v>
      </c>
      <c r="N2" s="36" t="s">
        <v>125</v>
      </c>
      <c r="O2" s="36" t="s">
        <v>142</v>
      </c>
      <c r="P2" s="36" t="s">
        <v>138</v>
      </c>
    </row>
    <row r="3" spans="1:17" x14ac:dyDescent="0.45">
      <c r="A3" s="35">
        <v>0</v>
      </c>
      <c r="B3" s="32">
        <v>0</v>
      </c>
    </row>
    <row r="4" spans="1:17" x14ac:dyDescent="0.45">
      <c r="A4" s="35">
        <v>1</v>
      </c>
      <c r="B4" s="32">
        <v>42.4</v>
      </c>
      <c r="C4" s="32">
        <v>42.4</v>
      </c>
      <c r="D4" s="37">
        <v>1</v>
      </c>
      <c r="E4" s="33">
        <v>1</v>
      </c>
      <c r="F4" s="33">
        <v>0</v>
      </c>
      <c r="G4" s="33">
        <v>0.35714285714285715</v>
      </c>
      <c r="H4" s="33">
        <v>7.1428571428571425E-2</v>
      </c>
      <c r="I4" s="34">
        <v>8980</v>
      </c>
      <c r="J4" s="34">
        <v>-12000</v>
      </c>
      <c r="K4" s="33">
        <v>0</v>
      </c>
      <c r="L4" s="33">
        <v>0.42857142857142855</v>
      </c>
      <c r="M4" s="33">
        <v>0.21428571428571427</v>
      </c>
      <c r="N4" s="33">
        <v>0.33333333333333331</v>
      </c>
      <c r="O4" s="33">
        <v>1</v>
      </c>
      <c r="P4" s="33">
        <v>0.2</v>
      </c>
    </row>
    <row r="5" spans="1:17" x14ac:dyDescent="0.45">
      <c r="A5" s="35">
        <v>2</v>
      </c>
      <c r="B5" s="32">
        <v>50.4</v>
      </c>
      <c r="C5" s="32">
        <v>25.2</v>
      </c>
      <c r="D5" s="37">
        <v>1.5</v>
      </c>
      <c r="E5" s="33">
        <v>0.5</v>
      </c>
      <c r="F5" s="33">
        <v>0</v>
      </c>
      <c r="G5" s="33">
        <v>0.35294117647058826</v>
      </c>
      <c r="H5" s="33">
        <v>5.8823529411764705E-2</v>
      </c>
      <c r="I5" s="34">
        <v>8816.6666666666661</v>
      </c>
      <c r="J5" s="34">
        <v>-12000</v>
      </c>
      <c r="K5" s="33">
        <v>0</v>
      </c>
      <c r="L5" s="33">
        <v>0.41176470588235292</v>
      </c>
      <c r="M5" s="33">
        <v>0.17647058823529413</v>
      </c>
      <c r="N5" s="33">
        <v>0.42857142857142855</v>
      </c>
      <c r="O5" s="33">
        <v>1</v>
      </c>
      <c r="P5" s="33">
        <v>0.16666666666666666</v>
      </c>
    </row>
    <row r="6" spans="1:17" x14ac:dyDescent="0.45">
      <c r="A6" s="35">
        <v>3</v>
      </c>
      <c r="B6" s="32">
        <v>10.399999999999999</v>
      </c>
      <c r="C6" s="32">
        <v>3.4666666666666663</v>
      </c>
      <c r="D6" s="37">
        <v>2</v>
      </c>
      <c r="E6" s="33">
        <v>0.33333333333333331</v>
      </c>
      <c r="F6" s="33">
        <v>0.33333333333333331</v>
      </c>
      <c r="G6" s="33">
        <v>0.25</v>
      </c>
      <c r="H6" s="33">
        <v>0.10714285714285714</v>
      </c>
      <c r="I6" s="34">
        <v>7857.1428571428569</v>
      </c>
      <c r="J6" s="34">
        <v>-9933.3333333333339</v>
      </c>
      <c r="K6" s="33">
        <v>0</v>
      </c>
      <c r="L6" s="33">
        <v>0.39285714285714285</v>
      </c>
      <c r="M6" s="33">
        <v>0.25</v>
      </c>
      <c r="N6" s="33">
        <v>0.27272727272727271</v>
      </c>
      <c r="O6" s="33">
        <v>0.5714285714285714</v>
      </c>
      <c r="P6" s="33">
        <v>0.2857142857142857</v>
      </c>
    </row>
    <row r="7" spans="1:17" x14ac:dyDescent="0.45">
      <c r="A7" s="35">
        <v>4</v>
      </c>
      <c r="B7" s="32">
        <v>60</v>
      </c>
      <c r="C7" s="32">
        <v>15</v>
      </c>
      <c r="D7" s="37">
        <v>1.75</v>
      </c>
      <c r="E7" s="33">
        <v>0.5</v>
      </c>
      <c r="F7" s="33">
        <v>0.25</v>
      </c>
      <c r="G7" s="33">
        <v>0.34285714285714286</v>
      </c>
      <c r="H7" s="33">
        <v>0.11428571428571428</v>
      </c>
      <c r="I7" s="34">
        <v>8625</v>
      </c>
      <c r="J7" s="34">
        <v>-8425</v>
      </c>
      <c r="K7" s="33">
        <v>0</v>
      </c>
      <c r="L7" s="33">
        <v>0.4</v>
      </c>
      <c r="M7" s="33">
        <v>0.22857142857142856</v>
      </c>
      <c r="N7" s="33">
        <v>0.42857142857142855</v>
      </c>
      <c r="O7" s="33">
        <v>0.625</v>
      </c>
      <c r="P7" s="33">
        <v>0.33333333333333331</v>
      </c>
    </row>
    <row r="8" spans="1:17" x14ac:dyDescent="0.45">
      <c r="A8" s="35">
        <v>5</v>
      </c>
      <c r="B8" s="32">
        <v>6.2000000000000028</v>
      </c>
      <c r="C8" s="32">
        <v>1.2400000000000007</v>
      </c>
      <c r="D8" s="37">
        <v>2</v>
      </c>
      <c r="E8" s="33">
        <v>0.4</v>
      </c>
      <c r="F8" s="33">
        <v>0.4</v>
      </c>
      <c r="G8" s="33">
        <v>0.27272727272727271</v>
      </c>
      <c r="H8" s="33">
        <v>0.18181818181818182</v>
      </c>
      <c r="I8" s="34">
        <v>8625</v>
      </c>
      <c r="J8" s="34">
        <v>-8400</v>
      </c>
      <c r="K8" s="33">
        <v>0.2</v>
      </c>
      <c r="L8" s="33">
        <v>0.36363636363636365</v>
      </c>
      <c r="M8" s="33">
        <v>0.18181818181818182</v>
      </c>
      <c r="N8" s="33">
        <v>0.375</v>
      </c>
      <c r="O8" s="33">
        <v>0.625</v>
      </c>
      <c r="P8" s="33">
        <v>0.33333333333333331</v>
      </c>
    </row>
    <row r="9" spans="1:17" x14ac:dyDescent="0.45">
      <c r="A9" s="35">
        <v>6</v>
      </c>
      <c r="B9" s="32">
        <v>30.000000000000004</v>
      </c>
      <c r="C9" s="32">
        <v>5.0000000000000009</v>
      </c>
      <c r="D9" s="37">
        <v>1.8333333333333333</v>
      </c>
      <c r="E9" s="33">
        <v>0.5</v>
      </c>
      <c r="F9" s="33">
        <v>0.33333333333333331</v>
      </c>
      <c r="G9" s="33">
        <v>0.3</v>
      </c>
      <c r="H9" s="33">
        <v>0.16</v>
      </c>
      <c r="I9" s="34">
        <v>7693.333333333333</v>
      </c>
      <c r="J9" s="34">
        <v>-8400</v>
      </c>
      <c r="K9" s="33">
        <v>0.16666666666666666</v>
      </c>
      <c r="L9" s="33">
        <v>0.34</v>
      </c>
      <c r="M9" s="33">
        <v>0.18</v>
      </c>
      <c r="N9" s="33">
        <v>0.41176470588235292</v>
      </c>
      <c r="O9" s="33">
        <v>0.66666666666666663</v>
      </c>
      <c r="P9" s="33">
        <v>0.4</v>
      </c>
    </row>
    <row r="10" spans="1:17" x14ac:dyDescent="0.45">
      <c r="A10" s="35">
        <v>7</v>
      </c>
      <c r="B10" s="32">
        <v>1.2000000000000028</v>
      </c>
      <c r="C10" s="32">
        <v>0.17142857142857185</v>
      </c>
      <c r="D10" s="37">
        <v>2</v>
      </c>
      <c r="E10" s="33">
        <v>0.42857142857142855</v>
      </c>
      <c r="F10" s="33">
        <v>0.42857142857142855</v>
      </c>
      <c r="G10" s="33">
        <v>0.25862068965517243</v>
      </c>
      <c r="H10" s="33">
        <v>0.17241379310344829</v>
      </c>
      <c r="I10" s="34">
        <v>7693.333333333333</v>
      </c>
      <c r="J10" s="34">
        <v>-7820</v>
      </c>
      <c r="K10" s="33">
        <v>0.14285714285714285</v>
      </c>
      <c r="L10" s="33">
        <v>0.29310344827586204</v>
      </c>
      <c r="M10" s="33">
        <v>0.18965517241379309</v>
      </c>
      <c r="N10" s="33">
        <v>0.41176470588235292</v>
      </c>
      <c r="O10" s="33">
        <v>0.54545454545454541</v>
      </c>
      <c r="P10" s="33">
        <v>0.4</v>
      </c>
    </row>
    <row r="11" spans="1:17" x14ac:dyDescent="0.45">
      <c r="A11" s="35">
        <v>8</v>
      </c>
      <c r="B11" s="32">
        <v>40.900000000000006</v>
      </c>
      <c r="C11" s="32">
        <v>5.1125000000000007</v>
      </c>
      <c r="D11" s="37">
        <v>1.875</v>
      </c>
      <c r="E11" s="33">
        <v>0.5</v>
      </c>
      <c r="F11" s="33">
        <v>0.375</v>
      </c>
      <c r="G11" s="33">
        <v>0.27692307692307694</v>
      </c>
      <c r="H11" s="33">
        <v>0.16923076923076924</v>
      </c>
      <c r="I11" s="34">
        <v>7905.5555555555557</v>
      </c>
      <c r="J11" s="34">
        <v>-7227.272727272727</v>
      </c>
      <c r="K11" s="33">
        <v>0.125</v>
      </c>
      <c r="L11" s="33">
        <v>0.27692307692307694</v>
      </c>
      <c r="M11" s="33">
        <v>0.2</v>
      </c>
      <c r="N11" s="33">
        <v>0.44444444444444442</v>
      </c>
      <c r="O11" s="33">
        <v>0.46153846153846156</v>
      </c>
      <c r="P11" s="33">
        <v>0.5</v>
      </c>
    </row>
    <row r="12" spans="1:17" x14ac:dyDescent="0.45">
      <c r="A12" s="35">
        <v>9</v>
      </c>
      <c r="B12" s="32">
        <v>21.100000000000005</v>
      </c>
      <c r="C12" s="32">
        <v>2.344444444444445</v>
      </c>
      <c r="D12" s="37">
        <v>1.8888888888888888</v>
      </c>
      <c r="E12" s="33">
        <v>0.44444444444444442</v>
      </c>
      <c r="F12" s="33">
        <v>0.33333333333333331</v>
      </c>
      <c r="G12" s="33">
        <v>0.25</v>
      </c>
      <c r="H12" s="33">
        <v>0.18055555555555555</v>
      </c>
      <c r="I12" s="34">
        <v>7905.5555555555557</v>
      </c>
      <c r="J12" s="34">
        <v>-6907.6923076923076</v>
      </c>
      <c r="K12" s="33">
        <v>0.1111111111111111</v>
      </c>
      <c r="L12" s="33">
        <v>0.25</v>
      </c>
      <c r="M12" s="33">
        <v>0.20833333333333334</v>
      </c>
      <c r="N12" s="33">
        <v>0.44444444444444442</v>
      </c>
      <c r="O12" s="33">
        <v>0.4</v>
      </c>
      <c r="P12" s="33">
        <v>0.5</v>
      </c>
    </row>
    <row r="13" spans="1:17" x14ac:dyDescent="0.45">
      <c r="A13" s="35">
        <v>10</v>
      </c>
      <c r="B13" s="32">
        <v>14.100000000000005</v>
      </c>
      <c r="C13" s="32">
        <v>1.4100000000000006</v>
      </c>
      <c r="D13" s="37">
        <v>1.9</v>
      </c>
      <c r="E13" s="33">
        <v>0.4</v>
      </c>
      <c r="F13" s="33">
        <v>0.3</v>
      </c>
      <c r="G13" s="33">
        <v>0.24358974358974358</v>
      </c>
      <c r="H13" s="33">
        <v>0.16666666666666666</v>
      </c>
      <c r="I13" s="34">
        <v>7557.894736842105</v>
      </c>
      <c r="J13" s="34">
        <v>-6907.6923076923076</v>
      </c>
      <c r="K13" s="33">
        <v>0.1</v>
      </c>
      <c r="L13" s="33">
        <v>0.26923076923076922</v>
      </c>
      <c r="M13" s="33">
        <v>0.21794871794871795</v>
      </c>
      <c r="N13" s="33">
        <v>0.42857142857142855</v>
      </c>
      <c r="O13" s="33">
        <v>0.35294117647058826</v>
      </c>
      <c r="P13" s="33">
        <v>0.47368421052631576</v>
      </c>
    </row>
  </sheetData>
  <phoneticPr fontId="1"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F5D580-C70B-418F-90EA-A4F61FBDD8E7}">
  <sheetPr codeName="Sheet18"/>
  <dimension ref="A1:Q10"/>
  <sheetViews>
    <sheetView workbookViewId="0"/>
  </sheetViews>
  <sheetFormatPr defaultColWidth="10.59765625" defaultRowHeight="18" x14ac:dyDescent="0.45"/>
  <cols>
    <col min="1" max="1" width="10.59765625" style="35"/>
    <col min="2" max="3" width="10.59765625" style="32"/>
    <col min="4" max="4" width="10.59765625" style="37"/>
    <col min="5" max="8" width="10.59765625" style="33"/>
    <col min="9" max="10" width="10.59765625" style="34"/>
    <col min="11" max="16" width="10.59765625" style="33"/>
    <col min="17" max="16384" width="10.59765625" style="36"/>
  </cols>
  <sheetData>
    <row r="1" spans="1:17" x14ac:dyDescent="0.45">
      <c r="A1" s="36" t="s">
        <v>198</v>
      </c>
      <c r="B1" s="36" t="s">
        <v>198</v>
      </c>
      <c r="C1" s="36" t="s">
        <v>198</v>
      </c>
      <c r="D1" s="37" t="s">
        <v>198</v>
      </c>
      <c r="E1" s="36" t="s">
        <v>198</v>
      </c>
      <c r="F1" s="36" t="s">
        <v>198</v>
      </c>
      <c r="G1" s="36" t="s">
        <v>198</v>
      </c>
      <c r="H1" s="36" t="s">
        <v>198</v>
      </c>
      <c r="I1" s="36" t="s">
        <v>198</v>
      </c>
      <c r="J1" s="36" t="s">
        <v>198</v>
      </c>
      <c r="K1" s="36" t="s">
        <v>198</v>
      </c>
      <c r="L1" s="36" t="s">
        <v>198</v>
      </c>
      <c r="M1" s="36" t="s">
        <v>198</v>
      </c>
      <c r="N1" s="36" t="s">
        <v>198</v>
      </c>
      <c r="O1" s="36" t="s">
        <v>198</v>
      </c>
      <c r="P1" s="36" t="s">
        <v>198</v>
      </c>
      <c r="Q1" s="36" t="s">
        <v>198</v>
      </c>
    </row>
    <row r="2" spans="1:17" x14ac:dyDescent="0.45">
      <c r="A2" s="36" t="s">
        <v>9</v>
      </c>
      <c r="B2" s="36" t="s">
        <v>6</v>
      </c>
      <c r="C2" s="36" t="s">
        <v>7</v>
      </c>
      <c r="D2" s="37" t="s">
        <v>15</v>
      </c>
      <c r="E2" s="36" t="s">
        <v>14</v>
      </c>
      <c r="F2" s="36" t="s">
        <v>150</v>
      </c>
      <c r="G2" s="36" t="s">
        <v>141</v>
      </c>
      <c r="H2" s="36" t="s">
        <v>140</v>
      </c>
      <c r="I2" s="36" t="s">
        <v>5</v>
      </c>
      <c r="J2" s="36" t="s">
        <v>16</v>
      </c>
      <c r="K2" s="36" t="s">
        <v>17</v>
      </c>
      <c r="L2" s="36" t="s">
        <v>122</v>
      </c>
      <c r="M2" s="36" t="s">
        <v>119</v>
      </c>
      <c r="N2" s="36" t="s">
        <v>125</v>
      </c>
      <c r="O2" s="36" t="s">
        <v>142</v>
      </c>
      <c r="P2" s="36" t="s">
        <v>138</v>
      </c>
    </row>
    <row r="3" spans="1:17" x14ac:dyDescent="0.45">
      <c r="A3" s="35">
        <v>0</v>
      </c>
      <c r="B3" s="32">
        <v>0</v>
      </c>
    </row>
    <row r="4" spans="1:17" x14ac:dyDescent="0.45">
      <c r="A4" s="35">
        <v>1</v>
      </c>
      <c r="B4" s="32">
        <v>11.6</v>
      </c>
      <c r="C4" s="32">
        <v>11.6</v>
      </c>
      <c r="D4" s="37">
        <v>1</v>
      </c>
      <c r="E4" s="33">
        <v>1</v>
      </c>
      <c r="F4" s="33">
        <v>0</v>
      </c>
      <c r="G4" s="33">
        <v>0.25</v>
      </c>
      <c r="H4" s="33">
        <v>0</v>
      </c>
      <c r="I4" s="34">
        <v>1800</v>
      </c>
      <c r="J4" s="34">
        <v>0</v>
      </c>
      <c r="K4" s="33">
        <v>0</v>
      </c>
      <c r="L4" s="33">
        <v>0</v>
      </c>
      <c r="M4" s="33">
        <v>0.25</v>
      </c>
      <c r="N4" s="33">
        <v>0</v>
      </c>
      <c r="O4" s="33">
        <v>0.5</v>
      </c>
      <c r="P4" s="33">
        <v>0</v>
      </c>
    </row>
    <row r="5" spans="1:17" x14ac:dyDescent="0.45">
      <c r="A5" s="35">
        <v>2</v>
      </c>
      <c r="B5" s="32">
        <v>42.9</v>
      </c>
      <c r="C5" s="32">
        <v>21.45</v>
      </c>
      <c r="D5" s="37">
        <v>1</v>
      </c>
      <c r="E5" s="33">
        <v>1</v>
      </c>
      <c r="F5" s="33">
        <v>0</v>
      </c>
      <c r="G5" s="33">
        <v>0.36842105263157893</v>
      </c>
      <c r="H5" s="33">
        <v>5.2631578947368418E-2</v>
      </c>
      <c r="I5" s="34">
        <v>6028.5714285714284</v>
      </c>
      <c r="J5" s="34">
        <v>-12000</v>
      </c>
      <c r="K5" s="33">
        <v>0</v>
      </c>
      <c r="L5" s="33">
        <v>0.26315789473684209</v>
      </c>
      <c r="M5" s="33">
        <v>0.15789473684210525</v>
      </c>
      <c r="N5" s="33">
        <v>0.6</v>
      </c>
      <c r="O5" s="33">
        <v>0.66666666666666663</v>
      </c>
      <c r="P5" s="33">
        <v>0.42857142857142855</v>
      </c>
    </row>
    <row r="6" spans="1:17" x14ac:dyDescent="0.45">
      <c r="A6" s="35">
        <v>3</v>
      </c>
      <c r="B6" s="32">
        <v>49.199999999999996</v>
      </c>
      <c r="C6" s="32">
        <v>16.399999999999999</v>
      </c>
      <c r="D6" s="37">
        <v>1.3333333333333333</v>
      </c>
      <c r="E6" s="33">
        <v>0.66666666666666663</v>
      </c>
      <c r="F6" s="33">
        <v>0</v>
      </c>
      <c r="G6" s="33">
        <v>0.37037037037037035</v>
      </c>
      <c r="H6" s="33">
        <v>0.1111111111111111</v>
      </c>
      <c r="I6" s="34">
        <v>6210</v>
      </c>
      <c r="J6" s="34">
        <v>-8866.6666666666661</v>
      </c>
      <c r="K6" s="33">
        <v>0</v>
      </c>
      <c r="L6" s="33">
        <v>0.25925925925925924</v>
      </c>
      <c r="M6" s="33">
        <v>0.14814814814814814</v>
      </c>
      <c r="N6" s="33">
        <v>0.7142857142857143</v>
      </c>
      <c r="O6" s="33">
        <v>0.75</v>
      </c>
      <c r="P6" s="33">
        <v>0.5</v>
      </c>
    </row>
    <row r="7" spans="1:17" x14ac:dyDescent="0.45">
      <c r="A7" s="35">
        <v>4</v>
      </c>
      <c r="B7" s="32">
        <v>75.8</v>
      </c>
      <c r="C7" s="32">
        <v>18.95</v>
      </c>
      <c r="D7" s="37">
        <v>1.25</v>
      </c>
      <c r="E7" s="33">
        <v>0.75</v>
      </c>
      <c r="F7" s="33">
        <v>0</v>
      </c>
      <c r="G7" s="33">
        <v>0.375</v>
      </c>
      <c r="H7" s="33">
        <v>0.1</v>
      </c>
      <c r="I7" s="34">
        <v>6126.666666666667</v>
      </c>
      <c r="J7" s="34">
        <v>-7625</v>
      </c>
      <c r="K7" s="33">
        <v>0</v>
      </c>
      <c r="L7" s="33">
        <v>0.25</v>
      </c>
      <c r="M7" s="33">
        <v>0.17499999999999999</v>
      </c>
      <c r="N7" s="33">
        <v>0.8</v>
      </c>
      <c r="O7" s="33">
        <v>0.5714285714285714</v>
      </c>
      <c r="P7" s="33">
        <v>0.4</v>
      </c>
    </row>
    <row r="8" spans="1:17" x14ac:dyDescent="0.45">
      <c r="A8" s="35">
        <v>5</v>
      </c>
      <c r="B8" s="32">
        <v>47.8</v>
      </c>
      <c r="C8" s="32">
        <v>9.5599999999999987</v>
      </c>
      <c r="D8" s="37">
        <v>1.4</v>
      </c>
      <c r="E8" s="33">
        <v>0.6</v>
      </c>
      <c r="F8" s="33">
        <v>0</v>
      </c>
      <c r="G8" s="33">
        <v>0.32608695652173914</v>
      </c>
      <c r="H8" s="33">
        <v>0.10869565217391304</v>
      </c>
      <c r="I8" s="34">
        <v>6126.666666666667</v>
      </c>
      <c r="J8" s="34">
        <v>-8500</v>
      </c>
      <c r="K8" s="33">
        <v>0</v>
      </c>
      <c r="L8" s="33">
        <v>0.21739130434782608</v>
      </c>
      <c r="M8" s="33">
        <v>0.17391304347826086</v>
      </c>
      <c r="N8" s="33">
        <v>0.8</v>
      </c>
      <c r="O8" s="33">
        <v>0.5</v>
      </c>
      <c r="P8" s="33">
        <v>0.4</v>
      </c>
    </row>
    <row r="9" spans="1:17" x14ac:dyDescent="0.45">
      <c r="A9" s="35">
        <v>6</v>
      </c>
      <c r="B9" s="32">
        <v>26.4</v>
      </c>
      <c r="C9" s="32">
        <v>4.3999999999999995</v>
      </c>
      <c r="D9" s="37">
        <v>1.6666666666666667</v>
      </c>
      <c r="E9" s="33">
        <v>0.5</v>
      </c>
      <c r="F9" s="33">
        <v>0.16666666666666666</v>
      </c>
      <c r="G9" s="33">
        <v>0.30357142857142855</v>
      </c>
      <c r="H9" s="33">
        <v>0.10714285714285714</v>
      </c>
      <c r="I9" s="34">
        <v>6288.2352941176468</v>
      </c>
      <c r="J9" s="34">
        <v>-7733.333333333333</v>
      </c>
      <c r="K9" s="33">
        <v>0</v>
      </c>
      <c r="L9" s="33">
        <v>0.25</v>
      </c>
      <c r="M9" s="33">
        <v>0.21428571428571427</v>
      </c>
      <c r="N9" s="33">
        <v>0.6428571428571429</v>
      </c>
      <c r="O9" s="33">
        <v>0.41666666666666669</v>
      </c>
      <c r="P9" s="33">
        <v>0.41176470588235292</v>
      </c>
    </row>
    <row r="10" spans="1:17" x14ac:dyDescent="0.45">
      <c r="A10" s="35">
        <v>7</v>
      </c>
      <c r="B10" s="32">
        <v>25.9</v>
      </c>
      <c r="C10" s="32">
        <v>3.6999999999999997</v>
      </c>
      <c r="D10" s="37">
        <v>1.7142857142857142</v>
      </c>
      <c r="E10" s="33">
        <v>0.42857142857142855</v>
      </c>
      <c r="F10" s="33">
        <v>0.14285714285714285</v>
      </c>
      <c r="G10" s="33">
        <v>0.3125</v>
      </c>
      <c r="H10" s="33">
        <v>0.109375</v>
      </c>
      <c r="I10" s="34">
        <v>6405</v>
      </c>
      <c r="J10" s="34">
        <v>-7371.4285714285716</v>
      </c>
      <c r="K10" s="33">
        <v>0</v>
      </c>
      <c r="L10" s="33">
        <v>0.25</v>
      </c>
      <c r="M10" s="33">
        <v>0.203125</v>
      </c>
      <c r="N10" s="33">
        <v>0.625</v>
      </c>
      <c r="O10" s="33">
        <v>0.46153846153846156</v>
      </c>
      <c r="P10" s="33">
        <v>0.35</v>
      </c>
    </row>
  </sheetData>
  <phoneticPr fontId="1"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0DBDE8-8FF1-4BE7-B00C-8E70974340FA}">
  <sheetPr codeName="Sheet16"/>
  <dimension ref="A1:Q16"/>
  <sheetViews>
    <sheetView workbookViewId="0"/>
  </sheetViews>
  <sheetFormatPr defaultColWidth="10.59765625" defaultRowHeight="18" x14ac:dyDescent="0.45"/>
  <cols>
    <col min="1" max="1" width="10.59765625" style="35"/>
    <col min="2" max="3" width="10.59765625" style="32"/>
    <col min="4" max="4" width="10.59765625" style="37"/>
    <col min="5" max="8" width="10.59765625" style="33"/>
    <col min="9" max="10" width="10.59765625" style="34"/>
    <col min="11" max="16" width="10.59765625" style="33"/>
    <col min="17" max="16384" width="10.59765625" style="36"/>
  </cols>
  <sheetData>
    <row r="1" spans="1:17" x14ac:dyDescent="0.45">
      <c r="A1" s="36" t="s">
        <v>194</v>
      </c>
      <c r="B1" s="36" t="s">
        <v>194</v>
      </c>
      <c r="C1" s="36" t="s">
        <v>194</v>
      </c>
      <c r="D1" s="37" t="s">
        <v>194</v>
      </c>
      <c r="E1" s="36" t="s">
        <v>194</v>
      </c>
      <c r="F1" s="36" t="s">
        <v>194</v>
      </c>
      <c r="G1" s="36" t="s">
        <v>194</v>
      </c>
      <c r="H1" s="36" t="s">
        <v>194</v>
      </c>
      <c r="I1" s="36" t="s">
        <v>194</v>
      </c>
      <c r="J1" s="36" t="s">
        <v>194</v>
      </c>
      <c r="K1" s="36" t="s">
        <v>194</v>
      </c>
      <c r="L1" s="36" t="s">
        <v>194</v>
      </c>
      <c r="M1" s="36" t="s">
        <v>194</v>
      </c>
      <c r="N1" s="36" t="s">
        <v>194</v>
      </c>
      <c r="O1" s="36" t="s">
        <v>194</v>
      </c>
      <c r="P1" s="36" t="s">
        <v>194</v>
      </c>
      <c r="Q1" s="36" t="s">
        <v>194</v>
      </c>
    </row>
    <row r="2" spans="1:17" x14ac:dyDescent="0.45">
      <c r="A2" s="36" t="s">
        <v>9</v>
      </c>
      <c r="B2" s="36" t="s">
        <v>6</v>
      </c>
      <c r="C2" s="36" t="s">
        <v>7</v>
      </c>
      <c r="D2" s="37" t="s">
        <v>15</v>
      </c>
      <c r="E2" s="36" t="s">
        <v>14</v>
      </c>
      <c r="F2" s="36" t="s">
        <v>150</v>
      </c>
      <c r="G2" s="36" t="s">
        <v>141</v>
      </c>
      <c r="H2" s="36" t="s">
        <v>140</v>
      </c>
      <c r="I2" s="36" t="s">
        <v>5</v>
      </c>
      <c r="J2" s="36" t="s">
        <v>16</v>
      </c>
      <c r="K2" s="36" t="s">
        <v>17</v>
      </c>
      <c r="L2" s="36" t="s">
        <v>122</v>
      </c>
      <c r="M2" s="36" t="s">
        <v>119</v>
      </c>
      <c r="N2" s="36" t="s">
        <v>125</v>
      </c>
      <c r="O2" s="36" t="s">
        <v>142</v>
      </c>
      <c r="P2" s="36" t="s">
        <v>138</v>
      </c>
    </row>
    <row r="3" spans="1:17" x14ac:dyDescent="0.45">
      <c r="A3" s="35">
        <v>0</v>
      </c>
      <c r="B3" s="32">
        <v>0</v>
      </c>
    </row>
    <row r="4" spans="1:17" x14ac:dyDescent="0.45">
      <c r="A4" s="35">
        <v>1</v>
      </c>
      <c r="B4" s="32">
        <v>55.6</v>
      </c>
      <c r="C4" s="32">
        <v>55.6</v>
      </c>
      <c r="D4" s="37">
        <v>1</v>
      </c>
      <c r="E4" s="33">
        <v>1</v>
      </c>
      <c r="F4" s="33">
        <v>0</v>
      </c>
      <c r="G4" s="33">
        <v>0.5</v>
      </c>
      <c r="H4" s="33">
        <v>0.1</v>
      </c>
      <c r="I4" s="34">
        <v>9000</v>
      </c>
      <c r="J4" s="34">
        <v>-7700</v>
      </c>
      <c r="K4" s="33">
        <v>0</v>
      </c>
      <c r="L4" s="33">
        <v>0.5</v>
      </c>
      <c r="M4" s="33">
        <v>0.3</v>
      </c>
      <c r="N4" s="33">
        <v>0.6</v>
      </c>
      <c r="O4" s="33">
        <v>0.66666666666666663</v>
      </c>
      <c r="P4" s="33">
        <v>0.8</v>
      </c>
    </row>
    <row r="5" spans="1:17" x14ac:dyDescent="0.45">
      <c r="A5" s="35">
        <v>2</v>
      </c>
      <c r="B5" s="32">
        <v>24.900000000000002</v>
      </c>
      <c r="C5" s="32">
        <v>12.450000000000001</v>
      </c>
      <c r="D5" s="37">
        <v>2</v>
      </c>
      <c r="E5" s="33">
        <v>0.5</v>
      </c>
      <c r="F5" s="33">
        <v>0.5</v>
      </c>
      <c r="G5" s="33">
        <v>0.3125</v>
      </c>
      <c r="H5" s="33">
        <v>0.125</v>
      </c>
      <c r="I5" s="34">
        <v>9000</v>
      </c>
      <c r="J5" s="34">
        <v>-7700</v>
      </c>
      <c r="K5" s="33">
        <v>0</v>
      </c>
      <c r="L5" s="33">
        <v>0.375</v>
      </c>
      <c r="M5" s="33">
        <v>0.1875</v>
      </c>
      <c r="N5" s="33">
        <v>0.5</v>
      </c>
      <c r="O5" s="33">
        <v>0.66666666666666663</v>
      </c>
      <c r="P5" s="33">
        <v>0.8</v>
      </c>
    </row>
    <row r="6" spans="1:17" x14ac:dyDescent="0.45">
      <c r="A6" s="35">
        <v>3</v>
      </c>
      <c r="B6" s="32">
        <v>-20.599999999999998</v>
      </c>
      <c r="C6" s="32">
        <v>-6.8666666666666663</v>
      </c>
      <c r="D6" s="37">
        <v>2.3333333333333335</v>
      </c>
      <c r="E6" s="33">
        <v>0.33333333333333331</v>
      </c>
      <c r="F6" s="33">
        <v>0.66666666666666663</v>
      </c>
      <c r="G6" s="33">
        <v>0.23809523809523808</v>
      </c>
      <c r="H6" s="33">
        <v>0.19047619047619047</v>
      </c>
      <c r="I6" s="34">
        <v>9000</v>
      </c>
      <c r="J6" s="34">
        <v>-9850</v>
      </c>
      <c r="K6" s="33">
        <v>0.33333333333333331</v>
      </c>
      <c r="L6" s="33">
        <v>0.33333333333333331</v>
      </c>
      <c r="M6" s="33">
        <v>0.19047619047619047</v>
      </c>
      <c r="N6" s="33">
        <v>0.42857142857142855</v>
      </c>
      <c r="O6" s="33">
        <v>0.5</v>
      </c>
      <c r="P6" s="33">
        <v>0.8</v>
      </c>
    </row>
    <row r="7" spans="1:17" x14ac:dyDescent="0.45">
      <c r="A7" s="35">
        <v>4</v>
      </c>
      <c r="B7" s="32">
        <v>-25</v>
      </c>
      <c r="C7" s="32">
        <v>-6.25</v>
      </c>
      <c r="D7" s="37">
        <v>2.25</v>
      </c>
      <c r="E7" s="33">
        <v>0.25</v>
      </c>
      <c r="F7" s="33">
        <v>0.5</v>
      </c>
      <c r="G7" s="33">
        <v>0.25714285714285712</v>
      </c>
      <c r="H7" s="33">
        <v>0.22857142857142856</v>
      </c>
      <c r="I7" s="34">
        <v>8533.3333333333339</v>
      </c>
      <c r="J7" s="34">
        <v>-8887.5</v>
      </c>
      <c r="K7" s="33">
        <v>0.25</v>
      </c>
      <c r="L7" s="33">
        <v>0.31428571428571428</v>
      </c>
      <c r="M7" s="33">
        <v>0.17142857142857143</v>
      </c>
      <c r="N7" s="33">
        <v>0.54545454545454541</v>
      </c>
      <c r="O7" s="33">
        <v>0.5</v>
      </c>
      <c r="P7" s="33">
        <v>0.55555555555555558</v>
      </c>
    </row>
    <row r="8" spans="1:17" x14ac:dyDescent="0.45">
      <c r="A8" s="35">
        <v>5</v>
      </c>
      <c r="B8" s="32">
        <v>-53</v>
      </c>
      <c r="C8" s="32">
        <v>-10.6</v>
      </c>
      <c r="D8" s="37">
        <v>2.4</v>
      </c>
      <c r="E8" s="33">
        <v>0.2</v>
      </c>
      <c r="F8" s="33">
        <v>0.6</v>
      </c>
      <c r="G8" s="33">
        <v>0.23684210526315788</v>
      </c>
      <c r="H8" s="33">
        <v>0.26315789473684209</v>
      </c>
      <c r="I8" s="34">
        <v>8533.3333333333339</v>
      </c>
      <c r="J8" s="34">
        <v>-8810</v>
      </c>
      <c r="K8" s="33">
        <v>0.2</v>
      </c>
      <c r="L8" s="33">
        <v>0.31578947368421051</v>
      </c>
      <c r="M8" s="33">
        <v>0.15789473684210525</v>
      </c>
      <c r="N8" s="33">
        <v>0.5</v>
      </c>
      <c r="O8" s="33">
        <v>0.5</v>
      </c>
      <c r="P8" s="33">
        <v>0.55555555555555558</v>
      </c>
    </row>
    <row r="9" spans="1:17" x14ac:dyDescent="0.45">
      <c r="A9" s="35">
        <v>6</v>
      </c>
      <c r="B9" s="32">
        <v>-32.799999999999997</v>
      </c>
      <c r="C9" s="32">
        <v>-5.4666666666666659</v>
      </c>
      <c r="D9" s="37">
        <v>2.3333333333333335</v>
      </c>
      <c r="E9" s="33">
        <v>0.16666666666666666</v>
      </c>
      <c r="F9" s="33">
        <v>0.5</v>
      </c>
      <c r="G9" s="33">
        <v>0.25531914893617019</v>
      </c>
      <c r="H9" s="33">
        <v>0.23404255319148937</v>
      </c>
      <c r="I9" s="34">
        <v>8708.3333333333339</v>
      </c>
      <c r="J9" s="34">
        <v>-8481.818181818182</v>
      </c>
      <c r="K9" s="33">
        <v>0.16666666666666666</v>
      </c>
      <c r="L9" s="33">
        <v>0.34042553191489361</v>
      </c>
      <c r="M9" s="33">
        <v>0.19148936170212766</v>
      </c>
      <c r="N9" s="33">
        <v>0.4375</v>
      </c>
      <c r="O9" s="33">
        <v>0.55555555555555558</v>
      </c>
      <c r="P9" s="33">
        <v>0.41666666666666669</v>
      </c>
    </row>
    <row r="10" spans="1:17" x14ac:dyDescent="0.45">
      <c r="A10" s="35">
        <v>7</v>
      </c>
      <c r="B10" s="32">
        <v>-22.199999999999996</v>
      </c>
      <c r="C10" s="32">
        <v>-3.1714285714285708</v>
      </c>
      <c r="D10" s="37">
        <v>2.2857142857142856</v>
      </c>
      <c r="E10" s="33">
        <v>0.14285714285714285</v>
      </c>
      <c r="F10" s="33">
        <v>0.42857142857142855</v>
      </c>
      <c r="G10" s="33">
        <v>0.28301886792452829</v>
      </c>
      <c r="H10" s="33">
        <v>0.20754716981132076</v>
      </c>
      <c r="I10" s="34">
        <v>7480</v>
      </c>
      <c r="J10" s="34">
        <v>-8481.818181818182</v>
      </c>
      <c r="K10" s="33">
        <v>0.14285714285714285</v>
      </c>
      <c r="L10" s="33">
        <v>0.33962264150943394</v>
      </c>
      <c r="M10" s="33">
        <v>0.18867924528301888</v>
      </c>
      <c r="N10" s="33">
        <v>0.5</v>
      </c>
      <c r="O10" s="33">
        <v>0.6</v>
      </c>
      <c r="P10" s="33">
        <v>0.53333333333333333</v>
      </c>
    </row>
    <row r="11" spans="1:17" x14ac:dyDescent="0.45">
      <c r="A11" s="35">
        <v>8</v>
      </c>
      <c r="B11" s="32">
        <v>0.30000000000000426</v>
      </c>
      <c r="C11" s="32">
        <v>3.7500000000000533E-2</v>
      </c>
      <c r="D11" s="37">
        <v>2.125</v>
      </c>
      <c r="E11" s="33">
        <v>0.25</v>
      </c>
      <c r="F11" s="33">
        <v>0.375</v>
      </c>
      <c r="G11" s="33">
        <v>0.29508196721311475</v>
      </c>
      <c r="H11" s="33">
        <v>0.18032786885245902</v>
      </c>
      <c r="I11" s="34">
        <v>7333.333333333333</v>
      </c>
      <c r="J11" s="34">
        <v>-8481.818181818182</v>
      </c>
      <c r="K11" s="33">
        <v>0.125</v>
      </c>
      <c r="L11" s="33">
        <v>0.31147540983606559</v>
      </c>
      <c r="M11" s="33">
        <v>0.19672131147540983</v>
      </c>
      <c r="N11" s="33">
        <v>0.52631578947368418</v>
      </c>
      <c r="O11" s="33">
        <v>0.58333333333333337</v>
      </c>
      <c r="P11" s="33">
        <v>0.44444444444444442</v>
      </c>
    </row>
    <row r="12" spans="1:17" x14ac:dyDescent="0.45">
      <c r="A12" s="35">
        <v>9</v>
      </c>
      <c r="B12" s="32">
        <v>20.500000000000004</v>
      </c>
      <c r="C12" s="32">
        <v>2.2777777777777781</v>
      </c>
      <c r="D12" s="37">
        <v>2</v>
      </c>
      <c r="E12" s="33">
        <v>0.33333333333333331</v>
      </c>
      <c r="F12" s="33">
        <v>0.33333333333333331</v>
      </c>
      <c r="G12" s="33">
        <v>0.30985915492957744</v>
      </c>
      <c r="H12" s="33">
        <v>0.15492957746478872</v>
      </c>
      <c r="I12" s="34">
        <v>7322.727272727273</v>
      </c>
      <c r="J12" s="34">
        <v>-8481.818181818182</v>
      </c>
      <c r="K12" s="33">
        <v>0.1111111111111111</v>
      </c>
      <c r="L12" s="33">
        <v>0.30985915492957744</v>
      </c>
      <c r="M12" s="33">
        <v>0.18309859154929578</v>
      </c>
      <c r="N12" s="33">
        <v>0.54545454545454541</v>
      </c>
      <c r="O12" s="33">
        <v>0.61538461538461542</v>
      </c>
      <c r="P12" s="33">
        <v>0.40909090909090912</v>
      </c>
    </row>
    <row r="13" spans="1:17" x14ac:dyDescent="0.45">
      <c r="A13" s="35">
        <v>10</v>
      </c>
      <c r="B13" s="32">
        <v>6.9000000000000039</v>
      </c>
      <c r="C13" s="32">
        <v>0.69000000000000039</v>
      </c>
      <c r="D13" s="37">
        <v>2.1</v>
      </c>
      <c r="E13" s="33">
        <v>0.3</v>
      </c>
      <c r="F13" s="33">
        <v>0.4</v>
      </c>
      <c r="G13" s="33">
        <v>0.30769230769230771</v>
      </c>
      <c r="H13" s="33">
        <v>0.15384615384615385</v>
      </c>
      <c r="I13" s="34">
        <v>7366.666666666667</v>
      </c>
      <c r="J13" s="34">
        <v>-8416.6666666666661</v>
      </c>
      <c r="K13" s="33">
        <v>0.1</v>
      </c>
      <c r="L13" s="33">
        <v>0.29487179487179488</v>
      </c>
      <c r="M13" s="33">
        <v>0.20512820512820512</v>
      </c>
      <c r="N13" s="33">
        <v>0.56521739130434778</v>
      </c>
      <c r="O13" s="33">
        <v>0.5625</v>
      </c>
      <c r="P13" s="33">
        <v>0.41666666666666669</v>
      </c>
    </row>
    <row r="14" spans="1:17" x14ac:dyDescent="0.45">
      <c r="A14" s="35">
        <v>11</v>
      </c>
      <c r="B14" s="32">
        <v>-18.799999999999997</v>
      </c>
      <c r="C14" s="32">
        <v>-1.7090909090909088</v>
      </c>
      <c r="D14" s="37">
        <v>2.1818181818181817</v>
      </c>
      <c r="E14" s="33">
        <v>0.27272727272727271</v>
      </c>
      <c r="F14" s="33">
        <v>0.45454545454545453</v>
      </c>
      <c r="G14" s="33">
        <v>0.30588235294117649</v>
      </c>
      <c r="H14" s="33">
        <v>0.15294117647058825</v>
      </c>
      <c r="I14" s="34">
        <v>7150</v>
      </c>
      <c r="J14" s="34">
        <v>-7953.8461538461543</v>
      </c>
      <c r="K14" s="33">
        <v>9.0909090909090912E-2</v>
      </c>
      <c r="L14" s="33">
        <v>0.28235294117647058</v>
      </c>
      <c r="M14" s="33">
        <v>0.18823529411764706</v>
      </c>
      <c r="N14" s="33">
        <v>0.58333333333333337</v>
      </c>
      <c r="O14" s="33">
        <v>0.5625</v>
      </c>
      <c r="P14" s="33">
        <v>0.42307692307692307</v>
      </c>
    </row>
    <row r="15" spans="1:17" x14ac:dyDescent="0.45">
      <c r="A15" s="35">
        <v>12</v>
      </c>
      <c r="B15" s="32">
        <v>32.1</v>
      </c>
      <c r="C15" s="32">
        <v>2.6750000000000003</v>
      </c>
      <c r="D15" s="37">
        <v>2.0833333333333335</v>
      </c>
      <c r="E15" s="33">
        <v>0.33333333333333331</v>
      </c>
      <c r="F15" s="33">
        <v>0.41666666666666669</v>
      </c>
      <c r="G15" s="33">
        <v>0.31521739130434784</v>
      </c>
      <c r="H15" s="33">
        <v>0.16304347826086957</v>
      </c>
      <c r="I15" s="34">
        <v>8065.5172413793107</v>
      </c>
      <c r="J15" s="34">
        <v>-7500</v>
      </c>
      <c r="K15" s="33">
        <v>8.3333333333333329E-2</v>
      </c>
      <c r="L15" s="33">
        <v>0.2608695652173913</v>
      </c>
      <c r="M15" s="33">
        <v>0.19565217391304349</v>
      </c>
      <c r="N15" s="33">
        <v>0.58333333333333337</v>
      </c>
      <c r="O15" s="33">
        <v>0.55555555555555558</v>
      </c>
      <c r="P15" s="33">
        <v>0.44827586206896552</v>
      </c>
    </row>
    <row r="16" spans="1:17" x14ac:dyDescent="0.45">
      <c r="A16" s="35">
        <v>13</v>
      </c>
      <c r="B16" s="32">
        <v>65.800000000000011</v>
      </c>
      <c r="C16" s="32">
        <v>5.0615384615384622</v>
      </c>
      <c r="D16" s="37">
        <v>2</v>
      </c>
      <c r="E16" s="33">
        <v>0.38461538461538464</v>
      </c>
      <c r="F16" s="33">
        <v>0.38461538461538464</v>
      </c>
      <c r="G16" s="33">
        <v>0.32653061224489793</v>
      </c>
      <c r="H16" s="33">
        <v>0.16326530612244897</v>
      </c>
      <c r="I16" s="34">
        <v>8165.625</v>
      </c>
      <c r="J16" s="34">
        <v>-7356.25</v>
      </c>
      <c r="K16" s="33">
        <v>7.6923076923076927E-2</v>
      </c>
      <c r="L16" s="33">
        <v>0.25510204081632654</v>
      </c>
      <c r="M16" s="33">
        <v>0.22448979591836735</v>
      </c>
      <c r="N16" s="33">
        <v>0.6</v>
      </c>
      <c r="O16" s="33">
        <v>0.54545454545454541</v>
      </c>
      <c r="P16" s="33">
        <v>0.46875</v>
      </c>
    </row>
  </sheetData>
  <phoneticPr fontId="1"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F6EE74-1393-4990-B1F8-52B38F5E277F}">
  <sheetPr codeName="Sheet14"/>
  <dimension ref="A1:Q6"/>
  <sheetViews>
    <sheetView workbookViewId="0"/>
  </sheetViews>
  <sheetFormatPr defaultColWidth="10.59765625" defaultRowHeight="18" x14ac:dyDescent="0.45"/>
  <cols>
    <col min="1" max="1" width="10.59765625" style="35"/>
    <col min="2" max="3" width="10.59765625" style="32"/>
    <col min="4" max="4" width="10.59765625" style="37"/>
    <col min="5" max="8" width="10.59765625" style="33"/>
    <col min="9" max="10" width="10.59765625" style="34"/>
    <col min="11" max="16" width="10.59765625" style="33"/>
    <col min="17" max="16384" width="10.59765625" style="36"/>
  </cols>
  <sheetData>
    <row r="1" spans="1:17" x14ac:dyDescent="0.45">
      <c r="A1" s="36" t="s">
        <v>195</v>
      </c>
      <c r="B1" s="36" t="s">
        <v>195</v>
      </c>
      <c r="C1" s="36" t="s">
        <v>195</v>
      </c>
      <c r="D1" s="37" t="s">
        <v>195</v>
      </c>
      <c r="E1" s="36" t="s">
        <v>195</v>
      </c>
      <c r="F1" s="36" t="s">
        <v>195</v>
      </c>
      <c r="G1" s="36" t="s">
        <v>195</v>
      </c>
      <c r="H1" s="36" t="s">
        <v>195</v>
      </c>
      <c r="I1" s="36" t="s">
        <v>195</v>
      </c>
      <c r="J1" s="36" t="s">
        <v>195</v>
      </c>
      <c r="K1" s="36" t="s">
        <v>195</v>
      </c>
      <c r="L1" s="36" t="s">
        <v>195</v>
      </c>
      <c r="M1" s="36" t="s">
        <v>195</v>
      </c>
      <c r="N1" s="36" t="s">
        <v>195</v>
      </c>
      <c r="O1" s="36" t="s">
        <v>195</v>
      </c>
      <c r="P1" s="36" t="s">
        <v>195</v>
      </c>
      <c r="Q1" s="36" t="s">
        <v>195</v>
      </c>
    </row>
    <row r="2" spans="1:17" x14ac:dyDescent="0.45">
      <c r="A2" s="36" t="s">
        <v>9</v>
      </c>
      <c r="B2" s="36" t="s">
        <v>6</v>
      </c>
      <c r="C2" s="36" t="s">
        <v>7</v>
      </c>
      <c r="D2" s="37" t="s">
        <v>15</v>
      </c>
      <c r="E2" s="36" t="s">
        <v>14</v>
      </c>
      <c r="F2" s="36" t="s">
        <v>150</v>
      </c>
      <c r="G2" s="36" t="s">
        <v>141</v>
      </c>
      <c r="H2" s="36" t="s">
        <v>140</v>
      </c>
      <c r="I2" s="36" t="s">
        <v>5</v>
      </c>
      <c r="J2" s="36" t="s">
        <v>16</v>
      </c>
      <c r="K2" s="36" t="s">
        <v>17</v>
      </c>
      <c r="L2" s="36" t="s">
        <v>122</v>
      </c>
      <c r="M2" s="36" t="s">
        <v>119</v>
      </c>
      <c r="N2" s="36" t="s">
        <v>125</v>
      </c>
      <c r="O2" s="36" t="s">
        <v>142</v>
      </c>
      <c r="P2" s="36" t="s">
        <v>138</v>
      </c>
    </row>
    <row r="3" spans="1:17" x14ac:dyDescent="0.45">
      <c r="A3" s="35">
        <v>0</v>
      </c>
      <c r="B3" s="32">
        <v>0</v>
      </c>
    </row>
    <row r="4" spans="1:17" x14ac:dyDescent="0.45">
      <c r="A4" s="35">
        <v>1</v>
      </c>
      <c r="B4" s="32">
        <v>-33.6</v>
      </c>
      <c r="C4" s="32">
        <v>-33.6</v>
      </c>
      <c r="D4" s="37">
        <v>3</v>
      </c>
      <c r="E4" s="33">
        <v>0</v>
      </c>
      <c r="F4" s="33">
        <v>1</v>
      </c>
      <c r="G4" s="33">
        <v>0.1</v>
      </c>
      <c r="H4" s="33">
        <v>0.1</v>
      </c>
      <c r="I4" s="34">
        <v>7700</v>
      </c>
      <c r="J4" s="34">
        <v>-3900</v>
      </c>
      <c r="K4" s="33">
        <v>0</v>
      </c>
      <c r="L4" s="33">
        <v>0.1</v>
      </c>
      <c r="M4" s="33">
        <v>0.2</v>
      </c>
      <c r="N4" s="33">
        <v>0</v>
      </c>
      <c r="O4" s="33">
        <v>0.5</v>
      </c>
      <c r="P4" s="33">
        <v>0</v>
      </c>
    </row>
    <row r="5" spans="1:17" x14ac:dyDescent="0.45">
      <c r="A5" s="35">
        <v>2</v>
      </c>
      <c r="B5" s="32">
        <v>-36.9</v>
      </c>
      <c r="C5" s="32">
        <v>-18.45</v>
      </c>
      <c r="D5" s="37">
        <v>2.5</v>
      </c>
      <c r="E5" s="33">
        <v>0</v>
      </c>
      <c r="F5" s="33">
        <v>0.5</v>
      </c>
      <c r="G5" s="33">
        <v>0.1875</v>
      </c>
      <c r="H5" s="33">
        <v>6.25E-2</v>
      </c>
      <c r="I5" s="34">
        <v>5800</v>
      </c>
      <c r="J5" s="34">
        <v>-3900</v>
      </c>
      <c r="K5" s="33">
        <v>0</v>
      </c>
      <c r="L5" s="33">
        <v>0.125</v>
      </c>
      <c r="M5" s="33">
        <v>0.1875</v>
      </c>
      <c r="N5" s="33">
        <v>0.5</v>
      </c>
      <c r="O5" s="33">
        <v>0.33333333333333331</v>
      </c>
      <c r="P5" s="33">
        <v>0</v>
      </c>
    </row>
    <row r="6" spans="1:17" x14ac:dyDescent="0.45">
      <c r="A6" s="35">
        <v>3</v>
      </c>
      <c r="B6" s="32">
        <v>-40.4</v>
      </c>
      <c r="C6" s="32">
        <v>-13.466666666666667</v>
      </c>
      <c r="D6" s="37">
        <v>2.3333333333333335</v>
      </c>
      <c r="E6" s="33">
        <v>0</v>
      </c>
      <c r="F6" s="33">
        <v>0.33333333333333331</v>
      </c>
      <c r="G6" s="33">
        <v>0.14285714285714285</v>
      </c>
      <c r="H6" s="33">
        <v>4.7619047619047616E-2</v>
      </c>
      <c r="I6" s="34">
        <v>5800</v>
      </c>
      <c r="J6" s="34">
        <v>-3900</v>
      </c>
      <c r="K6" s="33">
        <v>0</v>
      </c>
      <c r="L6" s="33">
        <v>9.5238095238095233E-2</v>
      </c>
      <c r="M6" s="33">
        <v>0.23809523809523808</v>
      </c>
      <c r="N6" s="33">
        <v>0.5</v>
      </c>
      <c r="O6" s="33">
        <v>0.2</v>
      </c>
      <c r="P6" s="33">
        <v>0</v>
      </c>
    </row>
  </sheetData>
  <phoneticPr fontId="1"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13FD93-D28D-41B1-A6EE-33F9077CA40E}">
  <sheetPr codeName="Sheet12"/>
  <dimension ref="A1:Q9"/>
  <sheetViews>
    <sheetView workbookViewId="0"/>
  </sheetViews>
  <sheetFormatPr defaultColWidth="10.59765625" defaultRowHeight="18" x14ac:dyDescent="0.45"/>
  <cols>
    <col min="1" max="1" width="10.59765625" style="35"/>
    <col min="2" max="3" width="10.59765625" style="32"/>
    <col min="4" max="4" width="10.59765625" style="37"/>
    <col min="5" max="8" width="10.59765625" style="33"/>
    <col min="9" max="10" width="10.59765625" style="34"/>
    <col min="11" max="16" width="10.59765625" style="33"/>
    <col min="17" max="16384" width="10.59765625" style="36"/>
  </cols>
  <sheetData>
    <row r="1" spans="1:17" x14ac:dyDescent="0.45">
      <c r="A1" s="36" t="s">
        <v>190</v>
      </c>
      <c r="B1" s="36" t="s">
        <v>190</v>
      </c>
      <c r="C1" s="36" t="s">
        <v>190</v>
      </c>
      <c r="D1" s="37" t="s">
        <v>190</v>
      </c>
      <c r="E1" s="36" t="s">
        <v>190</v>
      </c>
      <c r="F1" s="36" t="s">
        <v>190</v>
      </c>
      <c r="G1" s="36" t="s">
        <v>190</v>
      </c>
      <c r="H1" s="36" t="s">
        <v>190</v>
      </c>
      <c r="I1" s="36" t="s">
        <v>190</v>
      </c>
      <c r="J1" s="36" t="s">
        <v>190</v>
      </c>
      <c r="K1" s="36" t="s">
        <v>190</v>
      </c>
      <c r="L1" s="36" t="s">
        <v>190</v>
      </c>
      <c r="M1" s="36" t="s">
        <v>190</v>
      </c>
      <c r="N1" s="36" t="s">
        <v>190</v>
      </c>
      <c r="O1" s="36" t="s">
        <v>190</v>
      </c>
      <c r="P1" s="36" t="s">
        <v>190</v>
      </c>
      <c r="Q1" s="36" t="s">
        <v>190</v>
      </c>
    </row>
    <row r="2" spans="1:17" x14ac:dyDescent="0.45">
      <c r="A2" s="36" t="s">
        <v>9</v>
      </c>
      <c r="B2" s="36" t="s">
        <v>6</v>
      </c>
      <c r="C2" s="36" t="s">
        <v>7</v>
      </c>
      <c r="D2" s="37" t="s">
        <v>15</v>
      </c>
      <c r="E2" s="36" t="s">
        <v>14</v>
      </c>
      <c r="F2" s="36" t="s">
        <v>150</v>
      </c>
      <c r="G2" s="36" t="s">
        <v>141</v>
      </c>
      <c r="H2" s="36" t="s">
        <v>140</v>
      </c>
      <c r="I2" s="36" t="s">
        <v>5</v>
      </c>
      <c r="J2" s="36" t="s">
        <v>16</v>
      </c>
      <c r="K2" s="36" t="s">
        <v>17</v>
      </c>
      <c r="L2" s="36" t="s">
        <v>122</v>
      </c>
      <c r="M2" s="36" t="s">
        <v>119</v>
      </c>
      <c r="N2" s="36" t="s">
        <v>125</v>
      </c>
      <c r="O2" s="36" t="s">
        <v>142</v>
      </c>
      <c r="P2" s="36" t="s">
        <v>138</v>
      </c>
    </row>
    <row r="3" spans="1:17" x14ac:dyDescent="0.45">
      <c r="A3" s="35">
        <v>0</v>
      </c>
      <c r="B3" s="32">
        <v>0</v>
      </c>
    </row>
    <row r="4" spans="1:17" x14ac:dyDescent="0.45">
      <c r="A4" s="35">
        <v>1</v>
      </c>
      <c r="B4" s="32">
        <v>10.1</v>
      </c>
      <c r="C4" s="32">
        <v>10.1</v>
      </c>
      <c r="D4" s="37">
        <v>2</v>
      </c>
      <c r="E4" s="33">
        <v>0</v>
      </c>
      <c r="F4" s="33">
        <v>0</v>
      </c>
      <c r="G4" s="33">
        <v>0.44444444444444442</v>
      </c>
      <c r="H4" s="33">
        <v>0.1111111111111111</v>
      </c>
      <c r="I4" s="34">
        <v>8400</v>
      </c>
      <c r="J4" s="34">
        <v>-8000</v>
      </c>
      <c r="K4" s="33">
        <v>0</v>
      </c>
      <c r="L4" s="33">
        <v>0.22222222222222221</v>
      </c>
      <c r="M4" s="33">
        <v>0.55555555555555558</v>
      </c>
      <c r="N4" s="33">
        <v>0.5</v>
      </c>
      <c r="O4" s="33">
        <v>0.6</v>
      </c>
      <c r="P4" s="33">
        <v>0.75</v>
      </c>
    </row>
    <row r="5" spans="1:17" x14ac:dyDescent="0.45">
      <c r="A5" s="35">
        <v>2</v>
      </c>
      <c r="B5" s="32">
        <v>36.4</v>
      </c>
      <c r="C5" s="32">
        <v>18.2</v>
      </c>
      <c r="D5" s="37">
        <v>2</v>
      </c>
      <c r="E5" s="33">
        <v>0</v>
      </c>
      <c r="F5" s="33">
        <v>0</v>
      </c>
      <c r="G5" s="33">
        <v>0.41176470588235292</v>
      </c>
      <c r="H5" s="33">
        <v>5.8823529411764705E-2</v>
      </c>
      <c r="I5" s="34">
        <v>9028.5714285714294</v>
      </c>
      <c r="J5" s="34">
        <v>-8000</v>
      </c>
      <c r="K5" s="33">
        <v>0</v>
      </c>
      <c r="L5" s="33">
        <v>0.29411764705882354</v>
      </c>
      <c r="M5" s="33">
        <v>0.47058823529411764</v>
      </c>
      <c r="N5" s="33">
        <v>0.4</v>
      </c>
      <c r="O5" s="33">
        <v>0.625</v>
      </c>
      <c r="P5" s="33">
        <v>0.5714285714285714</v>
      </c>
    </row>
    <row r="6" spans="1:17" x14ac:dyDescent="0.45">
      <c r="A6" s="35">
        <v>3</v>
      </c>
      <c r="B6" s="32">
        <v>36.4</v>
      </c>
      <c r="C6" s="32">
        <v>12.133333333333333</v>
      </c>
      <c r="D6" s="37">
        <v>2</v>
      </c>
      <c r="E6" s="33">
        <v>0</v>
      </c>
      <c r="F6" s="33">
        <v>0</v>
      </c>
      <c r="G6" s="33">
        <v>0.4</v>
      </c>
      <c r="H6" s="33">
        <v>0.12</v>
      </c>
      <c r="I6" s="34">
        <v>7780</v>
      </c>
      <c r="J6" s="34">
        <v>-6200</v>
      </c>
      <c r="K6" s="33">
        <v>0</v>
      </c>
      <c r="L6" s="33">
        <v>0.24</v>
      </c>
      <c r="M6" s="33">
        <v>0.52</v>
      </c>
      <c r="N6" s="33">
        <v>0.33333333333333331</v>
      </c>
      <c r="O6" s="33">
        <v>0.53846153846153844</v>
      </c>
      <c r="P6" s="33">
        <v>0.5</v>
      </c>
    </row>
    <row r="7" spans="1:17" x14ac:dyDescent="0.45">
      <c r="A7" s="35">
        <v>4</v>
      </c>
      <c r="B7" s="32">
        <v>13.299999999999997</v>
      </c>
      <c r="C7" s="32">
        <v>3.3249999999999993</v>
      </c>
      <c r="D7" s="37">
        <v>2.25</v>
      </c>
      <c r="E7" s="33">
        <v>0</v>
      </c>
      <c r="F7" s="33">
        <v>0.25</v>
      </c>
      <c r="G7" s="33">
        <v>0.33333333333333331</v>
      </c>
      <c r="H7" s="33">
        <v>0.1111111111111111</v>
      </c>
      <c r="I7" s="34">
        <v>7983.333333333333</v>
      </c>
      <c r="J7" s="34">
        <v>-6575</v>
      </c>
      <c r="K7" s="33">
        <v>0</v>
      </c>
      <c r="L7" s="33">
        <v>0.27777777777777779</v>
      </c>
      <c r="M7" s="33">
        <v>0.44444444444444442</v>
      </c>
      <c r="N7" s="33">
        <v>0.4</v>
      </c>
      <c r="O7" s="33">
        <v>0.4375</v>
      </c>
      <c r="P7" s="33">
        <v>0.5</v>
      </c>
    </row>
    <row r="8" spans="1:17" x14ac:dyDescent="0.45">
      <c r="A8" s="35">
        <v>5</v>
      </c>
      <c r="B8" s="32">
        <v>8.0999999999999979</v>
      </c>
      <c r="C8" s="32">
        <v>1.6199999999999997</v>
      </c>
      <c r="D8" s="37">
        <v>2.2000000000000002</v>
      </c>
      <c r="E8" s="33">
        <v>0</v>
      </c>
      <c r="F8" s="33">
        <v>0.2</v>
      </c>
      <c r="G8" s="33">
        <v>0.32608695652173914</v>
      </c>
      <c r="H8" s="33">
        <v>0.13043478260869565</v>
      </c>
      <c r="I8" s="34">
        <v>8240</v>
      </c>
      <c r="J8" s="34">
        <v>-7550</v>
      </c>
      <c r="K8" s="33">
        <v>0</v>
      </c>
      <c r="L8" s="33">
        <v>0.2608695652173913</v>
      </c>
      <c r="M8" s="33">
        <v>0.43478260869565216</v>
      </c>
      <c r="N8" s="33">
        <v>0.41666666666666669</v>
      </c>
      <c r="O8" s="33">
        <v>0.4</v>
      </c>
      <c r="P8" s="33">
        <v>0.53333333333333333</v>
      </c>
    </row>
    <row r="9" spans="1:17" x14ac:dyDescent="0.45">
      <c r="A9" s="35">
        <v>6</v>
      </c>
      <c r="B9" s="32">
        <v>24.7</v>
      </c>
      <c r="C9" s="32">
        <v>4.1166666666666663</v>
      </c>
      <c r="D9" s="37">
        <v>2</v>
      </c>
      <c r="E9" s="33">
        <v>0.16666666666666666</v>
      </c>
      <c r="F9" s="33">
        <v>0.16666666666666666</v>
      </c>
      <c r="G9" s="33">
        <v>0.33962264150943394</v>
      </c>
      <c r="H9" s="33">
        <v>0.13207547169811321</v>
      </c>
      <c r="I9" s="34">
        <v>8355.5555555555547</v>
      </c>
      <c r="J9" s="34">
        <v>-7571.4285714285716</v>
      </c>
      <c r="K9" s="33">
        <v>0</v>
      </c>
      <c r="L9" s="33">
        <v>0.28301886792452829</v>
      </c>
      <c r="M9" s="33">
        <v>0.43396226415094341</v>
      </c>
      <c r="N9" s="33">
        <v>0.46666666666666667</v>
      </c>
      <c r="O9" s="33">
        <v>0.39130434782608697</v>
      </c>
      <c r="P9" s="33">
        <v>0.55555555555555558</v>
      </c>
    </row>
  </sheetData>
  <phoneticPr fontId="1"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7D12BE-AE58-4C91-B0FE-B05CE8E248CF}">
  <sheetPr codeName="Sheet10"/>
  <dimension ref="A1:Q9"/>
  <sheetViews>
    <sheetView workbookViewId="0"/>
  </sheetViews>
  <sheetFormatPr defaultColWidth="10.59765625" defaultRowHeight="18" x14ac:dyDescent="0.45"/>
  <cols>
    <col min="1" max="1" width="10.59765625" style="35"/>
    <col min="2" max="3" width="10.59765625" style="32"/>
    <col min="4" max="4" width="10.59765625" style="37"/>
    <col min="5" max="8" width="10.59765625" style="33"/>
    <col min="9" max="10" width="10.59765625" style="34"/>
    <col min="11" max="16" width="10.59765625" style="33"/>
    <col min="17" max="16384" width="10.59765625" style="36"/>
  </cols>
  <sheetData>
    <row r="1" spans="1:17" x14ac:dyDescent="0.45">
      <c r="A1" s="36" t="s">
        <v>164</v>
      </c>
      <c r="B1" s="36" t="s">
        <v>164</v>
      </c>
      <c r="C1" s="36" t="s">
        <v>164</v>
      </c>
      <c r="D1" s="37" t="s">
        <v>164</v>
      </c>
      <c r="E1" s="36" t="s">
        <v>164</v>
      </c>
      <c r="F1" s="36" t="s">
        <v>164</v>
      </c>
      <c r="G1" s="36" t="s">
        <v>164</v>
      </c>
      <c r="H1" s="36" t="s">
        <v>164</v>
      </c>
      <c r="I1" s="36" t="s">
        <v>164</v>
      </c>
      <c r="J1" s="36" t="s">
        <v>164</v>
      </c>
      <c r="K1" s="36" t="s">
        <v>164</v>
      </c>
      <c r="L1" s="36" t="s">
        <v>164</v>
      </c>
      <c r="M1" s="36" t="s">
        <v>164</v>
      </c>
      <c r="N1" s="36" t="s">
        <v>164</v>
      </c>
      <c r="O1" s="36" t="s">
        <v>164</v>
      </c>
      <c r="P1" s="36" t="s">
        <v>164</v>
      </c>
      <c r="Q1" s="36" t="s">
        <v>164</v>
      </c>
    </row>
    <row r="2" spans="1:17" x14ac:dyDescent="0.45">
      <c r="A2" s="36" t="s">
        <v>9</v>
      </c>
      <c r="B2" s="36" t="s">
        <v>6</v>
      </c>
      <c r="C2" s="36" t="s">
        <v>7</v>
      </c>
      <c r="D2" s="37" t="s">
        <v>15</v>
      </c>
      <c r="E2" s="36" t="s">
        <v>14</v>
      </c>
      <c r="F2" s="36" t="s">
        <v>150</v>
      </c>
      <c r="G2" s="36" t="s">
        <v>141</v>
      </c>
      <c r="H2" s="36" t="s">
        <v>140</v>
      </c>
      <c r="I2" s="36" t="s">
        <v>5</v>
      </c>
      <c r="J2" s="36" t="s">
        <v>16</v>
      </c>
      <c r="K2" s="36" t="s">
        <v>17</v>
      </c>
      <c r="L2" s="36" t="s">
        <v>122</v>
      </c>
      <c r="M2" s="36" t="s">
        <v>119</v>
      </c>
      <c r="N2" s="36" t="s">
        <v>125</v>
      </c>
      <c r="O2" s="36" t="s">
        <v>142</v>
      </c>
      <c r="P2" s="36" t="s">
        <v>138</v>
      </c>
    </row>
    <row r="3" spans="1:17" x14ac:dyDescent="0.45">
      <c r="A3" s="35">
        <v>0</v>
      </c>
      <c r="B3" s="32">
        <v>0</v>
      </c>
    </row>
    <row r="4" spans="1:17" x14ac:dyDescent="0.45">
      <c r="A4" s="35">
        <v>1</v>
      </c>
      <c r="B4" s="32">
        <v>-31</v>
      </c>
      <c r="C4" s="32">
        <v>-31</v>
      </c>
      <c r="D4" s="37">
        <v>3</v>
      </c>
      <c r="E4" s="33">
        <v>0</v>
      </c>
      <c r="F4" s="33">
        <v>1</v>
      </c>
      <c r="G4" s="33">
        <v>0.22222222222222221</v>
      </c>
      <c r="H4" s="33">
        <v>0.1111111111111111</v>
      </c>
      <c r="I4" s="34">
        <v>7950</v>
      </c>
      <c r="J4" s="34">
        <v>-12000</v>
      </c>
      <c r="K4" s="33">
        <v>0</v>
      </c>
      <c r="L4" s="33">
        <v>0.22222222222222221</v>
      </c>
      <c r="M4" s="33">
        <v>0.1111111111111111</v>
      </c>
      <c r="N4" s="33">
        <v>0.5</v>
      </c>
      <c r="O4" s="33">
        <v>1</v>
      </c>
      <c r="P4" s="33">
        <v>0.5</v>
      </c>
    </row>
    <row r="5" spans="1:17" x14ac:dyDescent="0.45">
      <c r="A5" s="35">
        <v>2</v>
      </c>
      <c r="B5" s="32">
        <v>-98.9</v>
      </c>
      <c r="C5" s="32">
        <v>-49.45</v>
      </c>
      <c r="D5" s="37">
        <v>3</v>
      </c>
      <c r="E5" s="33">
        <v>0</v>
      </c>
      <c r="F5" s="33">
        <v>1</v>
      </c>
      <c r="G5" s="33">
        <v>0.17647058823529413</v>
      </c>
      <c r="H5" s="33">
        <v>0.17647058823529413</v>
      </c>
      <c r="I5" s="34">
        <v>9300</v>
      </c>
      <c r="J5" s="34">
        <v>-23866.666666666668</v>
      </c>
      <c r="K5" s="33">
        <v>0.5</v>
      </c>
      <c r="L5" s="33">
        <v>0.29411764705882354</v>
      </c>
      <c r="M5" s="33">
        <v>0.11764705882352941</v>
      </c>
      <c r="N5" s="33">
        <v>0.4</v>
      </c>
      <c r="O5" s="33">
        <v>0.5</v>
      </c>
      <c r="P5" s="33">
        <v>0.33333333333333331</v>
      </c>
    </row>
    <row r="6" spans="1:17" x14ac:dyDescent="0.45">
      <c r="A6" s="35">
        <v>3</v>
      </c>
      <c r="B6" s="32">
        <v>-65.300000000000011</v>
      </c>
      <c r="C6" s="32">
        <v>-21.766666666666669</v>
      </c>
      <c r="D6" s="37">
        <v>2.3333333333333335</v>
      </c>
      <c r="E6" s="33">
        <v>0.33333333333333331</v>
      </c>
      <c r="F6" s="33">
        <v>0.66666666666666663</v>
      </c>
      <c r="G6" s="33">
        <v>0.30769230769230771</v>
      </c>
      <c r="H6" s="33">
        <v>0.15384615384615385</v>
      </c>
      <c r="I6" s="34">
        <v>7312.5</v>
      </c>
      <c r="J6" s="34">
        <v>-20900</v>
      </c>
      <c r="K6" s="33">
        <v>0.33333333333333331</v>
      </c>
      <c r="L6" s="33">
        <v>0.19230769230769232</v>
      </c>
      <c r="M6" s="33">
        <v>0.23076923076923078</v>
      </c>
      <c r="N6" s="33">
        <v>0.4</v>
      </c>
      <c r="O6" s="33">
        <v>0.5</v>
      </c>
      <c r="P6" s="33">
        <v>0.375</v>
      </c>
    </row>
    <row r="7" spans="1:17" x14ac:dyDescent="0.45">
      <c r="A7" s="35">
        <v>4</v>
      </c>
      <c r="B7" s="32">
        <v>-99.700000000000017</v>
      </c>
      <c r="C7" s="32">
        <v>-24.925000000000004</v>
      </c>
      <c r="D7" s="37">
        <v>2.5</v>
      </c>
      <c r="E7" s="33">
        <v>0.25</v>
      </c>
      <c r="F7" s="33">
        <v>0.75</v>
      </c>
      <c r="G7" s="33">
        <v>0.25</v>
      </c>
      <c r="H7" s="33">
        <v>0.15625</v>
      </c>
      <c r="I7" s="34">
        <v>7312.5</v>
      </c>
      <c r="J7" s="34">
        <v>-18260</v>
      </c>
      <c r="K7" s="33">
        <v>0.25</v>
      </c>
      <c r="L7" s="33">
        <v>0.15625</v>
      </c>
      <c r="M7" s="33">
        <v>0.28125</v>
      </c>
      <c r="N7" s="33">
        <v>0.4</v>
      </c>
      <c r="O7" s="33">
        <v>0.33333333333333331</v>
      </c>
      <c r="P7" s="33">
        <v>0.375</v>
      </c>
    </row>
    <row r="8" spans="1:17" x14ac:dyDescent="0.45">
      <c r="A8" s="35">
        <v>5</v>
      </c>
      <c r="B8" s="32">
        <v>-132.90000000000003</v>
      </c>
      <c r="C8" s="32">
        <v>-26.580000000000005</v>
      </c>
      <c r="D8" s="37">
        <v>2.6</v>
      </c>
      <c r="E8" s="33">
        <v>0.2</v>
      </c>
      <c r="F8" s="33">
        <v>0.8</v>
      </c>
      <c r="G8" s="33">
        <v>0.22222222222222221</v>
      </c>
      <c r="H8" s="33">
        <v>0.2</v>
      </c>
      <c r="I8" s="34">
        <v>7340</v>
      </c>
      <c r="J8" s="34">
        <v>-12566.666666666666</v>
      </c>
      <c r="K8" s="33">
        <v>0.2</v>
      </c>
      <c r="L8" s="33">
        <v>0.22222222222222221</v>
      </c>
      <c r="M8" s="33">
        <v>0.28888888888888886</v>
      </c>
      <c r="N8" s="33">
        <v>0.3</v>
      </c>
      <c r="O8" s="33">
        <v>0.30769230769230771</v>
      </c>
      <c r="P8" s="33">
        <v>0.3</v>
      </c>
    </row>
    <row r="9" spans="1:17" x14ac:dyDescent="0.45">
      <c r="A9" s="35">
        <v>6</v>
      </c>
      <c r="B9" s="32">
        <v>-182.90000000000003</v>
      </c>
      <c r="C9" s="32">
        <v>-30.483333333333338</v>
      </c>
      <c r="D9" s="37">
        <v>2.6666666666666665</v>
      </c>
      <c r="E9" s="33">
        <v>0.16666666666666666</v>
      </c>
      <c r="F9" s="33">
        <v>0.83333333333333337</v>
      </c>
      <c r="G9" s="33">
        <v>0.19607843137254902</v>
      </c>
      <c r="H9" s="33">
        <v>0.21568627450980393</v>
      </c>
      <c r="I9" s="34">
        <v>7340</v>
      </c>
      <c r="J9" s="34">
        <v>-12463.636363636364</v>
      </c>
      <c r="K9" s="33">
        <v>0.33333333333333331</v>
      </c>
      <c r="L9" s="33">
        <v>0.21568627450980393</v>
      </c>
      <c r="M9" s="33">
        <v>0.25490196078431371</v>
      </c>
      <c r="N9" s="33">
        <v>0.27272727272727271</v>
      </c>
      <c r="O9" s="33">
        <v>0.30769230769230771</v>
      </c>
      <c r="P9" s="33">
        <v>0.3</v>
      </c>
    </row>
  </sheetData>
  <phoneticPr fontId="1"/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08ECC0-EC3D-4766-918B-0393B02DE824}">
  <sheetPr codeName="Sheet8"/>
  <dimension ref="A1:Q19"/>
  <sheetViews>
    <sheetView workbookViewId="0"/>
  </sheetViews>
  <sheetFormatPr defaultColWidth="10.59765625" defaultRowHeight="18" x14ac:dyDescent="0.45"/>
  <cols>
    <col min="1" max="1" width="10.59765625" style="35"/>
    <col min="2" max="3" width="10.59765625" style="32"/>
    <col min="4" max="4" width="10.59765625" style="37"/>
    <col min="5" max="8" width="10.59765625" style="33"/>
    <col min="9" max="10" width="10.59765625" style="34"/>
    <col min="11" max="16" width="10.59765625" style="33"/>
    <col min="17" max="16384" width="10.59765625" style="36"/>
  </cols>
  <sheetData>
    <row r="1" spans="1:17" x14ac:dyDescent="0.45">
      <c r="A1" s="36" t="s">
        <v>126</v>
      </c>
      <c r="B1" s="36" t="s">
        <v>126</v>
      </c>
      <c r="C1" s="36" t="s">
        <v>126</v>
      </c>
      <c r="D1" s="37" t="s">
        <v>126</v>
      </c>
      <c r="E1" s="36" t="s">
        <v>126</v>
      </c>
      <c r="F1" s="36" t="s">
        <v>126</v>
      </c>
      <c r="G1" s="36" t="s">
        <v>126</v>
      </c>
      <c r="H1" s="36" t="s">
        <v>126</v>
      </c>
      <c r="I1" s="36" t="s">
        <v>126</v>
      </c>
      <c r="J1" s="36" t="s">
        <v>126</v>
      </c>
      <c r="K1" s="36" t="s">
        <v>126</v>
      </c>
      <c r="L1" s="36" t="s">
        <v>126</v>
      </c>
      <c r="M1" s="36" t="s">
        <v>126</v>
      </c>
      <c r="N1" s="36" t="s">
        <v>126</v>
      </c>
      <c r="O1" s="36" t="s">
        <v>126</v>
      </c>
      <c r="P1" s="36" t="s">
        <v>126</v>
      </c>
      <c r="Q1" s="36" t="s">
        <v>126</v>
      </c>
    </row>
    <row r="2" spans="1:17" x14ac:dyDescent="0.45">
      <c r="A2" s="36" t="s">
        <v>9</v>
      </c>
      <c r="B2" s="36" t="s">
        <v>6</v>
      </c>
      <c r="C2" s="36" t="s">
        <v>7</v>
      </c>
      <c r="D2" s="37" t="s">
        <v>15</v>
      </c>
      <c r="E2" s="36" t="s">
        <v>14</v>
      </c>
      <c r="F2" s="36" t="s">
        <v>150</v>
      </c>
      <c r="G2" s="36" t="s">
        <v>141</v>
      </c>
      <c r="H2" s="36" t="s">
        <v>140</v>
      </c>
      <c r="I2" s="36" t="s">
        <v>5</v>
      </c>
      <c r="J2" s="36" t="s">
        <v>16</v>
      </c>
      <c r="K2" s="36" t="s">
        <v>17</v>
      </c>
      <c r="L2" s="36" t="s">
        <v>122</v>
      </c>
      <c r="M2" s="36" t="s">
        <v>119</v>
      </c>
      <c r="N2" s="36" t="s">
        <v>125</v>
      </c>
      <c r="O2" s="36" t="s">
        <v>142</v>
      </c>
      <c r="P2" s="36" t="s">
        <v>138</v>
      </c>
    </row>
    <row r="3" spans="1:17" x14ac:dyDescent="0.45">
      <c r="A3" s="35">
        <v>0</v>
      </c>
      <c r="B3" s="32">
        <v>0</v>
      </c>
    </row>
    <row r="4" spans="1:17" x14ac:dyDescent="0.45">
      <c r="A4" s="35">
        <v>1</v>
      </c>
      <c r="B4" s="32">
        <v>20.9</v>
      </c>
      <c r="C4" s="32">
        <v>20.9</v>
      </c>
      <c r="D4" s="37">
        <v>1</v>
      </c>
      <c r="E4" s="33">
        <v>1</v>
      </c>
      <c r="F4" s="33">
        <v>0</v>
      </c>
      <c r="G4" s="33">
        <v>0.33333333333333331</v>
      </c>
      <c r="H4" s="33">
        <v>0.1111111111111111</v>
      </c>
      <c r="I4" s="34">
        <v>10666.666666666666</v>
      </c>
      <c r="J4" s="34">
        <v>-3900</v>
      </c>
      <c r="K4" s="33">
        <v>0</v>
      </c>
      <c r="L4" s="33">
        <v>0.22222222222222221</v>
      </c>
      <c r="M4" s="33">
        <v>0.22222222222222221</v>
      </c>
      <c r="N4" s="33">
        <v>0.5</v>
      </c>
      <c r="O4" s="33">
        <v>0.5</v>
      </c>
      <c r="P4" s="33">
        <v>0.66666666666666663</v>
      </c>
    </row>
    <row r="5" spans="1:17" x14ac:dyDescent="0.45">
      <c r="A5" s="35">
        <v>2</v>
      </c>
      <c r="B5" s="32">
        <v>62.5</v>
      </c>
      <c r="C5" s="32">
        <v>31.25</v>
      </c>
      <c r="D5" s="37">
        <v>1</v>
      </c>
      <c r="E5" s="33">
        <v>1</v>
      </c>
      <c r="F5" s="33">
        <v>0</v>
      </c>
      <c r="G5" s="33">
        <v>0.35294117647058826</v>
      </c>
      <c r="H5" s="33">
        <v>0.17647058823529413</v>
      </c>
      <c r="I5" s="34">
        <v>14266.666666666666</v>
      </c>
      <c r="J5" s="34">
        <v>-5966.666666666667</v>
      </c>
      <c r="K5" s="33">
        <v>0</v>
      </c>
      <c r="L5" s="33">
        <v>0.17647058823529413</v>
      </c>
      <c r="M5" s="33">
        <v>0.35294117647058826</v>
      </c>
      <c r="N5" s="33">
        <v>0.33333333333333331</v>
      </c>
      <c r="O5" s="33">
        <v>0.5</v>
      </c>
      <c r="P5" s="33">
        <v>0.66666666666666663</v>
      </c>
    </row>
    <row r="6" spans="1:17" x14ac:dyDescent="0.45">
      <c r="A6" s="35">
        <v>3</v>
      </c>
      <c r="B6" s="32">
        <v>40.5</v>
      </c>
      <c r="C6" s="32">
        <v>13.5</v>
      </c>
      <c r="D6" s="37">
        <v>1.3333333333333333</v>
      </c>
      <c r="E6" s="33">
        <v>0.66666666666666663</v>
      </c>
      <c r="F6" s="33">
        <v>0</v>
      </c>
      <c r="G6" s="33">
        <v>0.25925925925925924</v>
      </c>
      <c r="H6" s="33">
        <v>0.1111111111111111</v>
      </c>
      <c r="I6" s="34">
        <v>12628.571428571429</v>
      </c>
      <c r="J6" s="34">
        <v>-5966.666666666667</v>
      </c>
      <c r="K6" s="33">
        <v>0</v>
      </c>
      <c r="L6" s="33">
        <v>0.25925925925925924</v>
      </c>
      <c r="M6" s="33">
        <v>0.22222222222222221</v>
      </c>
      <c r="N6" s="33">
        <v>0.2857142857142857</v>
      </c>
      <c r="O6" s="33">
        <v>0.5</v>
      </c>
      <c r="P6" s="33">
        <v>0.7142857142857143</v>
      </c>
    </row>
    <row r="7" spans="1:17" x14ac:dyDescent="0.45">
      <c r="A7" s="35">
        <v>4</v>
      </c>
      <c r="B7" s="32">
        <v>74.5</v>
      </c>
      <c r="C7" s="32">
        <v>18.625</v>
      </c>
      <c r="D7" s="37">
        <v>1.25</v>
      </c>
      <c r="E7" s="33">
        <v>0.75</v>
      </c>
      <c r="F7" s="33">
        <v>0</v>
      </c>
      <c r="G7" s="33">
        <v>0.30303030303030304</v>
      </c>
      <c r="H7" s="33">
        <v>0.12121212121212122</v>
      </c>
      <c r="I7" s="34">
        <v>11640</v>
      </c>
      <c r="J7" s="34">
        <v>-4975</v>
      </c>
      <c r="K7" s="33">
        <v>0</v>
      </c>
      <c r="L7" s="33">
        <v>0.27272727272727271</v>
      </c>
      <c r="M7" s="33">
        <v>0.21212121212121213</v>
      </c>
      <c r="N7" s="33">
        <v>0.44444444444444442</v>
      </c>
      <c r="O7" s="33">
        <v>0.42857142857142855</v>
      </c>
      <c r="P7" s="33">
        <v>0.8</v>
      </c>
    </row>
    <row r="8" spans="1:17" x14ac:dyDescent="0.45">
      <c r="A8" s="35">
        <v>5</v>
      </c>
      <c r="B8" s="32">
        <v>123.5</v>
      </c>
      <c r="C8" s="32">
        <v>24.7</v>
      </c>
      <c r="D8" s="37">
        <v>1.2</v>
      </c>
      <c r="E8" s="33">
        <v>0.8</v>
      </c>
      <c r="F8" s="33">
        <v>0</v>
      </c>
      <c r="G8" s="33">
        <v>0.34210526315789475</v>
      </c>
      <c r="H8" s="33">
        <v>0.10526315789473684</v>
      </c>
      <c r="I8" s="34">
        <v>11723.076923076924</v>
      </c>
      <c r="J8" s="34">
        <v>-4975</v>
      </c>
      <c r="K8" s="33">
        <v>0</v>
      </c>
      <c r="L8" s="33">
        <v>0.23684210526315788</v>
      </c>
      <c r="M8" s="33">
        <v>0.23684210526315788</v>
      </c>
      <c r="N8" s="33">
        <v>0.44444444444444442</v>
      </c>
      <c r="O8" s="33">
        <v>0.55555555555555558</v>
      </c>
      <c r="P8" s="33">
        <v>0.69230769230769229</v>
      </c>
    </row>
    <row r="9" spans="1:17" x14ac:dyDescent="0.45">
      <c r="A9" s="35">
        <v>6</v>
      </c>
      <c r="B9" s="32">
        <v>111.9</v>
      </c>
      <c r="C9" s="32">
        <v>18.650000000000002</v>
      </c>
      <c r="D9" s="37">
        <v>1.5</v>
      </c>
      <c r="E9" s="33">
        <v>0.66666666666666663</v>
      </c>
      <c r="F9" s="33">
        <v>0.16666666666666666</v>
      </c>
      <c r="G9" s="33">
        <v>0.30434782608695654</v>
      </c>
      <c r="H9" s="33">
        <v>0.15217391304347827</v>
      </c>
      <c r="I9" s="34">
        <v>11457.142857142857</v>
      </c>
      <c r="J9" s="34">
        <v>-4642.8571428571431</v>
      </c>
      <c r="K9" s="33">
        <v>0</v>
      </c>
      <c r="L9" s="33">
        <v>0.2391304347826087</v>
      </c>
      <c r="M9" s="33">
        <v>0.2391304347826087</v>
      </c>
      <c r="N9" s="33">
        <v>0.36363636363636365</v>
      </c>
      <c r="O9" s="33">
        <v>0.54545454545454541</v>
      </c>
      <c r="P9" s="33">
        <v>0.6428571428571429</v>
      </c>
    </row>
    <row r="10" spans="1:17" x14ac:dyDescent="0.45">
      <c r="A10" s="35">
        <v>7</v>
      </c>
      <c r="B10" s="32">
        <v>103.7</v>
      </c>
      <c r="C10" s="32">
        <v>14.814285714285715</v>
      </c>
      <c r="D10" s="37">
        <v>1.5714285714285714</v>
      </c>
      <c r="E10" s="33">
        <v>0.5714285714285714</v>
      </c>
      <c r="F10" s="33">
        <v>0.14285714285714285</v>
      </c>
      <c r="G10" s="33">
        <v>0.2982456140350877</v>
      </c>
      <c r="H10" s="33">
        <v>0.14035087719298245</v>
      </c>
      <c r="I10" s="34">
        <v>10476.470588235294</v>
      </c>
      <c r="J10" s="34">
        <v>-4550</v>
      </c>
      <c r="K10" s="33">
        <v>0</v>
      </c>
      <c r="L10" s="33">
        <v>0.22807017543859648</v>
      </c>
      <c r="M10" s="33">
        <v>0.22807017543859648</v>
      </c>
      <c r="N10" s="33">
        <v>0.38461538461538464</v>
      </c>
      <c r="O10" s="33">
        <v>0.61538461538461542</v>
      </c>
      <c r="P10" s="33">
        <v>0.70588235294117652</v>
      </c>
    </row>
    <row r="11" spans="1:17" x14ac:dyDescent="0.45">
      <c r="A11" s="35">
        <v>8</v>
      </c>
      <c r="B11" s="32">
        <v>140.6</v>
      </c>
      <c r="C11" s="32">
        <v>17.574999999999999</v>
      </c>
      <c r="D11" s="37">
        <v>1.5</v>
      </c>
      <c r="E11" s="33">
        <v>0.625</v>
      </c>
      <c r="F11" s="33">
        <v>0.125</v>
      </c>
      <c r="G11" s="33">
        <v>0.29411764705882354</v>
      </c>
      <c r="H11" s="33">
        <v>0.13235294117647059</v>
      </c>
      <c r="I11" s="34">
        <v>11005</v>
      </c>
      <c r="J11" s="34">
        <v>-5377.7777777777774</v>
      </c>
      <c r="K11" s="33">
        <v>0</v>
      </c>
      <c r="L11" s="33">
        <v>0.22058823529411764</v>
      </c>
      <c r="M11" s="33">
        <v>0.23529411764705882</v>
      </c>
      <c r="N11" s="33">
        <v>0.4</v>
      </c>
      <c r="O11" s="33">
        <v>0.5625</v>
      </c>
      <c r="P11" s="33">
        <v>0.7</v>
      </c>
    </row>
    <row r="12" spans="1:17" x14ac:dyDescent="0.45">
      <c r="A12" s="35">
        <v>9</v>
      </c>
      <c r="B12" s="32">
        <v>127.8</v>
      </c>
      <c r="C12" s="32">
        <v>14.2</v>
      </c>
      <c r="D12" s="37">
        <v>1.5555555555555556</v>
      </c>
      <c r="E12" s="33">
        <v>0.55555555555555558</v>
      </c>
      <c r="F12" s="33">
        <v>0.1111111111111111</v>
      </c>
      <c r="G12" s="33">
        <v>0.28000000000000003</v>
      </c>
      <c r="H12" s="33">
        <v>0.12</v>
      </c>
      <c r="I12" s="34">
        <v>10666.666666666666</v>
      </c>
      <c r="J12" s="34">
        <v>-5377.7777777777774</v>
      </c>
      <c r="K12" s="33">
        <v>0</v>
      </c>
      <c r="L12" s="33">
        <v>0.22666666666666666</v>
      </c>
      <c r="M12" s="33">
        <v>0.22666666666666666</v>
      </c>
      <c r="N12" s="33">
        <v>0.35294117647058826</v>
      </c>
      <c r="O12" s="33">
        <v>0.52941176470588236</v>
      </c>
      <c r="P12" s="33">
        <v>0.66666666666666663</v>
      </c>
    </row>
    <row r="13" spans="1:17" x14ac:dyDescent="0.45">
      <c r="A13" s="35">
        <v>10</v>
      </c>
      <c r="B13" s="32">
        <v>134.4</v>
      </c>
      <c r="C13" s="32">
        <v>13.440000000000001</v>
      </c>
      <c r="D13" s="37">
        <v>1.6</v>
      </c>
      <c r="E13" s="33">
        <v>0.5</v>
      </c>
      <c r="F13" s="33">
        <v>0.1</v>
      </c>
      <c r="G13" s="33">
        <v>0.28409090909090912</v>
      </c>
      <c r="H13" s="33">
        <v>0.125</v>
      </c>
      <c r="I13" s="34">
        <v>10080</v>
      </c>
      <c r="J13" s="34">
        <v>-5754.545454545455</v>
      </c>
      <c r="K13" s="33">
        <v>0</v>
      </c>
      <c r="L13" s="33">
        <v>0.22727272727272727</v>
      </c>
      <c r="M13" s="33">
        <v>0.25</v>
      </c>
      <c r="N13" s="33">
        <v>0.4</v>
      </c>
      <c r="O13" s="33">
        <v>0.5</v>
      </c>
      <c r="P13" s="33">
        <v>0.68</v>
      </c>
    </row>
    <row r="14" spans="1:17" x14ac:dyDescent="0.45">
      <c r="A14" s="35">
        <v>11</v>
      </c>
      <c r="B14" s="32">
        <v>212.4</v>
      </c>
      <c r="C14" s="32">
        <v>19.309090909090909</v>
      </c>
      <c r="D14" s="37">
        <v>1.5454545454545454</v>
      </c>
      <c r="E14" s="33">
        <v>0.54545454545454541</v>
      </c>
      <c r="F14" s="33">
        <v>9.0909090909090912E-2</v>
      </c>
      <c r="G14" s="33">
        <v>0.32978723404255317</v>
      </c>
      <c r="H14" s="33">
        <v>0.11702127659574468</v>
      </c>
      <c r="I14" s="34">
        <v>9967.7419354838712</v>
      </c>
      <c r="J14" s="34">
        <v>-5754.545454545455</v>
      </c>
      <c r="K14" s="33">
        <v>0</v>
      </c>
      <c r="L14" s="33">
        <v>0.24468085106382978</v>
      </c>
      <c r="M14" s="33">
        <v>0.25531914893617019</v>
      </c>
      <c r="N14" s="33">
        <v>0.47826086956521741</v>
      </c>
      <c r="O14" s="33">
        <v>0.54166666666666663</v>
      </c>
      <c r="P14" s="33">
        <v>0.64516129032258063</v>
      </c>
    </row>
    <row r="15" spans="1:17" x14ac:dyDescent="0.45">
      <c r="A15" s="35">
        <v>12</v>
      </c>
      <c r="B15" s="32">
        <v>239</v>
      </c>
      <c r="C15" s="32">
        <v>19.916666666666668</v>
      </c>
      <c r="D15" s="37">
        <v>1.5</v>
      </c>
      <c r="E15" s="33">
        <v>0.58333333333333337</v>
      </c>
      <c r="F15" s="33">
        <v>8.3333333333333329E-2</v>
      </c>
      <c r="G15" s="33">
        <v>0.34615384615384615</v>
      </c>
      <c r="H15" s="33">
        <v>0.125</v>
      </c>
      <c r="I15" s="34">
        <v>9775</v>
      </c>
      <c r="J15" s="34">
        <v>-6238.4615384615381</v>
      </c>
      <c r="K15" s="33">
        <v>0</v>
      </c>
      <c r="L15" s="33">
        <v>0.24038461538461539</v>
      </c>
      <c r="M15" s="33">
        <v>0.25961538461538464</v>
      </c>
      <c r="N15" s="33">
        <v>0.48</v>
      </c>
      <c r="O15" s="33">
        <v>0.55555555555555558</v>
      </c>
      <c r="P15" s="33">
        <v>0.61111111111111116</v>
      </c>
    </row>
    <row r="16" spans="1:17" x14ac:dyDescent="0.45">
      <c r="A16" s="35">
        <v>13</v>
      </c>
      <c r="B16" s="32">
        <v>236</v>
      </c>
      <c r="C16" s="32">
        <v>18.153846153846153</v>
      </c>
      <c r="D16" s="37">
        <v>1.5384615384615385</v>
      </c>
      <c r="E16" s="33">
        <v>0.53846153846153844</v>
      </c>
      <c r="F16" s="33">
        <v>7.6923076923076927E-2</v>
      </c>
      <c r="G16" s="33">
        <v>0.34234234234234234</v>
      </c>
      <c r="H16" s="33">
        <v>0.12612612612612611</v>
      </c>
      <c r="I16" s="34">
        <v>9778.9473684210534</v>
      </c>
      <c r="J16" s="34">
        <v>-6364.2857142857147</v>
      </c>
      <c r="K16" s="33">
        <v>0</v>
      </c>
      <c r="L16" s="33">
        <v>0.24324324324324326</v>
      </c>
      <c r="M16" s="33">
        <v>0.26126126126126126</v>
      </c>
      <c r="N16" s="33">
        <v>0.48148148148148145</v>
      </c>
      <c r="O16" s="33">
        <v>0.55172413793103448</v>
      </c>
      <c r="P16" s="33">
        <v>0.60526315789473684</v>
      </c>
    </row>
    <row r="17" spans="1:16" x14ac:dyDescent="0.45">
      <c r="A17" s="35">
        <v>14</v>
      </c>
      <c r="B17" s="32">
        <v>222</v>
      </c>
      <c r="C17" s="32">
        <v>15.857142857142858</v>
      </c>
      <c r="D17" s="37">
        <v>1.5714285714285714</v>
      </c>
      <c r="E17" s="33">
        <v>0.5</v>
      </c>
      <c r="F17" s="33">
        <v>7.1428571428571425E-2</v>
      </c>
      <c r="G17" s="33">
        <v>0.33050847457627119</v>
      </c>
      <c r="H17" s="33">
        <v>0.11864406779661017</v>
      </c>
      <c r="I17" s="34">
        <v>9589.7435897435898</v>
      </c>
      <c r="J17" s="34">
        <v>-6364.2857142857147</v>
      </c>
      <c r="K17" s="33">
        <v>0</v>
      </c>
      <c r="L17" s="33">
        <v>0.23728813559322035</v>
      </c>
      <c r="M17" s="33">
        <v>0.25423728813559321</v>
      </c>
      <c r="N17" s="33">
        <v>0.5</v>
      </c>
      <c r="O17" s="33">
        <v>0.53333333333333333</v>
      </c>
      <c r="P17" s="33">
        <v>0.58974358974358976</v>
      </c>
    </row>
    <row r="18" spans="1:16" x14ac:dyDescent="0.45">
      <c r="A18" s="35">
        <v>15</v>
      </c>
      <c r="B18" s="32">
        <v>190.9</v>
      </c>
      <c r="C18" s="32">
        <v>12.726666666666667</v>
      </c>
      <c r="D18" s="37">
        <v>1.6666666666666667</v>
      </c>
      <c r="E18" s="33">
        <v>0.46666666666666667</v>
      </c>
      <c r="F18" s="33">
        <v>0.13333333333333333</v>
      </c>
      <c r="G18" s="33">
        <v>0.34399999999999997</v>
      </c>
      <c r="H18" s="33">
        <v>0.12</v>
      </c>
      <c r="I18" s="34">
        <v>9148.8372093023263</v>
      </c>
      <c r="J18" s="34">
        <v>-7540</v>
      </c>
      <c r="K18" s="33">
        <v>0</v>
      </c>
      <c r="L18" s="33">
        <v>0.25600000000000001</v>
      </c>
      <c r="M18" s="33">
        <v>0.24</v>
      </c>
      <c r="N18" s="33">
        <v>0.53125</v>
      </c>
      <c r="O18" s="33">
        <v>0.53333333333333333</v>
      </c>
      <c r="P18" s="33">
        <v>0.53488372093023251</v>
      </c>
    </row>
    <row r="19" spans="1:16" x14ac:dyDescent="0.45">
      <c r="A19" s="35">
        <v>16</v>
      </c>
      <c r="B19" s="32">
        <v>164.20000000000002</v>
      </c>
      <c r="C19" s="32">
        <v>10.262500000000001</v>
      </c>
      <c r="D19" s="37">
        <v>1.75</v>
      </c>
      <c r="E19" s="33">
        <v>0.4375</v>
      </c>
      <c r="F19" s="33">
        <v>0.1875</v>
      </c>
      <c r="G19" s="33">
        <v>0.33587786259541985</v>
      </c>
      <c r="H19" s="33">
        <v>0.12977099236641221</v>
      </c>
      <c r="I19" s="34">
        <v>9059.0909090909099</v>
      </c>
      <c r="J19" s="34">
        <v>-7182.3529411764703</v>
      </c>
      <c r="K19" s="33">
        <v>0</v>
      </c>
      <c r="L19" s="33">
        <v>0.24427480916030533</v>
      </c>
      <c r="M19" s="33">
        <v>0.23664122137404581</v>
      </c>
      <c r="N19" s="33">
        <v>0.53125</v>
      </c>
      <c r="O19" s="33">
        <v>0.54838709677419351</v>
      </c>
      <c r="P19" s="33">
        <v>0.52272727272727271</v>
      </c>
    </row>
  </sheetData>
  <phoneticPr fontId="1"/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067E0F-22CF-4B38-B1D6-2F10606F123F}">
  <sheetPr codeName="Sheet6"/>
  <dimension ref="A1:Q26"/>
  <sheetViews>
    <sheetView workbookViewId="0"/>
  </sheetViews>
  <sheetFormatPr defaultColWidth="10.59765625" defaultRowHeight="18" x14ac:dyDescent="0.45"/>
  <cols>
    <col min="1" max="1" width="10.59765625" style="35"/>
    <col min="2" max="3" width="10.59765625" style="32"/>
    <col min="4" max="4" width="10.59765625" style="37"/>
    <col min="5" max="8" width="10.59765625" style="33"/>
    <col min="9" max="10" width="10.59765625" style="34"/>
    <col min="11" max="16" width="10.59765625" style="33"/>
    <col min="17" max="16384" width="10.59765625" style="36"/>
  </cols>
  <sheetData>
    <row r="1" spans="1:17" x14ac:dyDescent="0.45">
      <c r="A1" s="36" t="s">
        <v>139</v>
      </c>
      <c r="B1" s="36" t="s">
        <v>139</v>
      </c>
      <c r="C1" s="36" t="s">
        <v>139</v>
      </c>
      <c r="D1" s="37" t="s">
        <v>139</v>
      </c>
      <c r="E1" s="36" t="s">
        <v>139</v>
      </c>
      <c r="F1" s="36" t="s">
        <v>139</v>
      </c>
      <c r="G1" s="36" t="s">
        <v>139</v>
      </c>
      <c r="H1" s="36" t="s">
        <v>139</v>
      </c>
      <c r="I1" s="36" t="s">
        <v>139</v>
      </c>
      <c r="J1" s="36" t="s">
        <v>139</v>
      </c>
      <c r="K1" s="36" t="s">
        <v>139</v>
      </c>
      <c r="L1" s="36" t="s">
        <v>139</v>
      </c>
      <c r="M1" s="36" t="s">
        <v>139</v>
      </c>
      <c r="N1" s="36" t="s">
        <v>139</v>
      </c>
      <c r="O1" s="36" t="s">
        <v>139</v>
      </c>
      <c r="P1" s="36" t="s">
        <v>139</v>
      </c>
      <c r="Q1" s="36" t="s">
        <v>139</v>
      </c>
    </row>
    <row r="2" spans="1:17" x14ac:dyDescent="0.45">
      <c r="A2" s="36" t="s">
        <v>9</v>
      </c>
      <c r="B2" s="36" t="s">
        <v>6</v>
      </c>
      <c r="C2" s="36" t="s">
        <v>7</v>
      </c>
      <c r="D2" s="37" t="s">
        <v>15</v>
      </c>
      <c r="E2" s="36" t="s">
        <v>14</v>
      </c>
      <c r="F2" s="36" t="s">
        <v>150</v>
      </c>
      <c r="G2" s="36" t="s">
        <v>141</v>
      </c>
      <c r="H2" s="36" t="s">
        <v>140</v>
      </c>
      <c r="I2" s="36" t="s">
        <v>5</v>
      </c>
      <c r="J2" s="36" t="s">
        <v>16</v>
      </c>
      <c r="K2" s="36" t="s">
        <v>17</v>
      </c>
      <c r="L2" s="36" t="s">
        <v>122</v>
      </c>
      <c r="M2" s="36" t="s">
        <v>119</v>
      </c>
      <c r="N2" s="36" t="s">
        <v>125</v>
      </c>
      <c r="O2" s="36" t="s">
        <v>142</v>
      </c>
      <c r="P2" s="36" t="s">
        <v>138</v>
      </c>
    </row>
    <row r="3" spans="1:17" x14ac:dyDescent="0.45">
      <c r="A3" s="35">
        <v>0</v>
      </c>
      <c r="B3" s="32">
        <v>0</v>
      </c>
    </row>
    <row r="4" spans="1:17" x14ac:dyDescent="0.45">
      <c r="A4" s="35">
        <v>1</v>
      </c>
      <c r="B4" s="32">
        <v>-1.7763568394002505E-15</v>
      </c>
      <c r="C4" s="32">
        <v>-5.9211894646675012E-16</v>
      </c>
      <c r="D4" s="37">
        <v>2</v>
      </c>
      <c r="E4" s="33">
        <v>0.33333333333333331</v>
      </c>
      <c r="F4" s="33">
        <v>0.33333333333333331</v>
      </c>
      <c r="G4" s="33">
        <v>0.33333333333333331</v>
      </c>
      <c r="H4" s="33">
        <v>0.1111111111111111</v>
      </c>
      <c r="I4" s="34">
        <v>9055.5555555555547</v>
      </c>
      <c r="J4" s="34">
        <v>-7966.666666666667</v>
      </c>
      <c r="K4" s="33">
        <v>0</v>
      </c>
      <c r="L4" s="33">
        <v>0.22222222222222221</v>
      </c>
      <c r="M4" s="33">
        <v>0.29629629629629628</v>
      </c>
      <c r="N4" s="33">
        <v>0.5</v>
      </c>
      <c r="O4" s="33">
        <v>0.625</v>
      </c>
      <c r="P4" s="33">
        <v>0.66666666666666663</v>
      </c>
    </row>
    <row r="5" spans="1:17" x14ac:dyDescent="0.45">
      <c r="A5" s="35">
        <v>2</v>
      </c>
      <c r="B5" s="32">
        <v>-7.1054273576010019E-15</v>
      </c>
      <c r="C5" s="32">
        <v>-1.1842378929335002E-15</v>
      </c>
      <c r="D5" s="37">
        <v>2</v>
      </c>
      <c r="E5" s="33">
        <v>0.33333333333333331</v>
      </c>
      <c r="F5" s="33">
        <v>0.33333333333333331</v>
      </c>
      <c r="G5" s="33">
        <v>0.31372549019607843</v>
      </c>
      <c r="H5" s="33">
        <v>0.13725490196078433</v>
      </c>
      <c r="I5" s="34">
        <v>11043.75</v>
      </c>
      <c r="J5" s="34">
        <v>-13928.571428571429</v>
      </c>
      <c r="K5" s="33">
        <v>0.16666666666666666</v>
      </c>
      <c r="L5" s="33">
        <v>0.25490196078431371</v>
      </c>
      <c r="M5" s="33">
        <v>0.31372549019607843</v>
      </c>
      <c r="N5" s="33">
        <v>0.38461538461538464</v>
      </c>
      <c r="O5" s="33">
        <v>0.5625</v>
      </c>
      <c r="P5" s="33">
        <v>0.5625</v>
      </c>
    </row>
    <row r="6" spans="1:17" x14ac:dyDescent="0.45">
      <c r="A6" s="35">
        <v>3</v>
      </c>
      <c r="B6" s="32">
        <v>-7.1054273576010019E-15</v>
      </c>
      <c r="C6" s="32">
        <v>-7.894919286223335E-16</v>
      </c>
      <c r="D6" s="37">
        <v>2</v>
      </c>
      <c r="E6" s="33">
        <v>0.33333333333333331</v>
      </c>
      <c r="F6" s="33">
        <v>0.33333333333333331</v>
      </c>
      <c r="G6" s="33">
        <v>0.2839506172839506</v>
      </c>
      <c r="H6" s="33">
        <v>0.1111111111111111</v>
      </c>
      <c r="I6" s="34">
        <v>10095.652173913044</v>
      </c>
      <c r="J6" s="34">
        <v>-12122.222222222223</v>
      </c>
      <c r="K6" s="33">
        <v>0.1111111111111111</v>
      </c>
      <c r="L6" s="33">
        <v>0.2839506172839506</v>
      </c>
      <c r="M6" s="33">
        <v>0.25925925925925924</v>
      </c>
      <c r="N6" s="33">
        <v>0.39130434782608697</v>
      </c>
      <c r="O6" s="33">
        <v>0.5714285714285714</v>
      </c>
      <c r="P6" s="33">
        <v>0.60869565217391308</v>
      </c>
    </row>
    <row r="7" spans="1:17" x14ac:dyDescent="0.45">
      <c r="A7" s="35">
        <v>4</v>
      </c>
      <c r="B7" s="32">
        <v>-7.1054273576010019E-15</v>
      </c>
      <c r="C7" s="32">
        <v>-5.9211894646675012E-16</v>
      </c>
      <c r="D7" s="37">
        <v>2</v>
      </c>
      <c r="E7" s="33">
        <v>0.33333333333333331</v>
      </c>
      <c r="F7" s="33">
        <v>0.33333333333333331</v>
      </c>
      <c r="G7" s="33">
        <v>0.28282828282828282</v>
      </c>
      <c r="H7" s="33">
        <v>0.1111111111111111</v>
      </c>
      <c r="I7" s="34">
        <v>9639.2857142857138</v>
      </c>
      <c r="J7" s="34">
        <v>-10800</v>
      </c>
      <c r="K7" s="33">
        <v>8.3333333333333329E-2</v>
      </c>
      <c r="L7" s="33">
        <v>0.27272727272727271</v>
      </c>
      <c r="M7" s="33">
        <v>0.23232323232323232</v>
      </c>
      <c r="N7" s="33">
        <v>0.44444444444444442</v>
      </c>
      <c r="O7" s="33">
        <v>0.52173913043478259</v>
      </c>
      <c r="P7" s="33">
        <v>0.6071428571428571</v>
      </c>
    </row>
    <row r="8" spans="1:17" x14ac:dyDescent="0.45">
      <c r="A8" s="35">
        <v>5</v>
      </c>
      <c r="B8" s="32">
        <v>-7.1054273576010019E-15</v>
      </c>
      <c r="C8" s="32">
        <v>-4.7369515717340012E-16</v>
      </c>
      <c r="D8" s="37">
        <v>2</v>
      </c>
      <c r="E8" s="33">
        <v>0.33333333333333331</v>
      </c>
      <c r="F8" s="33">
        <v>0.33333333333333331</v>
      </c>
      <c r="G8" s="33">
        <v>0.27192982456140352</v>
      </c>
      <c r="H8" s="33">
        <v>0.11403508771929824</v>
      </c>
      <c r="I8" s="34">
        <v>9867.7419354838712</v>
      </c>
      <c r="J8" s="34">
        <v>-10984.615384615385</v>
      </c>
      <c r="K8" s="33">
        <v>0.13333333333333333</v>
      </c>
      <c r="L8" s="33">
        <v>0.24561403508771928</v>
      </c>
      <c r="M8" s="33">
        <v>0.24561403508771928</v>
      </c>
      <c r="N8" s="33">
        <v>0.42857142857142855</v>
      </c>
      <c r="O8" s="33">
        <v>0.5</v>
      </c>
      <c r="P8" s="33">
        <v>0.58064516129032262</v>
      </c>
    </row>
    <row r="9" spans="1:17" x14ac:dyDescent="0.45">
      <c r="A9" s="35">
        <v>6</v>
      </c>
      <c r="B9" s="32">
        <v>-7.1054273576010019E-15</v>
      </c>
      <c r="C9" s="32">
        <v>-3.9474596431116675E-16</v>
      </c>
      <c r="D9" s="37">
        <v>2</v>
      </c>
      <c r="E9" s="33">
        <v>0.33333333333333331</v>
      </c>
      <c r="F9" s="33">
        <v>0.33333333333333331</v>
      </c>
      <c r="G9" s="33">
        <v>0.26811594202898553</v>
      </c>
      <c r="H9" s="33">
        <v>0.13043478260869565</v>
      </c>
      <c r="I9" s="34">
        <v>8975.6756756756749</v>
      </c>
      <c r="J9" s="34">
        <v>-9222.2222222222226</v>
      </c>
      <c r="K9" s="33">
        <v>0.1111111111111111</v>
      </c>
      <c r="L9" s="33">
        <v>0.22463768115942029</v>
      </c>
      <c r="M9" s="33">
        <v>0.26811594202898553</v>
      </c>
      <c r="N9" s="33">
        <v>0.38709677419354838</v>
      </c>
      <c r="O9" s="33">
        <v>0.48648648648648651</v>
      </c>
      <c r="P9" s="33">
        <v>0.51351351351351349</v>
      </c>
    </row>
    <row r="10" spans="1:17" x14ac:dyDescent="0.45">
      <c r="A10" s="35">
        <v>7</v>
      </c>
      <c r="B10" s="32">
        <v>-7.1054273576010019E-15</v>
      </c>
      <c r="C10" s="32">
        <v>-3.3835368369528578E-16</v>
      </c>
      <c r="D10" s="37">
        <v>2</v>
      </c>
      <c r="E10" s="33">
        <v>0.33333333333333331</v>
      </c>
      <c r="F10" s="33">
        <v>0.33333333333333331</v>
      </c>
      <c r="G10" s="33">
        <v>0.27485380116959063</v>
      </c>
      <c r="H10" s="33">
        <v>0.12280701754385964</v>
      </c>
      <c r="I10" s="34">
        <v>8646.8085106382987</v>
      </c>
      <c r="J10" s="34">
        <v>-9028.5714285714294</v>
      </c>
      <c r="K10" s="33">
        <v>9.5238095238095233E-2</v>
      </c>
      <c r="L10" s="33">
        <v>0.24561403508771928</v>
      </c>
      <c r="M10" s="33">
        <v>0.25146198830409355</v>
      </c>
      <c r="N10" s="33">
        <v>0.42857142857142855</v>
      </c>
      <c r="O10" s="33">
        <v>0.48837209302325579</v>
      </c>
      <c r="P10" s="33">
        <v>0.55319148936170215</v>
      </c>
    </row>
    <row r="11" spans="1:17" x14ac:dyDescent="0.45">
      <c r="A11" s="35">
        <v>8</v>
      </c>
      <c r="B11" s="32">
        <v>-7.1054273576010019E-15</v>
      </c>
      <c r="C11" s="32">
        <v>-2.9605947323337506E-16</v>
      </c>
      <c r="D11" s="37">
        <v>2</v>
      </c>
      <c r="E11" s="33">
        <v>0.33333333333333331</v>
      </c>
      <c r="F11" s="33">
        <v>0.33333333333333331</v>
      </c>
      <c r="G11" s="33">
        <v>0.26760563380281688</v>
      </c>
      <c r="H11" s="33">
        <v>0.13615023474178403</v>
      </c>
      <c r="I11" s="34">
        <v>8559.6491228070172</v>
      </c>
      <c r="J11" s="34">
        <v>-8727.5862068965525</v>
      </c>
      <c r="K11" s="33">
        <v>8.3333333333333329E-2</v>
      </c>
      <c r="L11" s="33">
        <v>0.26291079812206575</v>
      </c>
      <c r="M11" s="33">
        <v>0.23474178403755869</v>
      </c>
      <c r="N11" s="33">
        <v>0.42857142857142855</v>
      </c>
      <c r="O11" s="33">
        <v>0.5</v>
      </c>
      <c r="P11" s="33">
        <v>0.49122807017543857</v>
      </c>
    </row>
    <row r="12" spans="1:17" x14ac:dyDescent="0.45">
      <c r="A12" s="35">
        <v>9</v>
      </c>
      <c r="B12" s="32">
        <v>-7.1054273576010019E-15</v>
      </c>
      <c r="C12" s="32">
        <v>-2.631639762074445E-16</v>
      </c>
      <c r="D12" s="37">
        <v>2</v>
      </c>
      <c r="E12" s="33">
        <v>0.33333333333333331</v>
      </c>
      <c r="F12" s="33">
        <v>0.33333333333333331</v>
      </c>
      <c r="G12" s="33">
        <v>0.27027027027027029</v>
      </c>
      <c r="H12" s="33">
        <v>0.14414414414414414</v>
      </c>
      <c r="I12" s="34">
        <v>8548.3333333333339</v>
      </c>
      <c r="J12" s="34">
        <v>-8690.625</v>
      </c>
      <c r="K12" s="33">
        <v>7.407407407407407E-2</v>
      </c>
      <c r="L12" s="33">
        <v>0.26126126126126126</v>
      </c>
      <c r="M12" s="33">
        <v>0.23423423423423423</v>
      </c>
      <c r="N12" s="33">
        <v>0.43103448275862066</v>
      </c>
      <c r="O12" s="33">
        <v>0.51923076923076927</v>
      </c>
      <c r="P12" s="33">
        <v>0.46666666666666667</v>
      </c>
    </row>
    <row r="13" spans="1:17" x14ac:dyDescent="0.45">
      <c r="A13" s="35">
        <v>10</v>
      </c>
      <c r="B13" s="32">
        <v>-8.4376949871511897E-15</v>
      </c>
      <c r="C13" s="32">
        <v>-2.8125649957170631E-16</v>
      </c>
      <c r="D13" s="37">
        <v>2</v>
      </c>
      <c r="E13" s="33">
        <v>0.33333333333333331</v>
      </c>
      <c r="F13" s="33">
        <v>0.33333333333333331</v>
      </c>
      <c r="G13" s="33">
        <v>0.26666666666666666</v>
      </c>
      <c r="H13" s="33">
        <v>0.14117647058823529</v>
      </c>
      <c r="I13" s="34">
        <v>8660.2941176470595</v>
      </c>
      <c r="J13" s="34">
        <v>-9052.7777777777774</v>
      </c>
      <c r="K13" s="33">
        <v>6.6666666666666666E-2</v>
      </c>
      <c r="L13" s="33">
        <v>0.2627450980392157</v>
      </c>
      <c r="M13" s="33">
        <v>0.24705882352941178</v>
      </c>
      <c r="N13" s="33">
        <v>0.38805970149253732</v>
      </c>
      <c r="O13" s="33">
        <v>0.49206349206349204</v>
      </c>
      <c r="P13" s="33">
        <v>0.47058823529411764</v>
      </c>
    </row>
    <row r="14" spans="1:17" x14ac:dyDescent="0.45">
      <c r="A14" s="35">
        <v>11</v>
      </c>
      <c r="B14" s="32">
        <v>0</v>
      </c>
      <c r="C14" s="32">
        <v>0</v>
      </c>
      <c r="D14" s="37">
        <v>2</v>
      </c>
      <c r="E14" s="33">
        <v>0.33333333333333331</v>
      </c>
      <c r="F14" s="33">
        <v>0.33333333333333331</v>
      </c>
      <c r="G14" s="33">
        <v>0.27173913043478259</v>
      </c>
      <c r="H14" s="33">
        <v>0.14492753623188406</v>
      </c>
      <c r="I14" s="34">
        <v>8710.6666666666661</v>
      </c>
      <c r="J14" s="34">
        <v>-8977.5</v>
      </c>
      <c r="K14" s="33">
        <v>6.0606060606060608E-2</v>
      </c>
      <c r="L14" s="33">
        <v>0.26811594202898553</v>
      </c>
      <c r="M14" s="33">
        <v>0.24275362318840579</v>
      </c>
      <c r="N14" s="33">
        <v>0.40540540540540543</v>
      </c>
      <c r="O14" s="33">
        <v>0.47761194029850745</v>
      </c>
      <c r="P14" s="33">
        <v>0.46666666666666667</v>
      </c>
    </row>
    <row r="15" spans="1:17" x14ac:dyDescent="0.45">
      <c r="A15" s="35">
        <v>12</v>
      </c>
      <c r="B15" s="32">
        <v>3.5527136788005009E-15</v>
      </c>
      <c r="C15" s="32">
        <v>9.8686491077791687E-17</v>
      </c>
      <c r="D15" s="37">
        <v>2</v>
      </c>
      <c r="E15" s="33">
        <v>0.33333333333333331</v>
      </c>
      <c r="F15" s="33">
        <v>0.33333333333333331</v>
      </c>
      <c r="G15" s="33">
        <v>0.27392739273927391</v>
      </c>
      <c r="H15" s="33">
        <v>0.15181518151815182</v>
      </c>
      <c r="I15" s="34">
        <v>8573.4939759036151</v>
      </c>
      <c r="J15" s="34">
        <v>-8908.6956521739139</v>
      </c>
      <c r="K15" s="33">
        <v>8.3333333333333329E-2</v>
      </c>
      <c r="L15" s="33">
        <v>0.264026402640264</v>
      </c>
      <c r="M15" s="33">
        <v>0.24422442244224424</v>
      </c>
      <c r="N15" s="33">
        <v>0.38750000000000001</v>
      </c>
      <c r="O15" s="33">
        <v>0.48648648648648651</v>
      </c>
      <c r="P15" s="33">
        <v>0.44578313253012047</v>
      </c>
    </row>
    <row r="16" spans="1:17" x14ac:dyDescent="0.45">
      <c r="A16" s="35">
        <v>13</v>
      </c>
      <c r="B16" s="32">
        <v>1.0658141036401503E-14</v>
      </c>
      <c r="C16" s="32">
        <v>2.7328566760003855E-16</v>
      </c>
      <c r="D16" s="37">
        <v>2</v>
      </c>
      <c r="E16" s="33">
        <v>0.33333333333333331</v>
      </c>
      <c r="F16" s="33">
        <v>0.33333333333333331</v>
      </c>
      <c r="G16" s="33">
        <v>0.27725856697819312</v>
      </c>
      <c r="H16" s="33">
        <v>0.14641744548286603</v>
      </c>
      <c r="I16" s="34">
        <v>8215.7303370786522</v>
      </c>
      <c r="J16" s="34">
        <v>-8882.978723404256</v>
      </c>
      <c r="K16" s="33">
        <v>7.6923076923076927E-2</v>
      </c>
      <c r="L16" s="33">
        <v>0.25856697819314639</v>
      </c>
      <c r="M16" s="33">
        <v>0.24610591900311526</v>
      </c>
      <c r="N16" s="33">
        <v>0.40963855421686746</v>
      </c>
      <c r="O16" s="33">
        <v>0.48101265822784811</v>
      </c>
      <c r="P16" s="33">
        <v>0.47191011235955055</v>
      </c>
    </row>
    <row r="17" spans="1:16" x14ac:dyDescent="0.45">
      <c r="A17" s="35">
        <v>14</v>
      </c>
      <c r="B17" s="32">
        <v>1.0658141036401503E-14</v>
      </c>
      <c r="C17" s="32">
        <v>2.5376526277146434E-16</v>
      </c>
      <c r="D17" s="37">
        <v>2</v>
      </c>
      <c r="E17" s="33">
        <v>0.33333333333333331</v>
      </c>
      <c r="F17" s="33">
        <v>0.33333333333333331</v>
      </c>
      <c r="G17" s="33">
        <v>0.27536231884057971</v>
      </c>
      <c r="H17" s="33">
        <v>0.14782608695652175</v>
      </c>
      <c r="I17" s="34">
        <v>8114.7368421052633</v>
      </c>
      <c r="J17" s="34">
        <v>-8688.2352941176468</v>
      </c>
      <c r="K17" s="33">
        <v>7.1428571428571425E-2</v>
      </c>
      <c r="L17" s="33">
        <v>0.24927536231884059</v>
      </c>
      <c r="M17" s="33">
        <v>0.24347826086956523</v>
      </c>
      <c r="N17" s="33">
        <v>0.43023255813953487</v>
      </c>
      <c r="O17" s="33">
        <v>0.47619047619047616</v>
      </c>
      <c r="P17" s="33">
        <v>0.4631578947368421</v>
      </c>
    </row>
    <row r="18" spans="1:16" x14ac:dyDescent="0.45">
      <c r="A18" s="35">
        <v>15</v>
      </c>
      <c r="B18" s="32">
        <v>8.8817841970012523E-15</v>
      </c>
      <c r="C18" s="32">
        <v>1.9737298215558337E-16</v>
      </c>
      <c r="D18" s="37">
        <v>2</v>
      </c>
      <c r="E18" s="33">
        <v>0.33333333333333331</v>
      </c>
      <c r="F18" s="33">
        <v>0.33333333333333331</v>
      </c>
      <c r="G18" s="33">
        <v>0.27604166666666669</v>
      </c>
      <c r="H18" s="33">
        <v>0.15104166666666666</v>
      </c>
      <c r="I18" s="34">
        <v>7958.4905660377362</v>
      </c>
      <c r="J18" s="34">
        <v>-8339.6551724137935</v>
      </c>
      <c r="K18" s="33">
        <v>6.6666666666666666E-2</v>
      </c>
      <c r="L18" s="33">
        <v>0.25260416666666669</v>
      </c>
      <c r="M18" s="33">
        <v>0.25</v>
      </c>
      <c r="N18" s="33">
        <v>0.44329896907216493</v>
      </c>
      <c r="O18" s="33">
        <v>0.45833333333333331</v>
      </c>
      <c r="P18" s="33">
        <v>0.45283018867924529</v>
      </c>
    </row>
    <row r="19" spans="1:16" x14ac:dyDescent="0.45">
      <c r="A19" s="35">
        <v>16</v>
      </c>
      <c r="B19" s="32">
        <v>7.1054273576010019E-15</v>
      </c>
      <c r="C19" s="32">
        <v>1.4802973661668753E-16</v>
      </c>
      <c r="D19" s="37">
        <v>2</v>
      </c>
      <c r="E19" s="33">
        <v>0.33333333333333331</v>
      </c>
      <c r="F19" s="33">
        <v>0.33333333333333331</v>
      </c>
      <c r="G19" s="33">
        <v>0.27860696517412936</v>
      </c>
      <c r="H19" s="33">
        <v>0.15174129353233831</v>
      </c>
      <c r="I19" s="34">
        <v>8041.0714285714284</v>
      </c>
      <c r="J19" s="34">
        <v>-8519.6721311475412</v>
      </c>
      <c r="K19" s="33">
        <v>8.3333333333333329E-2</v>
      </c>
      <c r="L19" s="33">
        <v>0.25124378109452739</v>
      </c>
      <c r="M19" s="33">
        <v>0.2462686567164179</v>
      </c>
      <c r="N19" s="33">
        <v>0.45544554455445546</v>
      </c>
      <c r="O19" s="33">
        <v>0.46464646464646464</v>
      </c>
      <c r="P19" s="33">
        <v>0.45535714285714285</v>
      </c>
    </row>
    <row r="20" spans="1:16" x14ac:dyDescent="0.45">
      <c r="A20" s="35">
        <v>17</v>
      </c>
      <c r="B20" s="32">
        <v>1.0658141036401503E-14</v>
      </c>
      <c r="C20" s="32">
        <v>2.0898315757650005E-16</v>
      </c>
      <c r="D20" s="37">
        <v>2</v>
      </c>
      <c r="E20" s="33">
        <v>0.33333333333333331</v>
      </c>
      <c r="F20" s="33">
        <v>0.33333333333333331</v>
      </c>
      <c r="G20" s="33">
        <v>0.28240740740740738</v>
      </c>
      <c r="H20" s="33">
        <v>0.15277777777777779</v>
      </c>
      <c r="I20" s="34">
        <v>8084.4262295081971</v>
      </c>
      <c r="J20" s="34">
        <v>-8490.9090909090901</v>
      </c>
      <c r="K20" s="33">
        <v>7.8431372549019607E-2</v>
      </c>
      <c r="L20" s="33">
        <v>0.25231481481481483</v>
      </c>
      <c r="M20" s="33">
        <v>0.25462962962962965</v>
      </c>
      <c r="N20" s="33">
        <v>0.44954128440366975</v>
      </c>
      <c r="O20" s="33">
        <v>0.45454545454545453</v>
      </c>
      <c r="P20" s="33">
        <v>0.45901639344262296</v>
      </c>
    </row>
    <row r="21" spans="1:16" x14ac:dyDescent="0.45">
      <c r="A21" s="35">
        <v>18</v>
      </c>
      <c r="B21" s="32">
        <v>1.0658141036401503E-14</v>
      </c>
      <c r="C21" s="32">
        <v>1.9737298215558337E-16</v>
      </c>
      <c r="D21" s="37">
        <v>2</v>
      </c>
      <c r="E21" s="33">
        <v>0.33333333333333331</v>
      </c>
      <c r="F21" s="33">
        <v>0.33333333333333331</v>
      </c>
      <c r="G21" s="33">
        <v>0.28354978354978355</v>
      </c>
      <c r="H21" s="33">
        <v>0.14935064935064934</v>
      </c>
      <c r="I21" s="34">
        <v>8060.3053435114507</v>
      </c>
      <c r="J21" s="34">
        <v>-8513.04347826087</v>
      </c>
      <c r="K21" s="33">
        <v>7.407407407407407E-2</v>
      </c>
      <c r="L21" s="33">
        <v>0.25108225108225107</v>
      </c>
      <c r="M21" s="33">
        <v>0.24675324675324675</v>
      </c>
      <c r="N21" s="33">
        <v>0.45689655172413796</v>
      </c>
      <c r="O21" s="33">
        <v>0.45614035087719296</v>
      </c>
      <c r="P21" s="33">
        <v>0.47328244274809161</v>
      </c>
    </row>
    <row r="22" spans="1:16" x14ac:dyDescent="0.45">
      <c r="A22" s="35">
        <v>19</v>
      </c>
      <c r="B22" s="32">
        <v>1.0658141036401503E-14</v>
      </c>
      <c r="C22" s="32">
        <v>1.8698493046318425E-16</v>
      </c>
      <c r="D22" s="37">
        <v>2</v>
      </c>
      <c r="E22" s="33">
        <v>0.33333333333333331</v>
      </c>
      <c r="F22" s="33">
        <v>0.33333333333333331</v>
      </c>
      <c r="G22" s="33">
        <v>0.2839506172839506</v>
      </c>
      <c r="H22" s="33">
        <v>0.15020576131687244</v>
      </c>
      <c r="I22" s="34">
        <v>8098.550724637681</v>
      </c>
      <c r="J22" s="34">
        <v>-8408.2191780821922</v>
      </c>
      <c r="K22" s="33">
        <v>7.0175438596491224E-2</v>
      </c>
      <c r="L22" s="33">
        <v>0.25102880658436216</v>
      </c>
      <c r="M22" s="33">
        <v>0.24074074074074073</v>
      </c>
      <c r="N22" s="33">
        <v>0.46721311475409838</v>
      </c>
      <c r="O22" s="33">
        <v>0.46153846153846156</v>
      </c>
      <c r="P22" s="33">
        <v>0.47101449275362317</v>
      </c>
    </row>
    <row r="23" spans="1:16" x14ac:dyDescent="0.45">
      <c r="A23" s="35">
        <v>20</v>
      </c>
      <c r="B23" s="32">
        <v>1.2434497875801753E-14</v>
      </c>
      <c r="C23" s="32">
        <v>2.0724163126336256E-16</v>
      </c>
      <c r="D23" s="37">
        <v>2</v>
      </c>
      <c r="E23" s="33">
        <v>0.33333333333333331</v>
      </c>
      <c r="F23" s="33">
        <v>0.33333333333333331</v>
      </c>
      <c r="G23" s="33">
        <v>0.28599605522682447</v>
      </c>
      <c r="H23" s="33">
        <v>0.14990138067061143</v>
      </c>
      <c r="I23" s="34">
        <v>8136.5517241379312</v>
      </c>
      <c r="J23" s="34">
        <v>-8384.21052631579</v>
      </c>
      <c r="K23" s="33">
        <v>6.6666666666666666E-2</v>
      </c>
      <c r="L23" s="33">
        <v>0.25246548323471402</v>
      </c>
      <c r="M23" s="33">
        <v>0.2465483234714004</v>
      </c>
      <c r="N23" s="33">
        <v>0.4765625</v>
      </c>
      <c r="O23" s="33">
        <v>0.45600000000000002</v>
      </c>
      <c r="P23" s="33">
        <v>0.47586206896551725</v>
      </c>
    </row>
    <row r="24" spans="1:16" x14ac:dyDescent="0.45">
      <c r="A24" s="35">
        <v>21</v>
      </c>
      <c r="B24" s="32">
        <v>1.4210854715202004E-14</v>
      </c>
      <c r="C24" s="32">
        <v>2.2556912246352386E-16</v>
      </c>
      <c r="D24" s="37">
        <v>2</v>
      </c>
      <c r="E24" s="33">
        <v>0.33333333333333331</v>
      </c>
      <c r="F24" s="33">
        <v>0.33333333333333331</v>
      </c>
      <c r="G24" s="33">
        <v>0.28598484848484851</v>
      </c>
      <c r="H24" s="33">
        <v>0.14772727272727273</v>
      </c>
      <c r="I24" s="34">
        <v>8067.5496688741723</v>
      </c>
      <c r="J24" s="34">
        <v>-8216.6666666666661</v>
      </c>
      <c r="K24" s="33">
        <v>6.3492063492063489E-2</v>
      </c>
      <c r="L24" s="33">
        <v>0.24810606060606061</v>
      </c>
      <c r="M24" s="33">
        <v>0.24242424242424243</v>
      </c>
      <c r="N24" s="33">
        <v>0.48854961832061067</v>
      </c>
      <c r="O24" s="33">
        <v>0.4453125</v>
      </c>
      <c r="P24" s="33">
        <v>0.48344370860927155</v>
      </c>
    </row>
    <row r="25" spans="1:16" x14ac:dyDescent="0.45">
      <c r="A25" s="35">
        <v>22</v>
      </c>
      <c r="B25" s="32">
        <v>7.1054273576010019E-15</v>
      </c>
      <c r="C25" s="32">
        <v>1.0765799026668185E-16</v>
      </c>
      <c r="D25" s="37">
        <v>2</v>
      </c>
      <c r="E25" s="33">
        <v>0.33333333333333331</v>
      </c>
      <c r="F25" s="33">
        <v>0.33333333333333331</v>
      </c>
      <c r="G25" s="33">
        <v>0.28779599271402551</v>
      </c>
      <c r="H25" s="33">
        <v>0.151183970856102</v>
      </c>
      <c r="I25" s="34">
        <v>8136.7088607594933</v>
      </c>
      <c r="J25" s="34">
        <v>-8244.5783132530123</v>
      </c>
      <c r="K25" s="33">
        <v>6.0606060606060608E-2</v>
      </c>
      <c r="L25" s="33">
        <v>0.24590163934426229</v>
      </c>
      <c r="M25" s="33">
        <v>0.24043715846994534</v>
      </c>
      <c r="N25" s="33">
        <v>0.49629629629629629</v>
      </c>
      <c r="O25" s="33">
        <v>0.43939393939393939</v>
      </c>
      <c r="P25" s="33">
        <v>0.47468354430379744</v>
      </c>
    </row>
    <row r="26" spans="1:16" x14ac:dyDescent="0.45">
      <c r="A26" s="35">
        <v>23</v>
      </c>
      <c r="B26" s="32">
        <v>1.0658141036401503E-14</v>
      </c>
      <c r="C26" s="32">
        <v>1.5446581212176091E-16</v>
      </c>
      <c r="D26" s="37">
        <v>2</v>
      </c>
      <c r="E26" s="33">
        <v>0.33333333333333331</v>
      </c>
      <c r="F26" s="33">
        <v>0.33333333333333331</v>
      </c>
      <c r="G26" s="33">
        <v>0.2874779541446208</v>
      </c>
      <c r="H26" s="33">
        <v>0.15167548500881833</v>
      </c>
      <c r="I26" s="34">
        <v>8095.0920245398775</v>
      </c>
      <c r="J26" s="34">
        <v>-8122.0930232558139</v>
      </c>
      <c r="K26" s="33">
        <v>5.7971014492753624E-2</v>
      </c>
      <c r="L26" s="33">
        <v>0.24514991181657847</v>
      </c>
      <c r="M26" s="33">
        <v>0.24514991181657847</v>
      </c>
      <c r="N26" s="33">
        <v>0.49640287769784175</v>
      </c>
      <c r="O26" s="33">
        <v>0.43884892086330934</v>
      </c>
      <c r="P26" s="33">
        <v>0.47239263803680981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6" baseType="variant">
      <vt:variant>
        <vt:lpstr>ワークシート</vt:lpstr>
      </vt:variant>
      <vt:variant>
        <vt:i4>27</vt:i4>
      </vt:variant>
      <vt:variant>
        <vt:lpstr>グラフ</vt:lpstr>
      </vt:variant>
      <vt:variant>
        <vt:i4>15</vt:i4>
      </vt:variant>
      <vt:variant>
        <vt:lpstr>名前付き一覧</vt:lpstr>
      </vt:variant>
      <vt:variant>
        <vt:i4>745</vt:i4>
      </vt:variant>
    </vt:vector>
  </HeadingPairs>
  <TitlesOfParts>
    <vt:vector size="787" baseType="lpstr">
      <vt:lpstr>Cache</vt:lpstr>
      <vt:lpstr>Template2</vt:lpstr>
      <vt:lpstr>Players</vt:lpstr>
      <vt:lpstr>Template1</vt:lpstr>
      <vt:lpstr>ランキング</vt:lpstr>
      <vt:lpstr>全体</vt:lpstr>
      <vt:lpstr>だいち</vt:lpstr>
      <vt:lpstr>れんたろう</vt:lpstr>
      <vt:lpstr>たかの</vt:lpstr>
      <vt:lpstr>まっつん</vt:lpstr>
      <vt:lpstr>いちかわ</vt:lpstr>
      <vt:lpstr>ただ</vt:lpstr>
      <vt:lpstr>たか</vt:lpstr>
      <vt:lpstr>のり</vt:lpstr>
      <vt:lpstr>りくと</vt:lpstr>
      <vt:lpstr>わさび</vt:lpstr>
      <vt:lpstr>わさび2</vt:lpstr>
      <vt:lpstr>りくと2</vt:lpstr>
      <vt:lpstr>のり2</vt:lpstr>
      <vt:lpstr>たか2</vt:lpstr>
      <vt:lpstr>ただ2</vt:lpstr>
      <vt:lpstr>いちかわ2</vt:lpstr>
      <vt:lpstr>まっつん2</vt:lpstr>
      <vt:lpstr>たかの2</vt:lpstr>
      <vt:lpstr>れんたろう2</vt:lpstr>
      <vt:lpstr>だいち2</vt:lpstr>
      <vt:lpstr>全体2</vt:lpstr>
      <vt:lpstr>通算スコア</vt:lpstr>
      <vt:lpstr>平均スコア</vt:lpstr>
      <vt:lpstr>平均順位</vt:lpstr>
      <vt:lpstr>トップ率</vt:lpstr>
      <vt:lpstr>ラス率</vt:lpstr>
      <vt:lpstr>アガリ率</vt:lpstr>
      <vt:lpstr>放銃率</vt:lpstr>
      <vt:lpstr>平均アガリ点</vt:lpstr>
      <vt:lpstr>平均放銃点</vt:lpstr>
      <vt:lpstr>ふっとび率</vt:lpstr>
      <vt:lpstr>リーチ率</vt:lpstr>
      <vt:lpstr>副露率</vt:lpstr>
      <vt:lpstr>リーチ成功率</vt:lpstr>
      <vt:lpstr>副露成功率</vt:lpstr>
      <vt:lpstr>ツモ率</vt:lpstr>
      <vt:lpstr>Template1!アガリ数</vt:lpstr>
      <vt:lpstr>いちかわ!アガリ数</vt:lpstr>
      <vt:lpstr>だいち!アガリ数</vt:lpstr>
      <vt:lpstr>たか!アガリ数</vt:lpstr>
      <vt:lpstr>たかの!アガリ数</vt:lpstr>
      <vt:lpstr>ただ!アガリ数</vt:lpstr>
      <vt:lpstr>のり!アガリ数</vt:lpstr>
      <vt:lpstr>まっつん!アガリ数</vt:lpstr>
      <vt:lpstr>りくと!アガリ数</vt:lpstr>
      <vt:lpstr>れんたろう!アガリ数</vt:lpstr>
      <vt:lpstr>わさび!アガリ数</vt:lpstr>
      <vt:lpstr>全体!アガリ数</vt:lpstr>
      <vt:lpstr>Template1!アガリ率</vt:lpstr>
      <vt:lpstr>いちかわ!アガリ率</vt:lpstr>
      <vt:lpstr>だいち!アガリ率</vt:lpstr>
      <vt:lpstr>たか!アガリ率</vt:lpstr>
      <vt:lpstr>たかの!アガリ率</vt:lpstr>
      <vt:lpstr>ただ!アガリ率</vt:lpstr>
      <vt:lpstr>のり!アガリ率</vt:lpstr>
      <vt:lpstr>まっつん!アガリ率</vt:lpstr>
      <vt:lpstr>りくと!アガリ率</vt:lpstr>
      <vt:lpstr>れんたろう!アガリ率</vt:lpstr>
      <vt:lpstr>わさび!アガリ率</vt:lpstr>
      <vt:lpstr>全体!アガリ率</vt:lpstr>
      <vt:lpstr>Template1!ダマアガリ数</vt:lpstr>
      <vt:lpstr>いちかわ!ダマアガリ数</vt:lpstr>
      <vt:lpstr>だいち!ダマアガリ数</vt:lpstr>
      <vt:lpstr>たか!ダマアガリ数</vt:lpstr>
      <vt:lpstr>たかの!ダマアガリ数</vt:lpstr>
      <vt:lpstr>ただ!ダマアガリ数</vt:lpstr>
      <vt:lpstr>のり!ダマアガリ数</vt:lpstr>
      <vt:lpstr>まっつん!ダマアガリ数</vt:lpstr>
      <vt:lpstr>りくと!ダマアガリ数</vt:lpstr>
      <vt:lpstr>れんたろう!ダマアガリ数</vt:lpstr>
      <vt:lpstr>わさび!ダマアガリ数</vt:lpstr>
      <vt:lpstr>全体!ダマアガリ数</vt:lpstr>
      <vt:lpstr>Template1!ダマアガリ率</vt:lpstr>
      <vt:lpstr>いちかわ!ダマアガリ率</vt:lpstr>
      <vt:lpstr>だいち!ダマアガリ率</vt:lpstr>
      <vt:lpstr>たか!ダマアガリ率</vt:lpstr>
      <vt:lpstr>たかの!ダマアガリ率</vt:lpstr>
      <vt:lpstr>ただ!ダマアガリ率</vt:lpstr>
      <vt:lpstr>のり!ダマアガリ率</vt:lpstr>
      <vt:lpstr>まっつん!ダマアガリ率</vt:lpstr>
      <vt:lpstr>りくと!ダマアガリ率</vt:lpstr>
      <vt:lpstr>れんたろう!ダマアガリ率</vt:lpstr>
      <vt:lpstr>わさび!ダマアガリ率</vt:lpstr>
      <vt:lpstr>全体!ダマアガリ率</vt:lpstr>
      <vt:lpstr>Template1!チョンボ数</vt:lpstr>
      <vt:lpstr>いちかわ!チョンボ数</vt:lpstr>
      <vt:lpstr>だいち!チョンボ数</vt:lpstr>
      <vt:lpstr>たか!チョンボ数</vt:lpstr>
      <vt:lpstr>たかの!チョンボ数</vt:lpstr>
      <vt:lpstr>ただ!チョンボ数</vt:lpstr>
      <vt:lpstr>のり!チョンボ数</vt:lpstr>
      <vt:lpstr>まっつん!チョンボ数</vt:lpstr>
      <vt:lpstr>りくと!チョンボ数</vt:lpstr>
      <vt:lpstr>れんたろう!チョンボ数</vt:lpstr>
      <vt:lpstr>わさび!チョンボ数</vt:lpstr>
      <vt:lpstr>全体!チョンボ数</vt:lpstr>
      <vt:lpstr>Template1!チョンボ率</vt:lpstr>
      <vt:lpstr>いちかわ!チョンボ率</vt:lpstr>
      <vt:lpstr>だいち!チョンボ率</vt:lpstr>
      <vt:lpstr>たか!チョンボ率</vt:lpstr>
      <vt:lpstr>たかの!チョンボ率</vt:lpstr>
      <vt:lpstr>ただ!チョンボ率</vt:lpstr>
      <vt:lpstr>のり!チョンボ率</vt:lpstr>
      <vt:lpstr>まっつん!チョンボ率</vt:lpstr>
      <vt:lpstr>りくと!チョンボ率</vt:lpstr>
      <vt:lpstr>れんたろう!チョンボ率</vt:lpstr>
      <vt:lpstr>わさび!チョンボ率</vt:lpstr>
      <vt:lpstr>全体!チョンボ率</vt:lpstr>
      <vt:lpstr>Template1!ツモ数</vt:lpstr>
      <vt:lpstr>いちかわ!ツモ数</vt:lpstr>
      <vt:lpstr>だいち!ツモ数</vt:lpstr>
      <vt:lpstr>たか!ツモ数</vt:lpstr>
      <vt:lpstr>たかの!ツモ数</vt:lpstr>
      <vt:lpstr>ただ!ツモ数</vt:lpstr>
      <vt:lpstr>のり!ツモ数</vt:lpstr>
      <vt:lpstr>まっつん!ツモ数</vt:lpstr>
      <vt:lpstr>りくと!ツモ数</vt:lpstr>
      <vt:lpstr>れんたろう!ツモ数</vt:lpstr>
      <vt:lpstr>わさび!ツモ数</vt:lpstr>
      <vt:lpstr>全体!ツモ数</vt:lpstr>
      <vt:lpstr>Template1!ツモ率</vt:lpstr>
      <vt:lpstr>いちかわ!ツモ率</vt:lpstr>
      <vt:lpstr>だいち!ツモ率</vt:lpstr>
      <vt:lpstr>たか!ツモ率</vt:lpstr>
      <vt:lpstr>たかの!ツモ率</vt:lpstr>
      <vt:lpstr>ただ!ツモ率</vt:lpstr>
      <vt:lpstr>のり!ツモ率</vt:lpstr>
      <vt:lpstr>まっつん!ツモ率</vt:lpstr>
      <vt:lpstr>りくと!ツモ率</vt:lpstr>
      <vt:lpstr>れんたろう!ツモ率</vt:lpstr>
      <vt:lpstr>わさび!ツモ率</vt:lpstr>
      <vt:lpstr>全体!ツモ率</vt:lpstr>
      <vt:lpstr>Template1!トップ数</vt:lpstr>
      <vt:lpstr>いちかわ!トップ数</vt:lpstr>
      <vt:lpstr>だいち!トップ数</vt:lpstr>
      <vt:lpstr>たか!トップ数</vt:lpstr>
      <vt:lpstr>たかの!トップ数</vt:lpstr>
      <vt:lpstr>ただ!トップ数</vt:lpstr>
      <vt:lpstr>のり!トップ数</vt:lpstr>
      <vt:lpstr>まっつん!トップ数</vt:lpstr>
      <vt:lpstr>りくと!トップ数</vt:lpstr>
      <vt:lpstr>れんたろう!トップ数</vt:lpstr>
      <vt:lpstr>わさび!トップ数</vt:lpstr>
      <vt:lpstr>全体!トップ数</vt:lpstr>
      <vt:lpstr>Template1!トップ率</vt:lpstr>
      <vt:lpstr>いちかわ!トップ率</vt:lpstr>
      <vt:lpstr>だいち!トップ率</vt:lpstr>
      <vt:lpstr>たか!トップ率</vt:lpstr>
      <vt:lpstr>たかの!トップ率</vt:lpstr>
      <vt:lpstr>ただ!トップ率</vt:lpstr>
      <vt:lpstr>のり!トップ率</vt:lpstr>
      <vt:lpstr>まっつん!トップ率</vt:lpstr>
      <vt:lpstr>りくと!トップ率</vt:lpstr>
      <vt:lpstr>れんたろう!トップ率</vt:lpstr>
      <vt:lpstr>わさび!トップ率</vt:lpstr>
      <vt:lpstr>全体!トップ率</vt:lpstr>
      <vt:lpstr>いちかわ!バランス</vt:lpstr>
      <vt:lpstr>だいち!バランス</vt:lpstr>
      <vt:lpstr>たか!バランス</vt:lpstr>
      <vt:lpstr>たかの!バランス</vt:lpstr>
      <vt:lpstr>ただ!バランス</vt:lpstr>
      <vt:lpstr>のり!バランス</vt:lpstr>
      <vt:lpstr>まっつん!バランス</vt:lpstr>
      <vt:lpstr>りくと!バランス</vt:lpstr>
      <vt:lpstr>れんたろう!バランス</vt:lpstr>
      <vt:lpstr>わさび!バランス</vt:lpstr>
      <vt:lpstr>全体!バランス</vt:lpstr>
      <vt:lpstr>バランス</vt:lpstr>
      <vt:lpstr>Template1!ふっとび数</vt:lpstr>
      <vt:lpstr>いちかわ!ふっとび数</vt:lpstr>
      <vt:lpstr>だいち!ふっとび数</vt:lpstr>
      <vt:lpstr>たか!ふっとび数</vt:lpstr>
      <vt:lpstr>たかの!ふっとび数</vt:lpstr>
      <vt:lpstr>ただ!ふっとび数</vt:lpstr>
      <vt:lpstr>のり!ふっとび数</vt:lpstr>
      <vt:lpstr>まっつん!ふっとび数</vt:lpstr>
      <vt:lpstr>りくと!ふっとび数</vt:lpstr>
      <vt:lpstr>れんたろう!ふっとび数</vt:lpstr>
      <vt:lpstr>わさび!ふっとび数</vt:lpstr>
      <vt:lpstr>全体!ふっとび数</vt:lpstr>
      <vt:lpstr>Template1!ふっとび率</vt:lpstr>
      <vt:lpstr>いちかわ!ふっとび率</vt:lpstr>
      <vt:lpstr>だいち!ふっとび率</vt:lpstr>
      <vt:lpstr>たか!ふっとび率</vt:lpstr>
      <vt:lpstr>たかの!ふっとび率</vt:lpstr>
      <vt:lpstr>ただ!ふっとび率</vt:lpstr>
      <vt:lpstr>のり!ふっとび率</vt:lpstr>
      <vt:lpstr>まっつん!ふっとび率</vt:lpstr>
      <vt:lpstr>りくと!ふっとび率</vt:lpstr>
      <vt:lpstr>れんたろう!ふっとび率</vt:lpstr>
      <vt:lpstr>わさび!ふっとび率</vt:lpstr>
      <vt:lpstr>全体!ふっとび率</vt:lpstr>
      <vt:lpstr>Template1!ラス数</vt:lpstr>
      <vt:lpstr>いちかわ!ラス数</vt:lpstr>
      <vt:lpstr>だいち!ラス数</vt:lpstr>
      <vt:lpstr>たか!ラス数</vt:lpstr>
      <vt:lpstr>たかの!ラス数</vt:lpstr>
      <vt:lpstr>ただ!ラス数</vt:lpstr>
      <vt:lpstr>のり!ラス数</vt:lpstr>
      <vt:lpstr>まっつん!ラス数</vt:lpstr>
      <vt:lpstr>りくと!ラス数</vt:lpstr>
      <vt:lpstr>れんたろう!ラス数</vt:lpstr>
      <vt:lpstr>わさび!ラス数</vt:lpstr>
      <vt:lpstr>全体!ラス数</vt:lpstr>
      <vt:lpstr>Template1!ラス率</vt:lpstr>
      <vt:lpstr>いちかわ!ラス率</vt:lpstr>
      <vt:lpstr>だいち!ラス率</vt:lpstr>
      <vt:lpstr>たか!ラス率</vt:lpstr>
      <vt:lpstr>たかの!ラス率</vt:lpstr>
      <vt:lpstr>ただ!ラス率</vt:lpstr>
      <vt:lpstr>のり!ラス率</vt:lpstr>
      <vt:lpstr>まっつん!ラス率</vt:lpstr>
      <vt:lpstr>りくと!ラス率</vt:lpstr>
      <vt:lpstr>れんたろう!ラス率</vt:lpstr>
      <vt:lpstr>わさび!ラス率</vt:lpstr>
      <vt:lpstr>全体!ラス率</vt:lpstr>
      <vt:lpstr>Template1!リーチアガリ数</vt:lpstr>
      <vt:lpstr>いちかわ!リーチアガリ数</vt:lpstr>
      <vt:lpstr>だいち!リーチアガリ数</vt:lpstr>
      <vt:lpstr>たか!リーチアガリ数</vt:lpstr>
      <vt:lpstr>たかの!リーチアガリ数</vt:lpstr>
      <vt:lpstr>ただ!リーチアガリ数</vt:lpstr>
      <vt:lpstr>のり!リーチアガリ数</vt:lpstr>
      <vt:lpstr>まっつん!リーチアガリ数</vt:lpstr>
      <vt:lpstr>りくと!リーチアガリ数</vt:lpstr>
      <vt:lpstr>れんたろう!リーチアガリ数</vt:lpstr>
      <vt:lpstr>わさび!リーチアガリ数</vt:lpstr>
      <vt:lpstr>全体!リーチアガリ数</vt:lpstr>
      <vt:lpstr>Template1!リーチアガリ率</vt:lpstr>
      <vt:lpstr>いちかわ!リーチアガリ率</vt:lpstr>
      <vt:lpstr>だいち!リーチアガリ率</vt:lpstr>
      <vt:lpstr>たか!リーチアガリ率</vt:lpstr>
      <vt:lpstr>たかの!リーチアガリ率</vt:lpstr>
      <vt:lpstr>ただ!リーチアガリ率</vt:lpstr>
      <vt:lpstr>のり!リーチアガリ率</vt:lpstr>
      <vt:lpstr>まっつん!リーチアガリ率</vt:lpstr>
      <vt:lpstr>りくと!リーチアガリ率</vt:lpstr>
      <vt:lpstr>れんたろう!リーチアガリ率</vt:lpstr>
      <vt:lpstr>わさび!リーチアガリ率</vt:lpstr>
      <vt:lpstr>全体!リーチアガリ率</vt:lpstr>
      <vt:lpstr>Template1!リーチ数</vt:lpstr>
      <vt:lpstr>いちかわ!リーチ数</vt:lpstr>
      <vt:lpstr>だいち!リーチ数</vt:lpstr>
      <vt:lpstr>たか!リーチ数</vt:lpstr>
      <vt:lpstr>たかの!リーチ数</vt:lpstr>
      <vt:lpstr>ただ!リーチ数</vt:lpstr>
      <vt:lpstr>のり!リーチ数</vt:lpstr>
      <vt:lpstr>まっつん!リーチ数</vt:lpstr>
      <vt:lpstr>りくと!リーチ数</vt:lpstr>
      <vt:lpstr>れんたろう!リーチ数</vt:lpstr>
      <vt:lpstr>わさび!リーチ数</vt:lpstr>
      <vt:lpstr>全体!リーチ数</vt:lpstr>
      <vt:lpstr>Template1!リーチ成功数</vt:lpstr>
      <vt:lpstr>いちかわ!リーチ成功数</vt:lpstr>
      <vt:lpstr>だいち!リーチ成功数</vt:lpstr>
      <vt:lpstr>たか!リーチ成功数</vt:lpstr>
      <vt:lpstr>たかの!リーチ成功数</vt:lpstr>
      <vt:lpstr>ただ!リーチ成功数</vt:lpstr>
      <vt:lpstr>のり!リーチ成功数</vt:lpstr>
      <vt:lpstr>まっつん!リーチ成功数</vt:lpstr>
      <vt:lpstr>りくと!リーチ成功数</vt:lpstr>
      <vt:lpstr>れんたろう!リーチ成功数</vt:lpstr>
      <vt:lpstr>わさび!リーチ成功数</vt:lpstr>
      <vt:lpstr>全体!リーチ成功数</vt:lpstr>
      <vt:lpstr>Template1!リーチ成功率</vt:lpstr>
      <vt:lpstr>いちかわ!リーチ成功率</vt:lpstr>
      <vt:lpstr>だいち!リーチ成功率</vt:lpstr>
      <vt:lpstr>たか!リーチ成功率</vt:lpstr>
      <vt:lpstr>たかの!リーチ成功率</vt:lpstr>
      <vt:lpstr>ただ!リーチ成功率</vt:lpstr>
      <vt:lpstr>のり!リーチ成功率</vt:lpstr>
      <vt:lpstr>まっつん!リーチ成功率</vt:lpstr>
      <vt:lpstr>りくと!リーチ成功率</vt:lpstr>
      <vt:lpstr>れんたろう!リーチ成功率</vt:lpstr>
      <vt:lpstr>わさび!リーチ成功率</vt:lpstr>
      <vt:lpstr>全体!リーチ成功率</vt:lpstr>
      <vt:lpstr>Template1!リーチ率</vt:lpstr>
      <vt:lpstr>いちかわ!リーチ率</vt:lpstr>
      <vt:lpstr>だいち!リーチ率</vt:lpstr>
      <vt:lpstr>たか!リーチ率</vt:lpstr>
      <vt:lpstr>たかの!リーチ率</vt:lpstr>
      <vt:lpstr>ただ!リーチ率</vt:lpstr>
      <vt:lpstr>のり!リーチ率</vt:lpstr>
      <vt:lpstr>まっつん!リーチ率</vt:lpstr>
      <vt:lpstr>りくと!リーチ率</vt:lpstr>
      <vt:lpstr>れんたろう!リーチ率</vt:lpstr>
      <vt:lpstr>わさび!リーチ率</vt:lpstr>
      <vt:lpstr>全体!リーチ率</vt:lpstr>
      <vt:lpstr>レーティング</vt:lpstr>
      <vt:lpstr>Template1!ロン数</vt:lpstr>
      <vt:lpstr>いちかわ!ロン数</vt:lpstr>
      <vt:lpstr>だいち!ロン数</vt:lpstr>
      <vt:lpstr>たか!ロン数</vt:lpstr>
      <vt:lpstr>たかの!ロン数</vt:lpstr>
      <vt:lpstr>ただ!ロン数</vt:lpstr>
      <vt:lpstr>のり!ロン数</vt:lpstr>
      <vt:lpstr>まっつん!ロン数</vt:lpstr>
      <vt:lpstr>りくと!ロン数</vt:lpstr>
      <vt:lpstr>れんたろう!ロン数</vt:lpstr>
      <vt:lpstr>わさび!ロン数</vt:lpstr>
      <vt:lpstr>全体!ロン数</vt:lpstr>
      <vt:lpstr>Template1!ロン率</vt:lpstr>
      <vt:lpstr>いちかわ!ロン率</vt:lpstr>
      <vt:lpstr>だいち!ロン率</vt:lpstr>
      <vt:lpstr>たか!ロン率</vt:lpstr>
      <vt:lpstr>たかの!ロン率</vt:lpstr>
      <vt:lpstr>ただ!ロン率</vt:lpstr>
      <vt:lpstr>のり!ロン率</vt:lpstr>
      <vt:lpstr>まっつん!ロン率</vt:lpstr>
      <vt:lpstr>りくと!ロン率</vt:lpstr>
      <vt:lpstr>れんたろう!ロン率</vt:lpstr>
      <vt:lpstr>わさび!ロン率</vt:lpstr>
      <vt:lpstr>全体!ロン率</vt:lpstr>
      <vt:lpstr>いちかわ!一位スコア</vt:lpstr>
      <vt:lpstr>だいち!一位スコア</vt:lpstr>
      <vt:lpstr>たか!一位スコア</vt:lpstr>
      <vt:lpstr>たかの!一位スコア</vt:lpstr>
      <vt:lpstr>ただ!一位スコア</vt:lpstr>
      <vt:lpstr>のり!一位スコア</vt:lpstr>
      <vt:lpstr>まっつん!一位スコア</vt:lpstr>
      <vt:lpstr>りくと!一位スコア</vt:lpstr>
      <vt:lpstr>れんたろう!一位スコア</vt:lpstr>
      <vt:lpstr>わさび!一位スコア</vt:lpstr>
      <vt:lpstr>全体!一位スコア</vt:lpstr>
      <vt:lpstr>一位スコア</vt:lpstr>
      <vt:lpstr>いちかわ!一位通算スコア</vt:lpstr>
      <vt:lpstr>だいち!一位通算スコア</vt:lpstr>
      <vt:lpstr>たか!一位通算スコア</vt:lpstr>
      <vt:lpstr>たかの!一位通算スコア</vt:lpstr>
      <vt:lpstr>ただ!一位通算スコア</vt:lpstr>
      <vt:lpstr>のり!一位通算スコア</vt:lpstr>
      <vt:lpstr>まっつん!一位通算スコア</vt:lpstr>
      <vt:lpstr>りくと!一位通算スコア</vt:lpstr>
      <vt:lpstr>れんたろう!一位通算スコア</vt:lpstr>
      <vt:lpstr>わさび!一位通算スコア</vt:lpstr>
      <vt:lpstr>全体!一位通算スコア</vt:lpstr>
      <vt:lpstr>一位通算スコア</vt:lpstr>
      <vt:lpstr>いちかわ!一翻数</vt:lpstr>
      <vt:lpstr>だいち!一翻数</vt:lpstr>
      <vt:lpstr>たか!一翻数</vt:lpstr>
      <vt:lpstr>たかの!一翻数</vt:lpstr>
      <vt:lpstr>ただ!一翻数</vt:lpstr>
      <vt:lpstr>のり!一翻数</vt:lpstr>
      <vt:lpstr>まっつん!一翻数</vt:lpstr>
      <vt:lpstr>りくと!一翻数</vt:lpstr>
      <vt:lpstr>れんたろう!一翻数</vt:lpstr>
      <vt:lpstr>わさび!一翻数</vt:lpstr>
      <vt:lpstr>全体!一翻数</vt:lpstr>
      <vt:lpstr>一翻数</vt:lpstr>
      <vt:lpstr>いちかわ!一翻率</vt:lpstr>
      <vt:lpstr>だいち!一翻率</vt:lpstr>
      <vt:lpstr>たか!一翻率</vt:lpstr>
      <vt:lpstr>たかの!一翻率</vt:lpstr>
      <vt:lpstr>ただ!一翻率</vt:lpstr>
      <vt:lpstr>のり!一翻率</vt:lpstr>
      <vt:lpstr>まっつん!一翻率</vt:lpstr>
      <vt:lpstr>りくと!一翻率</vt:lpstr>
      <vt:lpstr>れんたろう!一翻率</vt:lpstr>
      <vt:lpstr>わさび!一翻率</vt:lpstr>
      <vt:lpstr>全体!一翻率</vt:lpstr>
      <vt:lpstr>一翻率</vt:lpstr>
      <vt:lpstr>Template1!現行連続アガリ</vt:lpstr>
      <vt:lpstr>いちかわ!現行連続アガリ</vt:lpstr>
      <vt:lpstr>だいち!現行連続アガリ</vt:lpstr>
      <vt:lpstr>たか!現行連続アガリ</vt:lpstr>
      <vt:lpstr>たかの!現行連続アガリ</vt:lpstr>
      <vt:lpstr>ただ!現行連続アガリ</vt:lpstr>
      <vt:lpstr>のり!現行連続アガリ</vt:lpstr>
      <vt:lpstr>まっつん!現行連続アガリ</vt:lpstr>
      <vt:lpstr>りくと!現行連続アガリ</vt:lpstr>
      <vt:lpstr>れんたろう!現行連続アガリ</vt:lpstr>
      <vt:lpstr>わさび!現行連続アガリ</vt:lpstr>
      <vt:lpstr>全体!現行連続アガリ</vt:lpstr>
      <vt:lpstr>Template1!現行連続無放銃</vt:lpstr>
      <vt:lpstr>いちかわ!現行連続無放銃</vt:lpstr>
      <vt:lpstr>だいち!現行連続無放銃</vt:lpstr>
      <vt:lpstr>たか!現行連続無放銃</vt:lpstr>
      <vt:lpstr>たかの!現行連続無放銃</vt:lpstr>
      <vt:lpstr>ただ!現行連続無放銃</vt:lpstr>
      <vt:lpstr>のり!現行連続無放銃</vt:lpstr>
      <vt:lpstr>まっつん!現行連続無放銃</vt:lpstr>
      <vt:lpstr>りくと!現行連続無放銃</vt:lpstr>
      <vt:lpstr>れんたろう!現行連続無放銃</vt:lpstr>
      <vt:lpstr>わさび!現行連続無放銃</vt:lpstr>
      <vt:lpstr>全体!現行連続無放銃</vt:lpstr>
      <vt:lpstr>Template1!最高点</vt:lpstr>
      <vt:lpstr>いちかわ!最高点</vt:lpstr>
      <vt:lpstr>だいち!最高点</vt:lpstr>
      <vt:lpstr>たか!最高点</vt:lpstr>
      <vt:lpstr>たかの!最高点</vt:lpstr>
      <vt:lpstr>ただ!最高点</vt:lpstr>
      <vt:lpstr>のり!最高点</vt:lpstr>
      <vt:lpstr>まっつん!最高点</vt:lpstr>
      <vt:lpstr>りくと!最高点</vt:lpstr>
      <vt:lpstr>れんたろう!最高点</vt:lpstr>
      <vt:lpstr>わさび!最高点</vt:lpstr>
      <vt:lpstr>全体!最高点</vt:lpstr>
      <vt:lpstr>Template1!最大ドラ数</vt:lpstr>
      <vt:lpstr>いちかわ!最大ドラ数</vt:lpstr>
      <vt:lpstr>だいち!最大ドラ数</vt:lpstr>
      <vt:lpstr>たか!最大ドラ数</vt:lpstr>
      <vt:lpstr>たかの!最大ドラ数</vt:lpstr>
      <vt:lpstr>ただ!最大ドラ数</vt:lpstr>
      <vt:lpstr>のり!最大ドラ数</vt:lpstr>
      <vt:lpstr>まっつん!最大ドラ数</vt:lpstr>
      <vt:lpstr>りくと!最大ドラ数</vt:lpstr>
      <vt:lpstr>れんたろう!最大ドラ数</vt:lpstr>
      <vt:lpstr>わさび!最大ドラ数</vt:lpstr>
      <vt:lpstr>全体!最大ドラ数</vt:lpstr>
      <vt:lpstr>Template1!最大点数</vt:lpstr>
      <vt:lpstr>いちかわ!最大点数</vt:lpstr>
      <vt:lpstr>だいち!最大点数</vt:lpstr>
      <vt:lpstr>たか!最大点数</vt:lpstr>
      <vt:lpstr>たかの!最大点数</vt:lpstr>
      <vt:lpstr>ただ!最大点数</vt:lpstr>
      <vt:lpstr>のり!最大点数</vt:lpstr>
      <vt:lpstr>まっつん!最大点数</vt:lpstr>
      <vt:lpstr>りくと!最大点数</vt:lpstr>
      <vt:lpstr>れんたろう!最大点数</vt:lpstr>
      <vt:lpstr>わさび!最大点数</vt:lpstr>
      <vt:lpstr>全体!最大点数</vt:lpstr>
      <vt:lpstr>いちかわ!三位スコア</vt:lpstr>
      <vt:lpstr>だいち!三位スコア</vt:lpstr>
      <vt:lpstr>たか!三位スコア</vt:lpstr>
      <vt:lpstr>たかの!三位スコア</vt:lpstr>
      <vt:lpstr>ただ!三位スコア</vt:lpstr>
      <vt:lpstr>のり!三位スコア</vt:lpstr>
      <vt:lpstr>まっつん!三位スコア</vt:lpstr>
      <vt:lpstr>りくと!三位スコア</vt:lpstr>
      <vt:lpstr>れんたろう!三位スコア</vt:lpstr>
      <vt:lpstr>わさび!三位スコア</vt:lpstr>
      <vt:lpstr>全体!三位スコア</vt:lpstr>
      <vt:lpstr>三位スコア</vt:lpstr>
      <vt:lpstr>いちかわ!三位通算スコア</vt:lpstr>
      <vt:lpstr>だいち!三位通算スコア</vt:lpstr>
      <vt:lpstr>たか!三位通算スコア</vt:lpstr>
      <vt:lpstr>たかの!三位通算スコア</vt:lpstr>
      <vt:lpstr>ただ!三位通算スコア</vt:lpstr>
      <vt:lpstr>のり!三位通算スコア</vt:lpstr>
      <vt:lpstr>まっつん!三位通算スコア</vt:lpstr>
      <vt:lpstr>りくと!三位通算スコア</vt:lpstr>
      <vt:lpstr>れんたろう!三位通算スコア</vt:lpstr>
      <vt:lpstr>わさび!三位通算スコア</vt:lpstr>
      <vt:lpstr>全体!三位通算スコア</vt:lpstr>
      <vt:lpstr>三位通算スコア</vt:lpstr>
      <vt:lpstr>Template1!総局数</vt:lpstr>
      <vt:lpstr>いちかわ!総局数</vt:lpstr>
      <vt:lpstr>だいち!総局数</vt:lpstr>
      <vt:lpstr>たか!総局数</vt:lpstr>
      <vt:lpstr>たかの!総局数</vt:lpstr>
      <vt:lpstr>ただ!総局数</vt:lpstr>
      <vt:lpstr>のり!総局数</vt:lpstr>
      <vt:lpstr>まっつん!総局数</vt:lpstr>
      <vt:lpstr>りくと!総局数</vt:lpstr>
      <vt:lpstr>れんたろう!総局数</vt:lpstr>
      <vt:lpstr>わさび!総局数</vt:lpstr>
      <vt:lpstr>全体!総局数</vt:lpstr>
      <vt:lpstr>Template1!対戦数</vt:lpstr>
      <vt:lpstr>いちかわ!対戦数</vt:lpstr>
      <vt:lpstr>だいち!対戦数</vt:lpstr>
      <vt:lpstr>たか!対戦数</vt:lpstr>
      <vt:lpstr>たかの!対戦数</vt:lpstr>
      <vt:lpstr>ただ!対戦数</vt:lpstr>
      <vt:lpstr>のり!対戦数</vt:lpstr>
      <vt:lpstr>まっつん!対戦数</vt:lpstr>
      <vt:lpstr>りくと!対戦数</vt:lpstr>
      <vt:lpstr>れんたろう!対戦数</vt:lpstr>
      <vt:lpstr>わさび!対戦数</vt:lpstr>
      <vt:lpstr>全体!対戦数</vt:lpstr>
      <vt:lpstr>Template1!通算アガリ点</vt:lpstr>
      <vt:lpstr>いちかわ!通算アガリ点</vt:lpstr>
      <vt:lpstr>だいち!通算アガリ点</vt:lpstr>
      <vt:lpstr>たか!通算アガリ点</vt:lpstr>
      <vt:lpstr>たかの!通算アガリ点</vt:lpstr>
      <vt:lpstr>ただ!通算アガリ点</vt:lpstr>
      <vt:lpstr>のり!通算アガリ点</vt:lpstr>
      <vt:lpstr>まっつん!通算アガリ点</vt:lpstr>
      <vt:lpstr>りくと!通算アガリ点</vt:lpstr>
      <vt:lpstr>れんたろう!通算アガリ点</vt:lpstr>
      <vt:lpstr>わさび!通算アガリ点</vt:lpstr>
      <vt:lpstr>全体!通算アガリ点</vt:lpstr>
      <vt:lpstr>Template1!通算スコア</vt:lpstr>
      <vt:lpstr>いちかわ!通算スコア</vt:lpstr>
      <vt:lpstr>だいち!通算スコア</vt:lpstr>
      <vt:lpstr>たか!通算スコア</vt:lpstr>
      <vt:lpstr>たかの!通算スコア</vt:lpstr>
      <vt:lpstr>ただ!通算スコア</vt:lpstr>
      <vt:lpstr>のり!通算スコア</vt:lpstr>
      <vt:lpstr>まっつん!通算スコア</vt:lpstr>
      <vt:lpstr>りくと!通算スコア</vt:lpstr>
      <vt:lpstr>れんたろう!通算スコア</vt:lpstr>
      <vt:lpstr>わさび!通算スコア</vt:lpstr>
      <vt:lpstr>全体!通算スコア</vt:lpstr>
      <vt:lpstr>Template1!通算副露アガリ点</vt:lpstr>
      <vt:lpstr>いちかわ!通算副露アガリ点</vt:lpstr>
      <vt:lpstr>だいち!通算副露アガリ点</vt:lpstr>
      <vt:lpstr>たか!通算副露アガリ点</vt:lpstr>
      <vt:lpstr>たかの!通算副露アガリ点</vt:lpstr>
      <vt:lpstr>ただ!通算副露アガリ点</vt:lpstr>
      <vt:lpstr>のり!通算副露アガリ点</vt:lpstr>
      <vt:lpstr>まっつん!通算副露アガリ点</vt:lpstr>
      <vt:lpstr>りくと!通算副露アガリ点</vt:lpstr>
      <vt:lpstr>れんたろう!通算副露アガリ点</vt:lpstr>
      <vt:lpstr>わさび!通算副露アガリ点</vt:lpstr>
      <vt:lpstr>全体!通算副露アガリ点</vt:lpstr>
      <vt:lpstr>Template1!通算放銃点</vt:lpstr>
      <vt:lpstr>いちかわ!通算放銃点</vt:lpstr>
      <vt:lpstr>だいち!通算放銃点</vt:lpstr>
      <vt:lpstr>たか!通算放銃点</vt:lpstr>
      <vt:lpstr>たかの!通算放銃点</vt:lpstr>
      <vt:lpstr>ただ!通算放銃点</vt:lpstr>
      <vt:lpstr>のり!通算放銃点</vt:lpstr>
      <vt:lpstr>まっつん!通算放銃点</vt:lpstr>
      <vt:lpstr>りくと!通算放銃点</vt:lpstr>
      <vt:lpstr>れんたろう!通算放銃点</vt:lpstr>
      <vt:lpstr>わさび!通算放銃点</vt:lpstr>
      <vt:lpstr>全体!通算放銃点</vt:lpstr>
      <vt:lpstr>Template1!通算門前アガリ点</vt:lpstr>
      <vt:lpstr>いちかわ!通算門前アガリ点</vt:lpstr>
      <vt:lpstr>だいち!通算門前アガリ点</vt:lpstr>
      <vt:lpstr>たか!通算門前アガリ点</vt:lpstr>
      <vt:lpstr>たかの!通算門前アガリ点</vt:lpstr>
      <vt:lpstr>ただ!通算門前アガリ点</vt:lpstr>
      <vt:lpstr>のり!通算門前アガリ点</vt:lpstr>
      <vt:lpstr>まっつん!通算門前アガリ点</vt:lpstr>
      <vt:lpstr>りくと!通算門前アガリ点</vt:lpstr>
      <vt:lpstr>れんたろう!通算門前アガリ点</vt:lpstr>
      <vt:lpstr>わさび!通算門前アガリ点</vt:lpstr>
      <vt:lpstr>全体!通算門前アガリ点</vt:lpstr>
      <vt:lpstr>いちかわ!二位スコア</vt:lpstr>
      <vt:lpstr>だいち!二位スコア</vt:lpstr>
      <vt:lpstr>たか!二位スコア</vt:lpstr>
      <vt:lpstr>たかの!二位スコア</vt:lpstr>
      <vt:lpstr>ただ!二位スコア</vt:lpstr>
      <vt:lpstr>のり!二位スコア</vt:lpstr>
      <vt:lpstr>まっつん!二位スコア</vt:lpstr>
      <vt:lpstr>りくと!二位スコア</vt:lpstr>
      <vt:lpstr>れんたろう!二位スコア</vt:lpstr>
      <vt:lpstr>わさび!二位スコア</vt:lpstr>
      <vt:lpstr>全体!二位スコア</vt:lpstr>
      <vt:lpstr>二位スコア</vt:lpstr>
      <vt:lpstr>Template1!二位数</vt:lpstr>
      <vt:lpstr>いちかわ!二位数</vt:lpstr>
      <vt:lpstr>だいち!二位数</vt:lpstr>
      <vt:lpstr>たか!二位数</vt:lpstr>
      <vt:lpstr>たかの!二位数</vt:lpstr>
      <vt:lpstr>ただ!二位数</vt:lpstr>
      <vt:lpstr>のり!二位数</vt:lpstr>
      <vt:lpstr>まっつん!二位数</vt:lpstr>
      <vt:lpstr>りくと!二位数</vt:lpstr>
      <vt:lpstr>れんたろう!二位数</vt:lpstr>
      <vt:lpstr>わさび!二位数</vt:lpstr>
      <vt:lpstr>全体!二位数</vt:lpstr>
      <vt:lpstr>いちかわ!二位通算スコア</vt:lpstr>
      <vt:lpstr>だいち!二位通算スコア</vt:lpstr>
      <vt:lpstr>たか!二位通算スコア</vt:lpstr>
      <vt:lpstr>たかの!二位通算スコア</vt:lpstr>
      <vt:lpstr>ただ!二位通算スコア</vt:lpstr>
      <vt:lpstr>のり!二位通算スコア</vt:lpstr>
      <vt:lpstr>まっつん!二位通算スコア</vt:lpstr>
      <vt:lpstr>りくと!二位通算スコア</vt:lpstr>
      <vt:lpstr>れんたろう!二位通算スコア</vt:lpstr>
      <vt:lpstr>わさび!二位通算スコア</vt:lpstr>
      <vt:lpstr>全体!二位通算スコア</vt:lpstr>
      <vt:lpstr>二位通算スコア</vt:lpstr>
      <vt:lpstr>Template1!二位率</vt:lpstr>
      <vt:lpstr>いちかわ!二位率</vt:lpstr>
      <vt:lpstr>だいち!二位率</vt:lpstr>
      <vt:lpstr>たか!二位率</vt:lpstr>
      <vt:lpstr>たかの!二位率</vt:lpstr>
      <vt:lpstr>ただ!二位率</vt:lpstr>
      <vt:lpstr>のり!二位率</vt:lpstr>
      <vt:lpstr>まっつん!二位率</vt:lpstr>
      <vt:lpstr>りくと!二位率</vt:lpstr>
      <vt:lpstr>れんたろう!二位率</vt:lpstr>
      <vt:lpstr>わさび!二位率</vt:lpstr>
      <vt:lpstr>全体!二位率</vt:lpstr>
      <vt:lpstr>Template1!副露アガリ数</vt:lpstr>
      <vt:lpstr>いちかわ!副露アガリ数</vt:lpstr>
      <vt:lpstr>だいち!副露アガリ数</vt:lpstr>
      <vt:lpstr>たか!副露アガリ数</vt:lpstr>
      <vt:lpstr>たかの!副露アガリ数</vt:lpstr>
      <vt:lpstr>ただ!副露アガリ数</vt:lpstr>
      <vt:lpstr>のり!副露アガリ数</vt:lpstr>
      <vt:lpstr>まっつん!副露アガリ数</vt:lpstr>
      <vt:lpstr>りくと!副露アガリ数</vt:lpstr>
      <vt:lpstr>れんたろう!副露アガリ数</vt:lpstr>
      <vt:lpstr>わさび!副露アガリ数</vt:lpstr>
      <vt:lpstr>全体!副露アガリ数</vt:lpstr>
      <vt:lpstr>Template1!副露アガリ点</vt:lpstr>
      <vt:lpstr>いちかわ!副露アガリ点</vt:lpstr>
      <vt:lpstr>だいち!副露アガリ点</vt:lpstr>
      <vt:lpstr>たか!副露アガリ点</vt:lpstr>
      <vt:lpstr>たかの!副露アガリ点</vt:lpstr>
      <vt:lpstr>ただ!副露アガリ点</vt:lpstr>
      <vt:lpstr>のり!副露アガリ点</vt:lpstr>
      <vt:lpstr>まっつん!副露アガリ点</vt:lpstr>
      <vt:lpstr>りくと!副露アガリ点</vt:lpstr>
      <vt:lpstr>れんたろう!副露アガリ点</vt:lpstr>
      <vt:lpstr>わさび!副露アガリ点</vt:lpstr>
      <vt:lpstr>全体!副露アガリ点</vt:lpstr>
      <vt:lpstr>Template1!副露アガリ率</vt:lpstr>
      <vt:lpstr>いちかわ!副露アガリ率</vt:lpstr>
      <vt:lpstr>だいち!副露アガリ率</vt:lpstr>
      <vt:lpstr>たか!副露アガリ率</vt:lpstr>
      <vt:lpstr>たかの!副露アガリ率</vt:lpstr>
      <vt:lpstr>ただ!副露アガリ率</vt:lpstr>
      <vt:lpstr>のり!副露アガリ率</vt:lpstr>
      <vt:lpstr>まっつん!副露アガリ率</vt:lpstr>
      <vt:lpstr>りくと!副露アガリ率</vt:lpstr>
      <vt:lpstr>れんたろう!副露アガリ率</vt:lpstr>
      <vt:lpstr>わさび!副露アガリ率</vt:lpstr>
      <vt:lpstr>全体!副露アガリ率</vt:lpstr>
      <vt:lpstr>Template1!副露数</vt:lpstr>
      <vt:lpstr>いちかわ!副露数</vt:lpstr>
      <vt:lpstr>だいち!副露数</vt:lpstr>
      <vt:lpstr>たか!副露数</vt:lpstr>
      <vt:lpstr>たかの!副露数</vt:lpstr>
      <vt:lpstr>ただ!副露数</vt:lpstr>
      <vt:lpstr>のり!副露数</vt:lpstr>
      <vt:lpstr>まっつん!副露数</vt:lpstr>
      <vt:lpstr>りくと!副露数</vt:lpstr>
      <vt:lpstr>れんたろう!副露数</vt:lpstr>
      <vt:lpstr>わさび!副露数</vt:lpstr>
      <vt:lpstr>全体!副露数</vt:lpstr>
      <vt:lpstr>Template1!副露成功数</vt:lpstr>
      <vt:lpstr>いちかわ!副露成功数</vt:lpstr>
      <vt:lpstr>だいち!副露成功数</vt:lpstr>
      <vt:lpstr>たか!副露成功数</vt:lpstr>
      <vt:lpstr>たかの!副露成功数</vt:lpstr>
      <vt:lpstr>ただ!副露成功数</vt:lpstr>
      <vt:lpstr>のり!副露成功数</vt:lpstr>
      <vt:lpstr>まっつん!副露成功数</vt:lpstr>
      <vt:lpstr>りくと!副露成功数</vt:lpstr>
      <vt:lpstr>れんたろう!副露成功数</vt:lpstr>
      <vt:lpstr>わさび!副露成功数</vt:lpstr>
      <vt:lpstr>全体!副露成功数</vt:lpstr>
      <vt:lpstr>Template1!副露成功率</vt:lpstr>
      <vt:lpstr>いちかわ!副露成功率</vt:lpstr>
      <vt:lpstr>だいち!副露成功率</vt:lpstr>
      <vt:lpstr>たか!副露成功率</vt:lpstr>
      <vt:lpstr>たかの!副露成功率</vt:lpstr>
      <vt:lpstr>ただ!副露成功率</vt:lpstr>
      <vt:lpstr>のり!副露成功率</vt:lpstr>
      <vt:lpstr>まっつん!副露成功率</vt:lpstr>
      <vt:lpstr>りくと!副露成功率</vt:lpstr>
      <vt:lpstr>れんたろう!副露成功率</vt:lpstr>
      <vt:lpstr>わさび!副露成功率</vt:lpstr>
      <vt:lpstr>全体!副露成功率</vt:lpstr>
      <vt:lpstr>Template1!副露率</vt:lpstr>
      <vt:lpstr>いちかわ!副露率</vt:lpstr>
      <vt:lpstr>だいち!副露率</vt:lpstr>
      <vt:lpstr>たか!副露率</vt:lpstr>
      <vt:lpstr>たかの!副露率</vt:lpstr>
      <vt:lpstr>ただ!副露率</vt:lpstr>
      <vt:lpstr>のり!副露率</vt:lpstr>
      <vt:lpstr>まっつん!副露率</vt:lpstr>
      <vt:lpstr>りくと!副露率</vt:lpstr>
      <vt:lpstr>れんたろう!副露率</vt:lpstr>
      <vt:lpstr>わさび!副露率</vt:lpstr>
      <vt:lpstr>全体!副露率</vt:lpstr>
      <vt:lpstr>Template1!平均アガリ点</vt:lpstr>
      <vt:lpstr>いちかわ!平均アガリ点</vt:lpstr>
      <vt:lpstr>だいち!平均アガリ点</vt:lpstr>
      <vt:lpstr>たか!平均アガリ点</vt:lpstr>
      <vt:lpstr>たかの!平均アガリ点</vt:lpstr>
      <vt:lpstr>ただ!平均アガリ点</vt:lpstr>
      <vt:lpstr>のり!平均アガリ点</vt:lpstr>
      <vt:lpstr>まっつん!平均アガリ点</vt:lpstr>
      <vt:lpstr>りくと!平均アガリ点</vt:lpstr>
      <vt:lpstr>れんたろう!平均アガリ点</vt:lpstr>
      <vt:lpstr>わさび!平均アガリ点</vt:lpstr>
      <vt:lpstr>全体!平均アガリ点</vt:lpstr>
      <vt:lpstr>Template1!平均スコア</vt:lpstr>
      <vt:lpstr>いちかわ!平均スコア</vt:lpstr>
      <vt:lpstr>だいち!平均スコア</vt:lpstr>
      <vt:lpstr>たか!平均スコア</vt:lpstr>
      <vt:lpstr>たかの!平均スコア</vt:lpstr>
      <vt:lpstr>ただ!平均スコア</vt:lpstr>
      <vt:lpstr>のり!平均スコア</vt:lpstr>
      <vt:lpstr>まっつん!平均スコア</vt:lpstr>
      <vt:lpstr>りくと!平均スコア</vt:lpstr>
      <vt:lpstr>れんたろう!平均スコア</vt:lpstr>
      <vt:lpstr>わさび!平均スコア</vt:lpstr>
      <vt:lpstr>全体!平均スコア</vt:lpstr>
      <vt:lpstr>Template1!平均順位</vt:lpstr>
      <vt:lpstr>いちかわ!平均順位</vt:lpstr>
      <vt:lpstr>だいち!平均順位</vt:lpstr>
      <vt:lpstr>たか!平均順位</vt:lpstr>
      <vt:lpstr>たかの!平均順位</vt:lpstr>
      <vt:lpstr>ただ!平均順位</vt:lpstr>
      <vt:lpstr>のり!平均順位</vt:lpstr>
      <vt:lpstr>まっつん!平均順位</vt:lpstr>
      <vt:lpstr>りくと!平均順位</vt:lpstr>
      <vt:lpstr>れんたろう!平均順位</vt:lpstr>
      <vt:lpstr>わさび!平均順位</vt:lpstr>
      <vt:lpstr>全体!平均順位</vt:lpstr>
      <vt:lpstr>Template1!平均放銃点</vt:lpstr>
      <vt:lpstr>いちかわ!平均放銃点</vt:lpstr>
      <vt:lpstr>だいち!平均放銃点</vt:lpstr>
      <vt:lpstr>たか!平均放銃点</vt:lpstr>
      <vt:lpstr>たかの!平均放銃点</vt:lpstr>
      <vt:lpstr>ただ!平均放銃点</vt:lpstr>
      <vt:lpstr>のり!平均放銃点</vt:lpstr>
      <vt:lpstr>まっつん!平均放銃点</vt:lpstr>
      <vt:lpstr>りくと!平均放銃点</vt:lpstr>
      <vt:lpstr>れんたろう!平均放銃点</vt:lpstr>
      <vt:lpstr>わさび!平均放銃点</vt:lpstr>
      <vt:lpstr>全体!平均放銃点</vt:lpstr>
      <vt:lpstr>Template1!放銃数</vt:lpstr>
      <vt:lpstr>いちかわ!放銃数</vt:lpstr>
      <vt:lpstr>だいち!放銃数</vt:lpstr>
      <vt:lpstr>たか!放銃数</vt:lpstr>
      <vt:lpstr>たかの!放銃数</vt:lpstr>
      <vt:lpstr>ただ!放銃数</vt:lpstr>
      <vt:lpstr>のり!放銃数</vt:lpstr>
      <vt:lpstr>まっつん!放銃数</vt:lpstr>
      <vt:lpstr>りくと!放銃数</vt:lpstr>
      <vt:lpstr>れんたろう!放銃数</vt:lpstr>
      <vt:lpstr>わさび!放銃数</vt:lpstr>
      <vt:lpstr>全体!放銃数</vt:lpstr>
      <vt:lpstr>Template1!放銃率</vt:lpstr>
      <vt:lpstr>いちかわ!放銃率</vt:lpstr>
      <vt:lpstr>だいち!放銃率</vt:lpstr>
      <vt:lpstr>たか!放銃率</vt:lpstr>
      <vt:lpstr>たかの!放銃率</vt:lpstr>
      <vt:lpstr>ただ!放銃率</vt:lpstr>
      <vt:lpstr>のり!放銃率</vt:lpstr>
      <vt:lpstr>まっつん!放銃率</vt:lpstr>
      <vt:lpstr>りくと!放銃率</vt:lpstr>
      <vt:lpstr>れんたろう!放銃率</vt:lpstr>
      <vt:lpstr>わさび!放銃率</vt:lpstr>
      <vt:lpstr>全体!放銃率</vt:lpstr>
      <vt:lpstr>Template1!名前</vt:lpstr>
      <vt:lpstr>いちかわ!名前</vt:lpstr>
      <vt:lpstr>だいち!名前</vt:lpstr>
      <vt:lpstr>たか!名前</vt:lpstr>
      <vt:lpstr>たかの!名前</vt:lpstr>
      <vt:lpstr>ただ!名前</vt:lpstr>
      <vt:lpstr>のり!名前</vt:lpstr>
      <vt:lpstr>まっつん!名前</vt:lpstr>
      <vt:lpstr>りくと!名前</vt:lpstr>
      <vt:lpstr>れんたろう!名前</vt:lpstr>
      <vt:lpstr>わさび!名前</vt:lpstr>
      <vt:lpstr>全体!名前</vt:lpstr>
      <vt:lpstr>Template1!門前アガリ点</vt:lpstr>
      <vt:lpstr>いちかわ!門前アガリ点</vt:lpstr>
      <vt:lpstr>だいち!門前アガリ点</vt:lpstr>
      <vt:lpstr>たか!門前アガリ点</vt:lpstr>
      <vt:lpstr>たかの!門前アガリ点</vt:lpstr>
      <vt:lpstr>ただ!門前アガリ点</vt:lpstr>
      <vt:lpstr>のり!門前アガリ点</vt:lpstr>
      <vt:lpstr>まっつん!門前アガリ点</vt:lpstr>
      <vt:lpstr>りくと!門前アガリ点</vt:lpstr>
      <vt:lpstr>れんたろう!門前アガリ点</vt:lpstr>
      <vt:lpstr>わさび!門前アガリ点</vt:lpstr>
      <vt:lpstr>全体!門前アガリ点</vt:lpstr>
      <vt:lpstr>Template1!連続アガリ</vt:lpstr>
      <vt:lpstr>いちかわ!連続アガリ</vt:lpstr>
      <vt:lpstr>だいち!連続アガリ</vt:lpstr>
      <vt:lpstr>たか!連続アガリ</vt:lpstr>
      <vt:lpstr>たかの!連続アガリ</vt:lpstr>
      <vt:lpstr>ただ!連続アガリ</vt:lpstr>
      <vt:lpstr>のり!連続アガリ</vt:lpstr>
      <vt:lpstr>まっつん!連続アガリ</vt:lpstr>
      <vt:lpstr>りくと!連続アガリ</vt:lpstr>
      <vt:lpstr>れんたろう!連続アガリ</vt:lpstr>
      <vt:lpstr>わさび!連続アガリ</vt:lpstr>
      <vt:lpstr>全体!連続アガリ</vt:lpstr>
      <vt:lpstr>Template1!連続無放銃</vt:lpstr>
      <vt:lpstr>いちかわ!連続無放銃</vt:lpstr>
      <vt:lpstr>だいち!連続無放銃</vt:lpstr>
      <vt:lpstr>たか!連続無放銃</vt:lpstr>
      <vt:lpstr>たかの!連続無放銃</vt:lpstr>
      <vt:lpstr>ただ!連続無放銃</vt:lpstr>
      <vt:lpstr>のり!連続無放銃</vt:lpstr>
      <vt:lpstr>まっつん!連続無放銃</vt:lpstr>
      <vt:lpstr>りくと!連続無放銃</vt:lpstr>
      <vt:lpstr>れんたろう!連続無放銃</vt:lpstr>
      <vt:lpstr>わさび!連続無放銃</vt:lpstr>
      <vt:lpstr>全体!連続無放銃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Daichi</cp:lastModifiedBy>
  <dcterms:created xsi:type="dcterms:W3CDTF">2018-11-18T09:24:12Z</dcterms:created>
  <dcterms:modified xsi:type="dcterms:W3CDTF">2020-10-10T01:38:31Z</dcterms:modified>
</cp:coreProperties>
</file>