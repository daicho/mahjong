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FEA1798B-1B17-43C9-BF46-85006014A18C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8" i="6998" l="1"/>
  <c r="P18" i="6988"/>
  <c r="P21" i="6984" l="1"/>
  <c r="P16" i="6988"/>
  <c r="P15" i="6998" l="1"/>
  <c r="P24" i="6984"/>
  <c r="P16" i="6986" l="1"/>
  <c r="P20" i="6988"/>
  <c r="P22" i="6992"/>
  <c r="P15" i="6988"/>
  <c r="P19" i="6994" l="1"/>
  <c r="P17" i="6986"/>
  <c r="P19" i="6998" l="1"/>
  <c r="P18" i="6982"/>
  <c r="P23" i="6990" l="1"/>
  <c r="P18" i="6986"/>
  <c r="P15" i="6992" l="1"/>
  <c r="P19" i="6992"/>
  <c r="P20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2" i="6998"/>
  <c r="H17" i="6998"/>
  <c r="H15" i="6998"/>
  <c r="C24" i="6998"/>
  <c r="H38" i="6998"/>
  <c r="C43" i="6998"/>
  <c r="C49" i="6998"/>
  <c r="H26" i="6998"/>
  <c r="H39" i="6998"/>
  <c r="H44" i="6998"/>
  <c r="H50" i="6998"/>
  <c r="H14" i="6998"/>
  <c r="C20" i="6998"/>
  <c r="C25" i="6998"/>
  <c r="H32" i="6998"/>
  <c r="C39" i="6998"/>
  <c r="H45" i="6998"/>
  <c r="H3" i="6998"/>
  <c r="H31" i="6998"/>
  <c r="H6" i="6998"/>
  <c r="H2" i="6998"/>
  <c r="H8" i="6998"/>
  <c r="H13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1" i="6998"/>
  <c r="H33" i="6998"/>
  <c r="C38" i="6998"/>
  <c r="C42" i="6998"/>
  <c r="C46" i="6998"/>
  <c r="P23" i="6984" l="1"/>
  <c r="P20" i="6992"/>
  <c r="P15" i="6990"/>
  <c r="P16" i="6992"/>
  <c r="P23" i="6992"/>
  <c r="P18" i="6994"/>
  <c r="P17" i="6990"/>
  <c r="P20" i="6994"/>
  <c r="P22" i="6984"/>
  <c r="P15" i="6984"/>
  <c r="P18" i="6996" l="1"/>
  <c r="P16" i="6994"/>
  <c r="P17" i="6982"/>
  <c r="P20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20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3" i="6982"/>
  <c r="P26" i="6980"/>
  <c r="C19" i="6992" l="1"/>
  <c r="B14" i="6992"/>
  <c r="C20" i="6992"/>
  <c r="H3" i="6992"/>
  <c r="H31" i="6992"/>
  <c r="H35" i="6992"/>
  <c r="C38" i="6992"/>
  <c r="C46" i="6992"/>
  <c r="H2" i="6992"/>
  <c r="H11" i="6992"/>
  <c r="H25" i="6992"/>
  <c r="H16" i="6992"/>
  <c r="C24" i="6992"/>
  <c r="B28" i="6992"/>
  <c r="H36" i="6992"/>
  <c r="H41" i="6992"/>
  <c r="H44" i="6992"/>
  <c r="H48" i="6992"/>
  <c r="H4" i="6992"/>
  <c r="H29" i="6992"/>
  <c r="H13" i="6992"/>
  <c r="H21" i="6992"/>
  <c r="H37" i="6992"/>
  <c r="C39" i="6992"/>
  <c r="C43" i="6992"/>
  <c r="C47" i="6992"/>
  <c r="H52" i="6992"/>
  <c r="H19" i="6992"/>
  <c r="H26" i="6992"/>
  <c r="C25" i="6992"/>
  <c r="H42" i="6992"/>
  <c r="H45" i="6992"/>
  <c r="H49" i="6992"/>
  <c r="H7" i="6992"/>
  <c r="C42" i="6992"/>
  <c r="H18" i="6992"/>
  <c r="H8" i="6992"/>
  <c r="H9" i="6992"/>
  <c r="H28" i="6992"/>
  <c r="H14" i="6992"/>
  <c r="H32" i="6992"/>
  <c r="H33" i="6992"/>
  <c r="H38" i="6992"/>
  <c r="C40" i="6992"/>
  <c r="C44" i="6992"/>
  <c r="C48" i="6992"/>
  <c r="H5" i="6992"/>
  <c r="H27" i="6992"/>
  <c r="C22" i="6992"/>
  <c r="C26" i="6992"/>
  <c r="H39" i="6992"/>
  <c r="H23" i="6992"/>
  <c r="H46" i="6992"/>
  <c r="H50" i="6992"/>
  <c r="H6" i="6992"/>
  <c r="H10" i="6992"/>
  <c r="H24" i="6992"/>
  <c r="H30" i="6992"/>
  <c r="H20" i="6992"/>
  <c r="H22" i="6992"/>
  <c r="C37" i="6992"/>
  <c r="C41" i="6992"/>
  <c r="C45" i="6992"/>
  <c r="C49" i="6992"/>
  <c r="H12" i="6992"/>
  <c r="H15" i="6992"/>
  <c r="H17" i="6992"/>
  <c r="C23" i="6992"/>
  <c r="B27" i="6992"/>
  <c r="H34" i="6992"/>
  <c r="H40" i="6992"/>
  <c r="H43" i="6992"/>
  <c r="H47" i="6992"/>
  <c r="P24" i="6982" l="1"/>
  <c r="P21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1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7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2" i="6990"/>
  <c r="H22" i="6990"/>
  <c r="H27" i="6990"/>
  <c r="H30" i="6990"/>
  <c r="H32" i="6990"/>
  <c r="C37" i="6990"/>
  <c r="C41" i="6990"/>
  <c r="C45" i="6990"/>
  <c r="C49" i="6990"/>
  <c r="H10" i="6990"/>
  <c r="H15" i="6990"/>
  <c r="H16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8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2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2" i="6980"/>
  <c r="P21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C43" i="6984" l="1"/>
  <c r="B14" i="6984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2" i="6984"/>
  <c r="C22" i="6984"/>
  <c r="H2" i="6984"/>
  <c r="H21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0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3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2" i="6986"/>
  <c r="H23" i="6986"/>
  <c r="H29" i="6986"/>
  <c r="H19" i="6986"/>
  <c r="H33" i="6986"/>
  <c r="C37" i="6986"/>
  <c r="C41" i="6986"/>
  <c r="C45" i="6986"/>
  <c r="C49" i="6986"/>
  <c r="H11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5" i="6984"/>
  <c r="H37" i="6984"/>
  <c r="C40" i="6984"/>
  <c r="C44" i="6984"/>
  <c r="C48" i="6984"/>
  <c r="H38" i="6984"/>
  <c r="H42" i="6984"/>
  <c r="H46" i="6984"/>
  <c r="H50" i="6984"/>
  <c r="H18" i="6984"/>
  <c r="H17" i="6984"/>
  <c r="C23" i="6984"/>
  <c r="B27" i="6984"/>
  <c r="H33" i="6984"/>
  <c r="H39" i="6984"/>
  <c r="H43" i="6984"/>
  <c r="H47" i="6984"/>
  <c r="H51" i="6984"/>
  <c r="H20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1" i="6982"/>
  <c r="H34" i="6982"/>
  <c r="C42" i="6982"/>
  <c r="H15" i="6982"/>
  <c r="H2" i="6982"/>
  <c r="H8" i="6982"/>
  <c r="H22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6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9" i="6980"/>
  <c r="H2" i="6980"/>
  <c r="H10" i="6980"/>
  <c r="H46" i="6980"/>
  <c r="H7" i="6980"/>
  <c r="H13" i="6980"/>
  <c r="H22" i="6980"/>
  <c r="H25" i="6980"/>
  <c r="H48" i="6980"/>
  <c r="H26" i="6980"/>
  <c r="H43" i="6980"/>
  <c r="C47" i="6980"/>
  <c r="H49" i="6980"/>
  <c r="H23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7" i="6980"/>
  <c r="H41" i="6980"/>
  <c r="H44" i="6980"/>
  <c r="H47" i="6980"/>
  <c r="H51" i="6980"/>
  <c r="H21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<sst xmlns="http://schemas.openxmlformats.org/spreadsheetml/2006/main" count="3536" uniqueCount="275">
  <si>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</si>
  <si>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</si>
  <si>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</si>
  <si>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</si>
  <si>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</si>
  <si>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</si>
  <si>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</si>
  <si>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</si>
  <si>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</si>
  <si>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</si>
  <si>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</si>
  <si>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</si>
  <si>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</si>
  <si>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</si>
  <si>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</si>
  <si>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</si>
  <si>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</si>
  <si>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</si>
  <si>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</si>
  <si>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</si>
  <si>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</si>
  <si>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</si>
  <si>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</si>
  <si>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</si>
  <si>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</si>
  <si>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</si>
  <si>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</si>
  <si>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</si>
  <si>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</si>
  <si>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</si>
  <si>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</si>
  <si>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</si>
  <si>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</si>
  <si>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</si>
  <si>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</si>
  <si>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</si>
  <si>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</si>
  <si>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</si>
  <si>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</si>
  <si>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</si>
  <si>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</si>
  <si>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</si>
  <si>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</si>
  <si>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</si>
  <si>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</si>
  <si>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</si>
  <si>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</si>
  <si>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</si>
  <si>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</si>
  <si>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</si>
  <si>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</si>
  <si>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</si>
  <si>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</si>
  <si>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</si>
  <si>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</si>
  <si>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</si>
  <si>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</si>
  <si>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</si>
  <si>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</si>
  <si>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</si>
  <si>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</si>
  <si>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</si>
  <si>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</si>
  <si>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</si>
  <si>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</si>
  <si>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</si>
  <si>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</si>
  <si>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</si>
  <si>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</si>
  <si>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</si>
  <si>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</si>
  <si>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</si>
  <si>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</si>
  <si>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</si>
  <si>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</si>
  <si>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</si>
  <si>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</si>
  <si>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</si>
  <si>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</si>
  <si>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</si>
  <si>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</si>
  <si>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</si>
  <si>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</si>
  <si>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</si>
  <si>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</si>
  <si>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</si>
  <si>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</si>
  <si>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</si>
  <si>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</si>
  <si>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</si>
  <si>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</si>
  <si>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</si>
  <si>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</si>
  <si>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</si>
  <si>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</si>
  <si>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</si>
  <si>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</si>
  <si>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</si>
  <si>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</si>
  <si>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</si>
  <si>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</si>
  <si>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</si>
  <si>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</si>
  <si>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</si>
  <si>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</si>
  <si>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</si>
  <si>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</si>
  <si>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</si>
  <si>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</si>
  <si>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</si>
  <si>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</si>
  <si>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</si>
  <si>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</si>
  <si>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</si>
  <si>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</si>
  <si>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</si>
  <si>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</si>
  <si>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</si>
  <si>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</si>
  <si>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</si>
  <si>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</si>
  <si>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</si>
  <si>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</si>
  <si>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</si>
  <si>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</si>
  <si>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</si>
  <si>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</si>
  <si>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</si>
  <si>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</si>
  <si>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</si>
  <si>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</si>
  <si>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</si>
  <si>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</si>
  <si>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</si>
  <si>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</si>
  <si>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</si>
  <si>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</si>
  <si>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</si>
  <si>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</si>
  <si>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</si>
  <si>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</si>
  <si>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</si>
  <si>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</si>
  <si>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</si>
  <si>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</si>
  <si>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</si>
  <si>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</si>
  <si>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</si>
  <si>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</si>
  <si>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</si>
  <si>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</si>
  <si>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</si>
  <si>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</si>
  <si>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</si>
  <si>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</si>
  <si>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</si>
  <si>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</si>
  <si>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</si>
  <si>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</si>
  <si>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</si>
  <si>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</si>
  <si>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</si>
  <si>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</si>
  <si>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</si>
  <si>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</si>
  <si>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</si>
  <si>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</si>
  <si>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</si>
  <si>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</si>
  <si>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</si>
  <si>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</si>
  <si>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</si>
  <si>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</si>
  <si>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</si>
  <si>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</si>
  <si>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</si>
  <si>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</si>
  <si>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</si>
  <si>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</si>
  <si>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</si>
  <si>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</si>
  <si>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</si>
  <si>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</si>
  <si>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</si>
  <si>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</si>
  <si>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</si>
  <si>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</si>
  <si>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</si>
  <si>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</si>
  <si>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</si>
  <si>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</si>
  <si>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</si>
  <si>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</si>
  <si>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</si>
  <si>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</si>
  <si>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</si>
  <si>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</si>
  <si>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</si>
  <si>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</si>
  <si>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</si>
  <si>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</si>
  <si>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</si>
  <si>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</si>
  <si>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</si>
  <si>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</si>
  <si>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</si>
  <si>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</si>
  <si>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</si>
  <si>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</si>
  <si>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</si>
  <si>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</si>
  <si>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</si>
  <si>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</si>
  <si>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</si>
  <si>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</si>
  <si>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</si>
  <si>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</si>
  <si>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</si>
  <si>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</si>
  <si>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</si>
  <si>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</si>
  <si>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</si>
  <si>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</si>
  <si>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</si>
  <si>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</si>
  <si>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</si>
  <si>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</si>
  <si>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</si>
  <si>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</si>
  <si>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</si>
  <si>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</si>
  <si>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</si>
  <si>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</si>
  <si>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</si>
  <si>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</si>
  <si>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</si>
  <si>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</si>
  <si>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</si>
  <si>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</si>
  <si>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</si>
  <si>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</si>
  <si>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</si>
  <si>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</si>
  <si>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</si>
  <si>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</si>
  <si>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</si>
  <si>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</si>
  <si>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</si>
  <si>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</si>
  <si>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</si>
  <si>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</si>
  <si>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</si>
  <si>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</si>
  <si>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</si>
  <si>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</si>
  <si>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</si>
  <si>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</si>
  <si>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</si>
  <si>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</si>
  <si>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</si>
  <si>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</si>
  <si>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</si>
  <si>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</si>
  <si>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</si>
  <si>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</si>
  <si>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</si>
  <si>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</si>
  <si>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</si>
  <si>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</si>
  <si>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</si>
  <si>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</si>
  <si>
    <t>2021-01-07@0.xlsm</t>
  </si>
  <si>
    <t>2021-01-15@0.xlsm</t>
  </si>
  <si>
    <t>2021-01-16@0.xlsm</t>
  </si>
  <si>
    <t>2021-01-25@0.xlsm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</si>
</sst>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全体!$K$2:$K$452</c:f>
              <c:numCache>
                <c:formatCode>General</c:formatCode>
                <c:ptCount val="4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</c:numCache>
            </c:numRef>
          </c:xVal>
          <c:yVal>
            <c:numRef>
              <c:f>全体!$L$2:$L$452</c:f>
              <c:numCache>
                <c:formatCode>\+0.0;\-0.0;\±0</c:formatCode>
                <c:ptCount val="451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  <c:pt idx="418">
                  <c:v>-50.599999999999937</c:v>
                </c:pt>
                <c:pt idx="419">
                  <c:v>-55.999999999999936</c:v>
                </c:pt>
                <c:pt idx="420">
                  <c:v>6.3948846218409017E-14</c:v>
                </c:pt>
                <c:pt idx="421">
                  <c:v>2.100000000000064</c:v>
                </c:pt>
                <c:pt idx="422">
                  <c:v>17.500000000000064</c:v>
                </c:pt>
                <c:pt idx="423">
                  <c:v>6.3948846218409017E-14</c:v>
                </c:pt>
                <c:pt idx="424">
                  <c:v>68.600000000000051</c:v>
                </c:pt>
                <c:pt idx="425">
                  <c:v>16.900000000000048</c:v>
                </c:pt>
                <c:pt idx="426">
                  <c:v>4.9737991503207013E-14</c:v>
                </c:pt>
                <c:pt idx="427">
                  <c:v>2.3000000000000496</c:v>
                </c:pt>
                <c:pt idx="428">
                  <c:v>-30.19999999999995</c:v>
                </c:pt>
                <c:pt idx="429">
                  <c:v>4.9737991503207013E-14</c:v>
                </c:pt>
                <c:pt idx="430">
                  <c:v>24.50000000000005</c:v>
                </c:pt>
                <c:pt idx="431">
                  <c:v>-5.5999999999999517</c:v>
                </c:pt>
                <c:pt idx="432">
                  <c:v>4.7961634663806763E-14</c:v>
                </c:pt>
                <c:pt idx="433">
                  <c:v>-48.299999999999947</c:v>
                </c:pt>
                <c:pt idx="434">
                  <c:v>-9.699999999999946</c:v>
                </c:pt>
                <c:pt idx="435">
                  <c:v>5.3290705182007514E-14</c:v>
                </c:pt>
                <c:pt idx="436">
                  <c:v>36.500000000000057</c:v>
                </c:pt>
                <c:pt idx="437">
                  <c:v>7.4000000000000554</c:v>
                </c:pt>
                <c:pt idx="438">
                  <c:v>5.5067062021407764E-14</c:v>
                </c:pt>
                <c:pt idx="439">
                  <c:v>-26.799999999999947</c:v>
                </c:pt>
                <c:pt idx="440">
                  <c:v>-24.399999999999949</c:v>
                </c:pt>
                <c:pt idx="441">
                  <c:v>4.9737991503207013E-14</c:v>
                </c:pt>
                <c:pt idx="442">
                  <c:v>40.300000000000047</c:v>
                </c:pt>
                <c:pt idx="443">
                  <c:v>46.00000000000005</c:v>
                </c:pt>
                <c:pt idx="444">
                  <c:v>4.9737991503207013E-14</c:v>
                </c:pt>
                <c:pt idx="445">
                  <c:v>-31.099999999999952</c:v>
                </c:pt>
                <c:pt idx="446">
                  <c:v>-30.099999999999952</c:v>
                </c:pt>
                <c:pt idx="447">
                  <c:v>4.9737991503207013E-14</c:v>
                </c:pt>
                <c:pt idx="448">
                  <c:v>50.400000000000048</c:v>
                </c:pt>
                <c:pt idx="449">
                  <c:v>31.800000000000047</c:v>
                </c:pt>
                <c:pt idx="450">
                  <c:v>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-33.557046979865774</c:v>
                </c:pt>
                <c:pt idx="1">
                  <c:v>13.698630136986301</c:v>
                </c:pt>
                <c:pt idx="2">
                  <c:v>2.2831050228310503</c:v>
                </c:pt>
                <c:pt idx="3">
                  <c:v>-4.7961630695443649</c:v>
                </c:pt>
                <c:pt idx="4">
                  <c:v>13.123359580052494</c:v>
                </c:pt>
                <c:pt idx="5">
                  <c:v>15.290519877675841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81</c:v>
                </c:pt>
                <c:pt idx="1">
                  <c:v>209</c:v>
                </c:pt>
                <c:pt idx="2">
                  <c:v>222</c:v>
                </c:pt>
                <c:pt idx="3">
                  <c:v>223</c:v>
                </c:pt>
                <c:pt idx="4">
                  <c:v>170</c:v>
                </c:pt>
                <c:pt idx="5">
                  <c:v>104</c:v>
                </c:pt>
                <c:pt idx="6">
                  <c:v>48</c:v>
                </c:pt>
                <c:pt idx="7">
                  <c:v>36</c:v>
                </c:pt>
                <c:pt idx="8">
                  <c:v>20</c:v>
                </c:pt>
                <c:pt idx="9">
                  <c:v>12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全体!$K$2:$K$452</c:f>
              <c:numCache>
                <c:formatCode>General</c:formatCode>
                <c:ptCount val="4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</c:numCache>
            </c:numRef>
          </c:xVal>
          <c:yVal>
            <c:numRef>
              <c:f>全体!$M$2:$M$452</c:f>
              <c:numCache>
                <c:formatCode>0</c:formatCode>
                <c:ptCount val="451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  <c:pt idx="418">
                  <c:v>1598.8648140590221</c:v>
                </c:pt>
                <c:pt idx="419">
                  <c:v>1597.8456251746679</c:v>
                </c:pt>
                <c:pt idx="420">
                  <c:v>1607.88455142362</c:v>
                </c:pt>
                <c:pt idx="421">
                  <c:v>1608.1612441150783</c:v>
                </c:pt>
                <c:pt idx="422">
                  <c:v>1610.8302766503878</c:v>
                </c:pt>
                <c:pt idx="423">
                  <c:v>1607.5612949904855</c:v>
                </c:pt>
                <c:pt idx="424">
                  <c:v>1620.0019272205427</c:v>
                </c:pt>
                <c:pt idx="425">
                  <c:v>1610.7139156572196</c:v>
                </c:pt>
                <c:pt idx="426">
                  <c:v>1607.7456321632762</c:v>
                </c:pt>
                <c:pt idx="427">
                  <c:v>1608.2511583702965</c:v>
                </c:pt>
                <c:pt idx="428">
                  <c:v>1602.4896514200748</c:v>
                </c:pt>
                <c:pt idx="429">
                  <c:v>1608.0487135115543</c:v>
                </c:pt>
                <c:pt idx="430">
                  <c:v>1612.4584212304849</c:v>
                </c:pt>
                <c:pt idx="431">
                  <c:v>1607.013670703102</c:v>
                </c:pt>
                <c:pt idx="432">
                  <c:v>1608.0275886788834</c:v>
                </c:pt>
                <c:pt idx="433">
                  <c:v>1599.33342314681</c:v>
                </c:pt>
                <c:pt idx="434">
                  <c:v>1606.3334226079292</c:v>
                </c:pt>
                <c:pt idx="435">
                  <c:v>1608.0894220722816</c:v>
                </c:pt>
                <c:pt idx="436">
                  <c:v>1614.886885539848</c:v>
                </c:pt>
                <c:pt idx="437">
                  <c:v>1609.835564226609</c:v>
                </c:pt>
                <c:pt idx="438">
                  <c:v>1608.7205508412494</c:v>
                </c:pt>
                <c:pt idx="439">
                  <c:v>1604.1202275362018</c:v>
                </c:pt>
                <c:pt idx="440">
                  <c:v>1604.8035061709845</c:v>
                </c:pt>
                <c:pt idx="441">
                  <c:v>1609.4426851339585</c:v>
                </c:pt>
                <c:pt idx="442">
                  <c:v>1616.9160290231548</c:v>
                </c:pt>
                <c:pt idx="443">
                  <c:v>1618.1165328490158</c:v>
                </c:pt>
                <c:pt idx="444">
                  <c:v>1610.0038336519217</c:v>
                </c:pt>
                <c:pt idx="445">
                  <c:v>1604.6218106500103</c:v>
                </c:pt>
                <c:pt idx="446">
                  <c:v>1605.0500797861102</c:v>
                </c:pt>
                <c:pt idx="447">
                  <c:v>1610.7137793073937</c:v>
                </c:pt>
                <c:pt idx="448">
                  <c:v>1619.9974966315492</c:v>
                </c:pt>
                <c:pt idx="449">
                  <c:v>1616.8055116517598</c:v>
                </c:pt>
                <c:pt idx="450">
                  <c:v>1611.2566785818492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だいち!$L$2:$L$128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  <c:pt idx="116">
                  <c:v>199.79999999999987</c:v>
                </c:pt>
                <c:pt idx="117">
                  <c:v>215.19999999999987</c:v>
                </c:pt>
                <c:pt idx="118">
                  <c:v>163.49999999999989</c:v>
                </c:pt>
                <c:pt idx="119">
                  <c:v>130.99999999999989</c:v>
                </c:pt>
                <c:pt idx="120">
                  <c:v>100.89999999999989</c:v>
                </c:pt>
                <c:pt idx="121">
                  <c:v>52.599999999999895</c:v>
                </c:pt>
                <c:pt idx="122">
                  <c:v>23.499999999999893</c:v>
                </c:pt>
                <c:pt idx="123">
                  <c:v>-3.3000000000001073</c:v>
                </c:pt>
                <c:pt idx="124">
                  <c:v>36.999999999999886</c:v>
                </c:pt>
                <c:pt idx="125">
                  <c:v>67.099999999999881</c:v>
                </c:pt>
                <c:pt idx="126">
                  <c:v>117.49999999999989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659.2</c:v>
                </c:pt>
                <c:pt idx="1">
                  <c:v>-537.70491803278685</c:v>
                </c:pt>
                <c:pt idx="2">
                  <c:v>-1656.5573770491803</c:v>
                </c:pt>
                <c:pt idx="3">
                  <c:v>1037.6068376068376</c:v>
                </c:pt>
                <c:pt idx="4">
                  <c:v>743.39622641509436</c:v>
                </c:pt>
                <c:pt idx="5">
                  <c:v>608.79120879120876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20</c:v>
                </c:pt>
                <c:pt idx="1">
                  <c:v>66</c:v>
                </c:pt>
                <c:pt idx="2">
                  <c:v>64</c:v>
                </c:pt>
                <c:pt idx="3">
                  <c:v>65</c:v>
                </c:pt>
                <c:pt idx="4">
                  <c:v>55</c:v>
                </c:pt>
                <c:pt idx="5">
                  <c:v>39</c:v>
                </c:pt>
                <c:pt idx="6">
                  <c:v>11</c:v>
                </c:pt>
                <c:pt idx="7">
                  <c:v>7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だいち!$M$2:$M$128</c:f>
              <c:numCache>
                <c:formatCode>0</c:formatCode>
                <c:ptCount val="127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  <c:pt idx="116">
                  <c:v>1757.2516989713724</c:v>
                </c:pt>
                <c:pt idx="117">
                  <c:v>1759.0261887775441</c:v>
                </c:pt>
                <c:pt idx="118">
                  <c:v>1748.9040316448788</c:v>
                </c:pt>
                <c:pt idx="119">
                  <c:v>1742.2986074550095</c:v>
                </c:pt>
                <c:pt idx="120">
                  <c:v>1736.0748158102795</c:v>
                </c:pt>
                <c:pt idx="121">
                  <c:v>1726.6123669154179</c:v>
                </c:pt>
                <c:pt idx="122">
                  <c:v>1720.8906927139253</c:v>
                </c:pt>
                <c:pt idx="123">
                  <c:v>1715.6173485576417</c:v>
                </c:pt>
                <c:pt idx="124">
                  <c:v>1722.4536444662958</c:v>
                </c:pt>
                <c:pt idx="125">
                  <c:v>1727.412922599498</c:v>
                </c:pt>
                <c:pt idx="126">
                  <c:v>1735.9964450639009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れんたろう!$L$2:$L$85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  <c:pt idx="75">
                  <c:v>-101.69999999999999</c:v>
                </c:pt>
                <c:pt idx="76">
                  <c:v>-119.19999999999999</c:v>
                </c:pt>
                <c:pt idx="77">
                  <c:v>-113.6</c:v>
                </c:pt>
                <c:pt idx="78">
                  <c:v>-103.89999999999999</c:v>
                </c:pt>
                <c:pt idx="79">
                  <c:v>-111.3</c:v>
                </c:pt>
                <c:pt idx="80">
                  <c:v>-86.9</c:v>
                </c:pt>
                <c:pt idx="81">
                  <c:v>-132.9</c:v>
                </c:pt>
                <c:pt idx="82">
                  <c:v>-164</c:v>
                </c:pt>
                <c:pt idx="83">
                  <c:v>-182.6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1090.3614457831325</c:v>
                </c:pt>
                <c:pt idx="1">
                  <c:v>-211.11111111111111</c:v>
                </c:pt>
                <c:pt idx="2">
                  <c:v>-749.38271604938268</c:v>
                </c:pt>
                <c:pt idx="3">
                  <c:v>-246.15384615384616</c:v>
                </c:pt>
                <c:pt idx="4">
                  <c:v>-78.873239436619713</c:v>
                </c:pt>
                <c:pt idx="5">
                  <c:v>-159.67741935483872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20</c:v>
                </c:pt>
                <c:pt idx="2">
                  <c:v>36</c:v>
                </c:pt>
                <c:pt idx="3">
                  <c:v>39</c:v>
                </c:pt>
                <c:pt idx="4">
                  <c:v>37</c:v>
                </c:pt>
                <c:pt idx="5">
                  <c:v>22</c:v>
                </c:pt>
                <c:pt idx="6">
                  <c:v>11</c:v>
                </c:pt>
                <c:pt idx="7">
                  <c:v>8</c:v>
                </c:pt>
                <c:pt idx="8">
                  <c:v>7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れんたろう!$M$2:$M$85</c:f>
              <c:numCache>
                <c:formatCode>0</c:formatCode>
                <c:ptCount val="84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  <c:pt idx="75">
                  <c:v>1630.6270379047137</c:v>
                </c:pt>
                <c:pt idx="76">
                  <c:v>1627.2392756772854</c:v>
                </c:pt>
                <c:pt idx="77">
                  <c:v>1628.1318400232217</c:v>
                </c:pt>
                <c:pt idx="78">
                  <c:v>1629.7570489830823</c:v>
                </c:pt>
                <c:pt idx="79">
                  <c:v>1628.5225066891837</c:v>
                </c:pt>
                <c:pt idx="80">
                  <c:v>1633.0193716490487</c:v>
                </c:pt>
                <c:pt idx="81">
                  <c:v>1624.8172554191544</c:v>
                </c:pt>
                <c:pt idx="82">
                  <c:v>1619.3463518866395</c:v>
                </c:pt>
                <c:pt idx="83">
                  <c:v>1616.1582737753197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  <c:pt idx="47">
                  <c:v>-70.099999999999994</c:v>
                </c:pt>
                <c:pt idx="48">
                  <c:v>-31.499999999999993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-427.08333333333331</c:v>
                </c:pt>
                <c:pt idx="1">
                  <c:v>-533.33333333333337</c:v>
                </c:pt>
                <c:pt idx="2">
                  <c:v>1240.4255319148936</c:v>
                </c:pt>
                <c:pt idx="3">
                  <c:v>-1121.2765957446809</c:v>
                </c:pt>
                <c:pt idx="4">
                  <c:v>-1164.4444444444443</c:v>
                </c:pt>
                <c:pt idx="5">
                  <c:v>-529.72972972972968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16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7</c:v>
                </c:pt>
                <c:pt idx="5">
                  <c:v>5</c:v>
                </c:pt>
                <c:pt idx="6">
                  <c:v>6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たかの!$M$2:$M$50</c:f>
              <c:numCache>
                <c:formatCode>0</c:formatCode>
                <c:ptCount val="4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  <c:pt idx="47">
                  <c:v>1459.7189035010927</c:v>
                </c:pt>
                <c:pt idx="48">
                  <c:v>1467.5565900800862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816.21621621621625</c:v>
                </c:pt>
                <c:pt idx="1">
                  <c:v>418.91891891891891</c:v>
                </c:pt>
                <c:pt idx="2">
                  <c:v>1277.7777777777778</c:v>
                </c:pt>
                <c:pt idx="3">
                  <c:v>-2562.5</c:v>
                </c:pt>
                <c:pt idx="4">
                  <c:v>1982.7586206896551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7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まっつん!$M$2:$M$39</c:f>
              <c:numCache>
                <c:formatCode>0</c:formatCode>
                <c:ptCount val="3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-767.34693877551024</c:v>
                </c:pt>
                <c:pt idx="1">
                  <c:v>1110.204081632653</c:v>
                </c:pt>
                <c:pt idx="2">
                  <c:v>2391.8367346938776</c:v>
                </c:pt>
                <c:pt idx="3">
                  <c:v>-97.826086956521735</c:v>
                </c:pt>
                <c:pt idx="4">
                  <c:v>263.41463414634148</c:v>
                </c:pt>
                <c:pt idx="5">
                  <c:v>1755.2631578947369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27</c:v>
                </c:pt>
                <c:pt idx="2">
                  <c:v>27</c:v>
                </c:pt>
                <c:pt idx="3">
                  <c:v>19</c:v>
                </c:pt>
                <c:pt idx="4">
                  <c:v>20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いちかわ!$M$2:$M$52</c:f>
              <c:numCache>
                <c:formatCode>0</c:formatCode>
                <c:ptCount val="51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  <c:pt idx="49">
                  <c:v>1545.841007845276</c:v>
                </c:pt>
                <c:pt idx="50">
                  <c:v>1546.7179617982042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  <c:pt idx="55">
                  <c:v>307.09999999999991</c:v>
                </c:pt>
                <c:pt idx="56">
                  <c:v>275.2999999999999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-303.57142857142856</c:v>
                </c:pt>
                <c:pt idx="1">
                  <c:v>394.33962264150944</c:v>
                </c:pt>
                <c:pt idx="2">
                  <c:v>1612.962962962963</c:v>
                </c:pt>
                <c:pt idx="3">
                  <c:v>2413.7254901960782</c:v>
                </c:pt>
                <c:pt idx="4">
                  <c:v>-423.40425531914894</c:v>
                </c:pt>
                <c:pt idx="5">
                  <c:v>-381.57894736842104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14</c:v>
                </c:pt>
                <c:pt idx="1">
                  <c:v>42</c:v>
                </c:pt>
                <c:pt idx="2">
                  <c:v>34</c:v>
                </c:pt>
                <c:pt idx="3">
                  <c:v>25</c:v>
                </c:pt>
                <c:pt idx="4">
                  <c:v>26</c:v>
                </c:pt>
                <c:pt idx="5">
                  <c:v>4</c:v>
                </c:pt>
                <c:pt idx="6">
                  <c:v>9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ただ!$M$2:$M$58</c:f>
              <c:numCache>
                <c:formatCode>0</c:formatCode>
                <c:ptCount val="57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  <c:pt idx="50">
                  <c:v>1575.3516706402122</c:v>
                </c:pt>
                <c:pt idx="51">
                  <c:v>1581.073560616371</c:v>
                </c:pt>
                <c:pt idx="52">
                  <c:v>1588.0331192526728</c:v>
                </c:pt>
                <c:pt idx="53">
                  <c:v>1588.8129205371567</c:v>
                </c:pt>
                <c:pt idx="54">
                  <c:v>1590.1820430139337</c:v>
                </c:pt>
                <c:pt idx="55">
                  <c:v>1590.6969507558501</c:v>
                </c:pt>
                <c:pt idx="56">
                  <c:v>1585.3047690513151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-1737.5</c:v>
                </c:pt>
                <c:pt idx="1">
                  <c:v>3526.6666666666665</c:v>
                </c:pt>
                <c:pt idx="2">
                  <c:v>-1137.5</c:v>
                </c:pt>
                <c:pt idx="3">
                  <c:v>-3218.75</c:v>
                </c:pt>
                <c:pt idx="4">
                  <c:v>-1806.6666666666667</c:v>
                </c:pt>
                <c:pt idx="5">
                  <c:v>-1957.1428571428571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りくと!$M$2:$M$18</c:f>
              <c:numCache>
                <c:formatCode>0</c:formatCode>
                <c:ptCount val="1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  <c:pt idx="15">
                  <c:v>1384.5710096167065</c:v>
                </c:pt>
                <c:pt idx="16">
                  <c:v>1386.1875835590063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ただ2!$B$3:$B$59</c:f>
              <c:numCache>
                <c:formatCode>\+0.0;\-0.0;\±0</c:formatCode>
                <c:ptCount val="57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  <c:pt idx="55">
                  <c:v>307.09999999999991</c:v>
                </c:pt>
                <c:pt idx="56">
                  <c:v>275.2999999999999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ただ2!$C$3:$C$59</c:f>
              <c:numCache>
                <c:formatCode>\+0.0;\-0.0;\±0</c:formatCode>
                <c:ptCount val="57"/>
                <c:pt idx="1">
                  <c:v>11.6</c:v>
                </c:pt>
                <c:pt idx="2">
                  <c:v>21.45</c:v>
                </c:pt>
                <c:pt idx="3">
                  <c:v>16.399999999999999</c:v>
                </c:pt>
                <c:pt idx="4">
                  <c:v>18.95</c:v>
                </c:pt>
                <c:pt idx="5">
                  <c:v>9.5599999999999987</c:v>
                </c:pt>
                <c:pt idx="6">
                  <c:v>4.3999999999999995</c:v>
                </c:pt>
                <c:pt idx="7">
                  <c:v>3.6999999999999997</c:v>
                </c:pt>
                <c:pt idx="8">
                  <c:v>0.1875</c:v>
                </c:pt>
                <c:pt idx="9">
                  <c:v>1.0777777777777777</c:v>
                </c:pt>
                <c:pt idx="10">
                  <c:v>0.91999999999999993</c:v>
                </c:pt>
                <c:pt idx="11">
                  <c:v>0.20909090909090899</c:v>
                </c:pt>
                <c:pt idx="12">
                  <c:v>0.13333333333333325</c:v>
                </c:pt>
                <c:pt idx="13">
                  <c:v>-3.7307692307692308</c:v>
                </c:pt>
                <c:pt idx="14">
                  <c:v>-1.4428571428571428</c:v>
                </c:pt>
                <c:pt idx="15">
                  <c:v>1.5000000000000002</c:v>
                </c:pt>
                <c:pt idx="16">
                  <c:v>4.03125</c:v>
                </c:pt>
                <c:pt idx="17">
                  <c:v>0.61764705882352944</c:v>
                </c:pt>
                <c:pt idx="18">
                  <c:v>-1.2388888888888887</c:v>
                </c:pt>
                <c:pt idx="19">
                  <c:v>0.44736842105263175</c:v>
                </c:pt>
                <c:pt idx="20">
                  <c:v>1.8400000000000003</c:v>
                </c:pt>
                <c:pt idx="21">
                  <c:v>3.1523809523809527</c:v>
                </c:pt>
                <c:pt idx="22">
                  <c:v>4.6818181818181817</c:v>
                </c:pt>
                <c:pt idx="23">
                  <c:v>5.4391304347826086</c:v>
                </c:pt>
                <c:pt idx="24">
                  <c:v>8.2874999999999996</c:v>
                </c:pt>
                <c:pt idx="25">
                  <c:v>9.2039999999999988</c:v>
                </c:pt>
                <c:pt idx="26">
                  <c:v>11.169230769230769</c:v>
                </c:pt>
                <c:pt idx="27">
                  <c:v>9.2629629629629608</c:v>
                </c:pt>
                <c:pt idx="28">
                  <c:v>8.0964285714285698</c:v>
                </c:pt>
                <c:pt idx="29">
                  <c:v>6.958620689655171</c:v>
                </c:pt>
                <c:pt idx="30">
                  <c:v>8.4199999999999982</c:v>
                </c:pt>
                <c:pt idx="31">
                  <c:v>9.5870967741935473</c:v>
                </c:pt>
                <c:pt idx="32">
                  <c:v>9.1843749999999993</c:v>
                </c:pt>
                <c:pt idx="33">
                  <c:v>9.8181818181818183</c:v>
                </c:pt>
                <c:pt idx="34">
                  <c:v>9.4323529411764699</c:v>
                </c:pt>
                <c:pt idx="35">
                  <c:v>9.8457142857142852</c:v>
                </c:pt>
                <c:pt idx="36">
                  <c:v>9.2944444444444443</c:v>
                </c:pt>
                <c:pt idx="37">
                  <c:v>9.0567567567567551</c:v>
                </c:pt>
                <c:pt idx="38">
                  <c:v>8.6842105263157876</c:v>
                </c:pt>
                <c:pt idx="39">
                  <c:v>9.4999999999999982</c:v>
                </c:pt>
                <c:pt idx="40">
                  <c:v>7.9324999999999992</c:v>
                </c:pt>
                <c:pt idx="41">
                  <c:v>6.9878048780487791</c:v>
                </c:pt>
                <c:pt idx="42">
                  <c:v>5.5619047619047608</c:v>
                </c:pt>
                <c:pt idx="43">
                  <c:v>5.4441860465116267</c:v>
                </c:pt>
                <c:pt idx="44">
                  <c:v>5.4863636363636354</c:v>
                </c:pt>
                <c:pt idx="45">
                  <c:v>5.0866666666666651</c:v>
                </c:pt>
                <c:pt idx="46">
                  <c:v>5.0195652173913032</c:v>
                </c:pt>
                <c:pt idx="47">
                  <c:v>4.744680851063829</c:v>
                </c:pt>
                <c:pt idx="48">
                  <c:v>5.456249999999998</c:v>
                </c:pt>
                <c:pt idx="49">
                  <c:v>5.0653061224489786</c:v>
                </c:pt>
                <c:pt idx="50">
                  <c:v>4.6259999999999986</c:v>
                </c:pt>
                <c:pt idx="51">
                  <c:v>5.1274509803921555</c:v>
                </c:pt>
                <c:pt idx="52">
                  <c:v>5.7307692307692299</c:v>
                </c:pt>
                <c:pt idx="53">
                  <c:v>5.6679245283018851</c:v>
                </c:pt>
                <c:pt idx="54">
                  <c:v>5.6685185185185167</c:v>
                </c:pt>
                <c:pt idx="55">
                  <c:v>5.5836363636363622</c:v>
                </c:pt>
                <c:pt idx="56">
                  <c:v>4.9160714285714269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26339507209033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ただ2!$D$3:$D$59</c:f>
              <c:numCache>
                <c:formatCode>0.00\ "位"</c:formatCode>
                <c:ptCount val="57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1.25</c:v>
                </c:pt>
                <c:pt idx="5">
                  <c:v>1.4</c:v>
                </c:pt>
                <c:pt idx="6">
                  <c:v>1.6666666666666667</c:v>
                </c:pt>
                <c:pt idx="7">
                  <c:v>1.7142857142857142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1.8125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1.8095238095238095</c:v>
                </c:pt>
                <c:pt idx="22">
                  <c:v>1.7727272727272727</c:v>
                </c:pt>
                <c:pt idx="23">
                  <c:v>1.7391304347826086</c:v>
                </c:pt>
                <c:pt idx="24">
                  <c:v>1.7083333333333333</c:v>
                </c:pt>
                <c:pt idx="25">
                  <c:v>1.68</c:v>
                </c:pt>
                <c:pt idx="26">
                  <c:v>1.6538461538461537</c:v>
                </c:pt>
                <c:pt idx="27">
                  <c:v>1.7037037037037037</c:v>
                </c:pt>
                <c:pt idx="28">
                  <c:v>1.7142857142857142</c:v>
                </c:pt>
                <c:pt idx="29">
                  <c:v>1.7586206896551724</c:v>
                </c:pt>
                <c:pt idx="30">
                  <c:v>1.7333333333333334</c:v>
                </c:pt>
                <c:pt idx="31">
                  <c:v>1.7096774193548387</c:v>
                </c:pt>
                <c:pt idx="32">
                  <c:v>1.71875</c:v>
                </c:pt>
                <c:pt idx="33">
                  <c:v>1.696969696969697</c:v>
                </c:pt>
                <c:pt idx="34">
                  <c:v>1.7058823529411764</c:v>
                </c:pt>
                <c:pt idx="35">
                  <c:v>1.6857142857142857</c:v>
                </c:pt>
                <c:pt idx="36">
                  <c:v>1.6944444444444444</c:v>
                </c:pt>
                <c:pt idx="37">
                  <c:v>1.7027027027027026</c:v>
                </c:pt>
                <c:pt idx="38">
                  <c:v>1.7105263157894737</c:v>
                </c:pt>
                <c:pt idx="39">
                  <c:v>1.6923076923076923</c:v>
                </c:pt>
                <c:pt idx="40">
                  <c:v>1.7250000000000001</c:v>
                </c:pt>
                <c:pt idx="41">
                  <c:v>1.7560975609756098</c:v>
                </c:pt>
                <c:pt idx="42">
                  <c:v>1.7857142857142858</c:v>
                </c:pt>
                <c:pt idx="43">
                  <c:v>1.7906976744186047</c:v>
                </c:pt>
                <c:pt idx="44">
                  <c:v>1.7954545454545454</c:v>
                </c:pt>
                <c:pt idx="45">
                  <c:v>1.8222222222222222</c:v>
                </c:pt>
                <c:pt idx="46">
                  <c:v>1.826086956521739</c:v>
                </c:pt>
                <c:pt idx="47">
                  <c:v>1.8297872340425532</c:v>
                </c:pt>
                <c:pt idx="48">
                  <c:v>1.8125</c:v>
                </c:pt>
                <c:pt idx="49">
                  <c:v>1.8367346938775511</c:v>
                </c:pt>
                <c:pt idx="50">
                  <c:v>1.84</c:v>
                </c:pt>
                <c:pt idx="51">
                  <c:v>1.8235294117647058</c:v>
                </c:pt>
                <c:pt idx="52">
                  <c:v>1.8076923076923077</c:v>
                </c:pt>
                <c:pt idx="53">
                  <c:v>1.8113207547169812</c:v>
                </c:pt>
                <c:pt idx="54">
                  <c:v>1.8148148148148149</c:v>
                </c:pt>
                <c:pt idx="55">
                  <c:v>1.8181818181818181</c:v>
                </c:pt>
                <c:pt idx="56">
                  <c:v>1.8392857142857142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7777777777779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ただ2!$E$3:$E$59</c:f>
              <c:numCache>
                <c:formatCode>0.0%</c:formatCode>
                <c:ptCount val="57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0.47826086956521741</c:v>
                </c:pt>
                <c:pt idx="24">
                  <c:v>0.5</c:v>
                </c:pt>
                <c:pt idx="25">
                  <c:v>0.52</c:v>
                </c:pt>
                <c:pt idx="26">
                  <c:v>0.53846153846153844</c:v>
                </c:pt>
                <c:pt idx="27">
                  <c:v>0.51851851851851849</c:v>
                </c:pt>
                <c:pt idx="28">
                  <c:v>0.5</c:v>
                </c:pt>
                <c:pt idx="29">
                  <c:v>0.48275862068965519</c:v>
                </c:pt>
                <c:pt idx="30">
                  <c:v>0.5</c:v>
                </c:pt>
                <c:pt idx="31">
                  <c:v>0.5161290322580645</c:v>
                </c:pt>
                <c:pt idx="32">
                  <c:v>0.5</c:v>
                </c:pt>
                <c:pt idx="33">
                  <c:v>0.51515151515151514</c:v>
                </c:pt>
                <c:pt idx="34">
                  <c:v>0.5</c:v>
                </c:pt>
                <c:pt idx="35">
                  <c:v>0.51428571428571423</c:v>
                </c:pt>
                <c:pt idx="36">
                  <c:v>0.5</c:v>
                </c:pt>
                <c:pt idx="37">
                  <c:v>0.48648648648648651</c:v>
                </c:pt>
                <c:pt idx="38">
                  <c:v>0.47368421052631576</c:v>
                </c:pt>
                <c:pt idx="39">
                  <c:v>0.48717948717948717</c:v>
                </c:pt>
                <c:pt idx="40">
                  <c:v>0.47499999999999998</c:v>
                </c:pt>
                <c:pt idx="41">
                  <c:v>0.46341463414634149</c:v>
                </c:pt>
                <c:pt idx="42">
                  <c:v>0.45238095238095238</c:v>
                </c:pt>
                <c:pt idx="43">
                  <c:v>0.44186046511627908</c:v>
                </c:pt>
                <c:pt idx="44">
                  <c:v>0.43181818181818182</c:v>
                </c:pt>
                <c:pt idx="45">
                  <c:v>0.42222222222222222</c:v>
                </c:pt>
                <c:pt idx="46">
                  <c:v>0.41304347826086957</c:v>
                </c:pt>
                <c:pt idx="47">
                  <c:v>0.40425531914893614</c:v>
                </c:pt>
                <c:pt idx="48">
                  <c:v>0.41666666666666669</c:v>
                </c:pt>
                <c:pt idx="49">
                  <c:v>0.40816326530612246</c:v>
                </c:pt>
                <c:pt idx="50">
                  <c:v>0.4</c:v>
                </c:pt>
                <c:pt idx="51">
                  <c:v>0.41176470588235292</c:v>
                </c:pt>
                <c:pt idx="52">
                  <c:v>0.42307692307692307</c:v>
                </c:pt>
                <c:pt idx="53">
                  <c:v>0.41509433962264153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555555555555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ただ2!$F$3:$F$59</c:f>
              <c:numCache>
                <c:formatCode>0.0%</c:formatCode>
                <c:ptCount val="5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0.23809523809523808</c:v>
                </c:pt>
                <c:pt idx="43">
                  <c:v>0.23255813953488372</c:v>
                </c:pt>
                <c:pt idx="44">
                  <c:v>0.22727272727272727</c:v>
                </c:pt>
                <c:pt idx="45">
                  <c:v>0.24444444444444444</c:v>
                </c:pt>
                <c:pt idx="46">
                  <c:v>0.2391304347826087</c:v>
                </c:pt>
                <c:pt idx="47">
                  <c:v>0.23404255319148937</c:v>
                </c:pt>
                <c:pt idx="48">
                  <c:v>0.22916666666666666</c:v>
                </c:pt>
                <c:pt idx="49">
                  <c:v>0.24489795918367346</c:v>
                </c:pt>
                <c:pt idx="50">
                  <c:v>0.24</c:v>
                </c:pt>
                <c:pt idx="51">
                  <c:v>0.23529411764705882</c:v>
                </c:pt>
                <c:pt idx="52">
                  <c:v>0.23076923076923078</c:v>
                </c:pt>
                <c:pt idx="53">
                  <c:v>0.22641509433962265</c:v>
                </c:pt>
                <c:pt idx="54">
                  <c:v>0.22222222222222221</c:v>
                </c:pt>
                <c:pt idx="55">
                  <c:v>0.21818181818181817</c:v>
                </c:pt>
                <c:pt idx="56">
                  <c:v>0.23214285714285715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ただ2!$G$3:$G$59</c:f>
              <c:numCache>
                <c:formatCode>0.0%</c:formatCode>
                <c:ptCount val="57"/>
                <c:pt idx="1">
                  <c:v>0.25</c:v>
                </c:pt>
                <c:pt idx="2">
                  <c:v>0.36842105263157893</c:v>
                </c:pt>
                <c:pt idx="3">
                  <c:v>0.37037037037037035</c:v>
                </c:pt>
                <c:pt idx="4">
                  <c:v>0.375</c:v>
                </c:pt>
                <c:pt idx="5">
                  <c:v>0.32608695652173914</c:v>
                </c:pt>
                <c:pt idx="6">
                  <c:v>0.30357142857142855</c:v>
                </c:pt>
                <c:pt idx="7">
                  <c:v>0.3125</c:v>
                </c:pt>
                <c:pt idx="8">
                  <c:v>0.31428571428571428</c:v>
                </c:pt>
                <c:pt idx="9">
                  <c:v>0.32926829268292684</c:v>
                </c:pt>
                <c:pt idx="10">
                  <c:v>0.32258064516129031</c:v>
                </c:pt>
                <c:pt idx="11">
                  <c:v>0.32323232323232326</c:v>
                </c:pt>
                <c:pt idx="12">
                  <c:v>0.31775700934579437</c:v>
                </c:pt>
                <c:pt idx="13">
                  <c:v>0.30973451327433627</c:v>
                </c:pt>
                <c:pt idx="14">
                  <c:v>0.30952380952380953</c:v>
                </c:pt>
                <c:pt idx="15">
                  <c:v>0.31617647058823528</c:v>
                </c:pt>
                <c:pt idx="16">
                  <c:v>0.32167832167832167</c:v>
                </c:pt>
                <c:pt idx="17">
                  <c:v>0.31292517006802723</c:v>
                </c:pt>
                <c:pt idx="18">
                  <c:v>0.30573248407643311</c:v>
                </c:pt>
                <c:pt idx="19">
                  <c:v>0.31288343558282211</c:v>
                </c:pt>
                <c:pt idx="20">
                  <c:v>0.31764705882352939</c:v>
                </c:pt>
                <c:pt idx="21">
                  <c:v>0.32960893854748602</c:v>
                </c:pt>
                <c:pt idx="22">
                  <c:v>0.33689839572192515</c:v>
                </c:pt>
                <c:pt idx="23">
                  <c:v>0.34183673469387754</c:v>
                </c:pt>
                <c:pt idx="24">
                  <c:v>0.34499999999999997</c:v>
                </c:pt>
                <c:pt idx="25">
                  <c:v>0.34449760765550241</c:v>
                </c:pt>
                <c:pt idx="26">
                  <c:v>0.36486486486486486</c:v>
                </c:pt>
                <c:pt idx="27">
                  <c:v>0.35807860262008734</c:v>
                </c:pt>
                <c:pt idx="28">
                  <c:v>0.35169491525423729</c:v>
                </c:pt>
                <c:pt idx="29">
                  <c:v>0.34552845528455284</c:v>
                </c:pt>
                <c:pt idx="30">
                  <c:v>0.35</c:v>
                </c:pt>
                <c:pt idx="31">
                  <c:v>0.34572490706319703</c:v>
                </c:pt>
                <c:pt idx="32">
                  <c:v>0.34275618374558303</c:v>
                </c:pt>
                <c:pt idx="33">
                  <c:v>0.34246575342465752</c:v>
                </c:pt>
                <c:pt idx="34">
                  <c:v>0.34448160535117056</c:v>
                </c:pt>
                <c:pt idx="35">
                  <c:v>0.35294117647058826</c:v>
                </c:pt>
                <c:pt idx="36">
                  <c:v>0.34615384615384615</c:v>
                </c:pt>
                <c:pt idx="37">
                  <c:v>0.34579439252336447</c:v>
                </c:pt>
                <c:pt idx="38">
                  <c:v>0.34662576687116564</c:v>
                </c:pt>
                <c:pt idx="39">
                  <c:v>0.34925373134328358</c:v>
                </c:pt>
                <c:pt idx="40">
                  <c:v>0.33913043478260868</c:v>
                </c:pt>
                <c:pt idx="41">
                  <c:v>0.3342696629213483</c:v>
                </c:pt>
                <c:pt idx="42">
                  <c:v>0.32970027247956402</c:v>
                </c:pt>
                <c:pt idx="43">
                  <c:v>0.32887700534759357</c:v>
                </c:pt>
                <c:pt idx="44">
                  <c:v>0.32808398950131235</c:v>
                </c:pt>
                <c:pt idx="45">
                  <c:v>0.32736572890025578</c:v>
                </c:pt>
                <c:pt idx="46">
                  <c:v>0.32663316582914576</c:v>
                </c:pt>
                <c:pt idx="47">
                  <c:v>0.32839506172839505</c:v>
                </c:pt>
                <c:pt idx="48">
                  <c:v>0.33574879227053139</c:v>
                </c:pt>
                <c:pt idx="49">
                  <c:v>0.33412322274881517</c:v>
                </c:pt>
                <c:pt idx="50">
                  <c:v>0.32943925233644861</c:v>
                </c:pt>
                <c:pt idx="51">
                  <c:v>0.33179723502304148</c:v>
                </c:pt>
                <c:pt idx="52">
                  <c:v>0.3355855855855856</c:v>
                </c:pt>
                <c:pt idx="53">
                  <c:v>0.33555555555555555</c:v>
                </c:pt>
                <c:pt idx="54">
                  <c:v>0.33839479392624727</c:v>
                </c:pt>
                <c:pt idx="55">
                  <c:v>0.33832976445396146</c:v>
                </c:pt>
                <c:pt idx="56">
                  <c:v>0.33540372670807456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147861926841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ただ2!$H$3:$H$59</c:f>
              <c:numCache>
                <c:formatCode>0.0%</c:formatCode>
                <c:ptCount val="57"/>
                <c:pt idx="1">
                  <c:v>0</c:v>
                </c:pt>
                <c:pt idx="2">
                  <c:v>5.2631578947368418E-2</c:v>
                </c:pt>
                <c:pt idx="3">
                  <c:v>0.1111111111111111</c:v>
                </c:pt>
                <c:pt idx="4">
                  <c:v>0.1</c:v>
                </c:pt>
                <c:pt idx="5">
                  <c:v>0.10869565217391304</c:v>
                </c:pt>
                <c:pt idx="6">
                  <c:v>0.10714285714285714</c:v>
                </c:pt>
                <c:pt idx="7">
                  <c:v>0.109375</c:v>
                </c:pt>
                <c:pt idx="8">
                  <c:v>0.11428571428571428</c:v>
                </c:pt>
                <c:pt idx="9">
                  <c:v>0.10975609756097561</c:v>
                </c:pt>
                <c:pt idx="10">
                  <c:v>0.11827956989247312</c:v>
                </c:pt>
                <c:pt idx="11">
                  <c:v>0.12121212121212122</c:v>
                </c:pt>
                <c:pt idx="12">
                  <c:v>0.12149532710280374</c:v>
                </c:pt>
                <c:pt idx="13">
                  <c:v>0.15044247787610621</c:v>
                </c:pt>
                <c:pt idx="14">
                  <c:v>0.15873015873015872</c:v>
                </c:pt>
                <c:pt idx="15">
                  <c:v>0.15441176470588236</c:v>
                </c:pt>
                <c:pt idx="16">
                  <c:v>0.14685314685314685</c:v>
                </c:pt>
                <c:pt idx="17">
                  <c:v>0.15646258503401361</c:v>
                </c:pt>
                <c:pt idx="18">
                  <c:v>0.15923566878980891</c:v>
                </c:pt>
                <c:pt idx="19">
                  <c:v>0.15950920245398773</c:v>
                </c:pt>
                <c:pt idx="20">
                  <c:v>0.1588235294117647</c:v>
                </c:pt>
                <c:pt idx="21">
                  <c:v>0.16201117318435754</c:v>
                </c:pt>
                <c:pt idx="22">
                  <c:v>0.15508021390374332</c:v>
                </c:pt>
                <c:pt idx="23">
                  <c:v>0.15816326530612246</c:v>
                </c:pt>
                <c:pt idx="24">
                  <c:v>0.155</c:v>
                </c:pt>
                <c:pt idx="25">
                  <c:v>0.14832535885167464</c:v>
                </c:pt>
                <c:pt idx="26">
                  <c:v>0.13963963963963963</c:v>
                </c:pt>
                <c:pt idx="27">
                  <c:v>0.14410480349344978</c:v>
                </c:pt>
                <c:pt idx="28">
                  <c:v>0.13983050847457626</c:v>
                </c:pt>
                <c:pt idx="29">
                  <c:v>0.14227642276422764</c:v>
                </c:pt>
                <c:pt idx="30">
                  <c:v>0.14615384615384616</c:v>
                </c:pt>
                <c:pt idx="31">
                  <c:v>0.1449814126394052</c:v>
                </c:pt>
                <c:pt idx="32">
                  <c:v>0.13780918727915195</c:v>
                </c:pt>
                <c:pt idx="33">
                  <c:v>0.13356164383561644</c:v>
                </c:pt>
                <c:pt idx="34">
                  <c:v>0.13043478260869565</c:v>
                </c:pt>
                <c:pt idx="35">
                  <c:v>0.12745098039215685</c:v>
                </c:pt>
                <c:pt idx="36">
                  <c:v>0.125</c:v>
                </c:pt>
                <c:pt idx="37">
                  <c:v>0.12149532710280374</c:v>
                </c:pt>
                <c:pt idx="38">
                  <c:v>0.1196319018404908</c:v>
                </c:pt>
                <c:pt idx="39">
                  <c:v>0.11940298507462686</c:v>
                </c:pt>
                <c:pt idx="40">
                  <c:v>0.12173913043478261</c:v>
                </c:pt>
                <c:pt idx="41">
                  <c:v>0.12359550561797752</c:v>
                </c:pt>
                <c:pt idx="42">
                  <c:v>0.1226158038147139</c:v>
                </c:pt>
                <c:pt idx="43">
                  <c:v>0.12032085561497326</c:v>
                </c:pt>
                <c:pt idx="44">
                  <c:v>0.11811023622047244</c:v>
                </c:pt>
                <c:pt idx="45">
                  <c:v>0.11508951406649616</c:v>
                </c:pt>
                <c:pt idx="46">
                  <c:v>0.11306532663316583</c:v>
                </c:pt>
                <c:pt idx="47">
                  <c:v>0.11604938271604938</c:v>
                </c:pt>
                <c:pt idx="48">
                  <c:v>0.11352657004830918</c:v>
                </c:pt>
                <c:pt idx="49">
                  <c:v>0.11611374407582939</c:v>
                </c:pt>
                <c:pt idx="50">
                  <c:v>0.1191588785046729</c:v>
                </c:pt>
                <c:pt idx="51">
                  <c:v>0.11751152073732719</c:v>
                </c:pt>
                <c:pt idx="52">
                  <c:v>0.11711711711711711</c:v>
                </c:pt>
                <c:pt idx="53">
                  <c:v>0.12</c:v>
                </c:pt>
                <c:pt idx="54">
                  <c:v>0.11713665943600868</c:v>
                </c:pt>
                <c:pt idx="55">
                  <c:v>0.11563169164882227</c:v>
                </c:pt>
                <c:pt idx="56">
                  <c:v>0.12215320910973085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75476558475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ただ2!$I$3:$I$59</c:f>
              <c:numCache>
                <c:formatCode>0</c:formatCode>
                <c:ptCount val="57"/>
                <c:pt idx="1">
                  <c:v>1800</c:v>
                </c:pt>
                <c:pt idx="2">
                  <c:v>6028.5714285714284</c:v>
                </c:pt>
                <c:pt idx="3">
                  <c:v>6210</c:v>
                </c:pt>
                <c:pt idx="4">
                  <c:v>6126.666666666667</c:v>
                </c:pt>
                <c:pt idx="5">
                  <c:v>6126.666666666667</c:v>
                </c:pt>
                <c:pt idx="6">
                  <c:v>6288.2352941176468</c:v>
                </c:pt>
                <c:pt idx="7">
                  <c:v>6405</c:v>
                </c:pt>
                <c:pt idx="8">
                  <c:v>6031.818181818182</c:v>
                </c:pt>
                <c:pt idx="9">
                  <c:v>6414.8148148148148</c:v>
                </c:pt>
                <c:pt idx="10">
                  <c:v>6493.333333333333</c:v>
                </c:pt>
                <c:pt idx="11">
                  <c:v>6315.625</c:v>
                </c:pt>
                <c:pt idx="12">
                  <c:v>6532.3529411764703</c:v>
                </c:pt>
                <c:pt idx="13">
                  <c:v>6460</c:v>
                </c:pt>
                <c:pt idx="14">
                  <c:v>6669.2307692307695</c:v>
                </c:pt>
                <c:pt idx="15">
                  <c:v>6951.1627906976746</c:v>
                </c:pt>
                <c:pt idx="16">
                  <c:v>7095.652173913043</c:v>
                </c:pt>
                <c:pt idx="17">
                  <c:v>7095.652173913043</c:v>
                </c:pt>
                <c:pt idx="18">
                  <c:v>7087.5</c:v>
                </c:pt>
                <c:pt idx="19">
                  <c:v>7294.1176470588234</c:v>
                </c:pt>
                <c:pt idx="20">
                  <c:v>7277.7777777777774</c:v>
                </c:pt>
                <c:pt idx="21">
                  <c:v>7345.7627118644068</c:v>
                </c:pt>
                <c:pt idx="22">
                  <c:v>7447.6190476190477</c:v>
                </c:pt>
                <c:pt idx="23">
                  <c:v>7525.373134328358</c:v>
                </c:pt>
                <c:pt idx="24">
                  <c:v>8171.014492753623</c:v>
                </c:pt>
                <c:pt idx="25">
                  <c:v>8055.5555555555557</c:v>
                </c:pt>
                <c:pt idx="26">
                  <c:v>7793.8271604938273</c:v>
                </c:pt>
                <c:pt idx="27">
                  <c:v>7730.4878048780483</c:v>
                </c:pt>
                <c:pt idx="28">
                  <c:v>7675.9036144578313</c:v>
                </c:pt>
                <c:pt idx="29">
                  <c:v>7843.5294117647063</c:v>
                </c:pt>
                <c:pt idx="30">
                  <c:v>7987.9120879120883</c:v>
                </c:pt>
                <c:pt idx="31">
                  <c:v>8138.7096774193551</c:v>
                </c:pt>
                <c:pt idx="32">
                  <c:v>7967.0103092783502</c:v>
                </c:pt>
                <c:pt idx="33">
                  <c:v>7924</c:v>
                </c:pt>
                <c:pt idx="34">
                  <c:v>7923.3009708737864</c:v>
                </c:pt>
                <c:pt idx="35">
                  <c:v>7805.5555555555557</c:v>
                </c:pt>
                <c:pt idx="36">
                  <c:v>7805.5555555555557</c:v>
                </c:pt>
                <c:pt idx="37">
                  <c:v>7767.5675675675675</c:v>
                </c:pt>
                <c:pt idx="38">
                  <c:v>7695.575221238938</c:v>
                </c:pt>
                <c:pt idx="39">
                  <c:v>7710.2564102564102</c:v>
                </c:pt>
                <c:pt idx="40">
                  <c:v>7710.2564102564102</c:v>
                </c:pt>
                <c:pt idx="41">
                  <c:v>7712.6050420168067</c:v>
                </c:pt>
                <c:pt idx="42">
                  <c:v>7631.4049586776855</c:v>
                </c:pt>
                <c:pt idx="43">
                  <c:v>7573.1707317073169</c:v>
                </c:pt>
                <c:pt idx="44">
                  <c:v>7534.4</c:v>
                </c:pt>
                <c:pt idx="45">
                  <c:v>7482.8125</c:v>
                </c:pt>
                <c:pt idx="46">
                  <c:v>7520.7692307692305</c:v>
                </c:pt>
                <c:pt idx="47">
                  <c:v>7401.5037593984962</c:v>
                </c:pt>
                <c:pt idx="48">
                  <c:v>7306.4748201438852</c:v>
                </c:pt>
                <c:pt idx="49">
                  <c:v>7300</c:v>
                </c:pt>
                <c:pt idx="50">
                  <c:v>7300</c:v>
                </c:pt>
                <c:pt idx="51">
                  <c:v>7267.3611111111113</c:v>
                </c:pt>
                <c:pt idx="52">
                  <c:v>7322.1476510067114</c:v>
                </c:pt>
                <c:pt idx="53">
                  <c:v>7384.1059602649011</c:v>
                </c:pt>
                <c:pt idx="54">
                  <c:v>7321.7948717948721</c:v>
                </c:pt>
                <c:pt idx="55">
                  <c:v>7292.4050632911394</c:v>
                </c:pt>
                <c:pt idx="56">
                  <c:v>7298.7654320987658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63.44463971880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ただ2!$J$3:$J$59</c:f>
              <c:numCache>
                <c:formatCode>0</c:formatCode>
                <c:ptCount val="57"/>
                <c:pt idx="1">
                  <c:v>0</c:v>
                </c:pt>
                <c:pt idx="2">
                  <c:v>-12000</c:v>
                </c:pt>
                <c:pt idx="3">
                  <c:v>-8866.6666666666661</c:v>
                </c:pt>
                <c:pt idx="4">
                  <c:v>-7625</c:v>
                </c:pt>
                <c:pt idx="5">
                  <c:v>-8500</c:v>
                </c:pt>
                <c:pt idx="6">
                  <c:v>-7733.333333333333</c:v>
                </c:pt>
                <c:pt idx="7">
                  <c:v>-7371.4285714285716</c:v>
                </c:pt>
                <c:pt idx="8">
                  <c:v>-7450</c:v>
                </c:pt>
                <c:pt idx="9">
                  <c:v>-7955.5555555555557</c:v>
                </c:pt>
                <c:pt idx="10">
                  <c:v>-7327.272727272727</c:v>
                </c:pt>
                <c:pt idx="11">
                  <c:v>-7150</c:v>
                </c:pt>
                <c:pt idx="12">
                  <c:v>-7830.7692307692305</c:v>
                </c:pt>
                <c:pt idx="13">
                  <c:v>-7641.1764705882351</c:v>
                </c:pt>
                <c:pt idx="14">
                  <c:v>-6980</c:v>
                </c:pt>
                <c:pt idx="15">
                  <c:v>-6771.4285714285716</c:v>
                </c:pt>
                <c:pt idx="16">
                  <c:v>-6771.4285714285716</c:v>
                </c:pt>
                <c:pt idx="17">
                  <c:v>-7226.086956521739</c:v>
                </c:pt>
                <c:pt idx="18">
                  <c:v>-7180</c:v>
                </c:pt>
                <c:pt idx="19">
                  <c:v>-7211.5384615384619</c:v>
                </c:pt>
                <c:pt idx="20">
                  <c:v>-7051.8518518518522</c:v>
                </c:pt>
                <c:pt idx="21">
                  <c:v>-7089.6551724137935</c:v>
                </c:pt>
                <c:pt idx="22">
                  <c:v>-7089.6551724137935</c:v>
                </c:pt>
                <c:pt idx="23">
                  <c:v>-7277.4193548387093</c:v>
                </c:pt>
                <c:pt idx="24">
                  <c:v>-7277.4193548387093</c:v>
                </c:pt>
                <c:pt idx="25">
                  <c:v>-7277.4193548387093</c:v>
                </c:pt>
                <c:pt idx="26">
                  <c:v>-7277.4193548387093</c:v>
                </c:pt>
                <c:pt idx="27">
                  <c:v>-7393.939393939394</c:v>
                </c:pt>
                <c:pt idx="28">
                  <c:v>-7393.939393939394</c:v>
                </c:pt>
                <c:pt idx="29">
                  <c:v>-7828.5714285714284</c:v>
                </c:pt>
                <c:pt idx="30">
                  <c:v>-7542.105263157895</c:v>
                </c:pt>
                <c:pt idx="31">
                  <c:v>-7448.7179487179483</c:v>
                </c:pt>
                <c:pt idx="32">
                  <c:v>-7448.7179487179483</c:v>
                </c:pt>
                <c:pt idx="33">
                  <c:v>-7448.7179487179483</c:v>
                </c:pt>
                <c:pt idx="34">
                  <c:v>-7448.7179487179483</c:v>
                </c:pt>
                <c:pt idx="35">
                  <c:v>-7448.7179487179483</c:v>
                </c:pt>
                <c:pt idx="36">
                  <c:v>-7448.7179487179483</c:v>
                </c:pt>
                <c:pt idx="37">
                  <c:v>-7448.7179487179483</c:v>
                </c:pt>
                <c:pt idx="38">
                  <c:v>-7448.7179487179483</c:v>
                </c:pt>
                <c:pt idx="39">
                  <c:v>-7302.5</c:v>
                </c:pt>
                <c:pt idx="40">
                  <c:v>-7366.666666666667</c:v>
                </c:pt>
                <c:pt idx="41">
                  <c:v>-7654.545454545455</c:v>
                </c:pt>
                <c:pt idx="42">
                  <c:v>-8017.7777777777774</c:v>
                </c:pt>
                <c:pt idx="43">
                  <c:v>-8017.7777777777774</c:v>
                </c:pt>
                <c:pt idx="44">
                  <c:v>-8017.7777777777774</c:v>
                </c:pt>
                <c:pt idx="45">
                  <c:v>-8017.7777777777774</c:v>
                </c:pt>
                <c:pt idx="46">
                  <c:v>-8017.7777777777774</c:v>
                </c:pt>
                <c:pt idx="47">
                  <c:v>-7774.4680851063831</c:v>
                </c:pt>
                <c:pt idx="48">
                  <c:v>-7774.4680851063831</c:v>
                </c:pt>
                <c:pt idx="49">
                  <c:v>-7693.8775510204077</c:v>
                </c:pt>
                <c:pt idx="50">
                  <c:v>-7507.8431372549021</c:v>
                </c:pt>
                <c:pt idx="51">
                  <c:v>-7507.8431372549021</c:v>
                </c:pt>
                <c:pt idx="52">
                  <c:v>-7671.1538461538457</c:v>
                </c:pt>
                <c:pt idx="53">
                  <c:v>-7731.4814814814818</c:v>
                </c:pt>
                <c:pt idx="54">
                  <c:v>-7731.4814814814818</c:v>
                </c:pt>
                <c:pt idx="55">
                  <c:v>-7731.4814814814818</c:v>
                </c:pt>
                <c:pt idx="56">
                  <c:v>-7877.9661016949149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6.69291338582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ただ2!$K$3:$K$59</c:f>
              <c:numCache>
                <c:formatCode>0.0%</c:formatCode>
                <c:ptCount val="5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888888888888889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ただ2!$L$3:$L$59</c:f>
              <c:numCache>
                <c:formatCode>0.0%</c:formatCode>
                <c:ptCount val="57"/>
                <c:pt idx="1">
                  <c:v>0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0.25</c:v>
                </c:pt>
                <c:pt idx="5">
                  <c:v>0.21739130434782608</c:v>
                </c:pt>
                <c:pt idx="6">
                  <c:v>0.25</c:v>
                </c:pt>
                <c:pt idx="7">
                  <c:v>0.25</c:v>
                </c:pt>
                <c:pt idx="8">
                  <c:v>0.25714285714285712</c:v>
                </c:pt>
                <c:pt idx="9">
                  <c:v>0.24390243902439024</c:v>
                </c:pt>
                <c:pt idx="10">
                  <c:v>0.22580645161290322</c:v>
                </c:pt>
                <c:pt idx="11">
                  <c:v>0.23232323232323232</c:v>
                </c:pt>
                <c:pt idx="12">
                  <c:v>0.23364485981308411</c:v>
                </c:pt>
                <c:pt idx="13">
                  <c:v>0.23008849557522124</c:v>
                </c:pt>
                <c:pt idx="14">
                  <c:v>0.23015873015873015</c:v>
                </c:pt>
                <c:pt idx="15">
                  <c:v>0.22058823529411764</c:v>
                </c:pt>
                <c:pt idx="16">
                  <c:v>0.21678321678321677</c:v>
                </c:pt>
                <c:pt idx="17">
                  <c:v>0.21768707482993196</c:v>
                </c:pt>
                <c:pt idx="18">
                  <c:v>0.22292993630573249</c:v>
                </c:pt>
                <c:pt idx="19">
                  <c:v>0.23312883435582821</c:v>
                </c:pt>
                <c:pt idx="20">
                  <c:v>0.23529411764705882</c:v>
                </c:pt>
                <c:pt idx="21">
                  <c:v>0.22905027932960895</c:v>
                </c:pt>
                <c:pt idx="22">
                  <c:v>0.22459893048128343</c:v>
                </c:pt>
                <c:pt idx="23">
                  <c:v>0.22448979591836735</c:v>
                </c:pt>
                <c:pt idx="24">
                  <c:v>0.23</c:v>
                </c:pt>
                <c:pt idx="25">
                  <c:v>0.22488038277511962</c:v>
                </c:pt>
                <c:pt idx="26">
                  <c:v>0.22072072072072071</c:v>
                </c:pt>
                <c:pt idx="27">
                  <c:v>0.22270742358078602</c:v>
                </c:pt>
                <c:pt idx="28">
                  <c:v>0.22033898305084745</c:v>
                </c:pt>
                <c:pt idx="29">
                  <c:v>0.22357723577235772</c:v>
                </c:pt>
                <c:pt idx="30">
                  <c:v>0.23076923076923078</c:v>
                </c:pt>
                <c:pt idx="31">
                  <c:v>0.23048327137546468</c:v>
                </c:pt>
                <c:pt idx="32">
                  <c:v>0.22261484098939929</c:v>
                </c:pt>
                <c:pt idx="33">
                  <c:v>0.22602739726027396</c:v>
                </c:pt>
                <c:pt idx="34">
                  <c:v>0.22408026755852842</c:v>
                </c:pt>
                <c:pt idx="35">
                  <c:v>0.21895424836601307</c:v>
                </c:pt>
                <c:pt idx="36">
                  <c:v>0.21474358974358973</c:v>
                </c:pt>
                <c:pt idx="37">
                  <c:v>0.2087227414330218</c:v>
                </c:pt>
                <c:pt idx="38">
                  <c:v>0.20858895705521471</c:v>
                </c:pt>
                <c:pt idx="39">
                  <c:v>0.20895522388059701</c:v>
                </c:pt>
                <c:pt idx="40">
                  <c:v>0.20869565217391303</c:v>
                </c:pt>
                <c:pt idx="41">
                  <c:v>0.2050561797752809</c:v>
                </c:pt>
                <c:pt idx="42">
                  <c:v>0.20708446866485014</c:v>
                </c:pt>
                <c:pt idx="43">
                  <c:v>0.20320855614973263</c:v>
                </c:pt>
                <c:pt idx="44">
                  <c:v>0.20209973753280841</c:v>
                </c:pt>
                <c:pt idx="45">
                  <c:v>0.20204603580562661</c:v>
                </c:pt>
                <c:pt idx="46">
                  <c:v>0.20351758793969849</c:v>
                </c:pt>
                <c:pt idx="47">
                  <c:v>0.20246913580246914</c:v>
                </c:pt>
                <c:pt idx="48">
                  <c:v>0.20289855072463769</c:v>
                </c:pt>
                <c:pt idx="49">
                  <c:v>0.2014218009478673</c:v>
                </c:pt>
                <c:pt idx="50">
                  <c:v>0.19859813084112149</c:v>
                </c:pt>
                <c:pt idx="51">
                  <c:v>0.20046082949308755</c:v>
                </c:pt>
                <c:pt idx="52">
                  <c:v>0.20045045045045046</c:v>
                </c:pt>
                <c:pt idx="53">
                  <c:v>0.19777777777777777</c:v>
                </c:pt>
                <c:pt idx="54">
                  <c:v>0.19956616052060738</c:v>
                </c:pt>
                <c:pt idx="55">
                  <c:v>0.19914346895074947</c:v>
                </c:pt>
                <c:pt idx="56">
                  <c:v>0.20082815734989648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74961360123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ただ2!$M$3:$M$59</c:f>
              <c:numCache>
                <c:formatCode>0.0%</c:formatCode>
                <c:ptCount val="57"/>
                <c:pt idx="1">
                  <c:v>0.25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0.17499999999999999</c:v>
                </c:pt>
                <c:pt idx="5">
                  <c:v>0.17391304347826086</c:v>
                </c:pt>
                <c:pt idx="6">
                  <c:v>0.21428571428571427</c:v>
                </c:pt>
                <c:pt idx="7">
                  <c:v>0.203125</c:v>
                </c:pt>
                <c:pt idx="8">
                  <c:v>0.2</c:v>
                </c:pt>
                <c:pt idx="9">
                  <c:v>0.1951219512195122</c:v>
                </c:pt>
                <c:pt idx="10">
                  <c:v>0.21505376344086022</c:v>
                </c:pt>
                <c:pt idx="11">
                  <c:v>0.21212121212121213</c:v>
                </c:pt>
                <c:pt idx="12">
                  <c:v>0.21495327102803738</c:v>
                </c:pt>
                <c:pt idx="13">
                  <c:v>0.24778761061946902</c:v>
                </c:pt>
                <c:pt idx="14">
                  <c:v>0.24603174603174602</c:v>
                </c:pt>
                <c:pt idx="15">
                  <c:v>0.26470588235294118</c:v>
                </c:pt>
                <c:pt idx="16">
                  <c:v>0.28671328671328672</c:v>
                </c:pt>
                <c:pt idx="17">
                  <c:v>0.2857142857142857</c:v>
                </c:pt>
                <c:pt idx="18">
                  <c:v>0.27388535031847133</c:v>
                </c:pt>
                <c:pt idx="19">
                  <c:v>0.26993865030674846</c:v>
                </c:pt>
                <c:pt idx="20">
                  <c:v>0.26470588235294118</c:v>
                </c:pt>
                <c:pt idx="21">
                  <c:v>0.26256983240223464</c:v>
                </c:pt>
                <c:pt idx="22">
                  <c:v>0.26203208556149732</c:v>
                </c:pt>
                <c:pt idx="23">
                  <c:v>0.25510204081632654</c:v>
                </c:pt>
                <c:pt idx="24">
                  <c:v>0.25</c:v>
                </c:pt>
                <c:pt idx="25">
                  <c:v>0.25358851674641147</c:v>
                </c:pt>
                <c:pt idx="26">
                  <c:v>0.26126126126126126</c:v>
                </c:pt>
                <c:pt idx="27">
                  <c:v>0.25327510917030566</c:v>
                </c:pt>
                <c:pt idx="28">
                  <c:v>0.24576271186440679</c:v>
                </c:pt>
                <c:pt idx="29">
                  <c:v>0.24390243902439024</c:v>
                </c:pt>
                <c:pt idx="30">
                  <c:v>0.24230769230769231</c:v>
                </c:pt>
                <c:pt idx="31">
                  <c:v>0.24163568773234201</c:v>
                </c:pt>
                <c:pt idx="32">
                  <c:v>0.25088339222614842</c:v>
                </c:pt>
                <c:pt idx="33">
                  <c:v>0.26027397260273971</c:v>
                </c:pt>
                <c:pt idx="34">
                  <c:v>0.2608695652173913</c:v>
                </c:pt>
                <c:pt idx="35">
                  <c:v>0.2581699346405229</c:v>
                </c:pt>
                <c:pt idx="36">
                  <c:v>0.25641025641025639</c:v>
                </c:pt>
                <c:pt idx="37">
                  <c:v>0.2554517133956386</c:v>
                </c:pt>
                <c:pt idx="38">
                  <c:v>0.25153374233128833</c:v>
                </c:pt>
                <c:pt idx="39">
                  <c:v>0.24776119402985075</c:v>
                </c:pt>
                <c:pt idx="40">
                  <c:v>0.25507246376811593</c:v>
                </c:pt>
                <c:pt idx="41">
                  <c:v>0.2640449438202247</c:v>
                </c:pt>
                <c:pt idx="42">
                  <c:v>0.25885558583106266</c:v>
                </c:pt>
                <c:pt idx="43">
                  <c:v>0.26737967914438504</c:v>
                </c:pt>
                <c:pt idx="44">
                  <c:v>0.27296587926509186</c:v>
                </c:pt>
                <c:pt idx="45">
                  <c:v>0.26854219948849106</c:v>
                </c:pt>
                <c:pt idx="46">
                  <c:v>0.26884422110552764</c:v>
                </c:pt>
                <c:pt idx="47">
                  <c:v>0.26913580246913582</c:v>
                </c:pt>
                <c:pt idx="48">
                  <c:v>0.27294685990338163</c:v>
                </c:pt>
                <c:pt idx="49">
                  <c:v>0.27488151658767773</c:v>
                </c:pt>
                <c:pt idx="50">
                  <c:v>0.2780373831775701</c:v>
                </c:pt>
                <c:pt idx="51">
                  <c:v>0.27419354838709675</c:v>
                </c:pt>
                <c:pt idx="52">
                  <c:v>0.2747747747747748</c:v>
                </c:pt>
                <c:pt idx="53">
                  <c:v>0.27555555555555555</c:v>
                </c:pt>
                <c:pt idx="54">
                  <c:v>0.27765726681127983</c:v>
                </c:pt>
                <c:pt idx="55">
                  <c:v>0.27837259100642398</c:v>
                </c:pt>
                <c:pt idx="56">
                  <c:v>0.2691511387163561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3338485316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ただ2!$N$3:$N$59</c:f>
              <c:numCache>
                <c:formatCode>0.0%</c:formatCode>
                <c:ptCount val="57"/>
                <c:pt idx="1">
                  <c:v>0</c:v>
                </c:pt>
                <c:pt idx="2">
                  <c:v>0.6</c:v>
                </c:pt>
                <c:pt idx="3">
                  <c:v>0.7142857142857143</c:v>
                </c:pt>
                <c:pt idx="4">
                  <c:v>0.8</c:v>
                </c:pt>
                <c:pt idx="5">
                  <c:v>0.8</c:v>
                </c:pt>
                <c:pt idx="6">
                  <c:v>0.6428571428571429</c:v>
                </c:pt>
                <c:pt idx="7">
                  <c:v>0.625</c:v>
                </c:pt>
                <c:pt idx="8">
                  <c:v>0.61111111111111116</c:v>
                </c:pt>
                <c:pt idx="9">
                  <c:v>0.6</c:v>
                </c:pt>
                <c:pt idx="10">
                  <c:v>0.5714285714285714</c:v>
                </c:pt>
                <c:pt idx="11">
                  <c:v>0.56521739130434778</c:v>
                </c:pt>
                <c:pt idx="12">
                  <c:v>0.52</c:v>
                </c:pt>
                <c:pt idx="13">
                  <c:v>0.5</c:v>
                </c:pt>
                <c:pt idx="14">
                  <c:v>0.48275862068965519</c:v>
                </c:pt>
                <c:pt idx="15">
                  <c:v>0.5</c:v>
                </c:pt>
                <c:pt idx="16">
                  <c:v>0.4838709677419355</c:v>
                </c:pt>
                <c:pt idx="17">
                  <c:v>0.46875</c:v>
                </c:pt>
                <c:pt idx="18">
                  <c:v>0.42857142857142855</c:v>
                </c:pt>
                <c:pt idx="19">
                  <c:v>0.47368421052631576</c:v>
                </c:pt>
                <c:pt idx="20">
                  <c:v>0.47499999999999998</c:v>
                </c:pt>
                <c:pt idx="21">
                  <c:v>0.48780487804878048</c:v>
                </c:pt>
                <c:pt idx="22">
                  <c:v>0.5</c:v>
                </c:pt>
                <c:pt idx="23">
                  <c:v>0.52272727272727271</c:v>
                </c:pt>
                <c:pt idx="24">
                  <c:v>0.52173913043478259</c:v>
                </c:pt>
                <c:pt idx="25">
                  <c:v>0.53191489361702127</c:v>
                </c:pt>
                <c:pt idx="26">
                  <c:v>0.53061224489795922</c:v>
                </c:pt>
                <c:pt idx="27">
                  <c:v>0.50980392156862742</c:v>
                </c:pt>
                <c:pt idx="28">
                  <c:v>0.5</c:v>
                </c:pt>
                <c:pt idx="29">
                  <c:v>0.50909090909090904</c:v>
                </c:pt>
                <c:pt idx="30">
                  <c:v>0.51666666666666672</c:v>
                </c:pt>
                <c:pt idx="31">
                  <c:v>0.5161290322580645</c:v>
                </c:pt>
                <c:pt idx="32">
                  <c:v>0.52380952380952384</c:v>
                </c:pt>
                <c:pt idx="33">
                  <c:v>0.51515151515151514</c:v>
                </c:pt>
                <c:pt idx="34">
                  <c:v>0.52238805970149249</c:v>
                </c:pt>
                <c:pt idx="35">
                  <c:v>0.52238805970149249</c:v>
                </c:pt>
                <c:pt idx="36">
                  <c:v>0.52238805970149249</c:v>
                </c:pt>
                <c:pt idx="37">
                  <c:v>0.52238805970149249</c:v>
                </c:pt>
                <c:pt idx="38">
                  <c:v>0.52941176470588236</c:v>
                </c:pt>
                <c:pt idx="39">
                  <c:v>0.54285714285714282</c:v>
                </c:pt>
                <c:pt idx="40">
                  <c:v>0.52777777777777779</c:v>
                </c:pt>
                <c:pt idx="41">
                  <c:v>0.53424657534246578</c:v>
                </c:pt>
                <c:pt idx="42">
                  <c:v>0.52631578947368418</c:v>
                </c:pt>
                <c:pt idx="43">
                  <c:v>0.52631578947368418</c:v>
                </c:pt>
                <c:pt idx="44">
                  <c:v>0.53246753246753242</c:v>
                </c:pt>
                <c:pt idx="45">
                  <c:v>0.54430379746835444</c:v>
                </c:pt>
                <c:pt idx="46">
                  <c:v>0.53086419753086422</c:v>
                </c:pt>
                <c:pt idx="47">
                  <c:v>0.52439024390243905</c:v>
                </c:pt>
                <c:pt idx="48">
                  <c:v>0.52380952380952384</c:v>
                </c:pt>
                <c:pt idx="49">
                  <c:v>0.52941176470588236</c:v>
                </c:pt>
                <c:pt idx="50">
                  <c:v>0.52941176470588236</c:v>
                </c:pt>
                <c:pt idx="51">
                  <c:v>0.54022988505747127</c:v>
                </c:pt>
                <c:pt idx="52">
                  <c:v>0.550561797752809</c:v>
                </c:pt>
                <c:pt idx="53">
                  <c:v>0.550561797752809</c:v>
                </c:pt>
                <c:pt idx="54">
                  <c:v>0.54347826086956519</c:v>
                </c:pt>
                <c:pt idx="55">
                  <c:v>0.5376344086021505</c:v>
                </c:pt>
                <c:pt idx="56">
                  <c:v>0.53608247422680411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201257861635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ただ2!$O$3:$O$59</c:f>
              <c:numCache>
                <c:formatCode>0.0%</c:formatCode>
                <c:ptCount val="57"/>
                <c:pt idx="1">
                  <c:v>0.5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0.5714285714285714</c:v>
                </c:pt>
                <c:pt idx="5">
                  <c:v>0.5</c:v>
                </c:pt>
                <c:pt idx="6">
                  <c:v>0.41666666666666669</c:v>
                </c:pt>
                <c:pt idx="7">
                  <c:v>0.46153846153846156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0.47619047619047616</c:v>
                </c:pt>
                <c:pt idx="12">
                  <c:v>0.43478260869565216</c:v>
                </c:pt>
                <c:pt idx="13">
                  <c:v>0.39285714285714285</c:v>
                </c:pt>
                <c:pt idx="14">
                  <c:v>0.41935483870967744</c:v>
                </c:pt>
                <c:pt idx="15">
                  <c:v>0.41666666666666669</c:v>
                </c:pt>
                <c:pt idx="16">
                  <c:v>0.43902439024390244</c:v>
                </c:pt>
                <c:pt idx="17">
                  <c:v>0.42857142857142855</c:v>
                </c:pt>
                <c:pt idx="18">
                  <c:v>0.44186046511627908</c:v>
                </c:pt>
                <c:pt idx="19">
                  <c:v>0.43181818181818182</c:v>
                </c:pt>
                <c:pt idx="20">
                  <c:v>0.44444444444444442</c:v>
                </c:pt>
                <c:pt idx="21">
                  <c:v>0.44680851063829785</c:v>
                </c:pt>
                <c:pt idx="22">
                  <c:v>0.46938775510204084</c:v>
                </c:pt>
                <c:pt idx="23">
                  <c:v>0.48</c:v>
                </c:pt>
                <c:pt idx="24">
                  <c:v>0.48</c:v>
                </c:pt>
                <c:pt idx="25">
                  <c:v>0.49056603773584906</c:v>
                </c:pt>
                <c:pt idx="26">
                  <c:v>0.51724137931034486</c:v>
                </c:pt>
                <c:pt idx="27">
                  <c:v>0.51724137931034486</c:v>
                </c:pt>
                <c:pt idx="28">
                  <c:v>0.51724137931034486</c:v>
                </c:pt>
                <c:pt idx="29">
                  <c:v>0.5</c:v>
                </c:pt>
                <c:pt idx="30">
                  <c:v>0.49206349206349204</c:v>
                </c:pt>
                <c:pt idx="31">
                  <c:v>0.49230769230769234</c:v>
                </c:pt>
                <c:pt idx="32">
                  <c:v>0.49295774647887325</c:v>
                </c:pt>
                <c:pt idx="33">
                  <c:v>0.47368421052631576</c:v>
                </c:pt>
                <c:pt idx="34">
                  <c:v>0.47435897435897434</c:v>
                </c:pt>
                <c:pt idx="35">
                  <c:v>0.48101265822784811</c:v>
                </c:pt>
                <c:pt idx="36">
                  <c:v>0.47499999999999998</c:v>
                </c:pt>
                <c:pt idx="37">
                  <c:v>0.47560975609756095</c:v>
                </c:pt>
                <c:pt idx="38">
                  <c:v>0.47560975609756095</c:v>
                </c:pt>
                <c:pt idx="39">
                  <c:v>0.48192771084337349</c:v>
                </c:pt>
                <c:pt idx="40">
                  <c:v>0.45454545454545453</c:v>
                </c:pt>
                <c:pt idx="41">
                  <c:v>0.43617021276595747</c:v>
                </c:pt>
                <c:pt idx="42">
                  <c:v>0.43157894736842106</c:v>
                </c:pt>
                <c:pt idx="43">
                  <c:v>0.42</c:v>
                </c:pt>
                <c:pt idx="44">
                  <c:v>0.41346153846153844</c:v>
                </c:pt>
                <c:pt idx="45">
                  <c:v>0.40952380952380951</c:v>
                </c:pt>
                <c:pt idx="46">
                  <c:v>0.41121495327102803</c:v>
                </c:pt>
                <c:pt idx="47">
                  <c:v>0.40366972477064222</c:v>
                </c:pt>
                <c:pt idx="48">
                  <c:v>0.41592920353982299</c:v>
                </c:pt>
                <c:pt idx="49">
                  <c:v>0.41379310344827586</c:v>
                </c:pt>
                <c:pt idx="50">
                  <c:v>0.40336134453781514</c:v>
                </c:pt>
                <c:pt idx="51">
                  <c:v>0.40336134453781514</c:v>
                </c:pt>
                <c:pt idx="52">
                  <c:v>0.40163934426229508</c:v>
                </c:pt>
                <c:pt idx="53">
                  <c:v>0.40322580645161288</c:v>
                </c:pt>
                <c:pt idx="54">
                  <c:v>0.421875</c:v>
                </c:pt>
                <c:pt idx="55">
                  <c:v>0.43076923076923079</c:v>
                </c:pt>
                <c:pt idx="56">
                  <c:v>0.43076923076923079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8304498269896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ただ2!$P$3:$P$59</c:f>
              <c:numCache>
                <c:formatCode>0.0%</c:formatCode>
                <c:ptCount val="57"/>
                <c:pt idx="1">
                  <c:v>0</c:v>
                </c:pt>
                <c:pt idx="2">
                  <c:v>0.42857142857142855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  <c:pt idx="6">
                  <c:v>0.41176470588235292</c:v>
                </c:pt>
                <c:pt idx="7">
                  <c:v>0.35</c:v>
                </c:pt>
                <c:pt idx="8">
                  <c:v>0.31818181818181818</c:v>
                </c:pt>
                <c:pt idx="9">
                  <c:v>0.40740740740740738</c:v>
                </c:pt>
                <c:pt idx="10">
                  <c:v>0.4</c:v>
                </c:pt>
                <c:pt idx="11">
                  <c:v>0.40625</c:v>
                </c:pt>
                <c:pt idx="12">
                  <c:v>0.41176470588235292</c:v>
                </c:pt>
                <c:pt idx="13">
                  <c:v>0.42857142857142855</c:v>
                </c:pt>
                <c:pt idx="14">
                  <c:v>0.41025641025641024</c:v>
                </c:pt>
                <c:pt idx="15">
                  <c:v>0.39534883720930231</c:v>
                </c:pt>
                <c:pt idx="16">
                  <c:v>0.39130434782608697</c:v>
                </c:pt>
                <c:pt idx="17">
                  <c:v>0.39130434782608697</c:v>
                </c:pt>
                <c:pt idx="18">
                  <c:v>0.39583333333333331</c:v>
                </c:pt>
                <c:pt idx="19">
                  <c:v>0.39215686274509803</c:v>
                </c:pt>
                <c:pt idx="20">
                  <c:v>0.37037037037037035</c:v>
                </c:pt>
                <c:pt idx="21">
                  <c:v>0.3559322033898305</c:v>
                </c:pt>
                <c:pt idx="22">
                  <c:v>0.36507936507936506</c:v>
                </c:pt>
                <c:pt idx="23">
                  <c:v>0.37313432835820898</c:v>
                </c:pt>
                <c:pt idx="24">
                  <c:v>0.39130434782608697</c:v>
                </c:pt>
                <c:pt idx="25">
                  <c:v>0.41666666666666669</c:v>
                </c:pt>
                <c:pt idx="26">
                  <c:v>0.44444444444444442</c:v>
                </c:pt>
                <c:pt idx="27">
                  <c:v>0.43902439024390244</c:v>
                </c:pt>
                <c:pt idx="28">
                  <c:v>0.43373493975903615</c:v>
                </c:pt>
                <c:pt idx="29">
                  <c:v>0.44705882352941179</c:v>
                </c:pt>
                <c:pt idx="30">
                  <c:v>0.4175824175824176</c:v>
                </c:pt>
                <c:pt idx="31">
                  <c:v>0.41935483870967744</c:v>
                </c:pt>
                <c:pt idx="32">
                  <c:v>0.41237113402061853</c:v>
                </c:pt>
                <c:pt idx="33">
                  <c:v>0.4</c:v>
                </c:pt>
                <c:pt idx="34">
                  <c:v>0.40776699029126212</c:v>
                </c:pt>
                <c:pt idx="35">
                  <c:v>0.41666666666666669</c:v>
                </c:pt>
                <c:pt idx="36">
                  <c:v>0.41666666666666669</c:v>
                </c:pt>
                <c:pt idx="37">
                  <c:v>0.4144144144144144</c:v>
                </c:pt>
                <c:pt idx="38">
                  <c:v>0.41592920353982299</c:v>
                </c:pt>
                <c:pt idx="39">
                  <c:v>0.40170940170940173</c:v>
                </c:pt>
                <c:pt idx="40">
                  <c:v>0.40170940170940173</c:v>
                </c:pt>
                <c:pt idx="41">
                  <c:v>0.40336134453781514</c:v>
                </c:pt>
                <c:pt idx="42">
                  <c:v>0.4049586776859504</c:v>
                </c:pt>
                <c:pt idx="43">
                  <c:v>0.41463414634146339</c:v>
                </c:pt>
                <c:pt idx="44">
                  <c:v>0.41599999999999998</c:v>
                </c:pt>
                <c:pt idx="45">
                  <c:v>0.40625</c:v>
                </c:pt>
                <c:pt idx="46">
                  <c:v>0.40769230769230769</c:v>
                </c:pt>
                <c:pt idx="47">
                  <c:v>0.40601503759398494</c:v>
                </c:pt>
                <c:pt idx="48">
                  <c:v>0.39568345323741005</c:v>
                </c:pt>
                <c:pt idx="49">
                  <c:v>0.3971631205673759</c:v>
                </c:pt>
                <c:pt idx="50">
                  <c:v>0.3971631205673759</c:v>
                </c:pt>
                <c:pt idx="51">
                  <c:v>0.40277777777777779</c:v>
                </c:pt>
                <c:pt idx="52">
                  <c:v>0.40939597315436244</c:v>
                </c:pt>
                <c:pt idx="53">
                  <c:v>0.40397350993377484</c:v>
                </c:pt>
                <c:pt idx="54">
                  <c:v>0.40384615384615385</c:v>
                </c:pt>
                <c:pt idx="55">
                  <c:v>0.39873417721518989</c:v>
                </c:pt>
                <c:pt idx="56">
                  <c:v>0.39506172839506171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85237258347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57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6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6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6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6" x14ac:dyDescent="0.4">
      <c r="A52" s="2" t="s">
        <v>269</v>
      </c>
      <c r="B52" s="3">
        <v>44188.877129629633</v>
      </c>
      <c r="C52" s="2" t="s">
        <v>127</v>
      </c>
    </row>
    <row r="53" spans="1:6" x14ac:dyDescent="0.4">
      <c r="A53" s="2" t="s">
        <v>270</v>
      </c>
      <c r="B53" s="3">
        <v>44202.692986111113</v>
      </c>
      <c r="C53" s="2" t="s">
        <v>127</v>
      </c>
    </row>
    <row r="54" spans="1:6" x14ac:dyDescent="0.4">
      <c r="A54" s="2" t="s">
        <v>271</v>
      </c>
      <c r="B54" s="3">
        <v>44203.727847222224</v>
      </c>
      <c r="C54" s="2" t="s">
        <v>127</v>
      </c>
      <c r="D54" s="2" t="s">
        <v>188</v>
      </c>
      <c r="E54" s="2" t="s">
        <v>191</v>
      </c>
      <c r="F54" s="2" t="s">
        <v>194</v>
      </c>
    </row>
    <row r="55" spans="1:6" x14ac:dyDescent="0.4">
      <c r="A55" s="2" t="s">
        <v>272</v>
      </c>
      <c r="B55" s="3">
        <v>44211.712731481479</v>
      </c>
      <c r="C55" s="2" t="s">
        <v>127</v>
      </c>
      <c r="D55" s="2" t="s">
        <v>188</v>
      </c>
    </row>
    <row r="56" spans="1:6" x14ac:dyDescent="0.4">
      <c r="A56" s="2" t="s">
        <v>273</v>
      </c>
      <c r="B56" s="3">
        <v>44212.86445601852</v>
      </c>
      <c r="C56" s="2" t="s">
        <v>127</v>
      </c>
      <c r="D56" s="2" t="s">
        <v>188</v>
      </c>
      <c r="E56" s="2" t="s">
        <v>191</v>
      </c>
    </row>
    <row r="57" spans="1:6" x14ac:dyDescent="0.4">
      <c r="A57" s="2" t="s">
        <v>274</v>
      </c>
      <c r="B57" s="3">
        <v>44221.737361111111</v>
      </c>
      <c r="C57" s="2" t="s">
        <v>127</v>
      </c>
      <c r="D57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126</v>
      </c>
      <c r="C2" s="120">
        <v>1842.3339395535957</v>
      </c>
    </row>
    <row r="3" spans="1:3" x14ac:dyDescent="0.4">
      <c r="A3" t="s">
        <v>163</v>
      </c>
      <c r="B3" s="120">
        <v>83</v>
      </c>
      <c r="C3" s="120">
        <v>1653.1699313523677</v>
      </c>
    </row>
    <row r="4" spans="1:3" x14ac:dyDescent="0.4">
      <c r="A4" t="s">
        <v>139</v>
      </c>
      <c r="B4" s="120">
        <v>450</v>
      </c>
      <c r="C4" s="120">
        <v>1594.5463045050694</v>
      </c>
    </row>
    <row r="5" spans="1:3" x14ac:dyDescent="0.4">
      <c r="A5" t="s">
        <v>190</v>
      </c>
      <c r="B5" s="120">
        <v>37</v>
      </c>
      <c r="C5" s="120">
        <v>1524.3778689305989</v>
      </c>
    </row>
    <row r="6" spans="1:3" x14ac:dyDescent="0.4">
      <c r="A6" t="s">
        <v>192</v>
      </c>
      <c r="B6" s="120">
        <v>56</v>
      </c>
      <c r="C6" s="120">
        <v>1517.1288342047803</v>
      </c>
    </row>
    <row r="7" spans="1:3" x14ac:dyDescent="0.4">
      <c r="A7" t="s">
        <v>211</v>
      </c>
      <c r="B7" s="120">
        <v>50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48</v>
      </c>
      <c r="C10" s="120">
        <v>1433.30445236539</v>
      </c>
    </row>
    <row r="11" spans="1:3" x14ac:dyDescent="0.4">
      <c r="A11" t="s">
        <v>195</v>
      </c>
      <c r="B11" s="120">
        <v>16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3" t="s">
        <v>9</v>
      </c>
      <c r="C1" s="154"/>
      <c r="D1" s="151" t="s">
        <v>6</v>
      </c>
      <c r="E1" s="152"/>
      <c r="F1" s="151" t="s">
        <v>7</v>
      </c>
      <c r="G1" s="152"/>
      <c r="H1" s="153" t="s">
        <v>196</v>
      </c>
      <c r="I1" s="154"/>
      <c r="J1" s="151" t="s">
        <v>15</v>
      </c>
      <c r="K1" s="152"/>
      <c r="L1" s="151" t="s">
        <v>14</v>
      </c>
      <c r="M1" s="152"/>
      <c r="N1" s="151" t="s">
        <v>149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180</v>
      </c>
      <c r="AK1" s="152"/>
    </row>
    <row r="2" spans="1:37" x14ac:dyDescent="0.4">
      <c r="A2" s="36" t="s">
        <v>208</v>
      </c>
      <c r="B2" s="149">
        <v>0.91493299189795541</v>
      </c>
      <c r="C2" s="150"/>
      <c r="D2" s="149">
        <v>0.39738213966202224</v>
      </c>
      <c r="E2" s="150"/>
      <c r="F2" s="149">
        <v>0.55680989187305185</v>
      </c>
      <c r="G2" s="150"/>
      <c r="H2" s="155"/>
      <c r="I2" s="156"/>
      <c r="J2" s="149">
        <v>0.27630264909398056</v>
      </c>
      <c r="K2" s="150"/>
      <c r="L2" s="149">
        <v>-0.10977466553096545</v>
      </c>
      <c r="M2" s="150"/>
      <c r="N2" s="149">
        <v>0.3771292228944193</v>
      </c>
      <c r="O2" s="150"/>
      <c r="P2" s="149">
        <v>0.53740598754759417</v>
      </c>
      <c r="Q2" s="150"/>
      <c r="R2" s="149">
        <v>2.3109532134876175E-2</v>
      </c>
      <c r="S2" s="150"/>
      <c r="T2" s="149">
        <v>-2.5117950035900397E-2</v>
      </c>
      <c r="U2" s="150"/>
      <c r="V2" s="149">
        <v>0.27630998709334853</v>
      </c>
      <c r="W2" s="150"/>
      <c r="X2" s="149">
        <v>0.41812576221457626</v>
      </c>
      <c r="Y2" s="150"/>
      <c r="Z2" s="149">
        <v>0.12477060471095094</v>
      </c>
      <c r="AA2" s="150"/>
      <c r="AB2" s="149">
        <v>0.2346391732019539</v>
      </c>
      <c r="AC2" s="150"/>
      <c r="AD2" s="149">
        <v>-3.5269509120708781E-2</v>
      </c>
      <c r="AE2" s="150"/>
      <c r="AF2" s="149">
        <v>0.66488590884675236</v>
      </c>
      <c r="AG2" s="150"/>
      <c r="AH2" s="149">
        <v>-0.38682174495967969</v>
      </c>
      <c r="AI2" s="150"/>
      <c r="AJ2" s="149">
        <v>0.77344916968953081</v>
      </c>
      <c r="AK2" s="150"/>
    </row>
    <row r="3" spans="1:37" x14ac:dyDescent="0.4">
      <c r="A3" s="38">
        <v>1</v>
      </c>
      <c r="B3" s="41" t="s">
        <v>139</v>
      </c>
      <c r="C3" s="113">
        <v>150</v>
      </c>
      <c r="D3" s="39" t="s">
        <v>192</v>
      </c>
      <c r="E3" s="40">
        <v>275.2999999999999</v>
      </c>
      <c r="F3" s="41" t="s">
        <v>192</v>
      </c>
      <c r="G3" s="60">
        <v>4.9160714285714269</v>
      </c>
      <c r="H3" s="41" t="s">
        <v>126</v>
      </c>
      <c r="I3" s="45">
        <v>1735.9964450639009</v>
      </c>
      <c r="J3" s="41" t="s">
        <v>192</v>
      </c>
      <c r="K3" s="42">
        <v>1.8392857142857142</v>
      </c>
      <c r="L3" s="41" t="s">
        <v>192</v>
      </c>
      <c r="M3" s="43">
        <v>0.39285714285714285</v>
      </c>
      <c r="N3" s="41" t="s">
        <v>190</v>
      </c>
      <c r="O3" s="43">
        <v>0.1891891891891892</v>
      </c>
      <c r="P3" s="41" t="s">
        <v>192</v>
      </c>
      <c r="Q3" s="44">
        <v>0.33540372670807456</v>
      </c>
      <c r="R3" s="41" t="s">
        <v>190</v>
      </c>
      <c r="S3" s="44">
        <v>0.1059190031152648</v>
      </c>
      <c r="T3" s="41" t="s">
        <v>221</v>
      </c>
      <c r="U3" s="45">
        <v>10925</v>
      </c>
      <c r="V3" s="41" t="s">
        <v>190</v>
      </c>
      <c r="W3" s="45">
        <v>-6517.6470588235297</v>
      </c>
      <c r="X3" s="41" t="s">
        <v>193</v>
      </c>
      <c r="Y3" s="43">
        <v>0</v>
      </c>
      <c r="Z3" s="41" t="s">
        <v>163</v>
      </c>
      <c r="AA3" s="44">
        <v>0.28129205921938089</v>
      </c>
      <c r="AB3" s="41" t="s">
        <v>189</v>
      </c>
      <c r="AC3" s="44">
        <v>0.29716981132075471</v>
      </c>
      <c r="AD3" s="41" t="s">
        <v>201</v>
      </c>
      <c r="AE3" s="44">
        <v>0.66666666666666663</v>
      </c>
      <c r="AF3" s="41" t="s">
        <v>126</v>
      </c>
      <c r="AG3" s="44">
        <v>0.46478873239436619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126</v>
      </c>
      <c r="D4" s="47" t="s">
        <v>211</v>
      </c>
      <c r="E4" s="48">
        <v>211.6</v>
      </c>
      <c r="F4" s="49" t="s">
        <v>211</v>
      </c>
      <c r="G4" s="61">
        <v>4.2320000000000002</v>
      </c>
      <c r="H4" s="49" t="s">
        <v>163</v>
      </c>
      <c r="I4" s="53">
        <v>1616.1582737753197</v>
      </c>
      <c r="J4" s="49" t="s">
        <v>190</v>
      </c>
      <c r="K4" s="50">
        <v>1.8918918918918919</v>
      </c>
      <c r="L4" s="49" t="s">
        <v>211</v>
      </c>
      <c r="M4" s="51">
        <v>0.38</v>
      </c>
      <c r="N4" s="49" t="s">
        <v>192</v>
      </c>
      <c r="O4" s="51">
        <v>0.23214285714285715</v>
      </c>
      <c r="P4" s="49" t="s">
        <v>126</v>
      </c>
      <c r="Q4" s="52">
        <v>0.31613508442776733</v>
      </c>
      <c r="R4" s="49" t="s">
        <v>192</v>
      </c>
      <c r="S4" s="52">
        <v>0.12215320910973085</v>
      </c>
      <c r="T4" s="49" t="s">
        <v>163</v>
      </c>
      <c r="U4" s="53">
        <v>9418.461538461539</v>
      </c>
      <c r="V4" s="49" t="s">
        <v>211</v>
      </c>
      <c r="W4" s="53">
        <v>-6854.3859649122805</v>
      </c>
      <c r="X4" s="49" t="s">
        <v>221</v>
      </c>
      <c r="Y4" s="51">
        <v>0</v>
      </c>
      <c r="Z4" s="49" t="s">
        <v>189</v>
      </c>
      <c r="AA4" s="52">
        <v>0.2617924528301887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211</v>
      </c>
      <c r="AG4" s="52">
        <v>0.45833333333333331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83</v>
      </c>
      <c r="D5" s="47" t="s">
        <v>126</v>
      </c>
      <c r="E5" s="48">
        <v>117.49999999999989</v>
      </c>
      <c r="F5" s="49" t="s">
        <v>190</v>
      </c>
      <c r="G5" s="61">
        <v>1.58108108108108</v>
      </c>
      <c r="H5" s="49" t="s">
        <v>139</v>
      </c>
      <c r="I5" s="53">
        <v>1611.2566785818492</v>
      </c>
      <c r="J5" s="49" t="s">
        <v>211</v>
      </c>
      <c r="K5" s="50">
        <v>1.9</v>
      </c>
      <c r="L5" s="49" t="s">
        <v>189</v>
      </c>
      <c r="M5" s="51">
        <v>0.375</v>
      </c>
      <c r="N5" s="49" t="s">
        <v>211</v>
      </c>
      <c r="O5" s="51">
        <v>0.28000000000000003</v>
      </c>
      <c r="P5" s="49" t="s">
        <v>211</v>
      </c>
      <c r="Q5" s="52">
        <v>0.30969267139479906</v>
      </c>
      <c r="R5" s="49" t="s">
        <v>211</v>
      </c>
      <c r="S5" s="52">
        <v>0.13475177304964539</v>
      </c>
      <c r="T5" s="49" t="s">
        <v>195</v>
      </c>
      <c r="U5" s="53">
        <v>8974.2857142857138</v>
      </c>
      <c r="V5" s="49" t="s">
        <v>201</v>
      </c>
      <c r="W5" s="53">
        <v>-7370</v>
      </c>
      <c r="X5" s="49" t="s">
        <v>259</v>
      </c>
      <c r="Y5" s="51">
        <v>0</v>
      </c>
      <c r="Z5" s="49" t="s">
        <v>190</v>
      </c>
      <c r="AA5" s="52">
        <v>0.26168224299065418</v>
      </c>
      <c r="AB5" s="49" t="s">
        <v>192</v>
      </c>
      <c r="AC5" s="52">
        <v>0.2691511387163561</v>
      </c>
      <c r="AD5" s="49" t="s">
        <v>195</v>
      </c>
      <c r="AE5" s="52">
        <v>0.61764705882352944</v>
      </c>
      <c r="AF5" s="49" t="s">
        <v>192</v>
      </c>
      <c r="AG5" s="52">
        <v>0.43076923076923079</v>
      </c>
      <c r="AH5" s="49" t="s">
        <v>195</v>
      </c>
      <c r="AI5" s="52">
        <v>0.54285714285714282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56</v>
      </c>
      <c r="D6" s="47" t="s">
        <v>190</v>
      </c>
      <c r="E6" s="48">
        <v>58.499999999999957</v>
      </c>
      <c r="F6" s="49" t="s">
        <v>126</v>
      </c>
      <c r="G6" s="61">
        <v>0.93253968253968167</v>
      </c>
      <c r="H6" s="49" t="s">
        <v>192</v>
      </c>
      <c r="I6" s="53">
        <v>1585.3047690513151</v>
      </c>
      <c r="J6" s="49" t="s">
        <v>139</v>
      </c>
      <c r="K6" s="50">
        <v>1.9977777777777779</v>
      </c>
      <c r="L6" s="49" t="s">
        <v>195</v>
      </c>
      <c r="M6" s="51">
        <v>0.375</v>
      </c>
      <c r="N6" s="49" t="s">
        <v>139</v>
      </c>
      <c r="O6" s="51">
        <v>0.33333333333333331</v>
      </c>
      <c r="P6" s="49" t="s">
        <v>189</v>
      </c>
      <c r="Q6" s="52">
        <v>0.30188679245283018</v>
      </c>
      <c r="R6" s="49" t="s">
        <v>189</v>
      </c>
      <c r="S6" s="52">
        <v>0.15801886792452829</v>
      </c>
      <c r="T6" s="49" t="s">
        <v>139</v>
      </c>
      <c r="U6" s="53">
        <v>8163.4446397188049</v>
      </c>
      <c r="V6" s="49" t="s">
        <v>126</v>
      </c>
      <c r="W6" s="53">
        <v>-7541.0810810810808</v>
      </c>
      <c r="X6" s="49" t="s">
        <v>211</v>
      </c>
      <c r="Y6" s="51">
        <v>0.04</v>
      </c>
      <c r="Z6" s="49" t="s">
        <v>126</v>
      </c>
      <c r="AA6" s="52">
        <v>0.24765478424015008</v>
      </c>
      <c r="AB6" s="49" t="s">
        <v>211</v>
      </c>
      <c r="AC6" s="52">
        <v>0.22695035460992907</v>
      </c>
      <c r="AD6" s="49" t="s">
        <v>211</v>
      </c>
      <c r="AE6" s="52">
        <v>0.59375</v>
      </c>
      <c r="AF6" s="49" t="s">
        <v>193</v>
      </c>
      <c r="AG6" s="52">
        <v>0.41666666666666669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50</v>
      </c>
      <c r="D7" s="47" t="s">
        <v>139</v>
      </c>
      <c r="E7" s="48">
        <v>4.6185277824406512E-14</v>
      </c>
      <c r="F7" s="49" t="s">
        <v>139</v>
      </c>
      <c r="G7" s="61">
        <v>1.0263395072090336E-16</v>
      </c>
      <c r="H7" s="49" t="s">
        <v>190</v>
      </c>
      <c r="I7" s="53">
        <v>1552.235570864417</v>
      </c>
      <c r="J7" s="49" t="s">
        <v>189</v>
      </c>
      <c r="K7" s="50">
        <v>2.0208333333333335</v>
      </c>
      <c r="L7" s="49" t="s">
        <v>126</v>
      </c>
      <c r="M7" s="51">
        <v>0.34126984126984128</v>
      </c>
      <c r="N7" s="49" t="s">
        <v>163</v>
      </c>
      <c r="O7" s="51">
        <v>0.33734939759036142</v>
      </c>
      <c r="P7" s="49" t="s">
        <v>139</v>
      </c>
      <c r="Q7" s="52">
        <v>0.29314786192684184</v>
      </c>
      <c r="R7" s="49" t="s">
        <v>139</v>
      </c>
      <c r="S7" s="52">
        <v>0.16357547655847501</v>
      </c>
      <c r="T7" s="49" t="s">
        <v>126</v>
      </c>
      <c r="U7" s="53">
        <v>8162.9080118694365</v>
      </c>
      <c r="V7" s="49" t="s">
        <v>139</v>
      </c>
      <c r="W7" s="53">
        <v>-7676.6929133858266</v>
      </c>
      <c r="X7" s="49" t="s">
        <v>190</v>
      </c>
      <c r="Y7" s="51">
        <v>5.4054054054054057E-2</v>
      </c>
      <c r="Z7" s="49" t="s">
        <v>139</v>
      </c>
      <c r="AA7" s="52">
        <v>0.24574961360123648</v>
      </c>
      <c r="AB7" s="49" t="s">
        <v>163</v>
      </c>
      <c r="AC7" s="52">
        <v>0.2234185733512786</v>
      </c>
      <c r="AD7" s="49" t="s">
        <v>126</v>
      </c>
      <c r="AE7" s="52">
        <v>0.56439393939393945</v>
      </c>
      <c r="AF7" s="49" t="s">
        <v>189</v>
      </c>
      <c r="AG7" s="52">
        <v>0.41269841269841268</v>
      </c>
      <c r="AH7" s="49" t="s">
        <v>216</v>
      </c>
      <c r="AI7" s="52">
        <v>0.47058823529411764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48</v>
      </c>
      <c r="D8" s="47" t="s">
        <v>221</v>
      </c>
      <c r="E8" s="48">
        <v>-13.5</v>
      </c>
      <c r="F8" s="49" t="s">
        <v>189</v>
      </c>
      <c r="G8" s="61">
        <v>-0.65624999999999989</v>
      </c>
      <c r="H8" s="49" t="s">
        <v>211</v>
      </c>
      <c r="I8" s="53">
        <v>1546.7179617982042</v>
      </c>
      <c r="J8" s="49" t="s">
        <v>126</v>
      </c>
      <c r="K8" s="50">
        <v>2.0238095238095237</v>
      </c>
      <c r="L8" s="49" t="s">
        <v>139</v>
      </c>
      <c r="M8" s="51">
        <v>0.33555555555555555</v>
      </c>
      <c r="N8" s="49" t="s">
        <v>126</v>
      </c>
      <c r="O8" s="51">
        <v>0.36507936507936506</v>
      </c>
      <c r="P8" s="49" t="s">
        <v>190</v>
      </c>
      <c r="Q8" s="52">
        <v>0.26479750778816197</v>
      </c>
      <c r="R8" s="49" t="s">
        <v>221</v>
      </c>
      <c r="S8" s="52">
        <v>0.16666666666666666</v>
      </c>
      <c r="T8" s="49" t="s">
        <v>190</v>
      </c>
      <c r="U8" s="53">
        <v>8091.7647058823532</v>
      </c>
      <c r="V8" s="49" t="s">
        <v>163</v>
      </c>
      <c r="W8" s="53">
        <v>-7719.4630872483222</v>
      </c>
      <c r="X8" s="49" t="s">
        <v>192</v>
      </c>
      <c r="Y8" s="51">
        <v>7.1428571428571425E-2</v>
      </c>
      <c r="Z8" s="49" t="s">
        <v>259</v>
      </c>
      <c r="AA8" s="52">
        <v>0.24</v>
      </c>
      <c r="AB8" s="49" t="s">
        <v>139</v>
      </c>
      <c r="AC8" s="52">
        <v>0.223338485316847</v>
      </c>
      <c r="AD8" s="49" t="s">
        <v>192</v>
      </c>
      <c r="AE8" s="52">
        <v>0.53608247422680411</v>
      </c>
      <c r="AF8" s="49" t="s">
        <v>139</v>
      </c>
      <c r="AG8" s="52">
        <v>0.40830449826989618</v>
      </c>
      <c r="AH8" s="49" t="s">
        <v>189</v>
      </c>
      <c r="AI8" s="52">
        <v>0.46875</v>
      </c>
      <c r="AJ8" s="49" t="s">
        <v>211</v>
      </c>
      <c r="AK8" s="56">
        <v>93600</v>
      </c>
    </row>
    <row r="9" spans="1:37" x14ac:dyDescent="0.4">
      <c r="A9" s="46">
        <v>7</v>
      </c>
      <c r="B9" s="49" t="s">
        <v>190</v>
      </c>
      <c r="C9" s="114">
        <v>37</v>
      </c>
      <c r="D9" s="47" t="s">
        <v>189</v>
      </c>
      <c r="E9" s="48">
        <v>-31.499999999999993</v>
      </c>
      <c r="F9" s="49" t="s">
        <v>163</v>
      </c>
      <c r="G9" s="61">
        <v>-2.1999999999999997</v>
      </c>
      <c r="H9" s="49" t="s">
        <v>221</v>
      </c>
      <c r="I9" s="53">
        <v>1497.379788</v>
      </c>
      <c r="J9" s="49" t="s">
        <v>163</v>
      </c>
      <c r="K9" s="50">
        <v>2.0240963855421685</v>
      </c>
      <c r="L9" s="49" t="s">
        <v>163</v>
      </c>
      <c r="M9" s="51">
        <v>0.31325301204819278</v>
      </c>
      <c r="N9" s="49" t="s">
        <v>189</v>
      </c>
      <c r="O9" s="51">
        <v>0.39583333333333331</v>
      </c>
      <c r="P9" s="49" t="s">
        <v>163</v>
      </c>
      <c r="Q9" s="52">
        <v>0.26244952893674295</v>
      </c>
      <c r="R9" s="49" t="s">
        <v>195</v>
      </c>
      <c r="S9" s="52">
        <v>0.17241379310344829</v>
      </c>
      <c r="T9" s="49" t="s">
        <v>211</v>
      </c>
      <c r="U9" s="53">
        <v>7960.3053435114507</v>
      </c>
      <c r="V9" s="49" t="s">
        <v>195</v>
      </c>
      <c r="W9" s="53">
        <v>-7868</v>
      </c>
      <c r="X9" s="49" t="s">
        <v>189</v>
      </c>
      <c r="Y9" s="51">
        <v>8.3333333333333329E-2</v>
      </c>
      <c r="Z9" s="49" t="s">
        <v>216</v>
      </c>
      <c r="AA9" s="52">
        <v>0.2361111111111111</v>
      </c>
      <c r="AB9" s="49" t="s">
        <v>193</v>
      </c>
      <c r="AC9" s="52">
        <v>0.22222222222222221</v>
      </c>
      <c r="AD9" s="49" t="s">
        <v>139</v>
      </c>
      <c r="AE9" s="52">
        <v>0.5220125786163522</v>
      </c>
      <c r="AF9" s="49" t="s">
        <v>221</v>
      </c>
      <c r="AG9" s="52">
        <v>0.4</v>
      </c>
      <c r="AH9" s="49" t="s">
        <v>126</v>
      </c>
      <c r="AI9" s="52">
        <v>0.45697329376854601</v>
      </c>
      <c r="AJ9" s="49" t="s">
        <v>189</v>
      </c>
      <c r="AK9" s="56">
        <v>89900</v>
      </c>
    </row>
    <row r="10" spans="1:37" x14ac:dyDescent="0.4">
      <c r="A10" s="46">
        <v>8</v>
      </c>
      <c r="B10" s="49" t="s">
        <v>216</v>
      </c>
      <c r="C10" s="114">
        <v>19</v>
      </c>
      <c r="D10" s="47" t="s">
        <v>259</v>
      </c>
      <c r="E10" s="48">
        <v>-50</v>
      </c>
      <c r="F10" s="49" t="s">
        <v>216</v>
      </c>
      <c r="G10" s="61">
        <v>-5.7</v>
      </c>
      <c r="H10" s="49" t="s">
        <v>259</v>
      </c>
      <c r="I10" s="53">
        <v>1493.0891304000002</v>
      </c>
      <c r="J10" s="49" t="s">
        <v>195</v>
      </c>
      <c r="K10" s="50">
        <v>2.0625</v>
      </c>
      <c r="L10" s="49" t="s">
        <v>190</v>
      </c>
      <c r="M10" s="51">
        <v>0.29729729729729731</v>
      </c>
      <c r="N10" s="49" t="s">
        <v>216</v>
      </c>
      <c r="O10" s="51">
        <v>0.42105263157894735</v>
      </c>
      <c r="P10" s="49" t="s">
        <v>201</v>
      </c>
      <c r="Q10" s="52">
        <v>0.25</v>
      </c>
      <c r="R10" s="49" t="s">
        <v>126</v>
      </c>
      <c r="S10" s="52">
        <v>0.17354596622889307</v>
      </c>
      <c r="T10" s="49" t="s">
        <v>216</v>
      </c>
      <c r="U10" s="53">
        <v>7926.4705882352937</v>
      </c>
      <c r="V10" s="49" t="s">
        <v>192</v>
      </c>
      <c r="W10" s="53">
        <v>-7877.9661016949149</v>
      </c>
      <c r="X10" s="49" t="s">
        <v>126</v>
      </c>
      <c r="Y10" s="51">
        <v>8.7301587301587297E-2</v>
      </c>
      <c r="Z10" s="49" t="s">
        <v>195</v>
      </c>
      <c r="AA10" s="52">
        <v>0.23448275862068965</v>
      </c>
      <c r="AB10" s="49" t="s">
        <v>201</v>
      </c>
      <c r="AC10" s="52">
        <v>0.22222222222222221</v>
      </c>
      <c r="AD10" s="49" t="s">
        <v>190</v>
      </c>
      <c r="AE10" s="52">
        <v>0.51190476190476186</v>
      </c>
      <c r="AF10" s="49" t="s">
        <v>190</v>
      </c>
      <c r="AG10" s="52">
        <v>0.36507936507936506</v>
      </c>
      <c r="AH10" s="49" t="s">
        <v>163</v>
      </c>
      <c r="AI10" s="52">
        <v>0.45128205128205129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195</v>
      </c>
      <c r="C11" s="114">
        <v>16</v>
      </c>
      <c r="D11" s="47" t="s">
        <v>201</v>
      </c>
      <c r="E11" s="48">
        <v>-77.699999999999989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195</v>
      </c>
      <c r="O11" s="51">
        <v>0.4375</v>
      </c>
      <c r="P11" s="49" t="s">
        <v>195</v>
      </c>
      <c r="Q11" s="52">
        <v>0.2413793103448276</v>
      </c>
      <c r="R11" s="49" t="s">
        <v>259</v>
      </c>
      <c r="S11" s="52">
        <v>0.2</v>
      </c>
      <c r="T11" s="49" t="s">
        <v>193</v>
      </c>
      <c r="U11" s="53">
        <v>7866.666666666667</v>
      </c>
      <c r="V11" s="49" t="s">
        <v>216</v>
      </c>
      <c r="W11" s="53">
        <v>-7886.2068965517237</v>
      </c>
      <c r="X11" s="49" t="s">
        <v>139</v>
      </c>
      <c r="Y11" s="51">
        <v>8.8888888888888892E-2</v>
      </c>
      <c r="Z11" s="49" t="s">
        <v>211</v>
      </c>
      <c r="AA11" s="52">
        <v>0.22695035460992907</v>
      </c>
      <c r="AB11" s="49" t="s">
        <v>126</v>
      </c>
      <c r="AC11" s="52">
        <v>0.19981238273921201</v>
      </c>
      <c r="AD11" s="49" t="s">
        <v>163</v>
      </c>
      <c r="AE11" s="52">
        <v>0.47368421052631576</v>
      </c>
      <c r="AF11" s="49" t="s">
        <v>163</v>
      </c>
      <c r="AG11" s="52">
        <v>0.34337349397590361</v>
      </c>
      <c r="AH11" s="49" t="s">
        <v>139</v>
      </c>
      <c r="AI11" s="52">
        <v>0.43585237258347981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195</v>
      </c>
      <c r="G12" s="61">
        <v>-7.5687499999999996</v>
      </c>
      <c r="H12" s="49" t="s">
        <v>216</v>
      </c>
      <c r="I12" s="53">
        <v>1488.9447185272431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163</v>
      </c>
      <c r="S12" s="52">
        <v>0.20053835800807537</v>
      </c>
      <c r="T12" s="49" t="s">
        <v>189</v>
      </c>
      <c r="U12" s="53">
        <v>7529.6875</v>
      </c>
      <c r="V12" s="49" t="s">
        <v>189</v>
      </c>
      <c r="W12" s="53">
        <v>-8488.059701492537</v>
      </c>
      <c r="X12" s="49" t="s">
        <v>216</v>
      </c>
      <c r="Y12" s="51">
        <v>0.10526315789473684</v>
      </c>
      <c r="Z12" s="49" t="s">
        <v>221</v>
      </c>
      <c r="AA12" s="52">
        <v>0.22222222222222221</v>
      </c>
      <c r="AB12" s="49" t="s">
        <v>190</v>
      </c>
      <c r="AC12" s="52">
        <v>0.19626168224299065</v>
      </c>
      <c r="AD12" s="49" t="s">
        <v>216</v>
      </c>
      <c r="AE12" s="52">
        <v>0.47058823529411764</v>
      </c>
      <c r="AF12" s="49" t="s">
        <v>216</v>
      </c>
      <c r="AG12" s="52">
        <v>0.32</v>
      </c>
      <c r="AH12" s="49" t="s">
        <v>211</v>
      </c>
      <c r="AI12" s="52">
        <v>0.40458015267175573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216</v>
      </c>
      <c r="E13" s="48">
        <v>-108.30000000000001</v>
      </c>
      <c r="F13" s="49" t="s">
        <v>193</v>
      </c>
      <c r="G13" s="61">
        <v>-13.033333333333331</v>
      </c>
      <c r="H13" s="49" t="s">
        <v>189</v>
      </c>
      <c r="I13" s="53">
        <v>1467.5565900800862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216</v>
      </c>
      <c r="Q13" s="52">
        <v>0.2361111111111111</v>
      </c>
      <c r="R13" s="49" t="s">
        <v>216</v>
      </c>
      <c r="S13" s="52">
        <v>0.2013888888888889</v>
      </c>
      <c r="T13" s="49" t="s">
        <v>192</v>
      </c>
      <c r="U13" s="53">
        <v>7298.7654320987658</v>
      </c>
      <c r="V13" s="49" t="s">
        <v>193</v>
      </c>
      <c r="W13" s="53">
        <v>-8875</v>
      </c>
      <c r="X13" s="49" t="s">
        <v>163</v>
      </c>
      <c r="Y13" s="51">
        <v>0.13253012048192772</v>
      </c>
      <c r="Z13" s="49" t="s">
        <v>192</v>
      </c>
      <c r="AA13" s="52">
        <v>0.20082815734989648</v>
      </c>
      <c r="AB13" s="49" t="s">
        <v>216</v>
      </c>
      <c r="AC13" s="52">
        <v>0.1736111111111111</v>
      </c>
      <c r="AD13" s="49" t="s">
        <v>189</v>
      </c>
      <c r="AE13" s="52">
        <v>0.45045045045045046</v>
      </c>
      <c r="AF13" s="49" t="s">
        <v>195</v>
      </c>
      <c r="AG13" s="52">
        <v>0.26315789473684209</v>
      </c>
      <c r="AH13" s="49" t="s">
        <v>192</v>
      </c>
      <c r="AI13" s="52">
        <v>0.39506172839506171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195</v>
      </c>
      <c r="E14" s="48">
        <v>-121.1</v>
      </c>
      <c r="F14" s="49" t="s">
        <v>259</v>
      </c>
      <c r="G14" s="61">
        <v>-16.666666666666668</v>
      </c>
      <c r="H14" s="49" t="s">
        <v>195</v>
      </c>
      <c r="I14" s="53">
        <v>1386.1875835590063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193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0.1875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0.31764705882352939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163</v>
      </c>
      <c r="E15" s="48">
        <v>-182.6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221</v>
      </c>
      <c r="Q15" s="52">
        <v>0.22222222222222221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0.1310344827586207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450</v>
      </c>
      <c r="C2" s="142"/>
      <c r="E2" s="26" t="s">
        <v>66</v>
      </c>
      <c r="F2" s="23" t="s">
        <v>22</v>
      </c>
      <c r="G2" s="11">
        <v>885</v>
      </c>
      <c r="H2" s="87">
        <f>IF(B$20=0,0,G2/B$20)</f>
        <v>0.77768014059753954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-33.557046979865774</v>
      </c>
      <c r="Q2" s="76">
        <v>447</v>
      </c>
      <c r="R2" s="63">
        <v>-15000</v>
      </c>
    </row>
    <row r="3" spans="1:18" x14ac:dyDescent="0.4">
      <c r="A3" s="19" t="s">
        <v>8</v>
      </c>
      <c r="B3" s="143">
        <v>3882</v>
      </c>
      <c r="C3" s="144"/>
      <c r="E3" s="27" t="s">
        <v>72</v>
      </c>
      <c r="F3" s="24" t="s">
        <v>27</v>
      </c>
      <c r="G3" s="12">
        <v>677</v>
      </c>
      <c r="H3" s="88">
        <f>IF(B$20=0,0,G3/B$20)</f>
        <v>0.59490333919156413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13.698630136986301</v>
      </c>
      <c r="Q3" s="77">
        <v>438</v>
      </c>
      <c r="R3" s="64">
        <v>6000</v>
      </c>
    </row>
    <row r="4" spans="1:18" x14ac:dyDescent="0.4">
      <c r="A4" s="19" t="s">
        <v>6</v>
      </c>
      <c r="B4" s="145">
        <v>4.6185277824406512E-14</v>
      </c>
      <c r="C4" s="146"/>
      <c r="E4" s="27" t="s">
        <v>64</v>
      </c>
      <c r="F4" s="24" t="s">
        <v>20</v>
      </c>
      <c r="G4" s="12">
        <v>482</v>
      </c>
      <c r="H4" s="88">
        <f>IF(B$20=0,0,G4/B$20)</f>
        <v>0.42355008787346221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2.2831050228310503</v>
      </c>
      <c r="Q4" s="77">
        <v>438</v>
      </c>
      <c r="R4" s="64">
        <v>1000</v>
      </c>
    </row>
    <row r="5" spans="1:18" x14ac:dyDescent="0.4">
      <c r="A5" s="19" t="s">
        <v>7</v>
      </c>
      <c r="B5" s="133">
        <f>IF(B$2=0,0,B$4/B$2)</f>
        <v>1.0263395072090336E-16</v>
      </c>
      <c r="C5" s="134"/>
      <c r="E5" s="27" t="s">
        <v>159</v>
      </c>
      <c r="F5" s="24" t="s">
        <v>160</v>
      </c>
      <c r="G5" s="12">
        <v>462</v>
      </c>
      <c r="H5" s="88">
        <f>IF(B$20=0,0,G5/B$20)</f>
        <v>0.40597539543057998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-4.7961630695443649</v>
      </c>
      <c r="Q5" s="77">
        <v>417</v>
      </c>
      <c r="R5" s="64">
        <v>-2000</v>
      </c>
    </row>
    <row r="6" spans="1:18" x14ac:dyDescent="0.4">
      <c r="A6" s="19" t="s">
        <v>196</v>
      </c>
      <c r="B6" s="137">
        <v>1611.2566785818492</v>
      </c>
      <c r="C6" s="138"/>
      <c r="E6" s="27" t="s">
        <v>68</v>
      </c>
      <c r="F6" s="24" t="s">
        <v>12</v>
      </c>
      <c r="G6" s="12">
        <v>339</v>
      </c>
      <c r="H6" s="88">
        <f>IF(B$20=0,0,G6/B$20)</f>
        <v>0.29789103690685415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13.123359580052494</v>
      </c>
      <c r="Q6" s="77">
        <v>381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1.9977777777777779</v>
      </c>
      <c r="C7" s="148"/>
      <c r="E7" s="27" t="s">
        <v>67</v>
      </c>
      <c r="F7" s="24" t="s">
        <v>23</v>
      </c>
      <c r="G7" s="12">
        <v>259</v>
      </c>
      <c r="H7" s="88">
        <f>IF(B$20=0,0,G7/B$20)</f>
        <v>0.22759226713532513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15.290519877675841</v>
      </c>
      <c r="Q7" s="78">
        <v>327</v>
      </c>
      <c r="R7" s="65">
        <v>5000</v>
      </c>
    </row>
    <row r="8" spans="1:18" x14ac:dyDescent="0.4">
      <c r="A8" s="19" t="s">
        <v>2</v>
      </c>
      <c r="B8" s="12">
        <v>151</v>
      </c>
      <c r="C8" s="6">
        <f t="shared" ref="C8:C15" si="1">IF(B$2=0,0,B8/B$2)</f>
        <v>0.33555555555555555</v>
      </c>
      <c r="E8" s="27" t="s">
        <v>89</v>
      </c>
      <c r="F8" s="24" t="s">
        <v>44</v>
      </c>
      <c r="G8" s="12">
        <v>157</v>
      </c>
      <c r="H8" s="88">
        <f>IF(B$20=0,0,G8/B$20)</f>
        <v>0.13796133567662566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149</v>
      </c>
      <c r="C9" s="6">
        <f t="shared" si="1"/>
        <v>0.33111111111111113</v>
      </c>
      <c r="E9" s="27" t="s">
        <v>69</v>
      </c>
      <c r="F9" s="24" t="s">
        <v>24</v>
      </c>
      <c r="G9" s="12">
        <v>152</v>
      </c>
      <c r="H9" s="88">
        <f>IF(B$20=0,0,G9/B$20)</f>
        <v>0.1335676625659051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150</v>
      </c>
      <c r="C10" s="7">
        <f t="shared" si="1"/>
        <v>0.33333333333333331</v>
      </c>
      <c r="E10" s="27" t="s">
        <v>70</v>
      </c>
      <c r="F10" s="24" t="s">
        <v>25</v>
      </c>
      <c r="G10" s="12">
        <v>111</v>
      </c>
      <c r="H10" s="88">
        <f>IF(B$20=0,0,G10/B$20)</f>
        <v>9.7539543057996489E-2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3.4579999999999997</v>
      </c>
      <c r="Q10" s="76">
        <v>150</v>
      </c>
      <c r="R10" s="67">
        <v>518.69999999999993</v>
      </c>
    </row>
    <row r="11" spans="1:18" x14ac:dyDescent="0.4">
      <c r="A11" s="20" t="s">
        <v>184</v>
      </c>
      <c r="B11" s="109">
        <f>IF(B8=0,0,C11/B8)</f>
        <v>34.724503311258268</v>
      </c>
      <c r="C11" s="110">
        <v>5243.3999999999987</v>
      </c>
      <c r="E11" s="27" t="s">
        <v>65</v>
      </c>
      <c r="F11" s="24" t="s">
        <v>21</v>
      </c>
      <c r="G11" s="12">
        <v>108</v>
      </c>
      <c r="H11" s="88">
        <f>IF(B$20=0,0,G11/B$20)</f>
        <v>9.4903339191564143E-2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-4.1973333333333338</v>
      </c>
      <c r="Q11" s="77">
        <v>150</v>
      </c>
      <c r="R11" s="68">
        <v>-629.6</v>
      </c>
    </row>
    <row r="12" spans="1:18" x14ac:dyDescent="0.4">
      <c r="A12" s="20" t="s">
        <v>185</v>
      </c>
      <c r="B12" s="109">
        <f>IF(B9=0,0,C12/B9)</f>
        <v>-1.1087248322147651</v>
      </c>
      <c r="C12" s="110">
        <v>-165.20000000000002</v>
      </c>
      <c r="E12" s="27" t="s">
        <v>71</v>
      </c>
      <c r="F12" s="24" t="s">
        <v>26</v>
      </c>
      <c r="G12" s="12">
        <v>71</v>
      </c>
      <c r="H12" s="88">
        <f>IF(B$20=0,0,G12/B$20)</f>
        <v>6.2390158172231987E-2</v>
      </c>
      <c r="I12" s="58">
        <v>8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0.73933333333333351</v>
      </c>
      <c r="Q12" s="78">
        <v>150</v>
      </c>
      <c r="R12" s="69">
        <v>110.90000000000002</v>
      </c>
    </row>
    <row r="13" spans="1:18" x14ac:dyDescent="0.4">
      <c r="A13" s="20" t="s">
        <v>186</v>
      </c>
      <c r="B13" s="109">
        <f>IF(B10=0,0,C13/B10)</f>
        <v>-33.854666666666674</v>
      </c>
      <c r="C13" s="110">
        <v>-5078.2000000000007</v>
      </c>
      <c r="E13" s="27" t="s">
        <v>86</v>
      </c>
      <c r="F13" s="24" t="s">
        <v>41</v>
      </c>
      <c r="G13" s="12">
        <v>66</v>
      </c>
      <c r="H13" s="88">
        <f>IF(B$20=0,0,G13/B$20)</f>
        <v>5.7996485061511421E-2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-7.9629395874391662E-2</v>
      </c>
      <c r="C14" s="134"/>
      <c r="E14" s="27" t="s">
        <v>83</v>
      </c>
      <c r="F14" s="24" t="s">
        <v>38</v>
      </c>
      <c r="G14" s="12">
        <v>49</v>
      </c>
      <c r="H14" s="88">
        <f>IF(B$20=0,0,G14/B$20)</f>
        <v>4.3057996485061513E-2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40</v>
      </c>
      <c r="C15" s="9">
        <f t="shared" si="1"/>
        <v>8.8888888888888892E-2</v>
      </c>
      <c r="E15" s="27" t="s">
        <v>81</v>
      </c>
      <c r="F15" s="24" t="s">
        <v>36</v>
      </c>
      <c r="G15" s="12">
        <v>33</v>
      </c>
      <c r="H15" s="88">
        <f>IF(B$20=0,0,G15/B$20)</f>
        <v>2.8998242530755711E-2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954</v>
      </c>
      <c r="C16" s="10">
        <f>IF(B$3=0,0,B16/B$3)</f>
        <v>0.24574961360123648</v>
      </c>
      <c r="E16" s="27" t="s">
        <v>78</v>
      </c>
      <c r="F16" s="24" t="s">
        <v>33</v>
      </c>
      <c r="G16" s="12">
        <v>32</v>
      </c>
      <c r="H16" s="88">
        <f>IF(B$20=0,0,G16/B$20)</f>
        <v>2.8119507908611598E-2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867</v>
      </c>
      <c r="C17" s="6">
        <f>IF(B$3=0,0,B17/B$3)</f>
        <v>0.223338485316847</v>
      </c>
      <c r="E17" s="27" t="s">
        <v>91</v>
      </c>
      <c r="F17" s="24" t="s">
        <v>46</v>
      </c>
      <c r="G17" s="12">
        <v>23</v>
      </c>
      <c r="H17" s="88">
        <f>IF(B$20=0,0,G17/B$20)</f>
        <v>2.0210896309314587E-2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498</v>
      </c>
      <c r="C18" s="5">
        <f>IF(B$16=0,0,B18/B$16)</f>
        <v>0.5220125786163522</v>
      </c>
      <c r="E18" s="27" t="s">
        <v>155</v>
      </c>
      <c r="F18" s="24" t="s">
        <v>156</v>
      </c>
      <c r="G18" s="12">
        <v>20</v>
      </c>
      <c r="H18" s="88">
        <f>IF(B$20=0,0,G18/B$20)</f>
        <v>1.7574692442882251E-2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11.353125</v>
      </c>
      <c r="Q18" s="77">
        <v>32</v>
      </c>
      <c r="R18" s="68">
        <v>363.3</v>
      </c>
    </row>
    <row r="19" spans="1:18" x14ac:dyDescent="0.4">
      <c r="A19" s="18" t="s">
        <v>124</v>
      </c>
      <c r="B19" s="11">
        <f>B25</f>
        <v>354</v>
      </c>
      <c r="C19" s="5">
        <f>IF(B$17=0,0,B19/B$17)</f>
        <v>0.40830449826989618</v>
      </c>
      <c r="E19" s="27" t="s">
        <v>79</v>
      </c>
      <c r="F19" s="24" t="s">
        <v>34</v>
      </c>
      <c r="G19" s="12">
        <v>15</v>
      </c>
      <c r="H19" s="88">
        <f>IF(B$20=0,0,G19/B$20)</f>
        <v>1.3181019332161687E-2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1138</v>
      </c>
      <c r="C20" s="5">
        <f>IF(B$3=0,0,B20/B$3)</f>
        <v>0.29314786192684184</v>
      </c>
      <c r="E20" s="27" t="s">
        <v>73</v>
      </c>
      <c r="F20" s="24" t="s">
        <v>28</v>
      </c>
      <c r="G20" s="12">
        <v>9</v>
      </c>
      <c r="H20" s="88">
        <f>IF(B$20=0,0,G20/B$20)</f>
        <v>7.9086115992970125E-3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8.5500000000000025</v>
      </c>
      <c r="Q20" s="77">
        <v>38</v>
      </c>
      <c r="R20" s="68">
        <v>324.90000000000009</v>
      </c>
    </row>
    <row r="21" spans="1:18" x14ac:dyDescent="0.4">
      <c r="A21" s="19" t="s">
        <v>13</v>
      </c>
      <c r="B21" s="12">
        <v>635</v>
      </c>
      <c r="C21" s="6">
        <f>IF(B$3=0,0,B21/B$3)</f>
        <v>0.16357547655847501</v>
      </c>
      <c r="E21" s="27" t="s">
        <v>85</v>
      </c>
      <c r="F21" s="24" t="s">
        <v>40</v>
      </c>
      <c r="G21" s="12">
        <v>6</v>
      </c>
      <c r="H21" s="88">
        <f>IF(B$20=0,0,G21/B$20)</f>
        <v>5.272407732864675E-3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163</v>
      </c>
      <c r="P21" s="83">
        <f>IF(Q21=0,0,R21/Q21)</f>
        <v>3.3000000000000012</v>
      </c>
      <c r="Q21" s="77">
        <v>166</v>
      </c>
      <c r="R21" s="68">
        <v>547.80000000000018</v>
      </c>
    </row>
    <row r="22" spans="1:18" x14ac:dyDescent="0.4">
      <c r="A22" s="19" t="s">
        <v>12</v>
      </c>
      <c r="B22" s="12">
        <v>496</v>
      </c>
      <c r="C22" s="6">
        <f>IF(B$20=0,0,B22/B$20)</f>
        <v>0.43585237258347981</v>
      </c>
      <c r="E22" s="27" t="s">
        <v>75</v>
      </c>
      <c r="F22" s="24" t="s">
        <v>30</v>
      </c>
      <c r="G22" s="12">
        <v>4</v>
      </c>
      <c r="H22" s="88">
        <f>IF(B$20=0,0,G22/B$20)</f>
        <v>3.5149384885764497E-3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0.984375</v>
      </c>
      <c r="Q22" s="77">
        <v>96</v>
      </c>
      <c r="R22" s="68">
        <v>94.5</v>
      </c>
    </row>
    <row r="23" spans="1:18" x14ac:dyDescent="0.4">
      <c r="A23" s="19" t="s">
        <v>11</v>
      </c>
      <c r="B23" s="12">
        <v>642</v>
      </c>
      <c r="C23" s="6">
        <f>IF(B$20=0,0,B23/B$20)</f>
        <v>0.56414762741652025</v>
      </c>
      <c r="E23" s="27" t="s">
        <v>77</v>
      </c>
      <c r="F23" s="24" t="s">
        <v>32</v>
      </c>
      <c r="G23" s="12">
        <v>4</v>
      </c>
      <c r="H23" s="88">
        <f>IF(B$20=0,0,G23/B$20)</f>
        <v>3.5149384885764497E-3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-1.3988095238095226</v>
      </c>
      <c r="Q23" s="77">
        <v>252</v>
      </c>
      <c r="R23" s="68">
        <v>-352.49999999999972</v>
      </c>
    </row>
    <row r="24" spans="1:18" x14ac:dyDescent="0.4">
      <c r="A24" s="19" t="s">
        <v>183</v>
      </c>
      <c r="B24" s="12">
        <v>498</v>
      </c>
      <c r="C24" s="6">
        <f>IF(B$20=0,0,B24/B$20)</f>
        <v>0.43760984182776802</v>
      </c>
      <c r="E24" s="27" t="s">
        <v>88</v>
      </c>
      <c r="F24" s="24" t="s">
        <v>43</v>
      </c>
      <c r="G24" s="12">
        <v>4</v>
      </c>
      <c r="H24" s="88">
        <f>IF(B$20=0,0,G24/B$20)</f>
        <v>3.5149384885764497E-3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-2.3716216216216215</v>
      </c>
      <c r="Q24" s="77">
        <v>74</v>
      </c>
      <c r="R24" s="68">
        <v>-175.5</v>
      </c>
    </row>
    <row r="25" spans="1:18" x14ac:dyDescent="0.4">
      <c r="A25" s="19" t="s">
        <v>181</v>
      </c>
      <c r="B25" s="12">
        <v>354</v>
      </c>
      <c r="C25" s="6">
        <f>IF(B$20=0,0,B25/B$20)</f>
        <v>0.31107205623901579</v>
      </c>
      <c r="E25" s="27" t="s">
        <v>90</v>
      </c>
      <c r="F25" s="24" t="s">
        <v>45</v>
      </c>
      <c r="G25" s="12">
        <v>3</v>
      </c>
      <c r="H25" s="88">
        <f>IF(B$20=0,0,G25/B$20)</f>
        <v>2.6362038664323375E-3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-6.3479999999999981</v>
      </c>
      <c r="Q25" s="77">
        <v>100</v>
      </c>
      <c r="R25" s="68">
        <v>-634.79999999999984</v>
      </c>
    </row>
    <row r="26" spans="1:18" x14ac:dyDescent="0.4">
      <c r="A26" s="19" t="s">
        <v>182</v>
      </c>
      <c r="B26" s="12">
        <v>286</v>
      </c>
      <c r="C26" s="6">
        <f>IF(B$20=0,0,B26/B$20)</f>
        <v>0.25131810193321619</v>
      </c>
      <c r="E26" s="27" t="s">
        <v>92</v>
      </c>
      <c r="F26" s="24" t="s">
        <v>47</v>
      </c>
      <c r="G26" s="12">
        <v>3</v>
      </c>
      <c r="H26" s="88">
        <f>IF(B$20=0,0,G26/B$20)</f>
        <v>2.6362038664323375E-3</v>
      </c>
      <c r="I26" s="58">
        <v>4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-7.3741071428571496</v>
      </c>
      <c r="Q26" s="77">
        <v>112</v>
      </c>
      <c r="R26" s="68">
        <v>-825.90000000000077</v>
      </c>
    </row>
    <row r="27" spans="1:18" x14ac:dyDescent="0.4">
      <c r="A27" s="19" t="s">
        <v>5</v>
      </c>
      <c r="B27" s="16">
        <f>IF(B$20=0,0,C27/B$20)</f>
        <v>8163.4446397188049</v>
      </c>
      <c r="C27" s="8">
        <v>9290000</v>
      </c>
      <c r="E27" s="27" t="s">
        <v>93</v>
      </c>
      <c r="F27" s="24" t="s">
        <v>48</v>
      </c>
      <c r="G27" s="12">
        <v>2</v>
      </c>
      <c r="H27" s="88">
        <f>IF(B$20=0,0,G27/B$20)</f>
        <v>1.7574692442882249E-3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8750.7653061224482</v>
      </c>
      <c r="C28" s="96">
        <v>6860600</v>
      </c>
      <c r="E28" s="27" t="s">
        <v>80</v>
      </c>
      <c r="F28" s="24" t="s">
        <v>35</v>
      </c>
      <c r="G28" s="12">
        <v>1</v>
      </c>
      <c r="H28" s="88">
        <f>IF(B$20=0,0,G28/B$20)</f>
        <v>8.7873462214411243E-4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6862.7118644067796</v>
      </c>
      <c r="C29" s="96">
        <v>2429400</v>
      </c>
      <c r="E29" s="27" t="s">
        <v>84</v>
      </c>
      <c r="F29" s="24" t="s">
        <v>39</v>
      </c>
      <c r="G29" s="12">
        <v>1</v>
      </c>
      <c r="H29" s="88">
        <f>IF(B$20=0,0,G29/B$20)</f>
        <v>8.7873462214411243E-4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-7676.6929133858266</v>
      </c>
      <c r="C30" s="96">
        <v>-4874700</v>
      </c>
      <c r="E30" s="27" t="s">
        <v>102</v>
      </c>
      <c r="F30" s="24" t="s">
        <v>57</v>
      </c>
      <c r="G30" s="12">
        <v>1</v>
      </c>
      <c r="H30" s="88">
        <f>IF(B$20=0,0,G30/B$20)</f>
        <v>8.7873462214411243E-4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8.7873462214411243E-4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6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1.8031942297784646E-3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81</v>
      </c>
      <c r="C37" s="98">
        <f t="shared" ref="C37:C49" si="2">IF(B$20=0,0,B37/B$20)</f>
        <v>7.1177504393673111E-2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209</v>
      </c>
      <c r="C38" s="6">
        <f t="shared" si="2"/>
        <v>0.18365553602811951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222</v>
      </c>
      <c r="C39" s="6">
        <f t="shared" si="2"/>
        <v>0.19507908611599298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223</v>
      </c>
      <c r="C40" s="6">
        <f t="shared" si="2"/>
        <v>0.19595782073813708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170</v>
      </c>
      <c r="C41" s="6">
        <f t="shared" si="2"/>
        <v>0.14938488576449913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104</v>
      </c>
      <c r="C42" s="6">
        <f t="shared" si="2"/>
        <v>9.1388400702987704E-2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48</v>
      </c>
      <c r="C43" s="6">
        <f t="shared" si="2"/>
        <v>4.21792618629174E-2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36</v>
      </c>
      <c r="C44" s="6">
        <f t="shared" si="2"/>
        <v>3.163444639718805E-2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20</v>
      </c>
      <c r="C45" s="6">
        <f t="shared" si="2"/>
        <v>1.7574692442882251E-2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12</v>
      </c>
      <c r="C46" s="6">
        <f t="shared" si="2"/>
        <v>1.054481546572935E-2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4</v>
      </c>
      <c r="C47" s="6">
        <f t="shared" si="2"/>
        <v>3.5149384885764497E-3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8.7873462214411243E-4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7.0298769771528994E-3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  <row r="420" spans="11:13" x14ac:dyDescent="0.4">
      <c r="K420" s="74">
        <v>418</v>
      </c>
      <c r="L420" s="119">
        <v>-50.599999999999937</v>
      </c>
      <c r="M420" s="117">
        <v>1598.8648140590221</v>
      </c>
    </row>
    <row r="421" spans="11:13" x14ac:dyDescent="0.4">
      <c r="K421" s="74">
        <v>419</v>
      </c>
      <c r="L421" s="119">
        <v>-55.999999999999936</v>
      </c>
      <c r="M421" s="117">
        <v>1597.8456251746679</v>
      </c>
    </row>
    <row r="422" spans="11:13" x14ac:dyDescent="0.4">
      <c r="K422" s="74">
        <v>420</v>
      </c>
      <c r="L422" s="119">
        <v>6.3948846218409017E-14</v>
      </c>
      <c r="M422" s="117">
        <v>1607.88455142362</v>
      </c>
    </row>
    <row r="423" spans="11:13" x14ac:dyDescent="0.4">
      <c r="K423" s="74">
        <v>421</v>
      </c>
      <c r="L423" s="119">
        <v>2.100000000000064</v>
      </c>
      <c r="M423" s="117">
        <v>1608.1612441150783</v>
      </c>
    </row>
    <row r="424" spans="11:13" x14ac:dyDescent="0.4">
      <c r="K424" s="74">
        <v>422</v>
      </c>
      <c r="L424" s="119">
        <v>17.500000000000064</v>
      </c>
      <c r="M424" s="117">
        <v>1610.8302766503878</v>
      </c>
    </row>
    <row r="425" spans="11:13" x14ac:dyDescent="0.4">
      <c r="K425" s="74">
        <v>423</v>
      </c>
      <c r="L425" s="119">
        <v>6.3948846218409017E-14</v>
      </c>
      <c r="M425" s="117">
        <v>1607.5612949904855</v>
      </c>
    </row>
    <row r="426" spans="11:13" x14ac:dyDescent="0.4">
      <c r="K426" s="74">
        <v>424</v>
      </c>
      <c r="L426" s="119">
        <v>68.600000000000051</v>
      </c>
      <c r="M426" s="117">
        <v>1620.0019272205427</v>
      </c>
    </row>
    <row r="427" spans="11:13" x14ac:dyDescent="0.4">
      <c r="K427" s="74">
        <v>425</v>
      </c>
      <c r="L427" s="119">
        <v>16.900000000000048</v>
      </c>
      <c r="M427" s="117">
        <v>1610.7139156572196</v>
      </c>
    </row>
    <row r="428" spans="11:13" x14ac:dyDescent="0.4">
      <c r="K428" s="74">
        <v>426</v>
      </c>
      <c r="L428" s="119">
        <v>4.9737991503207013E-14</v>
      </c>
      <c r="M428" s="117">
        <v>1607.7456321632762</v>
      </c>
    </row>
    <row r="429" spans="11:13" x14ac:dyDescent="0.4">
      <c r="K429" s="74">
        <v>427</v>
      </c>
      <c r="L429" s="119">
        <v>2.3000000000000496</v>
      </c>
      <c r="M429" s="117">
        <v>1608.2511583702965</v>
      </c>
    </row>
    <row r="430" spans="11:13" x14ac:dyDescent="0.4">
      <c r="K430" s="74">
        <v>428</v>
      </c>
      <c r="L430" s="119">
        <v>-30.19999999999995</v>
      </c>
      <c r="M430" s="117">
        <v>1602.4896514200748</v>
      </c>
    </row>
    <row r="431" spans="11:13" x14ac:dyDescent="0.4">
      <c r="K431" s="74">
        <v>429</v>
      </c>
      <c r="L431" s="119">
        <v>4.9737991503207013E-14</v>
      </c>
      <c r="M431" s="117">
        <v>1608.0487135115543</v>
      </c>
    </row>
    <row r="432" spans="11:13" x14ac:dyDescent="0.4">
      <c r="K432" s="74">
        <v>430</v>
      </c>
      <c r="L432" s="119">
        <v>24.50000000000005</v>
      </c>
      <c r="M432" s="117">
        <v>1612.4584212304849</v>
      </c>
    </row>
    <row r="433" spans="11:13" x14ac:dyDescent="0.4">
      <c r="K433" s="74">
        <v>431</v>
      </c>
      <c r="L433" s="119">
        <v>-5.5999999999999517</v>
      </c>
      <c r="M433" s="117">
        <v>1607.013670703102</v>
      </c>
    </row>
    <row r="434" spans="11:13" x14ac:dyDescent="0.4">
      <c r="K434" s="74">
        <v>432</v>
      </c>
      <c r="L434" s="119">
        <v>4.7961634663806763E-14</v>
      </c>
      <c r="M434" s="117">
        <v>1608.0275886788834</v>
      </c>
    </row>
    <row r="435" spans="11:13" x14ac:dyDescent="0.4">
      <c r="K435" s="74">
        <v>433</v>
      </c>
      <c r="L435" s="119">
        <v>-48.299999999999947</v>
      </c>
      <c r="M435" s="117">
        <v>1599.33342314681</v>
      </c>
    </row>
    <row r="436" spans="11:13" x14ac:dyDescent="0.4">
      <c r="K436" s="74">
        <v>434</v>
      </c>
      <c r="L436" s="119">
        <v>-9.699999999999946</v>
      </c>
      <c r="M436" s="117">
        <v>1606.3334226079292</v>
      </c>
    </row>
    <row r="437" spans="11:13" x14ac:dyDescent="0.4">
      <c r="K437" s="74">
        <v>435</v>
      </c>
      <c r="L437" s="119">
        <v>5.3290705182007514E-14</v>
      </c>
      <c r="M437" s="117">
        <v>1608.0894220722816</v>
      </c>
    </row>
    <row r="438" spans="11:13" x14ac:dyDescent="0.4">
      <c r="K438" s="74">
        <v>436</v>
      </c>
      <c r="L438" s="119">
        <v>36.500000000000057</v>
      </c>
      <c r="M438" s="117">
        <v>1614.886885539848</v>
      </c>
    </row>
    <row r="439" spans="11:13" x14ac:dyDescent="0.4">
      <c r="K439" s="74">
        <v>437</v>
      </c>
      <c r="L439" s="119">
        <v>7.4000000000000554</v>
      </c>
      <c r="M439" s="117">
        <v>1609.835564226609</v>
      </c>
    </row>
    <row r="440" spans="11:13" x14ac:dyDescent="0.4">
      <c r="K440" s="74">
        <v>438</v>
      </c>
      <c r="L440" s="119">
        <v>5.5067062021407764E-14</v>
      </c>
      <c r="M440" s="117">
        <v>1608.7205508412494</v>
      </c>
    </row>
    <row r="441" spans="11:13" x14ac:dyDescent="0.4">
      <c r="K441" s="74">
        <v>439</v>
      </c>
      <c r="L441" s="119">
        <v>-26.799999999999947</v>
      </c>
      <c r="M441" s="117">
        <v>1604.1202275362018</v>
      </c>
    </row>
    <row r="442" spans="11:13" x14ac:dyDescent="0.4">
      <c r="K442" s="74">
        <v>440</v>
      </c>
      <c r="L442" s="119">
        <v>-24.399999999999949</v>
      </c>
      <c r="M442" s="117">
        <v>1604.8035061709845</v>
      </c>
    </row>
    <row r="443" spans="11:13" x14ac:dyDescent="0.4">
      <c r="K443" s="74">
        <v>441</v>
      </c>
      <c r="L443" s="119">
        <v>4.9737991503207013E-14</v>
      </c>
      <c r="M443" s="117">
        <v>1609.4426851339585</v>
      </c>
    </row>
    <row r="444" spans="11:13" x14ac:dyDescent="0.4">
      <c r="K444" s="74">
        <v>442</v>
      </c>
      <c r="L444" s="119">
        <v>40.300000000000047</v>
      </c>
      <c r="M444" s="117">
        <v>1616.9160290231548</v>
      </c>
    </row>
    <row r="445" spans="11:13" x14ac:dyDescent="0.4">
      <c r="K445" s="74">
        <v>443</v>
      </c>
      <c r="L445" s="119">
        <v>46.00000000000005</v>
      </c>
      <c r="M445" s="117">
        <v>1618.1165328490158</v>
      </c>
    </row>
    <row r="446" spans="11:13" x14ac:dyDescent="0.4">
      <c r="K446" s="74">
        <v>444</v>
      </c>
      <c r="L446" s="119">
        <v>4.9737991503207013E-14</v>
      </c>
      <c r="M446" s="117">
        <v>1610.0038336519217</v>
      </c>
    </row>
    <row r="447" spans="11:13" x14ac:dyDescent="0.4">
      <c r="K447" s="74">
        <v>445</v>
      </c>
      <c r="L447" s="119">
        <v>-31.099999999999952</v>
      </c>
      <c r="M447" s="117">
        <v>1604.6218106500103</v>
      </c>
    </row>
    <row r="448" spans="11:13" x14ac:dyDescent="0.4">
      <c r="K448" s="74">
        <v>446</v>
      </c>
      <c r="L448" s="119">
        <v>-30.099999999999952</v>
      </c>
      <c r="M448" s="117">
        <v>1605.0500797861102</v>
      </c>
    </row>
    <row r="449" spans="11:13" x14ac:dyDescent="0.4">
      <c r="K449" s="74">
        <v>447</v>
      </c>
      <c r="L449" s="119">
        <v>4.9737991503207013E-14</v>
      </c>
      <c r="M449" s="117">
        <v>1610.7137793073937</v>
      </c>
    </row>
    <row r="450" spans="11:13" x14ac:dyDescent="0.4">
      <c r="K450" s="74">
        <v>448</v>
      </c>
      <c r="L450" s="119">
        <v>50.400000000000048</v>
      </c>
      <c r="M450" s="117">
        <v>1619.9974966315492</v>
      </c>
    </row>
    <row r="451" spans="11:13" x14ac:dyDescent="0.4">
      <c r="K451" s="74">
        <v>449</v>
      </c>
      <c r="L451" s="119">
        <v>31.800000000000047</v>
      </c>
      <c r="M451" s="117">
        <v>1616.8055116517598</v>
      </c>
    </row>
    <row r="452" spans="11:13" x14ac:dyDescent="0.4">
      <c r="K452" s="74">
        <v>450</v>
      </c>
      <c r="L452" s="119">
        <v>4.6185277824406512E-14</v>
      </c>
      <c r="M452" s="117">
        <v>1611.2566785818492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2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126</v>
      </c>
      <c r="C2" s="142"/>
      <c r="E2" s="26" t="s">
        <v>66</v>
      </c>
      <c r="F2" s="23" t="s">
        <v>22</v>
      </c>
      <c r="G2" s="11">
        <v>253</v>
      </c>
      <c r="H2" s="87">
        <f>IF(B$20=0,0,G2/B$20)</f>
        <v>0.75074183976261133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659.2</v>
      </c>
      <c r="Q2" s="76">
        <v>125</v>
      </c>
      <c r="R2" s="63">
        <v>82400</v>
      </c>
    </row>
    <row r="3" spans="1:18" x14ac:dyDescent="0.4">
      <c r="A3" s="19" t="s">
        <v>8</v>
      </c>
      <c r="B3" s="143">
        <v>1066</v>
      </c>
      <c r="C3" s="144"/>
      <c r="E3" s="27" t="s">
        <v>72</v>
      </c>
      <c r="F3" s="24" t="s">
        <v>27</v>
      </c>
      <c r="G3" s="12">
        <v>182</v>
      </c>
      <c r="H3" s="88">
        <f>IF(B$20=0,0,G3/B$20)</f>
        <v>0.5400593471810089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-537.70491803278685</v>
      </c>
      <c r="Q3" s="77">
        <v>122</v>
      </c>
      <c r="R3" s="64">
        <v>-65600</v>
      </c>
    </row>
    <row r="4" spans="1:18" x14ac:dyDescent="0.4">
      <c r="A4" s="19" t="s">
        <v>6</v>
      </c>
      <c r="B4" s="145">
        <v>117.49999999999989</v>
      </c>
      <c r="C4" s="146"/>
      <c r="E4" s="27" t="s">
        <v>64</v>
      </c>
      <c r="F4" s="24" t="s">
        <v>20</v>
      </c>
      <c r="G4" s="12">
        <v>140</v>
      </c>
      <c r="H4" s="88">
        <f>IF(B$20=0,0,G4/B$20)</f>
        <v>0.41543026706231456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-1656.5573770491803</v>
      </c>
      <c r="Q4" s="77">
        <v>122</v>
      </c>
      <c r="R4" s="64">
        <v>-202100</v>
      </c>
    </row>
    <row r="5" spans="1:18" x14ac:dyDescent="0.4">
      <c r="A5" s="19" t="s">
        <v>7</v>
      </c>
      <c r="B5" s="133">
        <f>IF(B$2=0,0,B$4/B$2)</f>
        <v>0.93253968253968167</v>
      </c>
      <c r="C5" s="134"/>
      <c r="E5" s="27" t="s">
        <v>159</v>
      </c>
      <c r="F5" s="24" t="s">
        <v>160</v>
      </c>
      <c r="G5" s="12">
        <v>131</v>
      </c>
      <c r="H5" s="88">
        <f>IF(B$20=0,0,G5/B$20)</f>
        <v>0.38872403560830859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1037.6068376068376</v>
      </c>
      <c r="Q5" s="77">
        <v>117</v>
      </c>
      <c r="R5" s="64">
        <v>121400</v>
      </c>
    </row>
    <row r="6" spans="1:18" x14ac:dyDescent="0.4">
      <c r="A6" s="19" t="s">
        <v>196</v>
      </c>
      <c r="B6" s="137">
        <v>1735.9964450639009</v>
      </c>
      <c r="C6" s="138"/>
      <c r="E6" s="27" t="s">
        <v>68</v>
      </c>
      <c r="F6" s="24" t="s">
        <v>12</v>
      </c>
      <c r="G6" s="12">
        <v>106</v>
      </c>
      <c r="H6" s="88">
        <f>IF(B$20=0,0,G6/B$20)</f>
        <v>0.31454005934718099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743.39622641509436</v>
      </c>
      <c r="Q6" s="77">
        <v>106</v>
      </c>
      <c r="R6" s="64">
        <v>78800</v>
      </c>
    </row>
    <row r="7" spans="1:18" x14ac:dyDescent="0.4">
      <c r="A7" s="19" t="s">
        <v>1</v>
      </c>
      <c r="B7" s="147">
        <f>IF(B$2=0,0,(B$8*1+B$9*2+B$10*3)/B$2)</f>
        <v>2.0238095238095237</v>
      </c>
      <c r="C7" s="148"/>
      <c r="E7" s="27" t="s">
        <v>67</v>
      </c>
      <c r="F7" s="24" t="s">
        <v>23</v>
      </c>
      <c r="G7" s="12">
        <v>70</v>
      </c>
      <c r="H7" s="88">
        <f>IF(B$20=0,0,G7/B$20)</f>
        <v>0.20771513353115728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608.79120879120876</v>
      </c>
      <c r="Q7" s="78">
        <v>91</v>
      </c>
      <c r="R7" s="65">
        <v>55400</v>
      </c>
    </row>
    <row r="8" spans="1:18" x14ac:dyDescent="0.4">
      <c r="A8" s="19" t="s">
        <v>2</v>
      </c>
      <c r="B8" s="12">
        <v>43</v>
      </c>
      <c r="C8" s="6">
        <f t="shared" ref="C8:C15" si="1">IF(B$2=0,0,B8/B$2)</f>
        <v>0.34126984126984128</v>
      </c>
      <c r="E8" s="27" t="s">
        <v>69</v>
      </c>
      <c r="F8" s="24" t="s">
        <v>24</v>
      </c>
      <c r="G8" s="12">
        <v>56</v>
      </c>
      <c r="H8" s="88">
        <f>IF(B$20=0,0,G8/B$20)</f>
        <v>0.16617210682492581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37</v>
      </c>
      <c r="C9" s="6">
        <f t="shared" si="1"/>
        <v>0.29365079365079366</v>
      </c>
      <c r="E9" s="27" t="s">
        <v>70</v>
      </c>
      <c r="F9" s="24" t="s">
        <v>25</v>
      </c>
      <c r="G9" s="12">
        <v>44</v>
      </c>
      <c r="H9" s="88">
        <f>IF(B$20=0,0,G9/B$20)</f>
        <v>0.13056379821958458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46</v>
      </c>
      <c r="C10" s="7">
        <f t="shared" si="1"/>
        <v>0.36507936507936506</v>
      </c>
      <c r="E10" s="27" t="s">
        <v>89</v>
      </c>
      <c r="F10" s="24" t="s">
        <v>44</v>
      </c>
      <c r="G10" s="12">
        <v>43</v>
      </c>
      <c r="H10" s="88">
        <f>IF(B$20=0,0,G10/B$20)</f>
        <v>0.12759643916913946</v>
      </c>
      <c r="I10" s="58">
        <v>8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6.8377777777777764</v>
      </c>
      <c r="Q10" s="76">
        <v>45</v>
      </c>
      <c r="R10" s="67">
        <v>307.69999999999993</v>
      </c>
    </row>
    <row r="11" spans="1:18" x14ac:dyDescent="0.4">
      <c r="A11" s="20" t="s">
        <v>184</v>
      </c>
      <c r="B11" s="109">
        <f>IF(B8=0,0,C11/B8)</f>
        <v>37.881395348837216</v>
      </c>
      <c r="C11" s="110">
        <v>1628.9000000000003</v>
      </c>
      <c r="E11" s="27" t="s">
        <v>65</v>
      </c>
      <c r="F11" s="24" t="s">
        <v>21</v>
      </c>
      <c r="G11" s="12">
        <v>30</v>
      </c>
      <c r="H11" s="88">
        <f>IF(B$20=0,0,G11/B$20)</f>
        <v>8.9020771513353122E-2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-7.3906976744186066</v>
      </c>
      <c r="Q11" s="77">
        <v>43</v>
      </c>
      <c r="R11" s="68">
        <v>-317.80000000000007</v>
      </c>
    </row>
    <row r="12" spans="1:18" x14ac:dyDescent="0.4">
      <c r="A12" s="20" t="s">
        <v>185</v>
      </c>
      <c r="B12" s="109">
        <f>IF(B9=0,0,C12/B9)</f>
        <v>-1.5783783783783782</v>
      </c>
      <c r="C12" s="110">
        <v>-58.399999999999991</v>
      </c>
      <c r="E12" s="27" t="s">
        <v>86</v>
      </c>
      <c r="F12" s="24" t="s">
        <v>41</v>
      </c>
      <c r="G12" s="12">
        <v>24</v>
      </c>
      <c r="H12" s="88">
        <f>IF(B$20=0,0,G12/B$20)</f>
        <v>7.1216617210682495E-2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3.3578947368421059</v>
      </c>
      <c r="Q12" s="78">
        <v>38</v>
      </c>
      <c r="R12" s="69">
        <v>127.60000000000002</v>
      </c>
    </row>
    <row r="13" spans="1:18" x14ac:dyDescent="0.4">
      <c r="A13" s="20" t="s">
        <v>186</v>
      </c>
      <c r="B13" s="109">
        <f>IF(B10=0,0,C13/B10)</f>
        <v>-31.586956521739129</v>
      </c>
      <c r="C13" s="110">
        <v>-1453</v>
      </c>
      <c r="E13" s="27" t="s">
        <v>83</v>
      </c>
      <c r="F13" s="24" t="s">
        <v>38</v>
      </c>
      <c r="G13" s="12">
        <v>15</v>
      </c>
      <c r="H13" s="88">
        <f>IF(B$20=0,0,G13/B$20)</f>
        <v>4.4510385756676561E-2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1.5720201495732375</v>
      </c>
      <c r="C14" s="134"/>
      <c r="E14" s="27" t="s">
        <v>71</v>
      </c>
      <c r="F14" s="24" t="s">
        <v>26</v>
      </c>
      <c r="G14" s="12">
        <v>14</v>
      </c>
      <c r="H14" s="88">
        <f>IF(B$20=0,0,G14/B$20)</f>
        <v>4.1543026706231452E-2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8.7301587301587297E-2</v>
      </c>
      <c r="E15" s="27" t="s">
        <v>155</v>
      </c>
      <c r="F15" s="24" t="s">
        <v>156</v>
      </c>
      <c r="G15" s="12">
        <v>12</v>
      </c>
      <c r="H15" s="88">
        <f>IF(B$20=0,0,G15/B$20)</f>
        <v>3.5608308605341248E-2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264</v>
      </c>
      <c r="C16" s="10">
        <f>IF(B$3=0,0,B16/B$3)</f>
        <v>0.24765478424015008</v>
      </c>
      <c r="E16" s="27" t="s">
        <v>78</v>
      </c>
      <c r="F16" s="24" t="s">
        <v>33</v>
      </c>
      <c r="G16" s="12">
        <v>9</v>
      </c>
      <c r="H16" s="88">
        <f>IF(B$20=0,0,G16/B$20)</f>
        <v>2.6706231454005934E-2</v>
      </c>
      <c r="I16" s="58">
        <v>8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213</v>
      </c>
      <c r="C17" s="6">
        <f>IF(B$3=0,0,B17/B$3)</f>
        <v>0.19981238273921201</v>
      </c>
      <c r="E17" s="27" t="s">
        <v>91</v>
      </c>
      <c r="F17" s="24" t="s">
        <v>46</v>
      </c>
      <c r="G17" s="12">
        <v>9</v>
      </c>
      <c r="H17" s="88">
        <f>IF(B$20=0,0,G17/B$20)</f>
        <v>2.6706231454005934E-2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149</v>
      </c>
      <c r="C18" s="5">
        <f>IF(B$16=0,0,B18/B$16)</f>
        <v>0.56439393939393945</v>
      </c>
      <c r="E18" s="27" t="s">
        <v>79</v>
      </c>
      <c r="F18" s="24" t="s">
        <v>34</v>
      </c>
      <c r="G18" s="12">
        <v>5</v>
      </c>
      <c r="H18" s="88">
        <f>IF(B$20=0,0,G18/B$20)</f>
        <v>1.483679525222552E-2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13.090909090909093</v>
      </c>
      <c r="Q18" s="77">
        <v>11</v>
      </c>
      <c r="R18" s="68">
        <v>144.00000000000003</v>
      </c>
    </row>
    <row r="19" spans="1:18" x14ac:dyDescent="0.4">
      <c r="A19" s="18" t="s">
        <v>124</v>
      </c>
      <c r="B19" s="11">
        <f>B25</f>
        <v>99</v>
      </c>
      <c r="C19" s="5">
        <f>IF(B$17=0,0,B19/B$17)</f>
        <v>0.46478873239436619</v>
      </c>
      <c r="E19" s="27" t="s">
        <v>81</v>
      </c>
      <c r="F19" s="24" t="s">
        <v>36</v>
      </c>
      <c r="G19" s="12">
        <v>5</v>
      </c>
      <c r="H19" s="88">
        <f>IF(B$20=0,0,G19/B$20)</f>
        <v>1.483679525222552E-2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5.8859154929577473</v>
      </c>
      <c r="Q19" s="77">
        <v>71</v>
      </c>
      <c r="R19" s="68">
        <v>417.90000000000003</v>
      </c>
    </row>
    <row r="20" spans="1:18" x14ac:dyDescent="0.4">
      <c r="A20" s="18" t="s">
        <v>10</v>
      </c>
      <c r="B20" s="11">
        <f>B23+B22</f>
        <v>337</v>
      </c>
      <c r="C20" s="5">
        <f>IF(B$3=0,0,B20/B$3)</f>
        <v>0.31613508442776733</v>
      </c>
      <c r="E20" s="27" t="s">
        <v>73</v>
      </c>
      <c r="F20" s="24" t="s">
        <v>28</v>
      </c>
      <c r="G20" s="12">
        <v>3</v>
      </c>
      <c r="H20" s="88">
        <f>IF(B$20=0,0,G20/B$20)</f>
        <v>8.9020771513353119E-3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-0.10909090909091064</v>
      </c>
      <c r="Q20" s="77">
        <v>11</v>
      </c>
      <c r="R20" s="68">
        <v>-1.2000000000000171</v>
      </c>
    </row>
    <row r="21" spans="1:18" x14ac:dyDescent="0.4">
      <c r="A21" s="19" t="s">
        <v>13</v>
      </c>
      <c r="B21" s="12">
        <v>185</v>
      </c>
      <c r="C21" s="6">
        <f>IF(B$3=0,0,B21/B$3)</f>
        <v>0.17354596622889307</v>
      </c>
      <c r="E21" s="27" t="s">
        <v>85</v>
      </c>
      <c r="F21" s="24" t="s">
        <v>40</v>
      </c>
      <c r="G21" s="12">
        <v>3</v>
      </c>
      <c r="H21" s="88">
        <f>IF(B$20=0,0,G21/B$20)</f>
        <v>8.9020771513353119E-3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190</v>
      </c>
      <c r="P21" s="83">
        <f>IF(Q21=0,0,R21/Q21)</f>
        <v>-0.82903225806451564</v>
      </c>
      <c r="Q21" s="77">
        <v>31</v>
      </c>
      <c r="R21" s="68">
        <v>-25.699999999999985</v>
      </c>
    </row>
    <row r="22" spans="1:18" x14ac:dyDescent="0.4">
      <c r="A22" s="19" t="s">
        <v>12</v>
      </c>
      <c r="B22" s="12">
        <v>154</v>
      </c>
      <c r="C22" s="6">
        <f>IF(B$20=0,0,B22/B$20)</f>
        <v>0.45697329376854601</v>
      </c>
      <c r="E22" s="27" t="s">
        <v>75</v>
      </c>
      <c r="F22" s="24" t="s">
        <v>30</v>
      </c>
      <c r="G22" s="12">
        <v>2</v>
      </c>
      <c r="H22" s="88">
        <f>IF(B$20=0,0,G22/B$20)</f>
        <v>5.9347181008902079E-3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-3.4119047619047622</v>
      </c>
      <c r="Q22" s="77">
        <v>42</v>
      </c>
      <c r="R22" s="68">
        <v>-143.30000000000001</v>
      </c>
    </row>
    <row r="23" spans="1:18" x14ac:dyDescent="0.4">
      <c r="A23" s="19" t="s">
        <v>11</v>
      </c>
      <c r="B23" s="12">
        <v>183</v>
      </c>
      <c r="C23" s="6">
        <f>IF(B$20=0,0,B23/B$20)</f>
        <v>0.54302670623145399</v>
      </c>
      <c r="E23" s="27" t="s">
        <v>80</v>
      </c>
      <c r="F23" s="24" t="s">
        <v>35</v>
      </c>
      <c r="G23" s="12">
        <v>1</v>
      </c>
      <c r="H23" s="88">
        <f>IF(B$20=0,0,G23/B$20)</f>
        <v>2.967359050445104E-3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192</v>
      </c>
      <c r="P23" s="83">
        <f>IF(Q23=0,0,R23/Q23)</f>
        <v>-4.1562499999999991</v>
      </c>
      <c r="Q23" s="77">
        <v>48</v>
      </c>
      <c r="R23" s="68">
        <v>-199.49999999999997</v>
      </c>
    </row>
    <row r="24" spans="1:18" x14ac:dyDescent="0.4">
      <c r="A24" s="19" t="s">
        <v>183</v>
      </c>
      <c r="B24" s="12">
        <v>149</v>
      </c>
      <c r="C24" s="6">
        <f>IF(B$20=0,0,B24/B$20)</f>
        <v>0.44213649851632048</v>
      </c>
      <c r="E24" s="27" t="s">
        <v>84</v>
      </c>
      <c r="F24" s="24" t="s">
        <v>39</v>
      </c>
      <c r="G24" s="12">
        <v>1</v>
      </c>
      <c r="H24" s="88">
        <f>IF(B$20=0,0,G24/B$20)</f>
        <v>2.967359050445104E-3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211</v>
      </c>
      <c r="P24" s="83">
        <f>IF(Q24=0,0,R24/Q24)</f>
        <v>-5.2833333333333332</v>
      </c>
      <c r="Q24" s="77">
        <v>30</v>
      </c>
      <c r="R24" s="68">
        <v>-158.5</v>
      </c>
    </row>
    <row r="25" spans="1:18" x14ac:dyDescent="0.4">
      <c r="A25" s="19" t="s">
        <v>181</v>
      </c>
      <c r="B25" s="12">
        <v>99</v>
      </c>
      <c r="C25" s="6">
        <f>IF(B$20=0,0,B25/B$20)</f>
        <v>0.29376854599406527</v>
      </c>
      <c r="E25" s="27" t="s">
        <v>88</v>
      </c>
      <c r="F25" s="24" t="s">
        <v>43</v>
      </c>
      <c r="G25" s="12">
        <v>1</v>
      </c>
      <c r="H25" s="88">
        <f>IF(B$20=0,0,G25/B$20)</f>
        <v>2.967359050445104E-3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89</v>
      </c>
      <c r="C26" s="6">
        <f>IF(B$20=0,0,B26/B$20)</f>
        <v>0.26409495548961426</v>
      </c>
      <c r="E26" s="27" t="s">
        <v>90</v>
      </c>
      <c r="F26" s="24" t="s">
        <v>45</v>
      </c>
      <c r="G26" s="12">
        <v>1</v>
      </c>
      <c r="H26" s="88">
        <f>IF(B$20=0,0,G26/B$20)</f>
        <v>2.967359050445104E-3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8162.9080118694365</v>
      </c>
      <c r="C27" s="8">
        <v>2750900</v>
      </c>
      <c r="E27" s="27" t="s">
        <v>92</v>
      </c>
      <c r="F27" s="24" t="s">
        <v>47</v>
      </c>
      <c r="G27" s="12">
        <v>1</v>
      </c>
      <c r="H27" s="88">
        <f>IF(B$20=0,0,G27/B$20)</f>
        <v>2.967359050445104E-3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8387.3949579831933</v>
      </c>
      <c r="C28" s="96">
        <v>1996200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7623.2323232323233</v>
      </c>
      <c r="C29" s="96">
        <v>754700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-7541.0810810810808</v>
      </c>
      <c r="C30" s="96">
        <v>-1395100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20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9.3808630393996248E-4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20</v>
      </c>
      <c r="C37" s="98">
        <f t="shared" ref="C37:C49" si="2">IF(B$20=0,0,B37/B$20)</f>
        <v>5.9347181008902079E-2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66</v>
      </c>
      <c r="C38" s="6">
        <f t="shared" si="2"/>
        <v>0.19584569732937684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64</v>
      </c>
      <c r="C39" s="6">
        <f t="shared" si="2"/>
        <v>0.18991097922848665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65</v>
      </c>
      <c r="C40" s="6">
        <f t="shared" si="2"/>
        <v>0.19287833827893175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55</v>
      </c>
      <c r="C41" s="6">
        <f t="shared" si="2"/>
        <v>0.16320474777448071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39</v>
      </c>
      <c r="C42" s="6">
        <f t="shared" si="2"/>
        <v>0.11572700296735905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11</v>
      </c>
      <c r="C43" s="6">
        <f t="shared" si="2"/>
        <v>3.2640949554896145E-2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7</v>
      </c>
      <c r="C44" s="6">
        <f t="shared" si="2"/>
        <v>2.0771513353115726E-2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1.483679525222552E-2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5.9347181008902079E-3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2.967359050445104E-3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2.967359050445104E-3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2.967359050445104E-3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  <row r="118" spans="11:13" x14ac:dyDescent="0.4">
      <c r="K118" s="74">
        <v>116</v>
      </c>
      <c r="L118" s="119">
        <v>199.79999999999987</v>
      </c>
      <c r="M118" s="117">
        <v>1757.2516989713724</v>
      </c>
    </row>
    <row r="119" spans="11:13" x14ac:dyDescent="0.4">
      <c r="K119" s="74">
        <v>117</v>
      </c>
      <c r="L119" s="119">
        <v>215.19999999999987</v>
      </c>
      <c r="M119" s="117">
        <v>1759.0261887775441</v>
      </c>
    </row>
    <row r="120" spans="11:13" x14ac:dyDescent="0.4">
      <c r="K120" s="74">
        <v>118</v>
      </c>
      <c r="L120" s="119">
        <v>163.49999999999989</v>
      </c>
      <c r="M120" s="117">
        <v>1748.9040316448788</v>
      </c>
    </row>
    <row r="121" spans="11:13" x14ac:dyDescent="0.4">
      <c r="K121" s="74">
        <v>119</v>
      </c>
      <c r="L121" s="119">
        <v>130.99999999999989</v>
      </c>
      <c r="M121" s="117">
        <v>1742.2986074550095</v>
      </c>
    </row>
    <row r="122" spans="11:13" x14ac:dyDescent="0.4">
      <c r="K122" s="74">
        <v>120</v>
      </c>
      <c r="L122" s="119">
        <v>100.89999999999989</v>
      </c>
      <c r="M122" s="117">
        <v>1736.0748158102795</v>
      </c>
    </row>
    <row r="123" spans="11:13" x14ac:dyDescent="0.4">
      <c r="K123" s="74">
        <v>121</v>
      </c>
      <c r="L123" s="119">
        <v>52.599999999999895</v>
      </c>
      <c r="M123" s="117">
        <v>1726.6123669154179</v>
      </c>
    </row>
    <row r="124" spans="11:13" x14ac:dyDescent="0.4">
      <c r="K124" s="74">
        <v>122</v>
      </c>
      <c r="L124" s="119">
        <v>23.499999999999893</v>
      </c>
      <c r="M124" s="117">
        <v>1720.8906927139253</v>
      </c>
    </row>
    <row r="125" spans="11:13" x14ac:dyDescent="0.4">
      <c r="K125" s="74">
        <v>123</v>
      </c>
      <c r="L125" s="119">
        <v>-3.3000000000001073</v>
      </c>
      <c r="M125" s="117">
        <v>1715.6173485576417</v>
      </c>
    </row>
    <row r="126" spans="11:13" x14ac:dyDescent="0.4">
      <c r="K126" s="74">
        <v>124</v>
      </c>
      <c r="L126" s="119">
        <v>36.999999999999886</v>
      </c>
      <c r="M126" s="117">
        <v>1722.4536444662958</v>
      </c>
    </row>
    <row r="127" spans="11:13" x14ac:dyDescent="0.4">
      <c r="K127" s="74">
        <v>125</v>
      </c>
      <c r="L127" s="119">
        <v>67.099999999999881</v>
      </c>
      <c r="M127" s="117">
        <v>1727.412922599498</v>
      </c>
    </row>
    <row r="128" spans="11:13" x14ac:dyDescent="0.4">
      <c r="K128" s="74">
        <v>126</v>
      </c>
      <c r="L128" s="119">
        <v>117.49999999999989</v>
      </c>
      <c r="M128" s="117">
        <v>1735.9964450639009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8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83</v>
      </c>
      <c r="C2" s="142"/>
      <c r="E2" s="26" t="s">
        <v>66</v>
      </c>
      <c r="F2" s="23" t="s">
        <v>22</v>
      </c>
      <c r="G2" s="11">
        <v>190</v>
      </c>
      <c r="H2" s="87">
        <f>IF(B$20=0,0,G2/B$20)</f>
        <v>0.97435897435897434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1090.3614457831325</v>
      </c>
      <c r="Q2" s="76">
        <v>83</v>
      </c>
      <c r="R2" s="63">
        <v>90500</v>
      </c>
    </row>
    <row r="3" spans="1:18" x14ac:dyDescent="0.4">
      <c r="A3" s="19" t="s">
        <v>8</v>
      </c>
      <c r="B3" s="143">
        <v>743</v>
      </c>
      <c r="C3" s="144"/>
      <c r="E3" s="27" t="s">
        <v>72</v>
      </c>
      <c r="F3" s="24" t="s">
        <v>27</v>
      </c>
      <c r="G3" s="12">
        <v>127</v>
      </c>
      <c r="H3" s="88">
        <f>IF(B$20=0,0,G3/B$20)</f>
        <v>0.6512820512820513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-211.11111111111111</v>
      </c>
      <c r="Q3" s="77">
        <v>81</v>
      </c>
      <c r="R3" s="64">
        <v>-17100</v>
      </c>
    </row>
    <row r="4" spans="1:18" x14ac:dyDescent="0.4">
      <c r="A4" s="19" t="s">
        <v>6</v>
      </c>
      <c r="B4" s="145">
        <v>-182.6</v>
      </c>
      <c r="C4" s="146"/>
      <c r="E4" s="27" t="s">
        <v>64</v>
      </c>
      <c r="F4" s="24" t="s">
        <v>20</v>
      </c>
      <c r="G4" s="12">
        <v>93</v>
      </c>
      <c r="H4" s="88">
        <f>IF(B$20=0,0,G4/B$20)</f>
        <v>0.47692307692307695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-749.38271604938268</v>
      </c>
      <c r="Q4" s="77">
        <v>81</v>
      </c>
      <c r="R4" s="64">
        <v>-60700</v>
      </c>
    </row>
    <row r="5" spans="1:18" x14ac:dyDescent="0.4">
      <c r="A5" s="19" t="s">
        <v>7</v>
      </c>
      <c r="B5" s="133">
        <f>IF(B$2=0,0,B$4/B$2)</f>
        <v>-2.1999999999999997</v>
      </c>
      <c r="C5" s="134"/>
      <c r="E5" s="27" t="s">
        <v>159</v>
      </c>
      <c r="F5" s="24" t="s">
        <v>160</v>
      </c>
      <c r="G5" s="12">
        <v>75</v>
      </c>
      <c r="H5" s="88">
        <f>IF(B$20=0,0,G5/B$20)</f>
        <v>0.38461538461538464</v>
      </c>
      <c r="I5" s="58">
        <v>9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-246.15384615384616</v>
      </c>
      <c r="Q5" s="77">
        <v>78</v>
      </c>
      <c r="R5" s="64">
        <v>-19200</v>
      </c>
    </row>
    <row r="6" spans="1:18" x14ac:dyDescent="0.4">
      <c r="A6" s="19" t="s">
        <v>196</v>
      </c>
      <c r="B6" s="137">
        <v>1616.1582737753197</v>
      </c>
      <c r="C6" s="138"/>
      <c r="E6" s="27" t="s">
        <v>68</v>
      </c>
      <c r="F6" s="24" t="s">
        <v>12</v>
      </c>
      <c r="G6" s="12">
        <v>65</v>
      </c>
      <c r="H6" s="88">
        <f>IF(B$20=0,0,G6/B$20)</f>
        <v>0.33333333333333331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-78.873239436619713</v>
      </c>
      <c r="Q6" s="77">
        <v>71</v>
      </c>
      <c r="R6" s="64">
        <v>-5600</v>
      </c>
    </row>
    <row r="7" spans="1:18" x14ac:dyDescent="0.4">
      <c r="A7" s="19" t="s">
        <v>1</v>
      </c>
      <c r="B7" s="147">
        <f>IF(B$2=0,0,(B$8*1+B$9*2+B$10*3)/B$2)</f>
        <v>2.0240963855421685</v>
      </c>
      <c r="C7" s="148"/>
      <c r="E7" s="27" t="s">
        <v>67</v>
      </c>
      <c r="F7" s="24" t="s">
        <v>23</v>
      </c>
      <c r="G7" s="12">
        <v>60</v>
      </c>
      <c r="H7" s="88">
        <f>IF(B$20=0,0,G7/B$20)</f>
        <v>0.30769230769230771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-159.67741935483872</v>
      </c>
      <c r="Q7" s="78">
        <v>62</v>
      </c>
      <c r="R7" s="65">
        <v>-9900</v>
      </c>
    </row>
    <row r="8" spans="1:18" x14ac:dyDescent="0.4">
      <c r="A8" s="19" t="s">
        <v>2</v>
      </c>
      <c r="B8" s="12">
        <v>26</v>
      </c>
      <c r="C8" s="6">
        <f t="shared" ref="C8:C15" si="1">IF(B$2=0,0,B8/B$2)</f>
        <v>0.31325301204819278</v>
      </c>
      <c r="E8" s="27" t="s">
        <v>89</v>
      </c>
      <c r="F8" s="24" t="s">
        <v>44</v>
      </c>
      <c r="G8" s="12">
        <v>31</v>
      </c>
      <c r="H8" s="88">
        <f>IF(B$20=0,0,G8/B$20)</f>
        <v>0.15897435897435896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29</v>
      </c>
      <c r="C9" s="6">
        <f t="shared" si="1"/>
        <v>0.3493975903614458</v>
      </c>
      <c r="E9" s="27" t="s">
        <v>69</v>
      </c>
      <c r="F9" s="24" t="s">
        <v>24</v>
      </c>
      <c r="G9" s="12">
        <v>25</v>
      </c>
      <c r="H9" s="88">
        <f>IF(B$20=0,0,G9/B$20)</f>
        <v>0.12820512820512819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28</v>
      </c>
      <c r="C10" s="7">
        <f t="shared" si="1"/>
        <v>0.33734939759036142</v>
      </c>
      <c r="E10" s="27" t="s">
        <v>65</v>
      </c>
      <c r="F10" s="24" t="s">
        <v>21</v>
      </c>
      <c r="G10" s="12">
        <v>23</v>
      </c>
      <c r="H10" s="88">
        <f>IF(B$20=0,0,G10/B$20)</f>
        <v>0.11794871794871795</v>
      </c>
      <c r="I10" s="58">
        <v>4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-2.4375</v>
      </c>
      <c r="Q10" s="76">
        <v>32</v>
      </c>
      <c r="R10" s="67">
        <v>-78</v>
      </c>
    </row>
    <row r="11" spans="1:18" x14ac:dyDescent="0.4">
      <c r="A11" s="20" t="s">
        <v>184</v>
      </c>
      <c r="B11" s="109">
        <f>IF(B8=0,0,C11/B8)</f>
        <v>33.019230769230766</v>
      </c>
      <c r="C11" s="110">
        <v>858.5</v>
      </c>
      <c r="E11" s="27" t="s">
        <v>70</v>
      </c>
      <c r="F11" s="24" t="s">
        <v>25</v>
      </c>
      <c r="G11" s="12">
        <v>17</v>
      </c>
      <c r="H11" s="88">
        <f>IF(B$20=0,0,G11/B$20)</f>
        <v>8.7179487179487175E-2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-0.57391304347826166</v>
      </c>
      <c r="Q11" s="77">
        <v>23</v>
      </c>
      <c r="R11" s="68">
        <v>-13.200000000000019</v>
      </c>
    </row>
    <row r="12" spans="1:18" x14ac:dyDescent="0.4">
      <c r="A12" s="20" t="s">
        <v>185</v>
      </c>
      <c r="B12" s="109">
        <f>IF(B9=0,0,C12/B9)</f>
        <v>0.52413793103448281</v>
      </c>
      <c r="C12" s="110">
        <v>15.200000000000003</v>
      </c>
      <c r="E12" s="27" t="s">
        <v>71</v>
      </c>
      <c r="F12" s="24" t="s">
        <v>26</v>
      </c>
      <c r="G12" s="12">
        <v>15</v>
      </c>
      <c r="H12" s="88">
        <f>IF(B$20=0,0,G12/B$20)</f>
        <v>7.6923076923076927E-2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-3.2642857142857147</v>
      </c>
      <c r="Q12" s="78">
        <v>28</v>
      </c>
      <c r="R12" s="69">
        <v>-91.4</v>
      </c>
    </row>
    <row r="13" spans="1:18" x14ac:dyDescent="0.4">
      <c r="A13" s="20" t="s">
        <v>186</v>
      </c>
      <c r="B13" s="109">
        <f>IF(B10=0,0,C13/B10)</f>
        <v>-37.725000000000009</v>
      </c>
      <c r="C13" s="110">
        <v>-1056.3000000000002</v>
      </c>
      <c r="E13" s="27" t="s">
        <v>86</v>
      </c>
      <c r="F13" s="24" t="s">
        <v>41</v>
      </c>
      <c r="G13" s="12">
        <v>12</v>
      </c>
      <c r="H13" s="88">
        <f>IF(B$20=0,0,G13/B$20)</f>
        <v>6.1538461538461542E-2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-1.393877099911587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3.0769230769230771E-2</v>
      </c>
      <c r="I14" s="58">
        <v>10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0.13253012048192772</v>
      </c>
      <c r="E15" s="27" t="s">
        <v>91</v>
      </c>
      <c r="F15" s="24" t="s">
        <v>46</v>
      </c>
      <c r="G15" s="12">
        <v>6</v>
      </c>
      <c r="H15" s="88">
        <f>IF(B$20=0,0,G15/B$20)</f>
        <v>3.0769230769230771E-2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209</v>
      </c>
      <c r="C16" s="10">
        <f>IF(B$3=0,0,B16/B$3)</f>
        <v>0.28129205921938089</v>
      </c>
      <c r="E16" s="27" t="s">
        <v>155</v>
      </c>
      <c r="F16" s="24" t="s">
        <v>156</v>
      </c>
      <c r="G16" s="12">
        <v>6</v>
      </c>
      <c r="H16" s="88">
        <f>IF(B$20=0,0,G16/B$20)</f>
        <v>3.0769230769230771E-2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166</v>
      </c>
      <c r="C17" s="6">
        <f>IF(B$3=0,0,B17/B$3)</f>
        <v>0.2234185733512786</v>
      </c>
      <c r="E17" s="27" t="s">
        <v>81</v>
      </c>
      <c r="F17" s="24" t="s">
        <v>36</v>
      </c>
      <c r="G17" s="12">
        <v>5</v>
      </c>
      <c r="H17" s="88">
        <f>IF(B$20=0,0,G17/B$20)</f>
        <v>2.564102564102564E-2</v>
      </c>
      <c r="I17" s="58">
        <v>10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99</v>
      </c>
      <c r="C18" s="5">
        <f>IF(B$16=0,0,B18/B$16)</f>
        <v>0.47368421052631576</v>
      </c>
      <c r="E18" s="27" t="s">
        <v>78</v>
      </c>
      <c r="F18" s="24" t="s">
        <v>33</v>
      </c>
      <c r="G18" s="12">
        <v>4</v>
      </c>
      <c r="H18" s="88">
        <f>IF(B$20=0,0,G18/B$20)</f>
        <v>2.0512820512820513E-2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8.1149999999999984</v>
      </c>
      <c r="Q18" s="77">
        <v>20</v>
      </c>
      <c r="R18" s="68">
        <v>162.29999999999998</v>
      </c>
    </row>
    <row r="19" spans="1:18" x14ac:dyDescent="0.4">
      <c r="A19" s="18" t="s">
        <v>124</v>
      </c>
      <c r="B19" s="11">
        <f>B25</f>
        <v>57</v>
      </c>
      <c r="C19" s="5">
        <f>IF(B$17=0,0,B19/B$17)</f>
        <v>0.34337349397590361</v>
      </c>
      <c r="E19" s="27" t="s">
        <v>73</v>
      </c>
      <c r="F19" s="24" t="s">
        <v>28</v>
      </c>
      <c r="G19" s="12">
        <v>3</v>
      </c>
      <c r="H19" s="88">
        <f>IF(B$20=0,0,G19/B$20)</f>
        <v>1.5384615384615385E-2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195</v>
      </c>
      <c r="C20" s="5">
        <f>IF(B$3=0,0,B20/B$3)</f>
        <v>0.26244952893674295</v>
      </c>
      <c r="E20" s="27" t="s">
        <v>85</v>
      </c>
      <c r="F20" s="24" t="s">
        <v>40</v>
      </c>
      <c r="G20" s="12">
        <v>2</v>
      </c>
      <c r="H20" s="88">
        <f>IF(B$20=0,0,G20/B$20)</f>
        <v>1.0256410256410256E-2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>IF(Q20=0,0,R20/Q20)</f>
        <v>-5.8859154929577455</v>
      </c>
      <c r="Q20" s="77">
        <v>71</v>
      </c>
      <c r="R20" s="68">
        <v>-417.89999999999992</v>
      </c>
    </row>
    <row r="21" spans="1:18" x14ac:dyDescent="0.4">
      <c r="A21" s="19" t="s">
        <v>13</v>
      </c>
      <c r="B21" s="12">
        <v>149</v>
      </c>
      <c r="C21" s="6">
        <f>IF(B$3=0,0,B21/B$3)</f>
        <v>0.20053835800807537</v>
      </c>
      <c r="E21" s="27" t="s">
        <v>77</v>
      </c>
      <c r="F21" s="24" t="s">
        <v>32</v>
      </c>
      <c r="G21" s="12">
        <v>1</v>
      </c>
      <c r="H21" s="88">
        <f>IF(B$20=0,0,G21/B$20)</f>
        <v>5.1282051282051282E-3</v>
      </c>
      <c r="I21" s="58">
        <v>3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>IF(Q21=0,0,R21/Q21)</f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88</v>
      </c>
      <c r="C22" s="6">
        <f>IF(B$20=0,0,B22/B$20)</f>
        <v>0.45128205128205129</v>
      </c>
      <c r="E22" s="27" t="s">
        <v>79</v>
      </c>
      <c r="F22" s="24" t="s">
        <v>34</v>
      </c>
      <c r="G22" s="12">
        <v>1</v>
      </c>
      <c r="H22" s="88">
        <f>IF(B$20=0,0,G22/B$20)</f>
        <v>5.1282051282051282E-3</v>
      </c>
      <c r="I22" s="58">
        <v>7</v>
      </c>
      <c r="K22" s="74">
        <v>20</v>
      </c>
      <c r="L22" s="119">
        <v>-101.2</v>
      </c>
      <c r="M22" s="117">
        <v>1634.1175651983078</v>
      </c>
      <c r="O22" s="74" t="s">
        <v>211</v>
      </c>
      <c r="P22" s="83">
        <f>IF(Q22=0,0,R22/Q22)</f>
        <v>-11.209523809523811</v>
      </c>
      <c r="Q22" s="77">
        <v>21</v>
      </c>
      <c r="R22" s="68">
        <v>-235.40000000000003</v>
      </c>
    </row>
    <row r="23" spans="1:18" x14ac:dyDescent="0.4">
      <c r="A23" s="19" t="s">
        <v>11</v>
      </c>
      <c r="B23" s="12">
        <v>107</v>
      </c>
      <c r="C23" s="6">
        <f>IF(B$20=0,0,B23/B$20)</f>
        <v>0.54871794871794877</v>
      </c>
      <c r="E23" s="27" t="s">
        <v>88</v>
      </c>
      <c r="F23" s="24" t="s">
        <v>43</v>
      </c>
      <c r="G23" s="12">
        <v>1</v>
      </c>
      <c r="H23" s="88">
        <f>IF(B$20=0,0,G23/B$20)</f>
        <v>5.1282051282051282E-3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192</v>
      </c>
      <c r="P23" s="83">
        <f>IF(Q23=0,0,R23/Q23)</f>
        <v>-12.989473684210527</v>
      </c>
      <c r="Q23" s="77">
        <v>19</v>
      </c>
      <c r="R23" s="68">
        <v>-246.8</v>
      </c>
    </row>
    <row r="24" spans="1:18" x14ac:dyDescent="0.4">
      <c r="A24" s="19" t="s">
        <v>183</v>
      </c>
      <c r="B24" s="12">
        <v>99</v>
      </c>
      <c r="C24" s="6">
        <f>IF(B$20=0,0,B24/B$20)</f>
        <v>0.50769230769230766</v>
      </c>
      <c r="E24" s="27" t="s">
        <v>92</v>
      </c>
      <c r="F24" s="24" t="s">
        <v>47</v>
      </c>
      <c r="G24" s="12">
        <v>1</v>
      </c>
      <c r="H24" s="88">
        <f>IF(B$20=0,0,G24/B$20)</f>
        <v>5.1282051282051282E-3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>IF(Q24=0,0,R24/Q24)</f>
        <v>-13.525000000000002</v>
      </c>
      <c r="Q24" s="77">
        <v>4</v>
      </c>
      <c r="R24" s="68">
        <v>-54.100000000000009</v>
      </c>
    </row>
    <row r="25" spans="1:18" x14ac:dyDescent="0.4">
      <c r="A25" s="19" t="s">
        <v>181</v>
      </c>
      <c r="B25" s="12">
        <v>57</v>
      </c>
      <c r="C25" s="6">
        <f>IF(B$20=0,0,B25/B$20)</f>
        <v>0.29230769230769232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39</v>
      </c>
      <c r="C26" s="6">
        <f>IF(B$20=0,0,B26/B$20)</f>
        <v>0.2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9418.461538461539</v>
      </c>
      <c r="C27" s="8">
        <v>1836600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10249.27536231884</v>
      </c>
      <c r="C28" s="96">
        <v>1414400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7407.0175438596489</v>
      </c>
      <c r="C29" s="96">
        <v>422200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-7719.4630872483222</v>
      </c>
      <c r="C30" s="96">
        <v>-1150200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1.3458950201884253E-3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5.128205128205128E-2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20</v>
      </c>
      <c r="C38" s="6">
        <f t="shared" si="2"/>
        <v>0.10256410256410256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36</v>
      </c>
      <c r="C39" s="6">
        <f t="shared" si="2"/>
        <v>0.18461538461538463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39</v>
      </c>
      <c r="C40" s="6">
        <f t="shared" si="2"/>
        <v>0.2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37</v>
      </c>
      <c r="C41" s="6">
        <f t="shared" si="2"/>
        <v>0.18974358974358974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22</v>
      </c>
      <c r="C42" s="6">
        <f t="shared" si="2"/>
        <v>0.11282051282051282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11</v>
      </c>
      <c r="C43" s="6">
        <f t="shared" si="2"/>
        <v>5.6410256410256411E-2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2"/>
        <v>4.1025641025641026E-2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7</v>
      </c>
      <c r="C45" s="6">
        <f t="shared" si="2"/>
        <v>3.5897435897435895E-2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1.0256410256410256E-2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2"/>
        <v>5.1282051282051282E-3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1.0256410256410256E-2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  <row r="77" spans="11:13" x14ac:dyDescent="0.4">
      <c r="K77" s="74">
        <v>75</v>
      </c>
      <c r="L77" s="119">
        <v>-101.69999999999999</v>
      </c>
      <c r="M77" s="117">
        <v>1630.6270379047137</v>
      </c>
    </row>
    <row r="78" spans="11:13" x14ac:dyDescent="0.4">
      <c r="K78" s="74">
        <v>76</v>
      </c>
      <c r="L78" s="119">
        <v>-119.19999999999999</v>
      </c>
      <c r="M78" s="117">
        <v>1627.2392756772854</v>
      </c>
    </row>
    <row r="79" spans="11:13" x14ac:dyDescent="0.4">
      <c r="K79" s="74">
        <v>77</v>
      </c>
      <c r="L79" s="119">
        <v>-113.6</v>
      </c>
      <c r="M79" s="117">
        <v>1628.1318400232217</v>
      </c>
    </row>
    <row r="80" spans="11:13" x14ac:dyDescent="0.4">
      <c r="K80" s="74">
        <v>78</v>
      </c>
      <c r="L80" s="119">
        <v>-103.89999999999999</v>
      </c>
      <c r="M80" s="117">
        <v>1629.7570489830823</v>
      </c>
    </row>
    <row r="81" spans="11:13" x14ac:dyDescent="0.4">
      <c r="K81" s="74">
        <v>79</v>
      </c>
      <c r="L81" s="119">
        <v>-111.3</v>
      </c>
      <c r="M81" s="117">
        <v>1628.5225066891837</v>
      </c>
    </row>
    <row r="82" spans="11:13" x14ac:dyDescent="0.4">
      <c r="K82" s="74">
        <v>80</v>
      </c>
      <c r="L82" s="119">
        <v>-86.9</v>
      </c>
      <c r="M82" s="117">
        <v>1633.0193716490487</v>
      </c>
    </row>
    <row r="83" spans="11:13" x14ac:dyDescent="0.4">
      <c r="K83" s="74">
        <v>81</v>
      </c>
      <c r="L83" s="119">
        <v>-132.9</v>
      </c>
      <c r="M83" s="117">
        <v>1624.8172554191544</v>
      </c>
    </row>
    <row r="84" spans="11:13" x14ac:dyDescent="0.4">
      <c r="K84" s="74">
        <v>82</v>
      </c>
      <c r="L84" s="119">
        <v>-164</v>
      </c>
      <c r="M84" s="117">
        <v>1619.3463518866395</v>
      </c>
    </row>
    <row r="85" spans="11:13" x14ac:dyDescent="0.4">
      <c r="K85" s="74">
        <v>83</v>
      </c>
      <c r="L85" s="119">
        <v>-182.6</v>
      </c>
      <c r="M85" s="117">
        <v>1616.1582737753197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72</v>
      </c>
      <c r="F2" s="23" t="s">
        <v>27</v>
      </c>
      <c r="G2" s="11">
        <v>90</v>
      </c>
      <c r="H2" s="87">
        <f>IF(B$20=0,0,G2/B$20)</f>
        <v>0.703125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-427.08333333333331</v>
      </c>
      <c r="Q2" s="76">
        <v>48</v>
      </c>
      <c r="R2" s="63">
        <v>-20500</v>
      </c>
    </row>
    <row r="3" spans="1:18" x14ac:dyDescent="0.4">
      <c r="A3" s="19" t="s">
        <v>8</v>
      </c>
      <c r="B3" s="143">
        <v>424</v>
      </c>
      <c r="C3" s="144"/>
      <c r="E3" s="27" t="s">
        <v>66</v>
      </c>
      <c r="F3" s="24" t="s">
        <v>22</v>
      </c>
      <c r="G3" s="12">
        <v>79</v>
      </c>
      <c r="H3" s="88">
        <f>IF(B$20=0,0,G3/B$20)</f>
        <v>0.6171875</v>
      </c>
      <c r="I3" s="58">
        <v>13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-533.33333333333337</v>
      </c>
      <c r="Q3" s="77">
        <v>48</v>
      </c>
      <c r="R3" s="64">
        <v>-25600</v>
      </c>
    </row>
    <row r="4" spans="1:18" x14ac:dyDescent="0.4">
      <c r="A4" s="19" t="s">
        <v>6</v>
      </c>
      <c r="B4" s="145">
        <v>-31.499999999999993</v>
      </c>
      <c r="C4" s="146"/>
      <c r="E4" s="27" t="s">
        <v>64</v>
      </c>
      <c r="F4" s="24" t="s">
        <v>20</v>
      </c>
      <c r="G4" s="12">
        <v>50</v>
      </c>
      <c r="H4" s="88">
        <f>IF(B$20=0,0,G4/B$20)</f>
        <v>0.390625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1240.4255319148936</v>
      </c>
      <c r="Q4" s="77">
        <v>47</v>
      </c>
      <c r="R4" s="64">
        <v>58300</v>
      </c>
    </row>
    <row r="5" spans="1:18" x14ac:dyDescent="0.4">
      <c r="A5" s="19" t="s">
        <v>7</v>
      </c>
      <c r="B5" s="133">
        <f>IF(B$2=0,0,B$4/B$2)</f>
        <v>-0.65624999999999989</v>
      </c>
      <c r="C5" s="134"/>
      <c r="E5" s="27" t="s">
        <v>159</v>
      </c>
      <c r="F5" s="24" t="s">
        <v>160</v>
      </c>
      <c r="G5" s="12">
        <v>48</v>
      </c>
      <c r="H5" s="88">
        <f>IF(B$20=0,0,G5/B$20)</f>
        <v>0.375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-1121.2765957446809</v>
      </c>
      <c r="Q5" s="77">
        <v>47</v>
      </c>
      <c r="R5" s="64">
        <v>-52700</v>
      </c>
    </row>
    <row r="6" spans="1:18" x14ac:dyDescent="0.4">
      <c r="A6" s="19" t="s">
        <v>196</v>
      </c>
      <c r="B6" s="137">
        <v>1467.5565900800862</v>
      </c>
      <c r="C6" s="138"/>
      <c r="E6" s="27" t="s">
        <v>68</v>
      </c>
      <c r="F6" s="24" t="s">
        <v>12</v>
      </c>
      <c r="G6" s="12">
        <v>35</v>
      </c>
      <c r="H6" s="88">
        <f>IF(B$20=0,0,G6/B$20)</f>
        <v>0.2734375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-1164.4444444444443</v>
      </c>
      <c r="Q6" s="77">
        <v>45</v>
      </c>
      <c r="R6" s="64">
        <v>-52400</v>
      </c>
    </row>
    <row r="7" spans="1:18" x14ac:dyDescent="0.4">
      <c r="A7" s="19" t="s">
        <v>1</v>
      </c>
      <c r="B7" s="147">
        <f>IF(B$2=0,0,(B$8*1+B$9*2+B$10*3)/B$2)</f>
        <v>2.0208333333333335</v>
      </c>
      <c r="C7" s="148"/>
      <c r="E7" s="27" t="s">
        <v>67</v>
      </c>
      <c r="F7" s="24" t="s">
        <v>23</v>
      </c>
      <c r="G7" s="12">
        <v>30</v>
      </c>
      <c r="H7" s="88">
        <f>IF(B$20=0,0,G7/B$20)</f>
        <v>0.234375</v>
      </c>
      <c r="I7" s="58">
        <v>7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-529.72972972972968</v>
      </c>
      <c r="Q7" s="78">
        <v>37</v>
      </c>
      <c r="R7" s="65">
        <v>-19600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13</v>
      </c>
      <c r="H8" s="88">
        <f>IF(B$20=0,0,G8/B$20)</f>
        <v>0.1015625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0.22916666666666666</v>
      </c>
      <c r="E9" s="27" t="s">
        <v>70</v>
      </c>
      <c r="F9" s="24" t="s">
        <v>25</v>
      </c>
      <c r="G9" s="12">
        <v>12</v>
      </c>
      <c r="H9" s="88">
        <f>IF(B$20=0,0,G9/B$20)</f>
        <v>9.375E-2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0.39583333333333331</v>
      </c>
      <c r="E10" s="27" t="s">
        <v>69</v>
      </c>
      <c r="F10" s="24" t="s">
        <v>24</v>
      </c>
      <c r="G10" s="12">
        <v>11</v>
      </c>
      <c r="H10" s="88">
        <f>IF(B$20=0,0,G10/B$20)</f>
        <v>8.59375E-2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6.9000000000000012</v>
      </c>
      <c r="Q10" s="76">
        <v>12</v>
      </c>
      <c r="R10" s="67">
        <v>82.800000000000011</v>
      </c>
    </row>
    <row r="11" spans="1:18" x14ac:dyDescent="0.4">
      <c r="A11" s="20" t="s">
        <v>184</v>
      </c>
      <c r="B11" s="109">
        <f>IF(B8=0,0,C11/B8)</f>
        <v>30.577777777777783</v>
      </c>
      <c r="C11" s="110">
        <v>550.40000000000009</v>
      </c>
      <c r="E11" s="27" t="s">
        <v>65</v>
      </c>
      <c r="F11" s="24" t="s">
        <v>21</v>
      </c>
      <c r="G11" s="12">
        <v>10</v>
      </c>
      <c r="H11" s="88">
        <f>IF(B$20=0,0,G11/B$20)</f>
        <v>7.8125E-2</v>
      </c>
      <c r="I11" s="58">
        <v>10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-5.1055555555555561</v>
      </c>
      <c r="Q11" s="77">
        <v>18</v>
      </c>
      <c r="R11" s="68">
        <v>-91.9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71</v>
      </c>
      <c r="F12" s="24" t="s">
        <v>26</v>
      </c>
      <c r="G12" s="12">
        <v>8</v>
      </c>
      <c r="H12" s="88">
        <f>IF(B$20=0,0,G12/B$20)</f>
        <v>6.25E-2</v>
      </c>
      <c r="I12" s="58">
        <v>7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-1.2444444444444451</v>
      </c>
      <c r="Q12" s="78">
        <v>18</v>
      </c>
      <c r="R12" s="69">
        <v>-22.400000000000013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83</v>
      </c>
      <c r="F13" s="24" t="s">
        <v>38</v>
      </c>
      <c r="G13" s="12">
        <v>8</v>
      </c>
      <c r="H13" s="88">
        <f>IF(B$20=0,0,G13/B$20)</f>
        <v>6.25E-2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0.67409179514442974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3.90625E-2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8.3333333333333329E-2</v>
      </c>
      <c r="E15" s="27" t="s">
        <v>78</v>
      </c>
      <c r="F15" s="24" t="s">
        <v>33</v>
      </c>
      <c r="G15" s="12">
        <v>4</v>
      </c>
      <c r="H15" s="88">
        <f>IF(B$20=0,0,G15/B$20)</f>
        <v>3.125E-2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111</v>
      </c>
      <c r="C16" s="10">
        <f>IF(B$3=0,0,B16/B$3)</f>
        <v>0.2617924528301887</v>
      </c>
      <c r="E16" s="27" t="s">
        <v>79</v>
      </c>
      <c r="F16" s="24" t="s">
        <v>34</v>
      </c>
      <c r="G16" s="12">
        <v>3</v>
      </c>
      <c r="H16" s="88">
        <f>IF(B$20=0,0,G16/B$20)</f>
        <v>2.34375E-2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 t="shared" si="2"/>
        <v>39.524999999999999</v>
      </c>
      <c r="Q16" s="77">
        <v>4</v>
      </c>
      <c r="R16" s="68">
        <v>158.1</v>
      </c>
    </row>
    <row r="17" spans="1:18" x14ac:dyDescent="0.4">
      <c r="A17" s="19" t="s">
        <v>118</v>
      </c>
      <c r="B17" s="12">
        <v>126</v>
      </c>
      <c r="C17" s="6">
        <f>IF(B$3=0,0,B17/B$3)</f>
        <v>0.29716981132075471</v>
      </c>
      <c r="E17" s="27" t="s">
        <v>86</v>
      </c>
      <c r="F17" s="24" t="s">
        <v>41</v>
      </c>
      <c r="G17" s="12">
        <v>3</v>
      </c>
      <c r="H17" s="88">
        <f>IF(B$20=0,0,G17/B$20)</f>
        <v>2.34375E-2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216</v>
      </c>
      <c r="P17" s="83">
        <f t="shared" si="2"/>
        <v>35.5</v>
      </c>
      <c r="Q17" s="77">
        <v>1</v>
      </c>
      <c r="R17" s="68">
        <v>35.5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0.45045045045045046</v>
      </c>
      <c r="E18" s="27" t="s">
        <v>91</v>
      </c>
      <c r="F18" s="24" t="s">
        <v>46</v>
      </c>
      <c r="G18" s="12">
        <v>2</v>
      </c>
      <c r="H18" s="88">
        <f>IF(B$20=0,0,G18/B$20)</f>
        <v>1.5625E-2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52</v>
      </c>
      <c r="C19" s="5">
        <f>IF(B$17=0,0,B19/B$17)</f>
        <v>0.41269841269841268</v>
      </c>
      <c r="E19" s="27" t="s">
        <v>88</v>
      </c>
      <c r="F19" s="24" t="s">
        <v>43</v>
      </c>
      <c r="G19" s="12">
        <v>1</v>
      </c>
      <c r="H19" s="88">
        <f>IF(B$20=0,0,G19/B$20)</f>
        <v>7.8125E-3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3.4119047619047622</v>
      </c>
      <c r="Q19" s="77">
        <v>42</v>
      </c>
      <c r="R19" s="68">
        <v>143.30000000000001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0.30188679245283018</v>
      </c>
      <c r="E20" s="27" t="s">
        <v>93</v>
      </c>
      <c r="F20" s="24" t="s">
        <v>48</v>
      </c>
      <c r="G20" s="12">
        <v>1</v>
      </c>
      <c r="H20" s="88">
        <f>IF(B$20=0,0,G20/B$20)</f>
        <v>7.8125E-3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-8.1149999999999967</v>
      </c>
      <c r="Q20" s="77">
        <v>20</v>
      </c>
      <c r="R20" s="68">
        <v>-162.29999999999993</v>
      </c>
    </row>
    <row r="21" spans="1:18" x14ac:dyDescent="0.4">
      <c r="A21" s="19" t="s">
        <v>13</v>
      </c>
      <c r="B21" s="12">
        <v>67</v>
      </c>
      <c r="C21" s="6">
        <f>IF(B$3=0,0,B21/B$3)</f>
        <v>0.15801886792452829</v>
      </c>
      <c r="E21" s="27" t="s">
        <v>106</v>
      </c>
      <c r="F21" s="24" t="s">
        <v>113</v>
      </c>
      <c r="G21" s="12">
        <v>1</v>
      </c>
      <c r="H21" s="88">
        <f>IF(B$20=0,0,G21/B$20)</f>
        <v>7.8125E-3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60</v>
      </c>
      <c r="C22" s="6">
        <f>IF(B$20=0,0,B22/B$20)</f>
        <v>0.46875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68</v>
      </c>
      <c r="C23" s="6">
        <f>IF(B$20=0,0,B23/B$20)</f>
        <v>0.53125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50</v>
      </c>
      <c r="C24" s="6">
        <f>IF(B$20=0,0,B24/B$20)</f>
        <v>0.390625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52</v>
      </c>
      <c r="C25" s="6">
        <f>IF(B$20=0,0,B25/B$20)</f>
        <v>0.40625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26</v>
      </c>
      <c r="C26" s="6">
        <f>IF(B$20=0,0,B26/B$20)</f>
        <v>0.203125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7529.6875</v>
      </c>
      <c r="C27" s="8">
        <v>963800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9067.105263157895</v>
      </c>
      <c r="C28" s="96">
        <v>689100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5282.6923076923076</v>
      </c>
      <c r="C29" s="96">
        <v>274700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-8488.059701492537</v>
      </c>
      <c r="C30" s="96">
        <v>-568700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2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12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2.3584905660377358E-3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16</v>
      </c>
      <c r="C37" s="98">
        <f t="shared" ref="C37:C49" si="3">IF(B$20=0,0,B37/B$20)</f>
        <v>0.125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0.2109375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28</v>
      </c>
      <c r="C39" s="6">
        <f t="shared" si="3"/>
        <v>0.21875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27</v>
      </c>
      <c r="C40" s="6">
        <f t="shared" si="3"/>
        <v>0.2109375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7</v>
      </c>
      <c r="C41" s="6">
        <f t="shared" si="3"/>
        <v>5.46875E-2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3.90625E-2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6</v>
      </c>
      <c r="C43" s="6">
        <f t="shared" si="3"/>
        <v>4.6875E-2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1.5625E-2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3.125E-2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3.125E-2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13" x14ac:dyDescent="0.4">
      <c r="A49" s="21" t="s">
        <v>179</v>
      </c>
      <c r="B49" s="97">
        <v>2</v>
      </c>
      <c r="C49" s="9">
        <f t="shared" si="3"/>
        <v>1.5625E-2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-70.099999999999994</v>
      </c>
      <c r="M49" s="117">
        <v>1459.7189035010927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-31.499999999999993</v>
      </c>
      <c r="M50" s="117">
        <v>1467.5565900800862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37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5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816.21621621621625</v>
      </c>
      <c r="Q2" s="76">
        <v>37</v>
      </c>
      <c r="R2" s="63">
        <v>30200</v>
      </c>
    </row>
    <row r="3" spans="1:18" x14ac:dyDescent="0.4">
      <c r="A3" s="19" t="s">
        <v>8</v>
      </c>
      <c r="B3" s="143">
        <v>321</v>
      </c>
      <c r="C3" s="144"/>
      <c r="E3" s="27" t="s">
        <v>72</v>
      </c>
      <c r="F3" s="24" t="s">
        <v>27</v>
      </c>
      <c r="G3" s="12">
        <v>49</v>
      </c>
      <c r="H3" s="88">
        <f>IF(B$20=0,0,G3/B$20)</f>
        <v>0.57647058823529407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418.91891891891891</v>
      </c>
      <c r="Q3" s="77">
        <v>37</v>
      </c>
      <c r="R3" s="64">
        <v>15500</v>
      </c>
    </row>
    <row r="4" spans="1:18" x14ac:dyDescent="0.4">
      <c r="A4" s="19" t="s">
        <v>6</v>
      </c>
      <c r="B4" s="145">
        <v>58.499999999999957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0.4823529411764706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1277.7777777777778</v>
      </c>
      <c r="Q4" s="77">
        <v>36</v>
      </c>
      <c r="R4" s="64">
        <v>46000</v>
      </c>
    </row>
    <row r="5" spans="1:18" x14ac:dyDescent="0.4">
      <c r="A5" s="19" t="s">
        <v>7</v>
      </c>
      <c r="B5" s="133">
        <f>IF(B$2=0,0,B$4/B$2)</f>
        <v>1.58108108108108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0.43529411764705883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-2562.5</v>
      </c>
      <c r="Q5" s="77">
        <v>32</v>
      </c>
      <c r="R5" s="64">
        <v>-82000</v>
      </c>
    </row>
    <row r="6" spans="1:18" x14ac:dyDescent="0.4">
      <c r="A6" s="19" t="s">
        <v>196</v>
      </c>
      <c r="B6" s="137">
        <v>1552.235570864417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0.24705882352941178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1982.7586206896551</v>
      </c>
      <c r="Q6" s="77">
        <v>29</v>
      </c>
      <c r="R6" s="64">
        <v>57500</v>
      </c>
    </row>
    <row r="7" spans="1:18" x14ac:dyDescent="0.4">
      <c r="A7" s="19" t="s">
        <v>1</v>
      </c>
      <c r="B7" s="147">
        <f>IF(B$2=0,0,(B$8*1+B$9*2+B$10*3)/B$2)</f>
        <v>1.8918918918918919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0.21176470588235294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0.29729729729729731</v>
      </c>
      <c r="E8" s="27" t="s">
        <v>65</v>
      </c>
      <c r="F8" s="24" t="s">
        <v>21</v>
      </c>
      <c r="G8" s="12">
        <v>15</v>
      </c>
      <c r="H8" s="88">
        <f>IF(B$20=0,0,G8/B$20)</f>
        <v>0.17647058823529413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0.51351351351351349</v>
      </c>
      <c r="E9" s="27" t="s">
        <v>69</v>
      </c>
      <c r="F9" s="24" t="s">
        <v>24</v>
      </c>
      <c r="G9" s="12">
        <v>14</v>
      </c>
      <c r="H9" s="88">
        <f>IF(B$20=0,0,G9/B$20)</f>
        <v>0.16470588235294117</v>
      </c>
      <c r="I9" s="58">
        <v>3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0.1891891891891892</v>
      </c>
      <c r="E10" s="27" t="s">
        <v>89</v>
      </c>
      <c r="F10" s="24" t="s">
        <v>44</v>
      </c>
      <c r="G10" s="12">
        <v>9</v>
      </c>
      <c r="H10" s="88">
        <f>IF(B$20=0,0,G10/B$20)</f>
        <v>0.10588235294117647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86</v>
      </c>
      <c r="F11" s="24" t="s">
        <v>41</v>
      </c>
      <c r="G11" s="12">
        <v>8</v>
      </c>
      <c r="H11" s="88">
        <f>IF(B$20=0,0,G11/B$20)</f>
        <v>9.4117647058823528E-2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-2.9947368421052634</v>
      </c>
      <c r="C12" s="110">
        <v>-56.900000000000006</v>
      </c>
      <c r="E12" s="27" t="s">
        <v>70</v>
      </c>
      <c r="F12" s="24" t="s">
        <v>25</v>
      </c>
      <c r="G12" s="12">
        <v>6</v>
      </c>
      <c r="H12" s="88">
        <f>IF(B$20=0,0,G12/B$20)</f>
        <v>7.0588235294117646E-2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-1.9030075187969924</v>
      </c>
      <c r="C14" s="134"/>
      <c r="E14" s="27" t="s">
        <v>78</v>
      </c>
      <c r="F14" s="24" t="s">
        <v>33</v>
      </c>
      <c r="G14" s="12">
        <v>3</v>
      </c>
      <c r="H14" s="88">
        <f>IF(B$20=0,0,G14/B$20)</f>
        <v>3.5294117647058823E-2</v>
      </c>
      <c r="I14" s="58">
        <v>4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81</v>
      </c>
      <c r="F15" s="24" t="s">
        <v>36</v>
      </c>
      <c r="G15" s="12">
        <v>3</v>
      </c>
      <c r="H15" s="88">
        <f>IF(B$20=0,0,G15/B$20)</f>
        <v>3.5294117647058823E-2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84</v>
      </c>
      <c r="C16" s="10">
        <f>IF(B$3=0,0,B16/B$3)</f>
        <v>0.26168224299065418</v>
      </c>
      <c r="E16" s="27" t="s">
        <v>71</v>
      </c>
      <c r="F16" s="24" t="s">
        <v>26</v>
      </c>
      <c r="G16" s="12">
        <v>2</v>
      </c>
      <c r="H16" s="88">
        <f>IF(B$20=0,0,G16/B$20)</f>
        <v>2.3529411764705882E-2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0.19626168224299065</v>
      </c>
      <c r="E17" s="27" t="s">
        <v>79</v>
      </c>
      <c r="F17" s="24" t="s">
        <v>34</v>
      </c>
      <c r="G17" s="12">
        <v>2</v>
      </c>
      <c r="H17" s="88">
        <f>IF(B$20=0,0,G17/B$20)</f>
        <v>2.3529411764705882E-2</v>
      </c>
      <c r="I17" s="58">
        <v>1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0.51190476190476186</v>
      </c>
      <c r="E18" s="27" t="s">
        <v>77</v>
      </c>
      <c r="F18" s="24" t="s">
        <v>32</v>
      </c>
      <c r="G18" s="12">
        <v>1</v>
      </c>
      <c r="H18" s="88">
        <f>IF(B$20=0,0,G18/B$20)</f>
        <v>1.1764705882352941E-2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 t="shared" si="2"/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1.1764705882352941E-2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 t="shared" si="2"/>
        <v>0.82903225806451564</v>
      </c>
      <c r="Q19" s="77">
        <v>31</v>
      </c>
      <c r="R19" s="68">
        <v>25.699999999999985</v>
      </c>
    </row>
    <row r="20" spans="1:18" x14ac:dyDescent="0.4">
      <c r="A20" s="18" t="s">
        <v>10</v>
      </c>
      <c r="B20" s="11">
        <f>B23+B22</f>
        <v>85</v>
      </c>
      <c r="C20" s="5">
        <f>IF(B$3=0,0,B20/B$3)</f>
        <v>0.26479750778816197</v>
      </c>
      <c r="E20" s="27" t="s">
        <v>91</v>
      </c>
      <c r="F20" s="24" t="s">
        <v>46</v>
      </c>
      <c r="G20" s="12">
        <v>1</v>
      </c>
      <c r="H20" s="88">
        <f>IF(B$20=0,0,G20/B$20)</f>
        <v>1.1764705882352941E-2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34</v>
      </c>
      <c r="C21" s="6">
        <f>IF(B$3=0,0,B21/B$3)</f>
        <v>0.1059190031152648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0.31764705882352939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58</v>
      </c>
      <c r="C23" s="6">
        <f>IF(B$20=0,0,B23/B$20)</f>
        <v>0.68235294117647061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0.50588235294117645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0.27058823529411763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0.22352941176470589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8091.7647058823532</v>
      </c>
      <c r="C27" s="8">
        <v>687800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7982.2580645161288</v>
      </c>
      <c r="C28" s="96">
        <v>494900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-6517.6470588235297</v>
      </c>
      <c r="C30" s="96">
        <v>-221600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3">IF(B$20=0,0,B37/B$20)</f>
        <v>3.5294117647058823E-2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3"/>
        <v>0.15294117647058825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3"/>
        <v>0.22352941176470589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22</v>
      </c>
      <c r="C40" s="6">
        <f t="shared" si="3"/>
        <v>0.25882352941176473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3"/>
        <v>0.14117647058823529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7</v>
      </c>
      <c r="C42" s="6">
        <f t="shared" si="3"/>
        <v>8.2352941176470587E-2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3.5294117647058823E-2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50</v>
      </c>
      <c r="C2" s="142"/>
      <c r="E2" s="26" t="s">
        <v>66</v>
      </c>
      <c r="F2" s="23" t="s">
        <v>22</v>
      </c>
      <c r="G2" s="11">
        <v>88</v>
      </c>
      <c r="H2" s="87">
        <f>IF(B$20=0,0,G2/B$20)</f>
        <v>0.6717557251908397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-767.34693877551024</v>
      </c>
      <c r="Q2" s="76">
        <v>49</v>
      </c>
      <c r="R2" s="63">
        <v>-37600</v>
      </c>
    </row>
    <row r="3" spans="1:18" x14ac:dyDescent="0.4">
      <c r="A3" s="19" t="s">
        <v>8</v>
      </c>
      <c r="B3" s="143">
        <v>423</v>
      </c>
      <c r="C3" s="144"/>
      <c r="E3" s="27" t="s">
        <v>72</v>
      </c>
      <c r="F3" s="24" t="s">
        <v>27</v>
      </c>
      <c r="G3" s="12">
        <v>78</v>
      </c>
      <c r="H3" s="88">
        <f>IF(B$20=0,0,G3/B$20)</f>
        <v>0.59541984732824427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1110.204081632653</v>
      </c>
      <c r="Q3" s="77">
        <v>49</v>
      </c>
      <c r="R3" s="64">
        <v>54400</v>
      </c>
    </row>
    <row r="4" spans="1:18" x14ac:dyDescent="0.4">
      <c r="A4" s="19" t="s">
        <v>6</v>
      </c>
      <c r="B4" s="145">
        <v>211.6</v>
      </c>
      <c r="C4" s="146"/>
      <c r="E4" s="27" t="s">
        <v>64</v>
      </c>
      <c r="F4" s="24" t="s">
        <v>20</v>
      </c>
      <c r="G4" s="12">
        <v>58</v>
      </c>
      <c r="H4" s="88">
        <f>IF(B$20=0,0,G4/B$20)</f>
        <v>0.44274809160305345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2391.8367346938776</v>
      </c>
      <c r="Q4" s="77">
        <v>49</v>
      </c>
      <c r="R4" s="64">
        <v>117200</v>
      </c>
    </row>
    <row r="5" spans="1:18" x14ac:dyDescent="0.4">
      <c r="A5" s="19" t="s">
        <v>7</v>
      </c>
      <c r="B5" s="133">
        <f>IF(B$2=0,0,B$4/B$2)</f>
        <v>4.2320000000000002</v>
      </c>
      <c r="C5" s="134"/>
      <c r="E5" s="27" t="s">
        <v>159</v>
      </c>
      <c r="F5" s="24" t="s">
        <v>160</v>
      </c>
      <c r="G5" s="12">
        <v>44</v>
      </c>
      <c r="H5" s="88">
        <f>IF(B$20=0,0,G5/B$20)</f>
        <v>0.33587786259541985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-97.826086956521735</v>
      </c>
      <c r="Q5" s="77">
        <v>46</v>
      </c>
      <c r="R5" s="64">
        <v>-4500</v>
      </c>
    </row>
    <row r="6" spans="1:18" x14ac:dyDescent="0.4">
      <c r="A6" s="19" t="s">
        <v>196</v>
      </c>
      <c r="B6" s="137">
        <v>1546.7179617982042</v>
      </c>
      <c r="C6" s="138"/>
      <c r="E6" s="27" t="s">
        <v>67</v>
      </c>
      <c r="F6" s="24" t="s">
        <v>23</v>
      </c>
      <c r="G6" s="12">
        <v>37</v>
      </c>
      <c r="H6" s="88">
        <f>IF(B$20=0,0,G6/B$20)</f>
        <v>0.28244274809160308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263.41463414634148</v>
      </c>
      <c r="Q6" s="77">
        <v>41</v>
      </c>
      <c r="R6" s="64">
        <v>10800</v>
      </c>
    </row>
    <row r="7" spans="1:18" x14ac:dyDescent="0.4">
      <c r="A7" s="19" t="s">
        <v>1</v>
      </c>
      <c r="B7" s="147">
        <f>IF(B$2=0,0,(B$8*1+B$9*2+B$10*3)/B$2)</f>
        <v>1.9</v>
      </c>
      <c r="C7" s="148"/>
      <c r="E7" s="27" t="s">
        <v>68</v>
      </c>
      <c r="F7" s="24" t="s">
        <v>12</v>
      </c>
      <c r="G7" s="12">
        <v>32</v>
      </c>
      <c r="H7" s="88">
        <f>IF(B$20=0,0,G7/B$20)</f>
        <v>0.24427480916030533</v>
      </c>
      <c r="I7" s="58">
        <v>12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1755.2631578947369</v>
      </c>
      <c r="Q7" s="78">
        <v>38</v>
      </c>
      <c r="R7" s="65">
        <v>66700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0.38</v>
      </c>
      <c r="E8" s="27" t="s">
        <v>89</v>
      </c>
      <c r="F8" s="24" t="s">
        <v>44</v>
      </c>
      <c r="G8" s="12">
        <v>26</v>
      </c>
      <c r="H8" s="88">
        <f>IF(B$20=0,0,G8/B$20)</f>
        <v>0.19847328244274809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</v>
      </c>
      <c r="E9" s="27" t="s">
        <v>69</v>
      </c>
      <c r="F9" s="24" t="s">
        <v>24</v>
      </c>
      <c r="G9" s="12">
        <v>19</v>
      </c>
      <c r="H9" s="88">
        <f>IF(B$20=0,0,G9/B$20)</f>
        <v>0.14503816793893129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0.28000000000000003</v>
      </c>
      <c r="E10" s="27" t="s">
        <v>65</v>
      </c>
      <c r="F10" s="24" t="s">
        <v>21</v>
      </c>
      <c r="G10" s="12">
        <v>11</v>
      </c>
      <c r="H10" s="88">
        <f>IF(B$20=0,0,G10/B$20)</f>
        <v>8.3969465648854963E-2</v>
      </c>
      <c r="I10" s="58">
        <v>8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3.78125</v>
      </c>
      <c r="Q10" s="76">
        <v>16</v>
      </c>
      <c r="R10" s="67">
        <v>60.5</v>
      </c>
    </row>
    <row r="11" spans="1:18" x14ac:dyDescent="0.4">
      <c r="A11" s="20" t="s">
        <v>184</v>
      </c>
      <c r="B11" s="109">
        <f>IF(B8=0,0,C11/B8)</f>
        <v>33.868421052631582</v>
      </c>
      <c r="C11" s="110">
        <v>643.5</v>
      </c>
      <c r="E11" s="27" t="s">
        <v>86</v>
      </c>
      <c r="F11" s="24" t="s">
        <v>41</v>
      </c>
      <c r="G11" s="12">
        <v>10</v>
      </c>
      <c r="H11" s="88">
        <f>IF(B$20=0,0,G11/B$20)</f>
        <v>7.6335877862595422E-2</v>
      </c>
      <c r="I11" s="58">
        <v>3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-1.9823529411764711</v>
      </c>
      <c r="C12" s="110">
        <v>-33.70000000000001</v>
      </c>
      <c r="E12" s="27" t="s">
        <v>71</v>
      </c>
      <c r="F12" s="24" t="s">
        <v>26</v>
      </c>
      <c r="G12" s="12">
        <v>9</v>
      </c>
      <c r="H12" s="88">
        <f>IF(B$20=0,0,G12/B$20)</f>
        <v>6.8702290076335881E-2</v>
      </c>
      <c r="I12" s="58">
        <v>6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7</v>
      </c>
      <c r="H13" s="88">
        <f>IF(B$20=0,0,G13/B$20)</f>
        <v>5.3435114503816793E-2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1.1477369895326544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3.8167938931297711E-2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0.04</v>
      </c>
      <c r="E15" s="27" t="s">
        <v>78</v>
      </c>
      <c r="F15" s="24" t="s">
        <v>33</v>
      </c>
      <c r="G15" s="12">
        <v>5</v>
      </c>
      <c r="H15" s="88">
        <f>IF(B$20=0,0,G15/B$20)</f>
        <v>3.8167938931297711E-2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26.462500000000006</v>
      </c>
      <c r="Q15" s="76">
        <v>8</v>
      </c>
      <c r="R15" s="67">
        <v>211.70000000000005</v>
      </c>
    </row>
    <row r="16" spans="1:18" x14ac:dyDescent="0.4">
      <c r="A16" s="22" t="s">
        <v>121</v>
      </c>
      <c r="B16" s="15">
        <v>96</v>
      </c>
      <c r="C16" s="10">
        <f>IF(B$3=0,0,B16/B$3)</f>
        <v>0.22695035460992907</v>
      </c>
      <c r="E16" s="27" t="s">
        <v>81</v>
      </c>
      <c r="F16" s="24" t="s">
        <v>36</v>
      </c>
      <c r="G16" s="12">
        <v>5</v>
      </c>
      <c r="H16" s="88">
        <f>IF(B$20=0,0,G16/B$20)</f>
        <v>3.8167938931297711E-2</v>
      </c>
      <c r="I16" s="58">
        <v>6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 t="shared" si="2"/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96</v>
      </c>
      <c r="C17" s="6">
        <f>IF(B$3=0,0,B17/B$3)</f>
        <v>0.22695035460992907</v>
      </c>
      <c r="E17" s="27" t="s">
        <v>91</v>
      </c>
      <c r="F17" s="24" t="s">
        <v>46</v>
      </c>
      <c r="G17" s="12">
        <v>5</v>
      </c>
      <c r="H17" s="88">
        <f>IF(B$20=0,0,G17/B$20)</f>
        <v>3.8167938931297711E-2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 t="shared" si="2"/>
        <v>11.209523809523812</v>
      </c>
      <c r="Q17" s="77">
        <v>21</v>
      </c>
      <c r="R17" s="68">
        <v>235.40000000000006</v>
      </c>
    </row>
    <row r="18" spans="1:18" x14ac:dyDescent="0.4">
      <c r="A18" s="18" t="s">
        <v>123</v>
      </c>
      <c r="B18" s="11">
        <f>B24</f>
        <v>57</v>
      </c>
      <c r="C18" s="5">
        <f>IF(B$16=0,0,B18/B$16)</f>
        <v>0.59375</v>
      </c>
      <c r="E18" s="27" t="s">
        <v>73</v>
      </c>
      <c r="F18" s="24" t="s">
        <v>28</v>
      </c>
      <c r="G18" s="12">
        <v>2</v>
      </c>
      <c r="H18" s="88">
        <f>IF(B$20=0,0,G18/B$20)</f>
        <v>1.5267175572519083E-2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0.45833333333333331</v>
      </c>
      <c r="E19" s="27" t="s">
        <v>75</v>
      </c>
      <c r="F19" s="24" t="s">
        <v>30</v>
      </c>
      <c r="G19" s="12">
        <v>1</v>
      </c>
      <c r="H19" s="88">
        <f>IF(B$20=0,0,G19/B$20)</f>
        <v>7.6335877862595417E-3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131</v>
      </c>
      <c r="C20" s="5">
        <f>IF(B$3=0,0,B20/B$3)</f>
        <v>0.30969267139479906</v>
      </c>
      <c r="E20" s="27" t="s">
        <v>79</v>
      </c>
      <c r="F20" s="24" t="s">
        <v>34</v>
      </c>
      <c r="G20" s="12">
        <v>1</v>
      </c>
      <c r="H20" s="88">
        <f>IF(B$20=0,0,G20/B$20)</f>
        <v>7.6335877862595417E-3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5.2833333333333332</v>
      </c>
      <c r="Q20" s="77">
        <v>30</v>
      </c>
      <c r="R20" s="68">
        <v>158.5</v>
      </c>
    </row>
    <row r="21" spans="1:18" x14ac:dyDescent="0.4">
      <c r="A21" s="19" t="s">
        <v>13</v>
      </c>
      <c r="B21" s="12">
        <v>57</v>
      </c>
      <c r="C21" s="6">
        <f>IF(B$3=0,0,B21/B$3)</f>
        <v>0.13475177304964539</v>
      </c>
      <c r="E21" s="27" t="s">
        <v>93</v>
      </c>
      <c r="F21" s="24" t="s">
        <v>48</v>
      </c>
      <c r="G21" s="12">
        <v>1</v>
      </c>
      <c r="H21" s="88">
        <f>IF(B$20=0,0,G21/B$20)</f>
        <v>7.6335877862595417E-3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53</v>
      </c>
      <c r="C22" s="6">
        <f>IF(B$20=0,0,B22/B$20)</f>
        <v>0.40458015267175573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78</v>
      </c>
      <c r="C23" s="6">
        <f>IF(B$20=0,0,B23/B$20)</f>
        <v>0.59541984732824427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57</v>
      </c>
      <c r="C24" s="6">
        <f>IF(B$20=0,0,B24/B$20)</f>
        <v>0.4351145038167939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44</v>
      </c>
      <c r="C25" s="6">
        <f>IF(B$20=0,0,B25/B$20)</f>
        <v>0.33587786259541985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30</v>
      </c>
      <c r="C26" s="6">
        <f>IF(B$20=0,0,B26/B$20)</f>
        <v>0.22900763358778625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7960.3053435114507</v>
      </c>
      <c r="C27" s="8">
        <v>1042800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8465.5172413793098</v>
      </c>
      <c r="C28" s="96">
        <v>736500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6961.363636363636</v>
      </c>
      <c r="C29" s="96">
        <v>306300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-6854.3859649122805</v>
      </c>
      <c r="C30" s="96">
        <v>-390700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93600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7.0921985815602835E-3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6.1068702290076333E-2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27</v>
      </c>
      <c r="C38" s="6">
        <f t="shared" si="3"/>
        <v>0.20610687022900764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27</v>
      </c>
      <c r="C39" s="6">
        <f t="shared" si="3"/>
        <v>0.20610687022900764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0.14503816793893129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20</v>
      </c>
      <c r="C41" s="6">
        <f t="shared" si="3"/>
        <v>0.15267175572519084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3"/>
        <v>0.11450381679389313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3.8167938931297711E-2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3.0534351145038167E-2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7.6335877862595417E-3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1.5267175572519083E-2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2</v>
      </c>
      <c r="C47" s="6">
        <f t="shared" si="3"/>
        <v>1.5267175572519083E-2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3"/>
        <v>7.6335877862595417E-3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209.29999999999998</v>
      </c>
      <c r="M51" s="117">
        <v>1545.841007845276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211.6</v>
      </c>
      <c r="M52" s="117">
        <v>1546.7179617982042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56</v>
      </c>
      <c r="C2" s="142"/>
      <c r="E2" s="26" t="s">
        <v>66</v>
      </c>
      <c r="F2" s="23" t="s">
        <v>22</v>
      </c>
      <c r="G2" s="11">
        <v>124</v>
      </c>
      <c r="H2" s="87">
        <f>IF(B$20=0,0,G2/B$20)</f>
        <v>0.76543209876543206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-303.57142857142856</v>
      </c>
      <c r="Q2" s="76">
        <v>56</v>
      </c>
      <c r="R2" s="63">
        <v>-17000</v>
      </c>
    </row>
    <row r="3" spans="1:18" x14ac:dyDescent="0.4">
      <c r="A3" s="19" t="s">
        <v>8</v>
      </c>
      <c r="B3" s="143">
        <v>483</v>
      </c>
      <c r="C3" s="144"/>
      <c r="E3" s="27" t="s">
        <v>72</v>
      </c>
      <c r="F3" s="24" t="s">
        <v>27</v>
      </c>
      <c r="G3" s="12">
        <v>100</v>
      </c>
      <c r="H3" s="88">
        <f>IF(B$20=0,0,G3/B$20)</f>
        <v>0.61728395061728392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394.33962264150944</v>
      </c>
      <c r="Q3" s="77">
        <v>53</v>
      </c>
      <c r="R3" s="64">
        <v>20900</v>
      </c>
    </row>
    <row r="4" spans="1:18" x14ac:dyDescent="0.4">
      <c r="A4" s="19" t="s">
        <v>6</v>
      </c>
      <c r="B4" s="145">
        <v>275.2999999999999</v>
      </c>
      <c r="C4" s="146"/>
      <c r="E4" s="27" t="s">
        <v>159</v>
      </c>
      <c r="F4" s="24" t="s">
        <v>160</v>
      </c>
      <c r="G4" s="12">
        <v>77</v>
      </c>
      <c r="H4" s="88">
        <f>IF(B$20=0,0,G4/B$20)</f>
        <v>0.47530864197530864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1612.962962962963</v>
      </c>
      <c r="Q4" s="77">
        <v>54</v>
      </c>
      <c r="R4" s="64">
        <v>87100</v>
      </c>
    </row>
    <row r="5" spans="1:18" x14ac:dyDescent="0.4">
      <c r="A5" s="19" t="s">
        <v>7</v>
      </c>
      <c r="B5" s="133">
        <f>IF(B$2=0,0,B$4/B$2)</f>
        <v>4.9160714285714269</v>
      </c>
      <c r="C5" s="134"/>
      <c r="E5" s="27" t="s">
        <v>64</v>
      </c>
      <c r="F5" s="24" t="s">
        <v>20</v>
      </c>
      <c r="G5" s="12">
        <v>52</v>
      </c>
      <c r="H5" s="88">
        <f>IF(B$20=0,0,G5/B$20)</f>
        <v>0.32098765432098764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2413.7254901960782</v>
      </c>
      <c r="Q5" s="77">
        <v>51</v>
      </c>
      <c r="R5" s="64">
        <v>123100</v>
      </c>
    </row>
    <row r="6" spans="1:18" x14ac:dyDescent="0.4">
      <c r="A6" s="19" t="s">
        <v>196</v>
      </c>
      <c r="B6" s="137">
        <v>1585.3047690513151</v>
      </c>
      <c r="C6" s="138"/>
      <c r="E6" s="27" t="s">
        <v>68</v>
      </c>
      <c r="F6" s="24" t="s">
        <v>12</v>
      </c>
      <c r="G6" s="12">
        <v>39</v>
      </c>
      <c r="H6" s="88">
        <f>IF(B$20=0,0,G6/B$20)</f>
        <v>0.24074074074074073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-423.40425531914894</v>
      </c>
      <c r="Q6" s="77">
        <v>47</v>
      </c>
      <c r="R6" s="64">
        <v>-19900</v>
      </c>
    </row>
    <row r="7" spans="1:18" x14ac:dyDescent="0.4">
      <c r="A7" s="19" t="s">
        <v>1</v>
      </c>
      <c r="B7" s="147">
        <f>IF(B$2=0,0,(B$8*1+B$9*2+B$10*3)/B$2)</f>
        <v>1.8392857142857142</v>
      </c>
      <c r="C7" s="148"/>
      <c r="E7" s="27" t="s">
        <v>89</v>
      </c>
      <c r="F7" s="24" t="s">
        <v>44</v>
      </c>
      <c r="G7" s="12">
        <v>21</v>
      </c>
      <c r="H7" s="88">
        <f>IF(B$20=0,0,G7/B$20)</f>
        <v>0.12962962962962962</v>
      </c>
      <c r="I7" s="58">
        <v>7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-381.57894736842104</v>
      </c>
      <c r="Q7" s="78">
        <v>38</v>
      </c>
      <c r="R7" s="65">
        <v>-14500</v>
      </c>
    </row>
    <row r="8" spans="1:18" x14ac:dyDescent="0.4">
      <c r="A8" s="19" t="s">
        <v>2</v>
      </c>
      <c r="B8" s="12">
        <v>22</v>
      </c>
      <c r="C8" s="6">
        <f t="shared" ref="C8:C15" si="1">IF(B$2=0,0,B8/B$2)</f>
        <v>0.39285714285714285</v>
      </c>
      <c r="E8" s="27" t="s">
        <v>67</v>
      </c>
      <c r="F8" s="24" t="s">
        <v>23</v>
      </c>
      <c r="G8" s="12">
        <v>20</v>
      </c>
      <c r="H8" s="88">
        <f>IF(B$20=0,0,G8/B$20)</f>
        <v>0.12345679012345678</v>
      </c>
      <c r="I8" s="58">
        <v>11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21</v>
      </c>
      <c r="C9" s="6">
        <f t="shared" si="1"/>
        <v>0.375</v>
      </c>
      <c r="E9" s="27" t="s">
        <v>70</v>
      </c>
      <c r="F9" s="24" t="s">
        <v>25</v>
      </c>
      <c r="G9" s="12">
        <v>20</v>
      </c>
      <c r="H9" s="88">
        <f>IF(B$20=0,0,G9/B$20)</f>
        <v>0.12345679012345678</v>
      </c>
      <c r="I9" s="58">
        <v>2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0.23214285714285715</v>
      </c>
      <c r="E10" s="27" t="s">
        <v>71</v>
      </c>
      <c r="F10" s="24" t="s">
        <v>26</v>
      </c>
      <c r="G10" s="12">
        <v>16</v>
      </c>
      <c r="H10" s="88">
        <f>IF(B$20=0,0,G10/B$20)</f>
        <v>9.8765432098765427E-2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14.775</v>
      </c>
      <c r="Q10" s="76">
        <v>20</v>
      </c>
      <c r="R10" s="67">
        <v>295.5</v>
      </c>
    </row>
    <row r="11" spans="1:18" x14ac:dyDescent="0.4">
      <c r="A11" s="20" t="s">
        <v>184</v>
      </c>
      <c r="B11" s="109">
        <f>IF(B8=0,0,C11/B8)</f>
        <v>35.940909090909095</v>
      </c>
      <c r="C11" s="110">
        <v>790.7</v>
      </c>
      <c r="E11" s="27" t="s">
        <v>69</v>
      </c>
      <c r="F11" s="24" t="s">
        <v>24</v>
      </c>
      <c r="G11" s="12">
        <v>14</v>
      </c>
      <c r="H11" s="88">
        <f>IF(B$20=0,0,G11/B$20)</f>
        <v>8.6419753086419748E-2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-0.21052631578947345</v>
      </c>
      <c r="Q11" s="77">
        <v>19</v>
      </c>
      <c r="R11" s="68">
        <v>-3.9999999999999956</v>
      </c>
    </row>
    <row r="12" spans="1:18" x14ac:dyDescent="0.4">
      <c r="A12" s="20" t="s">
        <v>185</v>
      </c>
      <c r="B12" s="109">
        <f>IF(B9=0,0,C12/B9)</f>
        <v>-3.4571428571428564</v>
      </c>
      <c r="C12" s="110">
        <v>-72.59999999999998</v>
      </c>
      <c r="E12" s="27" t="s">
        <v>65</v>
      </c>
      <c r="F12" s="24" t="s">
        <v>21</v>
      </c>
      <c r="G12" s="12">
        <v>7</v>
      </c>
      <c r="H12" s="88">
        <f>IF(B$20=0,0,G12/B$20)</f>
        <v>4.3209876543209874E-2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-0.95294117647058862</v>
      </c>
      <c r="Q12" s="78">
        <v>17</v>
      </c>
      <c r="R12" s="69">
        <v>-16.200000000000006</v>
      </c>
    </row>
    <row r="13" spans="1:18" x14ac:dyDescent="0.4">
      <c r="A13" s="20" t="s">
        <v>186</v>
      </c>
      <c r="B13" s="109">
        <f>IF(B10=0,0,C13/B10)</f>
        <v>-34.061538461538461</v>
      </c>
      <c r="C13" s="110">
        <v>-442.8</v>
      </c>
      <c r="E13" s="27" t="s">
        <v>86</v>
      </c>
      <c r="F13" s="24" t="s">
        <v>41</v>
      </c>
      <c r="G13" s="12">
        <v>6</v>
      </c>
      <c r="H13" s="88">
        <f>IF(B$20=0,0,G13/B$20)</f>
        <v>3.7037037037037035E-2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-0.52592407592407397</v>
      </c>
      <c r="C14" s="134"/>
      <c r="E14" s="27" t="s">
        <v>83</v>
      </c>
      <c r="F14" s="24" t="s">
        <v>38</v>
      </c>
      <c r="G14" s="12">
        <v>5</v>
      </c>
      <c r="H14" s="88">
        <f>IF(B$20=0,0,G14/B$20)</f>
        <v>3.0864197530864196E-2</v>
      </c>
      <c r="I14" s="58">
        <v>9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7.1428571428571425E-2</v>
      </c>
      <c r="E15" s="27" t="s">
        <v>78</v>
      </c>
      <c r="F15" s="24" t="s">
        <v>33</v>
      </c>
      <c r="G15" s="12">
        <v>4</v>
      </c>
      <c r="H15" s="88">
        <f>IF(B$20=0,0,G15/B$20)</f>
        <v>2.4691358024691357E-2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97</v>
      </c>
      <c r="C16" s="10">
        <f>IF(B$3=0,0,B16/B$3)</f>
        <v>0.20082815734989648</v>
      </c>
      <c r="E16" s="27" t="s">
        <v>79</v>
      </c>
      <c r="F16" s="24" t="s">
        <v>34</v>
      </c>
      <c r="G16" s="12">
        <v>3</v>
      </c>
      <c r="H16" s="88">
        <f>IF(B$20=0,0,G16/B$20)</f>
        <v>1.8518518518518517E-2</v>
      </c>
      <c r="I16" s="58">
        <v>3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130</v>
      </c>
      <c r="C17" s="6">
        <f>IF(B$3=0,0,B17/B$3)</f>
        <v>0.2691511387163561</v>
      </c>
      <c r="E17" s="27" t="s">
        <v>81</v>
      </c>
      <c r="F17" s="24" t="s">
        <v>36</v>
      </c>
      <c r="G17" s="12">
        <v>3</v>
      </c>
      <c r="H17" s="88">
        <f>IF(B$20=0,0,G17/B$20)</f>
        <v>1.8518518518518517E-2</v>
      </c>
      <c r="I17" s="58">
        <v>11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>IF(Q17=0,0,R17/Q17)</f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52</v>
      </c>
      <c r="C18" s="5">
        <f>IF(B$16=0,0,B18/B$16)</f>
        <v>0.53608247422680411</v>
      </c>
      <c r="E18" s="27" t="s">
        <v>155</v>
      </c>
      <c r="F18" s="24" t="s">
        <v>156</v>
      </c>
      <c r="G18" s="12">
        <v>2</v>
      </c>
      <c r="H18" s="88">
        <f>IF(B$20=0,0,G18/B$20)</f>
        <v>1.2345679012345678E-2</v>
      </c>
      <c r="I18" s="58">
        <v>4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56</v>
      </c>
      <c r="C19" s="5">
        <f>IF(B$17=0,0,B19/B$17)</f>
        <v>0.43076923076923079</v>
      </c>
      <c r="E19" s="27" t="s">
        <v>73</v>
      </c>
      <c r="F19" s="24" t="s">
        <v>28</v>
      </c>
      <c r="G19" s="12">
        <v>1</v>
      </c>
      <c r="H19" s="88">
        <f>IF(B$20=0,0,G19/B$20)</f>
        <v>6.1728395061728392E-3</v>
      </c>
      <c r="I19" s="58">
        <v>5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>IF(Q19=0,0,R19/Q19)</f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162</v>
      </c>
      <c r="C20" s="5">
        <f>IF(B$3=0,0,B20/B$3)</f>
        <v>0.33540372670807456</v>
      </c>
      <c r="E20" s="27" t="s">
        <v>88</v>
      </c>
      <c r="F20" s="24" t="s">
        <v>43</v>
      </c>
      <c r="G20" s="12">
        <v>1</v>
      </c>
      <c r="H20" s="88">
        <f>IF(B$20=0,0,G20/B$20)</f>
        <v>6.1728395061728392E-3</v>
      </c>
      <c r="I20" s="58">
        <v>2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>IF(Q20=0,0,R20/Q20)</f>
        <v>12.989473684210525</v>
      </c>
      <c r="Q20" s="77">
        <v>19</v>
      </c>
      <c r="R20" s="68">
        <v>246.79999999999998</v>
      </c>
    </row>
    <row r="21" spans="1:18" x14ac:dyDescent="0.4">
      <c r="A21" s="19" t="s">
        <v>13</v>
      </c>
      <c r="B21" s="12">
        <v>59</v>
      </c>
      <c r="C21" s="6">
        <f>IF(B$3=0,0,B21/B$3)</f>
        <v>0.12215320910973085</v>
      </c>
      <c r="E21" s="27" t="s">
        <v>90</v>
      </c>
      <c r="F21" s="24" t="s">
        <v>45</v>
      </c>
      <c r="G21" s="12">
        <v>1</v>
      </c>
      <c r="H21" s="88">
        <f>IF(B$20=0,0,G21/B$20)</f>
        <v>6.1728395061728392E-3</v>
      </c>
      <c r="I21" s="58">
        <v>2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>IF(Q21=0,0,R21/Q21)</f>
        <v>4.1562499999999973</v>
      </c>
      <c r="Q21" s="77">
        <v>48</v>
      </c>
      <c r="R21" s="68">
        <v>199.49999999999986</v>
      </c>
    </row>
    <row r="22" spans="1:18" x14ac:dyDescent="0.4">
      <c r="A22" s="19" t="s">
        <v>12</v>
      </c>
      <c r="B22" s="12">
        <v>64</v>
      </c>
      <c r="C22" s="6">
        <f>IF(B$20=0,0,B22/B$20)</f>
        <v>0.39506172839506171</v>
      </c>
      <c r="E22" s="27" t="s">
        <v>92</v>
      </c>
      <c r="F22" s="24" t="s">
        <v>47</v>
      </c>
      <c r="G22" s="12">
        <v>1</v>
      </c>
      <c r="H22" s="88">
        <f>IF(B$20=0,0,G22/B$20)</f>
        <v>6.1728395061728392E-3</v>
      </c>
      <c r="I22" s="58">
        <v>1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>IF(Q22=0,0,R22/Q22)</f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98</v>
      </c>
      <c r="C23" s="6">
        <f>IF(B$20=0,0,B23/B$20)</f>
        <v>0.60493827160493829</v>
      </c>
      <c r="E23" s="27" t="s">
        <v>102</v>
      </c>
      <c r="F23" s="24" t="s">
        <v>57</v>
      </c>
      <c r="G23" s="12">
        <v>1</v>
      </c>
      <c r="H23" s="88">
        <f>IF(B$20=0,0,G23/B$20)</f>
        <v>6.1728395061728392E-3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>IF(Q23=0,0,R23/Q23)</f>
        <v>-26.462500000000002</v>
      </c>
      <c r="Q23" s="77">
        <v>8</v>
      </c>
      <c r="R23" s="68">
        <v>-211.70000000000002</v>
      </c>
    </row>
    <row r="24" spans="1:18" x14ac:dyDescent="0.4">
      <c r="A24" s="19" t="s">
        <v>183</v>
      </c>
      <c r="B24" s="12">
        <v>52</v>
      </c>
      <c r="C24" s="6">
        <f>IF(B$20=0,0,B24/B$20)</f>
        <v>0.32098765432098764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56</v>
      </c>
      <c r="C25" s="6">
        <f>IF(B$20=0,0,B25/B$20)</f>
        <v>0.34567901234567899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54</v>
      </c>
      <c r="C26" s="6">
        <f>IF(B$20=0,0,B26/B$20)</f>
        <v>0.33333333333333331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7298.7654320987658</v>
      </c>
      <c r="C27" s="8">
        <v>1182400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8162.2641509433961</v>
      </c>
      <c r="C28" s="96">
        <v>865200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5664.2857142857147</v>
      </c>
      <c r="C29" s="96">
        <v>317200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-7877.9661016949149</v>
      </c>
      <c r="C30" s="96">
        <v>-464800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6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14</v>
      </c>
      <c r="C37" s="98">
        <f t="shared" ref="C37:C49" si="2">IF(B$20=0,0,B37/B$20)</f>
        <v>8.6419753086419748E-2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42</v>
      </c>
      <c r="C38" s="6">
        <f t="shared" si="2"/>
        <v>0.25925925925925924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34</v>
      </c>
      <c r="C39" s="6">
        <f t="shared" si="2"/>
        <v>0.20987654320987653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25</v>
      </c>
      <c r="C40" s="6">
        <f t="shared" si="2"/>
        <v>0.15432098765432098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26</v>
      </c>
      <c r="C41" s="6">
        <f t="shared" si="2"/>
        <v>0.16049382716049382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2"/>
        <v>2.4691358024691357E-2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9</v>
      </c>
      <c r="C43" s="6">
        <f t="shared" si="2"/>
        <v>5.5555555555555552E-2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2"/>
        <v>1.2345679012345678E-2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2"/>
        <v>1.2345679012345678E-2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2</v>
      </c>
      <c r="C46" s="6">
        <f t="shared" si="2"/>
        <v>1.2345679012345678E-2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2"/>
        <v>1.2345679012345678E-2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231.29999999999993</v>
      </c>
      <c r="M52" s="117">
        <v>1575.3516706402122</v>
      </c>
    </row>
    <row r="53" spans="1:13" x14ac:dyDescent="0.4">
      <c r="K53" s="74">
        <v>51</v>
      </c>
      <c r="L53" s="119">
        <v>261.49999999999994</v>
      </c>
      <c r="M53" s="117">
        <v>1581.073560616371</v>
      </c>
    </row>
    <row r="54" spans="1:13" x14ac:dyDescent="0.4">
      <c r="K54" s="74">
        <v>52</v>
      </c>
      <c r="L54" s="119">
        <v>297.99999999999994</v>
      </c>
      <c r="M54" s="117">
        <v>1588.0331192526728</v>
      </c>
    </row>
    <row r="55" spans="1:13" x14ac:dyDescent="0.4">
      <c r="K55" s="74">
        <v>53</v>
      </c>
      <c r="L55" s="119">
        <v>300.39999999999992</v>
      </c>
      <c r="M55" s="117">
        <v>1588.8129205371567</v>
      </c>
    </row>
    <row r="56" spans="1:13" x14ac:dyDescent="0.4">
      <c r="K56" s="74">
        <v>54</v>
      </c>
      <c r="L56" s="119">
        <v>306.09999999999991</v>
      </c>
      <c r="M56" s="117">
        <v>1590.1820430139337</v>
      </c>
    </row>
    <row r="57" spans="1:13" x14ac:dyDescent="0.4">
      <c r="K57" s="74">
        <v>55</v>
      </c>
      <c r="L57" s="119">
        <v>307.09999999999991</v>
      </c>
      <c r="M57" s="117">
        <v>1590.6969507558501</v>
      </c>
    </row>
    <row r="58" spans="1:13" x14ac:dyDescent="0.4">
      <c r="K58" s="74">
        <v>56</v>
      </c>
      <c r="L58" s="119">
        <v>275.2999999999999</v>
      </c>
      <c r="M58" s="117">
        <v>1585.3047690513151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7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16</v>
      </c>
      <c r="C2" s="142"/>
      <c r="E2" s="26" t="s">
        <v>66</v>
      </c>
      <c r="F2" s="23" t="s">
        <v>22</v>
      </c>
      <c r="G2" s="11">
        <v>33</v>
      </c>
      <c r="H2" s="87">
        <f>IF(B$20=0,0,G2/B$20)</f>
        <v>0.94285714285714284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-1737.5</v>
      </c>
      <c r="Q2" s="76">
        <v>16</v>
      </c>
      <c r="R2" s="63">
        <v>-27800</v>
      </c>
    </row>
    <row r="3" spans="1:18" x14ac:dyDescent="0.4">
      <c r="A3" s="19" t="s">
        <v>8</v>
      </c>
      <c r="B3" s="143">
        <v>145</v>
      </c>
      <c r="C3" s="144"/>
      <c r="E3" s="27" t="s">
        <v>159</v>
      </c>
      <c r="F3" s="24" t="s">
        <v>160</v>
      </c>
      <c r="G3" s="12">
        <v>24</v>
      </c>
      <c r="H3" s="88">
        <f>IF(B$20=0,0,G3/B$20)</f>
        <v>0.68571428571428572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3526.6666666666665</v>
      </c>
      <c r="Q3" s="77">
        <v>15</v>
      </c>
      <c r="R3" s="64">
        <v>52900</v>
      </c>
    </row>
    <row r="4" spans="1:18" x14ac:dyDescent="0.4">
      <c r="A4" s="19" t="s">
        <v>6</v>
      </c>
      <c r="B4" s="145">
        <v>-121.1</v>
      </c>
      <c r="C4" s="146"/>
      <c r="E4" s="27" t="s">
        <v>64</v>
      </c>
      <c r="F4" s="24" t="s">
        <v>20</v>
      </c>
      <c r="G4" s="12">
        <v>21</v>
      </c>
      <c r="H4" s="88">
        <f>IF(B$20=0,0,G4/B$20)</f>
        <v>0.6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-1137.5</v>
      </c>
      <c r="Q4" s="77">
        <v>16</v>
      </c>
      <c r="R4" s="64">
        <v>-18200</v>
      </c>
    </row>
    <row r="5" spans="1:18" x14ac:dyDescent="0.4">
      <c r="A5" s="19" t="s">
        <v>7</v>
      </c>
      <c r="B5" s="133">
        <f>IF(B$2=0,0,B$4/B$2)</f>
        <v>-7.5687499999999996</v>
      </c>
      <c r="C5" s="134"/>
      <c r="E5" s="27" t="s">
        <v>68</v>
      </c>
      <c r="F5" s="24" t="s">
        <v>12</v>
      </c>
      <c r="G5" s="12">
        <v>18</v>
      </c>
      <c r="H5" s="88">
        <f>IF(B$20=0,0,G5/B$20)</f>
        <v>0.51428571428571423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-3218.75</v>
      </c>
      <c r="Q5" s="77">
        <v>16</v>
      </c>
      <c r="R5" s="64">
        <v>-51500</v>
      </c>
    </row>
    <row r="6" spans="1:18" x14ac:dyDescent="0.4">
      <c r="A6" s="19" t="s">
        <v>196</v>
      </c>
      <c r="B6" s="137">
        <v>1386.1875835590063</v>
      </c>
      <c r="C6" s="138"/>
      <c r="E6" s="27" t="s">
        <v>72</v>
      </c>
      <c r="F6" s="24" t="s">
        <v>27</v>
      </c>
      <c r="G6" s="12">
        <v>15</v>
      </c>
      <c r="H6" s="88">
        <f>IF(B$20=0,0,G6/B$20)</f>
        <v>0.42857142857142855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-1806.6666666666667</v>
      </c>
      <c r="Q6" s="77">
        <v>15</v>
      </c>
      <c r="R6" s="64">
        <v>-27100</v>
      </c>
    </row>
    <row r="7" spans="1:18" x14ac:dyDescent="0.4">
      <c r="A7" s="19" t="s">
        <v>1</v>
      </c>
      <c r="B7" s="147">
        <f>IF(B$2=0,0,(B$8*1+B$9*2+B$10*3)/B$2)</f>
        <v>2.0625</v>
      </c>
      <c r="C7" s="148"/>
      <c r="E7" s="27" t="s">
        <v>67</v>
      </c>
      <c r="F7" s="24" t="s">
        <v>23</v>
      </c>
      <c r="G7" s="12">
        <v>13</v>
      </c>
      <c r="H7" s="88">
        <f>IF(B$20=0,0,G7/B$20)</f>
        <v>0.37142857142857144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-1957.1428571428571</v>
      </c>
      <c r="Q7" s="78">
        <v>14</v>
      </c>
      <c r="R7" s="65">
        <v>-27400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0.375</v>
      </c>
      <c r="E8" s="27" t="s">
        <v>69</v>
      </c>
      <c r="F8" s="24" t="s">
        <v>24</v>
      </c>
      <c r="G8" s="12">
        <v>10</v>
      </c>
      <c r="H8" s="88">
        <f>IF(B$20=0,0,G8/B$20)</f>
        <v>0.2857142857142857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0.1875</v>
      </c>
      <c r="E9" s="27" t="s">
        <v>65</v>
      </c>
      <c r="F9" s="24" t="s">
        <v>21</v>
      </c>
      <c r="G9" s="12">
        <v>4</v>
      </c>
      <c r="H9" s="88">
        <f>IF(B$20=0,0,G9/B$20)</f>
        <v>0.11428571428571428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0.4375</v>
      </c>
      <c r="E10" s="27" t="s">
        <v>70</v>
      </c>
      <c r="F10" s="24" t="s">
        <v>25</v>
      </c>
      <c r="G10" s="12">
        <v>3</v>
      </c>
      <c r="H10" s="88">
        <f>IF(B$20=0,0,G10/B$20)</f>
        <v>8.5714285714285715E-2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-14.45</v>
      </c>
      <c r="Q10" s="76">
        <v>4</v>
      </c>
      <c r="R10" s="67">
        <v>-57.8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89</v>
      </c>
      <c r="F11" s="24" t="s">
        <v>44</v>
      </c>
      <c r="G11" s="12">
        <v>2</v>
      </c>
      <c r="H11" s="88">
        <f>IF(B$20=0,0,G11/B$20)</f>
        <v>5.7142857142857141E-2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-5.3</v>
      </c>
      <c r="Q11" s="77">
        <v>5</v>
      </c>
      <c r="R11" s="68">
        <v>-26.5</v>
      </c>
    </row>
    <row r="12" spans="1:18" x14ac:dyDescent="0.4">
      <c r="A12" s="20" t="s">
        <v>185</v>
      </c>
      <c r="B12" s="109">
        <f>IF(B9=0,0,C12/B9)</f>
        <v>-1.3</v>
      </c>
      <c r="C12" s="110">
        <v>-3.9</v>
      </c>
      <c r="E12" s="27" t="s">
        <v>71</v>
      </c>
      <c r="F12" s="24" t="s">
        <v>26</v>
      </c>
      <c r="G12" s="12">
        <v>1</v>
      </c>
      <c r="H12" s="88">
        <f>IF(B$20=0,0,G12/B$20)</f>
        <v>2.8571428571428571E-2</v>
      </c>
      <c r="I12" s="58">
        <v>10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-38.785714285714285</v>
      </c>
      <c r="C13" s="110">
        <v>-271.5</v>
      </c>
      <c r="E13" s="27" t="s">
        <v>75</v>
      </c>
      <c r="F13" s="24" t="s">
        <v>30</v>
      </c>
      <c r="G13" s="12">
        <v>1</v>
      </c>
      <c r="H13" s="88">
        <f>IF(B$20=0,0,G13/B$20)</f>
        <v>2.8571428571428571E-2</v>
      </c>
      <c r="I13" s="58">
        <v>1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-4.7896825396825404</v>
      </c>
      <c r="C14" s="134"/>
      <c r="E14" s="27" t="s">
        <v>78</v>
      </c>
      <c r="F14" s="24" t="s">
        <v>33</v>
      </c>
      <c r="G14" s="12">
        <v>1</v>
      </c>
      <c r="H14" s="88">
        <f>IF(B$20=0,0,G14/B$20)</f>
        <v>2.8571428571428571E-2</v>
      </c>
      <c r="I14" s="58">
        <v>6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0.1875</v>
      </c>
      <c r="E15" s="27" t="s">
        <v>81</v>
      </c>
      <c r="F15" s="24" t="s">
        <v>36</v>
      </c>
      <c r="G15" s="12">
        <v>1</v>
      </c>
      <c r="H15" s="88">
        <f>IF(B$20=0,0,G15/B$20)</f>
        <v>2.8571428571428571E-2</v>
      </c>
      <c r="I15" s="58">
        <v>9</v>
      </c>
      <c r="K15" s="74">
        <v>13</v>
      </c>
      <c r="L15" s="119">
        <v>-75.599999999999994</v>
      </c>
      <c r="M15" s="117">
        <v>1390.8671400806311</v>
      </c>
      <c r="O15" s="73" t="s">
        <v>163</v>
      </c>
      <c r="P15" s="82">
        <f t="shared" ref="P15:P21" si="2">IF(Q15=0,0,R15/Q15)</f>
        <v>13.525000000000004</v>
      </c>
      <c r="Q15" s="76">
        <v>4</v>
      </c>
      <c r="R15" s="67">
        <v>54.100000000000016</v>
      </c>
    </row>
    <row r="16" spans="1:18" x14ac:dyDescent="0.4">
      <c r="A16" s="22" t="s">
        <v>121</v>
      </c>
      <c r="B16" s="15">
        <v>34</v>
      </c>
      <c r="C16" s="10">
        <f>IF(B$3=0,0,B16/B$3)</f>
        <v>0.23448275862068965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 t="shared" si="2"/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19</v>
      </c>
      <c r="C17" s="6">
        <f>IF(B$3=0,0,B17/B$3)</f>
        <v>0.1310344827586207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K17" s="74">
        <v>15</v>
      </c>
      <c r="L17" s="119">
        <v>-123.19999999999999</v>
      </c>
      <c r="M17" s="117">
        <v>1384.5710096167065</v>
      </c>
      <c r="O17" s="74" t="s">
        <v>211</v>
      </c>
      <c r="P17" s="83">
        <f t="shared" si="2"/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21</v>
      </c>
      <c r="C18" s="5">
        <f>IF(B$16=0,0,B18/B$16)</f>
        <v>0.61764705882352944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-121.1</v>
      </c>
      <c r="M18" s="117">
        <v>1386.1875835590063</v>
      </c>
      <c r="O18" s="74" t="s">
        <v>190</v>
      </c>
      <c r="P18" s="83">
        <f t="shared" si="2"/>
        <v>-3.9500000000000011</v>
      </c>
      <c r="Q18" s="77">
        <v>4</v>
      </c>
      <c r="R18" s="68">
        <v>-15.800000000000004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0.26315789473684209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126</v>
      </c>
      <c r="P19" s="83">
        <f t="shared" si="2"/>
        <v>-13.090909090909092</v>
      </c>
      <c r="Q19" s="77">
        <v>11</v>
      </c>
      <c r="R19" s="68">
        <v>-144</v>
      </c>
    </row>
    <row r="20" spans="1:18" x14ac:dyDescent="0.4">
      <c r="A20" s="18" t="s">
        <v>10</v>
      </c>
      <c r="B20" s="11">
        <f>B23+B22</f>
        <v>35</v>
      </c>
      <c r="C20" s="5">
        <f>IF(B$3=0,0,B20/B$3)</f>
        <v>0.2413793103448276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25</v>
      </c>
      <c r="C21" s="6">
        <f>IF(B$3=0,0,B21/B$3)</f>
        <v>0.17241379310344829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19</v>
      </c>
      <c r="C22" s="6">
        <f>IF(B$20=0,0,B22/B$20)</f>
        <v>0.54285714285714282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16</v>
      </c>
      <c r="C23" s="6">
        <f>IF(B$20=0,0,B23/B$20)</f>
        <v>0.45714285714285713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21</v>
      </c>
      <c r="C24" s="6">
        <f>IF(B$20=0,0,B24/B$20)</f>
        <v>0.6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0.14285714285714285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9</v>
      </c>
      <c r="C26" s="6">
        <f>IF(B$20=0,0,B26/B$20)</f>
        <v>0.25714285714285712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8974.2857142857138</v>
      </c>
      <c r="C27" s="8">
        <v>314100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9030</v>
      </c>
      <c r="C28" s="96">
        <v>270900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-7868</v>
      </c>
      <c r="C30" s="96">
        <v>-196700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6.8965517241379309E-3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2.8571428571428571E-2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0.11428571428571428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6</v>
      </c>
      <c r="C39" s="6">
        <f t="shared" si="3"/>
        <v>0.17142857142857143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10</v>
      </c>
      <c r="C40" s="6">
        <f t="shared" si="3"/>
        <v>0.2857142857142857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0.17142857142857143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3"/>
        <v>0.11428571428571428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2.8571428571428571E-2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8.5714285714285715E-2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3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6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  <row r="18" spans="1:16" x14ac:dyDescent="0.4">
      <c r="A18" s="33">
        <v>15</v>
      </c>
      <c r="B18" s="30">
        <v>-123.19999999999999</v>
      </c>
      <c r="C18" s="30">
        <v>-8.2133333333333329</v>
      </c>
      <c r="D18" s="35">
        <v>2.0666666666666669</v>
      </c>
      <c r="E18" s="31">
        <v>0.4</v>
      </c>
      <c r="F18" s="31">
        <v>0.46666666666666667</v>
      </c>
      <c r="G18" s="31">
        <v>0.23664122137404581</v>
      </c>
      <c r="H18" s="31">
        <v>0.18320610687022901</v>
      </c>
      <c r="I18" s="32">
        <v>8954.8387096774186</v>
      </c>
      <c r="J18" s="32">
        <v>-7695.833333333333</v>
      </c>
      <c r="K18" s="31">
        <v>0.2</v>
      </c>
      <c r="L18" s="31">
        <v>0.21374045801526717</v>
      </c>
      <c r="M18" s="31">
        <v>0.14503816793893129</v>
      </c>
      <c r="N18" s="31">
        <v>0.6071428571428571</v>
      </c>
      <c r="O18" s="31">
        <v>0.26315789473684209</v>
      </c>
      <c r="P18" s="31">
        <v>0.5161290322580645</v>
      </c>
    </row>
    <row r="19" spans="1:16" x14ac:dyDescent="0.4">
      <c r="A19" s="33">
        <v>16</v>
      </c>
      <c r="B19" s="30">
        <v>-121.1</v>
      </c>
      <c r="C19" s="30">
        <v>-7.5687499999999996</v>
      </c>
      <c r="D19" s="35">
        <v>2.0625</v>
      </c>
      <c r="E19" s="31">
        <v>0.375</v>
      </c>
      <c r="F19" s="31">
        <v>0.4375</v>
      </c>
      <c r="G19" s="31">
        <v>0.2413793103448276</v>
      </c>
      <c r="H19" s="31">
        <v>0.17241379310344829</v>
      </c>
      <c r="I19" s="32">
        <v>8974.2857142857138</v>
      </c>
      <c r="J19" s="32">
        <v>-7868</v>
      </c>
      <c r="K19" s="31">
        <v>0.1875</v>
      </c>
      <c r="L19" s="31">
        <v>0.23448275862068965</v>
      </c>
      <c r="M19" s="31">
        <v>0.1310344827586207</v>
      </c>
      <c r="N19" s="31">
        <v>0.61764705882352944</v>
      </c>
      <c r="O19" s="31">
        <v>0.26315789473684209</v>
      </c>
      <c r="P19" s="31">
        <v>0.54285714285714282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  <row r="53" spans="1:16" x14ac:dyDescent="0.4">
      <c r="A53" s="33">
        <v>50</v>
      </c>
      <c r="B53" s="30">
        <v>231.29999999999993</v>
      </c>
      <c r="C53" s="30">
        <v>4.6259999999999986</v>
      </c>
      <c r="D53" s="35">
        <v>1.84</v>
      </c>
      <c r="E53" s="31">
        <v>0.4</v>
      </c>
      <c r="F53" s="31">
        <v>0.24</v>
      </c>
      <c r="G53" s="31">
        <v>0.32943925233644861</v>
      </c>
      <c r="H53" s="31">
        <v>0.1191588785046729</v>
      </c>
      <c r="I53" s="32">
        <v>7300</v>
      </c>
      <c r="J53" s="32">
        <v>-7507.8431372549021</v>
      </c>
      <c r="K53" s="31">
        <v>0.08</v>
      </c>
      <c r="L53" s="31">
        <v>0.19859813084112149</v>
      </c>
      <c r="M53" s="31">
        <v>0.2780373831775701</v>
      </c>
      <c r="N53" s="31">
        <v>0.52941176470588236</v>
      </c>
      <c r="O53" s="31">
        <v>0.40336134453781514</v>
      </c>
      <c r="P53" s="31">
        <v>0.3971631205673759</v>
      </c>
    </row>
    <row r="54" spans="1:16" x14ac:dyDescent="0.4">
      <c r="A54" s="33">
        <v>51</v>
      </c>
      <c r="B54" s="30">
        <v>261.49999999999994</v>
      </c>
      <c r="C54" s="30">
        <v>5.1274509803921555</v>
      </c>
      <c r="D54" s="35">
        <v>1.8235294117647058</v>
      </c>
      <c r="E54" s="31">
        <v>0.41176470588235292</v>
      </c>
      <c r="F54" s="31">
        <v>0.23529411764705882</v>
      </c>
      <c r="G54" s="31">
        <v>0.33179723502304148</v>
      </c>
      <c r="H54" s="31">
        <v>0.11751152073732719</v>
      </c>
      <c r="I54" s="32">
        <v>7267.3611111111113</v>
      </c>
      <c r="J54" s="32">
        <v>-7507.8431372549021</v>
      </c>
      <c r="K54" s="31">
        <v>7.8431372549019607E-2</v>
      </c>
      <c r="L54" s="31">
        <v>0.20046082949308755</v>
      </c>
      <c r="M54" s="31">
        <v>0.27419354838709675</v>
      </c>
      <c r="N54" s="31">
        <v>0.54022988505747127</v>
      </c>
      <c r="O54" s="31">
        <v>0.40336134453781514</v>
      </c>
      <c r="P54" s="31">
        <v>0.40277777777777779</v>
      </c>
    </row>
    <row r="55" spans="1:16" x14ac:dyDescent="0.4">
      <c r="A55" s="33">
        <v>52</v>
      </c>
      <c r="B55" s="30">
        <v>297.99999999999994</v>
      </c>
      <c r="C55" s="30">
        <v>5.7307692307692299</v>
      </c>
      <c r="D55" s="35">
        <v>1.8076923076923077</v>
      </c>
      <c r="E55" s="31">
        <v>0.42307692307692307</v>
      </c>
      <c r="F55" s="31">
        <v>0.23076923076923078</v>
      </c>
      <c r="G55" s="31">
        <v>0.3355855855855856</v>
      </c>
      <c r="H55" s="31">
        <v>0.11711711711711711</v>
      </c>
      <c r="I55" s="32">
        <v>7322.1476510067114</v>
      </c>
      <c r="J55" s="32">
        <v>-7671.1538461538457</v>
      </c>
      <c r="K55" s="31">
        <v>7.6923076923076927E-2</v>
      </c>
      <c r="L55" s="31">
        <v>0.20045045045045046</v>
      </c>
      <c r="M55" s="31">
        <v>0.2747747747747748</v>
      </c>
      <c r="N55" s="31">
        <v>0.550561797752809</v>
      </c>
      <c r="O55" s="31">
        <v>0.40163934426229508</v>
      </c>
      <c r="P55" s="31">
        <v>0.40939597315436244</v>
      </c>
    </row>
    <row r="56" spans="1:16" x14ac:dyDescent="0.4">
      <c r="A56" s="33">
        <v>53</v>
      </c>
      <c r="B56" s="30">
        <v>300.39999999999992</v>
      </c>
      <c r="C56" s="30">
        <v>5.6679245283018851</v>
      </c>
      <c r="D56" s="35">
        <v>1.8113207547169812</v>
      </c>
      <c r="E56" s="31">
        <v>0.41509433962264153</v>
      </c>
      <c r="F56" s="31">
        <v>0.22641509433962265</v>
      </c>
      <c r="G56" s="31">
        <v>0.33555555555555555</v>
      </c>
      <c r="H56" s="31">
        <v>0.12</v>
      </c>
      <c r="I56" s="32">
        <v>7384.1059602649011</v>
      </c>
      <c r="J56" s="32">
        <v>-7731.4814814814818</v>
      </c>
      <c r="K56" s="31">
        <v>7.5471698113207544E-2</v>
      </c>
      <c r="L56" s="31">
        <v>0.19777777777777777</v>
      </c>
      <c r="M56" s="31">
        <v>0.27555555555555555</v>
      </c>
      <c r="N56" s="31">
        <v>0.550561797752809</v>
      </c>
      <c r="O56" s="31">
        <v>0.40322580645161288</v>
      </c>
      <c r="P56" s="31">
        <v>0.40397350993377484</v>
      </c>
    </row>
    <row r="57" spans="1:16" x14ac:dyDescent="0.4">
      <c r="A57" s="33">
        <v>54</v>
      </c>
      <c r="B57" s="30">
        <v>306.09999999999991</v>
      </c>
      <c r="C57" s="30">
        <v>5.6685185185185167</v>
      </c>
      <c r="D57" s="35">
        <v>1.8148148148148149</v>
      </c>
      <c r="E57" s="31">
        <v>0.40740740740740738</v>
      </c>
      <c r="F57" s="31">
        <v>0.22222222222222221</v>
      </c>
      <c r="G57" s="31">
        <v>0.33839479392624727</v>
      </c>
      <c r="H57" s="31">
        <v>0.11713665943600868</v>
      </c>
      <c r="I57" s="32">
        <v>7321.7948717948721</v>
      </c>
      <c r="J57" s="32">
        <v>-7731.4814814814818</v>
      </c>
      <c r="K57" s="31">
        <v>7.407407407407407E-2</v>
      </c>
      <c r="L57" s="31">
        <v>0.19956616052060738</v>
      </c>
      <c r="M57" s="31">
        <v>0.27765726681127983</v>
      </c>
      <c r="N57" s="31">
        <v>0.54347826086956519</v>
      </c>
      <c r="O57" s="31">
        <v>0.421875</v>
      </c>
      <c r="P57" s="31">
        <v>0.40384615384615385</v>
      </c>
    </row>
    <row r="58" spans="1:16" x14ac:dyDescent="0.4">
      <c r="A58" s="33">
        <v>55</v>
      </c>
      <c r="B58" s="30">
        <v>307.09999999999991</v>
      </c>
      <c r="C58" s="30">
        <v>5.5836363636363622</v>
      </c>
      <c r="D58" s="35">
        <v>1.8181818181818181</v>
      </c>
      <c r="E58" s="31">
        <v>0.4</v>
      </c>
      <c r="F58" s="31">
        <v>0.21818181818181817</v>
      </c>
      <c r="G58" s="31">
        <v>0.33832976445396146</v>
      </c>
      <c r="H58" s="31">
        <v>0.11563169164882227</v>
      </c>
      <c r="I58" s="32">
        <v>7292.4050632911394</v>
      </c>
      <c r="J58" s="32">
        <v>-7731.4814814814818</v>
      </c>
      <c r="K58" s="31">
        <v>7.2727272727272724E-2</v>
      </c>
      <c r="L58" s="31">
        <v>0.19914346895074947</v>
      </c>
      <c r="M58" s="31">
        <v>0.27837259100642398</v>
      </c>
      <c r="N58" s="31">
        <v>0.5376344086021505</v>
      </c>
      <c r="O58" s="31">
        <v>0.43076923076923079</v>
      </c>
      <c r="P58" s="31">
        <v>0.39873417721518989</v>
      </c>
    </row>
    <row r="59" spans="1:16" x14ac:dyDescent="0.4">
      <c r="A59" s="33">
        <v>56</v>
      </c>
      <c r="B59" s="30">
        <v>275.2999999999999</v>
      </c>
      <c r="C59" s="30">
        <v>4.9160714285714269</v>
      </c>
      <c r="D59" s="35">
        <v>1.8392857142857142</v>
      </c>
      <c r="E59" s="31">
        <v>0.39285714285714285</v>
      </c>
      <c r="F59" s="31">
        <v>0.23214285714285715</v>
      </c>
      <c r="G59" s="31">
        <v>0.33540372670807456</v>
      </c>
      <c r="H59" s="31">
        <v>0.12215320910973085</v>
      </c>
      <c r="I59" s="32">
        <v>7298.7654320987658</v>
      </c>
      <c r="J59" s="32">
        <v>-7877.9661016949149</v>
      </c>
      <c r="K59" s="31">
        <v>7.1428571428571425E-2</v>
      </c>
      <c r="L59" s="31">
        <v>0.20082815734989648</v>
      </c>
      <c r="M59" s="31">
        <v>0.2691511387163561</v>
      </c>
      <c r="N59" s="31">
        <v>0.53608247422680411</v>
      </c>
      <c r="O59" s="31">
        <v>0.43076923076923079</v>
      </c>
      <c r="P59" s="31">
        <v>0.39506172839506171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  <row r="52" spans="1:16" x14ac:dyDescent="0.4">
      <c r="A52" s="33">
        <v>49</v>
      </c>
      <c r="B52" s="30">
        <v>209.29999999999998</v>
      </c>
      <c r="C52" s="30">
        <v>4.2714285714285714</v>
      </c>
      <c r="D52" s="35">
        <v>1.8979591836734695</v>
      </c>
      <c r="E52" s="31">
        <v>0.38775510204081631</v>
      </c>
      <c r="F52" s="31">
        <v>0.2857142857142857</v>
      </c>
      <c r="G52" s="31">
        <v>0.30935251798561153</v>
      </c>
      <c r="H52" s="31">
        <v>0.1342925659472422</v>
      </c>
      <c r="I52" s="32">
        <v>7959.6899224806202</v>
      </c>
      <c r="J52" s="32">
        <v>-6833.9285714285716</v>
      </c>
      <c r="K52" s="31">
        <v>4.0816326530612242E-2</v>
      </c>
      <c r="L52" s="31">
        <v>0.22302158273381295</v>
      </c>
      <c r="M52" s="31">
        <v>0.22541966426858512</v>
      </c>
      <c r="N52" s="31">
        <v>0.60215053763440862</v>
      </c>
      <c r="O52" s="31">
        <v>0.46808510638297873</v>
      </c>
      <c r="P52" s="31">
        <v>0.41085271317829458</v>
      </c>
    </row>
    <row r="53" spans="1:16" x14ac:dyDescent="0.4">
      <c r="A53" s="33">
        <v>50</v>
      </c>
      <c r="B53" s="30">
        <v>211.6</v>
      </c>
      <c r="C53" s="30">
        <v>4.2320000000000002</v>
      </c>
      <c r="D53" s="35">
        <v>1.9</v>
      </c>
      <c r="E53" s="31">
        <v>0.38</v>
      </c>
      <c r="F53" s="31">
        <v>0.28000000000000003</v>
      </c>
      <c r="G53" s="31">
        <v>0.30969267139479906</v>
      </c>
      <c r="H53" s="31">
        <v>0.13475177304964539</v>
      </c>
      <c r="I53" s="32">
        <v>7960.3053435114507</v>
      </c>
      <c r="J53" s="32">
        <v>-6854.3859649122805</v>
      </c>
      <c r="K53" s="31">
        <v>0.04</v>
      </c>
      <c r="L53" s="31">
        <v>0.22695035460992907</v>
      </c>
      <c r="M53" s="31">
        <v>0.22695035460992907</v>
      </c>
      <c r="N53" s="31">
        <v>0.59375</v>
      </c>
      <c r="O53" s="31">
        <v>0.45833333333333331</v>
      </c>
      <c r="P53" s="31">
        <v>0.40458015267175573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  <row r="50" spans="1:16" x14ac:dyDescent="0.4">
      <c r="A50" s="33">
        <v>47</v>
      </c>
      <c r="B50" s="30">
        <v>-70.099999999999994</v>
      </c>
      <c r="C50" s="30">
        <v>-1.4914893617021276</v>
      </c>
      <c r="D50" s="35">
        <v>2.0425531914893615</v>
      </c>
      <c r="E50" s="31">
        <v>0.36170212765957449</v>
      </c>
      <c r="F50" s="31">
        <v>0.40425531914893614</v>
      </c>
      <c r="G50" s="31">
        <v>0.30048076923076922</v>
      </c>
      <c r="H50" s="31">
        <v>0.16105769230769232</v>
      </c>
      <c r="I50" s="32">
        <v>7409.6</v>
      </c>
      <c r="J50" s="32">
        <v>-8488.059701492537</v>
      </c>
      <c r="K50" s="31">
        <v>8.5106382978723402E-2</v>
      </c>
      <c r="L50" s="31">
        <v>0.25961538461538464</v>
      </c>
      <c r="M50" s="31">
        <v>0.30288461538461536</v>
      </c>
      <c r="N50" s="31">
        <v>0.44444444444444442</v>
      </c>
      <c r="O50" s="31">
        <v>0.41269841269841268</v>
      </c>
      <c r="P50" s="31">
        <v>0.46400000000000002</v>
      </c>
    </row>
    <row r="51" spans="1:16" x14ac:dyDescent="0.4">
      <c r="A51" s="33">
        <v>48</v>
      </c>
      <c r="B51" s="30">
        <v>-31.499999999999993</v>
      </c>
      <c r="C51" s="30">
        <v>-0.65624999999999989</v>
      </c>
      <c r="D51" s="35">
        <v>2.0208333333333335</v>
      </c>
      <c r="E51" s="31">
        <v>0.375</v>
      </c>
      <c r="F51" s="31">
        <v>0.39583333333333331</v>
      </c>
      <c r="G51" s="31">
        <v>0.30188679245283018</v>
      </c>
      <c r="H51" s="31">
        <v>0.15801886792452829</v>
      </c>
      <c r="I51" s="32">
        <v>7529.6875</v>
      </c>
      <c r="J51" s="32">
        <v>-8488.059701492537</v>
      </c>
      <c r="K51" s="31">
        <v>8.3333333333333329E-2</v>
      </c>
      <c r="L51" s="31">
        <v>0.2617924528301887</v>
      </c>
      <c r="M51" s="31">
        <v>0.29716981132075471</v>
      </c>
      <c r="N51" s="31">
        <v>0.45045045045045046</v>
      </c>
      <c r="O51" s="31">
        <v>0.41269841269841268</v>
      </c>
      <c r="P51" s="31">
        <v>0.46875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8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  <row r="78" spans="1:16" x14ac:dyDescent="0.4">
      <c r="A78" s="33">
        <v>75</v>
      </c>
      <c r="B78" s="30">
        <v>-101.69999999999999</v>
      </c>
      <c r="C78" s="30">
        <v>-1.3559999999999999</v>
      </c>
      <c r="D78" s="35">
        <v>2</v>
      </c>
      <c r="E78" s="31">
        <v>0.33333333333333331</v>
      </c>
      <c r="F78" s="31">
        <v>0.33333333333333331</v>
      </c>
      <c r="G78" s="31">
        <v>0.2669683257918552</v>
      </c>
      <c r="H78" s="31">
        <v>0.19306184012066366</v>
      </c>
      <c r="I78" s="32">
        <v>9425.4237288135591</v>
      </c>
      <c r="J78" s="32">
        <v>-7957.8125</v>
      </c>
      <c r="K78" s="31">
        <v>0.13333333333333333</v>
      </c>
      <c r="L78" s="31">
        <v>0.28657616892911009</v>
      </c>
      <c r="M78" s="31">
        <v>0.22322775263951736</v>
      </c>
      <c r="N78" s="31">
        <v>0.46842105263157896</v>
      </c>
      <c r="O78" s="31">
        <v>0.34459459459459457</v>
      </c>
      <c r="P78" s="31">
        <v>0.4632768361581921</v>
      </c>
    </row>
    <row r="79" spans="1:16" x14ac:dyDescent="0.4">
      <c r="A79" s="33">
        <v>76</v>
      </c>
      <c r="B79" s="30">
        <v>-119.19999999999999</v>
      </c>
      <c r="C79" s="30">
        <v>-1.5684210526315787</v>
      </c>
      <c r="D79" s="35">
        <v>2.013157894736842</v>
      </c>
      <c r="E79" s="31">
        <v>0.32894736842105265</v>
      </c>
      <c r="F79" s="31">
        <v>0.34210526315789475</v>
      </c>
      <c r="G79" s="31">
        <v>0.26587887740029542</v>
      </c>
      <c r="H79" s="31">
        <v>0.19350073855243721</v>
      </c>
      <c r="I79" s="32">
        <v>9468.3333333333339</v>
      </c>
      <c r="J79" s="32">
        <v>-7864.8854961832058</v>
      </c>
      <c r="K79" s="31">
        <v>0.13157894736842105</v>
      </c>
      <c r="L79" s="31">
        <v>0.28951255539143278</v>
      </c>
      <c r="M79" s="31">
        <v>0.22304283604135894</v>
      </c>
      <c r="N79" s="31">
        <v>0.4642857142857143</v>
      </c>
      <c r="O79" s="31">
        <v>0.3443708609271523</v>
      </c>
      <c r="P79" s="31">
        <v>0.46111111111111114</v>
      </c>
    </row>
    <row r="80" spans="1:16" x14ac:dyDescent="0.4">
      <c r="A80" s="33">
        <v>77</v>
      </c>
      <c r="B80" s="30">
        <v>-113.6</v>
      </c>
      <c r="C80" s="30">
        <v>-1.4753246753246751</v>
      </c>
      <c r="D80" s="35">
        <v>2.0129870129870131</v>
      </c>
      <c r="E80" s="31">
        <v>0.32467532467532467</v>
      </c>
      <c r="F80" s="31">
        <v>0.33766233766233766</v>
      </c>
      <c r="G80" s="31">
        <v>0.26676384839650147</v>
      </c>
      <c r="H80" s="31">
        <v>0.19387755102040816</v>
      </c>
      <c r="I80" s="32">
        <v>9438.7978142076499</v>
      </c>
      <c r="J80" s="32">
        <v>-7840.6015037593988</v>
      </c>
      <c r="K80" s="31">
        <v>0.12987012987012986</v>
      </c>
      <c r="L80" s="31">
        <v>0.29008746355685133</v>
      </c>
      <c r="M80" s="31">
        <v>0.22303206997084549</v>
      </c>
      <c r="N80" s="31">
        <v>0.46733668341708545</v>
      </c>
      <c r="O80" s="31">
        <v>0.34640522875816993</v>
      </c>
      <c r="P80" s="31">
        <v>0.45901639344262296</v>
      </c>
    </row>
    <row r="81" spans="1:16" x14ac:dyDescent="0.4">
      <c r="A81" s="33">
        <v>78</v>
      </c>
      <c r="B81" s="30">
        <v>-103.89999999999999</v>
      </c>
      <c r="C81" s="30">
        <v>-1.332051282051282</v>
      </c>
      <c r="D81" s="35">
        <v>2.0128205128205128</v>
      </c>
      <c r="E81" s="31">
        <v>0.32051282051282054</v>
      </c>
      <c r="F81" s="31">
        <v>0.33333333333333331</v>
      </c>
      <c r="G81" s="31">
        <v>0.2665706051873199</v>
      </c>
      <c r="H81" s="31">
        <v>0.1930835734870317</v>
      </c>
      <c r="I81" s="32">
        <v>9488.1081081081084</v>
      </c>
      <c r="J81" s="32">
        <v>-7841.7910447761196</v>
      </c>
      <c r="K81" s="31">
        <v>0.12820512820512819</v>
      </c>
      <c r="L81" s="31">
        <v>0.29106628242074928</v>
      </c>
      <c r="M81" s="31">
        <v>0.22190201729106629</v>
      </c>
      <c r="N81" s="31">
        <v>0.46534653465346537</v>
      </c>
      <c r="O81" s="31">
        <v>0.34415584415584416</v>
      </c>
      <c r="P81" s="31">
        <v>0.45945945945945948</v>
      </c>
    </row>
    <row r="82" spans="1:16" x14ac:dyDescent="0.4">
      <c r="A82" s="33">
        <v>79</v>
      </c>
      <c r="B82" s="30">
        <v>-111.3</v>
      </c>
      <c r="C82" s="30">
        <v>-1.4088607594936708</v>
      </c>
      <c r="D82" s="35">
        <v>2.0126582278481013</v>
      </c>
      <c r="E82" s="31">
        <v>0.31645569620253167</v>
      </c>
      <c r="F82" s="31">
        <v>0.32911392405063289</v>
      </c>
      <c r="G82" s="31">
        <v>0.265625</v>
      </c>
      <c r="H82" s="31">
        <v>0.19318181818181818</v>
      </c>
      <c r="I82" s="32">
        <v>9514.9732620320847</v>
      </c>
      <c r="J82" s="32">
        <v>-7813.9705882352937</v>
      </c>
      <c r="K82" s="31">
        <v>0.12658227848101267</v>
      </c>
      <c r="L82" s="31">
        <v>0.28693181818181818</v>
      </c>
      <c r="M82" s="31">
        <v>0.22585227272727273</v>
      </c>
      <c r="N82" s="31">
        <v>0.46534653465346537</v>
      </c>
      <c r="O82" s="31">
        <v>0.33962264150943394</v>
      </c>
      <c r="P82" s="31">
        <v>0.45989304812834225</v>
      </c>
    </row>
    <row r="83" spans="1:16" x14ac:dyDescent="0.4">
      <c r="A83" s="33">
        <v>80</v>
      </c>
      <c r="B83" s="30">
        <v>-86.9</v>
      </c>
      <c r="C83" s="30">
        <v>-1.0862500000000002</v>
      </c>
      <c r="D83" s="35">
        <v>2</v>
      </c>
      <c r="E83" s="31">
        <v>0.32500000000000001</v>
      </c>
      <c r="F83" s="31">
        <v>0.32500000000000001</v>
      </c>
      <c r="G83" s="31">
        <v>0.26619718309859153</v>
      </c>
      <c r="H83" s="31">
        <v>0.19436619718309858</v>
      </c>
      <c r="I83" s="32">
        <v>9541.269841269841</v>
      </c>
      <c r="J83" s="32">
        <v>-7777.536231884058</v>
      </c>
      <c r="K83" s="31">
        <v>0.125</v>
      </c>
      <c r="L83" s="31">
        <v>0.28591549295774649</v>
      </c>
      <c r="M83" s="31">
        <v>0.22816901408450704</v>
      </c>
      <c r="N83" s="31">
        <v>0.46798029556650245</v>
      </c>
      <c r="O83" s="31">
        <v>0.33950617283950618</v>
      </c>
      <c r="P83" s="31">
        <v>0.46031746031746029</v>
      </c>
    </row>
    <row r="84" spans="1:16" x14ac:dyDescent="0.4">
      <c r="A84" s="33">
        <v>81</v>
      </c>
      <c r="B84" s="30">
        <v>-132.9</v>
      </c>
      <c r="C84" s="30">
        <v>-1.6407407407407408</v>
      </c>
      <c r="D84" s="35">
        <v>2.0123456790123457</v>
      </c>
      <c r="E84" s="31">
        <v>0.32098765432098764</v>
      </c>
      <c r="F84" s="31">
        <v>0.33333333333333331</v>
      </c>
      <c r="G84" s="31">
        <v>0.26490984743411927</v>
      </c>
      <c r="H84" s="31">
        <v>0.19694868238557559</v>
      </c>
      <c r="I84" s="32">
        <v>9472.2513089005242</v>
      </c>
      <c r="J84" s="32">
        <v>-7730.9859154929582</v>
      </c>
      <c r="K84" s="31">
        <v>0.13580246913580246</v>
      </c>
      <c r="L84" s="31">
        <v>0.2857142857142857</v>
      </c>
      <c r="M84" s="31">
        <v>0.22607489597780861</v>
      </c>
      <c r="N84" s="31">
        <v>0.46601941747572817</v>
      </c>
      <c r="O84" s="31">
        <v>0.34355828220858897</v>
      </c>
      <c r="P84" s="31">
        <v>0.45549738219895286</v>
      </c>
    </row>
    <row r="85" spans="1:16" x14ac:dyDescent="0.4">
      <c r="A85" s="33">
        <v>82</v>
      </c>
      <c r="B85" s="30">
        <v>-164</v>
      </c>
      <c r="C85" s="30">
        <v>-2</v>
      </c>
      <c r="D85" s="35">
        <v>2.024390243902439</v>
      </c>
      <c r="E85" s="31">
        <v>0.31707317073170732</v>
      </c>
      <c r="F85" s="31">
        <v>0.34146341463414637</v>
      </c>
      <c r="G85" s="31">
        <v>0.26409903713892707</v>
      </c>
      <c r="H85" s="31">
        <v>0.19944979367262725</v>
      </c>
      <c r="I85" s="32">
        <v>9443.2291666666661</v>
      </c>
      <c r="J85" s="32">
        <v>-7695.1724137931033</v>
      </c>
      <c r="K85" s="31">
        <v>0.13414634146341464</v>
      </c>
      <c r="L85" s="31">
        <v>0.28335625859697389</v>
      </c>
      <c r="M85" s="31">
        <v>0.22696011004126548</v>
      </c>
      <c r="N85" s="31">
        <v>0.46601941747572817</v>
      </c>
      <c r="O85" s="31">
        <v>0.34545454545454546</v>
      </c>
      <c r="P85" s="31">
        <v>0.453125</v>
      </c>
    </row>
    <row r="86" spans="1:16" x14ac:dyDescent="0.4">
      <c r="A86" s="33">
        <v>83</v>
      </c>
      <c r="B86" s="30">
        <v>-182.6</v>
      </c>
      <c r="C86" s="30">
        <v>-2.1999999999999997</v>
      </c>
      <c r="D86" s="35">
        <v>2.0240963855421685</v>
      </c>
      <c r="E86" s="31">
        <v>0.31325301204819278</v>
      </c>
      <c r="F86" s="31">
        <v>0.33734939759036142</v>
      </c>
      <c r="G86" s="31">
        <v>0.26244952893674295</v>
      </c>
      <c r="H86" s="31">
        <v>0.20053835800807537</v>
      </c>
      <c r="I86" s="32">
        <v>9418.461538461539</v>
      </c>
      <c r="J86" s="32">
        <v>-7719.4630872483222</v>
      </c>
      <c r="K86" s="31">
        <v>0.13253012048192772</v>
      </c>
      <c r="L86" s="31">
        <v>0.28129205921938089</v>
      </c>
      <c r="M86" s="31">
        <v>0.2234185733512786</v>
      </c>
      <c r="N86" s="31">
        <v>0.47368421052631576</v>
      </c>
      <c r="O86" s="31">
        <v>0.34337349397590361</v>
      </c>
      <c r="P86" s="31">
        <v>0.45128205128205129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2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  <row r="119" spans="1:16" x14ac:dyDescent="0.4">
      <c r="A119" s="33">
        <v>116</v>
      </c>
      <c r="B119" s="30">
        <v>199.79999999999987</v>
      </c>
      <c r="C119" s="30">
        <v>1.7224137931034471</v>
      </c>
      <c r="D119" s="35">
        <v>2.0086206896551726</v>
      </c>
      <c r="E119" s="31">
        <v>0.33620689655172414</v>
      </c>
      <c r="F119" s="31">
        <v>0.34482758620689657</v>
      </c>
      <c r="G119" s="31">
        <v>0.32340862422997946</v>
      </c>
      <c r="H119" s="31">
        <v>0.17556468172484599</v>
      </c>
      <c r="I119" s="32">
        <v>8164.4444444444443</v>
      </c>
      <c r="J119" s="32">
        <v>-7415.2046783625728</v>
      </c>
      <c r="K119" s="31">
        <v>7.7586206896551727E-2</v>
      </c>
      <c r="L119" s="31">
        <v>0.24640657084188911</v>
      </c>
      <c r="M119" s="31">
        <v>0.20739219712525667</v>
      </c>
      <c r="N119" s="31">
        <v>0.57499999999999996</v>
      </c>
      <c r="O119" s="31">
        <v>0.46039603960396042</v>
      </c>
      <c r="P119" s="31">
        <v>0.46349206349206351</v>
      </c>
    </row>
    <row r="120" spans="1:16" x14ac:dyDescent="0.4">
      <c r="A120" s="33">
        <v>117</v>
      </c>
      <c r="B120" s="30">
        <v>215.19999999999987</v>
      </c>
      <c r="C120" s="30">
        <v>1.8393162393162383</v>
      </c>
      <c r="D120" s="35">
        <v>2</v>
      </c>
      <c r="E120" s="31">
        <v>0.34188034188034189</v>
      </c>
      <c r="F120" s="31">
        <v>0.34188034188034189</v>
      </c>
      <c r="G120" s="31">
        <v>0.32388663967611336</v>
      </c>
      <c r="H120" s="31">
        <v>0.17408906882591094</v>
      </c>
      <c r="I120" s="32">
        <v>8156.25</v>
      </c>
      <c r="J120" s="32">
        <v>-7441.8604651162786</v>
      </c>
      <c r="K120" s="31">
        <v>7.6923076923076927E-2</v>
      </c>
      <c r="L120" s="31">
        <v>0.24595141700404857</v>
      </c>
      <c r="M120" s="31">
        <v>0.20748987854251011</v>
      </c>
      <c r="N120" s="31">
        <v>0.58024691358024694</v>
      </c>
      <c r="O120" s="31">
        <v>0.45853658536585368</v>
      </c>
      <c r="P120" s="31">
        <v>0.46562500000000001</v>
      </c>
    </row>
    <row r="121" spans="1:16" x14ac:dyDescent="0.4">
      <c r="A121" s="33">
        <v>118</v>
      </c>
      <c r="B121" s="30">
        <v>163.49999999999989</v>
      </c>
      <c r="C121" s="30">
        <v>1.385593220338982</v>
      </c>
      <c r="D121" s="35">
        <v>2.0084745762711864</v>
      </c>
      <c r="E121" s="31">
        <v>0.33898305084745761</v>
      </c>
      <c r="F121" s="31">
        <v>0.34745762711864409</v>
      </c>
      <c r="G121" s="31">
        <v>0.32293762575452717</v>
      </c>
      <c r="H121" s="31">
        <v>0.1750503018108652</v>
      </c>
      <c r="I121" s="32">
        <v>8137.071651090343</v>
      </c>
      <c r="J121" s="32">
        <v>-7538.5057471264372</v>
      </c>
      <c r="K121" s="31">
        <v>8.4745762711864403E-2</v>
      </c>
      <c r="L121" s="31">
        <v>0.24547283702213279</v>
      </c>
      <c r="M121" s="31">
        <v>0.20724346076458752</v>
      </c>
      <c r="N121" s="31">
        <v>0.57786885245901642</v>
      </c>
      <c r="O121" s="31">
        <v>0.46116504854368934</v>
      </c>
      <c r="P121" s="31">
        <v>0.46417445482866043</v>
      </c>
    </row>
    <row r="122" spans="1:16" x14ac:dyDescent="0.4">
      <c r="A122" s="33">
        <v>119</v>
      </c>
      <c r="B122" s="30">
        <v>130.99999999999989</v>
      </c>
      <c r="C122" s="30">
        <v>1.1008403361344528</v>
      </c>
      <c r="D122" s="35">
        <v>2.0168067226890756</v>
      </c>
      <c r="E122" s="31">
        <v>0.33613445378151263</v>
      </c>
      <c r="F122" s="31">
        <v>0.35294117647058826</v>
      </c>
      <c r="G122" s="31">
        <v>0.32100000000000001</v>
      </c>
      <c r="H122" s="31">
        <v>0.17599999999999999</v>
      </c>
      <c r="I122" s="32">
        <v>8137.071651090343</v>
      </c>
      <c r="J122" s="32">
        <v>-7543.75</v>
      </c>
      <c r="K122" s="31">
        <v>8.4033613445378158E-2</v>
      </c>
      <c r="L122" s="31">
        <v>0.245</v>
      </c>
      <c r="M122" s="31">
        <v>0.20599999999999999</v>
      </c>
      <c r="N122" s="31">
        <v>0.57551020408163267</v>
      </c>
      <c r="O122" s="31">
        <v>0.46116504854368934</v>
      </c>
      <c r="P122" s="31">
        <v>0.46417445482866043</v>
      </c>
    </row>
    <row r="123" spans="1:16" x14ac:dyDescent="0.4">
      <c r="A123" s="33">
        <v>120</v>
      </c>
      <c r="B123" s="30">
        <v>100.89999999999989</v>
      </c>
      <c r="C123" s="30">
        <v>0.84083333333333243</v>
      </c>
      <c r="D123" s="35">
        <v>2.0249999999999999</v>
      </c>
      <c r="E123" s="31">
        <v>0.33333333333333331</v>
      </c>
      <c r="F123" s="31">
        <v>0.35833333333333334</v>
      </c>
      <c r="G123" s="31">
        <v>0.3201189296333003</v>
      </c>
      <c r="H123" s="31">
        <v>0.17740336967294351</v>
      </c>
      <c r="I123" s="32">
        <v>8125.3869969040252</v>
      </c>
      <c r="J123" s="32">
        <v>-7568.1564245810059</v>
      </c>
      <c r="K123" s="31">
        <v>8.3333333333333329E-2</v>
      </c>
      <c r="L123" s="31">
        <v>0.24578790882061446</v>
      </c>
      <c r="M123" s="31">
        <v>0.20515361744301289</v>
      </c>
      <c r="N123" s="31">
        <v>0.57258064516129037</v>
      </c>
      <c r="O123" s="31">
        <v>0.46376811594202899</v>
      </c>
      <c r="P123" s="31">
        <v>0.46130030959752322</v>
      </c>
    </row>
    <row r="124" spans="1:16" x14ac:dyDescent="0.4">
      <c r="A124" s="33">
        <v>121</v>
      </c>
      <c r="B124" s="30">
        <v>52.599999999999895</v>
      </c>
      <c r="C124" s="30">
        <v>0.43471074380165203</v>
      </c>
      <c r="D124" s="35">
        <v>2.0330578512396693</v>
      </c>
      <c r="E124" s="31">
        <v>0.33057851239669422</v>
      </c>
      <c r="F124" s="31">
        <v>0.36363636363636365</v>
      </c>
      <c r="G124" s="31">
        <v>0.31760078662733532</v>
      </c>
      <c r="H124" s="31">
        <v>0.17699115044247787</v>
      </c>
      <c r="I124" s="32">
        <v>8125.3869969040252</v>
      </c>
      <c r="J124" s="32">
        <v>-7592.7777777777774</v>
      </c>
      <c r="K124" s="31">
        <v>9.0909090909090912E-2</v>
      </c>
      <c r="L124" s="31">
        <v>0.24582104228121926</v>
      </c>
      <c r="M124" s="31">
        <v>0.20353982300884957</v>
      </c>
      <c r="N124" s="31">
        <v>0.56799999999999995</v>
      </c>
      <c r="O124" s="31">
        <v>0.46376811594202899</v>
      </c>
      <c r="P124" s="31">
        <v>0.46130030959752322</v>
      </c>
    </row>
    <row r="125" spans="1:16" x14ac:dyDescent="0.4">
      <c r="A125" s="33">
        <v>122</v>
      </c>
      <c r="B125" s="30">
        <v>23.499999999999893</v>
      </c>
      <c r="C125" s="30">
        <v>0.19262295081967126</v>
      </c>
      <c r="D125" s="35">
        <v>2.040983606557377</v>
      </c>
      <c r="E125" s="31">
        <v>0.32786885245901637</v>
      </c>
      <c r="F125" s="31">
        <v>0.36885245901639346</v>
      </c>
      <c r="G125" s="31">
        <v>0.31548198636806229</v>
      </c>
      <c r="H125" s="31">
        <v>0.17624148003894841</v>
      </c>
      <c r="I125" s="32">
        <v>8125</v>
      </c>
      <c r="J125" s="32">
        <v>-7565.1933701657463</v>
      </c>
      <c r="K125" s="31">
        <v>9.0163934426229511E-2</v>
      </c>
      <c r="L125" s="31">
        <v>0.24732229795520935</v>
      </c>
      <c r="M125" s="31">
        <v>0.20155793573515093</v>
      </c>
      <c r="N125" s="31">
        <v>0.56299212598425197</v>
      </c>
      <c r="O125" s="31">
        <v>0.46376811594202899</v>
      </c>
      <c r="P125" s="31">
        <v>0.45987654320987653</v>
      </c>
    </row>
    <row r="126" spans="1:16" x14ac:dyDescent="0.4">
      <c r="A126" s="33">
        <v>123</v>
      </c>
      <c r="B126" s="30">
        <v>-3.3000000000001073</v>
      </c>
      <c r="C126" s="30">
        <v>-2.6829268292683801E-2</v>
      </c>
      <c r="D126" s="35">
        <v>2.0487804878048781</v>
      </c>
      <c r="E126" s="31">
        <v>0.32520325203252032</v>
      </c>
      <c r="F126" s="31">
        <v>0.37398373983739835</v>
      </c>
      <c r="G126" s="31">
        <v>0.31558567279767669</v>
      </c>
      <c r="H126" s="31">
        <v>0.17618586640851888</v>
      </c>
      <c r="I126" s="32">
        <v>8091.1042944785277</v>
      </c>
      <c r="J126" s="32">
        <v>-7611.5384615384619</v>
      </c>
      <c r="K126" s="31">
        <v>8.943089430894309E-2</v>
      </c>
      <c r="L126" s="31">
        <v>0.24878993223620524</v>
      </c>
      <c r="M126" s="31">
        <v>0.20038722168441434</v>
      </c>
      <c r="N126" s="31">
        <v>0.56420233463035019</v>
      </c>
      <c r="O126" s="31">
        <v>0.46376811594202899</v>
      </c>
      <c r="P126" s="31">
        <v>0.45705521472392641</v>
      </c>
    </row>
    <row r="127" spans="1:16" x14ac:dyDescent="0.4">
      <c r="A127" s="33">
        <v>124</v>
      </c>
      <c r="B127" s="30">
        <v>36.999999999999886</v>
      </c>
      <c r="C127" s="30">
        <v>0.29838709677419262</v>
      </c>
      <c r="D127" s="35">
        <v>2.0403225806451615</v>
      </c>
      <c r="E127" s="31">
        <v>0.33064516129032256</v>
      </c>
      <c r="F127" s="31">
        <v>0.37096774193548387</v>
      </c>
      <c r="G127" s="31">
        <v>0.31513409961685823</v>
      </c>
      <c r="H127" s="31">
        <v>0.17624521072796934</v>
      </c>
      <c r="I127" s="32">
        <v>8151.0638297872338</v>
      </c>
      <c r="J127" s="32">
        <v>-7560.869565217391</v>
      </c>
      <c r="K127" s="31">
        <v>8.8709677419354843E-2</v>
      </c>
      <c r="L127" s="31">
        <v>0.24904214559386972</v>
      </c>
      <c r="M127" s="31">
        <v>0.20019157088122605</v>
      </c>
      <c r="N127" s="31">
        <v>0.56153846153846154</v>
      </c>
      <c r="O127" s="31">
        <v>0.46411483253588515</v>
      </c>
      <c r="P127" s="31">
        <v>0.45896656534954405</v>
      </c>
    </row>
    <row r="128" spans="1:16" x14ac:dyDescent="0.4">
      <c r="A128" s="33">
        <v>125</v>
      </c>
      <c r="B128" s="30">
        <v>67.099999999999881</v>
      </c>
      <c r="C128" s="30">
        <v>0.53679999999999906</v>
      </c>
      <c r="D128" s="35">
        <v>2.032</v>
      </c>
      <c r="E128" s="31">
        <v>0.33600000000000002</v>
      </c>
      <c r="F128" s="31">
        <v>0.36799999999999999</v>
      </c>
      <c r="G128" s="31">
        <v>0.31523809523809526</v>
      </c>
      <c r="H128" s="31">
        <v>0.1761904761904762</v>
      </c>
      <c r="I128" s="32">
        <v>8162.2356495468275</v>
      </c>
      <c r="J128" s="32">
        <v>-7541.0810810810808</v>
      </c>
      <c r="K128" s="31">
        <v>8.7999999999999995E-2</v>
      </c>
      <c r="L128" s="31">
        <v>0.24857142857142858</v>
      </c>
      <c r="M128" s="31">
        <v>0.20095238095238097</v>
      </c>
      <c r="N128" s="31">
        <v>0.56321839080459768</v>
      </c>
      <c r="O128" s="31">
        <v>0.46445497630331756</v>
      </c>
      <c r="P128" s="31">
        <v>0.45921450151057402</v>
      </c>
    </row>
    <row r="129" spans="1:16" x14ac:dyDescent="0.4">
      <c r="A129" s="33">
        <v>126</v>
      </c>
      <c r="B129" s="30">
        <v>117.49999999999989</v>
      </c>
      <c r="C129" s="30">
        <v>0.93253968253968167</v>
      </c>
      <c r="D129" s="35">
        <v>2.0238095238095237</v>
      </c>
      <c r="E129" s="31">
        <v>0.34126984126984128</v>
      </c>
      <c r="F129" s="31">
        <v>0.36507936507936506</v>
      </c>
      <c r="G129" s="31">
        <v>0.31613508442776733</v>
      </c>
      <c r="H129" s="31">
        <v>0.17354596622889307</v>
      </c>
      <c r="I129" s="32">
        <v>8162.9080118694365</v>
      </c>
      <c r="J129" s="32">
        <v>-7541.0810810810808</v>
      </c>
      <c r="K129" s="31">
        <v>8.7301587301587297E-2</v>
      </c>
      <c r="L129" s="31">
        <v>0.24765478424015008</v>
      </c>
      <c r="M129" s="31">
        <v>0.19981238273921201</v>
      </c>
      <c r="N129" s="31">
        <v>0.56439393939393945</v>
      </c>
      <c r="O129" s="31">
        <v>0.46478873239436619</v>
      </c>
      <c r="P129" s="31">
        <v>0.45697329376854601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5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  <row r="143" spans="1:16" x14ac:dyDescent="0.4">
      <c r="A143" s="33">
        <v>140</v>
      </c>
      <c r="B143" s="30">
        <v>6.3948846218409017E-14</v>
      </c>
      <c r="C143" s="30">
        <v>1.5225915766287861E-16</v>
      </c>
      <c r="D143" s="35">
        <v>1.9976190476190476</v>
      </c>
      <c r="E143" s="31">
        <v>0.33571428571428569</v>
      </c>
      <c r="F143" s="31">
        <v>0.33333333333333331</v>
      </c>
      <c r="G143" s="31">
        <v>0.29395452024403773</v>
      </c>
      <c r="H143" s="31">
        <v>0.16278424847476428</v>
      </c>
      <c r="I143" s="32">
        <v>8138.7735849056608</v>
      </c>
      <c r="J143" s="32">
        <v>-7675.1277683134585</v>
      </c>
      <c r="K143" s="31">
        <v>8.8095238095238101E-2</v>
      </c>
      <c r="L143" s="31">
        <v>0.24431503050471437</v>
      </c>
      <c r="M143" s="31">
        <v>0.22628951747088186</v>
      </c>
      <c r="N143" s="31">
        <v>0.52099886492622016</v>
      </c>
      <c r="O143" s="31">
        <v>0.40563725490196079</v>
      </c>
      <c r="P143" s="31">
        <v>0.43962264150943398</v>
      </c>
    </row>
    <row r="144" spans="1:16" x14ac:dyDescent="0.4">
      <c r="A144" s="33">
        <v>141</v>
      </c>
      <c r="B144" s="30">
        <v>6.3948846218409017E-14</v>
      </c>
      <c r="C144" s="30">
        <v>1.5117930548087238E-16</v>
      </c>
      <c r="D144" s="35">
        <v>1.9976359338061467</v>
      </c>
      <c r="E144" s="31">
        <v>0.33569739952718675</v>
      </c>
      <c r="F144" s="31">
        <v>0.33333333333333331</v>
      </c>
      <c r="G144" s="31">
        <v>0.29385964912280704</v>
      </c>
      <c r="H144" s="31">
        <v>0.16228070175438597</v>
      </c>
      <c r="I144" s="32">
        <v>8150.9328358208959</v>
      </c>
      <c r="J144" s="32">
        <v>-7670.6081081081084</v>
      </c>
      <c r="K144" s="31">
        <v>8.7470449172576833E-2</v>
      </c>
      <c r="L144" s="31">
        <v>0.24561403508771928</v>
      </c>
      <c r="M144" s="31">
        <v>0.22532894736842105</v>
      </c>
      <c r="N144" s="31">
        <v>0.5223214285714286</v>
      </c>
      <c r="O144" s="31">
        <v>0.4051094890510949</v>
      </c>
      <c r="P144" s="31">
        <v>0.4412313432835821</v>
      </c>
    </row>
    <row r="145" spans="1:16" x14ac:dyDescent="0.4">
      <c r="A145" s="33">
        <v>142</v>
      </c>
      <c r="B145" s="30">
        <v>4.9737991503207013E-14</v>
      </c>
      <c r="C145" s="30">
        <v>1.167558485990775E-16</v>
      </c>
      <c r="D145" s="35">
        <v>1.9976525821596245</v>
      </c>
      <c r="E145" s="31">
        <v>0.33568075117370894</v>
      </c>
      <c r="F145" s="31">
        <v>0.33333333333333331</v>
      </c>
      <c r="G145" s="31">
        <v>0.29405346426623025</v>
      </c>
      <c r="H145" s="31">
        <v>0.16257501363884341</v>
      </c>
      <c r="I145" s="32">
        <v>8158.9981447124301</v>
      </c>
      <c r="J145" s="32">
        <v>-7682.2147651006708</v>
      </c>
      <c r="K145" s="31">
        <v>8.9201877934272297E-2</v>
      </c>
      <c r="L145" s="31">
        <v>0.24577195853791597</v>
      </c>
      <c r="M145" s="31">
        <v>0.22585924713584288</v>
      </c>
      <c r="N145" s="31">
        <v>0.52275249722530526</v>
      </c>
      <c r="O145" s="31">
        <v>0.40579710144927539</v>
      </c>
      <c r="P145" s="31">
        <v>0.44063079777365494</v>
      </c>
    </row>
    <row r="146" spans="1:16" x14ac:dyDescent="0.4">
      <c r="A146" s="33">
        <v>143</v>
      </c>
      <c r="B146" s="30">
        <v>4.9737991503207013E-14</v>
      </c>
      <c r="C146" s="30">
        <v>1.1593937413334967E-16</v>
      </c>
      <c r="D146" s="35">
        <v>1.9976689976689976</v>
      </c>
      <c r="E146" s="31">
        <v>0.33566433566433568</v>
      </c>
      <c r="F146" s="31">
        <v>0.33333333333333331</v>
      </c>
      <c r="G146" s="31">
        <v>0.2939739413680782</v>
      </c>
      <c r="H146" s="31">
        <v>0.16259500542888164</v>
      </c>
      <c r="I146" s="32">
        <v>8151.9852262234535</v>
      </c>
      <c r="J146" s="32">
        <v>-7683.8063439065108</v>
      </c>
      <c r="K146" s="31">
        <v>8.8578088578088576E-2</v>
      </c>
      <c r="L146" s="31">
        <v>0.24619978284473398</v>
      </c>
      <c r="M146" s="31">
        <v>0.22529858849077089</v>
      </c>
      <c r="N146" s="31">
        <v>0.52260198456449836</v>
      </c>
      <c r="O146" s="31">
        <v>0.40481927710843374</v>
      </c>
      <c r="P146" s="31">
        <v>0.44044321329639891</v>
      </c>
    </row>
    <row r="147" spans="1:16" x14ac:dyDescent="0.4">
      <c r="A147" s="33">
        <v>144</v>
      </c>
      <c r="B147" s="30">
        <v>4.7961634663806763E-14</v>
      </c>
      <c r="C147" s="30">
        <v>1.1102230246251565E-16</v>
      </c>
      <c r="D147" s="35">
        <v>1.9976851851851851</v>
      </c>
      <c r="E147" s="31">
        <v>0.33564814814814814</v>
      </c>
      <c r="F147" s="31">
        <v>0.33333333333333331</v>
      </c>
      <c r="G147" s="31">
        <v>0.29399083804904336</v>
      </c>
      <c r="H147" s="31">
        <v>0.16302883319859876</v>
      </c>
      <c r="I147" s="32">
        <v>8140.0549954170483</v>
      </c>
      <c r="J147" s="32">
        <v>-7677.6859504132235</v>
      </c>
      <c r="K147" s="31">
        <v>8.7962962962962965E-2</v>
      </c>
      <c r="L147" s="31">
        <v>0.24656426839126919</v>
      </c>
      <c r="M147" s="31">
        <v>0.2255456750202102</v>
      </c>
      <c r="N147" s="31">
        <v>0.52240437158469943</v>
      </c>
      <c r="O147" s="31">
        <v>0.4050179211469534</v>
      </c>
      <c r="P147" s="31">
        <v>0.43904674610449129</v>
      </c>
    </row>
    <row r="148" spans="1:16" x14ac:dyDescent="0.4">
      <c r="A148" s="33">
        <v>145</v>
      </c>
      <c r="B148" s="30">
        <v>5.3290705182007514E-14</v>
      </c>
      <c r="C148" s="30">
        <v>1.2250736823450003E-16</v>
      </c>
      <c r="D148" s="35">
        <v>1.9977011494252874</v>
      </c>
      <c r="E148" s="31">
        <v>0.335632183908046</v>
      </c>
      <c r="F148" s="31">
        <v>0.33333333333333331</v>
      </c>
      <c r="G148" s="31">
        <v>0.29344042838018741</v>
      </c>
      <c r="H148" s="31">
        <v>0.16251673360107094</v>
      </c>
      <c r="I148" s="32">
        <v>8162.7737226277368</v>
      </c>
      <c r="J148" s="32">
        <v>-7685.3377265238878</v>
      </c>
      <c r="K148" s="31">
        <v>8.9655172413793102E-2</v>
      </c>
      <c r="L148" s="31">
        <v>0.24712182061579652</v>
      </c>
      <c r="M148" s="31">
        <v>0.22436412315930387</v>
      </c>
      <c r="N148" s="31">
        <v>0.52112676056338025</v>
      </c>
      <c r="O148" s="31">
        <v>0.40453460620525061</v>
      </c>
      <c r="P148" s="31">
        <v>0.43978102189781021</v>
      </c>
    </row>
    <row r="149" spans="1:16" x14ac:dyDescent="0.4">
      <c r="A149" s="33">
        <v>146</v>
      </c>
      <c r="B149" s="30">
        <v>5.5067062021407764E-14</v>
      </c>
      <c r="C149" s="30">
        <v>1.2572388589362503E-16</v>
      </c>
      <c r="D149" s="35">
        <v>1.9977168949771689</v>
      </c>
      <c r="E149" s="31">
        <v>0.33561643835616439</v>
      </c>
      <c r="F149" s="31">
        <v>0.33333333333333331</v>
      </c>
      <c r="G149" s="31">
        <v>0.29322709163346611</v>
      </c>
      <c r="H149" s="31">
        <v>0.16228419654714477</v>
      </c>
      <c r="I149" s="32">
        <v>8172.916666666667</v>
      </c>
      <c r="J149" s="32">
        <v>-7684.9427168576103</v>
      </c>
      <c r="K149" s="31">
        <v>8.9041095890410954E-2</v>
      </c>
      <c r="L149" s="31">
        <v>0.24674634794156705</v>
      </c>
      <c r="M149" s="31">
        <v>0.22470119521912352</v>
      </c>
      <c r="N149" s="31">
        <v>0.5209903121636168</v>
      </c>
      <c r="O149" s="31">
        <v>0.40307328605200948</v>
      </c>
      <c r="P149" s="31">
        <v>0.44021739130434784</v>
      </c>
    </row>
    <row r="150" spans="1:16" x14ac:dyDescent="0.4">
      <c r="A150" s="33">
        <v>147</v>
      </c>
      <c r="B150" s="30">
        <v>4.9737991503207013E-14</v>
      </c>
      <c r="C150" s="30">
        <v>1.1278456123176193E-16</v>
      </c>
      <c r="D150" s="35">
        <v>1.9977324263038549</v>
      </c>
      <c r="E150" s="31">
        <v>0.33560090702947848</v>
      </c>
      <c r="F150" s="31">
        <v>0.33333333333333331</v>
      </c>
      <c r="G150" s="31">
        <v>0.29341792228390168</v>
      </c>
      <c r="H150" s="31">
        <v>0.16283372984403913</v>
      </c>
      <c r="I150" s="32">
        <v>8176.666666666667</v>
      </c>
      <c r="J150" s="32">
        <v>-7695.9415584415583</v>
      </c>
      <c r="K150" s="31">
        <v>8.8435374149659865E-2</v>
      </c>
      <c r="L150" s="31">
        <v>0.24662965900079303</v>
      </c>
      <c r="M150" s="31">
        <v>0.22495374041765795</v>
      </c>
      <c r="N150" s="31">
        <v>0.52197213290460875</v>
      </c>
      <c r="O150" s="31">
        <v>0.40305522914218567</v>
      </c>
      <c r="P150" s="31">
        <v>0.43873873873873875</v>
      </c>
    </row>
    <row r="151" spans="1:16" x14ac:dyDescent="0.4">
      <c r="A151" s="33">
        <v>148</v>
      </c>
      <c r="B151" s="30">
        <v>4.9737991503207013E-14</v>
      </c>
      <c r="C151" s="30">
        <v>1.1202250338560137E-16</v>
      </c>
      <c r="D151" s="35">
        <v>1.9977477477477477</v>
      </c>
      <c r="E151" s="31">
        <v>0.3355855855855856</v>
      </c>
      <c r="F151" s="31">
        <v>0.33333333333333331</v>
      </c>
      <c r="G151" s="31">
        <v>0.29350104821802936</v>
      </c>
      <c r="H151" s="31">
        <v>0.16299790356394131</v>
      </c>
      <c r="I151" s="32">
        <v>8172.5</v>
      </c>
      <c r="J151" s="32">
        <v>-7670.5787781350482</v>
      </c>
      <c r="K151" s="31">
        <v>9.0090090090090086E-2</v>
      </c>
      <c r="L151" s="31">
        <v>0.24685534591194969</v>
      </c>
      <c r="M151" s="31">
        <v>0.22484276729559749</v>
      </c>
      <c r="N151" s="31">
        <v>0.52016985138004246</v>
      </c>
      <c r="O151" s="31">
        <v>0.40675990675990675</v>
      </c>
      <c r="P151" s="31">
        <v>0.43839285714285714</v>
      </c>
    </row>
    <row r="152" spans="1:16" x14ac:dyDescent="0.4">
      <c r="A152" s="33">
        <v>149</v>
      </c>
      <c r="B152" s="30">
        <v>4.9737991503207013E-14</v>
      </c>
      <c r="C152" s="30">
        <v>1.1127067450381882E-16</v>
      </c>
      <c r="D152" s="35">
        <v>1.9977628635346756</v>
      </c>
      <c r="E152" s="31">
        <v>0.33557046979865773</v>
      </c>
      <c r="F152" s="31">
        <v>0.33333333333333331</v>
      </c>
      <c r="G152" s="31">
        <v>0.29342723004694837</v>
      </c>
      <c r="H152" s="31">
        <v>0.16327595200834638</v>
      </c>
      <c r="I152" s="32">
        <v>8166.3111111111111</v>
      </c>
      <c r="J152" s="32">
        <v>-7656.5495207667727</v>
      </c>
      <c r="K152" s="31">
        <v>8.9485458612975396E-2</v>
      </c>
      <c r="L152" s="31">
        <v>0.24621804903495045</v>
      </c>
      <c r="M152" s="31">
        <v>0.22535211267605634</v>
      </c>
      <c r="N152" s="31">
        <v>0.5201271186440678</v>
      </c>
      <c r="O152" s="31">
        <v>0.40856481481481483</v>
      </c>
      <c r="P152" s="31">
        <v>0.43733333333333335</v>
      </c>
    </row>
    <row r="153" spans="1:16" x14ac:dyDescent="0.4">
      <c r="A153" s="33">
        <v>150</v>
      </c>
      <c r="B153" s="30">
        <v>4.6185277824406512E-14</v>
      </c>
      <c r="C153" s="30">
        <v>1.0263395072090336E-16</v>
      </c>
      <c r="D153" s="35">
        <v>1.9977777777777779</v>
      </c>
      <c r="E153" s="31">
        <v>0.33555555555555555</v>
      </c>
      <c r="F153" s="31">
        <v>0.33333333333333331</v>
      </c>
      <c r="G153" s="31">
        <v>0.29314786192684184</v>
      </c>
      <c r="H153" s="31">
        <v>0.16357547655847501</v>
      </c>
      <c r="I153" s="32">
        <v>8163.4446397188049</v>
      </c>
      <c r="J153" s="32">
        <v>-7676.6929133858266</v>
      </c>
      <c r="K153" s="31">
        <v>8.8888888888888892E-2</v>
      </c>
      <c r="L153" s="31">
        <v>0.24574961360123648</v>
      </c>
      <c r="M153" s="31">
        <v>0.223338485316847</v>
      </c>
      <c r="N153" s="31">
        <v>0.5220125786163522</v>
      </c>
      <c r="O153" s="31">
        <v>0.40830449826989618</v>
      </c>
      <c r="P153" s="31">
        <v>0.43585237258347981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2021-01-25T08:42:01Z</dcterms:modified>
</cp:coreProperties>
</file>