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15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16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7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8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19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1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2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3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24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25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6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27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28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"/>
    </mc:Choice>
  </mc:AlternateContent>
  <xr:revisionPtr revIDLastSave="0" documentId="13_ncr:1_{8EED4922-C61B-43DC-B94F-324FF5CBBEEB}" xr6:coauthVersionLast="45" xr6:coauthVersionMax="45" xr10:uidLastSave="{00000000-0000-0000-0000-000000000000}"/>
  <bookViews>
    <workbookView xWindow="28680" yWindow="-120" windowWidth="29040" windowHeight="1599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848" r:id="rId6"/>
    <sheet name="だいち" sheetId="6850" r:id="rId7"/>
    <sheet name="れんたろう" sheetId="6852" r:id="rId8"/>
    <sheet name="たかの" sheetId="6854" r:id="rId9"/>
    <sheet name="まっつん" sheetId="6856" r:id="rId10"/>
    <sheet name="いちかわ" sheetId="6858" r:id="rId11"/>
    <sheet name="ただ" sheetId="6860" r:id="rId12"/>
    <sheet name="たか" sheetId="6862" r:id="rId13"/>
    <sheet name="のり" sheetId="6864" r:id="rId14"/>
    <sheet name="りくと" sheetId="6866" r:id="rId15"/>
    <sheet name="わさび" sheetId="6868" r:id="rId16"/>
    <sheet name="わさび2" sheetId="6869" state="hidden" r:id="rId17"/>
    <sheet name="りくと2" sheetId="6867" state="hidden" r:id="rId18"/>
    <sheet name="のり2" sheetId="6865" state="hidden" r:id="rId19"/>
    <sheet name="たか2" sheetId="6863" state="hidden" r:id="rId20"/>
    <sheet name="ただ2" sheetId="6861" state="hidden" r:id="rId21"/>
    <sheet name="いちかわ2" sheetId="6859" state="hidden" r:id="rId22"/>
    <sheet name="まっつん2" sheetId="6857" state="hidden" r:id="rId23"/>
    <sheet name="たかの2" sheetId="6855" state="hidden" r:id="rId24"/>
    <sheet name="れんたろう2" sheetId="6853" state="hidden" r:id="rId25"/>
    <sheet name="だいち2" sheetId="6851" state="hidden" r:id="rId26"/>
    <sheet name="全体2" sheetId="6849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リーチ率" sheetId="3524" state="hidden" r:id="rId38"/>
    <sheet name="副露率" sheetId="3525" state="hidden" r:id="rId39"/>
    <sheet name="リーチ成功率" sheetId="4841" state="hidden" r:id="rId40"/>
    <sheet name="副露成功率" sheetId="3527" state="hidden" r:id="rId41"/>
    <sheet name="ツモ率" sheetId="3528" state="hidden" r:id="rId42"/>
  </sheets>
  <definedNames>
    <definedName name="アガリ数" localSheetId="3">Template1!$B$20</definedName>
    <definedName name="アガリ数" localSheetId="10">いちかわ!$B$20</definedName>
    <definedName name="アガリ数" localSheetId="6">だいち!$B$20</definedName>
    <definedName name="アガリ数" localSheetId="12">たか!$B$20</definedName>
    <definedName name="アガリ数" localSheetId="8">たかの!$B$20</definedName>
    <definedName name="アガリ数" localSheetId="11">ただ!$B$20</definedName>
    <definedName name="アガリ数" localSheetId="13">のり!$B$20</definedName>
    <definedName name="アガリ数" localSheetId="9">まっつん!$B$20</definedName>
    <definedName name="アガリ数" localSheetId="14">りくと!$B$20</definedName>
    <definedName name="アガリ数" localSheetId="7">れんたろう!$B$20</definedName>
    <definedName name="アガリ数" localSheetId="15">わさび!$B$20</definedName>
    <definedName name="アガリ数" localSheetId="5">全体!$B$20</definedName>
    <definedName name="アガリ率" localSheetId="3">Template1!$C$20</definedName>
    <definedName name="アガリ率" localSheetId="10">いちかわ!$C$20</definedName>
    <definedName name="アガリ率" localSheetId="6">だいち!$C$20</definedName>
    <definedName name="アガリ率" localSheetId="12">たか!$C$20</definedName>
    <definedName name="アガリ率" localSheetId="8">たかの!$C$20</definedName>
    <definedName name="アガリ率" localSheetId="11">ただ!$C$20</definedName>
    <definedName name="アガリ率" localSheetId="13">のり!$C$20</definedName>
    <definedName name="アガリ率" localSheetId="9">まっつん!$C$20</definedName>
    <definedName name="アガリ率" localSheetId="14">りくと!$C$20</definedName>
    <definedName name="アガリ率" localSheetId="7">れんたろう!$C$20</definedName>
    <definedName name="アガリ率" localSheetId="15">わさび!$C$20</definedName>
    <definedName name="アガリ率" localSheetId="5">全体!$C$20</definedName>
    <definedName name="ダマアガリ数" localSheetId="3">Template1!$B$26</definedName>
    <definedName name="ダマアガリ数" localSheetId="10">いちかわ!$B$26</definedName>
    <definedName name="ダマアガリ数" localSheetId="6">だいち!$B$26</definedName>
    <definedName name="ダマアガリ数" localSheetId="12">たか!$B$26</definedName>
    <definedName name="ダマアガリ数" localSheetId="8">たかの!$B$26</definedName>
    <definedName name="ダマアガリ数" localSheetId="11">ただ!$B$26</definedName>
    <definedName name="ダマアガリ数" localSheetId="13">のり!$B$26</definedName>
    <definedName name="ダマアガリ数" localSheetId="9">まっつん!$B$26</definedName>
    <definedName name="ダマアガリ数" localSheetId="14">りくと!$B$26</definedName>
    <definedName name="ダマアガリ数" localSheetId="7">れんたろう!$B$26</definedName>
    <definedName name="ダマアガリ数" localSheetId="15">わさび!$B$26</definedName>
    <definedName name="ダマアガリ数" localSheetId="5">全体!$B$26</definedName>
    <definedName name="ダマアガリ率" localSheetId="3">Template1!$C$26</definedName>
    <definedName name="ダマアガリ率" localSheetId="10">いちかわ!$C$26</definedName>
    <definedName name="ダマアガリ率" localSheetId="6">だいち!$C$26</definedName>
    <definedName name="ダマアガリ率" localSheetId="12">たか!$C$26</definedName>
    <definedName name="ダマアガリ率" localSheetId="8">たかの!$C$26</definedName>
    <definedName name="ダマアガリ率" localSheetId="11">ただ!$C$26</definedName>
    <definedName name="ダマアガリ率" localSheetId="13">のり!$C$26</definedName>
    <definedName name="ダマアガリ率" localSheetId="9">まっつん!$C$26</definedName>
    <definedName name="ダマアガリ率" localSheetId="14">りくと!$C$26</definedName>
    <definedName name="ダマアガリ率" localSheetId="7">れんたろう!$C$26</definedName>
    <definedName name="ダマアガリ率" localSheetId="15">わさび!$C$26</definedName>
    <definedName name="ダマアガリ率" localSheetId="5">全体!$C$26</definedName>
    <definedName name="チョンボ数" localSheetId="3">Template1!$B$35</definedName>
    <definedName name="チョンボ数" localSheetId="10">いちかわ!$B$35</definedName>
    <definedName name="チョンボ数" localSheetId="6">だいち!$B$35</definedName>
    <definedName name="チョンボ数" localSheetId="12">たか!$B$35</definedName>
    <definedName name="チョンボ数" localSheetId="8">たかの!$B$35</definedName>
    <definedName name="チョンボ数" localSheetId="11">ただ!$B$35</definedName>
    <definedName name="チョンボ数" localSheetId="13">のり!$B$35</definedName>
    <definedName name="チョンボ数" localSheetId="9">まっつん!$B$35</definedName>
    <definedName name="チョンボ数" localSheetId="14">りくと!$B$35</definedName>
    <definedName name="チョンボ数" localSheetId="7">れんたろう!$B$35</definedName>
    <definedName name="チョンボ数" localSheetId="15">わさび!$B$35</definedName>
    <definedName name="チョンボ数" localSheetId="5">全体!$B$35</definedName>
    <definedName name="チョンボ率" localSheetId="3">Template1!$C$35</definedName>
    <definedName name="チョンボ率" localSheetId="10">いちかわ!$C$35</definedName>
    <definedName name="チョンボ率" localSheetId="6">だいち!$C$35</definedName>
    <definedName name="チョンボ率" localSheetId="12">たか!$C$35</definedName>
    <definedName name="チョンボ率" localSheetId="8">たかの!$C$35</definedName>
    <definedName name="チョンボ率" localSheetId="11">ただ!$C$35</definedName>
    <definedName name="チョンボ率" localSheetId="13">のり!$C$35</definedName>
    <definedName name="チョンボ率" localSheetId="9">まっつん!$C$35</definedName>
    <definedName name="チョンボ率" localSheetId="14">りくと!$C$35</definedName>
    <definedName name="チョンボ率" localSheetId="7">れんたろう!$C$35</definedName>
    <definedName name="チョンボ率" localSheetId="15">わさび!$C$35</definedName>
    <definedName name="チョンボ率" localSheetId="5">全体!$C$35</definedName>
    <definedName name="ツモ数" localSheetId="3">Template1!$B$22</definedName>
    <definedName name="ツモ数" localSheetId="10">いちかわ!$B$22</definedName>
    <definedName name="ツモ数" localSheetId="6">だいち!$B$22</definedName>
    <definedName name="ツモ数" localSheetId="12">たか!$B$22</definedName>
    <definedName name="ツモ数" localSheetId="8">たかの!$B$22</definedName>
    <definedName name="ツモ数" localSheetId="11">ただ!$B$22</definedName>
    <definedName name="ツモ数" localSheetId="13">のり!$B$22</definedName>
    <definedName name="ツモ数" localSheetId="9">まっつん!$B$22</definedName>
    <definedName name="ツモ数" localSheetId="14">りくと!$B$22</definedName>
    <definedName name="ツモ数" localSheetId="7">れんたろう!$B$22</definedName>
    <definedName name="ツモ数" localSheetId="15">わさび!$B$22</definedName>
    <definedName name="ツモ数" localSheetId="5">全体!$B$22</definedName>
    <definedName name="ツモ率" localSheetId="3">Template1!$C$22</definedName>
    <definedName name="ツモ率" localSheetId="10">いちかわ!$C$22</definedName>
    <definedName name="ツモ率" localSheetId="6">だいち!$C$22</definedName>
    <definedName name="ツモ率" localSheetId="12">たか!$C$22</definedName>
    <definedName name="ツモ率" localSheetId="8">たかの!$C$22</definedName>
    <definedName name="ツモ率" localSheetId="11">ただ!$C$22</definedName>
    <definedName name="ツモ率" localSheetId="13">のり!$C$22</definedName>
    <definedName name="ツモ率" localSheetId="9">まっつん!$C$22</definedName>
    <definedName name="ツモ率" localSheetId="14">りくと!$C$22</definedName>
    <definedName name="ツモ率" localSheetId="7">れんたろう!$C$22</definedName>
    <definedName name="ツモ率" localSheetId="15">わさび!$C$22</definedName>
    <definedName name="ツモ率" localSheetId="5">全体!$C$22</definedName>
    <definedName name="トップ数" localSheetId="3">Template1!$B$8</definedName>
    <definedName name="トップ数" localSheetId="10">いちかわ!$B$8</definedName>
    <definedName name="トップ数" localSheetId="6">だいち!$B$8</definedName>
    <definedName name="トップ数" localSheetId="12">たか!$B$8</definedName>
    <definedName name="トップ数" localSheetId="8">たかの!$B$8</definedName>
    <definedName name="トップ数" localSheetId="11">ただ!$B$8</definedName>
    <definedName name="トップ数" localSheetId="13">のり!$B$8</definedName>
    <definedName name="トップ数" localSheetId="9">まっつん!$B$8</definedName>
    <definedName name="トップ数" localSheetId="14">りくと!$B$8</definedName>
    <definedName name="トップ数" localSheetId="7">れんたろう!$B$8</definedName>
    <definedName name="トップ数" localSheetId="15">わさび!$B$8</definedName>
    <definedName name="トップ数" localSheetId="5">全体!$B$8</definedName>
    <definedName name="トップ率" localSheetId="3">Template1!$C$8</definedName>
    <definedName name="トップ率" localSheetId="10">いちかわ!$C$8</definedName>
    <definedName name="トップ率" localSheetId="6">だいち!$C$8</definedName>
    <definedName name="トップ率" localSheetId="12">たか!$C$8</definedName>
    <definedName name="トップ率" localSheetId="8">たかの!$C$8</definedName>
    <definedName name="トップ率" localSheetId="11">ただ!$C$8</definedName>
    <definedName name="トップ率" localSheetId="13">のり!$C$8</definedName>
    <definedName name="トップ率" localSheetId="9">まっつん!$C$8</definedName>
    <definedName name="トップ率" localSheetId="14">りくと!$C$8</definedName>
    <definedName name="トップ率" localSheetId="7">れんたろう!$C$8</definedName>
    <definedName name="トップ率" localSheetId="15">わさび!$C$8</definedName>
    <definedName name="トップ率" localSheetId="5">全体!$C$8</definedName>
    <definedName name="バランス" localSheetId="10">いちかわ!$B$14</definedName>
    <definedName name="バランス" localSheetId="6">だいち!$B$14</definedName>
    <definedName name="バランス" localSheetId="12">たか!$B$14</definedName>
    <definedName name="バランス" localSheetId="8">たかの!$B$14</definedName>
    <definedName name="バランス" localSheetId="11">ただ!$B$14</definedName>
    <definedName name="バランス" localSheetId="13">のり!$B$14</definedName>
    <definedName name="バランス" localSheetId="9">まっつん!$B$14</definedName>
    <definedName name="バランス" localSheetId="14">りくと!$B$14</definedName>
    <definedName name="バランス" localSheetId="7">れんたろう!$B$14</definedName>
    <definedName name="バランス" localSheetId="15">わさび!$B$14</definedName>
    <definedName name="バランス" localSheetId="5">全体!$B$14</definedName>
    <definedName name="バランス">Template1!$B$14</definedName>
    <definedName name="ふっとび数" localSheetId="3">Template1!$B$15</definedName>
    <definedName name="ふっとび数" localSheetId="10">いちかわ!$B$15</definedName>
    <definedName name="ふっとび数" localSheetId="6">だいち!$B$15</definedName>
    <definedName name="ふっとび数" localSheetId="12">たか!$B$15</definedName>
    <definedName name="ふっとび数" localSheetId="8">たかの!$B$15</definedName>
    <definedName name="ふっとび数" localSheetId="11">ただ!$B$15</definedName>
    <definedName name="ふっとび数" localSheetId="13">のり!$B$15</definedName>
    <definedName name="ふっとび数" localSheetId="9">まっつん!$B$15</definedName>
    <definedName name="ふっとび数" localSheetId="14">りくと!$B$15</definedName>
    <definedName name="ふっとび数" localSheetId="7">れんたろう!$B$15</definedName>
    <definedName name="ふっとび数" localSheetId="15">わさび!$B$15</definedName>
    <definedName name="ふっとび数" localSheetId="5">全体!$B$15</definedName>
    <definedName name="ふっとび率" localSheetId="3">Template1!$C$15</definedName>
    <definedName name="ふっとび率" localSheetId="10">いちかわ!$C$15</definedName>
    <definedName name="ふっとび率" localSheetId="6">だいち!$C$15</definedName>
    <definedName name="ふっとび率" localSheetId="12">たか!$C$15</definedName>
    <definedName name="ふっとび率" localSheetId="8">たかの!$C$15</definedName>
    <definedName name="ふっとび率" localSheetId="11">ただ!$C$15</definedName>
    <definedName name="ふっとび率" localSheetId="13">のり!$C$15</definedName>
    <definedName name="ふっとび率" localSheetId="9">まっつん!$C$15</definedName>
    <definedName name="ふっとび率" localSheetId="14">りくと!$C$15</definedName>
    <definedName name="ふっとび率" localSheetId="7">れんたろう!$C$15</definedName>
    <definedName name="ふっとび率" localSheetId="15">わさび!$C$15</definedName>
    <definedName name="ふっとび率" localSheetId="5">全体!$C$15</definedName>
    <definedName name="ラス数" localSheetId="3">Template1!$B$10</definedName>
    <definedName name="ラス数" localSheetId="10">いちかわ!$B$10</definedName>
    <definedName name="ラス数" localSheetId="6">だいち!$B$10</definedName>
    <definedName name="ラス数" localSheetId="12">たか!$B$10</definedName>
    <definedName name="ラス数" localSheetId="8">たかの!$B$10</definedName>
    <definedName name="ラス数" localSheetId="11">ただ!$B$10</definedName>
    <definedName name="ラス数" localSheetId="13">のり!$B$10</definedName>
    <definedName name="ラス数" localSheetId="9">まっつん!$B$10</definedName>
    <definedName name="ラス数" localSheetId="14">りくと!$B$10</definedName>
    <definedName name="ラス数" localSheetId="7">れんたろう!$B$10</definedName>
    <definedName name="ラス数" localSheetId="15">わさび!$B$10</definedName>
    <definedName name="ラス数" localSheetId="5">全体!$B$10</definedName>
    <definedName name="ラス率" localSheetId="3">Template1!$C$10</definedName>
    <definedName name="ラス率" localSheetId="10">いちかわ!$C$10</definedName>
    <definedName name="ラス率" localSheetId="6">だいち!$C$10</definedName>
    <definedName name="ラス率" localSheetId="12">たか!$C$10</definedName>
    <definedName name="ラス率" localSheetId="8">たかの!$C$10</definedName>
    <definedName name="ラス率" localSheetId="11">ただ!$C$10</definedName>
    <definedName name="ラス率" localSheetId="13">のり!$C$10</definedName>
    <definedName name="ラス率" localSheetId="9">まっつん!$C$10</definedName>
    <definedName name="ラス率" localSheetId="14">りくと!$C$10</definedName>
    <definedName name="ラス率" localSheetId="7">れんたろう!$C$10</definedName>
    <definedName name="ラス率" localSheetId="15">わさび!$C$10</definedName>
    <definedName name="ラス率" localSheetId="5">全体!$C$10</definedName>
    <definedName name="リーチアガリ数" localSheetId="3">Template1!$B$24</definedName>
    <definedName name="リーチアガリ数" localSheetId="10">いちかわ!$B$24</definedName>
    <definedName name="リーチアガリ数" localSheetId="6">だいち!$B$24</definedName>
    <definedName name="リーチアガリ数" localSheetId="12">たか!$B$24</definedName>
    <definedName name="リーチアガリ数" localSheetId="8">たかの!$B$24</definedName>
    <definedName name="リーチアガリ数" localSheetId="11">ただ!$B$24</definedName>
    <definedName name="リーチアガリ数" localSheetId="13">のり!$B$24</definedName>
    <definedName name="リーチアガリ数" localSheetId="9">まっつん!$B$24</definedName>
    <definedName name="リーチアガリ数" localSheetId="14">りくと!$B$24</definedName>
    <definedName name="リーチアガリ数" localSheetId="7">れんたろう!$B$24</definedName>
    <definedName name="リーチアガリ数" localSheetId="15">わさび!$B$24</definedName>
    <definedName name="リーチアガリ数" localSheetId="5">全体!$B$24</definedName>
    <definedName name="リーチアガリ率" localSheetId="3">Template1!$C$24</definedName>
    <definedName name="リーチアガリ率" localSheetId="10">いちかわ!$C$24</definedName>
    <definedName name="リーチアガリ率" localSheetId="6">だいち!$C$24</definedName>
    <definedName name="リーチアガリ率" localSheetId="12">たか!$C$24</definedName>
    <definedName name="リーチアガリ率" localSheetId="8">たかの!$C$24</definedName>
    <definedName name="リーチアガリ率" localSheetId="11">ただ!$C$24</definedName>
    <definedName name="リーチアガリ率" localSheetId="13">のり!$C$24</definedName>
    <definedName name="リーチアガリ率" localSheetId="9">まっつん!$C$24</definedName>
    <definedName name="リーチアガリ率" localSheetId="14">りくと!$C$24</definedName>
    <definedName name="リーチアガリ率" localSheetId="7">れんたろう!$C$24</definedName>
    <definedName name="リーチアガリ率" localSheetId="15">わさび!$C$24</definedName>
    <definedName name="リーチアガリ率" localSheetId="5">全体!$C$24</definedName>
    <definedName name="リーチ数" localSheetId="3">Template1!$B$16</definedName>
    <definedName name="リーチ数" localSheetId="10">いちかわ!$B$16</definedName>
    <definedName name="リーチ数" localSheetId="6">だいち!$B$16</definedName>
    <definedName name="リーチ数" localSheetId="12">たか!$B$16</definedName>
    <definedName name="リーチ数" localSheetId="8">たかの!$B$16</definedName>
    <definedName name="リーチ数" localSheetId="11">ただ!$B$16</definedName>
    <definedName name="リーチ数" localSheetId="13">のり!$B$16</definedName>
    <definedName name="リーチ数" localSheetId="9">まっつん!$B$16</definedName>
    <definedName name="リーチ数" localSheetId="14">りくと!$B$16</definedName>
    <definedName name="リーチ数" localSheetId="7">れんたろう!$B$16</definedName>
    <definedName name="リーチ数" localSheetId="15">わさび!$B$16</definedName>
    <definedName name="リーチ数" localSheetId="5">全体!$B$16</definedName>
    <definedName name="リーチ成功数" localSheetId="3">Template1!$B$18</definedName>
    <definedName name="リーチ成功数" localSheetId="10">いちかわ!$B$18</definedName>
    <definedName name="リーチ成功数" localSheetId="6">だいち!$B$18</definedName>
    <definedName name="リーチ成功数" localSheetId="12">たか!$B$18</definedName>
    <definedName name="リーチ成功数" localSheetId="8">たかの!$B$18</definedName>
    <definedName name="リーチ成功数" localSheetId="11">ただ!$B$18</definedName>
    <definedName name="リーチ成功数" localSheetId="13">のり!$B$18</definedName>
    <definedName name="リーチ成功数" localSheetId="9">まっつん!$B$18</definedName>
    <definedName name="リーチ成功数" localSheetId="14">りくと!$B$18</definedName>
    <definedName name="リーチ成功数" localSheetId="7">れんたろう!$B$18</definedName>
    <definedName name="リーチ成功数" localSheetId="15">わさび!$B$18</definedName>
    <definedName name="リーチ成功数" localSheetId="5">全体!$B$18</definedName>
    <definedName name="リーチ成功率" localSheetId="3">Template1!$C$18</definedName>
    <definedName name="リーチ成功率" localSheetId="10">いちかわ!$C$18</definedName>
    <definedName name="リーチ成功率" localSheetId="6">だいち!$C$18</definedName>
    <definedName name="リーチ成功率" localSheetId="12">たか!$C$18</definedName>
    <definedName name="リーチ成功率" localSheetId="8">たかの!$C$18</definedName>
    <definedName name="リーチ成功率" localSheetId="11">ただ!$C$18</definedName>
    <definedName name="リーチ成功率" localSheetId="13">のり!$C$18</definedName>
    <definedName name="リーチ成功率" localSheetId="9">まっつん!$C$18</definedName>
    <definedName name="リーチ成功率" localSheetId="14">りくと!$C$18</definedName>
    <definedName name="リーチ成功率" localSheetId="7">れんたろう!$C$18</definedName>
    <definedName name="リーチ成功率" localSheetId="15">わさび!$C$18</definedName>
    <definedName name="リーチ成功率" localSheetId="5">全体!$C$18</definedName>
    <definedName name="リーチ率" localSheetId="3">Template1!$C$16</definedName>
    <definedName name="リーチ率" localSheetId="10">いちかわ!$C$16</definedName>
    <definedName name="リーチ率" localSheetId="6">だいち!$C$16</definedName>
    <definedName name="リーチ率" localSheetId="12">たか!$C$16</definedName>
    <definedName name="リーチ率" localSheetId="8">たかの!$C$16</definedName>
    <definedName name="リーチ率" localSheetId="11">ただ!$C$16</definedName>
    <definedName name="リーチ率" localSheetId="13">のり!$C$16</definedName>
    <definedName name="リーチ率" localSheetId="9">まっつん!$C$16</definedName>
    <definedName name="リーチ率" localSheetId="14">りくと!$C$16</definedName>
    <definedName name="リーチ率" localSheetId="7">れんたろう!$C$16</definedName>
    <definedName name="リーチ率" localSheetId="15">わさび!$C$16</definedName>
    <definedName name="リーチ率" localSheetId="5">全体!$C$16</definedName>
    <definedName name="レーティング" localSheetId="10">いちかわ!$B$6</definedName>
    <definedName name="レーティング" localSheetId="6">だいち!$B$6</definedName>
    <definedName name="レーティング" localSheetId="12">たか!$B$6</definedName>
    <definedName name="レーティング" localSheetId="8">たかの!$B$6</definedName>
    <definedName name="レーティング" localSheetId="11">ただ!$B$6</definedName>
    <definedName name="レーティング" localSheetId="13">のり!$B$6</definedName>
    <definedName name="レーティング" localSheetId="9">まっつん!$B$6</definedName>
    <definedName name="レーティング" localSheetId="14">りくと!$B$6</definedName>
    <definedName name="レーティング" localSheetId="7">れんたろう!$B$6</definedName>
    <definedName name="レーティング" localSheetId="15">わさび!$B$6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10">いちかわ!$B$23</definedName>
    <definedName name="ロン数" localSheetId="6">だいち!$B$23</definedName>
    <definedName name="ロン数" localSheetId="12">たか!$B$23</definedName>
    <definedName name="ロン数" localSheetId="8">たかの!$B$23</definedName>
    <definedName name="ロン数" localSheetId="11">ただ!$B$23</definedName>
    <definedName name="ロン数" localSheetId="13">のり!$B$23</definedName>
    <definedName name="ロン数" localSheetId="9">まっつん!$B$23</definedName>
    <definedName name="ロン数" localSheetId="14">りくと!$B$23</definedName>
    <definedName name="ロン数" localSheetId="7">れんたろう!$B$23</definedName>
    <definedName name="ロン数" localSheetId="15">わさび!$B$23</definedName>
    <definedName name="ロン数" localSheetId="5">全体!$B$23</definedName>
    <definedName name="ロン率" localSheetId="3">Template1!$C$23</definedName>
    <definedName name="ロン率" localSheetId="10">いちかわ!$C$23</definedName>
    <definedName name="ロン率" localSheetId="6">だいち!$C$23</definedName>
    <definedName name="ロン率" localSheetId="12">たか!$C$23</definedName>
    <definedName name="ロン率" localSheetId="8">たかの!$C$23</definedName>
    <definedName name="ロン率" localSheetId="11">ただ!$C$23</definedName>
    <definedName name="ロン率" localSheetId="13">のり!$C$23</definedName>
    <definedName name="ロン率" localSheetId="9">まっつん!$C$23</definedName>
    <definedName name="ロン率" localSheetId="14">りくと!$C$23</definedName>
    <definedName name="ロン率" localSheetId="7">れんたろう!$C$23</definedName>
    <definedName name="ロン率" localSheetId="15">わさび!$C$23</definedName>
    <definedName name="ロン率" localSheetId="5">全体!$C$23</definedName>
    <definedName name="一位スコア" localSheetId="10">いちかわ!$B$11</definedName>
    <definedName name="一位スコア" localSheetId="6">だいち!$B$11</definedName>
    <definedName name="一位スコア" localSheetId="12">たか!$B$11</definedName>
    <definedName name="一位スコア" localSheetId="8">たかの!$B$11</definedName>
    <definedName name="一位スコア" localSheetId="11">ただ!$B$11</definedName>
    <definedName name="一位スコア" localSheetId="13">のり!$B$11</definedName>
    <definedName name="一位スコア" localSheetId="9">まっつん!$B$11</definedName>
    <definedName name="一位スコア" localSheetId="14">りくと!$B$11</definedName>
    <definedName name="一位スコア" localSheetId="7">れんたろう!$B$11</definedName>
    <definedName name="一位スコア" localSheetId="15">わさび!$B$11</definedName>
    <definedName name="一位スコア" localSheetId="5">全体!$B$11</definedName>
    <definedName name="一位スコア">Template1!$B$11</definedName>
    <definedName name="一位通算スコア" localSheetId="10">いちかわ!$C$11</definedName>
    <definedName name="一位通算スコア" localSheetId="6">だいち!$C$11</definedName>
    <definedName name="一位通算スコア" localSheetId="12">たか!$C$11</definedName>
    <definedName name="一位通算スコア" localSheetId="8">たかの!$C$11</definedName>
    <definedName name="一位通算スコア" localSheetId="11">ただ!$C$11</definedName>
    <definedName name="一位通算スコア" localSheetId="13">のり!$C$11</definedName>
    <definedName name="一位通算スコア" localSheetId="9">まっつん!$C$11</definedName>
    <definedName name="一位通算スコア" localSheetId="14">りくと!$C$11</definedName>
    <definedName name="一位通算スコア" localSheetId="7">れんたろう!$C$11</definedName>
    <definedName name="一位通算スコア" localSheetId="15">わさび!$C$11</definedName>
    <definedName name="一位通算スコア" localSheetId="5">全体!$C$11</definedName>
    <definedName name="一位通算スコア">Template1!$C$11</definedName>
    <definedName name="一翻数" localSheetId="10">いちかわ!$B$37</definedName>
    <definedName name="一翻数" localSheetId="6">だいち!$B$37</definedName>
    <definedName name="一翻数" localSheetId="12">たか!$B$37</definedName>
    <definedName name="一翻数" localSheetId="8">たかの!$B$37</definedName>
    <definedName name="一翻数" localSheetId="11">ただ!$B$37</definedName>
    <definedName name="一翻数" localSheetId="13">のり!$B$37</definedName>
    <definedName name="一翻数" localSheetId="9">まっつん!$B$37</definedName>
    <definedName name="一翻数" localSheetId="14">りくと!$B$37</definedName>
    <definedName name="一翻数" localSheetId="7">れんたろう!$B$37</definedName>
    <definedName name="一翻数" localSheetId="15">わさび!$B$37</definedName>
    <definedName name="一翻数" localSheetId="5">全体!$B$37</definedName>
    <definedName name="一翻数">Template1!$B$37</definedName>
    <definedName name="一翻率" localSheetId="10">いちかわ!$C$37</definedName>
    <definedName name="一翻率" localSheetId="6">だいち!$C$37</definedName>
    <definedName name="一翻率" localSheetId="12">たか!$C$37</definedName>
    <definedName name="一翻率" localSheetId="8">たかの!$C$37</definedName>
    <definedName name="一翻率" localSheetId="11">ただ!$C$37</definedName>
    <definedName name="一翻率" localSheetId="13">のり!$C$37</definedName>
    <definedName name="一翻率" localSheetId="9">まっつん!$C$37</definedName>
    <definedName name="一翻率" localSheetId="14">りくと!$C$37</definedName>
    <definedName name="一翻率" localSheetId="7">れんたろう!$C$37</definedName>
    <definedName name="一翻率" localSheetId="15">わさび!$C$37</definedName>
    <definedName name="一翻率" localSheetId="5">全体!$C$37</definedName>
    <definedName name="一翻率">Template1!$C$37</definedName>
    <definedName name="現行連続アガリ" localSheetId="3">Template1!$C$31</definedName>
    <definedName name="現行連続アガリ" localSheetId="10">いちかわ!$C$31</definedName>
    <definedName name="現行連続アガリ" localSheetId="6">だいち!$C$31</definedName>
    <definedName name="現行連続アガリ" localSheetId="12">たか!$C$31</definedName>
    <definedName name="現行連続アガリ" localSheetId="8">たかの!$C$31</definedName>
    <definedName name="現行連続アガリ" localSheetId="11">ただ!$C$31</definedName>
    <definedName name="現行連続アガリ" localSheetId="13">のり!$C$31</definedName>
    <definedName name="現行連続アガリ" localSheetId="9">まっつん!$C$31</definedName>
    <definedName name="現行連続アガリ" localSheetId="14">りくと!$C$31</definedName>
    <definedName name="現行連続アガリ" localSheetId="7">れんたろう!$C$31</definedName>
    <definedName name="現行連続アガリ" localSheetId="15">わさび!$C$31</definedName>
    <definedName name="現行連続アガリ" localSheetId="5">全体!$C$31</definedName>
    <definedName name="現行連続無放銃" localSheetId="3">Template1!$C$32</definedName>
    <definedName name="現行連続無放銃" localSheetId="10">いちかわ!$C$32</definedName>
    <definedName name="現行連続無放銃" localSheetId="6">だいち!$C$32</definedName>
    <definedName name="現行連続無放銃" localSheetId="12">たか!$C$32</definedName>
    <definedName name="現行連続無放銃" localSheetId="8">たかの!$C$32</definedName>
    <definedName name="現行連続無放銃" localSheetId="11">ただ!$C$32</definedName>
    <definedName name="現行連続無放銃" localSheetId="13">のり!$C$32</definedName>
    <definedName name="現行連続無放銃" localSheetId="9">まっつん!$C$32</definedName>
    <definedName name="現行連続無放銃" localSheetId="14">りくと!$C$32</definedName>
    <definedName name="現行連続無放銃" localSheetId="7">れんたろう!$C$32</definedName>
    <definedName name="現行連続無放銃" localSheetId="15">わさび!$C$32</definedName>
    <definedName name="現行連続無放銃" localSheetId="5">全体!$C$32</definedName>
    <definedName name="最高点" localSheetId="3">Template1!$B$34</definedName>
    <definedName name="最高点" localSheetId="10">いちかわ!$B$34</definedName>
    <definedName name="最高点" localSheetId="6">だいち!$B$34</definedName>
    <definedName name="最高点" localSheetId="12">たか!$B$34</definedName>
    <definedName name="最高点" localSheetId="8">たかの!$B$34</definedName>
    <definedName name="最高点" localSheetId="11">ただ!$B$34</definedName>
    <definedName name="最高点" localSheetId="13">のり!$B$34</definedName>
    <definedName name="最高点" localSheetId="9">まっつん!$B$34</definedName>
    <definedName name="最高点" localSheetId="14">りくと!$B$34</definedName>
    <definedName name="最高点" localSheetId="7">れんたろう!$B$34</definedName>
    <definedName name="最高点" localSheetId="15">わさび!$B$34</definedName>
    <definedName name="最高点" localSheetId="5">全体!$B$34</definedName>
    <definedName name="最大ドラ数" localSheetId="3">Template1!$B$33</definedName>
    <definedName name="最大ドラ数" localSheetId="10">いちかわ!$B$33</definedName>
    <definedName name="最大ドラ数" localSheetId="6">だいち!$B$33</definedName>
    <definedName name="最大ドラ数" localSheetId="12">たか!$B$33</definedName>
    <definedName name="最大ドラ数" localSheetId="8">たかの!$B$33</definedName>
    <definedName name="最大ドラ数" localSheetId="11">ただ!$B$33</definedName>
    <definedName name="最大ドラ数" localSheetId="13">のり!$B$33</definedName>
    <definedName name="最大ドラ数" localSheetId="9">まっつん!$B$33</definedName>
    <definedName name="最大ドラ数" localSheetId="14">りくと!$B$33</definedName>
    <definedName name="最大ドラ数" localSheetId="7">れんたろう!$B$33</definedName>
    <definedName name="最大ドラ数" localSheetId="15">わさび!$B$33</definedName>
    <definedName name="最大ドラ数" localSheetId="5">全体!$B$33</definedName>
    <definedName name="最大点数" localSheetId="3">Template1!$B$34</definedName>
    <definedName name="最大点数" localSheetId="10">いちかわ!$B$34</definedName>
    <definedName name="最大点数" localSheetId="6">だいち!$B$34</definedName>
    <definedName name="最大点数" localSheetId="12">たか!$B$34</definedName>
    <definedName name="最大点数" localSheetId="8">たかの!$B$34</definedName>
    <definedName name="最大点数" localSheetId="11">ただ!$B$34</definedName>
    <definedName name="最大点数" localSheetId="13">のり!$B$34</definedName>
    <definedName name="最大点数" localSheetId="9">まっつん!$B$34</definedName>
    <definedName name="最大点数" localSheetId="14">りくと!$B$34</definedName>
    <definedName name="最大点数" localSheetId="7">れんたろう!$B$34</definedName>
    <definedName name="最大点数" localSheetId="15">わさび!$B$34</definedName>
    <definedName name="最大点数" localSheetId="5">全体!$B$34</definedName>
    <definedName name="三位スコア" localSheetId="10">いちかわ!$B$13</definedName>
    <definedName name="三位スコア" localSheetId="6">だいち!$B$13</definedName>
    <definedName name="三位スコア" localSheetId="12">たか!$B$13</definedName>
    <definedName name="三位スコア" localSheetId="8">たかの!$B$13</definedName>
    <definedName name="三位スコア" localSheetId="11">ただ!$B$13</definedName>
    <definedName name="三位スコア" localSheetId="13">のり!$B$13</definedName>
    <definedName name="三位スコア" localSheetId="9">まっつん!$B$13</definedName>
    <definedName name="三位スコア" localSheetId="14">りくと!$B$13</definedName>
    <definedName name="三位スコア" localSheetId="7">れんたろう!$B$13</definedName>
    <definedName name="三位スコア" localSheetId="15">わさび!$B$13</definedName>
    <definedName name="三位スコア" localSheetId="5">全体!$B$13</definedName>
    <definedName name="三位スコア">Template1!$B$13</definedName>
    <definedName name="三位通算スコア" localSheetId="10">いちかわ!$C$13</definedName>
    <definedName name="三位通算スコア" localSheetId="6">だいち!$C$13</definedName>
    <definedName name="三位通算スコア" localSheetId="12">たか!$C$13</definedName>
    <definedName name="三位通算スコア" localSheetId="8">たかの!$C$13</definedName>
    <definedName name="三位通算スコア" localSheetId="11">ただ!$C$13</definedName>
    <definedName name="三位通算スコア" localSheetId="13">のり!$C$13</definedName>
    <definedName name="三位通算スコア" localSheetId="9">まっつん!$C$13</definedName>
    <definedName name="三位通算スコア" localSheetId="14">りくと!$C$13</definedName>
    <definedName name="三位通算スコア" localSheetId="7">れんたろう!$C$13</definedName>
    <definedName name="三位通算スコア" localSheetId="15">わさび!$C$13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10">いちかわ!$B$3</definedName>
    <definedName name="総局数" localSheetId="6">だいち!$B$3</definedName>
    <definedName name="総局数" localSheetId="12">たか!$B$3</definedName>
    <definedName name="総局数" localSheetId="8">たかの!$B$3</definedName>
    <definedName name="総局数" localSheetId="11">ただ!$B$3</definedName>
    <definedName name="総局数" localSheetId="13">のり!$B$3</definedName>
    <definedName name="総局数" localSheetId="9">まっつん!$B$3</definedName>
    <definedName name="総局数" localSheetId="14">りくと!$B$3</definedName>
    <definedName name="総局数" localSheetId="7">れんたろう!$B$3</definedName>
    <definedName name="総局数" localSheetId="15">わさび!$B$3</definedName>
    <definedName name="総局数" localSheetId="5">全体!$B$3</definedName>
    <definedName name="対戦数" localSheetId="3">Template1!$B$2</definedName>
    <definedName name="対戦数" localSheetId="10">いちかわ!$B$2</definedName>
    <definedName name="対戦数" localSheetId="6">だいち!$B$2</definedName>
    <definedName name="対戦数" localSheetId="12">たか!$B$2</definedName>
    <definedName name="対戦数" localSheetId="8">たかの!$B$2</definedName>
    <definedName name="対戦数" localSheetId="11">ただ!$B$2</definedName>
    <definedName name="対戦数" localSheetId="13">のり!$B$2</definedName>
    <definedName name="対戦数" localSheetId="9">まっつん!$B$2</definedName>
    <definedName name="対戦数" localSheetId="14">りくと!$B$2</definedName>
    <definedName name="対戦数" localSheetId="7">れんたろう!$B$2</definedName>
    <definedName name="対戦数" localSheetId="15">わさび!$B$2</definedName>
    <definedName name="対戦数" localSheetId="5">全体!$B$2</definedName>
    <definedName name="通算アガリ点" localSheetId="3">Template1!$C$27</definedName>
    <definedName name="通算アガリ点" localSheetId="10">いちかわ!$C$27</definedName>
    <definedName name="通算アガリ点" localSheetId="6">だいち!$C$27</definedName>
    <definedName name="通算アガリ点" localSheetId="12">たか!$C$27</definedName>
    <definedName name="通算アガリ点" localSheetId="8">たかの!$C$27</definedName>
    <definedName name="通算アガリ点" localSheetId="11">ただ!$C$27</definedName>
    <definedName name="通算アガリ点" localSheetId="13">のり!$C$27</definedName>
    <definedName name="通算アガリ点" localSheetId="9">まっつん!$C$27</definedName>
    <definedName name="通算アガリ点" localSheetId="14">りくと!$C$27</definedName>
    <definedName name="通算アガリ点" localSheetId="7">れんたろう!$C$27</definedName>
    <definedName name="通算アガリ点" localSheetId="15">わさび!$C$27</definedName>
    <definedName name="通算アガリ点" localSheetId="5">全体!$C$27</definedName>
    <definedName name="通算スコア" localSheetId="3">Template1!$B$4</definedName>
    <definedName name="通算スコア" localSheetId="10">いちかわ!$B$4</definedName>
    <definedName name="通算スコア" localSheetId="6">だいち!$B$4</definedName>
    <definedName name="通算スコア" localSheetId="12">たか!$B$4</definedName>
    <definedName name="通算スコア" localSheetId="8">たかの!$B$4</definedName>
    <definedName name="通算スコア" localSheetId="11">ただ!$B$4</definedName>
    <definedName name="通算スコア" localSheetId="13">のり!$B$4</definedName>
    <definedName name="通算スコア" localSheetId="9">まっつん!$B$4</definedName>
    <definedName name="通算スコア" localSheetId="14">りくと!$B$4</definedName>
    <definedName name="通算スコア" localSheetId="7">れんたろう!$B$4</definedName>
    <definedName name="通算スコア" localSheetId="15">わさび!$B$4</definedName>
    <definedName name="通算スコア" localSheetId="5">全体!$B$4</definedName>
    <definedName name="通算副露アガリ点" localSheetId="3">Template1!$C$29</definedName>
    <definedName name="通算副露アガリ点" localSheetId="10">いちかわ!$C$29</definedName>
    <definedName name="通算副露アガリ点" localSheetId="6">だいち!$C$29</definedName>
    <definedName name="通算副露アガリ点" localSheetId="12">たか!$C$29</definedName>
    <definedName name="通算副露アガリ点" localSheetId="8">たかの!$C$29</definedName>
    <definedName name="通算副露アガリ点" localSheetId="11">ただ!$C$29</definedName>
    <definedName name="通算副露アガリ点" localSheetId="13">のり!$C$29</definedName>
    <definedName name="通算副露アガリ点" localSheetId="9">まっつん!$C$29</definedName>
    <definedName name="通算副露アガリ点" localSheetId="14">りくと!$C$29</definedName>
    <definedName name="通算副露アガリ点" localSheetId="7">れんたろう!$C$29</definedName>
    <definedName name="通算副露アガリ点" localSheetId="15">わさび!$C$29</definedName>
    <definedName name="通算副露アガリ点" localSheetId="5">全体!$C$29</definedName>
    <definedName name="通算放銃点" localSheetId="3">Template1!$C$30</definedName>
    <definedName name="通算放銃点" localSheetId="10">いちかわ!$C$30</definedName>
    <definedName name="通算放銃点" localSheetId="6">だいち!$C$30</definedName>
    <definedName name="通算放銃点" localSheetId="12">たか!$C$30</definedName>
    <definedName name="通算放銃点" localSheetId="8">たかの!$C$30</definedName>
    <definedName name="通算放銃点" localSheetId="11">ただ!$C$30</definedName>
    <definedName name="通算放銃点" localSheetId="13">のり!$C$30</definedName>
    <definedName name="通算放銃点" localSheetId="9">まっつん!$C$30</definedName>
    <definedName name="通算放銃点" localSheetId="14">りくと!$C$30</definedName>
    <definedName name="通算放銃点" localSheetId="7">れんたろう!$C$30</definedName>
    <definedName name="通算放銃点" localSheetId="15">わさび!$C$30</definedName>
    <definedName name="通算放銃点" localSheetId="5">全体!$C$30</definedName>
    <definedName name="通算門前アガリ点" localSheetId="3">Template1!$C$28</definedName>
    <definedName name="通算門前アガリ点" localSheetId="10">いちかわ!$C$28</definedName>
    <definedName name="通算門前アガリ点" localSheetId="6">だいち!$C$28</definedName>
    <definedName name="通算門前アガリ点" localSheetId="12">たか!$C$28</definedName>
    <definedName name="通算門前アガリ点" localSheetId="8">たかの!$C$28</definedName>
    <definedName name="通算門前アガリ点" localSheetId="11">ただ!$C$28</definedName>
    <definedName name="通算門前アガリ点" localSheetId="13">のり!$C$28</definedName>
    <definedName name="通算門前アガリ点" localSheetId="9">まっつん!$C$28</definedName>
    <definedName name="通算門前アガリ点" localSheetId="14">りくと!$C$28</definedName>
    <definedName name="通算門前アガリ点" localSheetId="7">れんたろう!$C$28</definedName>
    <definedName name="通算門前アガリ点" localSheetId="15">わさび!$C$28</definedName>
    <definedName name="通算門前アガリ点" localSheetId="5">全体!$C$28</definedName>
    <definedName name="二位スコア" localSheetId="10">いちかわ!$B$12</definedName>
    <definedName name="二位スコア" localSheetId="6">だいち!$B$12</definedName>
    <definedName name="二位スコア" localSheetId="12">たか!$B$12</definedName>
    <definedName name="二位スコア" localSheetId="8">たかの!$B$12</definedName>
    <definedName name="二位スコア" localSheetId="11">ただ!$B$12</definedName>
    <definedName name="二位スコア" localSheetId="13">のり!$B$12</definedName>
    <definedName name="二位スコア" localSheetId="9">まっつん!$B$12</definedName>
    <definedName name="二位スコア" localSheetId="14">りくと!$B$12</definedName>
    <definedName name="二位スコア" localSheetId="7">れんたろう!$B$12</definedName>
    <definedName name="二位スコア" localSheetId="15">わさび!$B$12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10">いちかわ!$B$9</definedName>
    <definedName name="二位数" localSheetId="6">だいち!$B$9</definedName>
    <definedName name="二位数" localSheetId="12">たか!$B$9</definedName>
    <definedName name="二位数" localSheetId="8">たかの!$B$9</definedName>
    <definedName name="二位数" localSheetId="11">ただ!$B$9</definedName>
    <definedName name="二位数" localSheetId="13">のり!$B$9</definedName>
    <definedName name="二位数" localSheetId="9">まっつん!$B$9</definedName>
    <definedName name="二位数" localSheetId="14">りくと!$B$9</definedName>
    <definedName name="二位数" localSheetId="7">れんたろう!$B$9</definedName>
    <definedName name="二位数" localSheetId="15">わさび!$B$9</definedName>
    <definedName name="二位数" localSheetId="5">全体!$B$9</definedName>
    <definedName name="二位通算スコア" localSheetId="10">いちかわ!$C$12</definedName>
    <definedName name="二位通算スコア" localSheetId="6">だいち!$C$12</definedName>
    <definedName name="二位通算スコア" localSheetId="12">たか!$C$12</definedName>
    <definedName name="二位通算スコア" localSheetId="8">たかの!$C$12</definedName>
    <definedName name="二位通算スコア" localSheetId="11">ただ!$C$12</definedName>
    <definedName name="二位通算スコア" localSheetId="13">のり!$C$12</definedName>
    <definedName name="二位通算スコア" localSheetId="9">まっつん!$C$12</definedName>
    <definedName name="二位通算スコア" localSheetId="14">りくと!$C$12</definedName>
    <definedName name="二位通算スコア" localSheetId="7">れんたろう!$C$12</definedName>
    <definedName name="二位通算スコア" localSheetId="15">わさび!$C$12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10">いちかわ!$C$9</definedName>
    <definedName name="二位率" localSheetId="6">だいち!$C$9</definedName>
    <definedName name="二位率" localSheetId="12">たか!$C$9</definedName>
    <definedName name="二位率" localSheetId="8">たかの!$C$9</definedName>
    <definedName name="二位率" localSheetId="11">ただ!$C$9</definedName>
    <definedName name="二位率" localSheetId="13">のり!$C$9</definedName>
    <definedName name="二位率" localSheetId="9">まっつん!$C$9</definedName>
    <definedName name="二位率" localSheetId="14">りくと!$C$9</definedName>
    <definedName name="二位率" localSheetId="7">れんたろう!$C$9</definedName>
    <definedName name="二位率" localSheetId="15">わさび!$C$9</definedName>
    <definedName name="二位率" localSheetId="5">全体!$C$9</definedName>
    <definedName name="副露アガリ数" localSheetId="3">Template1!$B$25</definedName>
    <definedName name="副露アガリ数" localSheetId="10">いちかわ!$B$25</definedName>
    <definedName name="副露アガリ数" localSheetId="6">だいち!$B$25</definedName>
    <definedName name="副露アガリ数" localSheetId="12">たか!$B$25</definedName>
    <definedName name="副露アガリ数" localSheetId="8">たかの!$B$25</definedName>
    <definedName name="副露アガリ数" localSheetId="11">ただ!$B$25</definedName>
    <definedName name="副露アガリ数" localSheetId="13">のり!$B$25</definedName>
    <definedName name="副露アガリ数" localSheetId="9">まっつん!$B$25</definedName>
    <definedName name="副露アガリ数" localSheetId="14">りくと!$B$25</definedName>
    <definedName name="副露アガリ数" localSheetId="7">れんたろう!$B$25</definedName>
    <definedName name="副露アガリ数" localSheetId="15">わさび!$B$25</definedName>
    <definedName name="副露アガリ数" localSheetId="5">全体!$B$25</definedName>
    <definedName name="副露アガリ点" localSheetId="3">Template1!$B$29</definedName>
    <definedName name="副露アガリ点" localSheetId="10">いちかわ!$B$29</definedName>
    <definedName name="副露アガリ点" localSheetId="6">だいち!$B$29</definedName>
    <definedName name="副露アガリ点" localSheetId="12">たか!$B$29</definedName>
    <definedName name="副露アガリ点" localSheetId="8">たかの!$B$29</definedName>
    <definedName name="副露アガリ点" localSheetId="11">ただ!$B$29</definedName>
    <definedName name="副露アガリ点" localSheetId="13">のり!$B$29</definedName>
    <definedName name="副露アガリ点" localSheetId="9">まっつん!$B$29</definedName>
    <definedName name="副露アガリ点" localSheetId="14">りくと!$B$29</definedName>
    <definedName name="副露アガリ点" localSheetId="7">れんたろう!$B$29</definedName>
    <definedName name="副露アガリ点" localSheetId="15">わさび!$B$29</definedName>
    <definedName name="副露アガリ点" localSheetId="5">全体!$B$29</definedName>
    <definedName name="副露アガリ率" localSheetId="3">Template1!$C$25</definedName>
    <definedName name="副露アガリ率" localSheetId="10">いちかわ!$C$25</definedName>
    <definedName name="副露アガリ率" localSheetId="6">だいち!$C$25</definedName>
    <definedName name="副露アガリ率" localSheetId="12">たか!$C$25</definedName>
    <definedName name="副露アガリ率" localSheetId="8">たかの!$C$25</definedName>
    <definedName name="副露アガリ率" localSheetId="11">ただ!$C$25</definedName>
    <definedName name="副露アガリ率" localSheetId="13">のり!$C$25</definedName>
    <definedName name="副露アガリ率" localSheetId="9">まっつん!$C$25</definedName>
    <definedName name="副露アガリ率" localSheetId="14">りくと!$C$25</definedName>
    <definedName name="副露アガリ率" localSheetId="7">れんたろう!$C$25</definedName>
    <definedName name="副露アガリ率" localSheetId="15">わさび!$C$25</definedName>
    <definedName name="副露アガリ率" localSheetId="5">全体!$C$25</definedName>
    <definedName name="副露数" localSheetId="3">Template1!$B$17</definedName>
    <definedName name="副露数" localSheetId="10">いちかわ!$B$17</definedName>
    <definedName name="副露数" localSheetId="6">だいち!$B$17</definedName>
    <definedName name="副露数" localSheetId="12">たか!$B$17</definedName>
    <definedName name="副露数" localSheetId="8">たかの!$B$17</definedName>
    <definedName name="副露数" localSheetId="11">ただ!$B$17</definedName>
    <definedName name="副露数" localSheetId="13">のり!$B$17</definedName>
    <definedName name="副露数" localSheetId="9">まっつん!$B$17</definedName>
    <definedName name="副露数" localSheetId="14">りくと!$B$17</definedName>
    <definedName name="副露数" localSheetId="7">れんたろう!$B$17</definedName>
    <definedName name="副露数" localSheetId="15">わさび!$B$17</definedName>
    <definedName name="副露数" localSheetId="5">全体!$B$17</definedName>
    <definedName name="副露成功数" localSheetId="3">Template1!$B$19</definedName>
    <definedName name="副露成功数" localSheetId="10">いちかわ!$B$19</definedName>
    <definedName name="副露成功数" localSheetId="6">だいち!$B$19</definedName>
    <definedName name="副露成功数" localSheetId="12">たか!$B$19</definedName>
    <definedName name="副露成功数" localSheetId="8">たかの!$B$19</definedName>
    <definedName name="副露成功数" localSheetId="11">ただ!$B$19</definedName>
    <definedName name="副露成功数" localSheetId="13">のり!$B$19</definedName>
    <definedName name="副露成功数" localSheetId="9">まっつん!$B$19</definedName>
    <definedName name="副露成功数" localSheetId="14">りくと!$B$19</definedName>
    <definedName name="副露成功数" localSheetId="7">れんたろう!$B$19</definedName>
    <definedName name="副露成功数" localSheetId="15">わさび!$B$19</definedName>
    <definedName name="副露成功数" localSheetId="5">全体!$B$19</definedName>
    <definedName name="副露成功率" localSheetId="3">Template1!$C$19</definedName>
    <definedName name="副露成功率" localSheetId="10">いちかわ!$C$19</definedName>
    <definedName name="副露成功率" localSheetId="6">だいち!$C$19</definedName>
    <definedName name="副露成功率" localSheetId="12">たか!$C$19</definedName>
    <definedName name="副露成功率" localSheetId="8">たかの!$C$19</definedName>
    <definedName name="副露成功率" localSheetId="11">ただ!$C$19</definedName>
    <definedName name="副露成功率" localSheetId="13">のり!$C$19</definedName>
    <definedName name="副露成功率" localSheetId="9">まっつん!$C$19</definedName>
    <definedName name="副露成功率" localSheetId="14">りくと!$C$19</definedName>
    <definedName name="副露成功率" localSheetId="7">れんたろう!$C$19</definedName>
    <definedName name="副露成功率" localSheetId="15">わさび!$C$19</definedName>
    <definedName name="副露成功率" localSheetId="5">全体!$C$19</definedName>
    <definedName name="副露率" localSheetId="3">Template1!$C$17</definedName>
    <definedName name="副露率" localSheetId="10">いちかわ!$C$17</definedName>
    <definedName name="副露率" localSheetId="6">だいち!$C$17</definedName>
    <definedName name="副露率" localSheetId="12">たか!$C$17</definedName>
    <definedName name="副露率" localSheetId="8">たかの!$C$17</definedName>
    <definedName name="副露率" localSheetId="11">ただ!$C$17</definedName>
    <definedName name="副露率" localSheetId="13">のり!$C$17</definedName>
    <definedName name="副露率" localSheetId="9">まっつん!$C$17</definedName>
    <definedName name="副露率" localSheetId="14">りくと!$C$17</definedName>
    <definedName name="副露率" localSheetId="7">れんたろう!$C$17</definedName>
    <definedName name="副露率" localSheetId="15">わさび!$C$17</definedName>
    <definedName name="副露率" localSheetId="5">全体!$C$17</definedName>
    <definedName name="平均アガリ点" localSheetId="3">Template1!$B$27</definedName>
    <definedName name="平均アガリ点" localSheetId="10">いちかわ!$B$27</definedName>
    <definedName name="平均アガリ点" localSheetId="6">だいち!$B$27</definedName>
    <definedName name="平均アガリ点" localSheetId="12">たか!$B$27</definedName>
    <definedName name="平均アガリ点" localSheetId="8">たかの!$B$27</definedName>
    <definedName name="平均アガリ点" localSheetId="11">ただ!$B$27</definedName>
    <definedName name="平均アガリ点" localSheetId="13">のり!$B$27</definedName>
    <definedName name="平均アガリ点" localSheetId="9">まっつん!$B$27</definedName>
    <definedName name="平均アガリ点" localSheetId="14">りくと!$B$27</definedName>
    <definedName name="平均アガリ点" localSheetId="7">れんたろう!$B$27</definedName>
    <definedName name="平均アガリ点" localSheetId="15">わさび!$B$27</definedName>
    <definedName name="平均アガリ点" localSheetId="5">全体!$B$27</definedName>
    <definedName name="平均スコア" localSheetId="3">Template1!$B$5</definedName>
    <definedName name="平均スコア" localSheetId="10">いちかわ!$B$5</definedName>
    <definedName name="平均スコア" localSheetId="6">だいち!$B$5</definedName>
    <definedName name="平均スコア" localSheetId="12">たか!$B$5</definedName>
    <definedName name="平均スコア" localSheetId="8">たかの!$B$5</definedName>
    <definedName name="平均スコア" localSheetId="11">ただ!$B$5</definedName>
    <definedName name="平均スコア" localSheetId="13">のり!$B$5</definedName>
    <definedName name="平均スコア" localSheetId="9">まっつん!$B$5</definedName>
    <definedName name="平均スコア" localSheetId="14">りくと!$B$5</definedName>
    <definedName name="平均スコア" localSheetId="7">れんたろう!$B$5</definedName>
    <definedName name="平均スコア" localSheetId="15">わさび!$B$5</definedName>
    <definedName name="平均スコア" localSheetId="5">全体!$B$5</definedName>
    <definedName name="平均順位" localSheetId="3">Template1!$B$7</definedName>
    <definedName name="平均順位" localSheetId="10">いちかわ!$B$7</definedName>
    <definedName name="平均順位" localSheetId="6">だいち!$B$7</definedName>
    <definedName name="平均順位" localSheetId="12">たか!$B$7</definedName>
    <definedName name="平均順位" localSheetId="8">たかの!$B$7</definedName>
    <definedName name="平均順位" localSheetId="11">ただ!$B$7</definedName>
    <definedName name="平均順位" localSheetId="13">のり!$B$7</definedName>
    <definedName name="平均順位" localSheetId="9">まっつん!$B$7</definedName>
    <definedName name="平均順位" localSheetId="14">りくと!$B$7</definedName>
    <definedName name="平均順位" localSheetId="7">れんたろう!$B$7</definedName>
    <definedName name="平均順位" localSheetId="15">わさび!$B$7</definedName>
    <definedName name="平均順位" localSheetId="5">全体!$B$7</definedName>
    <definedName name="平均放銃点" localSheetId="3">Template1!$B$30</definedName>
    <definedName name="平均放銃点" localSheetId="10">いちかわ!$B$30</definedName>
    <definedName name="平均放銃点" localSheetId="6">だいち!$B$30</definedName>
    <definedName name="平均放銃点" localSheetId="12">たか!$B$30</definedName>
    <definedName name="平均放銃点" localSheetId="8">たかの!$B$30</definedName>
    <definedName name="平均放銃点" localSheetId="11">ただ!$B$30</definedName>
    <definedName name="平均放銃点" localSheetId="13">のり!$B$30</definedName>
    <definedName name="平均放銃点" localSheetId="9">まっつん!$B$30</definedName>
    <definedName name="平均放銃点" localSheetId="14">りくと!$B$30</definedName>
    <definedName name="平均放銃点" localSheetId="7">れんたろう!$B$30</definedName>
    <definedName name="平均放銃点" localSheetId="15">わさび!$B$30</definedName>
    <definedName name="平均放銃点" localSheetId="5">全体!$B$30</definedName>
    <definedName name="放銃数" localSheetId="3">Template1!$B$21</definedName>
    <definedName name="放銃数" localSheetId="10">いちかわ!$B$21</definedName>
    <definedName name="放銃数" localSheetId="6">だいち!$B$21</definedName>
    <definedName name="放銃数" localSheetId="12">たか!$B$21</definedName>
    <definedName name="放銃数" localSheetId="8">たかの!$B$21</definedName>
    <definedName name="放銃数" localSheetId="11">ただ!$B$21</definedName>
    <definedName name="放銃数" localSheetId="13">のり!$B$21</definedName>
    <definedName name="放銃数" localSheetId="9">まっつん!$B$21</definedName>
    <definedName name="放銃数" localSheetId="14">りくと!$B$21</definedName>
    <definedName name="放銃数" localSheetId="7">れんたろう!$B$21</definedName>
    <definedName name="放銃数" localSheetId="15">わさび!$B$21</definedName>
    <definedName name="放銃数" localSheetId="5">全体!$B$21</definedName>
    <definedName name="放銃率" localSheetId="3">Template1!$C$21</definedName>
    <definedName name="放銃率" localSheetId="10">いちかわ!$C$21</definedName>
    <definedName name="放銃率" localSheetId="6">だいち!$C$21</definedName>
    <definedName name="放銃率" localSheetId="12">たか!$C$21</definedName>
    <definedName name="放銃率" localSheetId="8">たかの!$C$21</definedName>
    <definedName name="放銃率" localSheetId="11">ただ!$C$21</definedName>
    <definedName name="放銃率" localSheetId="13">のり!$C$21</definedName>
    <definedName name="放銃率" localSheetId="9">まっつん!$C$21</definedName>
    <definedName name="放銃率" localSheetId="14">りくと!$C$21</definedName>
    <definedName name="放銃率" localSheetId="7">れんたろう!$C$21</definedName>
    <definedName name="放銃率" localSheetId="15">わさび!$C$21</definedName>
    <definedName name="放銃率" localSheetId="5">全体!$C$21</definedName>
    <definedName name="名前" localSheetId="3">Template1!$B$1</definedName>
    <definedName name="名前" localSheetId="10">いちかわ!$B$1</definedName>
    <definedName name="名前" localSheetId="6">だいち!$B$1</definedName>
    <definedName name="名前" localSheetId="12">たか!$B$1</definedName>
    <definedName name="名前" localSheetId="8">たかの!$B$1</definedName>
    <definedName name="名前" localSheetId="11">ただ!$B$1</definedName>
    <definedName name="名前" localSheetId="13">のり!$B$1</definedName>
    <definedName name="名前" localSheetId="9">まっつん!$B$1</definedName>
    <definedName name="名前" localSheetId="14">りくと!$B$1</definedName>
    <definedName name="名前" localSheetId="7">れんたろう!$B$1</definedName>
    <definedName name="名前" localSheetId="15">わさび!$B$1</definedName>
    <definedName name="名前" localSheetId="5">全体!$B$1</definedName>
    <definedName name="門前アガリ点" localSheetId="3">Template1!$B$28</definedName>
    <definedName name="門前アガリ点" localSheetId="10">いちかわ!$B$28</definedName>
    <definedName name="門前アガリ点" localSheetId="6">だいち!$B$28</definedName>
    <definedName name="門前アガリ点" localSheetId="12">たか!$B$28</definedName>
    <definedName name="門前アガリ点" localSheetId="8">たかの!$B$28</definedName>
    <definedName name="門前アガリ点" localSheetId="11">ただ!$B$28</definedName>
    <definedName name="門前アガリ点" localSheetId="13">のり!$B$28</definedName>
    <definedName name="門前アガリ点" localSheetId="9">まっつん!$B$28</definedName>
    <definedName name="門前アガリ点" localSheetId="14">りくと!$B$28</definedName>
    <definedName name="門前アガリ点" localSheetId="7">れんたろう!$B$28</definedName>
    <definedName name="門前アガリ点" localSheetId="15">わさび!$B$28</definedName>
    <definedName name="門前アガリ点" localSheetId="5">全体!$B$28</definedName>
    <definedName name="連続アガリ" localSheetId="3">Template1!$B$31</definedName>
    <definedName name="連続アガリ" localSheetId="10">いちかわ!$B$31</definedName>
    <definedName name="連続アガリ" localSheetId="6">だいち!$B$31</definedName>
    <definedName name="連続アガリ" localSheetId="12">たか!$B$31</definedName>
    <definedName name="連続アガリ" localSheetId="8">たかの!$B$31</definedName>
    <definedName name="連続アガリ" localSheetId="11">ただ!$B$31</definedName>
    <definedName name="連続アガリ" localSheetId="13">のり!$B$31</definedName>
    <definedName name="連続アガリ" localSheetId="9">まっつん!$B$31</definedName>
    <definedName name="連続アガリ" localSheetId="14">りくと!$B$31</definedName>
    <definedName name="連続アガリ" localSheetId="7">れんたろう!$B$31</definedName>
    <definedName name="連続アガリ" localSheetId="15">わさび!$B$31</definedName>
    <definedName name="連続アガリ" localSheetId="5">全体!$B$31</definedName>
    <definedName name="連続無放銃" localSheetId="3">Template1!$B$32</definedName>
    <definedName name="連続無放銃" localSheetId="10">いちかわ!$B$32</definedName>
    <definedName name="連続無放銃" localSheetId="6">だいち!$B$32</definedName>
    <definedName name="連続無放銃" localSheetId="12">たか!$B$32</definedName>
    <definedName name="連続無放銃" localSheetId="8">たかの!$B$32</definedName>
    <definedName name="連続無放銃" localSheetId="11">ただ!$B$32</definedName>
    <definedName name="連続無放銃" localSheetId="13">のり!$B$32</definedName>
    <definedName name="連続無放銃" localSheetId="9">まっつん!$B$32</definedName>
    <definedName name="連続無放銃" localSheetId="14">りくと!$B$32</definedName>
    <definedName name="連続無放銃" localSheetId="7">れんたろう!$B$32</definedName>
    <definedName name="連続無放銃" localSheetId="15">わさび!$B$32</definedName>
    <definedName name="連続無放銃" localSheetId="5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7" i="6854" l="1"/>
  <c r="P18" i="6856"/>
  <c r="P21" i="6860"/>
  <c r="P15" i="6856"/>
  <c r="P19" i="6862" l="1"/>
  <c r="P15" i="6854"/>
  <c r="P16" i="6866" l="1"/>
  <c r="P15" i="6850"/>
  <c r="P22" i="6858" l="1"/>
  <c r="P19" i="6854"/>
  <c r="P15" i="6860" l="1"/>
  <c r="P17" i="6860"/>
  <c r="P17" i="6866"/>
  <c r="P17" i="6868"/>
  <c r="P17" i="6858"/>
  <c r="P15" i="6858"/>
  <c r="P15" i="6868"/>
  <c r="P16" i="6868"/>
  <c r="C35" i="6868"/>
  <c r="B30" i="6868"/>
  <c r="C21" i="6868"/>
  <c r="B20" i="6868"/>
  <c r="H9" i="6868" s="1"/>
  <c r="B19" i="6868"/>
  <c r="B29" i="6868" s="1"/>
  <c r="C18" i="6868"/>
  <c r="B18" i="6868"/>
  <c r="C17" i="6868"/>
  <c r="C16" i="6868"/>
  <c r="C15" i="6868"/>
  <c r="B13" i="6868"/>
  <c r="P12" i="6868"/>
  <c r="B12" i="6868"/>
  <c r="P11" i="6868"/>
  <c r="B11" i="6868"/>
  <c r="P10" i="6868"/>
  <c r="C10" i="6868"/>
  <c r="C9" i="6868"/>
  <c r="C8" i="6868"/>
  <c r="P7" i="6868"/>
  <c r="B7" i="6868"/>
  <c r="P6" i="6868"/>
  <c r="P5" i="6868"/>
  <c r="B5" i="6868"/>
  <c r="P4" i="6868"/>
  <c r="P3" i="6868"/>
  <c r="P2" i="6868"/>
  <c r="P15" i="6848"/>
  <c r="P18" i="6866"/>
  <c r="P15" i="6866"/>
  <c r="C35" i="6866"/>
  <c r="H34" i="6866"/>
  <c r="B30" i="6866"/>
  <c r="C21" i="6866"/>
  <c r="B20" i="6866"/>
  <c r="H52" i="6866" s="1"/>
  <c r="B19" i="6866"/>
  <c r="B29" i="6866" s="1"/>
  <c r="B18" i="6866"/>
  <c r="C18" i="6866" s="1"/>
  <c r="C17" i="6866"/>
  <c r="C16" i="6866"/>
  <c r="C15" i="6866"/>
  <c r="B13" i="6866"/>
  <c r="P12" i="6866"/>
  <c r="B12" i="6866"/>
  <c r="P11" i="6866"/>
  <c r="H12" i="6866"/>
  <c r="B11" i="6866"/>
  <c r="B14" i="6866" s="1"/>
  <c r="P10" i="6866"/>
  <c r="C10" i="6866"/>
  <c r="C9" i="6866"/>
  <c r="C8" i="6866"/>
  <c r="P7" i="6866"/>
  <c r="B7" i="6866"/>
  <c r="P6" i="6866"/>
  <c r="P5" i="6866"/>
  <c r="B5" i="6866"/>
  <c r="P4" i="6866"/>
  <c r="P3" i="6866"/>
  <c r="P2" i="6866"/>
  <c r="P18" i="6848"/>
  <c r="C19" i="6866" l="1"/>
  <c r="H25" i="6866"/>
  <c r="H31" i="6866"/>
  <c r="H15" i="6866"/>
  <c r="C24" i="6866"/>
  <c r="B14" i="6868"/>
  <c r="C19" i="6868"/>
  <c r="H5" i="6868"/>
  <c r="H6" i="6868"/>
  <c r="H35" i="6868"/>
  <c r="H44" i="6868"/>
  <c r="H22" i="6868"/>
  <c r="C45" i="6868"/>
  <c r="H12" i="6868"/>
  <c r="H36" i="6868"/>
  <c r="H15" i="6868"/>
  <c r="C44" i="6868"/>
  <c r="H10" i="6868"/>
  <c r="H29" i="6868"/>
  <c r="H3" i="6868"/>
  <c r="H23" i="6868"/>
  <c r="C39" i="6868"/>
  <c r="H11" i="6868"/>
  <c r="H20" i="6868"/>
  <c r="C22" i="6868"/>
  <c r="H30" i="6868"/>
  <c r="H40" i="6868"/>
  <c r="C48" i="6868"/>
  <c r="C43" i="6868"/>
  <c r="H27" i="6868"/>
  <c r="H13" i="6868"/>
  <c r="C47" i="6868"/>
  <c r="H2" i="6868"/>
  <c r="H17" i="6868"/>
  <c r="H24" i="6868"/>
  <c r="C40" i="6868"/>
  <c r="C49" i="6868"/>
  <c r="H18" i="6868"/>
  <c r="C25" i="6868"/>
  <c r="C20" i="6868"/>
  <c r="H4" i="6868"/>
  <c r="H28" i="6868"/>
  <c r="C37" i="6868"/>
  <c r="H14" i="6868"/>
  <c r="H26" i="6868"/>
  <c r="H31" i="6868"/>
  <c r="C41" i="6868"/>
  <c r="H52" i="6868"/>
  <c r="H48" i="6868"/>
  <c r="C26" i="6868"/>
  <c r="H37" i="6868"/>
  <c r="H41" i="6868"/>
  <c r="H45" i="6868"/>
  <c r="H49" i="6868"/>
  <c r="H7" i="6868"/>
  <c r="H21" i="6868"/>
  <c r="C23" i="6868"/>
  <c r="B27" i="6868"/>
  <c r="H32" i="6868"/>
  <c r="H38" i="6868"/>
  <c r="H42" i="6868"/>
  <c r="H46" i="6868"/>
  <c r="H50" i="6868"/>
  <c r="H25" i="6868"/>
  <c r="H8" i="6868"/>
  <c r="H33" i="6868"/>
  <c r="C38" i="6868"/>
  <c r="C42" i="6868"/>
  <c r="C46" i="6868"/>
  <c r="H51" i="6868"/>
  <c r="H16" i="6868"/>
  <c r="H19" i="6868"/>
  <c r="C24" i="6868"/>
  <c r="B28" i="6868"/>
  <c r="H34" i="6868"/>
  <c r="H39" i="6868"/>
  <c r="H43" i="6868"/>
  <c r="H47" i="6868"/>
  <c r="H41" i="6866"/>
  <c r="H43" i="6866"/>
  <c r="H35" i="6866"/>
  <c r="H44" i="6866"/>
  <c r="H45" i="6866"/>
  <c r="H21" i="6866"/>
  <c r="H10" i="6866"/>
  <c r="C25" i="6866"/>
  <c r="H4" i="6866"/>
  <c r="C26" i="6866"/>
  <c r="H3" i="6866"/>
  <c r="H13" i="6866"/>
  <c r="H27" i="6866"/>
  <c r="H37" i="6866"/>
  <c r="H18" i="6866"/>
  <c r="B28" i="6866"/>
  <c r="C37" i="6866"/>
  <c r="H48" i="6866"/>
  <c r="H47" i="6866"/>
  <c r="H9" i="6866"/>
  <c r="C22" i="6866"/>
  <c r="H29" i="6866"/>
  <c r="H39" i="6866"/>
  <c r="H49" i="6866"/>
  <c r="H5" i="6866"/>
  <c r="H16" i="6866"/>
  <c r="C20" i="6866"/>
  <c r="H11" i="6866"/>
  <c r="H7" i="6866"/>
  <c r="H2" i="6866"/>
  <c r="H8" i="6866"/>
  <c r="H14" i="6866"/>
  <c r="H23" i="6866"/>
  <c r="H40" i="6866"/>
  <c r="H6" i="6866"/>
  <c r="H19" i="6866"/>
  <c r="H22" i="6866"/>
  <c r="H26" i="6866"/>
  <c r="H30" i="6866"/>
  <c r="H36" i="6866"/>
  <c r="C40" i="6866"/>
  <c r="C44" i="6866"/>
  <c r="C48" i="6866"/>
  <c r="C41" i="6866"/>
  <c r="C45" i="6866"/>
  <c r="C49" i="6866"/>
  <c r="H17" i="6866"/>
  <c r="H20" i="6866"/>
  <c r="C23" i="6866"/>
  <c r="B27" i="6866"/>
  <c r="H32" i="6866"/>
  <c r="H38" i="6866"/>
  <c r="H42" i="6866"/>
  <c r="H46" i="6866"/>
  <c r="H50" i="6866"/>
  <c r="H24" i="6866"/>
  <c r="H28" i="6866"/>
  <c r="H33" i="6866"/>
  <c r="C38" i="6866"/>
  <c r="C42" i="6866"/>
  <c r="C46" i="6866"/>
  <c r="H51" i="6866"/>
  <c r="C39" i="6866"/>
  <c r="C43" i="6866"/>
  <c r="C47" i="6866"/>
  <c r="P17" i="6852" l="1"/>
  <c r="P19" i="6860"/>
  <c r="P16" i="6858"/>
  <c r="P16" i="6860"/>
  <c r="P22" i="6860"/>
  <c r="P18" i="6862"/>
  <c r="P19" i="6858"/>
  <c r="P20" i="6862"/>
  <c r="P16" i="6852"/>
  <c r="P15" i="6852"/>
  <c r="P17" i="6864" l="1"/>
  <c r="P16" i="6862"/>
  <c r="P16" i="6850"/>
  <c r="P19" i="6850"/>
  <c r="P16" i="6864"/>
  <c r="P15" i="6864"/>
  <c r="C35" i="6864"/>
  <c r="B30" i="6864"/>
  <c r="C21" i="6864"/>
  <c r="B20" i="6864"/>
  <c r="H52" i="6864" s="1"/>
  <c r="B19" i="6864"/>
  <c r="B29" i="6864" s="1"/>
  <c r="B18" i="6864"/>
  <c r="C18" i="6864" s="1"/>
  <c r="C17" i="6864"/>
  <c r="C16" i="6864"/>
  <c r="C15" i="6864"/>
  <c r="B13" i="6864"/>
  <c r="P12" i="6864"/>
  <c r="B12" i="6864"/>
  <c r="P11" i="6864"/>
  <c r="B11" i="6864"/>
  <c r="P10" i="6864"/>
  <c r="C10" i="6864"/>
  <c r="C9" i="6864"/>
  <c r="C8" i="6864"/>
  <c r="P7" i="6864"/>
  <c r="B7" i="6864"/>
  <c r="P6" i="6864"/>
  <c r="P5" i="6864"/>
  <c r="B5" i="6864"/>
  <c r="P4" i="6864"/>
  <c r="P3" i="6864"/>
  <c r="P2" i="6864"/>
  <c r="P17" i="6862"/>
  <c r="P15" i="6862"/>
  <c r="C35" i="6862"/>
  <c r="B30" i="6862"/>
  <c r="C21" i="6862"/>
  <c r="B20" i="6862"/>
  <c r="H52" i="6862" s="1"/>
  <c r="B19" i="6862"/>
  <c r="C19" i="6862" s="1"/>
  <c r="B18" i="6862"/>
  <c r="C18" i="6862" s="1"/>
  <c r="C17" i="6862"/>
  <c r="C16" i="6862"/>
  <c r="C15" i="6862"/>
  <c r="B13" i="6862"/>
  <c r="P12" i="6862"/>
  <c r="B12" i="6862"/>
  <c r="P11" i="6862"/>
  <c r="B11" i="6862"/>
  <c r="B14" i="6862" s="1"/>
  <c r="P10" i="6862"/>
  <c r="C10" i="6862"/>
  <c r="C9" i="6862"/>
  <c r="C8" i="6862"/>
  <c r="P7" i="6862"/>
  <c r="B7" i="6862"/>
  <c r="P6" i="6862"/>
  <c r="P5" i="6862"/>
  <c r="B5" i="6862"/>
  <c r="P4" i="6862"/>
  <c r="P3" i="6862"/>
  <c r="P2" i="6862"/>
  <c r="P23" i="6858"/>
  <c r="P18" i="6858"/>
  <c r="P16" i="6848"/>
  <c r="P17" i="6848"/>
  <c r="B14" i="6864" l="1"/>
  <c r="C19" i="6864"/>
  <c r="C20" i="6864"/>
  <c r="H33" i="6864"/>
  <c r="C42" i="6864"/>
  <c r="H51" i="6864"/>
  <c r="H15" i="6864"/>
  <c r="H18" i="6864"/>
  <c r="C25" i="6864"/>
  <c r="H40" i="6864"/>
  <c r="H44" i="6864"/>
  <c r="H48" i="6864"/>
  <c r="H2" i="6864"/>
  <c r="H4" i="6864"/>
  <c r="H13" i="6864"/>
  <c r="H10" i="6864"/>
  <c r="H30" i="6864"/>
  <c r="C40" i="6864"/>
  <c r="C44" i="6864"/>
  <c r="H19" i="6864"/>
  <c r="C26" i="6864"/>
  <c r="H37" i="6864"/>
  <c r="H41" i="6864"/>
  <c r="H45" i="6864"/>
  <c r="H49" i="6864"/>
  <c r="H7" i="6864"/>
  <c r="H14" i="6864"/>
  <c r="H16" i="6864"/>
  <c r="H24" i="6864"/>
  <c r="H28" i="6864"/>
  <c r="H31" i="6864"/>
  <c r="C37" i="6864"/>
  <c r="C41" i="6864"/>
  <c r="C45" i="6864"/>
  <c r="C49" i="6864"/>
  <c r="H11" i="6864"/>
  <c r="H22" i="6864"/>
  <c r="H27" i="6864"/>
  <c r="H36" i="6864"/>
  <c r="C48" i="6864"/>
  <c r="H6" i="6864"/>
  <c r="C22" i="6864"/>
  <c r="H8" i="6864"/>
  <c r="H20" i="6864"/>
  <c r="H9" i="6864"/>
  <c r="C23" i="6864"/>
  <c r="B27" i="6864"/>
  <c r="H32" i="6864"/>
  <c r="H38" i="6864"/>
  <c r="H42" i="6864"/>
  <c r="H46" i="6864"/>
  <c r="H50" i="6864"/>
  <c r="H25" i="6864"/>
  <c r="C38" i="6864"/>
  <c r="C46" i="6864"/>
  <c r="H3" i="6864"/>
  <c r="H12" i="6864"/>
  <c r="H17" i="6864"/>
  <c r="H21" i="6864"/>
  <c r="C24" i="6864"/>
  <c r="B28" i="6864"/>
  <c r="H34" i="6864"/>
  <c r="H39" i="6864"/>
  <c r="H43" i="6864"/>
  <c r="H47" i="6864"/>
  <c r="H5" i="6864"/>
  <c r="H23" i="6864"/>
  <c r="H26" i="6864"/>
  <c r="H29" i="6864"/>
  <c r="H35" i="6864"/>
  <c r="C39" i="6864"/>
  <c r="C43" i="6864"/>
  <c r="C47" i="6864"/>
  <c r="H10" i="6862"/>
  <c r="H19" i="6862"/>
  <c r="H9" i="6862"/>
  <c r="H4" i="6862"/>
  <c r="H3" i="6862"/>
  <c r="H14" i="6862"/>
  <c r="H31" i="6862"/>
  <c r="H34" i="6862"/>
  <c r="C37" i="6862"/>
  <c r="H25" i="6862"/>
  <c r="H43" i="6862"/>
  <c r="H12" i="6862"/>
  <c r="C41" i="6862"/>
  <c r="H2" i="6862"/>
  <c r="C22" i="6862"/>
  <c r="C25" i="6862"/>
  <c r="C49" i="6862"/>
  <c r="H5" i="6862"/>
  <c r="H20" i="6862"/>
  <c r="H23" i="6862"/>
  <c r="H26" i="6862"/>
  <c r="H44" i="6862"/>
  <c r="H17" i="6862"/>
  <c r="B28" i="6862"/>
  <c r="C24" i="6862"/>
  <c r="H37" i="6862"/>
  <c r="H45" i="6862"/>
  <c r="C45" i="6862"/>
  <c r="C26" i="6862"/>
  <c r="H39" i="6862"/>
  <c r="H47" i="6862"/>
  <c r="H6" i="6862"/>
  <c r="H13" i="6862"/>
  <c r="H18" i="6862"/>
  <c r="C20" i="6862"/>
  <c r="H28" i="6862"/>
  <c r="H40" i="6862"/>
  <c r="H48" i="6862"/>
  <c r="H8" i="6862"/>
  <c r="H22" i="6862"/>
  <c r="H41" i="6862"/>
  <c r="H49" i="6862"/>
  <c r="B29" i="6862"/>
  <c r="H27" i="6862"/>
  <c r="H30" i="6862"/>
  <c r="H36" i="6862"/>
  <c r="C40" i="6862"/>
  <c r="C44" i="6862"/>
  <c r="C48" i="6862"/>
  <c r="H21" i="6862"/>
  <c r="H15" i="6862"/>
  <c r="C23" i="6862"/>
  <c r="B27" i="6862"/>
  <c r="H32" i="6862"/>
  <c r="H38" i="6862"/>
  <c r="H42" i="6862"/>
  <c r="H46" i="6862"/>
  <c r="H50" i="6862"/>
  <c r="H16" i="6862"/>
  <c r="H7" i="6862"/>
  <c r="H33" i="6862"/>
  <c r="C38" i="6862"/>
  <c r="C42" i="6862"/>
  <c r="C46" i="6862"/>
  <c r="H51" i="6862"/>
  <c r="H24" i="6862"/>
  <c r="H11" i="6862"/>
  <c r="H29" i="6862"/>
  <c r="H35" i="6862"/>
  <c r="C39" i="6862"/>
  <c r="C43" i="6862"/>
  <c r="C47" i="6862"/>
  <c r="P20" i="6854" l="1"/>
  <c r="P20" i="6860"/>
  <c r="P18" i="6860"/>
  <c r="C39" i="6860"/>
  <c r="C35" i="6860"/>
  <c r="B30" i="6860"/>
  <c r="C24" i="6860"/>
  <c r="C21" i="6860"/>
  <c r="B20" i="6860"/>
  <c r="H21" i="6860" s="1"/>
  <c r="B19" i="6860"/>
  <c r="B29" i="6860" s="1"/>
  <c r="B18" i="6860"/>
  <c r="C18" i="6860" s="1"/>
  <c r="C17" i="6860"/>
  <c r="C16" i="6860"/>
  <c r="C15" i="6860"/>
  <c r="B13" i="6860"/>
  <c r="P12" i="6860"/>
  <c r="B12" i="6860"/>
  <c r="P11" i="6860"/>
  <c r="B11" i="6860"/>
  <c r="P10" i="6860"/>
  <c r="C10" i="6860"/>
  <c r="C9" i="6860"/>
  <c r="C8" i="6860"/>
  <c r="P7" i="6860"/>
  <c r="B7" i="6860"/>
  <c r="P6" i="6860"/>
  <c r="P5" i="6860"/>
  <c r="B5" i="6860"/>
  <c r="P4" i="6860"/>
  <c r="P3" i="6860"/>
  <c r="P2" i="6860"/>
  <c r="P22" i="6850"/>
  <c r="P24" i="6848"/>
  <c r="H46" i="6860" l="1"/>
  <c r="B14" i="6860"/>
  <c r="H22" i="6860"/>
  <c r="H11" i="6860"/>
  <c r="C19" i="6860"/>
  <c r="H6" i="6860"/>
  <c r="H14" i="6860"/>
  <c r="C47" i="6860"/>
  <c r="H12" i="6860"/>
  <c r="H42" i="6860"/>
  <c r="C40" i="6860"/>
  <c r="H15" i="6860"/>
  <c r="H49" i="6860"/>
  <c r="C45" i="6860"/>
  <c r="C48" i="6860"/>
  <c r="C20" i="6860"/>
  <c r="H2" i="6860"/>
  <c r="H27" i="6860"/>
  <c r="H37" i="6860"/>
  <c r="H20" i="6860"/>
  <c r="H19" i="6860"/>
  <c r="H24" i="6860"/>
  <c r="H16" i="6860"/>
  <c r="B28" i="6860"/>
  <c r="H38" i="6860"/>
  <c r="H44" i="6860"/>
  <c r="C49" i="6860"/>
  <c r="C25" i="6860"/>
  <c r="H30" i="6860"/>
  <c r="H10" i="6860"/>
  <c r="H17" i="6860"/>
  <c r="H8" i="6860"/>
  <c r="H7" i="6860"/>
  <c r="H26" i="6860"/>
  <c r="C22" i="6860"/>
  <c r="H31" i="6860"/>
  <c r="H39" i="6860"/>
  <c r="C43" i="6860"/>
  <c r="H4" i="6860"/>
  <c r="H33" i="6860"/>
  <c r="H3" i="6860"/>
  <c r="H36" i="6860"/>
  <c r="H23" i="6860"/>
  <c r="C26" i="6860"/>
  <c r="C41" i="6860"/>
  <c r="H5" i="6860"/>
  <c r="H25" i="6860"/>
  <c r="H28" i="6860"/>
  <c r="H32" i="6860"/>
  <c r="C37" i="6860"/>
  <c r="C44" i="6860"/>
  <c r="H52" i="6860"/>
  <c r="H48" i="6860"/>
  <c r="H13" i="6860"/>
  <c r="H41" i="6860"/>
  <c r="H45" i="6860"/>
  <c r="H50" i="6860"/>
  <c r="H18" i="6860"/>
  <c r="C23" i="6860"/>
  <c r="B27" i="6860"/>
  <c r="H34" i="6860"/>
  <c r="H40" i="6860"/>
  <c r="H43" i="6860"/>
  <c r="H47" i="6860"/>
  <c r="H51" i="6860"/>
  <c r="H29" i="6860"/>
  <c r="H9" i="6860"/>
  <c r="H35" i="6860"/>
  <c r="C38" i="6860"/>
  <c r="C42" i="6860"/>
  <c r="C46" i="6860"/>
  <c r="P21" i="6850" l="1"/>
  <c r="P18" i="6850"/>
  <c r="P20" i="6858"/>
  <c r="P21" i="6858"/>
  <c r="C35" i="6858"/>
  <c r="B30" i="6858"/>
  <c r="C21" i="6858"/>
  <c r="B20" i="6858"/>
  <c r="H51" i="6858" s="1"/>
  <c r="B19" i="6858"/>
  <c r="B29" i="6858" s="1"/>
  <c r="B18" i="6858"/>
  <c r="C18" i="6858" s="1"/>
  <c r="C17" i="6858"/>
  <c r="C16" i="6858"/>
  <c r="C15" i="6858"/>
  <c r="B13" i="6858"/>
  <c r="P12" i="6858"/>
  <c r="B12" i="6858"/>
  <c r="P11" i="6858"/>
  <c r="B11" i="6858"/>
  <c r="P10" i="6858"/>
  <c r="C10" i="6858"/>
  <c r="C9" i="6858"/>
  <c r="C8" i="6858"/>
  <c r="P7" i="6858"/>
  <c r="B7" i="6858"/>
  <c r="P6" i="6858"/>
  <c r="P5" i="6858"/>
  <c r="B5" i="6858"/>
  <c r="P4" i="6858"/>
  <c r="P3" i="6858"/>
  <c r="P2" i="6858"/>
  <c r="P19" i="6848"/>
  <c r="P17" i="6856"/>
  <c r="P16" i="6856"/>
  <c r="C35" i="6856"/>
  <c r="B30" i="6856"/>
  <c r="C21" i="6856"/>
  <c r="B20" i="6856"/>
  <c r="H51" i="6856" s="1"/>
  <c r="B19" i="6856"/>
  <c r="B29" i="6856" s="1"/>
  <c r="B18" i="6856"/>
  <c r="C18" i="6856" s="1"/>
  <c r="C17" i="6856"/>
  <c r="C16" i="6856"/>
  <c r="C15" i="6856"/>
  <c r="B13" i="6856"/>
  <c r="P12" i="6856"/>
  <c r="B12" i="6856"/>
  <c r="P11" i="6856"/>
  <c r="B11" i="6856"/>
  <c r="P10" i="6856"/>
  <c r="C10" i="6856"/>
  <c r="C9" i="6856"/>
  <c r="C8" i="6856"/>
  <c r="P7" i="6856"/>
  <c r="B7" i="6856"/>
  <c r="P6" i="6856"/>
  <c r="P5" i="6856"/>
  <c r="B5" i="6856"/>
  <c r="P4" i="6856"/>
  <c r="P3" i="6856"/>
  <c r="P2" i="6856"/>
  <c r="P23" i="6848"/>
  <c r="B14" i="6856" l="1"/>
  <c r="C19" i="6856"/>
  <c r="H7" i="6856"/>
  <c r="B14" i="6858"/>
  <c r="C19" i="6858"/>
  <c r="H4" i="6858"/>
  <c r="H14" i="6858"/>
  <c r="C39" i="6858"/>
  <c r="C45" i="6858"/>
  <c r="C24" i="6858"/>
  <c r="C20" i="6858"/>
  <c r="C25" i="6858"/>
  <c r="H34" i="6858"/>
  <c r="H41" i="6858"/>
  <c r="C47" i="6858"/>
  <c r="H20" i="6858"/>
  <c r="H47" i="6858"/>
  <c r="H23" i="6858"/>
  <c r="C41" i="6858"/>
  <c r="H48" i="6858"/>
  <c r="H10" i="6858"/>
  <c r="H40" i="6858"/>
  <c r="C26" i="6858"/>
  <c r="H9" i="6858"/>
  <c r="H19" i="6858"/>
  <c r="H29" i="6858"/>
  <c r="H43" i="6858"/>
  <c r="H49" i="6858"/>
  <c r="H21" i="6858"/>
  <c r="C22" i="6858"/>
  <c r="B27" i="6858"/>
  <c r="H37" i="6858"/>
  <c r="C43" i="6858"/>
  <c r="C49" i="6858"/>
  <c r="H11" i="6858"/>
  <c r="H25" i="6858"/>
  <c r="H26" i="6858"/>
  <c r="C37" i="6858"/>
  <c r="H44" i="6858"/>
  <c r="H7" i="6858"/>
  <c r="H6" i="6858"/>
  <c r="H18" i="6858"/>
  <c r="H31" i="6858"/>
  <c r="H13" i="6858"/>
  <c r="H3" i="6858"/>
  <c r="H35" i="6858"/>
  <c r="H2" i="6858"/>
  <c r="H17" i="6858"/>
  <c r="B28" i="6858"/>
  <c r="H5" i="6858"/>
  <c r="H16" i="6858"/>
  <c r="H22" i="6858"/>
  <c r="C23" i="6858"/>
  <c r="H30" i="6858"/>
  <c r="H39" i="6858"/>
  <c r="H45" i="6858"/>
  <c r="H52" i="6858"/>
  <c r="H24" i="6858"/>
  <c r="H15" i="6858"/>
  <c r="H28" i="6858"/>
  <c r="H12" i="6858"/>
  <c r="H36" i="6858"/>
  <c r="C40" i="6858"/>
  <c r="C44" i="6858"/>
  <c r="C48" i="6858"/>
  <c r="H32" i="6858"/>
  <c r="H38" i="6858"/>
  <c r="H42" i="6858"/>
  <c r="H46" i="6858"/>
  <c r="H50" i="6858"/>
  <c r="H27" i="6858"/>
  <c r="H8" i="6858"/>
  <c r="H33" i="6858"/>
  <c r="C38" i="6858"/>
  <c r="C42" i="6858"/>
  <c r="C46" i="6858"/>
  <c r="H47" i="6856"/>
  <c r="H29" i="6856"/>
  <c r="H30" i="6856"/>
  <c r="H2" i="6856"/>
  <c r="C48" i="6856"/>
  <c r="C24" i="6856"/>
  <c r="C20" i="6856"/>
  <c r="C47" i="6856"/>
  <c r="C37" i="6856"/>
  <c r="H20" i="6856"/>
  <c r="H27" i="6856"/>
  <c r="H31" i="6856"/>
  <c r="H38" i="6856"/>
  <c r="C43" i="6856"/>
  <c r="H49" i="6856"/>
  <c r="C41" i="6856"/>
  <c r="H9" i="6856"/>
  <c r="C49" i="6856"/>
  <c r="H43" i="6856"/>
  <c r="H23" i="6856"/>
  <c r="C26" i="6856"/>
  <c r="H39" i="6856"/>
  <c r="C44" i="6856"/>
  <c r="H6" i="6856"/>
  <c r="H15" i="6856"/>
  <c r="H21" i="6856"/>
  <c r="C22" i="6856"/>
  <c r="H28" i="6856"/>
  <c r="H34" i="6856"/>
  <c r="C39" i="6856"/>
  <c r="H45" i="6856"/>
  <c r="H50" i="6856"/>
  <c r="H36" i="6856"/>
  <c r="H11" i="6856"/>
  <c r="H37" i="6856"/>
  <c r="C25" i="6856"/>
  <c r="H13" i="6856"/>
  <c r="H3" i="6856"/>
  <c r="H25" i="6856"/>
  <c r="B27" i="6856"/>
  <c r="H35" i="6856"/>
  <c r="C40" i="6856"/>
  <c r="C45" i="6856"/>
  <c r="H5" i="6856"/>
  <c r="H4" i="6856"/>
  <c r="H14" i="6856"/>
  <c r="H42" i="6856"/>
  <c r="H19" i="6856"/>
  <c r="H24" i="6856"/>
  <c r="H17" i="6856"/>
  <c r="H32" i="6856"/>
  <c r="H8" i="6856"/>
  <c r="H16" i="6856"/>
  <c r="H18" i="6856"/>
  <c r="H22" i="6856"/>
  <c r="H12" i="6856"/>
  <c r="C23" i="6856"/>
  <c r="B28" i="6856"/>
  <c r="H41" i="6856"/>
  <c r="H46" i="6856"/>
  <c r="H52" i="6856"/>
  <c r="H40" i="6856"/>
  <c r="H44" i="6856"/>
  <c r="H48" i="6856"/>
  <c r="H26" i="6856"/>
  <c r="H10" i="6856"/>
  <c r="H33" i="6856"/>
  <c r="C38" i="6856"/>
  <c r="C42" i="6856"/>
  <c r="C46" i="6856"/>
  <c r="P16" i="6854" l="1"/>
  <c r="P18" i="6854"/>
  <c r="C35" i="6854"/>
  <c r="B30" i="6854"/>
  <c r="C21" i="6854"/>
  <c r="B20" i="6854"/>
  <c r="H51" i="6854" s="1"/>
  <c r="B19" i="6854"/>
  <c r="B29" i="6854" s="1"/>
  <c r="C18" i="6854"/>
  <c r="B18" i="6854"/>
  <c r="C17" i="6854"/>
  <c r="C16" i="6854"/>
  <c r="C15" i="6854"/>
  <c r="B13" i="6854"/>
  <c r="P12" i="6854"/>
  <c r="B12" i="6854"/>
  <c r="P11" i="6854"/>
  <c r="B11" i="6854"/>
  <c r="P10" i="6854"/>
  <c r="C10" i="6854"/>
  <c r="C9" i="6854"/>
  <c r="C8" i="6854"/>
  <c r="P7" i="6854"/>
  <c r="B7" i="6854"/>
  <c r="P6" i="6854"/>
  <c r="P5" i="6854"/>
  <c r="B5" i="6854"/>
  <c r="P4" i="6854"/>
  <c r="P3" i="6854"/>
  <c r="P2" i="6854"/>
  <c r="P18" i="6852"/>
  <c r="P19" i="6852"/>
  <c r="C35" i="6852"/>
  <c r="B30" i="6852"/>
  <c r="C21" i="6852"/>
  <c r="B20" i="6852"/>
  <c r="H20" i="6852" s="1"/>
  <c r="B19" i="6852"/>
  <c r="B29" i="6852" s="1"/>
  <c r="B18" i="6852"/>
  <c r="C18" i="6852" s="1"/>
  <c r="C17" i="6852"/>
  <c r="C16" i="6852"/>
  <c r="C15" i="6852"/>
  <c r="B13" i="6852"/>
  <c r="P12" i="6852"/>
  <c r="B12" i="6852"/>
  <c r="P11" i="6852"/>
  <c r="B11" i="6852"/>
  <c r="P10" i="6852"/>
  <c r="C10" i="6852"/>
  <c r="C9" i="6852"/>
  <c r="C8" i="6852"/>
  <c r="P7" i="6852"/>
  <c r="B7" i="6852"/>
  <c r="P6" i="6852"/>
  <c r="P5" i="6852"/>
  <c r="B5" i="6852"/>
  <c r="P4" i="6852"/>
  <c r="P3" i="6852"/>
  <c r="P2" i="6852"/>
  <c r="P22" i="6848"/>
  <c r="P20" i="6850"/>
  <c r="P17" i="6850"/>
  <c r="C35" i="6850"/>
  <c r="B30" i="6850"/>
  <c r="C21" i="6850"/>
  <c r="B20" i="6850"/>
  <c r="H13" i="6850" s="1"/>
  <c r="B19" i="6850"/>
  <c r="B29" i="6850" s="1"/>
  <c r="B18" i="6850"/>
  <c r="C18" i="6850" s="1"/>
  <c r="C17" i="6850"/>
  <c r="C16" i="6850"/>
  <c r="C15" i="6850"/>
  <c r="B13" i="6850"/>
  <c r="P12" i="6850"/>
  <c r="B12" i="6850"/>
  <c r="P11" i="6850"/>
  <c r="B11" i="6850"/>
  <c r="P10" i="6850"/>
  <c r="C10" i="6850"/>
  <c r="C9" i="6850"/>
  <c r="C8" i="6850"/>
  <c r="P7" i="6850"/>
  <c r="B7" i="6850"/>
  <c r="P6" i="6850"/>
  <c r="P5" i="6850"/>
  <c r="B5" i="6850"/>
  <c r="P4" i="6850"/>
  <c r="P3" i="6850"/>
  <c r="P2" i="6850"/>
  <c r="P21" i="6848"/>
  <c r="P20" i="6848"/>
  <c r="C35" i="6848"/>
  <c r="B30" i="6848"/>
  <c r="C21" i="6848"/>
  <c r="B20" i="6848"/>
  <c r="H51" i="6848" s="1"/>
  <c r="B19" i="6848"/>
  <c r="B29" i="6848" s="1"/>
  <c r="B18" i="6848"/>
  <c r="C18" i="6848" s="1"/>
  <c r="C17" i="6848"/>
  <c r="C16" i="6848"/>
  <c r="C15" i="6848"/>
  <c r="B13" i="6848"/>
  <c r="P12" i="6848"/>
  <c r="B12" i="6848"/>
  <c r="P11" i="6848"/>
  <c r="B11" i="6848"/>
  <c r="P10" i="6848"/>
  <c r="C10" i="6848"/>
  <c r="C9" i="6848"/>
  <c r="C8" i="6848"/>
  <c r="P7" i="6848"/>
  <c r="B7" i="6848"/>
  <c r="P6" i="6848"/>
  <c r="P5" i="6848"/>
  <c r="B5" i="6848"/>
  <c r="P4" i="6848"/>
  <c r="P3" i="6848"/>
  <c r="P2" i="6848"/>
  <c r="B14" i="6854" l="1"/>
  <c r="B14" i="6852"/>
  <c r="C19" i="6852"/>
  <c r="B14" i="6850"/>
  <c r="H23" i="6850"/>
  <c r="C19" i="6850"/>
  <c r="B14" i="6848"/>
  <c r="C19" i="6854"/>
  <c r="H30" i="6854"/>
  <c r="H7" i="6854"/>
  <c r="H11" i="6854"/>
  <c r="C20" i="6854"/>
  <c r="H16" i="6854"/>
  <c r="H14" i="6854"/>
  <c r="H37" i="6854"/>
  <c r="C41" i="6854"/>
  <c r="H46" i="6854"/>
  <c r="H52" i="6854"/>
  <c r="H26" i="6854"/>
  <c r="C25" i="6854"/>
  <c r="C37" i="6854"/>
  <c r="H42" i="6854"/>
  <c r="H47" i="6854"/>
  <c r="H18" i="6854"/>
  <c r="H21" i="6854"/>
  <c r="H29" i="6854"/>
  <c r="H31" i="6854"/>
  <c r="H38" i="6854"/>
  <c r="H43" i="6854"/>
  <c r="C47" i="6854"/>
  <c r="C24" i="6854"/>
  <c r="H41" i="6854"/>
  <c r="H20" i="6854"/>
  <c r="H6" i="6854"/>
  <c r="C26" i="6854"/>
  <c r="C43" i="6854"/>
  <c r="H4" i="6854"/>
  <c r="H22" i="6854"/>
  <c r="C22" i="6854"/>
  <c r="H17" i="6854"/>
  <c r="H34" i="6854"/>
  <c r="C39" i="6854"/>
  <c r="H44" i="6854"/>
  <c r="C48" i="6854"/>
  <c r="H2" i="6854"/>
  <c r="H36" i="6854"/>
  <c r="C45" i="6854"/>
  <c r="H3" i="6854"/>
  <c r="H12" i="6854"/>
  <c r="H10" i="6854"/>
  <c r="H24" i="6854"/>
  <c r="H13" i="6854"/>
  <c r="H32" i="6854"/>
  <c r="H39" i="6854"/>
  <c r="H48" i="6854"/>
  <c r="H5" i="6854"/>
  <c r="H15" i="6854"/>
  <c r="H19" i="6854"/>
  <c r="H27" i="6854"/>
  <c r="B27" i="6854"/>
  <c r="H35" i="6854"/>
  <c r="H40" i="6854"/>
  <c r="C44" i="6854"/>
  <c r="H49" i="6854"/>
  <c r="H9" i="6854"/>
  <c r="H23" i="6854"/>
  <c r="H25" i="6854"/>
  <c r="C23" i="6854"/>
  <c r="B28" i="6854"/>
  <c r="C40" i="6854"/>
  <c r="H45" i="6854"/>
  <c r="H50" i="6854"/>
  <c r="C49" i="6854"/>
  <c r="H28" i="6854"/>
  <c r="H8" i="6854"/>
  <c r="H33" i="6854"/>
  <c r="C38" i="6854"/>
  <c r="C42" i="6854"/>
  <c r="C46" i="6854"/>
  <c r="H12" i="6852"/>
  <c r="H37" i="6852"/>
  <c r="H42" i="6852"/>
  <c r="H48" i="6852"/>
  <c r="H17" i="6852"/>
  <c r="H14" i="6852"/>
  <c r="H23" i="6852"/>
  <c r="C25" i="6852"/>
  <c r="H44" i="6852"/>
  <c r="H49" i="6852"/>
  <c r="C20" i="6852"/>
  <c r="H38" i="6852"/>
  <c r="H9" i="6852"/>
  <c r="C37" i="6852"/>
  <c r="H24" i="6852"/>
  <c r="H29" i="6852"/>
  <c r="H32" i="6852"/>
  <c r="H39" i="6852"/>
  <c r="C43" i="6852"/>
  <c r="C48" i="6852"/>
  <c r="C47" i="6852"/>
  <c r="H21" i="6852"/>
  <c r="C26" i="6852"/>
  <c r="H50" i="6852"/>
  <c r="H30" i="6852"/>
  <c r="H26" i="6852"/>
  <c r="H33" i="6852"/>
  <c r="H7" i="6852"/>
  <c r="H15" i="6852"/>
  <c r="H25" i="6852"/>
  <c r="C22" i="6852"/>
  <c r="H19" i="6852"/>
  <c r="H35" i="6852"/>
  <c r="C39" i="6852"/>
  <c r="C44" i="6852"/>
  <c r="C49" i="6852"/>
  <c r="C24" i="6852"/>
  <c r="H31" i="6852"/>
  <c r="H27" i="6852"/>
  <c r="H40" i="6852"/>
  <c r="H5" i="6852"/>
  <c r="H28" i="6852"/>
  <c r="B27" i="6852"/>
  <c r="H36" i="6852"/>
  <c r="H41" i="6852"/>
  <c r="H46" i="6852"/>
  <c r="H4" i="6852"/>
  <c r="H3" i="6852"/>
  <c r="C41" i="6852"/>
  <c r="H2" i="6852"/>
  <c r="H13" i="6852"/>
  <c r="H45" i="6852"/>
  <c r="H6" i="6852"/>
  <c r="H16" i="6852"/>
  <c r="H22" i="6852"/>
  <c r="H10" i="6852"/>
  <c r="H11" i="6852"/>
  <c r="C23" i="6852"/>
  <c r="B28" i="6852"/>
  <c r="C40" i="6852"/>
  <c r="C45" i="6852"/>
  <c r="H52" i="6852"/>
  <c r="H43" i="6852"/>
  <c r="H47" i="6852"/>
  <c r="H51" i="6852"/>
  <c r="H18" i="6852"/>
  <c r="H8" i="6852"/>
  <c r="H34" i="6852"/>
  <c r="C38" i="6852"/>
  <c r="C42" i="6852"/>
  <c r="C46" i="6852"/>
  <c r="C19" i="6848"/>
  <c r="H14" i="6850"/>
  <c r="H6" i="6850"/>
  <c r="H46" i="6850"/>
  <c r="H11" i="6850"/>
  <c r="H22" i="6850"/>
  <c r="H20" i="6850"/>
  <c r="H48" i="6850"/>
  <c r="C25" i="6850"/>
  <c r="C40" i="6850"/>
  <c r="C26" i="6850"/>
  <c r="H36" i="6850"/>
  <c r="H42" i="6850"/>
  <c r="C47" i="6850"/>
  <c r="C20" i="6850"/>
  <c r="H50" i="6850"/>
  <c r="H30" i="6850"/>
  <c r="H8" i="6850"/>
  <c r="H31" i="6850"/>
  <c r="C41" i="6850"/>
  <c r="H19" i="6850"/>
  <c r="H27" i="6850"/>
  <c r="C22" i="6850"/>
  <c r="B28" i="6850"/>
  <c r="H37" i="6850"/>
  <c r="H44" i="6850"/>
  <c r="C49" i="6850"/>
  <c r="H15" i="6850"/>
  <c r="C45" i="6850"/>
  <c r="H28" i="6850"/>
  <c r="H24" i="6850"/>
  <c r="H25" i="6850"/>
  <c r="H7" i="6850"/>
  <c r="H9" i="6850"/>
  <c r="H29" i="6850"/>
  <c r="H32" i="6850"/>
  <c r="H38" i="6850"/>
  <c r="C43" i="6850"/>
  <c r="H5" i="6850"/>
  <c r="H40" i="6850"/>
  <c r="C39" i="6850"/>
  <c r="H3" i="6850"/>
  <c r="H35" i="6850"/>
  <c r="H2" i="6850"/>
  <c r="H12" i="6850"/>
  <c r="H4" i="6850"/>
  <c r="H26" i="6850"/>
  <c r="C24" i="6850"/>
  <c r="H17" i="6850"/>
  <c r="C37" i="6850"/>
  <c r="C44" i="6850"/>
  <c r="H52" i="6850"/>
  <c r="H41" i="6850"/>
  <c r="H45" i="6850"/>
  <c r="H49" i="6850"/>
  <c r="C48" i="6850"/>
  <c r="H18" i="6850"/>
  <c r="H16" i="6850"/>
  <c r="C23" i="6850"/>
  <c r="B27" i="6850"/>
  <c r="H33" i="6850"/>
  <c r="H39" i="6850"/>
  <c r="H43" i="6850"/>
  <c r="H47" i="6850"/>
  <c r="H51" i="6850"/>
  <c r="H21" i="6850"/>
  <c r="H10" i="6850"/>
  <c r="H34" i="6850"/>
  <c r="C38" i="6850"/>
  <c r="C42" i="6850"/>
  <c r="C46" i="6850"/>
  <c r="C20" i="6848"/>
  <c r="H3" i="6848"/>
  <c r="H21" i="6848"/>
  <c r="H35" i="6848"/>
  <c r="C42" i="6848"/>
  <c r="H18" i="6848"/>
  <c r="H9" i="6848"/>
  <c r="H23" i="6848"/>
  <c r="B28" i="6848"/>
  <c r="H36" i="6848"/>
  <c r="H41" i="6848"/>
  <c r="H44" i="6848"/>
  <c r="H48" i="6848"/>
  <c r="H5" i="6848"/>
  <c r="H30" i="6848"/>
  <c r="H13" i="6848"/>
  <c r="H33" i="6848"/>
  <c r="H37" i="6848"/>
  <c r="C39" i="6848"/>
  <c r="C43" i="6848"/>
  <c r="C47" i="6848"/>
  <c r="H52" i="6848"/>
  <c r="H20" i="6848"/>
  <c r="H28" i="6848"/>
  <c r="C25" i="6848"/>
  <c r="H42" i="6848"/>
  <c r="H45" i="6848"/>
  <c r="H49" i="6848"/>
  <c r="H8" i="6848"/>
  <c r="C38" i="6848"/>
  <c r="C46" i="6848"/>
  <c r="H2" i="6848"/>
  <c r="H19" i="6848"/>
  <c r="C24" i="6848"/>
  <c r="H7" i="6848"/>
  <c r="H10" i="6848"/>
  <c r="H29" i="6848"/>
  <c r="H14" i="6848"/>
  <c r="H32" i="6848"/>
  <c r="H17" i="6848"/>
  <c r="H38" i="6848"/>
  <c r="C40" i="6848"/>
  <c r="C44" i="6848"/>
  <c r="C48" i="6848"/>
  <c r="H4" i="6848"/>
  <c r="H24" i="6848"/>
  <c r="C22" i="6848"/>
  <c r="C26" i="6848"/>
  <c r="H39" i="6848"/>
  <c r="H26" i="6848"/>
  <c r="H46" i="6848"/>
  <c r="H50" i="6848"/>
  <c r="H6" i="6848"/>
  <c r="H12" i="6848"/>
  <c r="H27" i="6848"/>
  <c r="H31" i="6848"/>
  <c r="H22" i="6848"/>
  <c r="H25" i="6848"/>
  <c r="C37" i="6848"/>
  <c r="C41" i="6848"/>
  <c r="C45" i="6848"/>
  <c r="C49" i="6848"/>
  <c r="H11" i="6848"/>
  <c r="H16" i="6848"/>
  <c r="H15" i="6848"/>
  <c r="C23" i="6848"/>
  <c r="B27" i="6848"/>
  <c r="H34" i="6848"/>
  <c r="H40" i="6848"/>
  <c r="H43" i="6848"/>
  <c r="H47" i="6848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<sst xmlns="http://schemas.openxmlformats.org/spreadsheetml/2006/main" count="2921" uniqueCount="236">
  <si>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</si>
  <si>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</si>
  <si>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</si>
  <si>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</si>
  <si>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</si>
  <si>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</si>
  <si>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</si>
  <si>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</si>
  <si>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</si>
  <si>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</si>
  <si>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</si>
  <si>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</si>
  <si>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</si>
  <si>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</si>
  <si>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</si>
  <si>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</si>
  <si>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</si>
  <si>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</si>
  <si>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</si>
  <si>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</si>
  <si>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</si>
  <si>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</si>
  <si>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</si>
  <si>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</si>
  <si>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</si>
  <si>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</si>
  <si>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</si>
  <si>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</si>
  <si>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</si>
  <si>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</si>
  <si>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</si>
  <si>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</si>
  <si>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</si>
  <si>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</si>
  <si>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</si>
  <si>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</si>
  <si>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</si>
  <si>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</si>
  <si>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</si>
  <si>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</si>
  <si>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</si>
  <si>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</si>
  <si>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</si>
  <si>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</si>
  <si>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</si>
  <si>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</si>
  <si>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</si>
  <si>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</si>
  <si>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</si>
  <si>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</si>
  <si>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</si>
  <si>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</si>
  <si>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</si>
  <si>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</si>
  <si>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</si>
  <si>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</si>
  <si>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</si>
  <si>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</si>
  <si>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</si>
  <si>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</si>
  <si>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</si>
  <si>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</si>
  <si>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</si>
  <si>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</si>
  <si>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</si>
  <si>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</si>
  <si>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</si>
  <si>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</si>
  <si>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</si>
  <si>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</si>
  <si>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</si>
  <si>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</si>
  <si>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</si>
  <si>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</si>
  <si>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</si>
  <si>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</si>
  <si>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</si>
  <si>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</si>
  <si>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</si>
  <si>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</si>
  <si>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</si>
  <si>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</si>
  <si>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</si>
  <si>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</si>
  <si>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</si>
  <si>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</si>
  <si>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</si>
  <si>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</si>
  <si>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</si>
  <si>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</si>
  <si>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</si>
  <si>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</si>
  <si>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</si>
  <si>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</si>
  <si>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</si>
  <si>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</si>
  <si>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</si>
  <si>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</si>
  <si>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</si>
  <si>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</si>
  <si>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</si>
  <si>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</si>
  <si>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</si>
  <si>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</si>
  <si>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</si>
  <si>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</si>
  <si>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</si>
  <si>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</si>
  <si>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</si>
  <si>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</si>
  <si>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</si>
  <si>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</si>
  <si>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</si>
  <si>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</si>
  <si>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</si>
  <si>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</si>
  <si>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</si>
  <si>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</si>
  <si>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</si>
  <si>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</si>
  <si>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</si>
  <si>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</si>
  <si>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</si>
  <si>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</si>
  <si>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</si>
  <si>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</si>
  <si>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</si>
  <si>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</si>
  <si>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</si>
  <si>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</si>
  <si>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</si>
  <si>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</si>
  <si>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</si>
  <si>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</si>
  <si>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</si>
  <si>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</si>
  <si>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</si>
  <si>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</si>
  <si>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</si>
  <si>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</si>
  <si>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</si>
  <si>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</si>
  <si>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</si>
  <si>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</si>
  <si>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</si>
  <si>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</si>
  <si>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</si>
  <si>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</si>
  <si>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</si>
  <si>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</si>
  <si>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</si>
  <si>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</si>
  <si>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</si>
  <si>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</si>
  <si>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</si>
  <si>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</si>
  <si>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</si>
  <si>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</si>
  <si>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</si>
  <si>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</si>
  <si>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</si>
  <si>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</si>
  <si>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</si>
  <si>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</si>
  <si>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</si>
  <si>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</si>
  <si>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</si>
  <si>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</si>
  <si>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</si>
  <si>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</si>
  <si>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</si>
  <si>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</si>
  <si>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</si>
  <si>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</si>
  <si>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</si>
  <si>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</si>
  <si>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</si>
  <si>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</si>
  <si>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</si>
  <si>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</si>
  <si>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</si>
  <si>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</si>
  <si>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</si>
  <si>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</si>
  <si>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</si>
  <si>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</si>
  <si>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</si>
  <si>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</si>
  <si>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</si>
  <si>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</si>
  <si>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まっつん</t>
  </si>
  <si>
    <t>Sheet3</t>
  </si>
  <si>
    <t>ただ</t>
  </si>
  <si>
    <t>のり</t>
  </si>
  <si>
    <t>Sheet4</t>
  </si>
  <si>
    <t>りくと</t>
  </si>
  <si>
    <t>レーティング</t>
    <phoneticPr fontId="1"/>
  </si>
  <si>
    <t>R</t>
    <phoneticPr fontId="1"/>
  </si>
  <si>
    <t>ともき</t>
  </si>
  <si>
    <t>ぱぱ</t>
  </si>
  <si>
    <t>あさひ</t>
  </si>
  <si>
    <t>いっしー</t>
  </si>
  <si>
    <t>ほたに</t>
  </si>
  <si>
    <t>かわたつ</t>
  </si>
  <si>
    <t>やがさき</t>
  </si>
  <si>
    <t>ちさと</t>
  </si>
  <si>
    <t>かこたろう</t>
  </si>
  <si>
    <t>がくと</t>
  </si>
  <si>
    <t>相関</t>
    <rPh sb="0" eb="2">
      <t>ソウカン</t>
    </rPh>
    <phoneticPr fontId="1"/>
  </si>
  <si>
    <t>ゆう</t>
  </si>
  <si>
    <t>てんちゃん</t>
  </si>
  <si>
    <t>いちかわ</t>
  </si>
  <si>
    <t>2020-09-25@0.xlsm</t>
  </si>
  <si>
    <t>2020-09-27@0.xlsm</t>
  </si>
  <si>
    <t>2020-10-01@0.xlsm</t>
  </si>
  <si>
    <t>2020-10-03@0.xlsm</t>
  </si>
  <si>
    <t>たか</t>
  </si>
  <si>
    <t>2020-10-04@0.xlsm</t>
  </si>
  <si>
    <t>2020-10-05@0.xlsm</t>
  </si>
  <si>
    <t>2020-10-06@0.xlsm</t>
  </si>
  <si>
    <t>2020-10-07@0.xlsm</t>
  </si>
  <si>
    <t>わさび</t>
  </si>
  <si>
    <t>2020-10-08@0.xlsm</t>
  </si>
  <si>
    <t>2020-10-09@0.xlsm</t>
  </si>
  <si>
    <t>2020-10-10@0.xlsm</t>
  </si>
  <si>
    <t>わさび</t>
    <phoneticPr fontId="1"/>
  </si>
  <si>
    <t>2020-10-12@0.xlsm</t>
  </si>
  <si>
    <t>2020-10-14@0.xlsm</t>
  </si>
  <si>
    <t>2020-10-15@0.xlsm</t>
  </si>
  <si>
    <t>2020-10-17@0.xlsm</t>
  </si>
  <si>
    <t>2020-10-19@0.xlsm</t>
  </si>
  <si>
    <t>2020-10-21@0.xlsm</t>
  </si>
  <si>
    <t>2020-10-22@0.xlsm</t>
  </si>
  <si>
    <t>2020-10-23@0.xlsm</t>
  </si>
  <si>
    <t>2020-10-25@0.xlsm</t>
  </si>
  <si>
    <t>2020-10-26@0.xlsm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</si>
</sst>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9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全体!$K$2:$K$167</c:f>
              <c:numCache>
                <c:formatCode>General</c:formatCode>
                <c:ptCount val="1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</c:numCache>
            </c:numRef>
          </c:xVal>
          <c:yVal>
            <c:numRef>
              <c:f>全体!$L$2:$L$167</c:f>
              <c:numCache>
                <c:formatCode>\+0.0;\-0.0;\±0</c:formatCode>
                <c:ptCount val="166"/>
                <c:pt idx="0">
                  <c:v>0</c:v>
                </c:pt>
                <c:pt idx="1">
                  <c:v>20.9</c:v>
                </c:pt>
                <c:pt idx="2">
                  <c:v>-10.100000000000001</c:v>
                </c:pt>
                <c:pt idx="3">
                  <c:v>-1.7763568394002505E-15</c:v>
                </c:pt>
                <c:pt idx="4">
                  <c:v>26.299999999999997</c:v>
                </c:pt>
                <c:pt idx="5">
                  <c:v>-41.600000000000009</c:v>
                </c:pt>
                <c:pt idx="6">
                  <c:v>-7.1054273576010019E-15</c:v>
                </c:pt>
                <c:pt idx="7">
                  <c:v>-33.600000000000009</c:v>
                </c:pt>
                <c:pt idx="8">
                  <c:v>21.999999999999993</c:v>
                </c:pt>
                <c:pt idx="9">
                  <c:v>-7.1054273576010019E-15</c:v>
                </c:pt>
                <c:pt idx="10">
                  <c:v>-30.700000000000006</c:v>
                </c:pt>
                <c:pt idx="11">
                  <c:v>-34.000000000000007</c:v>
                </c:pt>
                <c:pt idx="12">
                  <c:v>-7.1054273576010019E-15</c:v>
                </c:pt>
                <c:pt idx="13">
                  <c:v>48.999999999999993</c:v>
                </c:pt>
                <c:pt idx="14">
                  <c:v>3.4999999999999929</c:v>
                </c:pt>
                <c:pt idx="15">
                  <c:v>-7.1054273576010019E-15</c:v>
                </c:pt>
                <c:pt idx="16">
                  <c:v>-11.600000000000007</c:v>
                </c:pt>
                <c:pt idx="17">
                  <c:v>-7.1054273576010019E-15</c:v>
                </c:pt>
                <c:pt idx="18">
                  <c:v>-7.1054273576010019E-15</c:v>
                </c:pt>
                <c:pt idx="19">
                  <c:v>-23.100000000000009</c:v>
                </c:pt>
                <c:pt idx="20">
                  <c:v>-31.300000000000008</c:v>
                </c:pt>
                <c:pt idx="21">
                  <c:v>-7.1054273576010019E-15</c:v>
                </c:pt>
                <c:pt idx="22">
                  <c:v>-4.4000000000000075</c:v>
                </c:pt>
                <c:pt idx="23">
                  <c:v>37.999999999999993</c:v>
                </c:pt>
                <c:pt idx="24">
                  <c:v>-7.1054273576010019E-15</c:v>
                </c:pt>
                <c:pt idx="25">
                  <c:v>-28.000000000000007</c:v>
                </c:pt>
                <c:pt idx="26">
                  <c:v>-8.0000000000000071</c:v>
                </c:pt>
                <c:pt idx="27">
                  <c:v>-7.1054273576010019E-15</c:v>
                </c:pt>
                <c:pt idx="28">
                  <c:v>36.899999999999991</c:v>
                </c:pt>
                <c:pt idx="29">
                  <c:v>-3.1000000000000085</c:v>
                </c:pt>
                <c:pt idx="30">
                  <c:v>-8.4376949871511897E-15</c:v>
                </c:pt>
                <c:pt idx="31">
                  <c:v>49.599999999999994</c:v>
                </c:pt>
                <c:pt idx="32">
                  <c:v>36.799999999999997</c:v>
                </c:pt>
                <c:pt idx="33">
                  <c:v>0</c:v>
                </c:pt>
                <c:pt idx="34">
                  <c:v>33.6</c:v>
                </c:pt>
                <c:pt idx="35">
                  <c:v>-20.199999999999996</c:v>
                </c:pt>
                <c:pt idx="36">
                  <c:v>3.5527136788005009E-15</c:v>
                </c:pt>
                <c:pt idx="37">
                  <c:v>-34.399999999999991</c:v>
                </c:pt>
                <c:pt idx="38">
                  <c:v>-23.79999999999999</c:v>
                </c:pt>
                <c:pt idx="39">
                  <c:v>1.0658141036401503E-14</c:v>
                </c:pt>
                <c:pt idx="40">
                  <c:v>-28.79999999999999</c:v>
                </c:pt>
                <c:pt idx="41">
                  <c:v>-22.499999999999989</c:v>
                </c:pt>
                <c:pt idx="42">
                  <c:v>1.0658141036401503E-14</c:v>
                </c:pt>
                <c:pt idx="43">
                  <c:v>26.600000000000012</c:v>
                </c:pt>
                <c:pt idx="44">
                  <c:v>-6.5999999999999908</c:v>
                </c:pt>
                <c:pt idx="45">
                  <c:v>8.8817841970012523E-15</c:v>
                </c:pt>
                <c:pt idx="46">
                  <c:v>-27.999999999999993</c:v>
                </c:pt>
                <c:pt idx="47">
                  <c:v>50.000000000000007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-26.599999999999991</c:v>
                </c:pt>
                <c:pt idx="51">
                  <c:v>1.0658141036401503E-14</c:v>
                </c:pt>
                <c:pt idx="52">
                  <c:v>-24.199999999999989</c:v>
                </c:pt>
                <c:pt idx="53">
                  <c:v>-20.199999999999989</c:v>
                </c:pt>
                <c:pt idx="54">
                  <c:v>1.0658141036401503E-14</c:v>
                </c:pt>
                <c:pt idx="55">
                  <c:v>-17.499999999999989</c:v>
                </c:pt>
                <c:pt idx="56">
                  <c:v>0.50000000000001066</c:v>
                </c:pt>
                <c:pt idx="57">
                  <c:v>1.0658141036401503E-14</c:v>
                </c:pt>
                <c:pt idx="58">
                  <c:v>16.600000000000012</c:v>
                </c:pt>
                <c:pt idx="59">
                  <c:v>13.600000000000012</c:v>
                </c:pt>
                <c:pt idx="60">
                  <c:v>1.2434497875801753E-14</c:v>
                </c:pt>
                <c:pt idx="61">
                  <c:v>-13.999999999999988</c:v>
                </c:pt>
                <c:pt idx="62">
                  <c:v>-39.699999999999989</c:v>
                </c:pt>
                <c:pt idx="63">
                  <c:v>1.4210854715202004E-14</c:v>
                </c:pt>
                <c:pt idx="64">
                  <c:v>-19.799999999999986</c:v>
                </c:pt>
                <c:pt idx="65">
                  <c:v>-50.899999999999991</c:v>
                </c:pt>
                <c:pt idx="66">
                  <c:v>7.1054273576010019E-15</c:v>
                </c:pt>
                <c:pt idx="67">
                  <c:v>-26.699999999999992</c:v>
                </c:pt>
                <c:pt idx="68">
                  <c:v>7.0000000000000107</c:v>
                </c:pt>
                <c:pt idx="69">
                  <c:v>1.0658141036401503E-14</c:v>
                </c:pt>
                <c:pt idx="70">
                  <c:v>-24.399999999999988</c:v>
                </c:pt>
                <c:pt idx="71">
                  <c:v>-24.299999999999986</c:v>
                </c:pt>
                <c:pt idx="72">
                  <c:v>1.4210854715202004E-14</c:v>
                </c:pt>
                <c:pt idx="73">
                  <c:v>8.2000000000000135</c:v>
                </c:pt>
                <c:pt idx="74">
                  <c:v>32.800000000000011</c:v>
                </c:pt>
                <c:pt idx="75">
                  <c:v>1.4210854715202004E-14</c:v>
                </c:pt>
                <c:pt idx="76">
                  <c:v>-14.299999999999986</c:v>
                </c:pt>
                <c:pt idx="77">
                  <c:v>-14.799999999999986</c:v>
                </c:pt>
                <c:pt idx="78">
                  <c:v>1.4210854715202004E-14</c:v>
                </c:pt>
                <c:pt idx="79">
                  <c:v>-6.8999999999999861</c:v>
                </c:pt>
                <c:pt idx="80">
                  <c:v>20.100000000000016</c:v>
                </c:pt>
                <c:pt idx="81">
                  <c:v>1.4210854715202004E-14</c:v>
                </c:pt>
                <c:pt idx="82">
                  <c:v>-0.69999999999998574</c:v>
                </c:pt>
                <c:pt idx="83">
                  <c:v>-24.199999999999985</c:v>
                </c:pt>
                <c:pt idx="84">
                  <c:v>1.4210854715202004E-14</c:v>
                </c:pt>
                <c:pt idx="85">
                  <c:v>33.500000000000014</c:v>
                </c:pt>
                <c:pt idx="86">
                  <c:v>34.500000000000014</c:v>
                </c:pt>
                <c:pt idx="87">
                  <c:v>1.4210854715202004E-14</c:v>
                </c:pt>
                <c:pt idx="88">
                  <c:v>-24.699999999999985</c:v>
                </c:pt>
                <c:pt idx="89">
                  <c:v>-4.0999999999999837</c:v>
                </c:pt>
                <c:pt idx="90">
                  <c:v>1.5987211554602254E-14</c:v>
                </c:pt>
                <c:pt idx="91">
                  <c:v>-37.899999999999984</c:v>
                </c:pt>
                <c:pt idx="92">
                  <c:v>-13.099999999999984</c:v>
                </c:pt>
                <c:pt idx="93">
                  <c:v>1.5987211554602254E-14</c:v>
                </c:pt>
                <c:pt idx="94">
                  <c:v>-41.399999999999984</c:v>
                </c:pt>
                <c:pt idx="95">
                  <c:v>-49.59999999999998</c:v>
                </c:pt>
                <c:pt idx="96">
                  <c:v>2.1316282072803006E-14</c:v>
                </c:pt>
                <c:pt idx="97">
                  <c:v>3.6000000000000214</c:v>
                </c:pt>
                <c:pt idx="98">
                  <c:v>-46.499999999999979</c:v>
                </c:pt>
                <c:pt idx="99">
                  <c:v>2.1316282072803006E-14</c:v>
                </c:pt>
                <c:pt idx="100">
                  <c:v>28.300000000000022</c:v>
                </c:pt>
                <c:pt idx="101">
                  <c:v>-8.7999999999999794</c:v>
                </c:pt>
                <c:pt idx="102">
                  <c:v>2.1316282072803006E-14</c:v>
                </c:pt>
                <c:pt idx="103">
                  <c:v>-31.09999999999998</c:v>
                </c:pt>
                <c:pt idx="104">
                  <c:v>11.600000000000023</c:v>
                </c:pt>
                <c:pt idx="105">
                  <c:v>2.3092638912203256E-14</c:v>
                </c:pt>
                <c:pt idx="106">
                  <c:v>58.500000000000021</c:v>
                </c:pt>
                <c:pt idx="107">
                  <c:v>24.100000000000023</c:v>
                </c:pt>
                <c:pt idx="108">
                  <c:v>2.1316282072803006E-14</c:v>
                </c:pt>
                <c:pt idx="109">
                  <c:v>-15.599999999999978</c:v>
                </c:pt>
                <c:pt idx="110">
                  <c:v>-7.7999999999999785</c:v>
                </c:pt>
                <c:pt idx="111">
                  <c:v>2.1316282072803006E-14</c:v>
                </c:pt>
                <c:pt idx="112">
                  <c:v>18.100000000000023</c:v>
                </c:pt>
                <c:pt idx="113">
                  <c:v>1.4000000000000234</c:v>
                </c:pt>
                <c:pt idx="114">
                  <c:v>2.3536728122053319E-14</c:v>
                </c:pt>
                <c:pt idx="115">
                  <c:v>-4.5999999999999766</c:v>
                </c:pt>
                <c:pt idx="116">
                  <c:v>-26.899999999999977</c:v>
                </c:pt>
                <c:pt idx="117">
                  <c:v>2.1316282072803006E-14</c:v>
                </c:pt>
                <c:pt idx="118">
                  <c:v>31.90000000000002</c:v>
                </c:pt>
                <c:pt idx="119">
                  <c:v>33.500000000000021</c:v>
                </c:pt>
                <c:pt idx="120">
                  <c:v>2.1316282072803006E-14</c:v>
                </c:pt>
                <c:pt idx="121">
                  <c:v>-45.699999999999982</c:v>
                </c:pt>
                <c:pt idx="122">
                  <c:v>-43.59999999999998</c:v>
                </c:pt>
                <c:pt idx="123">
                  <c:v>2.1316282072803006E-14</c:v>
                </c:pt>
                <c:pt idx="124">
                  <c:v>42.000000000000021</c:v>
                </c:pt>
                <c:pt idx="125">
                  <c:v>-7.6999999999999815</c:v>
                </c:pt>
                <c:pt idx="126">
                  <c:v>1.865174681370263E-14</c:v>
                </c:pt>
                <c:pt idx="127">
                  <c:v>-0.99999999999998135</c:v>
                </c:pt>
                <c:pt idx="128">
                  <c:v>-54.999999999999979</c:v>
                </c:pt>
                <c:pt idx="129">
                  <c:v>2.1316282072803006E-14</c:v>
                </c:pt>
                <c:pt idx="130">
                  <c:v>39.600000000000023</c:v>
                </c:pt>
                <c:pt idx="131">
                  <c:v>6.8000000000000256</c:v>
                </c:pt>
                <c:pt idx="132">
                  <c:v>2.5757174171303632E-14</c:v>
                </c:pt>
                <c:pt idx="133">
                  <c:v>-25.399999999999974</c:v>
                </c:pt>
                <c:pt idx="134">
                  <c:v>-30.799999999999976</c:v>
                </c:pt>
                <c:pt idx="135">
                  <c:v>2.4868995751603507E-14</c:v>
                </c:pt>
                <c:pt idx="136">
                  <c:v>28.300000000000026</c:v>
                </c:pt>
                <c:pt idx="137">
                  <c:v>31.000000000000025</c:v>
                </c:pt>
                <c:pt idx="138">
                  <c:v>2.4868995751603507E-14</c:v>
                </c:pt>
                <c:pt idx="139">
                  <c:v>7.5000000000000249</c:v>
                </c:pt>
                <c:pt idx="140">
                  <c:v>-29.399999999999974</c:v>
                </c:pt>
                <c:pt idx="141">
                  <c:v>2.4868995751603507E-14</c:v>
                </c:pt>
                <c:pt idx="142">
                  <c:v>8.9000000000000252</c:v>
                </c:pt>
                <c:pt idx="143">
                  <c:v>45.700000000000024</c:v>
                </c:pt>
                <c:pt idx="144">
                  <c:v>2.1316282072803006E-14</c:v>
                </c:pt>
                <c:pt idx="145">
                  <c:v>22.100000000000023</c:v>
                </c:pt>
                <c:pt idx="146">
                  <c:v>-5.4999999999999787</c:v>
                </c:pt>
                <c:pt idx="147">
                  <c:v>2.1316282072803006E-14</c:v>
                </c:pt>
                <c:pt idx="148">
                  <c:v>73.800000000000011</c:v>
                </c:pt>
                <c:pt idx="149">
                  <c:v>21.70000000000001</c:v>
                </c:pt>
                <c:pt idx="150">
                  <c:v>1.0658141036401503E-14</c:v>
                </c:pt>
                <c:pt idx="151">
                  <c:v>31.20000000000001</c:v>
                </c:pt>
                <c:pt idx="152">
                  <c:v>51.500000000000014</c:v>
                </c:pt>
                <c:pt idx="153">
                  <c:v>1.4210854715202004E-14</c:v>
                </c:pt>
                <c:pt idx="154">
                  <c:v>-39.299999999999983</c:v>
                </c:pt>
                <c:pt idx="155">
                  <c:v>21.000000000000014</c:v>
                </c:pt>
                <c:pt idx="156">
                  <c:v>1.4210854715202004E-14</c:v>
                </c:pt>
                <c:pt idx="157">
                  <c:v>4.1000000000000139</c:v>
                </c:pt>
                <c:pt idx="158">
                  <c:v>-36.199999999999982</c:v>
                </c:pt>
                <c:pt idx="159">
                  <c:v>2.1316282072803006E-14</c:v>
                </c:pt>
                <c:pt idx="160">
                  <c:v>69.700000000000017</c:v>
                </c:pt>
                <c:pt idx="161">
                  <c:v>46.300000000000018</c:v>
                </c:pt>
                <c:pt idx="162">
                  <c:v>2.1316282072803006E-14</c:v>
                </c:pt>
                <c:pt idx="163">
                  <c:v>20.500000000000021</c:v>
                </c:pt>
                <c:pt idx="164">
                  <c:v>24.90000000000002</c:v>
                </c:pt>
                <c:pt idx="165">
                  <c:v>2.1316282072803006E-14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1C-4BD1-892C-8936F5321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-36.363636363636367</c:v>
                </c:pt>
                <c:pt idx="1">
                  <c:v>37.735849056603776</c:v>
                </c:pt>
                <c:pt idx="2">
                  <c:v>-30.864197530864196</c:v>
                </c:pt>
                <c:pt idx="3">
                  <c:v>34.013605442176868</c:v>
                </c:pt>
                <c:pt idx="4">
                  <c:v>-22.727272727272727</c:v>
                </c:pt>
                <c:pt idx="5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99-40D1-8A93-53C1C7202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34</c:v>
                </c:pt>
                <c:pt idx="1">
                  <c:v>83</c:v>
                </c:pt>
                <c:pt idx="2">
                  <c:v>81</c:v>
                </c:pt>
                <c:pt idx="3">
                  <c:v>66</c:v>
                </c:pt>
                <c:pt idx="4">
                  <c:v>51</c:v>
                </c:pt>
                <c:pt idx="5">
                  <c:v>39</c:v>
                </c:pt>
                <c:pt idx="6">
                  <c:v>25</c:v>
                </c:pt>
                <c:pt idx="7">
                  <c:v>13</c:v>
                </c:pt>
                <c:pt idx="8">
                  <c:v>7</c:v>
                </c:pt>
                <c:pt idx="9">
                  <c:v>5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99-4A66-83D7-AB5E64D2B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全体!$K$2:$K$167</c:f>
              <c:numCache>
                <c:formatCode>General</c:formatCode>
                <c:ptCount val="1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</c:numCache>
            </c:numRef>
          </c:xVal>
          <c:yVal>
            <c:numRef>
              <c:f>全体!$M$2:$M$167</c:f>
              <c:numCache>
                <c:formatCode>0</c:formatCode>
                <c:ptCount val="166"/>
                <c:pt idx="0">
                  <c:v>1594.5463045050694</c:v>
                </c:pt>
                <c:pt idx="1">
                  <c:v>1597.7410266780389</c:v>
                </c:pt>
                <c:pt idx="2">
                  <c:v>1591.5745805179706</c:v>
                </c:pt>
                <c:pt idx="3">
                  <c:v>1592.8431330348628</c:v>
                </c:pt>
                <c:pt idx="4">
                  <c:v>1597.8720742366536</c:v>
                </c:pt>
                <c:pt idx="5">
                  <c:v>1585.9148417912336</c:v>
                </c:pt>
                <c:pt idx="6">
                  <c:v>1593.7393527404861</c:v>
                </c:pt>
                <c:pt idx="7">
                  <c:v>1587.8309166240431</c:v>
                </c:pt>
                <c:pt idx="8">
                  <c:v>1598.0139311242988</c:v>
                </c:pt>
                <c:pt idx="9">
                  <c:v>1594.1678475375529</c:v>
                </c:pt>
                <c:pt idx="10">
                  <c:v>1588.8028404523277</c:v>
                </c:pt>
                <c:pt idx="11">
                  <c:v>1588.4020234096138</c:v>
                </c:pt>
                <c:pt idx="12">
                  <c:v>1594.7176112691561</c:v>
                </c:pt>
                <c:pt idx="13">
                  <c:v>1603.6953056015411</c:v>
                </c:pt>
                <c:pt idx="14">
                  <c:v>1595.6091337679318</c:v>
                </c:pt>
                <c:pt idx="15">
                  <c:v>1595.1314789653243</c:v>
                </c:pt>
                <c:pt idx="16">
                  <c:v>1593.0666900915323</c:v>
                </c:pt>
                <c:pt idx="17">
                  <c:v>1595.1902899509832</c:v>
                </c:pt>
                <c:pt idx="18">
                  <c:v>1595.2131482112773</c:v>
                </c:pt>
                <c:pt idx="19">
                  <c:v>1591.1138693220096</c:v>
                </c:pt>
                <c:pt idx="20">
                  <c:v>1589.7211861060775</c:v>
                </c:pt>
                <c:pt idx="21">
                  <c:v>1595.4468589894411</c:v>
                </c:pt>
                <c:pt idx="22">
                  <c:v>1594.0581778355045</c:v>
                </c:pt>
                <c:pt idx="23">
                  <c:v>1601.1018287684915</c:v>
                </c:pt>
                <c:pt idx="24">
                  <c:v>1593.6312177958805</c:v>
                </c:pt>
                <c:pt idx="25">
                  <c:v>1587.7054304891053</c:v>
                </c:pt>
                <c:pt idx="26">
                  <c:v>1590.4551979061707</c:v>
                </c:pt>
                <c:pt idx="27">
                  <c:v>1591.0284667187336</c:v>
                </c:pt>
                <c:pt idx="28">
                  <c:v>1597.5382959184212</c:v>
                </c:pt>
                <c:pt idx="29">
                  <c:v>1590.1670661429107</c:v>
                </c:pt>
                <c:pt idx="30">
                  <c:v>1590.5980637460532</c:v>
                </c:pt>
                <c:pt idx="31">
                  <c:v>1599.3964753635769</c:v>
                </c:pt>
                <c:pt idx="32">
                  <c:v>1596.9100965113955</c:v>
                </c:pt>
                <c:pt idx="33">
                  <c:v>1590.1186359323272</c:v>
                </c:pt>
                <c:pt idx="34">
                  <c:v>1595.8779241167331</c:v>
                </c:pt>
                <c:pt idx="35">
                  <c:v>1585.8706565720327</c:v>
                </c:pt>
                <c:pt idx="36">
                  <c:v>1589.2434326326004</c:v>
                </c:pt>
                <c:pt idx="37">
                  <c:v>1582.7679720368048</c:v>
                </c:pt>
                <c:pt idx="38">
                  <c:v>1584.431364204584</c:v>
                </c:pt>
                <c:pt idx="39">
                  <c:v>1588.4607760193564</c:v>
                </c:pt>
                <c:pt idx="40">
                  <c:v>1582.7880113632402</c:v>
                </c:pt>
                <c:pt idx="41">
                  <c:v>1583.4672832950607</c:v>
                </c:pt>
                <c:pt idx="42">
                  <c:v>1587.0584795952905</c:v>
                </c:pt>
                <c:pt idx="43">
                  <c:v>1592.3501287177187</c:v>
                </c:pt>
                <c:pt idx="44">
                  <c:v>1586.8460279454123</c:v>
                </c:pt>
                <c:pt idx="45">
                  <c:v>1588.5389517777398</c:v>
                </c:pt>
                <c:pt idx="46">
                  <c:v>1583.9937180670734</c:v>
                </c:pt>
                <c:pt idx="47">
                  <c:v>1598.555755758671</c:v>
                </c:pt>
                <c:pt idx="48">
                  <c:v>1589.990421224119</c:v>
                </c:pt>
                <c:pt idx="49">
                  <c:v>1586.2644786967744</c:v>
                </c:pt>
                <c:pt idx="50">
                  <c:v>1585.4768918245938</c:v>
                </c:pt>
                <c:pt idx="51">
                  <c:v>1590.4180304736462</c:v>
                </c:pt>
                <c:pt idx="52">
                  <c:v>1585.5015222908044</c:v>
                </c:pt>
                <c:pt idx="53">
                  <c:v>1585.6905131570595</c:v>
                </c:pt>
                <c:pt idx="54">
                  <c:v>1588.7943700781173</c:v>
                </c:pt>
                <c:pt idx="55">
                  <c:v>1584.9436038576484</c:v>
                </c:pt>
                <c:pt idx="56">
                  <c:v>1587.5059422345025</c:v>
                </c:pt>
                <c:pt idx="57">
                  <c:v>1586.7229065810955</c:v>
                </c:pt>
                <c:pt idx="58">
                  <c:v>1589.7965691416089</c:v>
                </c:pt>
                <c:pt idx="59">
                  <c:v>1589.3237897267593</c:v>
                </c:pt>
                <c:pt idx="60">
                  <c:v>1586.9458469883987</c:v>
                </c:pt>
                <c:pt idx="61">
                  <c:v>1584.6241719064683</c:v>
                </c:pt>
                <c:pt idx="62">
                  <c:v>1580.2104268750295</c:v>
                </c:pt>
                <c:pt idx="63">
                  <c:v>1587.5951643137794</c:v>
                </c:pt>
                <c:pt idx="64">
                  <c:v>1584.2255933278966</c:v>
                </c:pt>
                <c:pt idx="65">
                  <c:v>1578.8422397679292</c:v>
                </c:pt>
                <c:pt idx="66">
                  <c:v>1588.2511863293216</c:v>
                </c:pt>
                <c:pt idx="67">
                  <c:v>1583.6356792113456</c:v>
                </c:pt>
                <c:pt idx="68">
                  <c:v>1589.9198651360775</c:v>
                </c:pt>
                <c:pt idx="69">
                  <c:v>1588.8403459452611</c:v>
                </c:pt>
                <c:pt idx="70">
                  <c:v>1584.4493038695896</c:v>
                </c:pt>
                <c:pt idx="71">
                  <c:v>1584.4946080463722</c:v>
                </c:pt>
                <c:pt idx="72">
                  <c:v>1588.895640398094</c:v>
                </c:pt>
                <c:pt idx="73">
                  <c:v>1590.3722665557054</c:v>
                </c:pt>
                <c:pt idx="74">
                  <c:v>1594.7920329563713</c:v>
                </c:pt>
                <c:pt idx="75">
                  <c:v>1588.853280758633</c:v>
                </c:pt>
                <c:pt idx="76">
                  <c:v>1586.3761610740812</c:v>
                </c:pt>
                <c:pt idx="77">
                  <c:v>1586.3979041076368</c:v>
                </c:pt>
                <c:pt idx="78">
                  <c:v>1589.173516682991</c:v>
                </c:pt>
                <c:pt idx="79">
                  <c:v>1588.026475582893</c:v>
                </c:pt>
                <c:pt idx="80">
                  <c:v>1592.9883167293956</c:v>
                </c:pt>
                <c:pt idx="81">
                  <c:v>1589.4423868290191</c:v>
                </c:pt>
                <c:pt idx="82">
                  <c:v>1589.409732508045</c:v>
                </c:pt>
                <c:pt idx="83">
                  <c:v>1585.2732741129967</c:v>
                </c:pt>
                <c:pt idx="84">
                  <c:v>1589.7476344683187</c:v>
                </c:pt>
                <c:pt idx="85">
                  <c:v>1595.1791486615089</c:v>
                </c:pt>
                <c:pt idx="86">
                  <c:v>1594.7280737695398</c:v>
                </c:pt>
                <c:pt idx="87">
                  <c:v>1587.8897053269227</c:v>
                </c:pt>
                <c:pt idx="88">
                  <c:v>1583.8223670949612</c:v>
                </c:pt>
                <c:pt idx="89">
                  <c:v>1587.9334328923915</c:v>
                </c:pt>
                <c:pt idx="90">
                  <c:v>1589.049832295037</c:v>
                </c:pt>
                <c:pt idx="91">
                  <c:v>1582.5995333012668</c:v>
                </c:pt>
                <c:pt idx="92">
                  <c:v>1587.4739361014592</c:v>
                </c:pt>
                <c:pt idx="93">
                  <c:v>1590.2130924848504</c:v>
                </c:pt>
                <c:pt idx="94">
                  <c:v>1583.1258139299414</c:v>
                </c:pt>
                <c:pt idx="95">
                  <c:v>1582.0570590463617</c:v>
                </c:pt>
                <c:pt idx="96">
                  <c:v>1591.3987166920836</c:v>
                </c:pt>
                <c:pt idx="97">
                  <c:v>1592.236324391931</c:v>
                </c:pt>
                <c:pt idx="98">
                  <c:v>1583.4029064455794</c:v>
                </c:pt>
                <c:pt idx="99">
                  <c:v>1592.010489006906</c:v>
                </c:pt>
                <c:pt idx="100">
                  <c:v>1596.5344260728646</c:v>
                </c:pt>
                <c:pt idx="101">
                  <c:v>1589.2592195164273</c:v>
                </c:pt>
                <c:pt idx="102">
                  <c:v>1590.2896641993286</c:v>
                </c:pt>
                <c:pt idx="103">
                  <c:v>1584.1319262141326</c:v>
                </c:pt>
                <c:pt idx="104">
                  <c:v>1591.2951346568477</c:v>
                </c:pt>
                <c:pt idx="105">
                  <c:v>1588.6413638489066</c:v>
                </c:pt>
                <c:pt idx="106">
                  <c:v>1599.2455156658132</c:v>
                </c:pt>
                <c:pt idx="107">
                  <c:v>1593.0640425718184</c:v>
                </c:pt>
                <c:pt idx="108">
                  <c:v>1588.7736583163876</c:v>
                </c:pt>
                <c:pt idx="109">
                  <c:v>1586.0390163664892</c:v>
                </c:pt>
                <c:pt idx="110">
                  <c:v>1587.5327822682902</c:v>
                </c:pt>
                <c:pt idx="111">
                  <c:v>1589.0175855746804</c:v>
                </c:pt>
                <c:pt idx="112">
                  <c:v>1592.3474800612323</c:v>
                </c:pt>
                <c:pt idx="113">
                  <c:v>1589.3933951808649</c:v>
                </c:pt>
                <c:pt idx="114">
                  <c:v>1589.2110348097797</c:v>
                </c:pt>
                <c:pt idx="115">
                  <c:v>1588.7057686009209</c:v>
                </c:pt>
                <c:pt idx="116">
                  <c:v>1585.0175339893153</c:v>
                </c:pt>
                <c:pt idx="117">
                  <c:v>1590.2074287853795</c:v>
                </c:pt>
                <c:pt idx="118">
                  <c:v>1596.3801842126672</c:v>
                </c:pt>
                <c:pt idx="119">
                  <c:v>1597.0619031073913</c:v>
                </c:pt>
                <c:pt idx="120">
                  <c:v>1591.4215316887471</c:v>
                </c:pt>
                <c:pt idx="121">
                  <c:v>1583.6190024986147</c:v>
                </c:pt>
                <c:pt idx="122">
                  <c:v>1584.467288483623</c:v>
                </c:pt>
                <c:pt idx="123">
                  <c:v>1592.7804847527211</c:v>
                </c:pt>
                <c:pt idx="124">
                  <c:v>1600.5338018442048</c:v>
                </c:pt>
                <c:pt idx="125">
                  <c:v>1591.7345990331396</c:v>
                </c:pt>
                <c:pt idx="126">
                  <c:v>1593.3201914389408</c:v>
                </c:pt>
                <c:pt idx="127">
                  <c:v>1593.3302702903072</c:v>
                </c:pt>
                <c:pt idx="128">
                  <c:v>1583.8002886685654</c:v>
                </c:pt>
                <c:pt idx="129">
                  <c:v>1593.947486936554</c:v>
                </c:pt>
                <c:pt idx="130">
                  <c:v>1601.2618020149348</c:v>
                </c:pt>
                <c:pt idx="131">
                  <c:v>1595.5002312028453</c:v>
                </c:pt>
                <c:pt idx="132">
                  <c:v>1594.4532298156282</c:v>
                </c:pt>
                <c:pt idx="133">
                  <c:v>1590.0645104367345</c:v>
                </c:pt>
                <c:pt idx="134">
                  <c:v>1589.302123374114</c:v>
                </c:pt>
                <c:pt idx="135">
                  <c:v>1595.0603106338692</c:v>
                </c:pt>
                <c:pt idx="136">
                  <c:v>1600.2019487700661</c:v>
                </c:pt>
                <c:pt idx="137">
                  <c:v>1600.7047370774458</c:v>
                </c:pt>
                <c:pt idx="138">
                  <c:v>1595.138508654981</c:v>
                </c:pt>
                <c:pt idx="139">
                  <c:v>1596.5356776030512</c:v>
                </c:pt>
                <c:pt idx="140">
                  <c:v>1589.932463537433</c:v>
                </c:pt>
                <c:pt idx="141">
                  <c:v>1595.3028687562085</c:v>
                </c:pt>
                <c:pt idx="142">
                  <c:v>1597.3050515436712</c:v>
                </c:pt>
                <c:pt idx="143">
                  <c:v>1604.3172212344091</c:v>
                </c:pt>
                <c:pt idx="144">
                  <c:v>1596.4373179070026</c:v>
                </c:pt>
                <c:pt idx="145">
                  <c:v>1600.8086939995605</c:v>
                </c:pt>
                <c:pt idx="146">
                  <c:v>1596.2078418355632</c:v>
                </c:pt>
                <c:pt idx="147">
                  <c:v>1597.5925947845499</c:v>
                </c:pt>
                <c:pt idx="148">
                  <c:v>1610.7890392158426</c:v>
                </c:pt>
                <c:pt idx="149">
                  <c:v>1601.2443049805477</c:v>
                </c:pt>
                <c:pt idx="150">
                  <c:v>1597.2288391506643</c:v>
                </c:pt>
                <c:pt idx="151">
                  <c:v>1602.7594661157602</c:v>
                </c:pt>
                <c:pt idx="152">
                  <c:v>1606.2949093190657</c:v>
                </c:pt>
                <c:pt idx="153">
                  <c:v>1596.8851398631514</c:v>
                </c:pt>
                <c:pt idx="154">
                  <c:v>1590.2318290239725</c:v>
                </c:pt>
                <c:pt idx="155">
                  <c:v>1601.5464380498288</c:v>
                </c:pt>
                <c:pt idx="156">
                  <c:v>1598.1591594215299</c:v>
                </c:pt>
                <c:pt idx="157">
                  <c:v>1599.1062044650007</c:v>
                </c:pt>
                <c:pt idx="158">
                  <c:v>1592.0555672382106</c:v>
                </c:pt>
                <c:pt idx="159">
                  <c:v>1598.8172338347813</c:v>
                </c:pt>
                <c:pt idx="160">
                  <c:v>1611.2203304317727</c:v>
                </c:pt>
                <c:pt idx="161">
                  <c:v>1606.7910084491821</c:v>
                </c:pt>
                <c:pt idx="162">
                  <c:v>1598.266262398487</c:v>
                </c:pt>
                <c:pt idx="163">
                  <c:v>1601.8166648240961</c:v>
                </c:pt>
                <c:pt idx="164">
                  <c:v>1602.4477648351515</c:v>
                </c:pt>
                <c:pt idx="165">
                  <c:v>1597.8010782461406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7E-40CA-95D4-CBE145ED83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だいち!$K$2:$K$45</c:f>
              <c:numCache>
                <c:formatCode>General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だいち!$L$2:$L$45</c:f>
              <c:numCache>
                <c:formatCode>\+0.0;\-0.0;\±0</c:formatCode>
                <c:ptCount val="44"/>
                <c:pt idx="0">
                  <c:v>0</c:v>
                </c:pt>
                <c:pt idx="1">
                  <c:v>20.9</c:v>
                </c:pt>
                <c:pt idx="2">
                  <c:v>62.5</c:v>
                </c:pt>
                <c:pt idx="3">
                  <c:v>40.5</c:v>
                </c:pt>
                <c:pt idx="4">
                  <c:v>74.5</c:v>
                </c:pt>
                <c:pt idx="5">
                  <c:v>123.5</c:v>
                </c:pt>
                <c:pt idx="6">
                  <c:v>111.9</c:v>
                </c:pt>
                <c:pt idx="7">
                  <c:v>103.7</c:v>
                </c:pt>
                <c:pt idx="8">
                  <c:v>140.6</c:v>
                </c:pt>
                <c:pt idx="9">
                  <c:v>127.8</c:v>
                </c:pt>
                <c:pt idx="10">
                  <c:v>134.4</c:v>
                </c:pt>
                <c:pt idx="11">
                  <c:v>212.4</c:v>
                </c:pt>
                <c:pt idx="12">
                  <c:v>239</c:v>
                </c:pt>
                <c:pt idx="13">
                  <c:v>236</c:v>
                </c:pt>
                <c:pt idx="14">
                  <c:v>222</c:v>
                </c:pt>
                <c:pt idx="15">
                  <c:v>190.9</c:v>
                </c:pt>
                <c:pt idx="16">
                  <c:v>164.20000000000002</c:v>
                </c:pt>
                <c:pt idx="17">
                  <c:v>164.3</c:v>
                </c:pt>
                <c:pt idx="18">
                  <c:v>188.9</c:v>
                </c:pt>
                <c:pt idx="19">
                  <c:v>174.6</c:v>
                </c:pt>
                <c:pt idx="20">
                  <c:v>154.5</c:v>
                </c:pt>
                <c:pt idx="21">
                  <c:v>131</c:v>
                </c:pt>
                <c:pt idx="22">
                  <c:v>106.3</c:v>
                </c:pt>
                <c:pt idx="23">
                  <c:v>119.39999999999999</c:v>
                </c:pt>
                <c:pt idx="24">
                  <c:v>111.19999999999999</c:v>
                </c:pt>
                <c:pt idx="25">
                  <c:v>157.69999999999999</c:v>
                </c:pt>
                <c:pt idx="26">
                  <c:v>216.2</c:v>
                </c:pt>
                <c:pt idx="27">
                  <c:v>200.6</c:v>
                </c:pt>
                <c:pt idx="28">
                  <c:v>183.9</c:v>
                </c:pt>
                <c:pt idx="29">
                  <c:v>179.3</c:v>
                </c:pt>
                <c:pt idx="30">
                  <c:v>211.20000000000002</c:v>
                </c:pt>
                <c:pt idx="31">
                  <c:v>213.3</c:v>
                </c:pt>
                <c:pt idx="32">
                  <c:v>163.60000000000002</c:v>
                </c:pt>
                <c:pt idx="33">
                  <c:v>162.60000000000002</c:v>
                </c:pt>
                <c:pt idx="34">
                  <c:v>202.20000000000002</c:v>
                </c:pt>
                <c:pt idx="35">
                  <c:v>196.8</c:v>
                </c:pt>
                <c:pt idx="36">
                  <c:v>199.5</c:v>
                </c:pt>
                <c:pt idx="37">
                  <c:v>162.6</c:v>
                </c:pt>
                <c:pt idx="38">
                  <c:v>116.89999999999999</c:v>
                </c:pt>
                <c:pt idx="39">
                  <c:v>89.299999999999983</c:v>
                </c:pt>
                <c:pt idx="40">
                  <c:v>67.59999999999998</c:v>
                </c:pt>
                <c:pt idx="41">
                  <c:v>87.899999999999977</c:v>
                </c:pt>
                <c:pt idx="42">
                  <c:v>66.899999999999977</c:v>
                </c:pt>
                <c:pt idx="43">
                  <c:v>70.999999999999972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9F-4879-B429-71850465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2290.6976744186045</c:v>
                </c:pt>
                <c:pt idx="1">
                  <c:v>-1787.8048780487804</c:v>
                </c:pt>
                <c:pt idx="2">
                  <c:v>-859.52380952380952</c:v>
                </c:pt>
                <c:pt idx="3">
                  <c:v>1346.1538461538462</c:v>
                </c:pt>
                <c:pt idx="4">
                  <c:v>-260</c:v>
                </c:pt>
                <c:pt idx="5">
                  <c:v>-1003.2258064516129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D3-4063-A52A-53E5C56F08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5</c:v>
                </c:pt>
                <c:pt idx="1">
                  <c:v>17</c:v>
                </c:pt>
                <c:pt idx="2">
                  <c:v>28</c:v>
                </c:pt>
                <c:pt idx="3">
                  <c:v>14</c:v>
                </c:pt>
                <c:pt idx="4">
                  <c:v>17</c:v>
                </c:pt>
                <c:pt idx="5">
                  <c:v>15</c:v>
                </c:pt>
                <c:pt idx="6">
                  <c:v>7</c:v>
                </c:pt>
                <c:pt idx="7">
                  <c:v>1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57-4D39-BBEC-1F7FA8F45A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だいち!$K$2:$K$45</c:f>
              <c:numCache>
                <c:formatCode>General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だいち!$M$2:$M$45</c:f>
              <c:numCache>
                <c:formatCode>0</c:formatCode>
                <c:ptCount val="44"/>
                <c:pt idx="0">
                  <c:v>1842.3339395535957</c:v>
                </c:pt>
                <c:pt idx="1">
                  <c:v>1844.041935916274</c:v>
                </c:pt>
                <c:pt idx="2">
                  <c:v>1850.3176843007764</c:v>
                </c:pt>
                <c:pt idx="3">
                  <c:v>1844.9577781949718</c:v>
                </c:pt>
                <c:pt idx="4">
                  <c:v>1849.7340315258018</c:v>
                </c:pt>
                <c:pt idx="5">
                  <c:v>1857.1816273366469</c:v>
                </c:pt>
                <c:pt idx="6">
                  <c:v>1853.544537572627</c:v>
                </c:pt>
                <c:pt idx="7">
                  <c:v>1850.5772703471912</c:v>
                </c:pt>
                <c:pt idx="8">
                  <c:v>1855.5298067251081</c:v>
                </c:pt>
                <c:pt idx="9">
                  <c:v>1851.5066278847573</c:v>
                </c:pt>
                <c:pt idx="10">
                  <c:v>1851.6115881174487</c:v>
                </c:pt>
                <c:pt idx="11">
                  <c:v>1864.5679185887441</c:v>
                </c:pt>
                <c:pt idx="12">
                  <c:v>1867.8345110772116</c:v>
                </c:pt>
                <c:pt idx="13">
                  <c:v>1865.6935040107483</c:v>
                </c:pt>
                <c:pt idx="14">
                  <c:v>1861.6993429866839</c:v>
                </c:pt>
                <c:pt idx="15">
                  <c:v>1854.6511469287639</c:v>
                </c:pt>
                <c:pt idx="16">
                  <c:v>1848.4372400471914</c:v>
                </c:pt>
                <c:pt idx="17">
                  <c:v>1846.8986166069083</c:v>
                </c:pt>
                <c:pt idx="18">
                  <c:v>1849.7792249072668</c:v>
                </c:pt>
                <c:pt idx="19">
                  <c:v>1845.7365495578231</c:v>
                </c:pt>
                <c:pt idx="20">
                  <c:v>1840.6741302604762</c:v>
                </c:pt>
                <c:pt idx="21">
                  <c:v>1835.0300854789134</c:v>
                </c:pt>
                <c:pt idx="22">
                  <c:v>1829.4799049660398</c:v>
                </c:pt>
                <c:pt idx="23">
                  <c:v>1830.7670255362436</c:v>
                </c:pt>
                <c:pt idx="24">
                  <c:v>1828.2124233830261</c:v>
                </c:pt>
                <c:pt idx="25">
                  <c:v>1835.351148842728</c:v>
                </c:pt>
                <c:pt idx="26">
                  <c:v>1844.4750419496715</c:v>
                </c:pt>
                <c:pt idx="27">
                  <c:v>1840.2061916979735</c:v>
                </c:pt>
                <c:pt idx="28">
                  <c:v>1835.7649545477857</c:v>
                </c:pt>
                <c:pt idx="29">
                  <c:v>1833.780364820499</c:v>
                </c:pt>
                <c:pt idx="30">
                  <c:v>1838.4916826315759</c:v>
                </c:pt>
                <c:pt idx="31">
                  <c:v>1837.8107325357864</c:v>
                </c:pt>
                <c:pt idx="32">
                  <c:v>1827.5878681405718</c:v>
                </c:pt>
                <c:pt idx="33">
                  <c:v>1826.1923409317283</c:v>
                </c:pt>
                <c:pt idx="34">
                  <c:v>1832.113186886138</c:v>
                </c:pt>
                <c:pt idx="35">
                  <c:v>1829.8985077648213</c:v>
                </c:pt>
                <c:pt idx="36">
                  <c:v>1829.0231167182324</c:v>
                </c:pt>
                <c:pt idx="37">
                  <c:v>1821.0249780179229</c:v>
                </c:pt>
                <c:pt idx="38">
                  <c:v>1811.8448281498154</c:v>
                </c:pt>
                <c:pt idx="39">
                  <c:v>1805.9777591809166</c:v>
                </c:pt>
                <c:pt idx="40">
                  <c:v>1800.733892625831</c:v>
                </c:pt>
                <c:pt idx="41">
                  <c:v>1803.081489270076</c:v>
                </c:pt>
                <c:pt idx="42">
                  <c:v>1798.4850003344554</c:v>
                </c:pt>
                <c:pt idx="43">
                  <c:v>1798.2300903324488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50-4D56-936B-2C285DEE40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れんたろう!$L$2:$L$19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-31</c:v>
                </c:pt>
                <c:pt idx="2">
                  <c:v>-98.9</c:v>
                </c:pt>
                <c:pt idx="3">
                  <c:v>-65.300000000000011</c:v>
                </c:pt>
                <c:pt idx="4">
                  <c:v>-99.700000000000017</c:v>
                </c:pt>
                <c:pt idx="5">
                  <c:v>-132.90000000000003</c:v>
                </c:pt>
                <c:pt idx="6">
                  <c:v>-182.90000000000003</c:v>
                </c:pt>
                <c:pt idx="7">
                  <c:v>-162.30000000000004</c:v>
                </c:pt>
                <c:pt idx="8">
                  <c:v>-137.50000000000003</c:v>
                </c:pt>
                <c:pt idx="9">
                  <c:v>-87.900000000000034</c:v>
                </c:pt>
                <c:pt idx="10">
                  <c:v>-61.000000000000036</c:v>
                </c:pt>
                <c:pt idx="11">
                  <c:v>-94.500000000000028</c:v>
                </c:pt>
                <c:pt idx="12">
                  <c:v>-140.20000000000005</c:v>
                </c:pt>
                <c:pt idx="13">
                  <c:v>-131.30000000000004</c:v>
                </c:pt>
                <c:pt idx="14">
                  <c:v>-125.80000000000004</c:v>
                </c:pt>
                <c:pt idx="15">
                  <c:v>-165.10000000000002</c:v>
                </c:pt>
                <c:pt idx="16">
                  <c:v>-95.40000000000002</c:v>
                </c:pt>
                <c:pt idx="17">
                  <c:v>-91.000000000000014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46-4EBC-B5A9-9AD008CA7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2882.3529411764707</c:v>
                </c:pt>
                <c:pt idx="1">
                  <c:v>-406.25</c:v>
                </c:pt>
                <c:pt idx="2">
                  <c:v>-1618.75</c:v>
                </c:pt>
                <c:pt idx="3">
                  <c:v>1466.6666666666667</c:v>
                </c:pt>
                <c:pt idx="4">
                  <c:v>-2408.3333333333335</c:v>
                </c:pt>
                <c:pt idx="5">
                  <c:v>-620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95-49D1-A647-DB756DAC47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4</c:v>
                </c:pt>
                <c:pt idx="1">
                  <c:v>5</c:v>
                </c:pt>
                <c:pt idx="2">
                  <c:v>7</c:v>
                </c:pt>
                <c:pt idx="3">
                  <c:v>6</c:v>
                </c:pt>
                <c:pt idx="4">
                  <c:v>11</c:v>
                </c:pt>
                <c:pt idx="5">
                  <c:v>6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FE-4011-855E-3183F97D0E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れんたろう!$M$2:$M$19</c:f>
              <c:numCache>
                <c:formatCode>0</c:formatCode>
                <c:ptCount val="18"/>
                <c:pt idx="0">
                  <c:v>1653.1699313523677</c:v>
                </c:pt>
                <c:pt idx="1">
                  <c:v>1646.6709117642536</c:v>
                </c:pt>
                <c:pt idx="2">
                  <c:v>1634.420886293668</c:v>
                </c:pt>
                <c:pt idx="3">
                  <c:v>1639.914360975906</c:v>
                </c:pt>
                <c:pt idx="4">
                  <c:v>1633.1348748100506</c:v>
                </c:pt>
                <c:pt idx="5">
                  <c:v>1627.3860655611904</c:v>
                </c:pt>
                <c:pt idx="6">
                  <c:v>1618.6477491678233</c:v>
                </c:pt>
                <c:pt idx="7">
                  <c:v>1622.5498626728165</c:v>
                </c:pt>
                <c:pt idx="8">
                  <c:v>1627.1845634967797</c:v>
                </c:pt>
                <c:pt idx="9">
                  <c:v>1636.255456115799</c:v>
                </c:pt>
                <c:pt idx="10">
                  <c:v>1641.1379233791042</c:v>
                </c:pt>
                <c:pt idx="11">
                  <c:v>1635.2330958388295</c:v>
                </c:pt>
                <c:pt idx="12">
                  <c:v>1627.1676972637965</c:v>
                </c:pt>
                <c:pt idx="13">
                  <c:v>1628.9786910802138</c:v>
                </c:pt>
                <c:pt idx="14">
                  <c:v>1630.1668189337324</c:v>
                </c:pt>
                <c:pt idx="15">
                  <c:v>1623.3138180201299</c:v>
                </c:pt>
                <c:pt idx="16">
                  <c:v>1635.5699351120093</c:v>
                </c:pt>
                <c:pt idx="17">
                  <c:v>1635.9985155013371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52-40C3-A0A3-54334CBA7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たかの!$L$2:$L$20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  <c:pt idx="3">
                  <c:v>36.4</c:v>
                </c:pt>
                <c:pt idx="4">
                  <c:v>13.299999999999997</c:v>
                </c:pt>
                <c:pt idx="5">
                  <c:v>8.0999999999999979</c:v>
                </c:pt>
                <c:pt idx="6">
                  <c:v>24.7</c:v>
                </c:pt>
                <c:pt idx="7">
                  <c:v>39.5</c:v>
                </c:pt>
                <c:pt idx="8">
                  <c:v>66.5</c:v>
                </c:pt>
                <c:pt idx="9">
                  <c:v>90.7</c:v>
                </c:pt>
                <c:pt idx="10">
                  <c:v>91.7</c:v>
                </c:pt>
                <c:pt idx="11">
                  <c:v>100.5</c:v>
                </c:pt>
                <c:pt idx="12">
                  <c:v>69.400000000000006</c:v>
                </c:pt>
                <c:pt idx="13">
                  <c:v>35.000000000000007</c:v>
                </c:pt>
                <c:pt idx="14">
                  <c:v>42.800000000000004</c:v>
                </c:pt>
                <c:pt idx="15">
                  <c:v>60.900000000000006</c:v>
                </c:pt>
                <c:pt idx="16">
                  <c:v>38.600000000000009</c:v>
                </c:pt>
                <c:pt idx="17">
                  <c:v>7.6000000000000085</c:v>
                </c:pt>
                <c:pt idx="18">
                  <c:v>15.100000000000009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E5-4429-AA40-AB72E5B44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-1650</c:v>
                </c:pt>
                <c:pt idx="1">
                  <c:v>-527.77777777777783</c:v>
                </c:pt>
                <c:pt idx="2">
                  <c:v>1511.1111111111111</c:v>
                </c:pt>
                <c:pt idx="3">
                  <c:v>211.11111111111111</c:v>
                </c:pt>
                <c:pt idx="4">
                  <c:v>-83.333333333333329</c:v>
                </c:pt>
                <c:pt idx="5">
                  <c:v>2053.3333333333335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1B-4AF7-8E5D-A38C49F63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6</c:v>
                </c:pt>
                <c:pt idx="1">
                  <c:v>15</c:v>
                </c:pt>
                <c:pt idx="2">
                  <c:v>7</c:v>
                </c:pt>
                <c:pt idx="3">
                  <c:v>8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3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34-441D-B8C7-895F05595B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たかの!$M$2:$M$20</c:f>
              <c:numCache>
                <c:formatCode>0</c:formatCode>
                <c:ptCount val="19"/>
                <c:pt idx="0">
                  <c:v>1433.30445236539</c:v>
                </c:pt>
                <c:pt idx="1">
                  <c:v>1435.5226256511976</c:v>
                </c:pt>
                <c:pt idx="2">
                  <c:v>1441.4954898972903</c:v>
                </c:pt>
                <c:pt idx="3">
                  <c:v>1442.4405169579065</c:v>
                </c:pt>
                <c:pt idx="4">
                  <c:v>1439.257873856159</c:v>
                </c:pt>
                <c:pt idx="5">
                  <c:v>1439.3523266130221</c:v>
                </c:pt>
                <c:pt idx="6">
                  <c:v>1443.310212653344</c:v>
                </c:pt>
                <c:pt idx="7">
                  <c:v>1446.944351377424</c:v>
                </c:pt>
                <c:pt idx="8">
                  <c:v>1452.7526852691594</c:v>
                </c:pt>
                <c:pt idx="9">
                  <c:v>1458.0221691575446</c:v>
                </c:pt>
                <c:pt idx="10">
                  <c:v>1458.3940361425994</c:v>
                </c:pt>
                <c:pt idx="11">
                  <c:v>1460.2096719257438</c:v>
                </c:pt>
                <c:pt idx="12">
                  <c:v>1454.8324138941894</c:v>
                </c:pt>
                <c:pt idx="13">
                  <c:v>1449.5174194108242</c:v>
                </c:pt>
                <c:pt idx="14">
                  <c:v>1451.8303148943594</c:v>
                </c:pt>
                <c:pt idx="15">
                  <c:v>1455.9833330049933</c:v>
                </c:pt>
                <c:pt idx="16">
                  <c:v>1453.0914330069634</c:v>
                </c:pt>
                <c:pt idx="17">
                  <c:v>1448.4108844089217</c:v>
                </c:pt>
                <c:pt idx="18">
                  <c:v>1450.6884191024681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90-4868-9691-0DF4BF4B80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まっつん!$L$2:$L$12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-33.6</c:v>
                </c:pt>
                <c:pt idx="2">
                  <c:v>-36.9</c:v>
                </c:pt>
                <c:pt idx="3">
                  <c:v>-40.4</c:v>
                </c:pt>
                <c:pt idx="4">
                  <c:v>-36.799999999999997</c:v>
                </c:pt>
                <c:pt idx="5">
                  <c:v>-73.900000000000006</c:v>
                </c:pt>
                <c:pt idx="6">
                  <c:v>-85.5</c:v>
                </c:pt>
                <c:pt idx="7">
                  <c:v>-77.8</c:v>
                </c:pt>
                <c:pt idx="8">
                  <c:v>-22.799999999999997</c:v>
                </c:pt>
                <c:pt idx="9">
                  <c:v>-29.599999999999998</c:v>
                </c:pt>
                <c:pt idx="10">
                  <c:v>-55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FB-4BF0-AA2D-469E013D76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1420</c:v>
                </c:pt>
                <c:pt idx="1">
                  <c:v>2270</c:v>
                </c:pt>
                <c:pt idx="2">
                  <c:v>1590</c:v>
                </c:pt>
                <c:pt idx="3">
                  <c:v>-4062.5</c:v>
                </c:pt>
                <c:pt idx="4">
                  <c:v>-3385.7142857142858</c:v>
                </c:pt>
                <c:pt idx="5">
                  <c:v>-3266.6666666666665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15-4A8D-8522-69EFC60B6F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1</c:v>
                </c:pt>
                <c:pt idx="1">
                  <c:v>6</c:v>
                </c:pt>
                <c:pt idx="2">
                  <c:v>5</c:v>
                </c:pt>
                <c:pt idx="3">
                  <c:v>4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EC-4EDE-8465-97AA306202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まっつん!$M$2:$M$12</c:f>
              <c:numCache>
                <c:formatCode>0</c:formatCode>
                <c:ptCount val="11"/>
                <c:pt idx="0">
                  <c:v>1524.3778689305989</c:v>
                </c:pt>
                <c:pt idx="1">
                  <c:v>1518.8856017170153</c:v>
                </c:pt>
                <c:pt idx="2">
                  <c:v>1518.9042881067132</c:v>
                </c:pt>
                <c:pt idx="3">
                  <c:v>1518.8868623780729</c:v>
                </c:pt>
                <c:pt idx="4">
                  <c:v>1520.1595412038046</c:v>
                </c:pt>
                <c:pt idx="5">
                  <c:v>1513.3425839565818</c:v>
                </c:pt>
                <c:pt idx="6">
                  <c:v>1511.1565284528424</c:v>
                </c:pt>
                <c:pt idx="7">
                  <c:v>1513.2255892821254</c:v>
                </c:pt>
                <c:pt idx="8">
                  <c:v>1523.7962357464326</c:v>
                </c:pt>
                <c:pt idx="9">
                  <c:v>1523.179458331954</c:v>
                </c:pt>
                <c:pt idx="10">
                  <c:v>1519.2183815819624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2C-40E8-A61E-C31A6B42E4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いちかわ!$L$2:$L$24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55.6</c:v>
                </c:pt>
                <c:pt idx="2">
                  <c:v>24.900000000000002</c:v>
                </c:pt>
                <c:pt idx="3">
                  <c:v>-20.599999999999998</c:v>
                </c:pt>
                <c:pt idx="4">
                  <c:v>-25</c:v>
                </c:pt>
                <c:pt idx="5">
                  <c:v>-53</c:v>
                </c:pt>
                <c:pt idx="6">
                  <c:v>-32.799999999999997</c:v>
                </c:pt>
                <c:pt idx="7">
                  <c:v>-22.199999999999996</c:v>
                </c:pt>
                <c:pt idx="8">
                  <c:v>0.30000000000000426</c:v>
                </c:pt>
                <c:pt idx="9">
                  <c:v>20.500000000000004</c:v>
                </c:pt>
                <c:pt idx="10">
                  <c:v>6.9000000000000039</c:v>
                </c:pt>
                <c:pt idx="11">
                  <c:v>-18.799999999999997</c:v>
                </c:pt>
                <c:pt idx="12">
                  <c:v>32.1</c:v>
                </c:pt>
                <c:pt idx="13">
                  <c:v>65.800000000000011</c:v>
                </c:pt>
                <c:pt idx="14">
                  <c:v>99.300000000000011</c:v>
                </c:pt>
                <c:pt idx="15">
                  <c:v>75.200000000000017</c:v>
                </c:pt>
                <c:pt idx="16">
                  <c:v>83.000000000000014</c:v>
                </c:pt>
                <c:pt idx="17">
                  <c:v>81.600000000000009</c:v>
                </c:pt>
                <c:pt idx="18">
                  <c:v>83.2</c:v>
                </c:pt>
                <c:pt idx="19">
                  <c:v>126.80000000000001</c:v>
                </c:pt>
                <c:pt idx="20">
                  <c:v>163</c:v>
                </c:pt>
                <c:pt idx="21">
                  <c:v>116.7</c:v>
                </c:pt>
                <c:pt idx="22">
                  <c:v>137.19999999999999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7E-4E27-AD21-19C0230A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-1422.7272727272727</c:v>
                </c:pt>
                <c:pt idx="1">
                  <c:v>1013.6363636363636</c:v>
                </c:pt>
                <c:pt idx="2">
                  <c:v>2700</c:v>
                </c:pt>
                <c:pt idx="3">
                  <c:v>163.15789473684211</c:v>
                </c:pt>
                <c:pt idx="4">
                  <c:v>2537.5</c:v>
                </c:pt>
                <c:pt idx="5">
                  <c:v>1005.8823529411765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17-412D-9000-E7E5A6BDE5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4</c:v>
                </c:pt>
                <c:pt idx="1">
                  <c:v>13</c:v>
                </c:pt>
                <c:pt idx="2">
                  <c:v>10</c:v>
                </c:pt>
                <c:pt idx="3">
                  <c:v>9</c:v>
                </c:pt>
                <c:pt idx="4">
                  <c:v>4</c:v>
                </c:pt>
                <c:pt idx="5">
                  <c:v>6</c:v>
                </c:pt>
                <c:pt idx="6">
                  <c:v>5</c:v>
                </c:pt>
                <c:pt idx="7">
                  <c:v>3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D5-48DE-B7EE-6D3AD2079E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いちかわ!$M$2:$M$24</c:f>
              <c:numCache>
                <c:formatCode>0</c:formatCode>
                <c:ptCount val="23"/>
                <c:pt idx="0">
                  <c:v>1488.8318648771276</c:v>
                </c:pt>
                <c:pt idx="1">
                  <c:v>1499.6088736878648</c:v>
                </c:pt>
                <c:pt idx="2">
                  <c:v>1494.8112204457377</c:v>
                </c:pt>
                <c:pt idx="3">
                  <c:v>1487.3783531230633</c:v>
                </c:pt>
                <c:pt idx="4">
                  <c:v>1486.6380830043249</c:v>
                </c:pt>
                <c:pt idx="5">
                  <c:v>1481.354254506299</c:v>
                </c:pt>
                <c:pt idx="6">
                  <c:v>1485.3541289792611</c:v>
                </c:pt>
                <c:pt idx="7">
                  <c:v>1487.6020042053856</c:v>
                </c:pt>
                <c:pt idx="8">
                  <c:v>1491.7683921801533</c:v>
                </c:pt>
                <c:pt idx="9">
                  <c:v>1495.4357818270723</c:v>
                </c:pt>
                <c:pt idx="10">
                  <c:v>1493.62116713611</c:v>
                </c:pt>
                <c:pt idx="11">
                  <c:v>1489.7534401332932</c:v>
                </c:pt>
                <c:pt idx="12">
                  <c:v>1499.6969194924934</c:v>
                </c:pt>
                <c:pt idx="13">
                  <c:v>1506.4847379755383</c:v>
                </c:pt>
                <c:pt idx="14">
                  <c:v>1512.415829547685</c:v>
                </c:pt>
                <c:pt idx="15">
                  <c:v>1508.6093345703989</c:v>
                </c:pt>
                <c:pt idx="16">
                  <c:v>1510.5676785629764</c:v>
                </c:pt>
                <c:pt idx="17">
                  <c:v>1510.8582724915987</c:v>
                </c:pt>
                <c:pt idx="18">
                  <c:v>1512.053122856649</c:v>
                </c:pt>
                <c:pt idx="19">
                  <c:v>1520.8008041195092</c:v>
                </c:pt>
                <c:pt idx="20">
                  <c:v>1527.9899992947921</c:v>
                </c:pt>
                <c:pt idx="21">
                  <c:v>1519.9380592990233</c:v>
                </c:pt>
                <c:pt idx="22">
                  <c:v>1523.9584309432291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36-4899-9F14-58F4F9E17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ただ!$L$2:$L$31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11.6</c:v>
                </c:pt>
                <c:pt idx="2">
                  <c:v>42.9</c:v>
                </c:pt>
                <c:pt idx="3">
                  <c:v>49.199999999999996</c:v>
                </c:pt>
                <c:pt idx="4">
                  <c:v>75.8</c:v>
                </c:pt>
                <c:pt idx="5">
                  <c:v>47.8</c:v>
                </c:pt>
                <c:pt idx="6">
                  <c:v>26.4</c:v>
                </c:pt>
                <c:pt idx="7">
                  <c:v>25.9</c:v>
                </c:pt>
                <c:pt idx="8">
                  <c:v>1.5</c:v>
                </c:pt>
                <c:pt idx="9">
                  <c:v>9.6999999999999993</c:v>
                </c:pt>
                <c:pt idx="10">
                  <c:v>9.1999999999999993</c:v>
                </c:pt>
                <c:pt idx="11">
                  <c:v>2.2999999999999989</c:v>
                </c:pt>
                <c:pt idx="12">
                  <c:v>1.599999999999999</c:v>
                </c:pt>
                <c:pt idx="13">
                  <c:v>-48.5</c:v>
                </c:pt>
                <c:pt idx="14">
                  <c:v>-20.2</c:v>
                </c:pt>
                <c:pt idx="15">
                  <c:v>22.500000000000004</c:v>
                </c:pt>
                <c:pt idx="16">
                  <c:v>64.5</c:v>
                </c:pt>
                <c:pt idx="17">
                  <c:v>10.5</c:v>
                </c:pt>
                <c:pt idx="18">
                  <c:v>-22.299999999999997</c:v>
                </c:pt>
                <c:pt idx="19">
                  <c:v>8.5000000000000036</c:v>
                </c:pt>
                <c:pt idx="20">
                  <c:v>36.800000000000004</c:v>
                </c:pt>
                <c:pt idx="21">
                  <c:v>66.2</c:v>
                </c:pt>
                <c:pt idx="22">
                  <c:v>103</c:v>
                </c:pt>
                <c:pt idx="23">
                  <c:v>125.1</c:v>
                </c:pt>
                <c:pt idx="24">
                  <c:v>198.89999999999998</c:v>
                </c:pt>
                <c:pt idx="25">
                  <c:v>230.09999999999997</c:v>
                </c:pt>
                <c:pt idx="26">
                  <c:v>290.39999999999998</c:v>
                </c:pt>
                <c:pt idx="27">
                  <c:v>250.09999999999997</c:v>
                </c:pt>
                <c:pt idx="28">
                  <c:v>226.69999999999996</c:v>
                </c:pt>
                <c:pt idx="29">
                  <c:v>201.79999999999995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63-4067-BDA2-6E6B9CF6D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-417.24137931034483</c:v>
                </c:pt>
                <c:pt idx="1">
                  <c:v>1992.5925925925926</c:v>
                </c:pt>
                <c:pt idx="2">
                  <c:v>453.57142857142856</c:v>
                </c:pt>
                <c:pt idx="3">
                  <c:v>-744</c:v>
                </c:pt>
                <c:pt idx="4">
                  <c:v>1373.9130434782608</c:v>
                </c:pt>
                <c:pt idx="5">
                  <c:v>-90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06-4D6D-A4D8-5B54C3CA4A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9</c:v>
                </c:pt>
                <c:pt idx="1">
                  <c:v>18</c:v>
                </c:pt>
                <c:pt idx="2">
                  <c:v>19</c:v>
                </c:pt>
                <c:pt idx="3">
                  <c:v>14</c:v>
                </c:pt>
                <c:pt idx="4">
                  <c:v>11</c:v>
                </c:pt>
                <c:pt idx="5">
                  <c:v>2</c:v>
                </c:pt>
                <c:pt idx="6">
                  <c:v>7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27-48AD-B2A2-541B676F86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ただ!$M$2:$M$31</c:f>
              <c:numCache>
                <c:formatCode>0</c:formatCode>
                <c:ptCount val="30"/>
                <c:pt idx="0">
                  <c:v>1517.1288342047803</c:v>
                </c:pt>
                <c:pt idx="1">
                  <c:v>1519.7080611995516</c:v>
                </c:pt>
                <c:pt idx="2">
                  <c:v>1525.8538128323544</c:v>
                </c:pt>
                <c:pt idx="3">
                  <c:v>1526.8746899553603</c:v>
                </c:pt>
                <c:pt idx="4">
                  <c:v>1532.5274418156282</c:v>
                </c:pt>
                <c:pt idx="5">
                  <c:v>1528.3182771647344</c:v>
                </c:pt>
                <c:pt idx="6">
                  <c:v>1524.962367501746</c:v>
                </c:pt>
                <c:pt idx="7">
                  <c:v>1524.5545932967354</c:v>
                </c:pt>
                <c:pt idx="8">
                  <c:v>1520.549265736955</c:v>
                </c:pt>
                <c:pt idx="9">
                  <c:v>1522.4359701425333</c:v>
                </c:pt>
                <c:pt idx="10">
                  <c:v>1522.8413543216782</c:v>
                </c:pt>
                <c:pt idx="11">
                  <c:v>1522.0923061957481</c:v>
                </c:pt>
                <c:pt idx="12">
                  <c:v>1522.4637523585736</c:v>
                </c:pt>
                <c:pt idx="13">
                  <c:v>1514.0489698444221</c:v>
                </c:pt>
                <c:pt idx="14">
                  <c:v>1519.0406760253557</c:v>
                </c:pt>
                <c:pt idx="15">
                  <c:v>1526.5944319692035</c:v>
                </c:pt>
                <c:pt idx="16">
                  <c:v>1534.7448653773884</c:v>
                </c:pt>
                <c:pt idx="17">
                  <c:v>1525.5663961851239</c:v>
                </c:pt>
                <c:pt idx="18">
                  <c:v>1520.2589978080132</c:v>
                </c:pt>
                <c:pt idx="19">
                  <c:v>1526.4314438211652</c:v>
                </c:pt>
                <c:pt idx="20">
                  <c:v>1531.9848551582381</c:v>
                </c:pt>
                <c:pt idx="21">
                  <c:v>1537.7029460272888</c:v>
                </c:pt>
                <c:pt idx="22">
                  <c:v>1545.0727283511251</c:v>
                </c:pt>
                <c:pt idx="23">
                  <c:v>1549.7522919810183</c:v>
                </c:pt>
                <c:pt idx="24">
                  <c:v>1563.2357782291322</c:v>
                </c:pt>
                <c:pt idx="25">
                  <c:v>1568.9703635597573</c:v>
                </c:pt>
                <c:pt idx="26">
                  <c:v>1580.4125413783988</c:v>
                </c:pt>
                <c:pt idx="27">
                  <c:v>1573.4740661301284</c:v>
                </c:pt>
                <c:pt idx="28">
                  <c:v>1569.2712217333476</c:v>
                </c:pt>
                <c:pt idx="29">
                  <c:v>1564.8235944029475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BD-48F3-A31A-9AC692BBAB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たか!$L$2:$L$16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42.4</c:v>
                </c:pt>
                <c:pt idx="2">
                  <c:v>50.4</c:v>
                </c:pt>
                <c:pt idx="3">
                  <c:v>10.399999999999999</c:v>
                </c:pt>
                <c:pt idx="4">
                  <c:v>60</c:v>
                </c:pt>
                <c:pt idx="5">
                  <c:v>6.2000000000000028</c:v>
                </c:pt>
                <c:pt idx="6">
                  <c:v>30.000000000000004</c:v>
                </c:pt>
                <c:pt idx="7">
                  <c:v>1.2000000000000028</c:v>
                </c:pt>
                <c:pt idx="8">
                  <c:v>40.900000000000006</c:v>
                </c:pt>
                <c:pt idx="9">
                  <c:v>21.100000000000005</c:v>
                </c:pt>
                <c:pt idx="10">
                  <c:v>14.100000000000005</c:v>
                </c:pt>
                <c:pt idx="11">
                  <c:v>-20.399999999999995</c:v>
                </c:pt>
                <c:pt idx="12">
                  <c:v>-16.299999999999997</c:v>
                </c:pt>
                <c:pt idx="13">
                  <c:v>-54.199999999999996</c:v>
                </c:pt>
                <c:pt idx="14">
                  <c:v>-95.6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FA-4425-8CA0-3E0548B926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-1221.4285714285713</c:v>
                </c:pt>
                <c:pt idx="1">
                  <c:v>-907.14285714285711</c:v>
                </c:pt>
                <c:pt idx="2">
                  <c:v>-4335.7142857142853</c:v>
                </c:pt>
                <c:pt idx="3">
                  <c:v>-161.53846153846155</c:v>
                </c:pt>
                <c:pt idx="4">
                  <c:v>-581.81818181818187</c:v>
                </c:pt>
                <c:pt idx="5">
                  <c:v>2945.4545454545455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8A-47F8-B3D6-21ABAA80E5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4</c:v>
                </c:pt>
                <c:pt idx="1">
                  <c:v>5</c:v>
                </c:pt>
                <c:pt idx="2">
                  <c:v>1</c:v>
                </c:pt>
                <c:pt idx="3">
                  <c:v>6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D6-4FAD-85BE-023A9BBFA6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たか!$M$2:$M$16</c:f>
              <c:numCache>
                <c:formatCode>0</c:formatCode>
                <c:ptCount val="15"/>
                <c:pt idx="0">
                  <c:v>1500</c:v>
                </c:pt>
                <c:pt idx="1">
                  <c:v>1507.6079999999999</c:v>
                </c:pt>
                <c:pt idx="2">
                  <c:v>1508.6783519999999</c:v>
                </c:pt>
                <c:pt idx="3">
                  <c:v>1501.8402818879999</c:v>
                </c:pt>
                <c:pt idx="4">
                  <c:v>1511.171240196672</c:v>
                </c:pt>
                <c:pt idx="5">
                  <c:v>1501.672212755492</c:v>
                </c:pt>
                <c:pt idx="6">
                  <c:v>1506.198179478959</c:v>
                </c:pt>
                <c:pt idx="7">
                  <c:v>1501.0189904020851</c:v>
                </c:pt>
                <c:pt idx="8">
                  <c:v>1508.8788764596727</c:v>
                </c:pt>
                <c:pt idx="9">
                  <c:v>1505.9816032009146</c:v>
                </c:pt>
                <c:pt idx="10">
                  <c:v>1505.4057135817091</c:v>
                </c:pt>
                <c:pt idx="11">
                  <c:v>1499.1032793002189</c:v>
                </c:pt>
                <c:pt idx="12">
                  <c:v>1500.7526596244177</c:v>
                </c:pt>
                <c:pt idx="13">
                  <c:v>1494.8321436666711</c:v>
                </c:pt>
                <c:pt idx="14">
                  <c:v>1488.317150804671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55-42E4-9DDF-ACA6C38A52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-38</c:v>
                </c:pt>
                <c:pt idx="2">
                  <c:v>-18</c:v>
                </c:pt>
                <c:pt idx="3">
                  <c:v>-14.9</c:v>
                </c:pt>
                <c:pt idx="4">
                  <c:v>-51.699999999999996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CC-4856-B97E-ED7794FBA1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-6625</c:v>
                </c:pt>
                <c:pt idx="1">
                  <c:v>-1125</c:v>
                </c:pt>
                <c:pt idx="2">
                  <c:v>6750</c:v>
                </c:pt>
                <c:pt idx="3">
                  <c:v>-766.66666666666663</c:v>
                </c:pt>
                <c:pt idx="4">
                  <c:v>-4000</c:v>
                </c:pt>
                <c:pt idx="5">
                  <c:v>-7800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34-4743-AA9E-72F56D896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1A-4A09-B677-323045CB60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のり!$M$2:$M$6</c:f>
              <c:numCache>
                <c:formatCode>0</c:formatCode>
                <c:ptCount val="5"/>
                <c:pt idx="0">
                  <c:v>1348.2487416206377</c:v>
                </c:pt>
                <c:pt idx="1">
                  <c:v>1342.2952491709138</c:v>
                </c:pt>
                <c:pt idx="2">
                  <c:v>1346.5174776758884</c:v>
                </c:pt>
                <c:pt idx="3">
                  <c:v>1348.410372809833</c:v>
                </c:pt>
                <c:pt idx="4">
                  <c:v>1343.1099105729741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54-43DF-B5A7-CCC410FF6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りくと!$L$2:$L$8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-24.2</c:v>
                </c:pt>
                <c:pt idx="2">
                  <c:v>-6.1999999999999993</c:v>
                </c:pt>
                <c:pt idx="3">
                  <c:v>18.100000000000001</c:v>
                </c:pt>
                <c:pt idx="4">
                  <c:v>-14.699999999999996</c:v>
                </c:pt>
                <c:pt idx="5">
                  <c:v>-66.8</c:v>
                </c:pt>
                <c:pt idx="6">
                  <c:v>-118.3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C1-4B29-91B3-8B5C371DCC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-7283.333333333333</c:v>
                </c:pt>
                <c:pt idx="1">
                  <c:v>3080</c:v>
                </c:pt>
                <c:pt idx="2">
                  <c:v>-2700</c:v>
                </c:pt>
                <c:pt idx="3">
                  <c:v>-5340</c:v>
                </c:pt>
                <c:pt idx="4">
                  <c:v>540</c:v>
                </c:pt>
                <c:pt idx="5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CE-4834-AC95-71BA5741A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81-473B-B75C-2328931041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りくと!$M$2:$M$8</c:f>
              <c:numCache>
                <c:formatCode>0</c:formatCode>
                <c:ptCount val="7"/>
                <c:pt idx="0">
                  <c:v>1392.8042574192286</c:v>
                </c:pt>
                <c:pt idx="1">
                  <c:v>1389.0734318747132</c:v>
                </c:pt>
                <c:pt idx="2">
                  <c:v>1392.8109912834648</c:v>
                </c:pt>
                <c:pt idx="3">
                  <c:v>1398.3621253357639</c:v>
                </c:pt>
                <c:pt idx="4">
                  <c:v>1393.6019525837494</c:v>
                </c:pt>
                <c:pt idx="5">
                  <c:v>1385.3603408682468</c:v>
                </c:pt>
                <c:pt idx="6">
                  <c:v>1377.2761788230373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29-443C-B8E7-DC7185B2B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B0-4CF1-9044-E488B57706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2150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FF-48B5-A195-29F499B37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A2-4914-AE4B-6F92DF3BA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わさび!$M$2:$M$4</c:f>
              <c:numCache>
                <c:formatCode>0</c:formatCode>
                <c:ptCount val="3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89-4A15-9587-6AE26C4F0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いちかわ2!$B$1:$B$2</c:f>
              <c:strCache>
                <c:ptCount val="2"/>
                <c:pt idx="0">
                  <c:v>いちかわ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いちかわ2!$A$3:$A$25</c:f>
              <c:numCache>
                <c:formatCode>0\ "回"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いちかわ2!$B$3:$B$25</c:f>
              <c:numCache>
                <c:formatCode>\+0.0;\-0.0;\±0</c:formatCode>
                <c:ptCount val="23"/>
                <c:pt idx="0">
                  <c:v>0</c:v>
                </c:pt>
                <c:pt idx="1">
                  <c:v>55.6</c:v>
                </c:pt>
                <c:pt idx="2">
                  <c:v>24.900000000000002</c:v>
                </c:pt>
                <c:pt idx="3">
                  <c:v>-20.599999999999998</c:v>
                </c:pt>
                <c:pt idx="4">
                  <c:v>-25</c:v>
                </c:pt>
                <c:pt idx="5">
                  <c:v>-53</c:v>
                </c:pt>
                <c:pt idx="6">
                  <c:v>-32.799999999999997</c:v>
                </c:pt>
                <c:pt idx="7">
                  <c:v>-22.199999999999996</c:v>
                </c:pt>
                <c:pt idx="8">
                  <c:v>0.30000000000000426</c:v>
                </c:pt>
                <c:pt idx="9">
                  <c:v>20.500000000000004</c:v>
                </c:pt>
                <c:pt idx="10">
                  <c:v>6.9000000000000039</c:v>
                </c:pt>
                <c:pt idx="11">
                  <c:v>-18.799999999999997</c:v>
                </c:pt>
                <c:pt idx="12">
                  <c:v>32.1</c:v>
                </c:pt>
                <c:pt idx="13">
                  <c:v>65.800000000000011</c:v>
                </c:pt>
                <c:pt idx="14">
                  <c:v>99.300000000000011</c:v>
                </c:pt>
                <c:pt idx="15">
                  <c:v>75.200000000000017</c:v>
                </c:pt>
                <c:pt idx="16">
                  <c:v>83.000000000000014</c:v>
                </c:pt>
                <c:pt idx="17">
                  <c:v>81.600000000000009</c:v>
                </c:pt>
                <c:pt idx="18">
                  <c:v>83.2</c:v>
                </c:pt>
                <c:pt idx="19">
                  <c:v>126.80000000000001</c:v>
                </c:pt>
                <c:pt idx="20">
                  <c:v>163</c:v>
                </c:pt>
                <c:pt idx="21">
                  <c:v>116.7</c:v>
                </c:pt>
                <c:pt idx="22">
                  <c:v>137.19999999999999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.1316282072803006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いちかわ2!$C$1:$C$2</c:f>
              <c:strCache>
                <c:ptCount val="2"/>
                <c:pt idx="0">
                  <c:v>いちかわ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いちかわ2!$A$3:$A$25</c:f>
              <c:numCache>
                <c:formatCode>0\ "回"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いちかわ2!$C$3:$C$25</c:f>
              <c:numCache>
                <c:formatCode>\+0.0;\-0.0;\±0</c:formatCode>
                <c:ptCount val="23"/>
                <c:pt idx="1">
                  <c:v>55.6</c:v>
                </c:pt>
                <c:pt idx="2">
                  <c:v>12.450000000000001</c:v>
                </c:pt>
                <c:pt idx="3">
                  <c:v>-6.8666666666666663</c:v>
                </c:pt>
                <c:pt idx="4">
                  <c:v>-6.25</c:v>
                </c:pt>
                <c:pt idx="5">
                  <c:v>-10.6</c:v>
                </c:pt>
                <c:pt idx="6">
                  <c:v>-5.4666666666666659</c:v>
                </c:pt>
                <c:pt idx="7">
                  <c:v>-3.1714285714285708</c:v>
                </c:pt>
                <c:pt idx="8">
                  <c:v>3.7500000000000533E-2</c:v>
                </c:pt>
                <c:pt idx="9">
                  <c:v>2.2777777777777781</c:v>
                </c:pt>
                <c:pt idx="10">
                  <c:v>0.69000000000000039</c:v>
                </c:pt>
                <c:pt idx="11">
                  <c:v>-1.7090909090909088</c:v>
                </c:pt>
                <c:pt idx="12">
                  <c:v>2.6750000000000003</c:v>
                </c:pt>
                <c:pt idx="13">
                  <c:v>5.0615384615384622</c:v>
                </c:pt>
                <c:pt idx="14">
                  <c:v>7.0928571428571434</c:v>
                </c:pt>
                <c:pt idx="15">
                  <c:v>5.0133333333333345</c:v>
                </c:pt>
                <c:pt idx="16">
                  <c:v>5.1875000000000009</c:v>
                </c:pt>
                <c:pt idx="17">
                  <c:v>4.8000000000000007</c:v>
                </c:pt>
                <c:pt idx="18">
                  <c:v>4.6222222222222227</c:v>
                </c:pt>
                <c:pt idx="19">
                  <c:v>6.6736842105263161</c:v>
                </c:pt>
                <c:pt idx="20">
                  <c:v>8.15</c:v>
                </c:pt>
                <c:pt idx="21">
                  <c:v>5.5571428571428569</c:v>
                </c:pt>
                <c:pt idx="22">
                  <c:v>6.2363636363636354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2918958832001821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いちかわ2!$D$1:$D$2</c:f>
              <c:strCache>
                <c:ptCount val="2"/>
                <c:pt idx="0">
                  <c:v>いちかわ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いちかわ2!$A$3:$A$25</c:f>
              <c:numCache>
                <c:formatCode>0\ "回"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いちかわ2!$D$3:$D$25</c:f>
              <c:numCache>
                <c:formatCode>0.00\ "位"</c:formatCode>
                <c:ptCount val="23"/>
                <c:pt idx="1">
                  <c:v>1</c:v>
                </c:pt>
                <c:pt idx="2">
                  <c:v>2</c:v>
                </c:pt>
                <c:pt idx="3">
                  <c:v>2.3333333333333335</c:v>
                </c:pt>
                <c:pt idx="4">
                  <c:v>2.25</c:v>
                </c:pt>
                <c:pt idx="5">
                  <c:v>2.4</c:v>
                </c:pt>
                <c:pt idx="6">
                  <c:v>2.3333333333333335</c:v>
                </c:pt>
                <c:pt idx="7">
                  <c:v>2.2857142857142856</c:v>
                </c:pt>
                <c:pt idx="8">
                  <c:v>2.125</c:v>
                </c:pt>
                <c:pt idx="9">
                  <c:v>2</c:v>
                </c:pt>
                <c:pt idx="10">
                  <c:v>2.1</c:v>
                </c:pt>
                <c:pt idx="11">
                  <c:v>2.1818181818181817</c:v>
                </c:pt>
                <c:pt idx="12">
                  <c:v>2.0833333333333335</c:v>
                </c:pt>
                <c:pt idx="13">
                  <c:v>2</c:v>
                </c:pt>
                <c:pt idx="14">
                  <c:v>1.9285714285714286</c:v>
                </c:pt>
                <c:pt idx="15">
                  <c:v>1.9333333333333333</c:v>
                </c:pt>
                <c:pt idx="16">
                  <c:v>1.875</c:v>
                </c:pt>
                <c:pt idx="17">
                  <c:v>1.8823529411764706</c:v>
                </c:pt>
                <c:pt idx="18">
                  <c:v>1.8888888888888888</c:v>
                </c:pt>
                <c:pt idx="19">
                  <c:v>1.8421052631578947</c:v>
                </c:pt>
                <c:pt idx="20">
                  <c:v>1.8</c:v>
                </c:pt>
                <c:pt idx="21">
                  <c:v>1.8571428571428572</c:v>
                </c:pt>
                <c:pt idx="22">
                  <c:v>1.8181818181818181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939393939393939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いちかわ2!$E$1:$E$2</c:f>
              <c:strCache>
                <c:ptCount val="2"/>
                <c:pt idx="0">
                  <c:v>いちかわ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いちかわ2!$A$3:$A$25</c:f>
              <c:numCache>
                <c:formatCode>0\ "回"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いちかわ2!$E$3:$E$25</c:f>
              <c:numCache>
                <c:formatCode>0.0%</c:formatCode>
                <c:ptCount val="23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0.25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0.33333333333333331</c:v>
                </c:pt>
                <c:pt idx="13">
                  <c:v>0.38461538461538464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0.4375</c:v>
                </c:pt>
                <c:pt idx="17">
                  <c:v>0.41176470588235292</c:v>
                </c:pt>
                <c:pt idx="18">
                  <c:v>0.3888888888888889</c:v>
                </c:pt>
                <c:pt idx="19">
                  <c:v>0.42105263157894735</c:v>
                </c:pt>
                <c:pt idx="20">
                  <c:v>0.45</c:v>
                </c:pt>
                <c:pt idx="21">
                  <c:v>0.42857142857142855</c:v>
                </c:pt>
                <c:pt idx="22">
                  <c:v>0.45454545454545453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93939393939394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いちかわ2!$F$1:$F$2</c:f>
              <c:strCache>
                <c:ptCount val="2"/>
                <c:pt idx="0">
                  <c:v>いちかわ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いちかわ2!$A$3:$A$25</c:f>
              <c:numCache>
                <c:formatCode>0\ "回"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いちかわ2!$F$3:$F$25</c:f>
              <c:numCache>
                <c:formatCode>0.0%</c:formatCode>
                <c:ptCount val="23"/>
                <c:pt idx="1">
                  <c:v>0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0.6</c:v>
                </c:pt>
                <c:pt idx="6">
                  <c:v>0.5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0.4</c:v>
                </c:pt>
                <c:pt idx="11">
                  <c:v>0.45454545454545453</c:v>
                </c:pt>
                <c:pt idx="12">
                  <c:v>0.41666666666666669</c:v>
                </c:pt>
                <c:pt idx="13">
                  <c:v>0.38461538461538464</c:v>
                </c:pt>
                <c:pt idx="14">
                  <c:v>0.35714285714285715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0.2857142857142857</c:v>
                </c:pt>
                <c:pt idx="22">
                  <c:v>0.27272727272727271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いちかわ2!$G$1:$G$2</c:f>
              <c:strCache>
                <c:ptCount val="2"/>
                <c:pt idx="0">
                  <c:v>いちかわ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いちかわ2!$A$3:$A$25</c:f>
              <c:numCache>
                <c:formatCode>0\ "回"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いちかわ2!$G$3:$G$25</c:f>
              <c:numCache>
                <c:formatCode>0.0%</c:formatCode>
                <c:ptCount val="23"/>
                <c:pt idx="1">
                  <c:v>0.5</c:v>
                </c:pt>
                <c:pt idx="2">
                  <c:v>0.3125</c:v>
                </c:pt>
                <c:pt idx="3">
                  <c:v>0.23809523809523808</c:v>
                </c:pt>
                <c:pt idx="4">
                  <c:v>0.25714285714285712</c:v>
                </c:pt>
                <c:pt idx="5">
                  <c:v>0.23684210526315788</c:v>
                </c:pt>
                <c:pt idx="6">
                  <c:v>0.25531914893617019</c:v>
                </c:pt>
                <c:pt idx="7">
                  <c:v>0.28301886792452829</c:v>
                </c:pt>
                <c:pt idx="8">
                  <c:v>0.29508196721311475</c:v>
                </c:pt>
                <c:pt idx="9">
                  <c:v>0.30985915492957744</c:v>
                </c:pt>
                <c:pt idx="10">
                  <c:v>0.30769230769230771</c:v>
                </c:pt>
                <c:pt idx="11">
                  <c:v>0.30588235294117649</c:v>
                </c:pt>
                <c:pt idx="12">
                  <c:v>0.31521739130434784</c:v>
                </c:pt>
                <c:pt idx="13">
                  <c:v>0.32653061224489793</c:v>
                </c:pt>
                <c:pt idx="14">
                  <c:v>0.35238095238095241</c:v>
                </c:pt>
                <c:pt idx="15">
                  <c:v>0.35652173913043478</c:v>
                </c:pt>
                <c:pt idx="16">
                  <c:v>0.34959349593495936</c:v>
                </c:pt>
                <c:pt idx="17">
                  <c:v>0.33834586466165412</c:v>
                </c:pt>
                <c:pt idx="18">
                  <c:v>0.33098591549295775</c:v>
                </c:pt>
                <c:pt idx="19">
                  <c:v>0.33774834437086093</c:v>
                </c:pt>
                <c:pt idx="20">
                  <c:v>0.34177215189873417</c:v>
                </c:pt>
                <c:pt idx="21">
                  <c:v>0.32727272727272727</c:v>
                </c:pt>
                <c:pt idx="22">
                  <c:v>0.32571428571428573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7592997811816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いちかわ2!$H$1:$H$2</c:f>
              <c:strCache>
                <c:ptCount val="2"/>
                <c:pt idx="0">
                  <c:v>いちかわ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いちかわ2!$A$3:$A$25</c:f>
              <c:numCache>
                <c:formatCode>0\ "回"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いちかわ2!$H$3:$H$25</c:f>
              <c:numCache>
                <c:formatCode>0.0%</c:formatCode>
                <c:ptCount val="23"/>
                <c:pt idx="1">
                  <c:v>0.1</c:v>
                </c:pt>
                <c:pt idx="2">
                  <c:v>0.125</c:v>
                </c:pt>
                <c:pt idx="3">
                  <c:v>0.19047619047619047</c:v>
                </c:pt>
                <c:pt idx="4">
                  <c:v>0.22857142857142856</c:v>
                </c:pt>
                <c:pt idx="5">
                  <c:v>0.26315789473684209</c:v>
                </c:pt>
                <c:pt idx="6">
                  <c:v>0.23404255319148937</c:v>
                </c:pt>
                <c:pt idx="7">
                  <c:v>0.20754716981132076</c:v>
                </c:pt>
                <c:pt idx="8">
                  <c:v>0.18032786885245902</c:v>
                </c:pt>
                <c:pt idx="9">
                  <c:v>0.15492957746478872</c:v>
                </c:pt>
                <c:pt idx="10">
                  <c:v>0.15384615384615385</c:v>
                </c:pt>
                <c:pt idx="11">
                  <c:v>0.15294117647058825</c:v>
                </c:pt>
                <c:pt idx="12">
                  <c:v>0.16304347826086957</c:v>
                </c:pt>
                <c:pt idx="13">
                  <c:v>0.16326530612244897</c:v>
                </c:pt>
                <c:pt idx="14">
                  <c:v>0.16190476190476191</c:v>
                </c:pt>
                <c:pt idx="15">
                  <c:v>0.16521739130434782</c:v>
                </c:pt>
                <c:pt idx="16">
                  <c:v>0.15447154471544716</c:v>
                </c:pt>
                <c:pt idx="17">
                  <c:v>0.15789473684210525</c:v>
                </c:pt>
                <c:pt idx="18">
                  <c:v>0.15492957746478872</c:v>
                </c:pt>
                <c:pt idx="19">
                  <c:v>0.15231788079470199</c:v>
                </c:pt>
                <c:pt idx="20">
                  <c:v>0.14556962025316456</c:v>
                </c:pt>
                <c:pt idx="21">
                  <c:v>0.14545454545454545</c:v>
                </c:pt>
                <c:pt idx="22">
                  <c:v>0.14285714285714285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33843909555069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いちかわ2!$I$1:$I$2</c:f>
              <c:strCache>
                <c:ptCount val="2"/>
                <c:pt idx="0">
                  <c:v>いちかわ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いちかわ2!$A$3:$A$25</c:f>
              <c:numCache>
                <c:formatCode>0\ "回"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いちかわ2!$I$3:$I$25</c:f>
              <c:numCache>
                <c:formatCode>0</c:formatCode>
                <c:ptCount val="23"/>
                <c:pt idx="1">
                  <c:v>9000</c:v>
                </c:pt>
                <c:pt idx="2">
                  <c:v>9000</c:v>
                </c:pt>
                <c:pt idx="3">
                  <c:v>9000</c:v>
                </c:pt>
                <c:pt idx="4">
                  <c:v>8533.3333333333339</c:v>
                </c:pt>
                <c:pt idx="5">
                  <c:v>8533.3333333333339</c:v>
                </c:pt>
                <c:pt idx="6">
                  <c:v>8708.3333333333339</c:v>
                </c:pt>
                <c:pt idx="7">
                  <c:v>7480</c:v>
                </c:pt>
                <c:pt idx="8">
                  <c:v>7333.333333333333</c:v>
                </c:pt>
                <c:pt idx="9">
                  <c:v>7322.727272727273</c:v>
                </c:pt>
                <c:pt idx="10">
                  <c:v>7366.666666666667</c:v>
                </c:pt>
                <c:pt idx="11">
                  <c:v>7150</c:v>
                </c:pt>
                <c:pt idx="12">
                  <c:v>8065.5172413793107</c:v>
                </c:pt>
                <c:pt idx="13">
                  <c:v>8165.625</c:v>
                </c:pt>
                <c:pt idx="14">
                  <c:v>7913.5135135135133</c:v>
                </c:pt>
                <c:pt idx="15">
                  <c:v>7495.1219512195121</c:v>
                </c:pt>
                <c:pt idx="16">
                  <c:v>7474.4186046511632</c:v>
                </c:pt>
                <c:pt idx="17">
                  <c:v>7453.333333333333</c:v>
                </c:pt>
                <c:pt idx="18">
                  <c:v>7531.9148936170213</c:v>
                </c:pt>
                <c:pt idx="19">
                  <c:v>8115.6862745098042</c:v>
                </c:pt>
                <c:pt idx="20">
                  <c:v>8168.5185185185182</c:v>
                </c:pt>
                <c:pt idx="21">
                  <c:v>8168.5185185185182</c:v>
                </c:pt>
                <c:pt idx="22">
                  <c:v>8285.9649122807023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105.392156862744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いちかわ2!$J$1:$J$2</c:f>
              <c:strCache>
                <c:ptCount val="2"/>
                <c:pt idx="0">
                  <c:v>いちかわ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いちかわ2!$A$3:$A$25</c:f>
              <c:numCache>
                <c:formatCode>0\ "回"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いちかわ2!$J$3:$J$25</c:f>
              <c:numCache>
                <c:formatCode>0</c:formatCode>
                <c:ptCount val="23"/>
                <c:pt idx="1">
                  <c:v>-7700</c:v>
                </c:pt>
                <c:pt idx="2">
                  <c:v>-7700</c:v>
                </c:pt>
                <c:pt idx="3">
                  <c:v>-9850</c:v>
                </c:pt>
                <c:pt idx="4">
                  <c:v>-8887.5</c:v>
                </c:pt>
                <c:pt idx="5">
                  <c:v>-8810</c:v>
                </c:pt>
                <c:pt idx="6">
                  <c:v>-8481.818181818182</c:v>
                </c:pt>
                <c:pt idx="7">
                  <c:v>-8481.818181818182</c:v>
                </c:pt>
                <c:pt idx="8">
                  <c:v>-8481.818181818182</c:v>
                </c:pt>
                <c:pt idx="9">
                  <c:v>-8481.818181818182</c:v>
                </c:pt>
                <c:pt idx="10">
                  <c:v>-8416.6666666666661</c:v>
                </c:pt>
                <c:pt idx="11">
                  <c:v>-7953.8461538461543</c:v>
                </c:pt>
                <c:pt idx="12">
                  <c:v>-7500</c:v>
                </c:pt>
                <c:pt idx="13">
                  <c:v>-7356.25</c:v>
                </c:pt>
                <c:pt idx="14">
                  <c:v>-7394.1176470588234</c:v>
                </c:pt>
                <c:pt idx="15">
                  <c:v>-7921.0526315789475</c:v>
                </c:pt>
                <c:pt idx="16">
                  <c:v>-7921.0526315789475</c:v>
                </c:pt>
                <c:pt idx="17">
                  <c:v>-7447.6190476190477</c:v>
                </c:pt>
                <c:pt idx="18">
                  <c:v>-7154.545454545455</c:v>
                </c:pt>
                <c:pt idx="19">
                  <c:v>-7365.217391304348</c:v>
                </c:pt>
                <c:pt idx="20">
                  <c:v>-7365.217391304348</c:v>
                </c:pt>
                <c:pt idx="21">
                  <c:v>-7141.666666666667</c:v>
                </c:pt>
                <c:pt idx="22">
                  <c:v>-7012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311.60714285714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いちかわ2!$K$1:$K$2</c:f>
              <c:strCache>
                <c:ptCount val="2"/>
                <c:pt idx="0">
                  <c:v>いちかわ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いちかわ2!$A$3:$A$25</c:f>
              <c:numCache>
                <c:formatCode>0\ "回"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いちかわ2!$K$3:$K$25</c:f>
              <c:numCache>
                <c:formatCode>0.0%</c:formatCode>
                <c:ptCount val="23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5.2631578947368418E-2</c:v>
                </c:pt>
                <c:pt idx="20">
                  <c:v>0.05</c:v>
                </c:pt>
                <c:pt idx="21">
                  <c:v>9.5238095238095233E-2</c:v>
                </c:pt>
                <c:pt idx="22">
                  <c:v>9.0909090909090912E-2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7.2727272727272724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いちかわ2!$L$1:$L$2</c:f>
              <c:strCache>
                <c:ptCount val="2"/>
                <c:pt idx="0">
                  <c:v>いちかわ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いちかわ2!$A$3:$A$25</c:f>
              <c:numCache>
                <c:formatCode>0\ "回"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いちかわ2!$L$3:$L$25</c:f>
              <c:numCache>
                <c:formatCode>0.0%</c:formatCode>
                <c:ptCount val="23"/>
                <c:pt idx="1">
                  <c:v>0.5</c:v>
                </c:pt>
                <c:pt idx="2">
                  <c:v>0.375</c:v>
                </c:pt>
                <c:pt idx="3">
                  <c:v>0.33333333333333331</c:v>
                </c:pt>
                <c:pt idx="4">
                  <c:v>0.31428571428571428</c:v>
                </c:pt>
                <c:pt idx="5">
                  <c:v>0.31578947368421051</c:v>
                </c:pt>
                <c:pt idx="6">
                  <c:v>0.34042553191489361</c:v>
                </c:pt>
                <c:pt idx="7">
                  <c:v>0.33962264150943394</c:v>
                </c:pt>
                <c:pt idx="8">
                  <c:v>0.31147540983606559</c:v>
                </c:pt>
                <c:pt idx="9">
                  <c:v>0.30985915492957744</c:v>
                </c:pt>
                <c:pt idx="10">
                  <c:v>0.29487179487179488</c:v>
                </c:pt>
                <c:pt idx="11">
                  <c:v>0.28235294117647058</c:v>
                </c:pt>
                <c:pt idx="12">
                  <c:v>0.2608695652173913</c:v>
                </c:pt>
                <c:pt idx="13">
                  <c:v>0.25510204081632654</c:v>
                </c:pt>
                <c:pt idx="14">
                  <c:v>0.24761904761904763</c:v>
                </c:pt>
                <c:pt idx="15">
                  <c:v>0.23478260869565218</c:v>
                </c:pt>
                <c:pt idx="16">
                  <c:v>0.22764227642276422</c:v>
                </c:pt>
                <c:pt idx="17">
                  <c:v>0.21804511278195488</c:v>
                </c:pt>
                <c:pt idx="18">
                  <c:v>0.22535211267605634</c:v>
                </c:pt>
                <c:pt idx="19">
                  <c:v>0.2185430463576159</c:v>
                </c:pt>
                <c:pt idx="20">
                  <c:v>0.22151898734177214</c:v>
                </c:pt>
                <c:pt idx="21">
                  <c:v>0.21818181818181817</c:v>
                </c:pt>
                <c:pt idx="22">
                  <c:v>0.22285714285714286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1429613420860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いちかわ2!$M$1:$M$2</c:f>
              <c:strCache>
                <c:ptCount val="2"/>
                <c:pt idx="0">
                  <c:v>いちかわ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いちかわ2!$A$3:$A$25</c:f>
              <c:numCache>
                <c:formatCode>0\ "回"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いちかわ2!$M$3:$M$25</c:f>
              <c:numCache>
                <c:formatCode>0.0%</c:formatCode>
                <c:ptCount val="23"/>
                <c:pt idx="1">
                  <c:v>0.3</c:v>
                </c:pt>
                <c:pt idx="2">
                  <c:v>0.1875</c:v>
                </c:pt>
                <c:pt idx="3">
                  <c:v>0.19047619047619047</c:v>
                </c:pt>
                <c:pt idx="4">
                  <c:v>0.17142857142857143</c:v>
                </c:pt>
                <c:pt idx="5">
                  <c:v>0.15789473684210525</c:v>
                </c:pt>
                <c:pt idx="6">
                  <c:v>0.19148936170212766</c:v>
                </c:pt>
                <c:pt idx="7">
                  <c:v>0.18867924528301888</c:v>
                </c:pt>
                <c:pt idx="8">
                  <c:v>0.19672131147540983</c:v>
                </c:pt>
                <c:pt idx="9">
                  <c:v>0.18309859154929578</c:v>
                </c:pt>
                <c:pt idx="10">
                  <c:v>0.20512820512820512</c:v>
                </c:pt>
                <c:pt idx="11">
                  <c:v>0.18823529411764706</c:v>
                </c:pt>
                <c:pt idx="12">
                  <c:v>0.19565217391304349</c:v>
                </c:pt>
                <c:pt idx="13">
                  <c:v>0.22448979591836735</c:v>
                </c:pt>
                <c:pt idx="14">
                  <c:v>0.25714285714285712</c:v>
                </c:pt>
                <c:pt idx="15">
                  <c:v>0.25217391304347825</c:v>
                </c:pt>
                <c:pt idx="16">
                  <c:v>0.26016260162601629</c:v>
                </c:pt>
                <c:pt idx="17">
                  <c:v>0.26315789473684209</c:v>
                </c:pt>
                <c:pt idx="18">
                  <c:v>0.25352112676056338</c:v>
                </c:pt>
                <c:pt idx="19">
                  <c:v>0.25827814569536423</c:v>
                </c:pt>
                <c:pt idx="20">
                  <c:v>0.25316455696202533</c:v>
                </c:pt>
                <c:pt idx="21">
                  <c:v>0.24242424242424243</c:v>
                </c:pt>
                <c:pt idx="22">
                  <c:v>0.22857142857142856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34062727935813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いちかわ2!$N$1:$N$2</c:f>
              <c:strCache>
                <c:ptCount val="2"/>
                <c:pt idx="0">
                  <c:v>いちかわ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いちかわ2!$A$3:$A$25</c:f>
              <c:numCache>
                <c:formatCode>0\ "回"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いちかわ2!$N$3:$N$25</c:f>
              <c:numCache>
                <c:formatCode>0.0%</c:formatCode>
                <c:ptCount val="23"/>
                <c:pt idx="1">
                  <c:v>0.6</c:v>
                </c:pt>
                <c:pt idx="2">
                  <c:v>0.5</c:v>
                </c:pt>
                <c:pt idx="3">
                  <c:v>0.42857142857142855</c:v>
                </c:pt>
                <c:pt idx="4">
                  <c:v>0.54545454545454541</c:v>
                </c:pt>
                <c:pt idx="5">
                  <c:v>0.5</c:v>
                </c:pt>
                <c:pt idx="6">
                  <c:v>0.4375</c:v>
                </c:pt>
                <c:pt idx="7">
                  <c:v>0.5</c:v>
                </c:pt>
                <c:pt idx="8">
                  <c:v>0.52631578947368418</c:v>
                </c:pt>
                <c:pt idx="9">
                  <c:v>0.54545454545454541</c:v>
                </c:pt>
                <c:pt idx="10">
                  <c:v>0.56521739130434778</c:v>
                </c:pt>
                <c:pt idx="11">
                  <c:v>0.58333333333333337</c:v>
                </c:pt>
                <c:pt idx="12">
                  <c:v>0.58333333333333337</c:v>
                </c:pt>
                <c:pt idx="13">
                  <c:v>0.6</c:v>
                </c:pt>
                <c:pt idx="14">
                  <c:v>0.61538461538461542</c:v>
                </c:pt>
                <c:pt idx="15">
                  <c:v>0.59259259259259256</c:v>
                </c:pt>
                <c:pt idx="16">
                  <c:v>0.6071428571428571</c:v>
                </c:pt>
                <c:pt idx="17">
                  <c:v>0.62068965517241381</c:v>
                </c:pt>
                <c:pt idx="18">
                  <c:v>0.5625</c:v>
                </c:pt>
                <c:pt idx="19">
                  <c:v>0.54545454545454541</c:v>
                </c:pt>
                <c:pt idx="20">
                  <c:v>0.5714285714285714</c:v>
                </c:pt>
                <c:pt idx="21">
                  <c:v>0.55555555555555558</c:v>
                </c:pt>
                <c:pt idx="22">
                  <c:v>0.5641025641025641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135951661631420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いちかわ2!$O$1:$O$2</c:f>
              <c:strCache>
                <c:ptCount val="2"/>
                <c:pt idx="0">
                  <c:v>いちかわ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いちかわ2!$A$3:$A$25</c:f>
              <c:numCache>
                <c:formatCode>0\ "回"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いちかわ2!$O$3:$O$25</c:f>
              <c:numCache>
                <c:formatCode>0.0%</c:formatCode>
                <c:ptCount val="23"/>
                <c:pt idx="1">
                  <c:v>0.66666666666666663</c:v>
                </c:pt>
                <c:pt idx="2">
                  <c:v>0.66666666666666663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0.55555555555555558</c:v>
                </c:pt>
                <c:pt idx="7">
                  <c:v>0.6</c:v>
                </c:pt>
                <c:pt idx="8">
                  <c:v>0.58333333333333337</c:v>
                </c:pt>
                <c:pt idx="9">
                  <c:v>0.61538461538461542</c:v>
                </c:pt>
                <c:pt idx="10">
                  <c:v>0.5625</c:v>
                </c:pt>
                <c:pt idx="11">
                  <c:v>0.5625</c:v>
                </c:pt>
                <c:pt idx="12">
                  <c:v>0.55555555555555558</c:v>
                </c:pt>
                <c:pt idx="13">
                  <c:v>0.54545454545454541</c:v>
                </c:pt>
                <c:pt idx="14">
                  <c:v>0.59259259259259256</c:v>
                </c:pt>
                <c:pt idx="15">
                  <c:v>0.62068965517241381</c:v>
                </c:pt>
                <c:pt idx="16">
                  <c:v>0.59375</c:v>
                </c:pt>
                <c:pt idx="17">
                  <c:v>0.5714285714285714</c:v>
                </c:pt>
                <c:pt idx="18">
                  <c:v>0.58333333333333337</c:v>
                </c:pt>
                <c:pt idx="19">
                  <c:v>0.58974358974358976</c:v>
                </c:pt>
                <c:pt idx="20">
                  <c:v>0.57499999999999996</c:v>
                </c:pt>
                <c:pt idx="21">
                  <c:v>0.57499999999999996</c:v>
                </c:pt>
                <c:pt idx="22">
                  <c:v>0.57499999999999996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562499999999999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いちかわ2!$P$1:$P$2</c:f>
              <c:strCache>
                <c:ptCount val="2"/>
                <c:pt idx="0">
                  <c:v>いちかわ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いちかわ2!$A$3:$A$25</c:f>
              <c:numCache>
                <c:formatCode>0\ "回"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いちかわ2!$P$3:$P$25</c:f>
              <c:numCache>
                <c:formatCode>0.0%</c:formatCode>
                <c:ptCount val="23"/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0.55555555555555558</c:v>
                </c:pt>
                <c:pt idx="5">
                  <c:v>0.55555555555555558</c:v>
                </c:pt>
                <c:pt idx="6">
                  <c:v>0.41666666666666669</c:v>
                </c:pt>
                <c:pt idx="7">
                  <c:v>0.53333333333333333</c:v>
                </c:pt>
                <c:pt idx="8">
                  <c:v>0.44444444444444442</c:v>
                </c:pt>
                <c:pt idx="9">
                  <c:v>0.40909090909090912</c:v>
                </c:pt>
                <c:pt idx="10">
                  <c:v>0.41666666666666669</c:v>
                </c:pt>
                <c:pt idx="11">
                  <c:v>0.42307692307692307</c:v>
                </c:pt>
                <c:pt idx="12">
                  <c:v>0.44827586206896552</c:v>
                </c:pt>
                <c:pt idx="13">
                  <c:v>0.46875</c:v>
                </c:pt>
                <c:pt idx="14">
                  <c:v>0.40540540540540543</c:v>
                </c:pt>
                <c:pt idx="15">
                  <c:v>0.36585365853658536</c:v>
                </c:pt>
                <c:pt idx="16">
                  <c:v>0.39534883720930231</c:v>
                </c:pt>
                <c:pt idx="17">
                  <c:v>0.37777777777777777</c:v>
                </c:pt>
                <c:pt idx="18">
                  <c:v>0.36170212765957449</c:v>
                </c:pt>
                <c:pt idx="19">
                  <c:v>0.39215686274509803</c:v>
                </c:pt>
                <c:pt idx="20">
                  <c:v>0.3888888888888889</c:v>
                </c:pt>
                <c:pt idx="21">
                  <c:v>0.3888888888888889</c:v>
                </c:pt>
                <c:pt idx="22">
                  <c:v>0.40350877192982454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8529411764705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2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30480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F22"/>
  <sheetViews>
    <sheetView workbookViewId="0"/>
  </sheetViews>
  <sheetFormatPr defaultColWidth="9" defaultRowHeight="18" x14ac:dyDescent="0.45"/>
  <cols>
    <col min="1" max="1" width="19.09765625" style="2" customWidth="1"/>
    <col min="2" max="2" width="19.09765625" style="3" customWidth="1"/>
    <col min="3" max="16384" width="9" style="2"/>
  </cols>
  <sheetData>
    <row r="1" spans="1:6" x14ac:dyDescent="0.45">
      <c r="A1" s="1">
        <v>32874</v>
      </c>
      <c r="B1" s="1">
        <v>2958465</v>
      </c>
    </row>
    <row r="2" spans="1:6" x14ac:dyDescent="0.45">
      <c r="A2" s="2" t="s">
        <v>212</v>
      </c>
      <c r="B2" s="3">
        <v>44118.006006944444</v>
      </c>
      <c r="C2" s="2" t="s">
        <v>127</v>
      </c>
      <c r="D2" s="2" t="s">
        <v>188</v>
      </c>
    </row>
    <row r="3" spans="1:6" x14ac:dyDescent="0.45">
      <c r="A3" s="2" t="s">
        <v>213</v>
      </c>
      <c r="B3" s="3">
        <v>44118.006006944444</v>
      </c>
      <c r="C3" s="2" t="s">
        <v>127</v>
      </c>
      <c r="D3" s="2" t="s">
        <v>188</v>
      </c>
      <c r="E3" s="2" t="s">
        <v>191</v>
      </c>
    </row>
    <row r="4" spans="1:6" x14ac:dyDescent="0.45">
      <c r="A4" s="2" t="s">
        <v>214</v>
      </c>
      <c r="B4" s="3">
        <v>44118.006006944444</v>
      </c>
      <c r="C4" s="2" t="s">
        <v>127</v>
      </c>
      <c r="D4" s="2" t="s">
        <v>188</v>
      </c>
    </row>
    <row r="5" spans="1:6" x14ac:dyDescent="0.45">
      <c r="A5" s="2" t="s">
        <v>215</v>
      </c>
      <c r="B5" s="3">
        <v>44118.006006944444</v>
      </c>
      <c r="C5" s="2" t="s">
        <v>127</v>
      </c>
      <c r="D5" s="2" t="s">
        <v>188</v>
      </c>
      <c r="E5" s="2" t="s">
        <v>191</v>
      </c>
      <c r="F5" s="2" t="s">
        <v>194</v>
      </c>
    </row>
    <row r="6" spans="1:6" x14ac:dyDescent="0.45">
      <c r="A6" s="2" t="s">
        <v>217</v>
      </c>
      <c r="B6" s="3">
        <v>44118.006006944444</v>
      </c>
      <c r="C6" s="2" t="s">
        <v>127</v>
      </c>
      <c r="D6" s="2" t="s">
        <v>188</v>
      </c>
      <c r="E6" s="2" t="s">
        <v>191</v>
      </c>
      <c r="F6" s="2" t="s">
        <v>194</v>
      </c>
    </row>
    <row r="7" spans="1:6" x14ac:dyDescent="0.45">
      <c r="A7" s="2" t="s">
        <v>218</v>
      </c>
      <c r="B7" s="3">
        <v>44118.006006944444</v>
      </c>
      <c r="C7" s="2" t="s">
        <v>127</v>
      </c>
    </row>
    <row r="8" spans="1:6" x14ac:dyDescent="0.45">
      <c r="A8" s="2" t="s">
        <v>219</v>
      </c>
      <c r="B8" s="3">
        <v>44118.006006944444</v>
      </c>
      <c r="C8" s="2" t="s">
        <v>127</v>
      </c>
    </row>
    <row r="9" spans="1:6" x14ac:dyDescent="0.45">
      <c r="A9" s="2" t="s">
        <v>220</v>
      </c>
      <c r="B9" s="3">
        <v>44118.006006944444</v>
      </c>
      <c r="C9" s="2" t="s">
        <v>127</v>
      </c>
      <c r="D9" s="2" t="s">
        <v>188</v>
      </c>
    </row>
    <row r="10" spans="1:6" x14ac:dyDescent="0.45">
      <c r="A10" s="2" t="s">
        <v>222</v>
      </c>
      <c r="B10" s="3">
        <v>44118.006006944444</v>
      </c>
      <c r="C10" s="2" t="s">
        <v>127</v>
      </c>
    </row>
    <row r="11" spans="1:6" x14ac:dyDescent="0.45">
      <c r="A11" s="2" t="s">
        <v>223</v>
      </c>
      <c r="B11" s="3">
        <v>44118.006006944444</v>
      </c>
      <c r="C11" s="2" t="s">
        <v>127</v>
      </c>
      <c r="D11" s="2" t="s">
        <v>188</v>
      </c>
      <c r="E11" s="2" t="s">
        <v>191</v>
      </c>
    </row>
    <row r="12" spans="1:6" x14ac:dyDescent="0.45">
      <c r="A12" s="2" t="s">
        <v>224</v>
      </c>
      <c r="B12" s="3">
        <v>44118.006006944444</v>
      </c>
      <c r="C12" s="2" t="s">
        <v>127</v>
      </c>
      <c r="D12" s="2" t="s">
        <v>188</v>
      </c>
    </row>
    <row r="13" spans="1:6" x14ac:dyDescent="0.45">
      <c r="A13" s="2" t="s">
        <v>226</v>
      </c>
      <c r="B13" s="3">
        <v>44116.720555555556</v>
      </c>
      <c r="C13" s="2" t="s">
        <v>127</v>
      </c>
      <c r="D13" s="2" t="s">
        <v>188</v>
      </c>
      <c r="E13" s="2" t="s">
        <v>191</v>
      </c>
      <c r="F13" s="2" t="s">
        <v>194</v>
      </c>
    </row>
    <row r="14" spans="1:6" x14ac:dyDescent="0.45">
      <c r="A14" s="2" t="s">
        <v>227</v>
      </c>
      <c r="B14" s="3">
        <v>44118.945081018515</v>
      </c>
      <c r="C14" s="2" t="s">
        <v>127</v>
      </c>
      <c r="D14" s="2" t="s">
        <v>188</v>
      </c>
      <c r="E14" s="2" t="s">
        <v>191</v>
      </c>
    </row>
    <row r="15" spans="1:6" x14ac:dyDescent="0.45">
      <c r="A15" s="2" t="s">
        <v>228</v>
      </c>
      <c r="B15" s="3">
        <v>44119.742905092593</v>
      </c>
      <c r="C15" s="2" t="s">
        <v>127</v>
      </c>
      <c r="D15" s="2" t="s">
        <v>188</v>
      </c>
      <c r="E15" s="2" t="s">
        <v>191</v>
      </c>
    </row>
    <row r="16" spans="1:6" x14ac:dyDescent="0.45">
      <c r="A16" s="2" t="s">
        <v>229</v>
      </c>
      <c r="B16" s="3">
        <v>44121.651458333334</v>
      </c>
      <c r="C16" s="2" t="s">
        <v>127</v>
      </c>
      <c r="D16" s="2" t="s">
        <v>188</v>
      </c>
      <c r="E16" s="2" t="s">
        <v>191</v>
      </c>
    </row>
    <row r="17" spans="1:6" x14ac:dyDescent="0.45">
      <c r="A17" s="2" t="s">
        <v>230</v>
      </c>
      <c r="B17" s="3">
        <v>44123.99422453704</v>
      </c>
      <c r="C17" s="2" t="s">
        <v>127</v>
      </c>
      <c r="D17" s="2" t="s">
        <v>188</v>
      </c>
      <c r="E17" s="2" t="s">
        <v>191</v>
      </c>
    </row>
    <row r="18" spans="1:6" x14ac:dyDescent="0.45">
      <c r="A18" s="2" t="s">
        <v>231</v>
      </c>
      <c r="B18" s="3">
        <v>44125.710949074077</v>
      </c>
      <c r="C18" s="2" t="s">
        <v>127</v>
      </c>
      <c r="D18" s="2" t="s">
        <v>188</v>
      </c>
      <c r="E18" s="2" t="s">
        <v>191</v>
      </c>
      <c r="F18" s="2" t="s">
        <v>194</v>
      </c>
    </row>
    <row r="19" spans="1:6" x14ac:dyDescent="0.45">
      <c r="A19" s="2" t="s">
        <v>232</v>
      </c>
      <c r="B19" s="3">
        <v>44126.860625000001</v>
      </c>
      <c r="C19" s="2" t="s">
        <v>127</v>
      </c>
      <c r="D19" s="2" t="s">
        <v>188</v>
      </c>
    </row>
    <row r="20" spans="1:6" x14ac:dyDescent="0.45">
      <c r="A20" s="2" t="s">
        <v>233</v>
      </c>
      <c r="B20" s="3">
        <v>44127.875057870369</v>
      </c>
      <c r="C20" s="2" t="s">
        <v>127</v>
      </c>
      <c r="D20" s="2" t="s">
        <v>188</v>
      </c>
    </row>
    <row r="21" spans="1:6" x14ac:dyDescent="0.45">
      <c r="A21" s="2" t="s">
        <v>234</v>
      </c>
      <c r="B21" s="3">
        <v>44129.719571759262</v>
      </c>
      <c r="C21" s="2" t="s">
        <v>127</v>
      </c>
      <c r="D21" s="2" t="s">
        <v>188</v>
      </c>
    </row>
    <row r="22" spans="1:6" x14ac:dyDescent="0.45">
      <c r="A22" s="2" t="s">
        <v>235</v>
      </c>
      <c r="B22" s="3">
        <v>44130.766145833331</v>
      </c>
      <c r="C22" s="2" t="s">
        <v>127</v>
      </c>
      <c r="D22" s="2" t="s">
        <v>188</v>
      </c>
      <c r="E22" s="2" t="s">
        <v>191</v>
      </c>
      <c r="F22" s="2" t="s">
        <v>194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6" x14ac:dyDescent="0.45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6" x14ac:dyDescent="0.45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H24"/>
  <sheetViews>
    <sheetView workbookViewId="0"/>
  </sheetViews>
  <sheetFormatPr defaultRowHeight="18" x14ac:dyDescent="0.45"/>
  <cols>
    <col min="1" max="1" width="11" customWidth="1"/>
    <col min="2" max="2" width="9" style="120" customWidth="1"/>
    <col min="3" max="3" width="9" style="120"/>
  </cols>
  <sheetData>
    <row r="1" spans="1:3" x14ac:dyDescent="0.45">
      <c r="A1" t="s">
        <v>225</v>
      </c>
    </row>
    <row r="2" spans="1:3" x14ac:dyDescent="0.45">
      <c r="A2" t="s">
        <v>126</v>
      </c>
      <c r="B2" s="120">
        <v>43</v>
      </c>
      <c r="C2" s="120">
        <v>1842.3339395535957</v>
      </c>
    </row>
    <row r="3" spans="1:3" x14ac:dyDescent="0.45">
      <c r="A3" t="s">
        <v>163</v>
      </c>
      <c r="B3" s="120">
        <v>17</v>
      </c>
      <c r="C3" s="120">
        <v>1653.1699313523677</v>
      </c>
    </row>
    <row r="4" spans="1:3" x14ac:dyDescent="0.45">
      <c r="A4" t="s">
        <v>139</v>
      </c>
      <c r="B4" s="120">
        <v>165</v>
      </c>
      <c r="C4" s="120">
        <v>1594.5463045050694</v>
      </c>
    </row>
    <row r="5" spans="1:3" x14ac:dyDescent="0.45">
      <c r="A5" t="s">
        <v>190</v>
      </c>
      <c r="B5" s="120">
        <v>10</v>
      </c>
      <c r="C5" s="120">
        <v>1524.3778689305989</v>
      </c>
    </row>
    <row r="6" spans="1:3" x14ac:dyDescent="0.45">
      <c r="A6" t="s">
        <v>192</v>
      </c>
      <c r="B6" s="120">
        <v>29</v>
      </c>
      <c r="C6" s="120">
        <v>1517.1288342047803</v>
      </c>
    </row>
    <row r="7" spans="1:3" x14ac:dyDescent="0.45">
      <c r="A7" t="s">
        <v>211</v>
      </c>
      <c r="B7" s="120">
        <v>22</v>
      </c>
      <c r="C7" s="120">
        <v>1488.8318648771276</v>
      </c>
    </row>
    <row r="8" spans="1:3" x14ac:dyDescent="0.45">
      <c r="A8" t="s">
        <v>210</v>
      </c>
      <c r="C8" s="120">
        <v>1483.0119085897741</v>
      </c>
    </row>
    <row r="9" spans="1:3" x14ac:dyDescent="0.45">
      <c r="A9" t="s">
        <v>198</v>
      </c>
      <c r="C9" s="120">
        <v>1463.4239467393418</v>
      </c>
    </row>
    <row r="10" spans="1:3" x14ac:dyDescent="0.45">
      <c r="A10" t="s">
        <v>189</v>
      </c>
      <c r="B10" s="120">
        <v>18</v>
      </c>
      <c r="C10" s="120">
        <v>1433.30445236539</v>
      </c>
    </row>
    <row r="11" spans="1:3" x14ac:dyDescent="0.45">
      <c r="A11" t="s">
        <v>195</v>
      </c>
      <c r="B11" s="120">
        <v>6</v>
      </c>
      <c r="C11" s="120">
        <v>1392.8042574192286</v>
      </c>
    </row>
    <row r="12" spans="1:3" x14ac:dyDescent="0.45">
      <c r="A12" t="s">
        <v>199</v>
      </c>
      <c r="C12" s="120">
        <v>1382.1789004547948</v>
      </c>
    </row>
    <row r="13" spans="1:3" x14ac:dyDescent="0.45">
      <c r="A13" t="s">
        <v>193</v>
      </c>
      <c r="B13" s="120">
        <v>4</v>
      </c>
      <c r="C13" s="120">
        <v>1348.2487416206377</v>
      </c>
    </row>
    <row r="14" spans="1:3" x14ac:dyDescent="0.45">
      <c r="A14" t="s">
        <v>201</v>
      </c>
      <c r="C14" s="120">
        <v>1500.437982464869</v>
      </c>
    </row>
    <row r="15" spans="1:3" x14ac:dyDescent="0.45">
      <c r="A15" t="s">
        <v>202</v>
      </c>
      <c r="C15" s="120">
        <v>1491.5152195648213</v>
      </c>
    </row>
    <row r="16" spans="1:3" x14ac:dyDescent="0.45">
      <c r="A16" t="s">
        <v>209</v>
      </c>
      <c r="C16" s="120">
        <v>1484.4200922656562</v>
      </c>
    </row>
    <row r="17" spans="1:8" x14ac:dyDescent="0.45">
      <c r="A17" t="s">
        <v>204</v>
      </c>
      <c r="C17" s="120">
        <v>1519.3079580555725</v>
      </c>
      <c r="G17" s="120"/>
      <c r="H17" s="120"/>
    </row>
    <row r="18" spans="1:8" x14ac:dyDescent="0.45">
      <c r="A18" t="s">
        <v>200</v>
      </c>
      <c r="C18" s="120">
        <v>1519.2052586122145</v>
      </c>
      <c r="G18" s="120"/>
      <c r="H18" s="120"/>
    </row>
    <row r="19" spans="1:8" x14ac:dyDescent="0.45">
      <c r="A19" t="s">
        <v>203</v>
      </c>
      <c r="C19" s="120">
        <v>1503.1020000000001</v>
      </c>
      <c r="G19" s="120"/>
      <c r="H19" s="120"/>
    </row>
    <row r="20" spans="1:8" x14ac:dyDescent="0.45">
      <c r="A20" t="s">
        <v>205</v>
      </c>
      <c r="C20" s="120">
        <v>1489.2889468180317</v>
      </c>
      <c r="G20" s="120"/>
      <c r="H20" s="120"/>
    </row>
    <row r="21" spans="1:8" x14ac:dyDescent="0.45">
      <c r="A21" t="s">
        <v>207</v>
      </c>
      <c r="C21" s="120">
        <v>1484.6521503082251</v>
      </c>
      <c r="G21" s="120"/>
      <c r="H21" s="120"/>
    </row>
    <row r="22" spans="1:8" x14ac:dyDescent="0.45">
      <c r="A22" t="s">
        <v>206</v>
      </c>
      <c r="C22" s="120">
        <v>1476.2954110473599</v>
      </c>
      <c r="G22" s="120"/>
      <c r="H22" s="120"/>
    </row>
    <row r="23" spans="1:8" x14ac:dyDescent="0.45">
      <c r="A23" t="s">
        <v>221</v>
      </c>
      <c r="B23" s="120">
        <v>2</v>
      </c>
      <c r="C23" s="120">
        <v>1500</v>
      </c>
    </row>
    <row r="24" spans="1:8" x14ac:dyDescent="0.45">
      <c r="A24" t="s">
        <v>216</v>
      </c>
      <c r="B24" s="120">
        <v>14</v>
      </c>
      <c r="C24" s="120">
        <v>1500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/>
      <c r="C1" s="132"/>
      <c r="E1" s="104" t="s">
        <v>154</v>
      </c>
      <c r="F1" s="100" t="s">
        <v>115</v>
      </c>
      <c r="G1" s="99" t="s">
        <v>116</v>
      </c>
      <c r="H1" s="86" t="s">
        <v>117</v>
      </c>
      <c r="I1" s="100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0</v>
      </c>
      <c r="C2" s="134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5">
      <c r="A3" s="19" t="s">
        <v>8</v>
      </c>
      <c r="B3" s="135">
        <v>0</v>
      </c>
      <c r="C3" s="136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129</v>
      </c>
      <c r="P3" s="80">
        <f t="shared" si="1"/>
        <v>0</v>
      </c>
      <c r="Q3" s="77">
        <v>0</v>
      </c>
      <c r="R3" s="64">
        <v>0</v>
      </c>
    </row>
    <row r="4" spans="1:18" x14ac:dyDescent="0.45">
      <c r="A4" s="19" t="s">
        <v>6</v>
      </c>
      <c r="B4" s="137">
        <v>0</v>
      </c>
      <c r="C4" s="138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130</v>
      </c>
      <c r="P4" s="80">
        <f t="shared" si="1"/>
        <v>0</v>
      </c>
      <c r="Q4" s="77">
        <v>0</v>
      </c>
      <c r="R4" s="64">
        <v>0</v>
      </c>
    </row>
    <row r="5" spans="1:18" x14ac:dyDescent="0.45">
      <c r="A5" s="19" t="s">
        <v>7</v>
      </c>
      <c r="B5" s="125">
        <f>IF(B$2=0,0,B$4/B$2)</f>
        <v>0</v>
      </c>
      <c r="C5" s="126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131</v>
      </c>
      <c r="P5" s="80">
        <f t="shared" si="1"/>
        <v>0</v>
      </c>
      <c r="Q5" s="77">
        <v>0</v>
      </c>
      <c r="R5" s="64">
        <v>0</v>
      </c>
    </row>
    <row r="6" spans="1:18" x14ac:dyDescent="0.45">
      <c r="A6" s="19" t="s">
        <v>196</v>
      </c>
      <c r="B6" s="129">
        <v>1500</v>
      </c>
      <c r="C6" s="130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132</v>
      </c>
      <c r="P6" s="80">
        <f t="shared" si="1"/>
        <v>0</v>
      </c>
      <c r="Q6" s="77">
        <v>0</v>
      </c>
      <c r="R6" s="64">
        <v>0</v>
      </c>
    </row>
    <row r="7" spans="1:18" x14ac:dyDescent="0.45">
      <c r="A7" s="19" t="s">
        <v>1</v>
      </c>
      <c r="B7" s="139">
        <f>IF(B$2=0,0,(B$8*1+B$9*2+B$10*3)/B$2)</f>
        <v>0</v>
      </c>
      <c r="C7" s="140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133</v>
      </c>
      <c r="P7" s="81">
        <f t="shared" si="1"/>
        <v>0</v>
      </c>
      <c r="Q7" s="78">
        <v>0</v>
      </c>
      <c r="R7" s="65">
        <v>0</v>
      </c>
    </row>
    <row r="8" spans="1:18" x14ac:dyDescent="0.45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5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5">
      <c r="A11" s="20" t="s">
        <v>184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5">
      <c r="A12" s="20" t="s">
        <v>185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5">
      <c r="A13" s="20" t="s">
        <v>186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0</v>
      </c>
      <c r="C14" s="126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5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5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5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5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5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5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5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5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5">
      <c r="A24" s="19" t="s">
        <v>183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5">
      <c r="A25" s="19" t="s">
        <v>181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5">
      <c r="A26" s="19" t="s">
        <v>182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5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5">
      <c r="A28" s="20" t="s">
        <v>165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5">
      <c r="A29" s="20" t="s">
        <v>166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5">
      <c r="A30" s="20" t="s">
        <v>164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5">
      <c r="A31" s="19" t="s">
        <v>157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5">
      <c r="A32" s="19" t="s">
        <v>158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5">
      <c r="A33" s="54" t="s">
        <v>136</v>
      </c>
      <c r="B33" s="127">
        <v>0</v>
      </c>
      <c r="C33" s="128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5">
      <c r="A34" s="22" t="s">
        <v>180</v>
      </c>
      <c r="B34" s="129">
        <v>-1000000</v>
      </c>
      <c r="C34" s="130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5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5">
      <c r="A37" s="54" t="s">
        <v>171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5">
      <c r="A38" s="19" t="s">
        <v>167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5">
      <c r="A39" s="19" t="s">
        <v>168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5">
      <c r="A40" s="19" t="s">
        <v>169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5">
      <c r="A41" s="19" t="s">
        <v>170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5">
      <c r="A42" s="19" t="s">
        <v>172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5">
      <c r="A43" s="19" t="s">
        <v>173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5">
      <c r="A44" s="19" t="s">
        <v>174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5">
      <c r="A45" s="19" t="s">
        <v>175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5">
      <c r="A46" s="19" t="s">
        <v>176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5">
      <c r="A47" s="19" t="s">
        <v>177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5">
      <c r="A48" s="19" t="s">
        <v>178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5">
      <c r="A49" s="21" t="s">
        <v>179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5">
      <c r="E50" s="27" t="s">
        <v>155</v>
      </c>
      <c r="F50" s="24" t="s">
        <v>156</v>
      </c>
      <c r="G50" s="12">
        <v>0</v>
      </c>
      <c r="H50" s="88">
        <f t="shared" si="3"/>
        <v>0</v>
      </c>
      <c r="I50" s="58"/>
    </row>
    <row r="51" spans="1:9" x14ac:dyDescent="0.45">
      <c r="E51" s="91" t="s">
        <v>159</v>
      </c>
      <c r="F51" s="92" t="s">
        <v>160</v>
      </c>
      <c r="G51" s="13">
        <v>0</v>
      </c>
      <c r="H51" s="93">
        <f t="shared" si="3"/>
        <v>0</v>
      </c>
      <c r="I51" s="94"/>
    </row>
    <row r="52" spans="1:9" x14ac:dyDescent="0.45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3"/>
  <sheetViews>
    <sheetView showGridLines="0" tabSelected="1" zoomScale="130" zoomScaleNormal="130" workbookViewId="0"/>
  </sheetViews>
  <sheetFormatPr defaultColWidth="9" defaultRowHeight="18" x14ac:dyDescent="0.45"/>
  <cols>
    <col min="1" max="1" width="6" style="46" customWidth="1"/>
    <col min="2" max="2" width="10.59765625" style="49" customWidth="1"/>
    <col min="3" max="3" width="10.59765625" style="114" customWidth="1"/>
    <col min="4" max="4" width="10.59765625" style="47" customWidth="1"/>
    <col min="5" max="5" width="10.59765625" style="48" customWidth="1"/>
    <col min="6" max="6" width="10.59765625" style="49" customWidth="1"/>
    <col min="7" max="7" width="10.59765625" style="61" customWidth="1"/>
    <col min="8" max="8" width="10.59765625" style="49" customWidth="1"/>
    <col min="9" max="9" width="10.59765625" style="53" customWidth="1"/>
    <col min="10" max="10" width="10.59765625" style="49" customWidth="1"/>
    <col min="11" max="11" width="10.59765625" style="50" customWidth="1"/>
    <col min="12" max="12" width="10.59765625" style="49" customWidth="1"/>
    <col min="13" max="13" width="10.59765625" style="51" customWidth="1"/>
    <col min="14" max="14" width="10.59765625" style="49" customWidth="1"/>
    <col min="15" max="15" width="10.59765625" style="51" customWidth="1"/>
    <col min="16" max="16" width="10.59765625" style="49" customWidth="1"/>
    <col min="17" max="17" width="10.59765625" style="52" customWidth="1"/>
    <col min="18" max="18" width="10.59765625" style="49" customWidth="1"/>
    <col min="19" max="19" width="10.59765625" style="52" customWidth="1"/>
    <col min="20" max="20" width="10.59765625" style="49" customWidth="1"/>
    <col min="21" max="21" width="10.59765625" style="53" customWidth="1"/>
    <col min="22" max="22" width="10.59765625" style="49" customWidth="1"/>
    <col min="23" max="23" width="10.59765625" style="53" customWidth="1"/>
    <col min="24" max="24" width="10.59765625" style="49" customWidth="1"/>
    <col min="25" max="25" width="10.59765625" style="51" customWidth="1"/>
    <col min="26" max="26" width="10.59765625" style="49" customWidth="1"/>
    <col min="27" max="27" width="10.59765625" style="52" customWidth="1"/>
    <col min="28" max="28" width="10.59765625" style="49" customWidth="1"/>
    <col min="29" max="29" width="10.59765625" style="52" customWidth="1"/>
    <col min="30" max="30" width="10.59765625" style="49" customWidth="1"/>
    <col min="31" max="31" width="10.59765625" style="52" customWidth="1"/>
    <col min="32" max="32" width="10.59765625" style="49" customWidth="1"/>
    <col min="33" max="33" width="10.59765625" style="52" customWidth="1"/>
    <col min="34" max="34" width="10.59765625" style="49" customWidth="1"/>
    <col min="35" max="35" width="10.59765625" style="52" customWidth="1"/>
    <col min="36" max="36" width="10.59765625" style="49" customWidth="1"/>
    <col min="37" max="37" width="10.59765625" style="56" customWidth="1"/>
    <col min="38" max="16384" width="9" style="37"/>
  </cols>
  <sheetData>
    <row r="1" spans="1:37" x14ac:dyDescent="0.45">
      <c r="A1" s="36"/>
      <c r="B1" s="147" t="s">
        <v>9</v>
      </c>
      <c r="C1" s="148"/>
      <c r="D1" s="141" t="s">
        <v>6</v>
      </c>
      <c r="E1" s="142"/>
      <c r="F1" s="141" t="s">
        <v>7</v>
      </c>
      <c r="G1" s="142"/>
      <c r="H1" s="147" t="s">
        <v>196</v>
      </c>
      <c r="I1" s="148"/>
      <c r="J1" s="141" t="s">
        <v>15</v>
      </c>
      <c r="K1" s="142"/>
      <c r="L1" s="141" t="s">
        <v>14</v>
      </c>
      <c r="M1" s="142"/>
      <c r="N1" s="141" t="s">
        <v>149</v>
      </c>
      <c r="O1" s="142"/>
      <c r="P1" s="141" t="s">
        <v>143</v>
      </c>
      <c r="Q1" s="142"/>
      <c r="R1" s="141" t="s">
        <v>144</v>
      </c>
      <c r="S1" s="142"/>
      <c r="T1" s="141" t="s">
        <v>5</v>
      </c>
      <c r="U1" s="142"/>
      <c r="V1" s="141" t="s">
        <v>16</v>
      </c>
      <c r="W1" s="142"/>
      <c r="X1" s="141" t="s">
        <v>17</v>
      </c>
      <c r="Y1" s="142"/>
      <c r="Z1" s="141" t="s">
        <v>122</v>
      </c>
      <c r="AA1" s="142"/>
      <c r="AB1" s="141" t="s">
        <v>119</v>
      </c>
      <c r="AC1" s="142"/>
      <c r="AD1" s="141" t="s">
        <v>125</v>
      </c>
      <c r="AE1" s="142"/>
      <c r="AF1" s="141" t="s">
        <v>145</v>
      </c>
      <c r="AG1" s="142"/>
      <c r="AH1" s="141" t="s">
        <v>138</v>
      </c>
      <c r="AI1" s="142"/>
      <c r="AJ1" s="141" t="s">
        <v>180</v>
      </c>
      <c r="AK1" s="142"/>
    </row>
    <row r="2" spans="1:37" x14ac:dyDescent="0.45">
      <c r="A2" s="36" t="s">
        <v>208</v>
      </c>
      <c r="B2" s="143">
        <v>0.79177327796850039</v>
      </c>
      <c r="C2" s="144"/>
      <c r="D2" s="143">
        <v>0.14604688635890822</v>
      </c>
      <c r="E2" s="144"/>
      <c r="F2" s="143">
        <v>0.10851618449907942</v>
      </c>
      <c r="G2" s="144"/>
      <c r="H2" s="145"/>
      <c r="I2" s="146"/>
      <c r="J2" s="143">
        <v>-6.3667298206663392E-2</v>
      </c>
      <c r="K2" s="144"/>
      <c r="L2" s="143">
        <v>-1.9776112511098322E-2</v>
      </c>
      <c r="M2" s="144"/>
      <c r="N2" s="143">
        <v>-9.4485501650956163E-2</v>
      </c>
      <c r="O2" s="144"/>
      <c r="P2" s="143">
        <v>0.2693155649650853</v>
      </c>
      <c r="Q2" s="144"/>
      <c r="R2" s="143">
        <v>-0.17319434859538435</v>
      </c>
      <c r="S2" s="144"/>
      <c r="T2" s="143">
        <v>0.65031468709994311</v>
      </c>
      <c r="U2" s="144"/>
      <c r="V2" s="143">
        <v>-0.14099303123606513</v>
      </c>
      <c r="W2" s="144"/>
      <c r="X2" s="143">
        <v>-0.29345927554876111</v>
      </c>
      <c r="Y2" s="144"/>
      <c r="Z2" s="143">
        <v>0.2053044910334772</v>
      </c>
      <c r="AA2" s="144"/>
      <c r="AB2" s="143">
        <v>-0.34888747891770211</v>
      </c>
      <c r="AC2" s="144"/>
      <c r="AD2" s="143">
        <v>0.56883950553504803</v>
      </c>
      <c r="AE2" s="144"/>
      <c r="AF2" s="143">
        <v>-5.310066612132823E-2</v>
      </c>
      <c r="AG2" s="144"/>
      <c r="AH2" s="143">
        <v>0.19519235755580175</v>
      </c>
      <c r="AI2" s="144"/>
      <c r="AJ2" s="143">
        <v>0.84557876307415836</v>
      </c>
      <c r="AK2" s="144"/>
    </row>
    <row r="3" spans="1:37" x14ac:dyDescent="0.45">
      <c r="A3" s="38">
        <v>1</v>
      </c>
      <c r="B3" s="41" t="s">
        <v>139</v>
      </c>
      <c r="C3" s="113">
        <v>55</v>
      </c>
      <c r="D3" s="39" t="s">
        <v>192</v>
      </c>
      <c r="E3" s="40">
        <v>201.79999999999995</v>
      </c>
      <c r="F3" s="41" t="s">
        <v>192</v>
      </c>
      <c r="G3" s="60">
        <v>6.958620689655171</v>
      </c>
      <c r="H3" s="41" t="s">
        <v>126</v>
      </c>
      <c r="I3" s="45">
        <v>1798.2300903324488</v>
      </c>
      <c r="J3" s="41" t="s">
        <v>192</v>
      </c>
      <c r="K3" s="42">
        <v>1.7586206896551724</v>
      </c>
      <c r="L3" s="41" t="s">
        <v>192</v>
      </c>
      <c r="M3" s="43">
        <v>0.48275862068965519</v>
      </c>
      <c r="N3" s="41" t="s">
        <v>192</v>
      </c>
      <c r="O3" s="43">
        <v>0.2413793103448276</v>
      </c>
      <c r="P3" s="41" t="s">
        <v>192</v>
      </c>
      <c r="Q3" s="44">
        <v>0.34552845528455284</v>
      </c>
      <c r="R3" s="41" t="s">
        <v>190</v>
      </c>
      <c r="S3" s="44">
        <v>6.4935064935064929E-2</v>
      </c>
      <c r="T3" s="41" t="s">
        <v>221</v>
      </c>
      <c r="U3" s="45">
        <v>10925</v>
      </c>
      <c r="V3" s="41" t="s">
        <v>190</v>
      </c>
      <c r="W3" s="45">
        <v>-3380</v>
      </c>
      <c r="X3" s="41" t="s">
        <v>190</v>
      </c>
      <c r="Y3" s="43">
        <v>0</v>
      </c>
      <c r="Z3" s="41" t="s">
        <v>190</v>
      </c>
      <c r="AA3" s="44">
        <v>0.27272727272727271</v>
      </c>
      <c r="AB3" s="41" t="s">
        <v>189</v>
      </c>
      <c r="AC3" s="44">
        <v>0.32075471698113206</v>
      </c>
      <c r="AD3" s="41" t="s">
        <v>195</v>
      </c>
      <c r="AE3" s="44">
        <v>0.7</v>
      </c>
      <c r="AF3" s="41" t="s">
        <v>195</v>
      </c>
      <c r="AG3" s="44">
        <v>0.66666666666666663</v>
      </c>
      <c r="AH3" s="41" t="s">
        <v>221</v>
      </c>
      <c r="AI3" s="44">
        <v>1</v>
      </c>
      <c r="AJ3" s="41" t="s">
        <v>126</v>
      </c>
      <c r="AK3" s="55">
        <v>103000</v>
      </c>
    </row>
    <row r="4" spans="1:37" x14ac:dyDescent="0.45">
      <c r="A4" s="46">
        <v>2</v>
      </c>
      <c r="B4" s="49" t="s">
        <v>126</v>
      </c>
      <c r="C4" s="114">
        <v>43</v>
      </c>
      <c r="D4" s="47" t="s">
        <v>211</v>
      </c>
      <c r="E4" s="48">
        <v>137.19999999999999</v>
      </c>
      <c r="F4" s="49" t="s">
        <v>211</v>
      </c>
      <c r="G4" s="61">
        <v>6.2363636363636354</v>
      </c>
      <c r="H4" s="49" t="s">
        <v>163</v>
      </c>
      <c r="I4" s="53">
        <v>1635.9985155013371</v>
      </c>
      <c r="J4" s="49" t="s">
        <v>211</v>
      </c>
      <c r="K4" s="50">
        <v>1.8181818181818181</v>
      </c>
      <c r="L4" s="49" t="s">
        <v>211</v>
      </c>
      <c r="M4" s="51">
        <v>0.45454545454545453</v>
      </c>
      <c r="N4" s="49" t="s">
        <v>211</v>
      </c>
      <c r="O4" s="51">
        <v>0.27272727272727271</v>
      </c>
      <c r="P4" s="49" t="s">
        <v>211</v>
      </c>
      <c r="Q4" s="52">
        <v>0.32571428571428573</v>
      </c>
      <c r="R4" s="49" t="s">
        <v>192</v>
      </c>
      <c r="S4" s="52">
        <v>0.14227642276422764</v>
      </c>
      <c r="T4" s="49" t="s">
        <v>163</v>
      </c>
      <c r="U4" s="53">
        <v>9021.4285714285706</v>
      </c>
      <c r="V4" s="49" t="s">
        <v>126</v>
      </c>
      <c r="W4" s="53">
        <v>-6527.4193548387093</v>
      </c>
      <c r="X4" s="49" t="s">
        <v>189</v>
      </c>
      <c r="Y4" s="51">
        <v>0</v>
      </c>
      <c r="Z4" s="49" t="s">
        <v>126</v>
      </c>
      <c r="AA4" s="52">
        <v>0.25852272727272729</v>
      </c>
      <c r="AB4" s="49" t="s">
        <v>193</v>
      </c>
      <c r="AC4" s="52">
        <v>0.2857142857142857</v>
      </c>
      <c r="AD4" s="49" t="s">
        <v>126</v>
      </c>
      <c r="AE4" s="52">
        <v>0.5714285714285714</v>
      </c>
      <c r="AF4" s="49" t="s">
        <v>211</v>
      </c>
      <c r="AG4" s="52">
        <v>0.57499999999999996</v>
      </c>
      <c r="AH4" s="49" t="s">
        <v>195</v>
      </c>
      <c r="AI4" s="52">
        <v>0.72727272727272729</v>
      </c>
      <c r="AJ4" s="49" t="s">
        <v>139</v>
      </c>
      <c r="AK4" s="56">
        <v>103000</v>
      </c>
    </row>
    <row r="5" spans="1:37" x14ac:dyDescent="0.45">
      <c r="A5" s="46">
        <v>3</v>
      </c>
      <c r="B5" s="49" t="s">
        <v>192</v>
      </c>
      <c r="C5" s="114">
        <v>29</v>
      </c>
      <c r="D5" s="47" t="s">
        <v>126</v>
      </c>
      <c r="E5" s="48">
        <v>70.999999999999972</v>
      </c>
      <c r="F5" s="49" t="s">
        <v>126</v>
      </c>
      <c r="G5" s="61">
        <v>1.6511627906976738</v>
      </c>
      <c r="H5" s="49" t="s">
        <v>139</v>
      </c>
      <c r="I5" s="53">
        <v>1597.8010782461406</v>
      </c>
      <c r="J5" s="49" t="s">
        <v>189</v>
      </c>
      <c r="K5" s="50">
        <v>1.9444444444444444</v>
      </c>
      <c r="L5" s="49" t="s">
        <v>163</v>
      </c>
      <c r="M5" s="51">
        <v>0.35294117647058826</v>
      </c>
      <c r="N5" s="49" t="s">
        <v>189</v>
      </c>
      <c r="O5" s="51">
        <v>0.27777777777777779</v>
      </c>
      <c r="P5" s="49" t="s">
        <v>126</v>
      </c>
      <c r="Q5" s="52">
        <v>0.30965909090909088</v>
      </c>
      <c r="R5" s="49" t="s">
        <v>211</v>
      </c>
      <c r="S5" s="52">
        <v>0.14285714285714285</v>
      </c>
      <c r="T5" s="49" t="s">
        <v>126</v>
      </c>
      <c r="U5" s="53">
        <v>8603.6697247706416</v>
      </c>
      <c r="V5" s="49" t="s">
        <v>189</v>
      </c>
      <c r="W5" s="53">
        <v>-6669.2307692307695</v>
      </c>
      <c r="X5" s="49" t="s">
        <v>193</v>
      </c>
      <c r="Y5" s="51">
        <v>0</v>
      </c>
      <c r="Z5" s="49" t="s">
        <v>193</v>
      </c>
      <c r="AA5" s="52">
        <v>0.25714285714285712</v>
      </c>
      <c r="AB5" s="49" t="s">
        <v>221</v>
      </c>
      <c r="AC5" s="52">
        <v>0.27777777777777779</v>
      </c>
      <c r="AD5" s="49" t="s">
        <v>211</v>
      </c>
      <c r="AE5" s="52">
        <v>0.5641025641025641</v>
      </c>
      <c r="AF5" s="49" t="s">
        <v>192</v>
      </c>
      <c r="AG5" s="52">
        <v>0.5</v>
      </c>
      <c r="AH5" s="49" t="s">
        <v>189</v>
      </c>
      <c r="AI5" s="52">
        <v>0.5</v>
      </c>
      <c r="AJ5" s="49" t="s">
        <v>192</v>
      </c>
      <c r="AK5" s="56">
        <v>98800</v>
      </c>
    </row>
    <row r="6" spans="1:37" x14ac:dyDescent="0.45">
      <c r="A6" s="46">
        <v>4</v>
      </c>
      <c r="B6" s="49" t="s">
        <v>211</v>
      </c>
      <c r="C6" s="114">
        <v>22</v>
      </c>
      <c r="D6" s="47" t="s">
        <v>189</v>
      </c>
      <c r="E6" s="48">
        <v>15.100000000000009</v>
      </c>
      <c r="F6" s="49" t="s">
        <v>189</v>
      </c>
      <c r="G6" s="61">
        <v>0.83888888888888935</v>
      </c>
      <c r="H6" s="49" t="s">
        <v>192</v>
      </c>
      <c r="I6" s="53">
        <v>1564.8235944029475</v>
      </c>
      <c r="J6" s="49" t="s">
        <v>139</v>
      </c>
      <c r="K6" s="50">
        <v>1.9939393939393939</v>
      </c>
      <c r="L6" s="49" t="s">
        <v>139</v>
      </c>
      <c r="M6" s="51">
        <v>0.33939393939393941</v>
      </c>
      <c r="N6" s="49" t="s">
        <v>190</v>
      </c>
      <c r="O6" s="51">
        <v>0.3</v>
      </c>
      <c r="P6" s="49" t="s">
        <v>189</v>
      </c>
      <c r="Q6" s="52">
        <v>0.30188679245283018</v>
      </c>
      <c r="R6" s="49" t="s">
        <v>139</v>
      </c>
      <c r="S6" s="52">
        <v>0.16338439095550694</v>
      </c>
      <c r="T6" s="49" t="s">
        <v>211</v>
      </c>
      <c r="U6" s="53">
        <v>8285.9649122807023</v>
      </c>
      <c r="V6" s="49" t="s">
        <v>211</v>
      </c>
      <c r="W6" s="53">
        <v>-7012</v>
      </c>
      <c r="X6" s="49" t="s">
        <v>221</v>
      </c>
      <c r="Y6" s="51">
        <v>0</v>
      </c>
      <c r="Z6" s="49" t="s">
        <v>189</v>
      </c>
      <c r="AA6" s="52">
        <v>0.25157232704402516</v>
      </c>
      <c r="AB6" s="49" t="s">
        <v>192</v>
      </c>
      <c r="AC6" s="52">
        <v>0.24390243902439024</v>
      </c>
      <c r="AD6" s="49" t="s">
        <v>190</v>
      </c>
      <c r="AE6" s="52">
        <v>0.52380952380952384</v>
      </c>
      <c r="AF6" s="49" t="s">
        <v>189</v>
      </c>
      <c r="AG6" s="52">
        <v>0.47058823529411764</v>
      </c>
      <c r="AH6" s="49" t="s">
        <v>126</v>
      </c>
      <c r="AI6" s="52">
        <v>0.46788990825688076</v>
      </c>
      <c r="AJ6" s="49" t="s">
        <v>163</v>
      </c>
      <c r="AK6" s="56">
        <v>94700</v>
      </c>
    </row>
    <row r="7" spans="1:37" x14ac:dyDescent="0.45">
      <c r="A7" s="46">
        <v>5</v>
      </c>
      <c r="B7" s="49" t="s">
        <v>189</v>
      </c>
      <c r="C7" s="114">
        <v>18</v>
      </c>
      <c r="D7" s="47" t="s">
        <v>139</v>
      </c>
      <c r="E7" s="48">
        <v>2.1316282072803006E-14</v>
      </c>
      <c r="F7" s="49" t="s">
        <v>139</v>
      </c>
      <c r="G7" s="61">
        <v>1.2918958832001821E-16</v>
      </c>
      <c r="H7" s="49" t="s">
        <v>211</v>
      </c>
      <c r="I7" s="53">
        <v>1523.9584309432291</v>
      </c>
      <c r="J7" s="49" t="s">
        <v>126</v>
      </c>
      <c r="K7" s="50">
        <v>2.0232558139534884</v>
      </c>
      <c r="L7" s="49" t="s">
        <v>189</v>
      </c>
      <c r="M7" s="51">
        <v>0.33333333333333331</v>
      </c>
      <c r="N7" s="49" t="s">
        <v>126</v>
      </c>
      <c r="O7" s="51">
        <v>0.30232558139534882</v>
      </c>
      <c r="P7" s="49" t="s">
        <v>139</v>
      </c>
      <c r="Q7" s="52">
        <v>0.2975929978118162</v>
      </c>
      <c r="R7" s="49" t="s">
        <v>189</v>
      </c>
      <c r="S7" s="52">
        <v>0.16352201257861634</v>
      </c>
      <c r="T7" s="49" t="s">
        <v>195</v>
      </c>
      <c r="U7" s="53">
        <v>8272.7272727272721</v>
      </c>
      <c r="V7" s="49" t="s">
        <v>139</v>
      </c>
      <c r="W7" s="53">
        <v>-7311.6071428571431</v>
      </c>
      <c r="X7" s="49" t="s">
        <v>126</v>
      </c>
      <c r="Y7" s="51">
        <v>4.6511627906976744E-2</v>
      </c>
      <c r="Z7" s="49" t="s">
        <v>163</v>
      </c>
      <c r="AA7" s="52">
        <v>0.24161073825503357</v>
      </c>
      <c r="AB7" s="49" t="s">
        <v>139</v>
      </c>
      <c r="AC7" s="52">
        <v>0.23340627279358134</v>
      </c>
      <c r="AD7" s="49" t="s">
        <v>139</v>
      </c>
      <c r="AE7" s="52">
        <v>0.51359516616314205</v>
      </c>
      <c r="AF7" s="49" t="s">
        <v>139</v>
      </c>
      <c r="AG7" s="52">
        <v>0.45624999999999999</v>
      </c>
      <c r="AH7" s="49" t="s">
        <v>163</v>
      </c>
      <c r="AI7" s="52">
        <v>0.45238095238095238</v>
      </c>
      <c r="AJ7" s="49" t="s">
        <v>211</v>
      </c>
      <c r="AK7" s="56">
        <v>80600</v>
      </c>
    </row>
    <row r="8" spans="1:37" x14ac:dyDescent="0.45">
      <c r="A8" s="46">
        <v>6</v>
      </c>
      <c r="B8" s="49" t="s">
        <v>163</v>
      </c>
      <c r="C8" s="114">
        <v>17</v>
      </c>
      <c r="D8" s="47" t="s">
        <v>221</v>
      </c>
      <c r="E8" s="48">
        <v>-13.5</v>
      </c>
      <c r="F8" s="49" t="s">
        <v>163</v>
      </c>
      <c r="G8" s="61">
        <v>-5.3529411764705888</v>
      </c>
      <c r="H8" s="49" t="s">
        <v>190</v>
      </c>
      <c r="I8" s="53">
        <v>1519.2183815819624</v>
      </c>
      <c r="J8" s="49" t="s">
        <v>163</v>
      </c>
      <c r="K8" s="50">
        <v>2.1176470588235294</v>
      </c>
      <c r="L8" s="49" t="s">
        <v>195</v>
      </c>
      <c r="M8" s="51">
        <v>0.33333333333333331</v>
      </c>
      <c r="N8" s="49" t="s">
        <v>139</v>
      </c>
      <c r="O8" s="51">
        <v>0.33333333333333331</v>
      </c>
      <c r="P8" s="49" t="s">
        <v>163</v>
      </c>
      <c r="Q8" s="52">
        <v>0.28187919463087246</v>
      </c>
      <c r="R8" s="49" t="s">
        <v>221</v>
      </c>
      <c r="S8" s="52">
        <v>0.16666666666666666</v>
      </c>
      <c r="T8" s="49" t="s">
        <v>193</v>
      </c>
      <c r="U8" s="53">
        <v>8212.5</v>
      </c>
      <c r="V8" s="49" t="s">
        <v>216</v>
      </c>
      <c r="W8" s="53">
        <v>-7654.166666666667</v>
      </c>
      <c r="X8" s="49" t="s">
        <v>192</v>
      </c>
      <c r="Y8" s="51">
        <v>6.8965517241379309E-2</v>
      </c>
      <c r="Z8" s="49" t="s">
        <v>139</v>
      </c>
      <c r="AA8" s="52">
        <v>0.24142961342086069</v>
      </c>
      <c r="AB8" s="49" t="s">
        <v>211</v>
      </c>
      <c r="AC8" s="52">
        <v>0.22857142857142856</v>
      </c>
      <c r="AD8" s="49" t="s">
        <v>192</v>
      </c>
      <c r="AE8" s="52">
        <v>0.50909090909090904</v>
      </c>
      <c r="AF8" s="49" t="s">
        <v>126</v>
      </c>
      <c r="AG8" s="52">
        <v>0.44303797468354428</v>
      </c>
      <c r="AH8" s="49" t="s">
        <v>139</v>
      </c>
      <c r="AI8" s="52">
        <v>0.4485294117647059</v>
      </c>
      <c r="AJ8" s="49" t="s">
        <v>190</v>
      </c>
      <c r="AK8" s="56">
        <v>80000</v>
      </c>
    </row>
    <row r="9" spans="1:37" x14ac:dyDescent="0.45">
      <c r="A9" s="46">
        <v>7</v>
      </c>
      <c r="B9" s="49" t="s">
        <v>216</v>
      </c>
      <c r="C9" s="114">
        <v>14</v>
      </c>
      <c r="D9" s="47" t="s">
        <v>193</v>
      </c>
      <c r="E9" s="48">
        <v>-51.699999999999996</v>
      </c>
      <c r="F9" s="49" t="s">
        <v>190</v>
      </c>
      <c r="G9" s="61">
        <v>-5.5</v>
      </c>
      <c r="H9" s="49" t="s">
        <v>221</v>
      </c>
      <c r="I9" s="53">
        <v>1497.379788</v>
      </c>
      <c r="J9" s="49" t="s">
        <v>216</v>
      </c>
      <c r="K9" s="50">
        <v>2.1428571428571428</v>
      </c>
      <c r="L9" s="49" t="s">
        <v>216</v>
      </c>
      <c r="M9" s="51">
        <v>0.2857142857142857</v>
      </c>
      <c r="N9" s="49" t="s">
        <v>216</v>
      </c>
      <c r="O9" s="51">
        <v>0.42857142857142855</v>
      </c>
      <c r="P9" s="49" t="s">
        <v>190</v>
      </c>
      <c r="Q9" s="52">
        <v>0.24675324675324675</v>
      </c>
      <c r="R9" s="49" t="s">
        <v>126</v>
      </c>
      <c r="S9" s="52">
        <v>0.17613636363636365</v>
      </c>
      <c r="T9" s="49" t="s">
        <v>139</v>
      </c>
      <c r="U9" s="53">
        <v>8105.3921568627447</v>
      </c>
      <c r="V9" s="49" t="s">
        <v>195</v>
      </c>
      <c r="W9" s="53">
        <v>-7666.666666666667</v>
      </c>
      <c r="X9" s="49" t="s">
        <v>216</v>
      </c>
      <c r="Y9" s="51">
        <v>7.1428571428571425E-2</v>
      </c>
      <c r="Z9" s="49" t="s">
        <v>216</v>
      </c>
      <c r="AA9" s="52">
        <v>0.23423423423423423</v>
      </c>
      <c r="AB9" s="49" t="s">
        <v>126</v>
      </c>
      <c r="AC9" s="52">
        <v>0.22443181818181818</v>
      </c>
      <c r="AD9" s="49" t="s">
        <v>163</v>
      </c>
      <c r="AE9" s="52">
        <v>0.47222222222222221</v>
      </c>
      <c r="AF9" s="49" t="s">
        <v>190</v>
      </c>
      <c r="AG9" s="52">
        <v>0.4375</v>
      </c>
      <c r="AH9" s="49" t="s">
        <v>192</v>
      </c>
      <c r="AI9" s="52">
        <v>0.44705882352941179</v>
      </c>
      <c r="AJ9" s="49" t="s">
        <v>216</v>
      </c>
      <c r="AK9" s="56">
        <v>74600</v>
      </c>
    </row>
    <row r="10" spans="1:37" x14ac:dyDescent="0.45">
      <c r="A10" s="46">
        <v>8</v>
      </c>
      <c r="B10" s="49" t="s">
        <v>190</v>
      </c>
      <c r="C10" s="114">
        <v>10</v>
      </c>
      <c r="D10" s="47" t="s">
        <v>190</v>
      </c>
      <c r="E10" s="48">
        <v>-55</v>
      </c>
      <c r="F10" s="49" t="s">
        <v>221</v>
      </c>
      <c r="G10" s="61">
        <v>-6.75</v>
      </c>
      <c r="H10" s="49" t="s">
        <v>216</v>
      </c>
      <c r="I10" s="53">
        <v>1488.317150804671</v>
      </c>
      <c r="J10" s="49" t="s">
        <v>190</v>
      </c>
      <c r="K10" s="50">
        <v>2.2000000000000002</v>
      </c>
      <c r="L10" s="49" t="s">
        <v>126</v>
      </c>
      <c r="M10" s="51">
        <v>0.27906976744186046</v>
      </c>
      <c r="N10" s="49" t="s">
        <v>163</v>
      </c>
      <c r="O10" s="51">
        <v>0.47058823529411764</v>
      </c>
      <c r="P10" s="49" t="s">
        <v>193</v>
      </c>
      <c r="Q10" s="52">
        <v>0.22857142857142856</v>
      </c>
      <c r="R10" s="49" t="s">
        <v>163</v>
      </c>
      <c r="S10" s="52">
        <v>0.18120805369127516</v>
      </c>
      <c r="T10" s="49" t="s">
        <v>192</v>
      </c>
      <c r="U10" s="53">
        <v>7843.5294117647063</v>
      </c>
      <c r="V10" s="49" t="s">
        <v>192</v>
      </c>
      <c r="W10" s="53">
        <v>-7828.5714285714284</v>
      </c>
      <c r="X10" s="49" t="s">
        <v>139</v>
      </c>
      <c r="Y10" s="51">
        <v>7.2727272727272724E-2</v>
      </c>
      <c r="Z10" s="49" t="s">
        <v>192</v>
      </c>
      <c r="AA10" s="52">
        <v>0.22357723577235772</v>
      </c>
      <c r="AB10" s="49" t="s">
        <v>163</v>
      </c>
      <c r="AC10" s="52">
        <v>0.22147651006711411</v>
      </c>
      <c r="AD10" s="49" t="s">
        <v>216</v>
      </c>
      <c r="AE10" s="52">
        <v>0.46153846153846156</v>
      </c>
      <c r="AF10" s="49" t="s">
        <v>193</v>
      </c>
      <c r="AG10" s="52">
        <v>0.4</v>
      </c>
      <c r="AH10" s="49" t="s">
        <v>216</v>
      </c>
      <c r="AI10" s="52">
        <v>0.44</v>
      </c>
      <c r="AJ10" s="49" t="s">
        <v>189</v>
      </c>
      <c r="AK10" s="56">
        <v>61300</v>
      </c>
    </row>
    <row r="11" spans="1:37" x14ac:dyDescent="0.45">
      <c r="A11" s="46">
        <v>9</v>
      </c>
      <c r="B11" s="49" t="s">
        <v>195</v>
      </c>
      <c r="C11" s="114">
        <v>6</v>
      </c>
      <c r="D11" s="47" t="s">
        <v>163</v>
      </c>
      <c r="E11" s="48">
        <v>-91.000000000000014</v>
      </c>
      <c r="F11" s="49" t="s">
        <v>216</v>
      </c>
      <c r="G11" s="61">
        <v>-6.8285714285714283</v>
      </c>
      <c r="H11" s="49" t="s">
        <v>189</v>
      </c>
      <c r="I11" s="53">
        <v>1450.6884191024681</v>
      </c>
      <c r="J11" s="49" t="s">
        <v>193</v>
      </c>
      <c r="K11" s="50">
        <v>2.25</v>
      </c>
      <c r="L11" s="49" t="s">
        <v>193</v>
      </c>
      <c r="M11" s="51">
        <v>0.25</v>
      </c>
      <c r="N11" s="49" t="s">
        <v>193</v>
      </c>
      <c r="O11" s="51">
        <v>0.5</v>
      </c>
      <c r="P11" s="49" t="s">
        <v>216</v>
      </c>
      <c r="Q11" s="52">
        <v>0.22522522522522523</v>
      </c>
      <c r="R11" s="49" t="s">
        <v>195</v>
      </c>
      <c r="S11" s="52">
        <v>0.18367346938775511</v>
      </c>
      <c r="T11" s="49" t="s">
        <v>216</v>
      </c>
      <c r="U11" s="53">
        <v>7796</v>
      </c>
      <c r="V11" s="49" t="s">
        <v>163</v>
      </c>
      <c r="W11" s="53">
        <v>-8696.2962962962956</v>
      </c>
      <c r="X11" s="49" t="s">
        <v>211</v>
      </c>
      <c r="Y11" s="51">
        <v>9.0909090909090912E-2</v>
      </c>
      <c r="Z11" s="49" t="s">
        <v>211</v>
      </c>
      <c r="AA11" s="52">
        <v>0.22285714285714286</v>
      </c>
      <c r="AB11" s="49" t="s">
        <v>190</v>
      </c>
      <c r="AC11" s="52">
        <v>0.20779220779220781</v>
      </c>
      <c r="AD11" s="49" t="s">
        <v>189</v>
      </c>
      <c r="AE11" s="52">
        <v>0.45</v>
      </c>
      <c r="AF11" s="49" t="s">
        <v>221</v>
      </c>
      <c r="AG11" s="52">
        <v>0.4</v>
      </c>
      <c r="AH11" s="49" t="s">
        <v>211</v>
      </c>
      <c r="AI11" s="52">
        <v>0.40350877192982454</v>
      </c>
      <c r="AJ11" s="49" t="s">
        <v>195</v>
      </c>
      <c r="AK11" s="56">
        <v>49300</v>
      </c>
    </row>
    <row r="12" spans="1:37" x14ac:dyDescent="0.45">
      <c r="A12" s="46">
        <v>10</v>
      </c>
      <c r="B12" s="49" t="s">
        <v>193</v>
      </c>
      <c r="C12" s="114">
        <v>4</v>
      </c>
      <c r="D12" s="47" t="s">
        <v>216</v>
      </c>
      <c r="E12" s="48">
        <v>-95.6</v>
      </c>
      <c r="F12" s="49" t="s">
        <v>193</v>
      </c>
      <c r="G12" s="61">
        <v>-12.924999999999999</v>
      </c>
      <c r="H12" s="49" t="s">
        <v>195</v>
      </c>
      <c r="I12" s="53">
        <v>1377.2761788230373</v>
      </c>
      <c r="J12" s="49" t="s">
        <v>195</v>
      </c>
      <c r="K12" s="50">
        <v>2.3333333333333335</v>
      </c>
      <c r="L12" s="49" t="s">
        <v>190</v>
      </c>
      <c r="M12" s="51">
        <v>0.1</v>
      </c>
      <c r="N12" s="49" t="s">
        <v>221</v>
      </c>
      <c r="O12" s="51">
        <v>0.5</v>
      </c>
      <c r="P12" s="49" t="s">
        <v>195</v>
      </c>
      <c r="Q12" s="52">
        <v>0.22448979591836735</v>
      </c>
      <c r="R12" s="49" t="s">
        <v>216</v>
      </c>
      <c r="S12" s="52">
        <v>0.21621621621621623</v>
      </c>
      <c r="T12" s="49" t="s">
        <v>189</v>
      </c>
      <c r="U12" s="53">
        <v>6945.833333333333</v>
      </c>
      <c r="V12" s="49" t="s">
        <v>193</v>
      </c>
      <c r="W12" s="53">
        <v>-9387.5</v>
      </c>
      <c r="X12" s="49" t="s">
        <v>163</v>
      </c>
      <c r="Y12" s="51">
        <v>0.17647058823529413</v>
      </c>
      <c r="Z12" s="49" t="s">
        <v>221</v>
      </c>
      <c r="AA12" s="52">
        <v>0.22222222222222221</v>
      </c>
      <c r="AB12" s="49" t="s">
        <v>216</v>
      </c>
      <c r="AC12" s="52">
        <v>0.2072072072072072</v>
      </c>
      <c r="AD12" s="49" t="s">
        <v>221</v>
      </c>
      <c r="AE12" s="52">
        <v>0.25</v>
      </c>
      <c r="AF12" s="49" t="s">
        <v>163</v>
      </c>
      <c r="AG12" s="52">
        <v>0.36363636363636365</v>
      </c>
      <c r="AH12" s="49" t="s">
        <v>193</v>
      </c>
      <c r="AI12" s="52">
        <v>0.25</v>
      </c>
      <c r="AJ12" s="49" t="s">
        <v>193</v>
      </c>
      <c r="AK12" s="56">
        <v>45000</v>
      </c>
    </row>
    <row r="13" spans="1:37" x14ac:dyDescent="0.45">
      <c r="A13" s="46">
        <v>11</v>
      </c>
      <c r="B13" s="49" t="s">
        <v>221</v>
      </c>
      <c r="C13" s="114">
        <v>2</v>
      </c>
      <c r="D13" s="47" t="s">
        <v>195</v>
      </c>
      <c r="E13" s="48">
        <v>-118.3</v>
      </c>
      <c r="F13" s="49" t="s">
        <v>195</v>
      </c>
      <c r="G13" s="61">
        <v>-19.716666666666665</v>
      </c>
      <c r="H13" s="49" t="s">
        <v>193</v>
      </c>
      <c r="I13" s="53">
        <v>1343.1099105729741</v>
      </c>
      <c r="J13" s="49" t="s">
        <v>221</v>
      </c>
      <c r="K13" s="50">
        <v>2.5</v>
      </c>
      <c r="L13" s="49" t="s">
        <v>221</v>
      </c>
      <c r="M13" s="51">
        <v>0</v>
      </c>
      <c r="N13" s="49" t="s">
        <v>195</v>
      </c>
      <c r="O13" s="51">
        <v>0.66666666666666663</v>
      </c>
      <c r="P13" s="49" t="s">
        <v>221</v>
      </c>
      <c r="Q13" s="52">
        <v>0.22222222222222221</v>
      </c>
      <c r="R13" s="49" t="s">
        <v>193</v>
      </c>
      <c r="S13" s="52">
        <v>0.22857142857142856</v>
      </c>
      <c r="T13" s="49" t="s">
        <v>190</v>
      </c>
      <c r="U13" s="53">
        <v>6452.6315789473683</v>
      </c>
      <c r="V13" s="49" t="s">
        <v>221</v>
      </c>
      <c r="W13" s="53">
        <v>-10300</v>
      </c>
      <c r="X13" s="49" t="s">
        <v>195</v>
      </c>
      <c r="Y13" s="51">
        <v>0.33333333333333331</v>
      </c>
      <c r="Z13" s="49" t="s">
        <v>195</v>
      </c>
      <c r="AA13" s="52">
        <v>0.20408163265306123</v>
      </c>
      <c r="AB13" s="49" t="s">
        <v>195</v>
      </c>
      <c r="AC13" s="52">
        <v>6.1224489795918366E-2</v>
      </c>
      <c r="AD13" s="49" t="s">
        <v>193</v>
      </c>
      <c r="AE13" s="52">
        <v>0.22222222222222221</v>
      </c>
      <c r="AF13" s="49" t="s">
        <v>216</v>
      </c>
      <c r="AG13" s="52">
        <v>0.30434782608695654</v>
      </c>
      <c r="AH13" s="49" t="s">
        <v>190</v>
      </c>
      <c r="AI13" s="52">
        <v>0.15789473684210525</v>
      </c>
      <c r="AJ13" s="49" t="s">
        <v>221</v>
      </c>
      <c r="AK13" s="56">
        <v>39000</v>
      </c>
    </row>
  </sheetData>
  <sortState xmlns:xlrd2="http://schemas.microsoft.com/office/spreadsheetml/2017/richdata2" ref="AJ3:AK66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N2:O2"/>
    <mergeCell ref="H2:I2"/>
    <mergeCell ref="P1:Q1"/>
    <mergeCell ref="N1:O1"/>
    <mergeCell ref="H1:I1"/>
    <mergeCell ref="Z1:AA1"/>
    <mergeCell ref="AB1:AC1"/>
    <mergeCell ref="AD1:AE1"/>
    <mergeCell ref="AF1:AG1"/>
    <mergeCell ref="P2:Q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30480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8D309-CAFA-4228-8F2C-7CE1BF196150}">
  <sheetPr codeName="Sheet4"/>
  <dimension ref="A1:R167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139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165</v>
      </c>
      <c r="C2" s="134"/>
      <c r="E2" s="26" t="s">
        <v>66</v>
      </c>
      <c r="F2" s="23" t="s">
        <v>22</v>
      </c>
      <c r="G2" s="11">
        <v>320</v>
      </c>
      <c r="H2" s="87">
        <f>IF(B$20=0,0,G2/B$20)</f>
        <v>0.78431372549019607</v>
      </c>
      <c r="I2" s="57">
        <v>5</v>
      </c>
      <c r="K2" s="73">
        <v>0</v>
      </c>
      <c r="L2" s="118">
        <v>0</v>
      </c>
      <c r="M2" s="116">
        <v>1594.5463045050694</v>
      </c>
      <c r="O2" s="73" t="s">
        <v>128</v>
      </c>
      <c r="P2" s="79">
        <f t="shared" ref="P2:P7" si="0">IF(Q2=0,0,R2/Q2)</f>
        <v>-36.363636363636367</v>
      </c>
      <c r="Q2" s="76">
        <v>165</v>
      </c>
      <c r="R2" s="63">
        <v>-6000</v>
      </c>
    </row>
    <row r="3" spans="1:18" x14ac:dyDescent="0.45">
      <c r="A3" s="19" t="s">
        <v>8</v>
      </c>
      <c r="B3" s="135">
        <v>1371</v>
      </c>
      <c r="C3" s="136"/>
      <c r="E3" s="27" t="s">
        <v>72</v>
      </c>
      <c r="F3" s="24" t="s">
        <v>27</v>
      </c>
      <c r="G3" s="12">
        <v>260</v>
      </c>
      <c r="H3" s="88">
        <f>IF(B$20=0,0,G3/B$20)</f>
        <v>0.63725490196078427</v>
      </c>
      <c r="I3" s="58">
        <v>5</v>
      </c>
      <c r="K3" s="74">
        <v>1</v>
      </c>
      <c r="L3" s="119">
        <v>20.9</v>
      </c>
      <c r="M3" s="117">
        <v>1597.7410266780389</v>
      </c>
      <c r="O3" s="74" t="s">
        <v>129</v>
      </c>
      <c r="P3" s="80">
        <f t="shared" si="0"/>
        <v>37.735849056603776</v>
      </c>
      <c r="Q3" s="77">
        <v>159</v>
      </c>
      <c r="R3" s="64">
        <v>6000</v>
      </c>
    </row>
    <row r="4" spans="1:18" x14ac:dyDescent="0.45">
      <c r="A4" s="19" t="s">
        <v>6</v>
      </c>
      <c r="B4" s="137">
        <v>2.1316282072803006E-14</v>
      </c>
      <c r="C4" s="138"/>
      <c r="E4" s="27" t="s">
        <v>64</v>
      </c>
      <c r="F4" s="24" t="s">
        <v>20</v>
      </c>
      <c r="G4" s="12">
        <v>160</v>
      </c>
      <c r="H4" s="88">
        <f>IF(B$20=0,0,G4/B$20)</f>
        <v>0.39215686274509803</v>
      </c>
      <c r="I4" s="58">
        <v>5</v>
      </c>
      <c r="K4" s="74">
        <v>2</v>
      </c>
      <c r="L4" s="119">
        <v>-10.100000000000001</v>
      </c>
      <c r="M4" s="117">
        <v>1591.5745805179706</v>
      </c>
      <c r="O4" s="74" t="s">
        <v>130</v>
      </c>
      <c r="P4" s="80">
        <f t="shared" si="0"/>
        <v>-30.864197530864196</v>
      </c>
      <c r="Q4" s="77">
        <v>162</v>
      </c>
      <c r="R4" s="64">
        <v>-5000</v>
      </c>
    </row>
    <row r="5" spans="1:18" x14ac:dyDescent="0.45">
      <c r="A5" s="19" t="s">
        <v>7</v>
      </c>
      <c r="B5" s="125">
        <f>IF(B$2=0,0,B$4/B$2)</f>
        <v>1.2918958832001821E-16</v>
      </c>
      <c r="C5" s="126"/>
      <c r="E5" s="27" t="s">
        <v>159</v>
      </c>
      <c r="F5" s="24" t="s">
        <v>160</v>
      </c>
      <c r="G5" s="12">
        <v>152</v>
      </c>
      <c r="H5" s="88">
        <f>IF(B$20=0,0,G5/B$20)</f>
        <v>0.37254901960784315</v>
      </c>
      <c r="I5" s="58">
        <v>6</v>
      </c>
      <c r="K5" s="74">
        <v>3</v>
      </c>
      <c r="L5" s="119">
        <v>-1.7763568394002505E-15</v>
      </c>
      <c r="M5" s="117">
        <v>1592.8431330348628</v>
      </c>
      <c r="O5" s="74" t="s">
        <v>131</v>
      </c>
      <c r="P5" s="80">
        <f t="shared" si="0"/>
        <v>34.013605442176868</v>
      </c>
      <c r="Q5" s="77">
        <v>147</v>
      </c>
      <c r="R5" s="64">
        <v>5000</v>
      </c>
    </row>
    <row r="6" spans="1:18" x14ac:dyDescent="0.45">
      <c r="A6" s="19" t="s">
        <v>196</v>
      </c>
      <c r="B6" s="129">
        <v>1597.8010782461406</v>
      </c>
      <c r="C6" s="130"/>
      <c r="E6" s="27" t="s">
        <v>68</v>
      </c>
      <c r="F6" s="24" t="s">
        <v>12</v>
      </c>
      <c r="G6" s="12">
        <v>123</v>
      </c>
      <c r="H6" s="88">
        <f>IF(B$20=0,0,G6/B$20)</f>
        <v>0.3014705882352941</v>
      </c>
      <c r="I6" s="58">
        <v>7</v>
      </c>
      <c r="K6" s="74">
        <v>4</v>
      </c>
      <c r="L6" s="119">
        <v>26.299999999999997</v>
      </c>
      <c r="M6" s="117">
        <v>1597.8720742366536</v>
      </c>
      <c r="O6" s="74" t="s">
        <v>132</v>
      </c>
      <c r="P6" s="80">
        <f t="shared" si="0"/>
        <v>-22.727272727272727</v>
      </c>
      <c r="Q6" s="77">
        <v>132</v>
      </c>
      <c r="R6" s="64">
        <v>-3000</v>
      </c>
    </row>
    <row r="7" spans="1:18" x14ac:dyDescent="0.45">
      <c r="A7" s="19" t="s">
        <v>1</v>
      </c>
      <c r="B7" s="139">
        <f>IF(B$2=0,0,(B$8*1+B$9*2+B$10*3)/B$2)</f>
        <v>1.9939393939393939</v>
      </c>
      <c r="C7" s="140"/>
      <c r="E7" s="27" t="s">
        <v>67</v>
      </c>
      <c r="F7" s="24" t="s">
        <v>23</v>
      </c>
      <c r="G7" s="12">
        <v>88</v>
      </c>
      <c r="H7" s="88">
        <f>IF(B$20=0,0,G7/B$20)</f>
        <v>0.21568627450980393</v>
      </c>
      <c r="I7" s="58">
        <v>6</v>
      </c>
      <c r="K7" s="74">
        <v>5</v>
      </c>
      <c r="L7" s="119">
        <v>-41.600000000000009</v>
      </c>
      <c r="M7" s="117">
        <v>1585.9148417912336</v>
      </c>
      <c r="O7" s="75" t="s">
        <v>133</v>
      </c>
      <c r="P7" s="81">
        <f t="shared" si="0"/>
        <v>25</v>
      </c>
      <c r="Q7" s="78">
        <v>120</v>
      </c>
      <c r="R7" s="65">
        <v>3000</v>
      </c>
    </row>
    <row r="8" spans="1:18" x14ac:dyDescent="0.45">
      <c r="A8" s="19" t="s">
        <v>2</v>
      </c>
      <c r="B8" s="12">
        <v>56</v>
      </c>
      <c r="C8" s="6">
        <f t="shared" ref="C8:C15" si="1">IF(B$2=0,0,B8/B$2)</f>
        <v>0.33939393939393941</v>
      </c>
      <c r="E8" s="27" t="s">
        <v>89</v>
      </c>
      <c r="F8" s="24" t="s">
        <v>44</v>
      </c>
      <c r="G8" s="12">
        <v>62</v>
      </c>
      <c r="H8" s="88">
        <f>IF(B$20=0,0,G8/B$20)</f>
        <v>0.15196078431372548</v>
      </c>
      <c r="I8" s="58">
        <v>6</v>
      </c>
      <c r="K8" s="74">
        <v>6</v>
      </c>
      <c r="L8" s="119">
        <v>-7.1054273576010019E-15</v>
      </c>
      <c r="M8" s="117">
        <v>1593.7393527404861</v>
      </c>
      <c r="O8" s="107"/>
      <c r="P8" s="85"/>
      <c r="Q8" s="108"/>
      <c r="R8" s="70"/>
    </row>
    <row r="9" spans="1:18" x14ac:dyDescent="0.45">
      <c r="A9" s="19" t="s">
        <v>3</v>
      </c>
      <c r="B9" s="12">
        <v>54</v>
      </c>
      <c r="C9" s="6">
        <f t="shared" si="1"/>
        <v>0.32727272727272727</v>
      </c>
      <c r="E9" s="27" t="s">
        <v>69</v>
      </c>
      <c r="F9" s="24" t="s">
        <v>24</v>
      </c>
      <c r="G9" s="12">
        <v>48</v>
      </c>
      <c r="H9" s="88">
        <f>IF(B$20=0,0,G9/B$20)</f>
        <v>0.11764705882352941</v>
      </c>
      <c r="I9" s="58">
        <v>4</v>
      </c>
      <c r="K9" s="74">
        <v>7</v>
      </c>
      <c r="L9" s="119">
        <v>-33.600000000000009</v>
      </c>
      <c r="M9" s="117">
        <v>1587.8309166240431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55</v>
      </c>
      <c r="C10" s="7">
        <f t="shared" si="1"/>
        <v>0.33333333333333331</v>
      </c>
      <c r="E10" s="27" t="s">
        <v>70</v>
      </c>
      <c r="F10" s="24" t="s">
        <v>25</v>
      </c>
      <c r="G10" s="12">
        <v>41</v>
      </c>
      <c r="H10" s="88">
        <f>IF(B$20=0,0,G10/B$20)</f>
        <v>0.10049019607843138</v>
      </c>
      <c r="I10" s="58">
        <v>4</v>
      </c>
      <c r="K10" s="74">
        <v>8</v>
      </c>
      <c r="L10" s="119">
        <v>21.999999999999993</v>
      </c>
      <c r="M10" s="117">
        <v>1598.0139311242988</v>
      </c>
      <c r="O10" s="73" t="s">
        <v>151</v>
      </c>
      <c r="P10" s="82">
        <f>IF(Q10=0,0,R10/Q10)</f>
        <v>2.3654545454545457</v>
      </c>
      <c r="Q10" s="76">
        <v>55</v>
      </c>
      <c r="R10" s="67">
        <v>130.10000000000002</v>
      </c>
    </row>
    <row r="11" spans="1:18" x14ac:dyDescent="0.45">
      <c r="A11" s="20" t="s">
        <v>184</v>
      </c>
      <c r="B11" s="109">
        <f>IF(B8=0,0,C11/B8)</f>
        <v>34.183928571428574</v>
      </c>
      <c r="C11" s="110">
        <v>1914.3</v>
      </c>
      <c r="E11" s="27" t="s">
        <v>65</v>
      </c>
      <c r="F11" s="24" t="s">
        <v>21</v>
      </c>
      <c r="G11" s="12">
        <v>31</v>
      </c>
      <c r="H11" s="88">
        <f>IF(B$20=0,0,G11/B$20)</f>
        <v>7.5980392156862739E-2</v>
      </c>
      <c r="I11" s="58">
        <v>7</v>
      </c>
      <c r="K11" s="74">
        <v>9</v>
      </c>
      <c r="L11" s="119">
        <v>-7.1054273576010019E-15</v>
      </c>
      <c r="M11" s="117">
        <v>1594.1678475375529</v>
      </c>
      <c r="O11" s="74" t="s">
        <v>152</v>
      </c>
      <c r="P11" s="83">
        <f>IF(Q11=0,0,R11/Q11)</f>
        <v>-5.794545454545454</v>
      </c>
      <c r="Q11" s="77">
        <v>55</v>
      </c>
      <c r="R11" s="68">
        <v>-318.7</v>
      </c>
    </row>
    <row r="12" spans="1:18" x14ac:dyDescent="0.45">
      <c r="A12" s="20" t="s">
        <v>185</v>
      </c>
      <c r="B12" s="109">
        <f>IF(B9=0,0,C12/B9)</f>
        <v>-1.2981481481481481</v>
      </c>
      <c r="C12" s="110">
        <v>-70.099999999999994</v>
      </c>
      <c r="E12" s="27" t="s">
        <v>71</v>
      </c>
      <c r="F12" s="24" t="s">
        <v>26</v>
      </c>
      <c r="G12" s="12">
        <v>23</v>
      </c>
      <c r="H12" s="88">
        <f>IF(B$20=0,0,G12/B$20)</f>
        <v>5.6372549019607844E-2</v>
      </c>
      <c r="I12" s="58">
        <v>4</v>
      </c>
      <c r="K12" s="74">
        <v>10</v>
      </c>
      <c r="L12" s="119">
        <v>-30.700000000000006</v>
      </c>
      <c r="M12" s="117">
        <v>1588.8028404523277</v>
      </c>
      <c r="O12" s="75" t="s">
        <v>153</v>
      </c>
      <c r="P12" s="84">
        <f>IF(Q12=0,0,R12/Q12)</f>
        <v>3.4290909090909101</v>
      </c>
      <c r="Q12" s="78">
        <v>55</v>
      </c>
      <c r="R12" s="69">
        <v>188.60000000000005</v>
      </c>
    </row>
    <row r="13" spans="1:18" x14ac:dyDescent="0.45">
      <c r="A13" s="20" t="s">
        <v>186</v>
      </c>
      <c r="B13" s="109">
        <f>IF(B10=0,0,C13/B10)</f>
        <v>-33.530909090909084</v>
      </c>
      <c r="C13" s="110">
        <v>-1844.1999999999998</v>
      </c>
      <c r="E13" s="27" t="s">
        <v>86</v>
      </c>
      <c r="F13" s="24" t="s">
        <v>41</v>
      </c>
      <c r="G13" s="12">
        <v>19</v>
      </c>
      <c r="H13" s="88">
        <f>IF(B$20=0,0,G13/B$20)</f>
        <v>4.6568627450980393E-2</v>
      </c>
      <c r="I13" s="58">
        <v>5</v>
      </c>
      <c r="K13" s="74">
        <v>11</v>
      </c>
      <c r="L13" s="119">
        <v>-34.000000000000007</v>
      </c>
      <c r="M13" s="117">
        <v>1588.4020234096138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-0.21504288920955381</v>
      </c>
      <c r="C14" s="126"/>
      <c r="E14" s="27" t="s">
        <v>83</v>
      </c>
      <c r="F14" s="24" t="s">
        <v>38</v>
      </c>
      <c r="G14" s="12">
        <v>17</v>
      </c>
      <c r="H14" s="88">
        <f>IF(B$20=0,0,G14/B$20)</f>
        <v>4.1666666666666664E-2</v>
      </c>
      <c r="I14" s="58">
        <v>6</v>
      </c>
      <c r="K14" s="74">
        <v>12</v>
      </c>
      <c r="L14" s="119">
        <v>-7.1054273576010019E-15</v>
      </c>
      <c r="M14" s="117">
        <v>1594.7176112691561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12</v>
      </c>
      <c r="C15" s="9">
        <f t="shared" si="1"/>
        <v>7.2727272727272724E-2</v>
      </c>
      <c r="E15" s="27" t="s">
        <v>81</v>
      </c>
      <c r="F15" s="24" t="s">
        <v>36</v>
      </c>
      <c r="G15" s="12">
        <v>13</v>
      </c>
      <c r="H15" s="88">
        <f>IF(B$20=0,0,G15/B$20)</f>
        <v>3.1862745098039214E-2</v>
      </c>
      <c r="I15" s="58">
        <v>6</v>
      </c>
      <c r="K15" s="74">
        <v>13</v>
      </c>
      <c r="L15" s="119">
        <v>48.999999999999993</v>
      </c>
      <c r="M15" s="117">
        <v>1603.6953056015411</v>
      </c>
      <c r="O15" s="73" t="s">
        <v>195</v>
      </c>
      <c r="P15" s="82">
        <f>IF(Q15=0,0,R15/Q15)</f>
        <v>29.574999999999999</v>
      </c>
      <c r="Q15" s="76">
        <v>12</v>
      </c>
      <c r="R15" s="67">
        <v>354.9</v>
      </c>
    </row>
    <row r="16" spans="1:18" x14ac:dyDescent="0.45">
      <c r="A16" s="22" t="s">
        <v>121</v>
      </c>
      <c r="B16" s="15">
        <v>331</v>
      </c>
      <c r="C16" s="10">
        <f>IF(B$3=0,0,B16/B$3)</f>
        <v>0.24142961342086069</v>
      </c>
      <c r="E16" s="27" t="s">
        <v>78</v>
      </c>
      <c r="F16" s="24" t="s">
        <v>33</v>
      </c>
      <c r="G16" s="12">
        <v>12</v>
      </c>
      <c r="H16" s="88">
        <f>IF(B$20=0,0,G16/B$20)</f>
        <v>2.9411764705882353E-2</v>
      </c>
      <c r="I16" s="58">
        <v>5</v>
      </c>
      <c r="K16" s="74">
        <v>14</v>
      </c>
      <c r="L16" s="119">
        <v>3.4999999999999929</v>
      </c>
      <c r="M16" s="117">
        <v>1595.6091337679318</v>
      </c>
      <c r="O16" s="74" t="s">
        <v>193</v>
      </c>
      <c r="P16" s="83">
        <f>IF(Q16=0,0,R16/Q16)</f>
        <v>19.387500000000003</v>
      </c>
      <c r="Q16" s="77">
        <v>8</v>
      </c>
      <c r="R16" s="68">
        <v>155.10000000000002</v>
      </c>
    </row>
    <row r="17" spans="1:18" x14ac:dyDescent="0.45">
      <c r="A17" s="19" t="s">
        <v>118</v>
      </c>
      <c r="B17" s="12">
        <v>320</v>
      </c>
      <c r="C17" s="6">
        <f>IF(B$3=0,0,B17/B$3)</f>
        <v>0.23340627279358134</v>
      </c>
      <c r="E17" s="27" t="s">
        <v>91</v>
      </c>
      <c r="F17" s="24" t="s">
        <v>46</v>
      </c>
      <c r="G17" s="12">
        <v>10</v>
      </c>
      <c r="H17" s="88">
        <f>IF(B$20=0,0,G17/B$20)</f>
        <v>2.4509803921568627E-2</v>
      </c>
      <c r="I17" s="58">
        <v>4</v>
      </c>
      <c r="K17" s="74">
        <v>15</v>
      </c>
      <c r="L17" s="119">
        <v>-7.1054273576010019E-15</v>
      </c>
      <c r="M17" s="117">
        <v>1595.1314789653243</v>
      </c>
      <c r="O17" s="74" t="s">
        <v>216</v>
      </c>
      <c r="P17" s="83">
        <f>IF(Q17=0,0,R17/Q17)</f>
        <v>10.242857142857144</v>
      </c>
      <c r="Q17" s="77">
        <v>28</v>
      </c>
      <c r="R17" s="68">
        <v>286.8</v>
      </c>
    </row>
    <row r="18" spans="1:18" x14ac:dyDescent="0.45">
      <c r="A18" s="18" t="s">
        <v>123</v>
      </c>
      <c r="B18" s="11">
        <f>B24</f>
        <v>170</v>
      </c>
      <c r="C18" s="5">
        <f>IF(B$16=0,0,B18/B$16)</f>
        <v>0.51359516616314205</v>
      </c>
      <c r="E18" s="27" t="s">
        <v>155</v>
      </c>
      <c r="F18" s="24" t="s">
        <v>156</v>
      </c>
      <c r="G18" s="12">
        <v>8</v>
      </c>
      <c r="H18" s="88">
        <f>IF(B$20=0,0,G18/B$20)</f>
        <v>1.9607843137254902E-2</v>
      </c>
      <c r="I18" s="58">
        <v>3</v>
      </c>
      <c r="K18" s="74">
        <v>16</v>
      </c>
      <c r="L18" s="119">
        <v>-11.600000000000007</v>
      </c>
      <c r="M18" s="117">
        <v>1593.0666900915323</v>
      </c>
      <c r="O18" s="74" t="s">
        <v>221</v>
      </c>
      <c r="P18" s="83">
        <f>IF(Q18=0,0,R18/Q18)</f>
        <v>10.125</v>
      </c>
      <c r="Q18" s="77">
        <v>4</v>
      </c>
      <c r="R18" s="68">
        <v>40.5</v>
      </c>
    </row>
    <row r="19" spans="1:18" x14ac:dyDescent="0.45">
      <c r="A19" s="18" t="s">
        <v>124</v>
      </c>
      <c r="B19" s="11">
        <f>B25</f>
        <v>146</v>
      </c>
      <c r="C19" s="5">
        <f>IF(B$17=0,0,B19/B$17)</f>
        <v>0.45624999999999999</v>
      </c>
      <c r="E19" s="27" t="s">
        <v>79</v>
      </c>
      <c r="F19" s="24" t="s">
        <v>34</v>
      </c>
      <c r="G19" s="12">
        <v>7</v>
      </c>
      <c r="H19" s="88">
        <f>IF(B$20=0,0,G19/B$20)</f>
        <v>1.7156862745098041E-2</v>
      </c>
      <c r="I19" s="58">
        <v>5</v>
      </c>
      <c r="K19" s="74">
        <v>17</v>
      </c>
      <c r="L19" s="119">
        <v>-7.1054273576010019E-15</v>
      </c>
      <c r="M19" s="117">
        <v>1595.1902899509832</v>
      </c>
      <c r="O19" s="74" t="s">
        <v>190</v>
      </c>
      <c r="P19" s="83">
        <f>IF(Q19=0,0,R19/Q19)</f>
        <v>8.2500000000000036</v>
      </c>
      <c r="Q19" s="77">
        <v>20</v>
      </c>
      <c r="R19" s="68">
        <v>165.00000000000009</v>
      </c>
    </row>
    <row r="20" spans="1:18" x14ac:dyDescent="0.45">
      <c r="A20" s="18" t="s">
        <v>10</v>
      </c>
      <c r="B20" s="11">
        <f>B23+B22</f>
        <v>408</v>
      </c>
      <c r="C20" s="5">
        <f>IF(B$3=0,0,B20/B$3)</f>
        <v>0.2975929978118162</v>
      </c>
      <c r="E20" s="27" t="s">
        <v>73</v>
      </c>
      <c r="F20" s="24" t="s">
        <v>28</v>
      </c>
      <c r="G20" s="12">
        <v>4</v>
      </c>
      <c r="H20" s="88">
        <f>IF(B$20=0,0,G20/B$20)</f>
        <v>9.8039215686274508E-3</v>
      </c>
      <c r="I20" s="58">
        <v>3</v>
      </c>
      <c r="K20" s="74">
        <v>18</v>
      </c>
      <c r="L20" s="119">
        <v>-7.1054273576010019E-15</v>
      </c>
      <c r="M20" s="117">
        <v>1595.2131482112773</v>
      </c>
      <c r="O20" s="74" t="s">
        <v>163</v>
      </c>
      <c r="P20" s="83">
        <f>IF(Q20=0,0,R20/Q20)</f>
        <v>8.0294117647058876</v>
      </c>
      <c r="Q20" s="77">
        <v>34</v>
      </c>
      <c r="R20" s="68">
        <v>273.00000000000017</v>
      </c>
    </row>
    <row r="21" spans="1:18" x14ac:dyDescent="0.45">
      <c r="A21" s="19" t="s">
        <v>13</v>
      </c>
      <c r="B21" s="12">
        <v>224</v>
      </c>
      <c r="C21" s="6">
        <f>IF(B$3=0,0,B21/B$3)</f>
        <v>0.16338439095550694</v>
      </c>
      <c r="E21" s="27" t="s">
        <v>85</v>
      </c>
      <c r="F21" s="24" t="s">
        <v>40</v>
      </c>
      <c r="G21" s="12">
        <v>3</v>
      </c>
      <c r="H21" s="88">
        <f>IF(B$20=0,0,G21/B$20)</f>
        <v>7.3529411764705881E-3</v>
      </c>
      <c r="I21" s="58">
        <v>4</v>
      </c>
      <c r="K21" s="74">
        <v>19</v>
      </c>
      <c r="L21" s="119">
        <v>-23.100000000000009</v>
      </c>
      <c r="M21" s="117">
        <v>1591.1138693220096</v>
      </c>
      <c r="O21" s="74" t="s">
        <v>189</v>
      </c>
      <c r="P21" s="83">
        <f>IF(Q21=0,0,R21/Q21)</f>
        <v>-1.2583333333333322</v>
      </c>
      <c r="Q21" s="77">
        <v>36</v>
      </c>
      <c r="R21" s="68">
        <v>-45.299999999999962</v>
      </c>
    </row>
    <row r="22" spans="1:18" x14ac:dyDescent="0.45">
      <c r="A22" s="19" t="s">
        <v>12</v>
      </c>
      <c r="B22" s="12">
        <v>183</v>
      </c>
      <c r="C22" s="6">
        <f>IF(B$20=0,0,B22/B$20)</f>
        <v>0.4485294117647059</v>
      </c>
      <c r="E22" s="27" t="s">
        <v>88</v>
      </c>
      <c r="F22" s="24" t="s">
        <v>43</v>
      </c>
      <c r="G22" s="12">
        <v>3</v>
      </c>
      <c r="H22" s="88">
        <f>IF(B$20=0,0,G22/B$20)</f>
        <v>7.3529411764705881E-3</v>
      </c>
      <c r="I22" s="58">
        <v>4</v>
      </c>
      <c r="K22" s="74">
        <v>20</v>
      </c>
      <c r="L22" s="119">
        <v>-31.300000000000008</v>
      </c>
      <c r="M22" s="117">
        <v>1589.7211861060775</v>
      </c>
      <c r="O22" s="74" t="s">
        <v>126</v>
      </c>
      <c r="P22" s="83">
        <f>IF(Q22=0,0,R22/Q22)</f>
        <v>-2.476744186046508</v>
      </c>
      <c r="Q22" s="77">
        <v>86</v>
      </c>
      <c r="R22" s="68">
        <v>-212.99999999999969</v>
      </c>
    </row>
    <row r="23" spans="1:18" x14ac:dyDescent="0.45">
      <c r="A23" s="19" t="s">
        <v>11</v>
      </c>
      <c r="B23" s="12">
        <v>225</v>
      </c>
      <c r="C23" s="6">
        <f>IF(B$20=0,0,B23/B$20)</f>
        <v>0.55147058823529416</v>
      </c>
      <c r="E23" s="27" t="s">
        <v>75</v>
      </c>
      <c r="F23" s="24" t="s">
        <v>30</v>
      </c>
      <c r="G23" s="12">
        <v>1</v>
      </c>
      <c r="H23" s="88">
        <f>IF(B$20=0,0,G23/B$20)</f>
        <v>2.4509803921568627E-3</v>
      </c>
      <c r="I23" s="58">
        <v>2</v>
      </c>
      <c r="K23" s="74">
        <v>21</v>
      </c>
      <c r="L23" s="119">
        <v>-7.1054273576010019E-15</v>
      </c>
      <c r="M23" s="117">
        <v>1595.4468589894411</v>
      </c>
      <c r="O23" s="74" t="s">
        <v>211</v>
      </c>
      <c r="P23" s="83">
        <f>IF(Q23=0,0,R23/Q23)</f>
        <v>-9.3545454545454536</v>
      </c>
      <c r="Q23" s="77">
        <v>44</v>
      </c>
      <c r="R23" s="68">
        <v>-411.59999999999997</v>
      </c>
    </row>
    <row r="24" spans="1:18" x14ac:dyDescent="0.45">
      <c r="A24" s="19" t="s">
        <v>183</v>
      </c>
      <c r="B24" s="12">
        <v>170</v>
      </c>
      <c r="C24" s="6">
        <f>IF(B$20=0,0,B24/B$20)</f>
        <v>0.41666666666666669</v>
      </c>
      <c r="E24" s="27" t="s">
        <v>77</v>
      </c>
      <c r="F24" s="24" t="s">
        <v>32</v>
      </c>
      <c r="G24" s="12">
        <v>1</v>
      </c>
      <c r="H24" s="88">
        <f>IF(B$20=0,0,G24/B$20)</f>
        <v>2.4509803921568627E-3</v>
      </c>
      <c r="I24" s="58">
        <v>2</v>
      </c>
      <c r="K24" s="74">
        <v>22</v>
      </c>
      <c r="L24" s="119">
        <v>-4.4000000000000075</v>
      </c>
      <c r="M24" s="117">
        <v>1594.0581778355045</v>
      </c>
      <c r="O24" s="74" t="s">
        <v>192</v>
      </c>
      <c r="P24" s="83">
        <f>IF(Q24=0,0,R24/Q24)</f>
        <v>-10.437931034482762</v>
      </c>
      <c r="Q24" s="77">
        <v>58</v>
      </c>
      <c r="R24" s="68">
        <v>-605.4000000000002</v>
      </c>
    </row>
    <row r="25" spans="1:18" x14ac:dyDescent="0.45">
      <c r="A25" s="19" t="s">
        <v>181</v>
      </c>
      <c r="B25" s="12">
        <v>146</v>
      </c>
      <c r="C25" s="6">
        <f>IF(B$20=0,0,B25/B$20)</f>
        <v>0.35784313725490197</v>
      </c>
      <c r="E25" s="27" t="s">
        <v>92</v>
      </c>
      <c r="F25" s="24" t="s">
        <v>47</v>
      </c>
      <c r="G25" s="12">
        <v>1</v>
      </c>
      <c r="H25" s="88">
        <f>IF(B$20=0,0,G25/B$20)</f>
        <v>2.4509803921568627E-3</v>
      </c>
      <c r="I25" s="58">
        <v>2</v>
      </c>
      <c r="K25" s="74">
        <v>23</v>
      </c>
      <c r="L25" s="119">
        <v>37.999999999999993</v>
      </c>
      <c r="M25" s="117">
        <v>1601.1018287684915</v>
      </c>
    </row>
    <row r="26" spans="1:18" x14ac:dyDescent="0.45">
      <c r="A26" s="19" t="s">
        <v>182</v>
      </c>
      <c r="B26" s="12">
        <v>92</v>
      </c>
      <c r="C26" s="6">
        <f>IF(B$20=0,0,B26/B$20)</f>
        <v>0.22549019607843138</v>
      </c>
      <c r="E26" s="27" t="s">
        <v>102</v>
      </c>
      <c r="F26" s="24" t="s">
        <v>57</v>
      </c>
      <c r="G26" s="12">
        <v>1</v>
      </c>
      <c r="H26" s="88">
        <f>IF(B$20=0,0,G26/B$20)</f>
        <v>2.4509803921568627E-3</v>
      </c>
      <c r="I26" s="58">
        <v>2</v>
      </c>
      <c r="K26" s="74">
        <v>24</v>
      </c>
      <c r="L26" s="119">
        <v>-7.1054273576010019E-15</v>
      </c>
      <c r="M26" s="117">
        <v>1593.6312177958805</v>
      </c>
    </row>
    <row r="27" spans="1:18" x14ac:dyDescent="0.45">
      <c r="A27" s="19" t="s">
        <v>5</v>
      </c>
      <c r="B27" s="16">
        <f>IF(B$20=0,0,C27/B$20)</f>
        <v>8105.3921568627447</v>
      </c>
      <c r="C27" s="8">
        <v>3307000</v>
      </c>
      <c r="E27" s="27" t="s">
        <v>74</v>
      </c>
      <c r="F27" s="24" t="s">
        <v>29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-28.000000000000007</v>
      </c>
      <c r="M27" s="117">
        <v>1587.7054304891053</v>
      </c>
    </row>
    <row r="28" spans="1:18" x14ac:dyDescent="0.45">
      <c r="A28" s="20" t="s">
        <v>165</v>
      </c>
      <c r="B28" s="95">
        <f>IF($B$20-B$19=0,0,C28/($B$20-B$19))</f>
        <v>8830.1526717557244</v>
      </c>
      <c r="C28" s="96">
        <v>2313500</v>
      </c>
      <c r="E28" s="27" t="s">
        <v>76</v>
      </c>
      <c r="F28" s="24" t="s">
        <v>31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-8.0000000000000071</v>
      </c>
      <c r="M28" s="117">
        <v>1590.4551979061707</v>
      </c>
    </row>
    <row r="29" spans="1:18" x14ac:dyDescent="0.45">
      <c r="A29" s="20" t="s">
        <v>166</v>
      </c>
      <c r="B29" s="95">
        <f>IF(B$19=0,0,C29/B$19)</f>
        <v>6804.7945205479455</v>
      </c>
      <c r="C29" s="96">
        <v>993500</v>
      </c>
      <c r="E29" s="27" t="s">
        <v>80</v>
      </c>
      <c r="F29" s="24" t="s">
        <v>35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-7.1054273576010019E-15</v>
      </c>
      <c r="M29" s="117">
        <v>1591.0284667187336</v>
      </c>
    </row>
    <row r="30" spans="1:18" x14ac:dyDescent="0.45">
      <c r="A30" s="20" t="s">
        <v>164</v>
      </c>
      <c r="B30" s="95">
        <f>IF(B$21=0,0,C30/B$21)</f>
        <v>-7311.6071428571431</v>
      </c>
      <c r="C30" s="96">
        <v>-1637800</v>
      </c>
      <c r="E30" s="27" t="s">
        <v>82</v>
      </c>
      <c r="F30" s="24" t="s">
        <v>37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36.899999999999991</v>
      </c>
      <c r="M30" s="117">
        <v>1597.5382959184212</v>
      </c>
    </row>
    <row r="31" spans="1:18" x14ac:dyDescent="0.45">
      <c r="A31" s="19" t="s">
        <v>157</v>
      </c>
      <c r="B31" s="12">
        <v>6</v>
      </c>
      <c r="C31" s="90">
        <v>0</v>
      </c>
      <c r="E31" s="27" t="s">
        <v>84</v>
      </c>
      <c r="F31" s="24" t="s">
        <v>39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-3.1000000000000085</v>
      </c>
      <c r="M31" s="117">
        <v>1590.1670661429107</v>
      </c>
    </row>
    <row r="32" spans="1:18" x14ac:dyDescent="0.45">
      <c r="A32" s="19" t="s">
        <v>158</v>
      </c>
      <c r="B32" s="12">
        <v>25</v>
      </c>
      <c r="C32" s="90">
        <v>0</v>
      </c>
      <c r="E32" s="27" t="s">
        <v>87</v>
      </c>
      <c r="F32" s="24" t="s">
        <v>42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-8.4376949871511897E-15</v>
      </c>
      <c r="M32" s="117">
        <v>1590.5980637460532</v>
      </c>
    </row>
    <row r="33" spans="1:13" x14ac:dyDescent="0.45">
      <c r="A33" s="54" t="s">
        <v>136</v>
      </c>
      <c r="B33" s="127">
        <v>7</v>
      </c>
      <c r="C33" s="128"/>
      <c r="E33" s="27" t="s">
        <v>90</v>
      </c>
      <c r="F33" s="24" t="s">
        <v>45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49.599999999999994</v>
      </c>
      <c r="M33" s="117">
        <v>1599.3964753635769</v>
      </c>
    </row>
    <row r="34" spans="1:13" x14ac:dyDescent="0.45">
      <c r="A34" s="22" t="s">
        <v>180</v>
      </c>
      <c r="B34" s="129">
        <v>103000</v>
      </c>
      <c r="C34" s="130"/>
      <c r="E34" s="27" t="s">
        <v>93</v>
      </c>
      <c r="F34" s="24" t="s">
        <v>48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36.799999999999997</v>
      </c>
      <c r="M34" s="117">
        <v>1596.9100965113955</v>
      </c>
    </row>
    <row r="35" spans="1:13" x14ac:dyDescent="0.45">
      <c r="A35" s="21" t="s">
        <v>137</v>
      </c>
      <c r="B35" s="29">
        <v>5</v>
      </c>
      <c r="C35" s="9">
        <f>IF(B$3=0,0,B35/B$3)</f>
        <v>3.6469730123997084E-3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0</v>
      </c>
      <c r="M35" s="117">
        <v>1590.1186359323272</v>
      </c>
    </row>
    <row r="36" spans="1:13" x14ac:dyDescent="0.45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33.6</v>
      </c>
      <c r="M36" s="117">
        <v>1595.8779241167331</v>
      </c>
    </row>
    <row r="37" spans="1:13" x14ac:dyDescent="0.45">
      <c r="A37" s="54" t="s">
        <v>171</v>
      </c>
      <c r="B37" s="123">
        <v>34</v>
      </c>
      <c r="C37" s="98">
        <f t="shared" ref="C37:C49" si="2">IF(B$20=0,0,B37/B$20)</f>
        <v>8.3333333333333329E-2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-20.199999999999996</v>
      </c>
      <c r="M37" s="117">
        <v>1585.8706565720327</v>
      </c>
    </row>
    <row r="38" spans="1:13" x14ac:dyDescent="0.45">
      <c r="A38" s="19" t="s">
        <v>167</v>
      </c>
      <c r="B38" s="12">
        <v>83</v>
      </c>
      <c r="C38" s="6">
        <f t="shared" si="2"/>
        <v>0.20343137254901961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3.5527136788005009E-15</v>
      </c>
      <c r="M38" s="117">
        <v>1589.2434326326004</v>
      </c>
    </row>
    <row r="39" spans="1:13" x14ac:dyDescent="0.45">
      <c r="A39" s="19" t="s">
        <v>168</v>
      </c>
      <c r="B39" s="124">
        <v>81</v>
      </c>
      <c r="C39" s="6">
        <f t="shared" si="2"/>
        <v>0.19852941176470587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-34.399999999999991</v>
      </c>
      <c r="M39" s="117">
        <v>1582.7679720368048</v>
      </c>
    </row>
    <row r="40" spans="1:13" x14ac:dyDescent="0.45">
      <c r="A40" s="19" t="s">
        <v>169</v>
      </c>
      <c r="B40" s="124">
        <v>66</v>
      </c>
      <c r="C40" s="6">
        <f t="shared" si="2"/>
        <v>0.16176470588235295</v>
      </c>
      <c r="E40" s="27" t="s">
        <v>99</v>
      </c>
      <c r="F40" s="24" t="s">
        <v>54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-23.79999999999999</v>
      </c>
      <c r="M40" s="117">
        <v>1584.431364204584</v>
      </c>
    </row>
    <row r="41" spans="1:13" x14ac:dyDescent="0.45">
      <c r="A41" s="19" t="s">
        <v>170</v>
      </c>
      <c r="B41" s="124">
        <v>51</v>
      </c>
      <c r="C41" s="6">
        <f t="shared" si="2"/>
        <v>0.125</v>
      </c>
      <c r="E41" s="27" t="s">
        <v>100</v>
      </c>
      <c r="F41" s="24" t="s">
        <v>55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1.0658141036401503E-14</v>
      </c>
      <c r="M41" s="117">
        <v>1588.4607760193564</v>
      </c>
    </row>
    <row r="42" spans="1:13" x14ac:dyDescent="0.45">
      <c r="A42" s="19" t="s">
        <v>172</v>
      </c>
      <c r="B42" s="124">
        <v>39</v>
      </c>
      <c r="C42" s="6">
        <f t="shared" si="2"/>
        <v>9.5588235294117641E-2</v>
      </c>
      <c r="E42" s="27" t="s">
        <v>101</v>
      </c>
      <c r="F42" s="24" t="s">
        <v>56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-28.79999999999999</v>
      </c>
      <c r="M42" s="117">
        <v>1582.7880113632402</v>
      </c>
    </row>
    <row r="43" spans="1:13" x14ac:dyDescent="0.45">
      <c r="A43" s="19" t="s">
        <v>173</v>
      </c>
      <c r="B43" s="124">
        <v>25</v>
      </c>
      <c r="C43" s="6">
        <f t="shared" si="2"/>
        <v>6.1274509803921566E-2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-22.499999999999989</v>
      </c>
      <c r="M43" s="117">
        <v>1583.4672832950607</v>
      </c>
    </row>
    <row r="44" spans="1:13" x14ac:dyDescent="0.45">
      <c r="A44" s="19" t="s">
        <v>174</v>
      </c>
      <c r="B44" s="124">
        <v>13</v>
      </c>
      <c r="C44" s="6">
        <f t="shared" si="2"/>
        <v>3.1862745098039214E-2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1.0658141036401503E-14</v>
      </c>
      <c r="M44" s="117">
        <v>1587.0584795952905</v>
      </c>
    </row>
    <row r="45" spans="1:13" x14ac:dyDescent="0.45">
      <c r="A45" s="19" t="s">
        <v>175</v>
      </c>
      <c r="B45" s="124">
        <v>7</v>
      </c>
      <c r="C45" s="6">
        <f t="shared" si="2"/>
        <v>1.7156862745098041E-2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26.600000000000012</v>
      </c>
      <c r="M45" s="117">
        <v>1592.3501287177187</v>
      </c>
    </row>
    <row r="46" spans="1:13" x14ac:dyDescent="0.45">
      <c r="A46" s="19" t="s">
        <v>176</v>
      </c>
      <c r="B46" s="124">
        <v>5</v>
      </c>
      <c r="C46" s="6">
        <f t="shared" si="2"/>
        <v>1.2254901960784314E-2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-6.5999999999999908</v>
      </c>
      <c r="M46" s="117">
        <v>1586.8460279454123</v>
      </c>
    </row>
    <row r="47" spans="1:13" x14ac:dyDescent="0.45">
      <c r="A47" s="19" t="s">
        <v>177</v>
      </c>
      <c r="B47" s="124">
        <v>2</v>
      </c>
      <c r="C47" s="6">
        <f t="shared" si="2"/>
        <v>4.9019607843137254E-3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8.8817841970012523E-15</v>
      </c>
      <c r="M47" s="117">
        <v>1588.5389517777398</v>
      </c>
    </row>
    <row r="48" spans="1:13" x14ac:dyDescent="0.45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-27.999999999999993</v>
      </c>
      <c r="M48" s="117">
        <v>1583.9937180670734</v>
      </c>
    </row>
    <row r="49" spans="1:13" x14ac:dyDescent="0.45">
      <c r="A49" s="21" t="s">
        <v>179</v>
      </c>
      <c r="B49" s="97">
        <v>2</v>
      </c>
      <c r="C49" s="9">
        <f t="shared" si="2"/>
        <v>4.9019607843137254E-3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50.000000000000007</v>
      </c>
      <c r="M49" s="117">
        <v>1598.555755758671</v>
      </c>
    </row>
    <row r="50" spans="1:13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7.1054273576010019E-15</v>
      </c>
      <c r="M50" s="117">
        <v>1589.990421224119</v>
      </c>
    </row>
    <row r="51" spans="1:13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-21.399999999999991</v>
      </c>
      <c r="M51" s="117">
        <v>1586.2644786967744</v>
      </c>
    </row>
    <row r="52" spans="1:13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-26.599999999999991</v>
      </c>
      <c r="M52" s="117">
        <v>1585.4768918245938</v>
      </c>
    </row>
    <row r="53" spans="1:13" x14ac:dyDescent="0.45">
      <c r="K53" s="74">
        <v>51</v>
      </c>
      <c r="L53" s="119">
        <v>1.0658141036401503E-14</v>
      </c>
      <c r="M53" s="117">
        <v>1590.4180304736462</v>
      </c>
    </row>
    <row r="54" spans="1:13" x14ac:dyDescent="0.45">
      <c r="K54" s="74">
        <v>52</v>
      </c>
      <c r="L54" s="119">
        <v>-24.199999999999989</v>
      </c>
      <c r="M54" s="117">
        <v>1585.5015222908044</v>
      </c>
    </row>
    <row r="55" spans="1:13" x14ac:dyDescent="0.45">
      <c r="K55" s="74">
        <v>53</v>
      </c>
      <c r="L55" s="119">
        <v>-20.199999999999989</v>
      </c>
      <c r="M55" s="117">
        <v>1585.6905131570595</v>
      </c>
    </row>
    <row r="56" spans="1:13" x14ac:dyDescent="0.45">
      <c r="K56" s="74">
        <v>54</v>
      </c>
      <c r="L56" s="119">
        <v>1.0658141036401503E-14</v>
      </c>
      <c r="M56" s="117">
        <v>1588.7943700781173</v>
      </c>
    </row>
    <row r="57" spans="1:13" x14ac:dyDescent="0.45">
      <c r="K57" s="74">
        <v>55</v>
      </c>
      <c r="L57" s="119">
        <v>-17.499999999999989</v>
      </c>
      <c r="M57" s="117">
        <v>1584.9436038576484</v>
      </c>
    </row>
    <row r="58" spans="1:13" x14ac:dyDescent="0.45">
      <c r="K58" s="74">
        <v>56</v>
      </c>
      <c r="L58" s="119">
        <v>0.50000000000001066</v>
      </c>
      <c r="M58" s="117">
        <v>1587.5059422345025</v>
      </c>
    </row>
    <row r="59" spans="1:13" x14ac:dyDescent="0.45">
      <c r="K59" s="74">
        <v>57</v>
      </c>
      <c r="L59" s="119">
        <v>1.0658141036401503E-14</v>
      </c>
      <c r="M59" s="117">
        <v>1586.7229065810955</v>
      </c>
    </row>
    <row r="60" spans="1:13" x14ac:dyDescent="0.45">
      <c r="K60" s="74">
        <v>58</v>
      </c>
      <c r="L60" s="119">
        <v>16.600000000000012</v>
      </c>
      <c r="M60" s="117">
        <v>1589.7965691416089</v>
      </c>
    </row>
    <row r="61" spans="1:13" x14ac:dyDescent="0.45">
      <c r="K61" s="74">
        <v>59</v>
      </c>
      <c r="L61" s="119">
        <v>13.600000000000012</v>
      </c>
      <c r="M61" s="117">
        <v>1589.3237897267593</v>
      </c>
    </row>
    <row r="62" spans="1:13" x14ac:dyDescent="0.45">
      <c r="K62" s="74">
        <v>60</v>
      </c>
      <c r="L62" s="119">
        <v>1.2434497875801753E-14</v>
      </c>
      <c r="M62" s="117">
        <v>1586.9458469883987</v>
      </c>
    </row>
    <row r="63" spans="1:13" x14ac:dyDescent="0.45">
      <c r="K63" s="74">
        <v>61</v>
      </c>
      <c r="L63" s="119">
        <v>-13.999999999999988</v>
      </c>
      <c r="M63" s="117">
        <v>1584.6241719064683</v>
      </c>
    </row>
    <row r="64" spans="1:13" x14ac:dyDescent="0.45">
      <c r="K64" s="74">
        <v>62</v>
      </c>
      <c r="L64" s="119">
        <v>-39.699999999999989</v>
      </c>
      <c r="M64" s="117">
        <v>1580.2104268750295</v>
      </c>
    </row>
    <row r="65" spans="11:13" x14ac:dyDescent="0.45">
      <c r="K65" s="74">
        <v>63</v>
      </c>
      <c r="L65" s="119">
        <v>1.4210854715202004E-14</v>
      </c>
      <c r="M65" s="117">
        <v>1587.5951643137794</v>
      </c>
    </row>
    <row r="66" spans="11:13" x14ac:dyDescent="0.45">
      <c r="K66" s="74">
        <v>64</v>
      </c>
      <c r="L66" s="119">
        <v>-19.799999999999986</v>
      </c>
      <c r="M66" s="117">
        <v>1584.2255933278966</v>
      </c>
    </row>
    <row r="67" spans="11:13" x14ac:dyDescent="0.45">
      <c r="K67" s="74">
        <v>65</v>
      </c>
      <c r="L67" s="119">
        <v>-50.899999999999991</v>
      </c>
      <c r="M67" s="117">
        <v>1578.8422397679292</v>
      </c>
    </row>
    <row r="68" spans="11:13" x14ac:dyDescent="0.45">
      <c r="K68" s="74">
        <v>66</v>
      </c>
      <c r="L68" s="119">
        <v>7.1054273576010019E-15</v>
      </c>
      <c r="M68" s="117">
        <v>1588.2511863293216</v>
      </c>
    </row>
    <row r="69" spans="11:13" x14ac:dyDescent="0.45">
      <c r="K69" s="74">
        <v>67</v>
      </c>
      <c r="L69" s="119">
        <v>-26.699999999999992</v>
      </c>
      <c r="M69" s="117">
        <v>1583.6356792113456</v>
      </c>
    </row>
    <row r="70" spans="11:13" x14ac:dyDescent="0.45">
      <c r="K70" s="74">
        <v>68</v>
      </c>
      <c r="L70" s="119">
        <v>7.0000000000000107</v>
      </c>
      <c r="M70" s="117">
        <v>1589.9198651360775</v>
      </c>
    </row>
    <row r="71" spans="11:13" x14ac:dyDescent="0.45">
      <c r="K71" s="74">
        <v>69</v>
      </c>
      <c r="L71" s="119">
        <v>1.0658141036401503E-14</v>
      </c>
      <c r="M71" s="117">
        <v>1588.8403459452611</v>
      </c>
    </row>
    <row r="72" spans="11:13" x14ac:dyDescent="0.45">
      <c r="K72" s="74">
        <v>70</v>
      </c>
      <c r="L72" s="119">
        <v>-24.399999999999988</v>
      </c>
      <c r="M72" s="117">
        <v>1584.4493038695896</v>
      </c>
    </row>
    <row r="73" spans="11:13" x14ac:dyDescent="0.45">
      <c r="K73" s="74">
        <v>71</v>
      </c>
      <c r="L73" s="119">
        <v>-24.299999999999986</v>
      </c>
      <c r="M73" s="117">
        <v>1584.4946080463722</v>
      </c>
    </row>
    <row r="74" spans="11:13" x14ac:dyDescent="0.45">
      <c r="K74" s="74">
        <v>72</v>
      </c>
      <c r="L74" s="119">
        <v>1.4210854715202004E-14</v>
      </c>
      <c r="M74" s="117">
        <v>1588.895640398094</v>
      </c>
    </row>
    <row r="75" spans="11:13" x14ac:dyDescent="0.45">
      <c r="K75" s="74">
        <v>73</v>
      </c>
      <c r="L75" s="119">
        <v>8.2000000000000135</v>
      </c>
      <c r="M75" s="117">
        <v>1590.3722665557054</v>
      </c>
    </row>
    <row r="76" spans="11:13" x14ac:dyDescent="0.45">
      <c r="K76" s="74">
        <v>74</v>
      </c>
      <c r="L76" s="119">
        <v>32.800000000000011</v>
      </c>
      <c r="M76" s="117">
        <v>1594.7920329563713</v>
      </c>
    </row>
    <row r="77" spans="11:13" x14ac:dyDescent="0.45">
      <c r="K77" s="74">
        <v>75</v>
      </c>
      <c r="L77" s="119">
        <v>1.4210854715202004E-14</v>
      </c>
      <c r="M77" s="117">
        <v>1588.853280758633</v>
      </c>
    </row>
    <row r="78" spans="11:13" x14ac:dyDescent="0.45">
      <c r="K78" s="74">
        <v>76</v>
      </c>
      <c r="L78" s="119">
        <v>-14.299999999999986</v>
      </c>
      <c r="M78" s="117">
        <v>1586.3761610740812</v>
      </c>
    </row>
    <row r="79" spans="11:13" x14ac:dyDescent="0.45">
      <c r="K79" s="74">
        <v>77</v>
      </c>
      <c r="L79" s="119">
        <v>-14.799999999999986</v>
      </c>
      <c r="M79" s="117">
        <v>1586.3979041076368</v>
      </c>
    </row>
    <row r="80" spans="11:13" x14ac:dyDescent="0.45">
      <c r="K80" s="74">
        <v>78</v>
      </c>
      <c r="L80" s="119">
        <v>1.4210854715202004E-14</v>
      </c>
      <c r="M80" s="117">
        <v>1589.173516682991</v>
      </c>
    </row>
    <row r="81" spans="11:13" x14ac:dyDescent="0.45">
      <c r="K81" s="74">
        <v>79</v>
      </c>
      <c r="L81" s="119">
        <v>-6.8999999999999861</v>
      </c>
      <c r="M81" s="117">
        <v>1588.026475582893</v>
      </c>
    </row>
    <row r="82" spans="11:13" x14ac:dyDescent="0.45">
      <c r="K82" s="74">
        <v>80</v>
      </c>
      <c r="L82" s="119">
        <v>20.100000000000016</v>
      </c>
      <c r="M82" s="117">
        <v>1592.9883167293956</v>
      </c>
    </row>
    <row r="83" spans="11:13" x14ac:dyDescent="0.45">
      <c r="K83" s="74">
        <v>81</v>
      </c>
      <c r="L83" s="119">
        <v>1.4210854715202004E-14</v>
      </c>
      <c r="M83" s="117">
        <v>1589.4423868290191</v>
      </c>
    </row>
    <row r="84" spans="11:13" x14ac:dyDescent="0.45">
      <c r="K84" s="74">
        <v>82</v>
      </c>
      <c r="L84" s="119">
        <v>-0.69999999999998574</v>
      </c>
      <c r="M84" s="117">
        <v>1589.409732508045</v>
      </c>
    </row>
    <row r="85" spans="11:13" x14ac:dyDescent="0.45">
      <c r="K85" s="74">
        <v>83</v>
      </c>
      <c r="L85" s="119">
        <v>-24.199999999999985</v>
      </c>
      <c r="M85" s="117">
        <v>1585.2732741129967</v>
      </c>
    </row>
    <row r="86" spans="11:13" x14ac:dyDescent="0.45">
      <c r="K86" s="74">
        <v>84</v>
      </c>
      <c r="L86" s="119">
        <v>1.4210854715202004E-14</v>
      </c>
      <c r="M86" s="117">
        <v>1589.7476344683187</v>
      </c>
    </row>
    <row r="87" spans="11:13" x14ac:dyDescent="0.45">
      <c r="K87" s="74">
        <v>85</v>
      </c>
      <c r="L87" s="119">
        <v>33.500000000000014</v>
      </c>
      <c r="M87" s="117">
        <v>1595.1791486615089</v>
      </c>
    </row>
    <row r="88" spans="11:13" x14ac:dyDescent="0.45">
      <c r="K88" s="74">
        <v>86</v>
      </c>
      <c r="L88" s="119">
        <v>34.500000000000014</v>
      </c>
      <c r="M88" s="117">
        <v>1594.7280737695398</v>
      </c>
    </row>
    <row r="89" spans="11:13" x14ac:dyDescent="0.45">
      <c r="K89" s="74">
        <v>87</v>
      </c>
      <c r="L89" s="119">
        <v>1.4210854715202004E-14</v>
      </c>
      <c r="M89" s="117">
        <v>1587.8897053269227</v>
      </c>
    </row>
    <row r="90" spans="11:13" x14ac:dyDescent="0.45">
      <c r="K90" s="74">
        <v>88</v>
      </c>
      <c r="L90" s="119">
        <v>-24.699999999999985</v>
      </c>
      <c r="M90" s="117">
        <v>1583.8223670949612</v>
      </c>
    </row>
    <row r="91" spans="11:13" x14ac:dyDescent="0.45">
      <c r="K91" s="74">
        <v>89</v>
      </c>
      <c r="L91" s="119">
        <v>-4.0999999999999837</v>
      </c>
      <c r="M91" s="117">
        <v>1587.9334328923915</v>
      </c>
    </row>
    <row r="92" spans="11:13" x14ac:dyDescent="0.45">
      <c r="K92" s="74">
        <v>90</v>
      </c>
      <c r="L92" s="119">
        <v>1.5987211554602254E-14</v>
      </c>
      <c r="M92" s="117">
        <v>1589.049832295037</v>
      </c>
    </row>
    <row r="93" spans="11:13" x14ac:dyDescent="0.45">
      <c r="K93" s="74">
        <v>91</v>
      </c>
      <c r="L93" s="119">
        <v>-37.899999999999984</v>
      </c>
      <c r="M93" s="117">
        <v>1582.5995333012668</v>
      </c>
    </row>
    <row r="94" spans="11:13" x14ac:dyDescent="0.45">
      <c r="K94" s="74">
        <v>92</v>
      </c>
      <c r="L94" s="119">
        <v>-13.099999999999984</v>
      </c>
      <c r="M94" s="117">
        <v>1587.4739361014592</v>
      </c>
    </row>
    <row r="95" spans="11:13" x14ac:dyDescent="0.45">
      <c r="K95" s="74">
        <v>93</v>
      </c>
      <c r="L95" s="119">
        <v>1.5987211554602254E-14</v>
      </c>
      <c r="M95" s="117">
        <v>1590.2130924848504</v>
      </c>
    </row>
    <row r="96" spans="11:13" x14ac:dyDescent="0.45">
      <c r="K96" s="74">
        <v>94</v>
      </c>
      <c r="L96" s="119">
        <v>-41.399999999999984</v>
      </c>
      <c r="M96" s="117">
        <v>1583.1258139299414</v>
      </c>
    </row>
    <row r="97" spans="11:13" x14ac:dyDescent="0.45">
      <c r="K97" s="74">
        <v>95</v>
      </c>
      <c r="L97" s="119">
        <v>-49.59999999999998</v>
      </c>
      <c r="M97" s="117">
        <v>1582.0570590463617</v>
      </c>
    </row>
    <row r="98" spans="11:13" x14ac:dyDescent="0.45">
      <c r="K98" s="74">
        <v>96</v>
      </c>
      <c r="L98" s="119">
        <v>2.1316282072803006E-14</v>
      </c>
      <c r="M98" s="117">
        <v>1591.3987166920836</v>
      </c>
    </row>
    <row r="99" spans="11:13" x14ac:dyDescent="0.45">
      <c r="K99" s="74">
        <v>97</v>
      </c>
      <c r="L99" s="119">
        <v>3.6000000000000214</v>
      </c>
      <c r="M99" s="117">
        <v>1592.236324391931</v>
      </c>
    </row>
    <row r="100" spans="11:13" x14ac:dyDescent="0.45">
      <c r="K100" s="74">
        <v>98</v>
      </c>
      <c r="L100" s="119">
        <v>-46.499999999999979</v>
      </c>
      <c r="M100" s="117">
        <v>1583.4029064455794</v>
      </c>
    </row>
    <row r="101" spans="11:13" x14ac:dyDescent="0.45">
      <c r="K101" s="74">
        <v>99</v>
      </c>
      <c r="L101" s="119">
        <v>2.1316282072803006E-14</v>
      </c>
      <c r="M101" s="117">
        <v>1592.010489006906</v>
      </c>
    </row>
    <row r="102" spans="11:13" x14ac:dyDescent="0.45">
      <c r="K102" s="74">
        <v>100</v>
      </c>
      <c r="L102" s="119">
        <v>28.300000000000022</v>
      </c>
      <c r="M102" s="117">
        <v>1596.5344260728646</v>
      </c>
    </row>
    <row r="103" spans="11:13" x14ac:dyDescent="0.45">
      <c r="K103" s="74">
        <v>101</v>
      </c>
      <c r="L103" s="119">
        <v>-8.7999999999999794</v>
      </c>
      <c r="M103" s="117">
        <v>1589.2592195164273</v>
      </c>
    </row>
    <row r="104" spans="11:13" x14ac:dyDescent="0.45">
      <c r="K104" s="74">
        <v>102</v>
      </c>
      <c r="L104" s="119">
        <v>2.1316282072803006E-14</v>
      </c>
      <c r="M104" s="117">
        <v>1590.2896641993286</v>
      </c>
    </row>
    <row r="105" spans="11:13" x14ac:dyDescent="0.45">
      <c r="K105" s="74">
        <v>103</v>
      </c>
      <c r="L105" s="119">
        <v>-31.09999999999998</v>
      </c>
      <c r="M105" s="117">
        <v>1584.1319262141326</v>
      </c>
    </row>
    <row r="106" spans="11:13" x14ac:dyDescent="0.45">
      <c r="K106" s="74">
        <v>104</v>
      </c>
      <c r="L106" s="119">
        <v>11.600000000000023</v>
      </c>
      <c r="M106" s="117">
        <v>1591.2951346568477</v>
      </c>
    </row>
    <row r="107" spans="11:13" x14ac:dyDescent="0.45">
      <c r="K107" s="74">
        <v>105</v>
      </c>
      <c r="L107" s="119">
        <v>2.3092638912203256E-14</v>
      </c>
      <c r="M107" s="117">
        <v>1588.6413638489066</v>
      </c>
    </row>
    <row r="108" spans="11:13" x14ac:dyDescent="0.45">
      <c r="K108" s="74">
        <v>106</v>
      </c>
      <c r="L108" s="119">
        <v>58.500000000000021</v>
      </c>
      <c r="M108" s="117">
        <v>1599.2455156658132</v>
      </c>
    </row>
    <row r="109" spans="11:13" x14ac:dyDescent="0.45">
      <c r="K109" s="74">
        <v>107</v>
      </c>
      <c r="L109" s="119">
        <v>24.100000000000023</v>
      </c>
      <c r="M109" s="117">
        <v>1593.0640425718184</v>
      </c>
    </row>
    <row r="110" spans="11:13" x14ac:dyDescent="0.45">
      <c r="K110" s="74">
        <v>108</v>
      </c>
      <c r="L110" s="119">
        <v>2.1316282072803006E-14</v>
      </c>
      <c r="M110" s="117">
        <v>1588.7736583163876</v>
      </c>
    </row>
    <row r="111" spans="11:13" x14ac:dyDescent="0.45">
      <c r="K111" s="74">
        <v>109</v>
      </c>
      <c r="L111" s="119">
        <v>-15.599999999999978</v>
      </c>
      <c r="M111" s="117">
        <v>1586.0390163664892</v>
      </c>
    </row>
    <row r="112" spans="11:13" x14ac:dyDescent="0.45">
      <c r="K112" s="74">
        <v>110</v>
      </c>
      <c r="L112" s="119">
        <v>-7.7999999999999785</v>
      </c>
      <c r="M112" s="117">
        <v>1587.5327822682902</v>
      </c>
    </row>
    <row r="113" spans="11:13" x14ac:dyDescent="0.45">
      <c r="K113" s="74">
        <v>111</v>
      </c>
      <c r="L113" s="119">
        <v>2.1316282072803006E-14</v>
      </c>
      <c r="M113" s="117">
        <v>1589.0175855746804</v>
      </c>
    </row>
    <row r="114" spans="11:13" x14ac:dyDescent="0.45">
      <c r="K114" s="74">
        <v>112</v>
      </c>
      <c r="L114" s="119">
        <v>18.100000000000023</v>
      </c>
      <c r="M114" s="117">
        <v>1592.3474800612323</v>
      </c>
    </row>
    <row r="115" spans="11:13" x14ac:dyDescent="0.45">
      <c r="K115" s="74">
        <v>113</v>
      </c>
      <c r="L115" s="119">
        <v>1.4000000000000234</v>
      </c>
      <c r="M115" s="117">
        <v>1589.3933951808649</v>
      </c>
    </row>
    <row r="116" spans="11:13" x14ac:dyDescent="0.45">
      <c r="K116" s="74">
        <v>114</v>
      </c>
      <c r="L116" s="119">
        <v>2.3536728122053319E-14</v>
      </c>
      <c r="M116" s="117">
        <v>1589.2110348097797</v>
      </c>
    </row>
    <row r="117" spans="11:13" x14ac:dyDescent="0.45">
      <c r="K117" s="74">
        <v>115</v>
      </c>
      <c r="L117" s="119">
        <v>-4.5999999999999766</v>
      </c>
      <c r="M117" s="117">
        <v>1588.7057686009209</v>
      </c>
    </row>
    <row r="118" spans="11:13" x14ac:dyDescent="0.45">
      <c r="K118" s="74">
        <v>116</v>
      </c>
      <c r="L118" s="119">
        <v>-26.899999999999977</v>
      </c>
      <c r="M118" s="117">
        <v>1585.0175339893153</v>
      </c>
    </row>
    <row r="119" spans="11:13" x14ac:dyDescent="0.45">
      <c r="K119" s="74">
        <v>117</v>
      </c>
      <c r="L119" s="119">
        <v>2.1316282072803006E-14</v>
      </c>
      <c r="M119" s="117">
        <v>1590.2074287853795</v>
      </c>
    </row>
    <row r="120" spans="11:13" x14ac:dyDescent="0.45">
      <c r="K120" s="74">
        <v>118</v>
      </c>
      <c r="L120" s="119">
        <v>31.90000000000002</v>
      </c>
      <c r="M120" s="117">
        <v>1596.3801842126672</v>
      </c>
    </row>
    <row r="121" spans="11:13" x14ac:dyDescent="0.45">
      <c r="K121" s="74">
        <v>119</v>
      </c>
      <c r="L121" s="119">
        <v>33.500000000000021</v>
      </c>
      <c r="M121" s="117">
        <v>1597.0619031073913</v>
      </c>
    </row>
    <row r="122" spans="11:13" x14ac:dyDescent="0.45">
      <c r="K122" s="74">
        <v>120</v>
      </c>
      <c r="L122" s="119">
        <v>2.1316282072803006E-14</v>
      </c>
      <c r="M122" s="117">
        <v>1591.4215316887471</v>
      </c>
    </row>
    <row r="123" spans="11:13" x14ac:dyDescent="0.45">
      <c r="K123" s="74">
        <v>121</v>
      </c>
      <c r="L123" s="119">
        <v>-45.699999999999982</v>
      </c>
      <c r="M123" s="117">
        <v>1583.6190024986147</v>
      </c>
    </row>
    <row r="124" spans="11:13" x14ac:dyDescent="0.45">
      <c r="K124" s="74">
        <v>122</v>
      </c>
      <c r="L124" s="119">
        <v>-43.59999999999998</v>
      </c>
      <c r="M124" s="117">
        <v>1584.467288483623</v>
      </c>
    </row>
    <row r="125" spans="11:13" x14ac:dyDescent="0.45">
      <c r="K125" s="74">
        <v>123</v>
      </c>
      <c r="L125" s="119">
        <v>2.1316282072803006E-14</v>
      </c>
      <c r="M125" s="117">
        <v>1592.7804847527211</v>
      </c>
    </row>
    <row r="126" spans="11:13" x14ac:dyDescent="0.45">
      <c r="K126" s="74">
        <v>124</v>
      </c>
      <c r="L126" s="119">
        <v>42.000000000000021</v>
      </c>
      <c r="M126" s="117">
        <v>1600.5338018442048</v>
      </c>
    </row>
    <row r="127" spans="11:13" x14ac:dyDescent="0.45">
      <c r="K127" s="74">
        <v>125</v>
      </c>
      <c r="L127" s="119">
        <v>-7.6999999999999815</v>
      </c>
      <c r="M127" s="117">
        <v>1591.7345990331396</v>
      </c>
    </row>
    <row r="128" spans="11:13" x14ac:dyDescent="0.45">
      <c r="K128" s="74">
        <v>126</v>
      </c>
      <c r="L128" s="119">
        <v>1.865174681370263E-14</v>
      </c>
      <c r="M128" s="117">
        <v>1593.3201914389408</v>
      </c>
    </row>
    <row r="129" spans="11:13" x14ac:dyDescent="0.45">
      <c r="K129" s="74">
        <v>127</v>
      </c>
      <c r="L129" s="119">
        <v>-0.99999999999998135</v>
      </c>
      <c r="M129" s="117">
        <v>1593.3302702903072</v>
      </c>
    </row>
    <row r="130" spans="11:13" x14ac:dyDescent="0.45">
      <c r="K130" s="74">
        <v>128</v>
      </c>
      <c r="L130" s="119">
        <v>-54.999999999999979</v>
      </c>
      <c r="M130" s="117">
        <v>1583.8002886685654</v>
      </c>
    </row>
    <row r="131" spans="11:13" x14ac:dyDescent="0.45">
      <c r="K131" s="74">
        <v>129</v>
      </c>
      <c r="L131" s="119">
        <v>2.1316282072803006E-14</v>
      </c>
      <c r="M131" s="117">
        <v>1593.947486936554</v>
      </c>
    </row>
    <row r="132" spans="11:13" x14ac:dyDescent="0.45">
      <c r="K132" s="74">
        <v>130</v>
      </c>
      <c r="L132" s="119">
        <v>39.600000000000023</v>
      </c>
      <c r="M132" s="117">
        <v>1601.2618020149348</v>
      </c>
    </row>
    <row r="133" spans="11:13" x14ac:dyDescent="0.45">
      <c r="K133" s="74">
        <v>131</v>
      </c>
      <c r="L133" s="119">
        <v>6.8000000000000256</v>
      </c>
      <c r="M133" s="117">
        <v>1595.5002312028453</v>
      </c>
    </row>
    <row r="134" spans="11:13" x14ac:dyDescent="0.45">
      <c r="K134" s="74">
        <v>132</v>
      </c>
      <c r="L134" s="119">
        <v>2.5757174171303632E-14</v>
      </c>
      <c r="M134" s="117">
        <v>1594.4532298156282</v>
      </c>
    </row>
    <row r="135" spans="11:13" x14ac:dyDescent="0.45">
      <c r="K135" s="74">
        <v>133</v>
      </c>
      <c r="L135" s="119">
        <v>-25.399999999999974</v>
      </c>
      <c r="M135" s="117">
        <v>1590.0645104367345</v>
      </c>
    </row>
    <row r="136" spans="11:13" x14ac:dyDescent="0.45">
      <c r="K136" s="74">
        <v>134</v>
      </c>
      <c r="L136" s="119">
        <v>-30.799999999999976</v>
      </c>
      <c r="M136" s="117">
        <v>1589.302123374114</v>
      </c>
    </row>
    <row r="137" spans="11:13" x14ac:dyDescent="0.45">
      <c r="K137" s="74">
        <v>135</v>
      </c>
      <c r="L137" s="119">
        <v>2.4868995751603507E-14</v>
      </c>
      <c r="M137" s="117">
        <v>1595.0603106338692</v>
      </c>
    </row>
    <row r="138" spans="11:13" x14ac:dyDescent="0.45">
      <c r="K138" s="74">
        <v>136</v>
      </c>
      <c r="L138" s="119">
        <v>28.300000000000026</v>
      </c>
      <c r="M138" s="117">
        <v>1600.2019487700661</v>
      </c>
    </row>
    <row r="139" spans="11:13" x14ac:dyDescent="0.45">
      <c r="K139" s="74">
        <v>137</v>
      </c>
      <c r="L139" s="119">
        <v>31.000000000000025</v>
      </c>
      <c r="M139" s="117">
        <v>1600.7047370774458</v>
      </c>
    </row>
    <row r="140" spans="11:13" x14ac:dyDescent="0.45">
      <c r="K140" s="74">
        <v>138</v>
      </c>
      <c r="L140" s="119">
        <v>2.4868995751603507E-14</v>
      </c>
      <c r="M140" s="117">
        <v>1595.138508654981</v>
      </c>
    </row>
    <row r="141" spans="11:13" x14ac:dyDescent="0.45">
      <c r="K141" s="74">
        <v>139</v>
      </c>
      <c r="L141" s="119">
        <v>7.5000000000000249</v>
      </c>
      <c r="M141" s="117">
        <v>1596.5356776030512</v>
      </c>
    </row>
    <row r="142" spans="11:13" x14ac:dyDescent="0.45">
      <c r="K142" s="74">
        <v>140</v>
      </c>
      <c r="L142" s="119">
        <v>-29.399999999999974</v>
      </c>
      <c r="M142" s="117">
        <v>1589.932463537433</v>
      </c>
    </row>
    <row r="143" spans="11:13" x14ac:dyDescent="0.45">
      <c r="K143" s="74">
        <v>141</v>
      </c>
      <c r="L143" s="119">
        <v>2.4868995751603507E-14</v>
      </c>
      <c r="M143" s="117">
        <v>1595.3028687562085</v>
      </c>
    </row>
    <row r="144" spans="11:13" x14ac:dyDescent="0.45">
      <c r="K144" s="74">
        <v>142</v>
      </c>
      <c r="L144" s="119">
        <v>8.9000000000000252</v>
      </c>
      <c r="M144" s="117">
        <v>1597.3050515436712</v>
      </c>
    </row>
    <row r="145" spans="11:13" x14ac:dyDescent="0.45">
      <c r="K145" s="74">
        <v>143</v>
      </c>
      <c r="L145" s="119">
        <v>45.700000000000024</v>
      </c>
      <c r="M145" s="117">
        <v>1604.3172212344091</v>
      </c>
    </row>
    <row r="146" spans="11:13" x14ac:dyDescent="0.45">
      <c r="K146" s="74">
        <v>144</v>
      </c>
      <c r="L146" s="119">
        <v>2.1316282072803006E-14</v>
      </c>
      <c r="M146" s="117">
        <v>1596.4373179070026</v>
      </c>
    </row>
    <row r="147" spans="11:13" x14ac:dyDescent="0.45">
      <c r="K147" s="74">
        <v>145</v>
      </c>
      <c r="L147" s="119">
        <v>22.100000000000023</v>
      </c>
      <c r="M147" s="117">
        <v>1600.8086939995605</v>
      </c>
    </row>
    <row r="148" spans="11:13" x14ac:dyDescent="0.45">
      <c r="K148" s="74">
        <v>146</v>
      </c>
      <c r="L148" s="119">
        <v>-5.4999999999999787</v>
      </c>
      <c r="M148" s="117">
        <v>1596.2078418355632</v>
      </c>
    </row>
    <row r="149" spans="11:13" x14ac:dyDescent="0.45">
      <c r="K149" s="74">
        <v>147</v>
      </c>
      <c r="L149" s="119">
        <v>2.1316282072803006E-14</v>
      </c>
      <c r="M149" s="117">
        <v>1597.5925947845499</v>
      </c>
    </row>
    <row r="150" spans="11:13" x14ac:dyDescent="0.45">
      <c r="K150" s="74">
        <v>148</v>
      </c>
      <c r="L150" s="119">
        <v>73.800000000000011</v>
      </c>
      <c r="M150" s="117">
        <v>1610.7890392158426</v>
      </c>
    </row>
    <row r="151" spans="11:13" x14ac:dyDescent="0.45">
      <c r="K151" s="74">
        <v>149</v>
      </c>
      <c r="L151" s="119">
        <v>21.70000000000001</v>
      </c>
      <c r="M151" s="117">
        <v>1601.2443049805477</v>
      </c>
    </row>
    <row r="152" spans="11:13" x14ac:dyDescent="0.45">
      <c r="K152" s="74">
        <v>150</v>
      </c>
      <c r="L152" s="119">
        <v>1.0658141036401503E-14</v>
      </c>
      <c r="M152" s="117">
        <v>1597.2288391506643</v>
      </c>
    </row>
    <row r="153" spans="11:13" x14ac:dyDescent="0.45">
      <c r="K153" s="74">
        <v>151</v>
      </c>
      <c r="L153" s="119">
        <v>31.20000000000001</v>
      </c>
      <c r="M153" s="117">
        <v>1602.7594661157602</v>
      </c>
    </row>
    <row r="154" spans="11:13" x14ac:dyDescent="0.45">
      <c r="K154" s="74">
        <v>152</v>
      </c>
      <c r="L154" s="119">
        <v>51.500000000000014</v>
      </c>
      <c r="M154" s="117">
        <v>1606.2949093190657</v>
      </c>
    </row>
    <row r="155" spans="11:13" x14ac:dyDescent="0.45">
      <c r="K155" s="74">
        <v>153</v>
      </c>
      <c r="L155" s="119">
        <v>1.4210854715202004E-14</v>
      </c>
      <c r="M155" s="117">
        <v>1596.8851398631514</v>
      </c>
    </row>
    <row r="156" spans="11:13" x14ac:dyDescent="0.45">
      <c r="K156" s="74">
        <v>154</v>
      </c>
      <c r="L156" s="119">
        <v>-39.299999999999983</v>
      </c>
      <c r="M156" s="117">
        <v>1590.2318290239725</v>
      </c>
    </row>
    <row r="157" spans="11:13" x14ac:dyDescent="0.45">
      <c r="K157" s="74">
        <v>155</v>
      </c>
      <c r="L157" s="119">
        <v>21.000000000000014</v>
      </c>
      <c r="M157" s="117">
        <v>1601.5464380498288</v>
      </c>
    </row>
    <row r="158" spans="11:13" x14ac:dyDescent="0.45">
      <c r="K158" s="74">
        <v>156</v>
      </c>
      <c r="L158" s="119">
        <v>1.4210854715202004E-14</v>
      </c>
      <c r="M158" s="117">
        <v>1598.1591594215299</v>
      </c>
    </row>
    <row r="159" spans="11:13" x14ac:dyDescent="0.45">
      <c r="K159" s="74">
        <v>157</v>
      </c>
      <c r="L159" s="119">
        <v>4.1000000000000139</v>
      </c>
      <c r="M159" s="117">
        <v>1599.1062044650007</v>
      </c>
    </row>
    <row r="160" spans="11:13" x14ac:dyDescent="0.45">
      <c r="K160" s="74">
        <v>158</v>
      </c>
      <c r="L160" s="119">
        <v>-36.199999999999982</v>
      </c>
      <c r="M160" s="117">
        <v>1592.0555672382106</v>
      </c>
    </row>
    <row r="161" spans="11:13" x14ac:dyDescent="0.45">
      <c r="K161" s="74">
        <v>159</v>
      </c>
      <c r="L161" s="119">
        <v>2.1316282072803006E-14</v>
      </c>
      <c r="M161" s="117">
        <v>1598.8172338347813</v>
      </c>
    </row>
    <row r="162" spans="11:13" x14ac:dyDescent="0.45">
      <c r="K162" s="74">
        <v>160</v>
      </c>
      <c r="L162" s="119">
        <v>69.700000000000017</v>
      </c>
      <c r="M162" s="117">
        <v>1611.2203304317727</v>
      </c>
    </row>
    <row r="163" spans="11:13" x14ac:dyDescent="0.45">
      <c r="K163" s="74">
        <v>161</v>
      </c>
      <c r="L163" s="119">
        <v>46.300000000000018</v>
      </c>
      <c r="M163" s="117">
        <v>1606.7910084491821</v>
      </c>
    </row>
    <row r="164" spans="11:13" x14ac:dyDescent="0.45">
      <c r="K164" s="74">
        <v>162</v>
      </c>
      <c r="L164" s="119">
        <v>2.1316282072803006E-14</v>
      </c>
      <c r="M164" s="117">
        <v>1598.266262398487</v>
      </c>
    </row>
    <row r="165" spans="11:13" x14ac:dyDescent="0.45">
      <c r="K165" s="74">
        <v>163</v>
      </c>
      <c r="L165" s="119">
        <v>20.500000000000021</v>
      </c>
      <c r="M165" s="117">
        <v>1601.8166648240961</v>
      </c>
    </row>
    <row r="166" spans="11:13" x14ac:dyDescent="0.45">
      <c r="K166" s="74">
        <v>164</v>
      </c>
      <c r="L166" s="119">
        <v>24.90000000000002</v>
      </c>
      <c r="M166" s="117">
        <v>1602.4477648351515</v>
      </c>
    </row>
    <row r="167" spans="11:13" x14ac:dyDescent="0.45">
      <c r="K167" s="74">
        <v>165</v>
      </c>
      <c r="L167" s="119">
        <v>2.1316282072803006E-14</v>
      </c>
      <c r="M167" s="117">
        <v>1597.8010782461406</v>
      </c>
    </row>
  </sheetData>
  <sortState xmlns:xlrd2="http://schemas.microsoft.com/office/spreadsheetml/2017/richdata2" ref="O15:R24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A4E7F-FA9C-4E27-97F8-F221A20F4388}">
  <sheetPr codeName="Sheet7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126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43</v>
      </c>
      <c r="C2" s="134"/>
      <c r="E2" s="26" t="s">
        <v>66</v>
      </c>
      <c r="F2" s="23" t="s">
        <v>22</v>
      </c>
      <c r="G2" s="11">
        <v>80</v>
      </c>
      <c r="H2" s="87">
        <f>IF(B$20=0,0,G2/B$20)</f>
        <v>0.73394495412844041</v>
      </c>
      <c r="I2" s="57">
        <v>8</v>
      </c>
      <c r="K2" s="73">
        <v>0</v>
      </c>
      <c r="L2" s="118">
        <v>0</v>
      </c>
      <c r="M2" s="116">
        <v>1842.3339395535957</v>
      </c>
      <c r="O2" s="73" t="s">
        <v>128</v>
      </c>
      <c r="P2" s="79">
        <f t="shared" ref="P2:P7" si="0">IF(Q2=0,0,R2/Q2)</f>
        <v>2290.6976744186045</v>
      </c>
      <c r="Q2" s="76">
        <v>43</v>
      </c>
      <c r="R2" s="63">
        <v>98500</v>
      </c>
    </row>
    <row r="3" spans="1:18" x14ac:dyDescent="0.45">
      <c r="A3" s="19" t="s">
        <v>8</v>
      </c>
      <c r="B3" s="135">
        <v>352</v>
      </c>
      <c r="C3" s="136"/>
      <c r="E3" s="27" t="s">
        <v>72</v>
      </c>
      <c r="F3" s="24" t="s">
        <v>27</v>
      </c>
      <c r="G3" s="12">
        <v>74</v>
      </c>
      <c r="H3" s="88">
        <f>IF(B$20=0,0,G3/B$20)</f>
        <v>0.67889908256880738</v>
      </c>
      <c r="I3" s="58">
        <v>4</v>
      </c>
      <c r="K3" s="74">
        <v>1</v>
      </c>
      <c r="L3" s="119">
        <v>20.9</v>
      </c>
      <c r="M3" s="117">
        <v>1844.041935916274</v>
      </c>
      <c r="O3" s="74" t="s">
        <v>129</v>
      </c>
      <c r="P3" s="80">
        <f t="shared" si="0"/>
        <v>-1787.8048780487804</v>
      </c>
      <c r="Q3" s="77">
        <v>41</v>
      </c>
      <c r="R3" s="64">
        <v>-73300</v>
      </c>
    </row>
    <row r="4" spans="1:18" x14ac:dyDescent="0.45">
      <c r="A4" s="19" t="s">
        <v>6</v>
      </c>
      <c r="B4" s="137">
        <v>70.999999999999972</v>
      </c>
      <c r="C4" s="138"/>
      <c r="E4" s="27" t="s">
        <v>64</v>
      </c>
      <c r="F4" s="24" t="s">
        <v>20</v>
      </c>
      <c r="G4" s="12">
        <v>46</v>
      </c>
      <c r="H4" s="88">
        <f>IF(B$20=0,0,G4/B$20)</f>
        <v>0.42201834862385323</v>
      </c>
      <c r="I4" s="58">
        <v>4</v>
      </c>
      <c r="K4" s="74">
        <v>2</v>
      </c>
      <c r="L4" s="119">
        <v>62.5</v>
      </c>
      <c r="M4" s="117">
        <v>1850.3176843007764</v>
      </c>
      <c r="O4" s="74" t="s">
        <v>130</v>
      </c>
      <c r="P4" s="80">
        <f t="shared" si="0"/>
        <v>-859.52380952380952</v>
      </c>
      <c r="Q4" s="77">
        <v>42</v>
      </c>
      <c r="R4" s="64">
        <v>-36100</v>
      </c>
    </row>
    <row r="5" spans="1:18" x14ac:dyDescent="0.45">
      <c r="A5" s="19" t="s">
        <v>7</v>
      </c>
      <c r="B5" s="125">
        <f>IF(B$2=0,0,B$4/B$2)</f>
        <v>1.6511627906976738</v>
      </c>
      <c r="C5" s="126"/>
      <c r="E5" s="27" t="s">
        <v>159</v>
      </c>
      <c r="F5" s="24" t="s">
        <v>160</v>
      </c>
      <c r="G5" s="12">
        <v>42</v>
      </c>
      <c r="H5" s="88">
        <f>IF(B$20=0,0,G5/B$20)</f>
        <v>0.38532110091743121</v>
      </c>
      <c r="I5" s="58">
        <v>4</v>
      </c>
      <c r="K5" s="74">
        <v>3</v>
      </c>
      <c r="L5" s="119">
        <v>40.5</v>
      </c>
      <c r="M5" s="117">
        <v>1844.9577781949718</v>
      </c>
      <c r="O5" s="74" t="s">
        <v>131</v>
      </c>
      <c r="P5" s="80">
        <f t="shared" si="0"/>
        <v>1346.1538461538462</v>
      </c>
      <c r="Q5" s="77">
        <v>39</v>
      </c>
      <c r="R5" s="64">
        <v>52500</v>
      </c>
    </row>
    <row r="6" spans="1:18" x14ac:dyDescent="0.45">
      <c r="A6" s="19" t="s">
        <v>196</v>
      </c>
      <c r="B6" s="129">
        <v>1798.2300903324488</v>
      </c>
      <c r="C6" s="130"/>
      <c r="E6" s="27" t="s">
        <v>68</v>
      </c>
      <c r="F6" s="24" t="s">
        <v>12</v>
      </c>
      <c r="G6" s="12">
        <v>35</v>
      </c>
      <c r="H6" s="88">
        <f>IF(B$20=0,0,G6/B$20)</f>
        <v>0.32110091743119268</v>
      </c>
      <c r="I6" s="58">
        <v>4</v>
      </c>
      <c r="K6" s="74">
        <v>4</v>
      </c>
      <c r="L6" s="119">
        <v>74.5</v>
      </c>
      <c r="M6" s="117">
        <v>1849.7340315258018</v>
      </c>
      <c r="O6" s="74" t="s">
        <v>132</v>
      </c>
      <c r="P6" s="80">
        <f t="shared" si="0"/>
        <v>-260</v>
      </c>
      <c r="Q6" s="77">
        <v>35</v>
      </c>
      <c r="R6" s="64">
        <v>-9100</v>
      </c>
    </row>
    <row r="7" spans="1:18" x14ac:dyDescent="0.45">
      <c r="A7" s="19" t="s">
        <v>1</v>
      </c>
      <c r="B7" s="139">
        <f>IF(B$2=0,0,(B$8*1+B$9*2+B$10*3)/B$2)</f>
        <v>2.0232558139534884</v>
      </c>
      <c r="C7" s="140"/>
      <c r="E7" s="27" t="s">
        <v>67</v>
      </c>
      <c r="F7" s="24" t="s">
        <v>23</v>
      </c>
      <c r="G7" s="12">
        <v>22</v>
      </c>
      <c r="H7" s="88">
        <f>IF(B$20=0,0,G7/B$20)</f>
        <v>0.20183486238532111</v>
      </c>
      <c r="I7" s="58">
        <v>7</v>
      </c>
      <c r="K7" s="74">
        <v>5</v>
      </c>
      <c r="L7" s="119">
        <v>123.5</v>
      </c>
      <c r="M7" s="117">
        <v>1857.1816273366469</v>
      </c>
      <c r="O7" s="75" t="s">
        <v>133</v>
      </c>
      <c r="P7" s="81">
        <f t="shared" si="0"/>
        <v>-1003.2258064516129</v>
      </c>
      <c r="Q7" s="78">
        <v>31</v>
      </c>
      <c r="R7" s="65">
        <v>-31100</v>
      </c>
    </row>
    <row r="8" spans="1:18" x14ac:dyDescent="0.45">
      <c r="A8" s="19" t="s">
        <v>2</v>
      </c>
      <c r="B8" s="12">
        <v>12</v>
      </c>
      <c r="C8" s="6">
        <f t="shared" ref="C8:C15" si="1">IF(B$2=0,0,B8/B$2)</f>
        <v>0.27906976744186046</v>
      </c>
      <c r="E8" s="27" t="s">
        <v>69</v>
      </c>
      <c r="F8" s="24" t="s">
        <v>24</v>
      </c>
      <c r="G8" s="12">
        <v>19</v>
      </c>
      <c r="H8" s="88">
        <f>IF(B$20=0,0,G8/B$20)</f>
        <v>0.1743119266055046</v>
      </c>
      <c r="I8" s="58">
        <v>2</v>
      </c>
      <c r="K8" s="74">
        <v>6</v>
      </c>
      <c r="L8" s="119">
        <v>111.9</v>
      </c>
      <c r="M8" s="117">
        <v>1853.544537572627</v>
      </c>
      <c r="O8" s="107"/>
      <c r="P8" s="85"/>
      <c r="Q8" s="108"/>
      <c r="R8" s="70"/>
    </row>
    <row r="9" spans="1:18" x14ac:dyDescent="0.45">
      <c r="A9" s="19" t="s">
        <v>3</v>
      </c>
      <c r="B9" s="12">
        <v>18</v>
      </c>
      <c r="C9" s="6">
        <f t="shared" si="1"/>
        <v>0.41860465116279072</v>
      </c>
      <c r="E9" s="27" t="s">
        <v>70</v>
      </c>
      <c r="F9" s="24" t="s">
        <v>25</v>
      </c>
      <c r="G9" s="12">
        <v>16</v>
      </c>
      <c r="H9" s="88">
        <f>IF(B$20=0,0,G9/B$20)</f>
        <v>0.14678899082568808</v>
      </c>
      <c r="I9" s="58">
        <v>2</v>
      </c>
      <c r="K9" s="74">
        <v>7</v>
      </c>
      <c r="L9" s="119">
        <v>103.7</v>
      </c>
      <c r="M9" s="117">
        <v>1850.5772703471912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13</v>
      </c>
      <c r="C10" s="7">
        <f t="shared" si="1"/>
        <v>0.30232558139534882</v>
      </c>
      <c r="E10" s="27" t="s">
        <v>89</v>
      </c>
      <c r="F10" s="24" t="s">
        <v>44</v>
      </c>
      <c r="G10" s="12">
        <v>16</v>
      </c>
      <c r="H10" s="88">
        <f>IF(B$20=0,0,G10/B$20)</f>
        <v>0.14678899082568808</v>
      </c>
      <c r="I10" s="58">
        <v>7</v>
      </c>
      <c r="K10" s="74">
        <v>8</v>
      </c>
      <c r="L10" s="119">
        <v>140.6</v>
      </c>
      <c r="M10" s="117">
        <v>1855.5298067251081</v>
      </c>
      <c r="O10" s="73" t="s">
        <v>151</v>
      </c>
      <c r="P10" s="82">
        <f>IF(Q10=0,0,R10/Q10)</f>
        <v>8.5599999999999987</v>
      </c>
      <c r="Q10" s="76">
        <v>15</v>
      </c>
      <c r="R10" s="67">
        <v>128.39999999999998</v>
      </c>
    </row>
    <row r="11" spans="1:18" x14ac:dyDescent="0.45">
      <c r="A11" s="20" t="s">
        <v>184</v>
      </c>
      <c r="B11" s="109">
        <f>IF(B8=0,0,C11/B8)</f>
        <v>40.675000000000004</v>
      </c>
      <c r="C11" s="110">
        <v>488.1</v>
      </c>
      <c r="E11" s="27" t="s">
        <v>65</v>
      </c>
      <c r="F11" s="24" t="s">
        <v>21</v>
      </c>
      <c r="G11" s="12">
        <v>10</v>
      </c>
      <c r="H11" s="88">
        <f>IF(B$20=0,0,G11/B$20)</f>
        <v>9.1743119266055051E-2</v>
      </c>
      <c r="I11" s="58">
        <v>5</v>
      </c>
      <c r="K11" s="74">
        <v>9</v>
      </c>
      <c r="L11" s="119">
        <v>127.8</v>
      </c>
      <c r="M11" s="117">
        <v>1851.5066278847573</v>
      </c>
      <c r="O11" s="74" t="s">
        <v>152</v>
      </c>
      <c r="P11" s="83">
        <f>IF(Q11=0,0,R11/Q11)</f>
        <v>-5.6058823529411761</v>
      </c>
      <c r="Q11" s="77">
        <v>17</v>
      </c>
      <c r="R11" s="68">
        <v>-95.3</v>
      </c>
    </row>
    <row r="12" spans="1:18" x14ac:dyDescent="0.45">
      <c r="A12" s="20" t="s">
        <v>185</v>
      </c>
      <c r="B12" s="109">
        <f>IF(B9=0,0,C12/B9)</f>
        <v>-4.05</v>
      </c>
      <c r="C12" s="110">
        <v>-72.899999999999991</v>
      </c>
      <c r="E12" s="27" t="s">
        <v>83</v>
      </c>
      <c r="F12" s="24" t="s">
        <v>38</v>
      </c>
      <c r="G12" s="12">
        <v>6</v>
      </c>
      <c r="H12" s="88">
        <f>IF(B$20=0,0,G12/B$20)</f>
        <v>5.5045871559633031E-2</v>
      </c>
      <c r="I12" s="58">
        <v>2</v>
      </c>
      <c r="K12" s="74">
        <v>10</v>
      </c>
      <c r="L12" s="119">
        <v>134.4</v>
      </c>
      <c r="M12" s="117">
        <v>1851.6115881174487</v>
      </c>
      <c r="O12" s="75" t="s">
        <v>153</v>
      </c>
      <c r="P12" s="84">
        <f>IF(Q12=0,0,R12/Q12)</f>
        <v>3.4454545454545458</v>
      </c>
      <c r="Q12" s="78">
        <v>11</v>
      </c>
      <c r="R12" s="69">
        <v>37.900000000000006</v>
      </c>
    </row>
    <row r="13" spans="1:18" x14ac:dyDescent="0.45">
      <c r="A13" s="20" t="s">
        <v>186</v>
      </c>
      <c r="B13" s="109">
        <f>IF(B10=0,0,C13/B10)</f>
        <v>-26.476923076923075</v>
      </c>
      <c r="C13" s="110">
        <v>-344.2</v>
      </c>
      <c r="E13" s="27" t="s">
        <v>155</v>
      </c>
      <c r="F13" s="24" t="s">
        <v>156</v>
      </c>
      <c r="G13" s="12">
        <v>6</v>
      </c>
      <c r="H13" s="88">
        <f>IF(B$20=0,0,G13/B$20)</f>
        <v>5.5045871559633031E-2</v>
      </c>
      <c r="I13" s="58">
        <v>1</v>
      </c>
      <c r="K13" s="74">
        <v>11</v>
      </c>
      <c r="L13" s="119">
        <v>212.4</v>
      </c>
      <c r="M13" s="117">
        <v>1864.5679185887441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3.3826923076923108</v>
      </c>
      <c r="C14" s="126"/>
      <c r="E14" s="27" t="s">
        <v>71</v>
      </c>
      <c r="F14" s="24" t="s">
        <v>26</v>
      </c>
      <c r="G14" s="12">
        <v>5</v>
      </c>
      <c r="H14" s="88">
        <f>IF(B$20=0,0,G14/B$20)</f>
        <v>4.5871559633027525E-2</v>
      </c>
      <c r="I14" s="58">
        <v>5</v>
      </c>
      <c r="K14" s="74">
        <v>12</v>
      </c>
      <c r="L14" s="119">
        <v>239</v>
      </c>
      <c r="M14" s="117">
        <v>1867.8345110772116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2</v>
      </c>
      <c r="C15" s="9">
        <f t="shared" si="1"/>
        <v>4.6511627906976744E-2</v>
      </c>
      <c r="E15" s="27" t="s">
        <v>86</v>
      </c>
      <c r="F15" s="24" t="s">
        <v>41</v>
      </c>
      <c r="G15" s="12">
        <v>4</v>
      </c>
      <c r="H15" s="88">
        <f>IF(B$20=0,0,G15/B$20)</f>
        <v>3.669724770642202E-2</v>
      </c>
      <c r="I15" s="58">
        <v>6</v>
      </c>
      <c r="K15" s="74">
        <v>13</v>
      </c>
      <c r="L15" s="119">
        <v>236</v>
      </c>
      <c r="M15" s="117">
        <v>1865.6935040107483</v>
      </c>
      <c r="O15" s="73" t="s">
        <v>195</v>
      </c>
      <c r="P15" s="82">
        <f>IF(Q15=0,0,R15/Q15)</f>
        <v>33.85</v>
      </c>
      <c r="Q15" s="76">
        <v>4</v>
      </c>
      <c r="R15" s="67">
        <v>135.4</v>
      </c>
    </row>
    <row r="16" spans="1:18" x14ac:dyDescent="0.45">
      <c r="A16" s="22" t="s">
        <v>121</v>
      </c>
      <c r="B16" s="15">
        <v>91</v>
      </c>
      <c r="C16" s="10">
        <f>IF(B$3=0,0,B16/B$3)</f>
        <v>0.25852272727272729</v>
      </c>
      <c r="E16" s="27" t="s">
        <v>81</v>
      </c>
      <c r="F16" s="24" t="s">
        <v>36</v>
      </c>
      <c r="G16" s="12">
        <v>3</v>
      </c>
      <c r="H16" s="88">
        <f>IF(B$20=0,0,G16/B$20)</f>
        <v>2.7522935779816515E-2</v>
      </c>
      <c r="I16" s="58">
        <v>7</v>
      </c>
      <c r="K16" s="74">
        <v>14</v>
      </c>
      <c r="L16" s="119">
        <v>222</v>
      </c>
      <c r="M16" s="117">
        <v>1861.6993429866839</v>
      </c>
      <c r="O16" s="74" t="s">
        <v>193</v>
      </c>
      <c r="P16" s="83">
        <f>IF(Q16=0,0,R16/Q16)</f>
        <v>28.9</v>
      </c>
      <c r="Q16" s="77">
        <v>2</v>
      </c>
      <c r="R16" s="68">
        <v>57.8</v>
      </c>
    </row>
    <row r="17" spans="1:18" x14ac:dyDescent="0.45">
      <c r="A17" s="19" t="s">
        <v>118</v>
      </c>
      <c r="B17" s="12">
        <v>79</v>
      </c>
      <c r="C17" s="6">
        <f>IF(B$3=0,0,B17/B$3)</f>
        <v>0.22443181818181818</v>
      </c>
      <c r="E17" s="27" t="s">
        <v>91</v>
      </c>
      <c r="F17" s="24" t="s">
        <v>46</v>
      </c>
      <c r="G17" s="12">
        <v>3</v>
      </c>
      <c r="H17" s="88">
        <f>IF(B$20=0,0,G17/B$20)</f>
        <v>2.7522935779816515E-2</v>
      </c>
      <c r="I17" s="58">
        <v>3</v>
      </c>
      <c r="K17" s="74">
        <v>15</v>
      </c>
      <c r="L17" s="119">
        <v>190.9</v>
      </c>
      <c r="M17" s="117">
        <v>1854.6511469287639</v>
      </c>
      <c r="O17" s="74" t="s">
        <v>163</v>
      </c>
      <c r="P17" s="83">
        <f>IF(Q17=0,0,R17/Q17)</f>
        <v>17.438461538461542</v>
      </c>
      <c r="Q17" s="77">
        <v>13</v>
      </c>
      <c r="R17" s="68">
        <v>226.70000000000005</v>
      </c>
    </row>
    <row r="18" spans="1:18" x14ac:dyDescent="0.45">
      <c r="A18" s="18" t="s">
        <v>123</v>
      </c>
      <c r="B18" s="11">
        <f>B24</f>
        <v>52</v>
      </c>
      <c r="C18" s="5">
        <f>IF(B$16=0,0,B18/B$16)</f>
        <v>0.5714285714285714</v>
      </c>
      <c r="E18" s="27" t="s">
        <v>78</v>
      </c>
      <c r="F18" s="24" t="s">
        <v>33</v>
      </c>
      <c r="G18" s="12">
        <v>2</v>
      </c>
      <c r="H18" s="88">
        <f>IF(B$20=0,0,G18/B$20)</f>
        <v>1.834862385321101E-2</v>
      </c>
      <c r="I18" s="58">
        <v>6</v>
      </c>
      <c r="K18" s="74">
        <v>16</v>
      </c>
      <c r="L18" s="119">
        <v>164.20000000000002</v>
      </c>
      <c r="M18" s="117">
        <v>1848.4372400471914</v>
      </c>
      <c r="O18" s="74" t="s">
        <v>190</v>
      </c>
      <c r="P18" s="83">
        <f>IF(Q18=0,0,R18/Q18)</f>
        <v>12.162499999999998</v>
      </c>
      <c r="Q18" s="77">
        <v>8</v>
      </c>
      <c r="R18" s="68">
        <v>97.299999999999983</v>
      </c>
    </row>
    <row r="19" spans="1:18" x14ac:dyDescent="0.45">
      <c r="A19" s="18" t="s">
        <v>124</v>
      </c>
      <c r="B19" s="11">
        <f>B25</f>
        <v>35</v>
      </c>
      <c r="C19" s="5">
        <f>IF(B$17=0,0,B19/B$17)</f>
        <v>0.44303797468354428</v>
      </c>
      <c r="E19" s="27" t="s">
        <v>73</v>
      </c>
      <c r="F19" s="24" t="s">
        <v>28</v>
      </c>
      <c r="G19" s="12">
        <v>1</v>
      </c>
      <c r="H19" s="88">
        <f>IF(B$20=0,0,G19/B$20)</f>
        <v>9.1743119266055051E-3</v>
      </c>
      <c r="I19" s="58">
        <v>4</v>
      </c>
      <c r="K19" s="74">
        <v>17</v>
      </c>
      <c r="L19" s="119">
        <v>164.3</v>
      </c>
      <c r="M19" s="117">
        <v>1846.8986166069083</v>
      </c>
      <c r="O19" s="74" t="s">
        <v>216</v>
      </c>
      <c r="P19" s="83">
        <f>IF(Q19=0,0,R19/Q19)</f>
        <v>-1.8500000000000005</v>
      </c>
      <c r="Q19" s="77">
        <v>8</v>
      </c>
      <c r="R19" s="68">
        <v>-14.800000000000004</v>
      </c>
    </row>
    <row r="20" spans="1:18" x14ac:dyDescent="0.45">
      <c r="A20" s="18" t="s">
        <v>10</v>
      </c>
      <c r="B20" s="11">
        <f>B23+B22</f>
        <v>109</v>
      </c>
      <c r="C20" s="5">
        <f>IF(B$3=0,0,B20/B$3)</f>
        <v>0.30965909090909088</v>
      </c>
      <c r="E20" s="27" t="s">
        <v>79</v>
      </c>
      <c r="F20" s="24" t="s">
        <v>34</v>
      </c>
      <c r="G20" s="12">
        <v>1</v>
      </c>
      <c r="H20" s="88">
        <f>IF(B$20=0,0,G20/B$20)</f>
        <v>9.1743119266055051E-3</v>
      </c>
      <c r="I20" s="58">
        <v>6</v>
      </c>
      <c r="K20" s="74">
        <v>18</v>
      </c>
      <c r="L20" s="119">
        <v>188.9</v>
      </c>
      <c r="M20" s="117">
        <v>1849.7792249072668</v>
      </c>
      <c r="O20" s="74" t="s">
        <v>189</v>
      </c>
      <c r="P20" s="83">
        <f>IF(Q20=0,0,R20/Q20)</f>
        <v>-2.7066666666666661</v>
      </c>
      <c r="Q20" s="77">
        <v>15</v>
      </c>
      <c r="R20" s="68">
        <v>-40.599999999999994</v>
      </c>
    </row>
    <row r="21" spans="1:18" x14ac:dyDescent="0.45">
      <c r="A21" s="19" t="s">
        <v>13</v>
      </c>
      <c r="B21" s="12">
        <v>62</v>
      </c>
      <c r="C21" s="6">
        <f>IF(B$3=0,0,B21/B$3)</f>
        <v>0.17613636363636365</v>
      </c>
      <c r="E21" s="27" t="s">
        <v>85</v>
      </c>
      <c r="F21" s="24" t="s">
        <v>40</v>
      </c>
      <c r="G21" s="12">
        <v>1</v>
      </c>
      <c r="H21" s="88">
        <f>IF(B$20=0,0,G21/B$20)</f>
        <v>9.1743119266055051E-3</v>
      </c>
      <c r="I21" s="58">
        <v>3</v>
      </c>
      <c r="K21" s="74">
        <v>19</v>
      </c>
      <c r="L21" s="119">
        <v>174.6</v>
      </c>
      <c r="M21" s="117">
        <v>1845.7365495578231</v>
      </c>
      <c r="O21" s="74" t="s">
        <v>211</v>
      </c>
      <c r="P21" s="83">
        <f>IF(Q21=0,0,R21/Q21)</f>
        <v>-2.9153846153846148</v>
      </c>
      <c r="Q21" s="77">
        <v>13</v>
      </c>
      <c r="R21" s="68">
        <v>-37.899999999999991</v>
      </c>
    </row>
    <row r="22" spans="1:18" x14ac:dyDescent="0.45">
      <c r="A22" s="19" t="s">
        <v>12</v>
      </c>
      <c r="B22" s="12">
        <v>51</v>
      </c>
      <c r="C22" s="6">
        <f>IF(B$20=0,0,B22/B$20)</f>
        <v>0.46788990825688076</v>
      </c>
      <c r="E22" s="27" t="s">
        <v>92</v>
      </c>
      <c r="F22" s="24" t="s">
        <v>47</v>
      </c>
      <c r="G22" s="12">
        <v>1</v>
      </c>
      <c r="H22" s="88">
        <f>IF(B$20=0,0,G22/B$20)</f>
        <v>9.1743119266055051E-3</v>
      </c>
      <c r="I22" s="58">
        <v>1</v>
      </c>
      <c r="K22" s="74">
        <v>20</v>
      </c>
      <c r="L22" s="119">
        <v>154.5</v>
      </c>
      <c r="M22" s="117">
        <v>1840.6741302604762</v>
      </c>
      <c r="O22" s="74" t="s">
        <v>192</v>
      </c>
      <c r="P22" s="83">
        <f>IF(Q22=0,0,R22/Q22)</f>
        <v>-9.1695652173913089</v>
      </c>
      <c r="Q22" s="77">
        <v>23</v>
      </c>
      <c r="R22" s="68">
        <v>-210.90000000000009</v>
      </c>
    </row>
    <row r="23" spans="1:18" x14ac:dyDescent="0.45">
      <c r="A23" s="19" t="s">
        <v>11</v>
      </c>
      <c r="B23" s="12">
        <v>58</v>
      </c>
      <c r="C23" s="6">
        <f>IF(B$20=0,0,B23/B$20)</f>
        <v>0.5321100917431193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131</v>
      </c>
      <c r="M23" s="117">
        <v>1835.0300854789134</v>
      </c>
    </row>
    <row r="24" spans="1:18" x14ac:dyDescent="0.45">
      <c r="A24" s="19" t="s">
        <v>183</v>
      </c>
      <c r="B24" s="12">
        <v>52</v>
      </c>
      <c r="C24" s="6">
        <f>IF(B$20=0,0,B24/B$20)</f>
        <v>0.47706422018348627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3</v>
      </c>
      <c r="K24" s="74">
        <v>22</v>
      </c>
      <c r="L24" s="119">
        <v>106.3</v>
      </c>
      <c r="M24" s="117">
        <v>1829.4799049660398</v>
      </c>
    </row>
    <row r="25" spans="1:18" x14ac:dyDescent="0.45">
      <c r="A25" s="19" t="s">
        <v>181</v>
      </c>
      <c r="B25" s="12">
        <v>35</v>
      </c>
      <c r="C25" s="6">
        <f>IF(B$20=0,0,B25/B$20)</f>
        <v>0.32110091743119268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119.39999999999999</v>
      </c>
      <c r="M25" s="117">
        <v>1830.7670255362436</v>
      </c>
    </row>
    <row r="26" spans="1:18" x14ac:dyDescent="0.45">
      <c r="A26" s="19" t="s">
        <v>182</v>
      </c>
      <c r="B26" s="12">
        <v>22</v>
      </c>
      <c r="C26" s="6">
        <f>IF(B$20=0,0,B26/B$20)</f>
        <v>0.20183486238532111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3</v>
      </c>
      <c r="K26" s="74">
        <v>24</v>
      </c>
      <c r="L26" s="119">
        <v>111.19999999999999</v>
      </c>
      <c r="M26" s="117">
        <v>1828.2124233830261</v>
      </c>
    </row>
    <row r="27" spans="1:18" x14ac:dyDescent="0.45">
      <c r="A27" s="19" t="s">
        <v>5</v>
      </c>
      <c r="B27" s="16">
        <f>IF(B$20=0,0,C27/B$20)</f>
        <v>8603.6697247706416</v>
      </c>
      <c r="C27" s="8">
        <v>937800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157.69999999999999</v>
      </c>
      <c r="M27" s="117">
        <v>1835.351148842728</v>
      </c>
    </row>
    <row r="28" spans="1:18" x14ac:dyDescent="0.45">
      <c r="A28" s="20" t="s">
        <v>165</v>
      </c>
      <c r="B28" s="95">
        <f>IF($B$20-B$19=0,0,C28/($B$20-B$19))</f>
        <v>8990.54054054054</v>
      </c>
      <c r="C28" s="96">
        <v>665300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216.2</v>
      </c>
      <c r="M28" s="117">
        <v>1844.4750419496715</v>
      </c>
    </row>
    <row r="29" spans="1:18" x14ac:dyDescent="0.45">
      <c r="A29" s="20" t="s">
        <v>166</v>
      </c>
      <c r="B29" s="95">
        <f>IF(B$19=0,0,C29/B$19)</f>
        <v>7785.7142857142853</v>
      </c>
      <c r="C29" s="96">
        <v>272500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200.6</v>
      </c>
      <c r="M29" s="117">
        <v>1840.2061916979735</v>
      </c>
    </row>
    <row r="30" spans="1:18" x14ac:dyDescent="0.45">
      <c r="A30" s="20" t="s">
        <v>164</v>
      </c>
      <c r="B30" s="95">
        <f>IF(B$21=0,0,C30/B$21)</f>
        <v>-6527.4193548387093</v>
      </c>
      <c r="C30" s="96">
        <v>-404700</v>
      </c>
      <c r="E30" s="27" t="s">
        <v>87</v>
      </c>
      <c r="F30" s="24" t="s">
        <v>42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183.9</v>
      </c>
      <c r="M30" s="117">
        <v>1835.7649545477857</v>
      </c>
    </row>
    <row r="31" spans="1:18" x14ac:dyDescent="0.45">
      <c r="A31" s="19" t="s">
        <v>157</v>
      </c>
      <c r="B31" s="12">
        <v>6</v>
      </c>
      <c r="C31" s="90">
        <v>0</v>
      </c>
      <c r="E31" s="27" t="s">
        <v>88</v>
      </c>
      <c r="F31" s="24" t="s">
        <v>43</v>
      </c>
      <c r="G31" s="12">
        <v>0</v>
      </c>
      <c r="H31" s="88">
        <f>IF(B$20=0,0,G31/B$20)</f>
        <v>0</v>
      </c>
      <c r="I31" s="58">
        <v>5</v>
      </c>
      <c r="K31" s="74">
        <v>29</v>
      </c>
      <c r="L31" s="119">
        <v>179.3</v>
      </c>
      <c r="M31" s="117">
        <v>1833.780364820499</v>
      </c>
    </row>
    <row r="32" spans="1:18" x14ac:dyDescent="0.45">
      <c r="A32" s="19" t="s">
        <v>158</v>
      </c>
      <c r="B32" s="12">
        <v>17</v>
      </c>
      <c r="C32" s="90">
        <v>0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211.20000000000002</v>
      </c>
      <c r="M32" s="117">
        <v>1838.4916826315759</v>
      </c>
    </row>
    <row r="33" spans="1:13" x14ac:dyDescent="0.45">
      <c r="A33" s="54" t="s">
        <v>136</v>
      </c>
      <c r="B33" s="127">
        <v>6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213.3</v>
      </c>
      <c r="M33" s="117">
        <v>1837.8107325357864</v>
      </c>
    </row>
    <row r="34" spans="1:13" x14ac:dyDescent="0.45">
      <c r="A34" s="22" t="s">
        <v>180</v>
      </c>
      <c r="B34" s="129">
        <v>103000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163.60000000000002</v>
      </c>
      <c r="M34" s="117">
        <v>1827.5878681405718</v>
      </c>
    </row>
    <row r="35" spans="1:13" x14ac:dyDescent="0.45">
      <c r="A35" s="21" t="s">
        <v>137</v>
      </c>
      <c r="B35" s="29">
        <v>1</v>
      </c>
      <c r="C35" s="9">
        <f>IF(B$3=0,0,B35/B$3)</f>
        <v>2.840909090909091E-3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162.60000000000002</v>
      </c>
      <c r="M35" s="117">
        <v>1826.1923409317283</v>
      </c>
    </row>
    <row r="36" spans="1:13" x14ac:dyDescent="0.45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202.20000000000002</v>
      </c>
      <c r="M36" s="117">
        <v>1832.113186886138</v>
      </c>
    </row>
    <row r="37" spans="1:13" x14ac:dyDescent="0.45">
      <c r="A37" s="54" t="s">
        <v>171</v>
      </c>
      <c r="B37" s="123">
        <v>5</v>
      </c>
      <c r="C37" s="98">
        <f t="shared" ref="C37:C49" si="2">IF(B$20=0,0,B37/B$20)</f>
        <v>4.5871559633027525E-2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196.8</v>
      </c>
      <c r="M37" s="117">
        <v>1829.8985077648213</v>
      </c>
    </row>
    <row r="38" spans="1:13" x14ac:dyDescent="0.45">
      <c r="A38" s="19" t="s">
        <v>167</v>
      </c>
      <c r="B38" s="12">
        <v>17</v>
      </c>
      <c r="C38" s="6">
        <f t="shared" si="2"/>
        <v>0.15596330275229359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199.5</v>
      </c>
      <c r="M38" s="117">
        <v>1829.0231167182324</v>
      </c>
    </row>
    <row r="39" spans="1:13" x14ac:dyDescent="0.45">
      <c r="A39" s="19" t="s">
        <v>168</v>
      </c>
      <c r="B39" s="124">
        <v>28</v>
      </c>
      <c r="C39" s="6">
        <f t="shared" si="2"/>
        <v>0.25688073394495414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162.6</v>
      </c>
      <c r="M39" s="117">
        <v>1821.0249780179229</v>
      </c>
    </row>
    <row r="40" spans="1:13" x14ac:dyDescent="0.45">
      <c r="A40" s="19" t="s">
        <v>169</v>
      </c>
      <c r="B40" s="124">
        <v>14</v>
      </c>
      <c r="C40" s="6">
        <f t="shared" si="2"/>
        <v>0.12844036697247707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116.89999999999999</v>
      </c>
      <c r="M40" s="117">
        <v>1811.8448281498154</v>
      </c>
    </row>
    <row r="41" spans="1:13" x14ac:dyDescent="0.45">
      <c r="A41" s="19" t="s">
        <v>170</v>
      </c>
      <c r="B41" s="124">
        <v>17</v>
      </c>
      <c r="C41" s="6">
        <f t="shared" si="2"/>
        <v>0.15596330275229359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89.299999999999983</v>
      </c>
      <c r="M41" s="117">
        <v>1805.9777591809166</v>
      </c>
    </row>
    <row r="42" spans="1:13" x14ac:dyDescent="0.45">
      <c r="A42" s="19" t="s">
        <v>172</v>
      </c>
      <c r="B42" s="124">
        <v>15</v>
      </c>
      <c r="C42" s="6">
        <f t="shared" si="2"/>
        <v>0.13761467889908258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67.59999999999998</v>
      </c>
      <c r="M42" s="117">
        <v>1800.733892625831</v>
      </c>
    </row>
    <row r="43" spans="1:13" x14ac:dyDescent="0.45">
      <c r="A43" s="19" t="s">
        <v>173</v>
      </c>
      <c r="B43" s="124">
        <v>7</v>
      </c>
      <c r="C43" s="6">
        <f t="shared" si="2"/>
        <v>6.4220183486238536E-2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87.899999999999977</v>
      </c>
      <c r="M43" s="117">
        <v>1803.081489270076</v>
      </c>
    </row>
    <row r="44" spans="1:13" x14ac:dyDescent="0.45">
      <c r="A44" s="19" t="s">
        <v>174</v>
      </c>
      <c r="B44" s="124">
        <v>1</v>
      </c>
      <c r="C44" s="6">
        <f t="shared" si="2"/>
        <v>9.1743119266055051E-3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66.899999999999977</v>
      </c>
      <c r="M44" s="117">
        <v>1798.4850003344554</v>
      </c>
    </row>
    <row r="45" spans="1:13" x14ac:dyDescent="0.45">
      <c r="A45" s="19" t="s">
        <v>175</v>
      </c>
      <c r="B45" s="124">
        <v>2</v>
      </c>
      <c r="C45" s="6">
        <f t="shared" si="2"/>
        <v>1.834862385321101E-2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70.999999999999972</v>
      </c>
      <c r="M45" s="117">
        <v>1798.2300903324488</v>
      </c>
    </row>
    <row r="46" spans="1:13" x14ac:dyDescent="0.45">
      <c r="A46" s="19" t="s">
        <v>176</v>
      </c>
      <c r="B46" s="124">
        <v>1</v>
      </c>
      <c r="C46" s="6">
        <f t="shared" si="2"/>
        <v>9.1743119266055051E-3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</row>
    <row r="47" spans="1:13" x14ac:dyDescent="0.45">
      <c r="A47" s="19" t="s">
        <v>177</v>
      </c>
      <c r="B47" s="124">
        <v>1</v>
      </c>
      <c r="C47" s="6">
        <f t="shared" si="2"/>
        <v>9.1743119266055051E-3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13" x14ac:dyDescent="0.45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1</v>
      </c>
      <c r="C49" s="9">
        <f t="shared" si="2"/>
        <v>9.1743119266055051E-3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2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B57C2-DBCF-4F24-8F8C-26919C3789F2}">
  <sheetPr codeName="Sheet9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163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17</v>
      </c>
      <c r="C2" s="134"/>
      <c r="E2" s="26" t="s">
        <v>66</v>
      </c>
      <c r="F2" s="23" t="s">
        <v>22</v>
      </c>
      <c r="G2" s="11">
        <v>42</v>
      </c>
      <c r="H2" s="87">
        <f>IF(B$20=0,0,G2/B$20)</f>
        <v>1</v>
      </c>
      <c r="I2" s="57">
        <v>2</v>
      </c>
      <c r="K2" s="73">
        <v>0</v>
      </c>
      <c r="L2" s="118">
        <v>0</v>
      </c>
      <c r="M2" s="116">
        <v>1653.1699313523677</v>
      </c>
      <c r="O2" s="73" t="s">
        <v>128</v>
      </c>
      <c r="P2" s="79">
        <f t="shared" ref="P2:P7" si="0">IF(Q2=0,0,R2/Q2)</f>
        <v>2882.3529411764707</v>
      </c>
      <c r="Q2" s="76">
        <v>17</v>
      </c>
      <c r="R2" s="63">
        <v>49000</v>
      </c>
    </row>
    <row r="3" spans="1:18" x14ac:dyDescent="0.45">
      <c r="A3" s="19" t="s">
        <v>8</v>
      </c>
      <c r="B3" s="135">
        <v>149</v>
      </c>
      <c r="C3" s="136"/>
      <c r="E3" s="27" t="s">
        <v>72</v>
      </c>
      <c r="F3" s="24" t="s">
        <v>27</v>
      </c>
      <c r="G3" s="12">
        <v>22</v>
      </c>
      <c r="H3" s="88">
        <f>IF(B$20=0,0,G3/B$20)</f>
        <v>0.52380952380952384</v>
      </c>
      <c r="I3" s="58">
        <v>9</v>
      </c>
      <c r="K3" s="74">
        <v>1</v>
      </c>
      <c r="L3" s="119">
        <v>-31</v>
      </c>
      <c r="M3" s="117">
        <v>1646.6709117642536</v>
      </c>
      <c r="O3" s="74" t="s">
        <v>129</v>
      </c>
      <c r="P3" s="80">
        <f t="shared" si="0"/>
        <v>-406.25</v>
      </c>
      <c r="Q3" s="77">
        <v>16</v>
      </c>
      <c r="R3" s="64">
        <v>-6500</v>
      </c>
    </row>
    <row r="4" spans="1:18" x14ac:dyDescent="0.45">
      <c r="A4" s="19" t="s">
        <v>6</v>
      </c>
      <c r="B4" s="137">
        <v>-91.000000000000014</v>
      </c>
      <c r="C4" s="138"/>
      <c r="E4" s="27" t="s">
        <v>159</v>
      </c>
      <c r="F4" s="24" t="s">
        <v>160</v>
      </c>
      <c r="G4" s="12">
        <v>17</v>
      </c>
      <c r="H4" s="88">
        <f>IF(B$20=0,0,G4/B$20)</f>
        <v>0.40476190476190477</v>
      </c>
      <c r="I4" s="58">
        <v>3</v>
      </c>
      <c r="K4" s="74">
        <v>2</v>
      </c>
      <c r="L4" s="119">
        <v>-98.9</v>
      </c>
      <c r="M4" s="117">
        <v>1634.420886293668</v>
      </c>
      <c r="O4" s="74" t="s">
        <v>130</v>
      </c>
      <c r="P4" s="80">
        <f t="shared" si="0"/>
        <v>-1618.75</v>
      </c>
      <c r="Q4" s="77">
        <v>16</v>
      </c>
      <c r="R4" s="64">
        <v>-25900</v>
      </c>
    </row>
    <row r="5" spans="1:18" x14ac:dyDescent="0.45">
      <c r="A5" s="19" t="s">
        <v>7</v>
      </c>
      <c r="B5" s="125">
        <f>IF(B$2=0,0,B$4/B$2)</f>
        <v>-5.3529411764705888</v>
      </c>
      <c r="C5" s="126"/>
      <c r="E5" s="27" t="s">
        <v>64</v>
      </c>
      <c r="F5" s="24" t="s">
        <v>20</v>
      </c>
      <c r="G5" s="12">
        <v>16</v>
      </c>
      <c r="H5" s="88">
        <f>IF(B$20=0,0,G5/B$20)</f>
        <v>0.38095238095238093</v>
      </c>
      <c r="I5" s="58">
        <v>7</v>
      </c>
      <c r="K5" s="74">
        <v>3</v>
      </c>
      <c r="L5" s="119">
        <v>-65.300000000000011</v>
      </c>
      <c r="M5" s="117">
        <v>1639.914360975906</v>
      </c>
      <c r="O5" s="74" t="s">
        <v>131</v>
      </c>
      <c r="P5" s="80">
        <f t="shared" si="0"/>
        <v>1466.6666666666667</v>
      </c>
      <c r="Q5" s="77">
        <v>15</v>
      </c>
      <c r="R5" s="64">
        <v>22000</v>
      </c>
    </row>
    <row r="6" spans="1:18" x14ac:dyDescent="0.45">
      <c r="A6" s="19" t="s">
        <v>196</v>
      </c>
      <c r="B6" s="129">
        <v>1635.9985155013371</v>
      </c>
      <c r="C6" s="130"/>
      <c r="E6" s="27" t="s">
        <v>68</v>
      </c>
      <c r="F6" s="24" t="s">
        <v>12</v>
      </c>
      <c r="G6" s="12">
        <v>14</v>
      </c>
      <c r="H6" s="88">
        <f>IF(B$20=0,0,G6/B$20)</f>
        <v>0.33333333333333331</v>
      </c>
      <c r="I6" s="58">
        <v>3</v>
      </c>
      <c r="K6" s="74">
        <v>4</v>
      </c>
      <c r="L6" s="119">
        <v>-99.700000000000017</v>
      </c>
      <c r="M6" s="117">
        <v>1633.1348748100506</v>
      </c>
      <c r="O6" s="74" t="s">
        <v>132</v>
      </c>
      <c r="P6" s="80">
        <f t="shared" si="0"/>
        <v>-2408.3333333333335</v>
      </c>
      <c r="Q6" s="77">
        <v>12</v>
      </c>
      <c r="R6" s="64">
        <v>-28900</v>
      </c>
    </row>
    <row r="7" spans="1:18" x14ac:dyDescent="0.45">
      <c r="A7" s="19" t="s">
        <v>1</v>
      </c>
      <c r="B7" s="139">
        <f>IF(B$2=0,0,(B$8*1+B$9*2+B$10*3)/B$2)</f>
        <v>2.1176470588235294</v>
      </c>
      <c r="C7" s="140"/>
      <c r="E7" s="27" t="s">
        <v>67</v>
      </c>
      <c r="F7" s="24" t="s">
        <v>23</v>
      </c>
      <c r="G7" s="12">
        <v>8</v>
      </c>
      <c r="H7" s="88">
        <f>IF(B$20=0,0,G7/B$20)</f>
        <v>0.19047619047619047</v>
      </c>
      <c r="I7" s="58">
        <v>8</v>
      </c>
      <c r="K7" s="74">
        <v>5</v>
      </c>
      <c r="L7" s="119">
        <v>-132.90000000000003</v>
      </c>
      <c r="M7" s="117">
        <v>1627.3860655611904</v>
      </c>
      <c r="O7" s="75" t="s">
        <v>133</v>
      </c>
      <c r="P7" s="81">
        <f t="shared" si="0"/>
        <v>-620</v>
      </c>
      <c r="Q7" s="78">
        <v>10</v>
      </c>
      <c r="R7" s="65">
        <v>-6200</v>
      </c>
    </row>
    <row r="8" spans="1:18" x14ac:dyDescent="0.45">
      <c r="A8" s="19" t="s">
        <v>2</v>
      </c>
      <c r="B8" s="12">
        <v>6</v>
      </c>
      <c r="C8" s="6">
        <f t="shared" ref="C8:C15" si="1">IF(B$2=0,0,B8/B$2)</f>
        <v>0.35294117647058826</v>
      </c>
      <c r="E8" s="27" t="s">
        <v>89</v>
      </c>
      <c r="F8" s="24" t="s">
        <v>44</v>
      </c>
      <c r="G8" s="12">
        <v>8</v>
      </c>
      <c r="H8" s="88">
        <f>IF(B$20=0,0,G8/B$20)</f>
        <v>0.19047619047619047</v>
      </c>
      <c r="I8" s="58">
        <v>4</v>
      </c>
      <c r="K8" s="74">
        <v>6</v>
      </c>
      <c r="L8" s="119">
        <v>-182.90000000000003</v>
      </c>
      <c r="M8" s="117">
        <v>1618.6477491678233</v>
      </c>
      <c r="O8" s="107"/>
      <c r="P8" s="85"/>
      <c r="Q8" s="108"/>
      <c r="R8" s="70"/>
    </row>
    <row r="9" spans="1:18" x14ac:dyDescent="0.45">
      <c r="A9" s="19" t="s">
        <v>3</v>
      </c>
      <c r="B9" s="12">
        <v>3</v>
      </c>
      <c r="C9" s="6">
        <f t="shared" si="1"/>
        <v>0.17647058823529413</v>
      </c>
      <c r="E9" s="27" t="s">
        <v>69</v>
      </c>
      <c r="F9" s="24" t="s">
        <v>24</v>
      </c>
      <c r="G9" s="12">
        <v>4</v>
      </c>
      <c r="H9" s="88">
        <f>IF(B$20=0,0,G9/B$20)</f>
        <v>9.5238095238095233E-2</v>
      </c>
      <c r="I9" s="58">
        <v>6</v>
      </c>
      <c r="K9" s="74">
        <v>7</v>
      </c>
      <c r="L9" s="119">
        <v>-162.30000000000004</v>
      </c>
      <c r="M9" s="117">
        <v>1622.5498626728165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8</v>
      </c>
      <c r="C10" s="7">
        <f t="shared" si="1"/>
        <v>0.47058823529411764</v>
      </c>
      <c r="E10" s="27" t="s">
        <v>78</v>
      </c>
      <c r="F10" s="24" t="s">
        <v>33</v>
      </c>
      <c r="G10" s="12">
        <v>3</v>
      </c>
      <c r="H10" s="88">
        <f>IF(B$20=0,0,G10/B$20)</f>
        <v>7.1428571428571425E-2</v>
      </c>
      <c r="I10" s="58">
        <v>2</v>
      </c>
      <c r="K10" s="74">
        <v>8</v>
      </c>
      <c r="L10" s="119">
        <v>-137.50000000000003</v>
      </c>
      <c r="M10" s="117">
        <v>1627.1845634967797</v>
      </c>
      <c r="O10" s="73" t="s">
        <v>151</v>
      </c>
      <c r="P10" s="82">
        <f>IF(Q10=0,0,R10/Q10)</f>
        <v>-1.2000000000000004</v>
      </c>
      <c r="Q10" s="76">
        <v>6</v>
      </c>
      <c r="R10" s="67">
        <v>-7.2000000000000028</v>
      </c>
    </row>
    <row r="11" spans="1:18" x14ac:dyDescent="0.45">
      <c r="A11" s="20" t="s">
        <v>184</v>
      </c>
      <c r="B11" s="109">
        <f>IF(B8=0,0,C11/B8)</f>
        <v>37.533333333333331</v>
      </c>
      <c r="C11" s="110">
        <v>225.2</v>
      </c>
      <c r="E11" s="27" t="s">
        <v>81</v>
      </c>
      <c r="F11" s="24" t="s">
        <v>36</v>
      </c>
      <c r="G11" s="12">
        <v>3</v>
      </c>
      <c r="H11" s="88">
        <f>IF(B$20=0,0,G11/B$20)</f>
        <v>7.1428571428571425E-2</v>
      </c>
      <c r="I11" s="58">
        <v>2</v>
      </c>
      <c r="K11" s="74">
        <v>9</v>
      </c>
      <c r="L11" s="119">
        <v>-87.900000000000034</v>
      </c>
      <c r="M11" s="117">
        <v>1636.255456115799</v>
      </c>
      <c r="O11" s="74" t="s">
        <v>152</v>
      </c>
      <c r="P11" s="83">
        <f>IF(Q11=0,0,R11/Q11)</f>
        <v>-13.71666666666667</v>
      </c>
      <c r="Q11" s="77">
        <v>6</v>
      </c>
      <c r="R11" s="68">
        <v>-82.300000000000026</v>
      </c>
    </row>
    <row r="12" spans="1:18" x14ac:dyDescent="0.45">
      <c r="A12" s="20" t="s">
        <v>185</v>
      </c>
      <c r="B12" s="109">
        <f>IF(B9=0,0,C12/B9)</f>
        <v>6.2666666666666666</v>
      </c>
      <c r="C12" s="110">
        <v>18.8</v>
      </c>
      <c r="E12" s="27" t="s">
        <v>65</v>
      </c>
      <c r="F12" s="24" t="s">
        <v>21</v>
      </c>
      <c r="G12" s="12">
        <v>2</v>
      </c>
      <c r="H12" s="88">
        <f>IF(B$20=0,0,G12/B$20)</f>
        <v>4.7619047619047616E-2</v>
      </c>
      <c r="I12" s="58">
        <v>9</v>
      </c>
      <c r="K12" s="74">
        <v>10</v>
      </c>
      <c r="L12" s="119">
        <v>-61.000000000000036</v>
      </c>
      <c r="M12" s="117">
        <v>1641.1379233791042</v>
      </c>
      <c r="O12" s="75" t="s">
        <v>153</v>
      </c>
      <c r="P12" s="84">
        <f>IF(Q12=0,0,R12/Q12)</f>
        <v>-0.3</v>
      </c>
      <c r="Q12" s="78">
        <v>5</v>
      </c>
      <c r="R12" s="69">
        <v>-1.5</v>
      </c>
    </row>
    <row r="13" spans="1:18" x14ac:dyDescent="0.45">
      <c r="A13" s="20" t="s">
        <v>186</v>
      </c>
      <c r="B13" s="109">
        <f>IF(B10=0,0,C13/B10)</f>
        <v>-41.875</v>
      </c>
      <c r="C13" s="110">
        <v>-335</v>
      </c>
      <c r="E13" s="27" t="s">
        <v>83</v>
      </c>
      <c r="F13" s="24" t="s">
        <v>38</v>
      </c>
      <c r="G13" s="12">
        <v>2</v>
      </c>
      <c r="H13" s="88">
        <f>IF(B$20=0,0,G13/B$20)</f>
        <v>4.7619047619047616E-2</v>
      </c>
      <c r="I13" s="58">
        <v>5</v>
      </c>
      <c r="K13" s="74">
        <v>11</v>
      </c>
      <c r="L13" s="119">
        <v>-94.500000000000028</v>
      </c>
      <c r="M13" s="117">
        <v>1635.2330958388295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0.64166666666666572</v>
      </c>
      <c r="C14" s="126"/>
      <c r="E14" s="27" t="s">
        <v>86</v>
      </c>
      <c r="F14" s="24" t="s">
        <v>41</v>
      </c>
      <c r="G14" s="12">
        <v>2</v>
      </c>
      <c r="H14" s="88">
        <f>IF(B$20=0,0,G14/B$20)</f>
        <v>4.7619047619047616E-2</v>
      </c>
      <c r="I14" s="58">
        <v>4</v>
      </c>
      <c r="K14" s="74">
        <v>12</v>
      </c>
      <c r="L14" s="119">
        <v>-140.20000000000005</v>
      </c>
      <c r="M14" s="117">
        <v>1627.1676972637965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3</v>
      </c>
      <c r="C15" s="9">
        <f t="shared" si="1"/>
        <v>0.17647058823529413</v>
      </c>
      <c r="E15" s="27" t="s">
        <v>70</v>
      </c>
      <c r="F15" s="24" t="s">
        <v>25</v>
      </c>
      <c r="G15" s="12">
        <v>1</v>
      </c>
      <c r="H15" s="88">
        <f>IF(B$20=0,0,G15/B$20)</f>
        <v>2.3809523809523808E-2</v>
      </c>
      <c r="I15" s="58">
        <v>8</v>
      </c>
      <c r="K15" s="74">
        <v>13</v>
      </c>
      <c r="L15" s="119">
        <v>-131.30000000000004</v>
      </c>
      <c r="M15" s="117">
        <v>1628.9786910802138</v>
      </c>
      <c r="O15" s="73" t="s">
        <v>216</v>
      </c>
      <c r="P15" s="82">
        <f>IF(Q15=0,0,R15/Q15)</f>
        <v>39.880000000000003</v>
      </c>
      <c r="Q15" s="76">
        <v>5</v>
      </c>
      <c r="R15" s="67">
        <v>199.4</v>
      </c>
    </row>
    <row r="16" spans="1:18" x14ac:dyDescent="0.45">
      <c r="A16" s="22" t="s">
        <v>121</v>
      </c>
      <c r="B16" s="15">
        <v>36</v>
      </c>
      <c r="C16" s="10">
        <f>IF(B$3=0,0,B16/B$3)</f>
        <v>0.24161073825503357</v>
      </c>
      <c r="E16" s="27" t="s">
        <v>71</v>
      </c>
      <c r="F16" s="24" t="s">
        <v>26</v>
      </c>
      <c r="G16" s="12">
        <v>1</v>
      </c>
      <c r="H16" s="88">
        <f>IF(B$20=0,0,G16/B$20)</f>
        <v>2.3809523809523808E-2</v>
      </c>
      <c r="I16" s="58">
        <v>6</v>
      </c>
      <c r="K16" s="74">
        <v>14</v>
      </c>
      <c r="L16" s="119">
        <v>-125.80000000000004</v>
      </c>
      <c r="M16" s="117">
        <v>1630.1668189337324</v>
      </c>
      <c r="O16" s="74" t="s">
        <v>211</v>
      </c>
      <c r="P16" s="83">
        <f>IF(Q16=0,0,R16/Q16)</f>
        <v>-9.35</v>
      </c>
      <c r="Q16" s="77">
        <v>6</v>
      </c>
      <c r="R16" s="68">
        <v>-56.1</v>
      </c>
    </row>
    <row r="17" spans="1:18" x14ac:dyDescent="0.45">
      <c r="A17" s="19" t="s">
        <v>118</v>
      </c>
      <c r="B17" s="12">
        <v>33</v>
      </c>
      <c r="C17" s="6">
        <f>IF(B$3=0,0,B17/B$3)</f>
        <v>0.22147651006711411</v>
      </c>
      <c r="E17" s="27" t="s">
        <v>79</v>
      </c>
      <c r="F17" s="24" t="s">
        <v>34</v>
      </c>
      <c r="G17" s="12">
        <v>1</v>
      </c>
      <c r="H17" s="88">
        <f>IF(B$20=0,0,G17/B$20)</f>
        <v>2.3809523809523808E-2</v>
      </c>
      <c r="I17" s="58">
        <v>3</v>
      </c>
      <c r="K17" s="74">
        <v>15</v>
      </c>
      <c r="L17" s="119">
        <v>-165.10000000000002</v>
      </c>
      <c r="M17" s="117">
        <v>1623.3138180201299</v>
      </c>
      <c r="O17" s="74" t="s">
        <v>192</v>
      </c>
      <c r="P17" s="83">
        <f>IF(Q17=0,0,R17/Q17)</f>
        <v>-14.78571428571429</v>
      </c>
      <c r="Q17" s="77">
        <v>7</v>
      </c>
      <c r="R17" s="68">
        <v>-103.50000000000003</v>
      </c>
    </row>
    <row r="18" spans="1:18" x14ac:dyDescent="0.45">
      <c r="A18" s="18" t="s">
        <v>123</v>
      </c>
      <c r="B18" s="11">
        <f>B24</f>
        <v>17</v>
      </c>
      <c r="C18" s="5">
        <f>IF(B$16=0,0,B18/B$16)</f>
        <v>0.47222222222222221</v>
      </c>
      <c r="E18" s="27" t="s">
        <v>85</v>
      </c>
      <c r="F18" s="24" t="s">
        <v>40</v>
      </c>
      <c r="G18" s="12">
        <v>1</v>
      </c>
      <c r="H18" s="88">
        <f>IF(B$20=0,0,G18/B$20)</f>
        <v>2.3809523809523808E-2</v>
      </c>
      <c r="I18" s="58">
        <v>2</v>
      </c>
      <c r="K18" s="74">
        <v>16</v>
      </c>
      <c r="L18" s="119">
        <v>-95.40000000000002</v>
      </c>
      <c r="M18" s="117">
        <v>1635.5699351120093</v>
      </c>
      <c r="O18" s="74" t="s">
        <v>126</v>
      </c>
      <c r="P18" s="83">
        <f>IF(Q18=0,0,R18/Q18)</f>
        <v>-17.438461538461546</v>
      </c>
      <c r="Q18" s="77">
        <v>13</v>
      </c>
      <c r="R18" s="68">
        <v>-226.7000000000001</v>
      </c>
    </row>
    <row r="19" spans="1:18" x14ac:dyDescent="0.45">
      <c r="A19" s="18" t="s">
        <v>124</v>
      </c>
      <c r="B19" s="11">
        <f>B25</f>
        <v>12</v>
      </c>
      <c r="C19" s="5">
        <f>IF(B$17=0,0,B19/B$17)</f>
        <v>0.36363636363636365</v>
      </c>
      <c r="E19" s="27" t="s">
        <v>88</v>
      </c>
      <c r="F19" s="24" t="s">
        <v>43</v>
      </c>
      <c r="G19" s="12">
        <v>1</v>
      </c>
      <c r="H19" s="88">
        <f>IF(B$20=0,0,G19/B$20)</f>
        <v>2.3809523809523808E-2</v>
      </c>
      <c r="I19" s="58">
        <v>1</v>
      </c>
      <c r="K19" s="74">
        <v>17</v>
      </c>
      <c r="L19" s="119">
        <v>-91.000000000000014</v>
      </c>
      <c r="M19" s="117">
        <v>1635.9985155013371</v>
      </c>
      <c r="O19" s="74" t="s">
        <v>189</v>
      </c>
      <c r="P19" s="83">
        <f>IF(Q19=0,0,R19/Q19)</f>
        <v>-28.700000000000003</v>
      </c>
      <c r="Q19" s="77">
        <v>3</v>
      </c>
      <c r="R19" s="68">
        <v>-86.100000000000009</v>
      </c>
    </row>
    <row r="20" spans="1:18" x14ac:dyDescent="0.45">
      <c r="A20" s="18" t="s">
        <v>10</v>
      </c>
      <c r="B20" s="11">
        <f>B23+B22</f>
        <v>42</v>
      </c>
      <c r="C20" s="5">
        <f>IF(B$3=0,0,B20/B$3)</f>
        <v>0.28187919463087246</v>
      </c>
      <c r="E20" s="27" t="s">
        <v>155</v>
      </c>
      <c r="F20" s="24" t="s">
        <v>156</v>
      </c>
      <c r="G20" s="12">
        <v>1</v>
      </c>
      <c r="H20" s="88">
        <f>IF(B$20=0,0,G20/B$20)</f>
        <v>2.3809523809523808E-2</v>
      </c>
      <c r="I20" s="58">
        <v>2</v>
      </c>
    </row>
    <row r="21" spans="1:18" x14ac:dyDescent="0.45">
      <c r="A21" s="19" t="s">
        <v>13</v>
      </c>
      <c r="B21" s="12">
        <v>27</v>
      </c>
      <c r="C21" s="6">
        <f>IF(B$3=0,0,B21/B$3)</f>
        <v>0.18120805369127516</v>
      </c>
      <c r="E21" s="27" t="s">
        <v>73</v>
      </c>
      <c r="F21" s="24" t="s">
        <v>28</v>
      </c>
      <c r="G21" s="12">
        <v>0</v>
      </c>
      <c r="H21" s="88">
        <f>IF(B$20=0,0,G21/B$20)</f>
        <v>0</v>
      </c>
      <c r="I21" s="58">
        <v>5</v>
      </c>
    </row>
    <row r="22" spans="1:18" x14ac:dyDescent="0.45">
      <c r="A22" s="19" t="s">
        <v>12</v>
      </c>
      <c r="B22" s="12">
        <v>19</v>
      </c>
      <c r="C22" s="6">
        <f>IF(B$20=0,0,B22/B$20)</f>
        <v>0.45238095238095238</v>
      </c>
      <c r="E22" s="27" t="s">
        <v>74</v>
      </c>
      <c r="F22" s="24" t="s">
        <v>29</v>
      </c>
      <c r="G22" s="12">
        <v>0</v>
      </c>
      <c r="H22" s="88">
        <f>IF(B$20=0,0,G22/B$20)</f>
        <v>0</v>
      </c>
      <c r="I22" s="58">
        <v>1</v>
      </c>
    </row>
    <row r="23" spans="1:18" x14ac:dyDescent="0.45">
      <c r="A23" s="19" t="s">
        <v>11</v>
      </c>
      <c r="B23" s="12">
        <v>23</v>
      </c>
      <c r="C23" s="6">
        <f>IF(B$20=0,0,B23/B$20)</f>
        <v>0.54761904761904767</v>
      </c>
      <c r="E23" s="27" t="s">
        <v>75</v>
      </c>
      <c r="F23" s="24" t="s">
        <v>30</v>
      </c>
      <c r="G23" s="12">
        <v>0</v>
      </c>
      <c r="H23" s="88">
        <f>IF(B$20=0,0,G23/B$20)</f>
        <v>0</v>
      </c>
      <c r="I23" s="58">
        <v>3</v>
      </c>
    </row>
    <row r="24" spans="1:18" x14ac:dyDescent="0.45">
      <c r="A24" s="19" t="s">
        <v>183</v>
      </c>
      <c r="B24" s="12">
        <v>17</v>
      </c>
      <c r="C24" s="6">
        <f>IF(B$20=0,0,B24/B$20)</f>
        <v>0.40476190476190477</v>
      </c>
      <c r="E24" s="27" t="s">
        <v>76</v>
      </c>
      <c r="F24" s="24" t="s">
        <v>31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12</v>
      </c>
      <c r="C25" s="6">
        <f>IF(B$20=0,0,B25/B$20)</f>
        <v>0.2857142857142857</v>
      </c>
      <c r="E25" s="27" t="s">
        <v>77</v>
      </c>
      <c r="F25" s="24" t="s">
        <v>32</v>
      </c>
      <c r="G25" s="12">
        <v>0</v>
      </c>
      <c r="H25" s="88">
        <f>IF(B$20=0,0,G25/B$20)</f>
        <v>0</v>
      </c>
      <c r="I25" s="58">
        <v>3</v>
      </c>
    </row>
    <row r="26" spans="1:18" x14ac:dyDescent="0.45">
      <c r="A26" s="19" t="s">
        <v>182</v>
      </c>
      <c r="B26" s="12">
        <v>13</v>
      </c>
      <c r="C26" s="6">
        <f>IF(B$20=0,0,B26/B$20)</f>
        <v>0.30952380952380953</v>
      </c>
      <c r="E26" s="27" t="s">
        <v>80</v>
      </c>
      <c r="F26" s="24" t="s">
        <v>35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9021.4285714285706</v>
      </c>
      <c r="C27" s="8">
        <v>378900</v>
      </c>
      <c r="E27" s="27" t="s">
        <v>82</v>
      </c>
      <c r="F27" s="24" t="s">
        <v>37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9080</v>
      </c>
      <c r="C28" s="96">
        <v>272400</v>
      </c>
      <c r="E28" s="27" t="s">
        <v>84</v>
      </c>
      <c r="F28" s="24" t="s">
        <v>39</v>
      </c>
      <c r="G28" s="12">
        <v>0</v>
      </c>
      <c r="H28" s="88">
        <f>IF(B$20=0,0,G28/B$20)</f>
        <v>0</v>
      </c>
      <c r="I28" s="58">
        <v>1</v>
      </c>
    </row>
    <row r="29" spans="1:18" x14ac:dyDescent="0.45">
      <c r="A29" s="20" t="s">
        <v>166</v>
      </c>
      <c r="B29" s="95">
        <f>IF(B$19=0,0,C29/B$19)</f>
        <v>8875</v>
      </c>
      <c r="C29" s="96">
        <v>106500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-8696.2962962962956</v>
      </c>
      <c r="C30" s="96">
        <v>-234800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1</v>
      </c>
    </row>
    <row r="31" spans="1:18" x14ac:dyDescent="0.45">
      <c r="A31" s="19" t="s">
        <v>157</v>
      </c>
      <c r="B31" s="12">
        <v>4</v>
      </c>
      <c r="C31" s="90">
        <v>1</v>
      </c>
      <c r="E31" s="27" t="s">
        <v>91</v>
      </c>
      <c r="F31" s="24" t="s">
        <v>46</v>
      </c>
      <c r="G31" s="12">
        <v>0</v>
      </c>
      <c r="H31" s="88">
        <f>IF(B$20=0,0,G31/B$20)</f>
        <v>0</v>
      </c>
      <c r="I31" s="58">
        <v>5</v>
      </c>
    </row>
    <row r="32" spans="1:18" x14ac:dyDescent="0.45">
      <c r="A32" s="19" t="s">
        <v>158</v>
      </c>
      <c r="B32" s="12">
        <v>18</v>
      </c>
      <c r="C32" s="90">
        <v>12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3</v>
      </c>
    </row>
    <row r="33" spans="1:9" x14ac:dyDescent="0.45">
      <c r="A33" s="54" t="s">
        <v>136</v>
      </c>
      <c r="B33" s="127">
        <v>6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94700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1</v>
      </c>
      <c r="C35" s="9">
        <f>IF(B$3=0,0,B35/B$3)</f>
        <v>6.7114093959731542E-3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4</v>
      </c>
      <c r="C37" s="98">
        <f t="shared" ref="C37:C49" si="2">IF(B$20=0,0,B37/B$20)</f>
        <v>9.5238095238095233E-2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5</v>
      </c>
      <c r="C38" s="6">
        <f t="shared" si="2"/>
        <v>0.11904761904761904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7</v>
      </c>
      <c r="C39" s="6">
        <f t="shared" si="2"/>
        <v>0.16666666666666666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6</v>
      </c>
      <c r="C40" s="6">
        <f t="shared" si="2"/>
        <v>0.14285714285714285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11</v>
      </c>
      <c r="C41" s="6">
        <f t="shared" si="2"/>
        <v>0.26190476190476192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6</v>
      </c>
      <c r="C42" s="6">
        <f t="shared" si="2"/>
        <v>0.14285714285714285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</row>
    <row r="43" spans="1:9" x14ac:dyDescent="0.45">
      <c r="A43" s="19" t="s">
        <v>173</v>
      </c>
      <c r="B43" s="124">
        <v>2</v>
      </c>
      <c r="C43" s="6">
        <f t="shared" si="2"/>
        <v>4.7619047619047616E-2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2"/>
        <v>2.3809523809523808E-2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9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F3857-7CF9-4DAA-9CBD-A76C7B1FBCB0}">
  <sheetPr codeName="Sheet11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189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18</v>
      </c>
      <c r="C2" s="134"/>
      <c r="E2" s="26" t="s">
        <v>72</v>
      </c>
      <c r="F2" s="23" t="s">
        <v>27</v>
      </c>
      <c r="G2" s="11">
        <v>40</v>
      </c>
      <c r="H2" s="87">
        <f>IF(B$20=0,0,G2/B$20)</f>
        <v>0.83333333333333337</v>
      </c>
      <c r="I2" s="57">
        <v>3</v>
      </c>
      <c r="K2" s="73">
        <v>0</v>
      </c>
      <c r="L2" s="118">
        <v>0</v>
      </c>
      <c r="M2" s="116">
        <v>1433.30445236539</v>
      </c>
      <c r="O2" s="73" t="s">
        <v>128</v>
      </c>
      <c r="P2" s="79">
        <f t="shared" ref="P2:P7" si="0">IF(Q2=0,0,R2/Q2)</f>
        <v>-1650</v>
      </c>
      <c r="Q2" s="76">
        <v>18</v>
      </c>
      <c r="R2" s="63">
        <v>-29700</v>
      </c>
    </row>
    <row r="3" spans="1:18" x14ac:dyDescent="0.45">
      <c r="A3" s="19" t="s">
        <v>8</v>
      </c>
      <c r="B3" s="135">
        <v>159</v>
      </c>
      <c r="C3" s="136"/>
      <c r="E3" s="27" t="s">
        <v>66</v>
      </c>
      <c r="F3" s="24" t="s">
        <v>22</v>
      </c>
      <c r="G3" s="12">
        <v>30</v>
      </c>
      <c r="H3" s="88">
        <f>IF(B$20=0,0,G3/B$20)</f>
        <v>0.625</v>
      </c>
      <c r="I3" s="58">
        <v>10</v>
      </c>
      <c r="K3" s="74">
        <v>1</v>
      </c>
      <c r="L3" s="119">
        <v>10.1</v>
      </c>
      <c r="M3" s="117">
        <v>1435.5226256511976</v>
      </c>
      <c r="O3" s="74" t="s">
        <v>129</v>
      </c>
      <c r="P3" s="80">
        <f t="shared" si="0"/>
        <v>-527.77777777777783</v>
      </c>
      <c r="Q3" s="77">
        <v>18</v>
      </c>
      <c r="R3" s="64">
        <v>-9500</v>
      </c>
    </row>
    <row r="4" spans="1:18" x14ac:dyDescent="0.45">
      <c r="A4" s="19" t="s">
        <v>6</v>
      </c>
      <c r="B4" s="137">
        <v>15.100000000000009</v>
      </c>
      <c r="C4" s="138"/>
      <c r="E4" s="27" t="s">
        <v>64</v>
      </c>
      <c r="F4" s="24" t="s">
        <v>20</v>
      </c>
      <c r="G4" s="12">
        <v>17</v>
      </c>
      <c r="H4" s="88">
        <f>IF(B$20=0,0,G4/B$20)</f>
        <v>0.35416666666666669</v>
      </c>
      <c r="I4" s="58">
        <v>8</v>
      </c>
      <c r="K4" s="74">
        <v>2</v>
      </c>
      <c r="L4" s="119">
        <v>36.4</v>
      </c>
      <c r="M4" s="117">
        <v>1441.4954898972903</v>
      </c>
      <c r="O4" s="74" t="s">
        <v>130</v>
      </c>
      <c r="P4" s="80">
        <f t="shared" si="0"/>
        <v>1511.1111111111111</v>
      </c>
      <c r="Q4" s="77">
        <v>18</v>
      </c>
      <c r="R4" s="64">
        <v>27200</v>
      </c>
    </row>
    <row r="5" spans="1:18" x14ac:dyDescent="0.45">
      <c r="A5" s="19" t="s">
        <v>7</v>
      </c>
      <c r="B5" s="125">
        <f>IF(B$2=0,0,B$4/B$2)</f>
        <v>0.83888888888888935</v>
      </c>
      <c r="C5" s="126"/>
      <c r="E5" s="27" t="s">
        <v>68</v>
      </c>
      <c r="F5" s="24" t="s">
        <v>12</v>
      </c>
      <c r="G5" s="12">
        <v>15</v>
      </c>
      <c r="H5" s="88">
        <f>IF(B$20=0,0,G5/B$20)</f>
        <v>0.3125</v>
      </c>
      <c r="I5" s="58">
        <v>5</v>
      </c>
      <c r="K5" s="74">
        <v>3</v>
      </c>
      <c r="L5" s="119">
        <v>36.4</v>
      </c>
      <c r="M5" s="117">
        <v>1442.4405169579065</v>
      </c>
      <c r="O5" s="74" t="s">
        <v>131</v>
      </c>
      <c r="P5" s="80">
        <f t="shared" si="0"/>
        <v>211.11111111111111</v>
      </c>
      <c r="Q5" s="77">
        <v>18</v>
      </c>
      <c r="R5" s="64">
        <v>3800</v>
      </c>
    </row>
    <row r="6" spans="1:18" x14ac:dyDescent="0.45">
      <c r="A6" s="19" t="s">
        <v>196</v>
      </c>
      <c r="B6" s="129">
        <v>1450.6884191024681</v>
      </c>
      <c r="C6" s="130"/>
      <c r="E6" s="27" t="s">
        <v>67</v>
      </c>
      <c r="F6" s="24" t="s">
        <v>23</v>
      </c>
      <c r="G6" s="12">
        <v>14</v>
      </c>
      <c r="H6" s="88">
        <f>IF(B$20=0,0,G6/B$20)</f>
        <v>0.29166666666666669</v>
      </c>
      <c r="I6" s="58">
        <v>2</v>
      </c>
      <c r="K6" s="74">
        <v>4</v>
      </c>
      <c r="L6" s="119">
        <v>13.299999999999997</v>
      </c>
      <c r="M6" s="117">
        <v>1439.257873856159</v>
      </c>
      <c r="O6" s="74" t="s">
        <v>132</v>
      </c>
      <c r="P6" s="80">
        <f t="shared" si="0"/>
        <v>-83.333333333333329</v>
      </c>
      <c r="Q6" s="77">
        <v>18</v>
      </c>
      <c r="R6" s="64">
        <v>-1500</v>
      </c>
    </row>
    <row r="7" spans="1:18" x14ac:dyDescent="0.45">
      <c r="A7" s="19" t="s">
        <v>1</v>
      </c>
      <c r="B7" s="139">
        <f>IF(B$2=0,0,(B$8*1+B$9*2+B$10*3)/B$2)</f>
        <v>1.9444444444444444</v>
      </c>
      <c r="C7" s="140"/>
      <c r="E7" s="27" t="s">
        <v>159</v>
      </c>
      <c r="F7" s="24" t="s">
        <v>160</v>
      </c>
      <c r="G7" s="12">
        <v>14</v>
      </c>
      <c r="H7" s="88">
        <f>IF(B$20=0,0,G7/B$20)</f>
        <v>0.29166666666666669</v>
      </c>
      <c r="I7" s="58">
        <v>9</v>
      </c>
      <c r="K7" s="74">
        <v>5</v>
      </c>
      <c r="L7" s="119">
        <v>8.0999999999999979</v>
      </c>
      <c r="M7" s="117">
        <v>1439.3523266130221</v>
      </c>
      <c r="O7" s="75" t="s">
        <v>133</v>
      </c>
      <c r="P7" s="81">
        <f t="shared" si="0"/>
        <v>2053.3333333333335</v>
      </c>
      <c r="Q7" s="78">
        <v>15</v>
      </c>
      <c r="R7" s="65">
        <v>30800</v>
      </c>
    </row>
    <row r="8" spans="1:18" x14ac:dyDescent="0.45">
      <c r="A8" s="19" t="s">
        <v>2</v>
      </c>
      <c r="B8" s="12">
        <v>6</v>
      </c>
      <c r="C8" s="6">
        <f t="shared" ref="C8:C15" si="1">IF(B$2=0,0,B8/B$2)</f>
        <v>0.33333333333333331</v>
      </c>
      <c r="E8" s="27" t="s">
        <v>89</v>
      </c>
      <c r="F8" s="24" t="s">
        <v>44</v>
      </c>
      <c r="G8" s="12">
        <v>7</v>
      </c>
      <c r="H8" s="88">
        <f>IF(B$20=0,0,G8/B$20)</f>
        <v>0.14583333333333334</v>
      </c>
      <c r="I8" s="58">
        <v>8</v>
      </c>
      <c r="K8" s="74">
        <v>6</v>
      </c>
      <c r="L8" s="119">
        <v>24.7</v>
      </c>
      <c r="M8" s="117">
        <v>1443.310212653344</v>
      </c>
      <c r="O8" s="107"/>
      <c r="P8" s="85"/>
      <c r="Q8" s="108"/>
      <c r="R8" s="70"/>
    </row>
    <row r="9" spans="1:18" x14ac:dyDescent="0.45">
      <c r="A9" s="19" t="s">
        <v>3</v>
      </c>
      <c r="B9" s="12">
        <v>7</v>
      </c>
      <c r="C9" s="6">
        <f t="shared" si="1"/>
        <v>0.3888888888888889</v>
      </c>
      <c r="E9" s="27" t="s">
        <v>65</v>
      </c>
      <c r="F9" s="24" t="s">
        <v>21</v>
      </c>
      <c r="G9" s="12">
        <v>4</v>
      </c>
      <c r="H9" s="88">
        <f>IF(B$20=0,0,G9/B$20)</f>
        <v>8.3333333333333329E-2</v>
      </c>
      <c r="I9" s="58">
        <v>6</v>
      </c>
      <c r="K9" s="74">
        <v>7</v>
      </c>
      <c r="L9" s="119">
        <v>39.5</v>
      </c>
      <c r="M9" s="117">
        <v>1446.944351377424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5</v>
      </c>
      <c r="C10" s="7">
        <f t="shared" si="1"/>
        <v>0.27777777777777779</v>
      </c>
      <c r="E10" s="27" t="s">
        <v>70</v>
      </c>
      <c r="F10" s="24" t="s">
        <v>25</v>
      </c>
      <c r="G10" s="12">
        <v>4</v>
      </c>
      <c r="H10" s="88">
        <f>IF(B$20=0,0,G10/B$20)</f>
        <v>8.3333333333333329E-2</v>
      </c>
      <c r="I10" s="58">
        <v>6</v>
      </c>
      <c r="K10" s="74">
        <v>8</v>
      </c>
      <c r="L10" s="119">
        <v>66.5</v>
      </c>
      <c r="M10" s="117">
        <v>1452.7526852691594</v>
      </c>
      <c r="O10" s="73" t="s">
        <v>151</v>
      </c>
      <c r="P10" s="82">
        <f>IF(Q10=0,0,R10/Q10)</f>
        <v>2.3833333333333333</v>
      </c>
      <c r="Q10" s="76">
        <v>6</v>
      </c>
      <c r="R10" s="67">
        <v>14.3</v>
      </c>
    </row>
    <row r="11" spans="1:18" x14ac:dyDescent="0.45">
      <c r="A11" s="20" t="s">
        <v>184</v>
      </c>
      <c r="B11" s="109">
        <f>IF(B8=0,0,C11/B8)</f>
        <v>18.083333333333332</v>
      </c>
      <c r="C11" s="110">
        <v>108.5</v>
      </c>
      <c r="E11" s="27" t="s">
        <v>69</v>
      </c>
      <c r="F11" s="24" t="s">
        <v>24</v>
      </c>
      <c r="G11" s="12">
        <v>2</v>
      </c>
      <c r="H11" s="88">
        <f>IF(B$20=0,0,G11/B$20)</f>
        <v>4.1666666666666664E-2</v>
      </c>
      <c r="I11" s="58">
        <v>9</v>
      </c>
      <c r="K11" s="74">
        <v>9</v>
      </c>
      <c r="L11" s="119">
        <v>90.7</v>
      </c>
      <c r="M11" s="117">
        <v>1458.0221691575446</v>
      </c>
      <c r="O11" s="74" t="s">
        <v>152</v>
      </c>
      <c r="P11" s="83">
        <f>IF(Q11=0,0,R11/Q11)</f>
        <v>-6.7799999999999994</v>
      </c>
      <c r="Q11" s="77">
        <v>5</v>
      </c>
      <c r="R11" s="68">
        <v>-33.9</v>
      </c>
    </row>
    <row r="12" spans="1:18" x14ac:dyDescent="0.45">
      <c r="A12" s="20" t="s">
        <v>185</v>
      </c>
      <c r="B12" s="109">
        <f>IF(B9=0,0,C12/B9)</f>
        <v>6.9285714285714288</v>
      </c>
      <c r="C12" s="110">
        <v>48.5</v>
      </c>
      <c r="E12" s="27" t="s">
        <v>79</v>
      </c>
      <c r="F12" s="24" t="s">
        <v>34</v>
      </c>
      <c r="G12" s="12">
        <v>2</v>
      </c>
      <c r="H12" s="88">
        <f>IF(B$20=0,0,G12/B$20)</f>
        <v>4.1666666666666664E-2</v>
      </c>
      <c r="I12" s="58">
        <v>2</v>
      </c>
      <c r="K12" s="74">
        <v>10</v>
      </c>
      <c r="L12" s="119">
        <v>91.7</v>
      </c>
      <c r="M12" s="117">
        <v>1458.3940361425994</v>
      </c>
      <c r="O12" s="75" t="s">
        <v>153</v>
      </c>
      <c r="P12" s="84">
        <f>IF(Q12=0,0,R12/Q12)</f>
        <v>4.9571428571428555</v>
      </c>
      <c r="Q12" s="78">
        <v>7</v>
      </c>
      <c r="R12" s="69">
        <v>34.699999999999989</v>
      </c>
    </row>
    <row r="13" spans="1:18" x14ac:dyDescent="0.45">
      <c r="A13" s="20" t="s">
        <v>186</v>
      </c>
      <c r="B13" s="109">
        <f>IF(B10=0,0,C13/B10)</f>
        <v>-28.379999999999995</v>
      </c>
      <c r="C13" s="110">
        <v>-141.89999999999998</v>
      </c>
      <c r="E13" s="27" t="s">
        <v>83</v>
      </c>
      <c r="F13" s="24" t="s">
        <v>38</v>
      </c>
      <c r="G13" s="12">
        <v>2</v>
      </c>
      <c r="H13" s="88">
        <f>IF(B$20=0,0,G13/B$20)</f>
        <v>4.1666666666666664E-2</v>
      </c>
      <c r="I13" s="58">
        <v>6</v>
      </c>
      <c r="K13" s="74">
        <v>11</v>
      </c>
      <c r="L13" s="119">
        <v>100.5</v>
      </c>
      <c r="M13" s="117">
        <v>1460.2096719257438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-1.1226984126984121</v>
      </c>
      <c r="C14" s="126"/>
      <c r="E14" s="27" t="s">
        <v>91</v>
      </c>
      <c r="F14" s="24" t="s">
        <v>46</v>
      </c>
      <c r="G14" s="12">
        <v>2</v>
      </c>
      <c r="H14" s="88">
        <f>IF(B$20=0,0,G14/B$20)</f>
        <v>4.1666666666666664E-2</v>
      </c>
      <c r="I14" s="58">
        <v>2</v>
      </c>
      <c r="K14" s="74">
        <v>12</v>
      </c>
      <c r="L14" s="119">
        <v>69.400000000000006</v>
      </c>
      <c r="M14" s="117">
        <v>1454.8324138941894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71</v>
      </c>
      <c r="F15" s="24" t="s">
        <v>26</v>
      </c>
      <c r="G15" s="12">
        <v>1</v>
      </c>
      <c r="H15" s="88">
        <f>IF(B$20=0,0,G15/B$20)</f>
        <v>2.0833333333333332E-2</v>
      </c>
      <c r="I15" s="58">
        <v>7</v>
      </c>
      <c r="K15" s="74">
        <v>13</v>
      </c>
      <c r="L15" s="119">
        <v>35.000000000000007</v>
      </c>
      <c r="M15" s="117">
        <v>1449.5174194108242</v>
      </c>
      <c r="O15" s="73" t="s">
        <v>216</v>
      </c>
      <c r="P15" s="82">
        <f t="shared" ref="P15:P20" si="2">IF(Q15=0,0,R15/Q15)</f>
        <v>35.5</v>
      </c>
      <c r="Q15" s="76">
        <v>1</v>
      </c>
      <c r="R15" s="67">
        <v>35.5</v>
      </c>
    </row>
    <row r="16" spans="1:18" x14ac:dyDescent="0.45">
      <c r="A16" s="22" t="s">
        <v>121</v>
      </c>
      <c r="B16" s="15">
        <v>40</v>
      </c>
      <c r="C16" s="10">
        <f>IF(B$3=0,0,B16/B$3)</f>
        <v>0.25157232704402516</v>
      </c>
      <c r="E16" s="27" t="s">
        <v>86</v>
      </c>
      <c r="F16" s="24" t="s">
        <v>41</v>
      </c>
      <c r="G16" s="12">
        <v>1</v>
      </c>
      <c r="H16" s="88">
        <f>IF(B$20=0,0,G16/B$20)</f>
        <v>2.0833333333333332E-2</v>
      </c>
      <c r="I16" s="58">
        <v>8</v>
      </c>
      <c r="K16" s="74">
        <v>14</v>
      </c>
      <c r="L16" s="119">
        <v>42.800000000000004</v>
      </c>
      <c r="M16" s="117">
        <v>1451.8303148943594</v>
      </c>
      <c r="O16" s="74" t="s">
        <v>163</v>
      </c>
      <c r="P16" s="83">
        <f t="shared" si="2"/>
        <v>28.700000000000006</v>
      </c>
      <c r="Q16" s="77">
        <v>3</v>
      </c>
      <c r="R16" s="68">
        <v>86.100000000000023</v>
      </c>
    </row>
    <row r="17" spans="1:18" x14ac:dyDescent="0.45">
      <c r="A17" s="19" t="s">
        <v>118</v>
      </c>
      <c r="B17" s="12">
        <v>51</v>
      </c>
      <c r="C17" s="6">
        <f>IF(B$3=0,0,B17/B$3)</f>
        <v>0.32075471698113206</v>
      </c>
      <c r="E17" s="27" t="s">
        <v>88</v>
      </c>
      <c r="F17" s="24" t="s">
        <v>43</v>
      </c>
      <c r="G17" s="12">
        <v>1</v>
      </c>
      <c r="H17" s="88">
        <f>IF(B$20=0,0,G17/B$20)</f>
        <v>2.0833333333333332E-2</v>
      </c>
      <c r="I17" s="58">
        <v>2</v>
      </c>
      <c r="K17" s="74">
        <v>15</v>
      </c>
      <c r="L17" s="119">
        <v>60.900000000000006</v>
      </c>
      <c r="M17" s="117">
        <v>1455.9833330049933</v>
      </c>
      <c r="O17" s="74" t="s">
        <v>190</v>
      </c>
      <c r="P17" s="83">
        <f t="shared" si="2"/>
        <v>13.200000000000003</v>
      </c>
      <c r="Q17" s="77">
        <v>2</v>
      </c>
      <c r="R17" s="68">
        <v>26.400000000000006</v>
      </c>
    </row>
    <row r="18" spans="1:18" x14ac:dyDescent="0.45">
      <c r="A18" s="18" t="s">
        <v>123</v>
      </c>
      <c r="B18" s="11">
        <f>B24</f>
        <v>18</v>
      </c>
      <c r="C18" s="5">
        <f>IF(B$16=0,0,B18/B$16)</f>
        <v>0.45</v>
      </c>
      <c r="E18" s="27" t="s">
        <v>73</v>
      </c>
      <c r="F18" s="24" t="s">
        <v>28</v>
      </c>
      <c r="G18" s="12">
        <v>0</v>
      </c>
      <c r="H18" s="88">
        <f>IF(B$20=0,0,G18/B$20)</f>
        <v>0</v>
      </c>
      <c r="I18" s="58">
        <v>5</v>
      </c>
      <c r="K18" s="74">
        <v>16</v>
      </c>
      <c r="L18" s="119">
        <v>38.600000000000009</v>
      </c>
      <c r="M18" s="117">
        <v>1453.0914330069634</v>
      </c>
      <c r="O18" s="74" t="s">
        <v>126</v>
      </c>
      <c r="P18" s="83">
        <f t="shared" si="2"/>
        <v>2.7066666666666657</v>
      </c>
      <c r="Q18" s="77">
        <v>15</v>
      </c>
      <c r="R18" s="68">
        <v>40.599999999999987</v>
      </c>
    </row>
    <row r="19" spans="1:18" x14ac:dyDescent="0.45">
      <c r="A19" s="18" t="s">
        <v>124</v>
      </c>
      <c r="B19" s="11">
        <f>B25</f>
        <v>24</v>
      </c>
      <c r="C19" s="5">
        <f>IF(B$17=0,0,B19/B$17)</f>
        <v>0.47058823529411764</v>
      </c>
      <c r="E19" s="27" t="s">
        <v>74</v>
      </c>
      <c r="F19" s="24" t="s">
        <v>29</v>
      </c>
      <c r="G19" s="12">
        <v>0</v>
      </c>
      <c r="H19" s="88">
        <f>IF(B$20=0,0,G19/B$20)</f>
        <v>0</v>
      </c>
      <c r="I19" s="58">
        <v>1</v>
      </c>
      <c r="K19" s="74">
        <v>17</v>
      </c>
      <c r="L19" s="119">
        <v>7.6000000000000085</v>
      </c>
      <c r="M19" s="117">
        <v>1448.4108844089217</v>
      </c>
      <c r="O19" s="74" t="s">
        <v>211</v>
      </c>
      <c r="P19" s="83">
        <f t="shared" si="2"/>
        <v>1.3800000000000014</v>
      </c>
      <c r="Q19" s="77">
        <v>5</v>
      </c>
      <c r="R19" s="68">
        <v>6.9000000000000075</v>
      </c>
    </row>
    <row r="20" spans="1:18" x14ac:dyDescent="0.45">
      <c r="A20" s="18" t="s">
        <v>10</v>
      </c>
      <c r="B20" s="11">
        <f>B23+B22</f>
        <v>48</v>
      </c>
      <c r="C20" s="5">
        <f>IF(B$3=0,0,B20/B$3)</f>
        <v>0.30188679245283018</v>
      </c>
      <c r="E20" s="27" t="s">
        <v>75</v>
      </c>
      <c r="F20" s="24" t="s">
        <v>30</v>
      </c>
      <c r="G20" s="12">
        <v>0</v>
      </c>
      <c r="H20" s="88">
        <f>IF(B$20=0,0,G20/B$20)</f>
        <v>0</v>
      </c>
      <c r="I20" s="58">
        <v>3</v>
      </c>
      <c r="K20" s="74">
        <v>18</v>
      </c>
      <c r="L20" s="119">
        <v>15.100000000000009</v>
      </c>
      <c r="M20" s="117">
        <v>1450.6884191024681</v>
      </c>
      <c r="O20" s="74" t="s">
        <v>192</v>
      </c>
      <c r="P20" s="83">
        <f t="shared" si="2"/>
        <v>-15.020000000000001</v>
      </c>
      <c r="Q20" s="77">
        <v>10</v>
      </c>
      <c r="R20" s="68">
        <v>-150.20000000000002</v>
      </c>
    </row>
    <row r="21" spans="1:18" x14ac:dyDescent="0.45">
      <c r="A21" s="19" t="s">
        <v>13</v>
      </c>
      <c r="B21" s="12">
        <v>26</v>
      </c>
      <c r="C21" s="6">
        <f>IF(B$3=0,0,B21/B$3)</f>
        <v>0.16352201257861634</v>
      </c>
      <c r="E21" s="27" t="s">
        <v>76</v>
      </c>
      <c r="F21" s="24" t="s">
        <v>31</v>
      </c>
      <c r="G21" s="12">
        <v>0</v>
      </c>
      <c r="H21" s="88">
        <f>IF(B$20=0,0,G21/B$20)</f>
        <v>0</v>
      </c>
      <c r="I21" s="58">
        <v>1</v>
      </c>
    </row>
    <row r="22" spans="1:18" x14ac:dyDescent="0.45">
      <c r="A22" s="19" t="s">
        <v>12</v>
      </c>
      <c r="B22" s="12">
        <v>24</v>
      </c>
      <c r="C22" s="6">
        <f>IF(B$20=0,0,B22/B$20)</f>
        <v>0.5</v>
      </c>
      <c r="E22" s="27" t="s">
        <v>77</v>
      </c>
      <c r="F22" s="24" t="s">
        <v>32</v>
      </c>
      <c r="G22" s="12">
        <v>0</v>
      </c>
      <c r="H22" s="88">
        <f>IF(B$20=0,0,G22/B$20)</f>
        <v>0</v>
      </c>
      <c r="I22" s="58">
        <v>3</v>
      </c>
    </row>
    <row r="23" spans="1:18" x14ac:dyDescent="0.45">
      <c r="A23" s="19" t="s">
        <v>11</v>
      </c>
      <c r="B23" s="12">
        <v>24</v>
      </c>
      <c r="C23" s="6">
        <f>IF(B$20=0,0,B23/B$20)</f>
        <v>0.5</v>
      </c>
      <c r="E23" s="27" t="s">
        <v>78</v>
      </c>
      <c r="F23" s="24" t="s">
        <v>33</v>
      </c>
      <c r="G23" s="12">
        <v>0</v>
      </c>
      <c r="H23" s="88">
        <f>IF(B$20=0,0,G23/B$20)</f>
        <v>0</v>
      </c>
      <c r="I23" s="58">
        <v>7</v>
      </c>
    </row>
    <row r="24" spans="1:18" x14ac:dyDescent="0.45">
      <c r="A24" s="19" t="s">
        <v>183</v>
      </c>
      <c r="B24" s="12">
        <v>18</v>
      </c>
      <c r="C24" s="6">
        <f>IF(B$20=0,0,B24/B$20)</f>
        <v>0.375</v>
      </c>
      <c r="E24" s="27" t="s">
        <v>80</v>
      </c>
      <c r="F24" s="24" t="s">
        <v>35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24</v>
      </c>
      <c r="C25" s="6">
        <f>IF(B$20=0,0,B25/B$20)</f>
        <v>0.5</v>
      </c>
      <c r="E25" s="27" t="s">
        <v>81</v>
      </c>
      <c r="F25" s="24" t="s">
        <v>36</v>
      </c>
      <c r="G25" s="12">
        <v>0</v>
      </c>
      <c r="H25" s="88">
        <f>IF(B$20=0,0,G25/B$20)</f>
        <v>0</v>
      </c>
      <c r="I25" s="58">
        <v>9</v>
      </c>
    </row>
    <row r="26" spans="1:18" x14ac:dyDescent="0.45">
      <c r="A26" s="19" t="s">
        <v>182</v>
      </c>
      <c r="B26" s="12">
        <v>6</v>
      </c>
      <c r="C26" s="6">
        <f>IF(B$20=0,0,B26/B$20)</f>
        <v>0.125</v>
      </c>
      <c r="E26" s="27" t="s">
        <v>82</v>
      </c>
      <c r="F26" s="24" t="s">
        <v>37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6945.833333333333</v>
      </c>
      <c r="C27" s="8">
        <v>333400</v>
      </c>
      <c r="E27" s="27" t="s">
        <v>84</v>
      </c>
      <c r="F27" s="24" t="s">
        <v>39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8095.833333333333</v>
      </c>
      <c r="C28" s="96">
        <v>194300</v>
      </c>
      <c r="E28" s="27" t="s">
        <v>85</v>
      </c>
      <c r="F28" s="24" t="s">
        <v>40</v>
      </c>
      <c r="G28" s="12">
        <v>0</v>
      </c>
      <c r="H28" s="88">
        <f>IF(B$20=0,0,G28/B$20)</f>
        <v>0</v>
      </c>
      <c r="I28" s="58">
        <v>5</v>
      </c>
    </row>
    <row r="29" spans="1:18" x14ac:dyDescent="0.45">
      <c r="A29" s="20" t="s">
        <v>166</v>
      </c>
      <c r="B29" s="95">
        <f>IF(B$19=0,0,C29/B$19)</f>
        <v>5795.833333333333</v>
      </c>
      <c r="C29" s="96">
        <v>139100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-6669.2307692307695</v>
      </c>
      <c r="C30" s="96">
        <v>-173400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1</v>
      </c>
    </row>
    <row r="31" spans="1:18" x14ac:dyDescent="0.45">
      <c r="A31" s="19" t="s">
        <v>157</v>
      </c>
      <c r="B31" s="12">
        <v>4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21</v>
      </c>
      <c r="C32" s="90">
        <v>5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7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61300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1</v>
      </c>
      <c r="C35" s="9">
        <f>IF(B$3=0,0,B35/B$3)</f>
        <v>6.2893081761006293E-3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6</v>
      </c>
      <c r="C37" s="98">
        <f t="shared" ref="C37:C49" si="3">IF(B$20=0,0,B37/B$20)</f>
        <v>0.125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15</v>
      </c>
      <c r="C38" s="6">
        <f t="shared" si="3"/>
        <v>0.3125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7</v>
      </c>
      <c r="C39" s="6">
        <f t="shared" si="3"/>
        <v>0.14583333333333334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8</v>
      </c>
      <c r="C40" s="6">
        <f t="shared" si="3"/>
        <v>0.16666666666666666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2</v>
      </c>
      <c r="C41" s="6">
        <f t="shared" si="3"/>
        <v>4.1666666666666664E-2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2</v>
      </c>
      <c r="C42" s="6">
        <f t="shared" si="3"/>
        <v>4.1666666666666664E-2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2</v>
      </c>
      <c r="C43" s="6">
        <f t="shared" si="3"/>
        <v>4.1666666666666664E-2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3"/>
        <v>2.0833333333333332E-2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3</v>
      </c>
      <c r="C45" s="6">
        <f t="shared" si="3"/>
        <v>6.25E-2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2</v>
      </c>
      <c r="C46" s="6">
        <f t="shared" si="3"/>
        <v>4.1666666666666664E-2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2D4CE-3B68-45F7-969C-D17C8E0B87DB}">
  <sheetPr codeName="Sheet13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190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10</v>
      </c>
      <c r="C2" s="134"/>
      <c r="E2" s="26" t="s">
        <v>66</v>
      </c>
      <c r="F2" s="23" t="s">
        <v>22</v>
      </c>
      <c r="G2" s="11">
        <v>14</v>
      </c>
      <c r="H2" s="87">
        <f>IF(B$20=0,0,G2/B$20)</f>
        <v>0.73684210526315785</v>
      </c>
      <c r="I2" s="57">
        <v>7</v>
      </c>
      <c r="K2" s="73">
        <v>0</v>
      </c>
      <c r="L2" s="118">
        <v>0</v>
      </c>
      <c r="M2" s="116">
        <v>1524.3778689305989</v>
      </c>
      <c r="O2" s="73" t="s">
        <v>128</v>
      </c>
      <c r="P2" s="79">
        <f t="shared" ref="P2:P7" si="0">IF(Q2=0,0,R2/Q2)</f>
        <v>1420</v>
      </c>
      <c r="Q2" s="76">
        <v>10</v>
      </c>
      <c r="R2" s="63">
        <v>14200</v>
      </c>
    </row>
    <row r="3" spans="1:18" x14ac:dyDescent="0.45">
      <c r="A3" s="19" t="s">
        <v>8</v>
      </c>
      <c r="B3" s="135">
        <v>77</v>
      </c>
      <c r="C3" s="136"/>
      <c r="E3" s="27" t="s">
        <v>64</v>
      </c>
      <c r="F3" s="24" t="s">
        <v>20</v>
      </c>
      <c r="G3" s="12">
        <v>11</v>
      </c>
      <c r="H3" s="88">
        <f>IF(B$20=0,0,G3/B$20)</f>
        <v>0.57894736842105265</v>
      </c>
      <c r="I3" s="58">
        <v>2</v>
      </c>
      <c r="K3" s="74">
        <v>1</v>
      </c>
      <c r="L3" s="119">
        <v>-33.6</v>
      </c>
      <c r="M3" s="117">
        <v>1518.8856017170153</v>
      </c>
      <c r="O3" s="74" t="s">
        <v>129</v>
      </c>
      <c r="P3" s="80">
        <f t="shared" si="0"/>
        <v>2270</v>
      </c>
      <c r="Q3" s="77">
        <v>10</v>
      </c>
      <c r="R3" s="64">
        <v>22700</v>
      </c>
    </row>
    <row r="4" spans="1:18" x14ac:dyDescent="0.45">
      <c r="A4" s="19" t="s">
        <v>6</v>
      </c>
      <c r="B4" s="137">
        <v>-55</v>
      </c>
      <c r="C4" s="138"/>
      <c r="E4" s="27" t="s">
        <v>72</v>
      </c>
      <c r="F4" s="24" t="s">
        <v>27</v>
      </c>
      <c r="G4" s="12">
        <v>9</v>
      </c>
      <c r="H4" s="88">
        <f>IF(B$20=0,0,G4/B$20)</f>
        <v>0.47368421052631576</v>
      </c>
      <c r="I4" s="58">
        <v>10</v>
      </c>
      <c r="K4" s="74">
        <v>2</v>
      </c>
      <c r="L4" s="119">
        <v>-36.9</v>
      </c>
      <c r="M4" s="117">
        <v>1518.9042881067132</v>
      </c>
      <c r="O4" s="74" t="s">
        <v>130</v>
      </c>
      <c r="P4" s="80">
        <f t="shared" si="0"/>
        <v>1590</v>
      </c>
      <c r="Q4" s="77">
        <v>10</v>
      </c>
      <c r="R4" s="64">
        <v>15900</v>
      </c>
    </row>
    <row r="5" spans="1:18" x14ac:dyDescent="0.45">
      <c r="A5" s="19" t="s">
        <v>7</v>
      </c>
      <c r="B5" s="125">
        <f>IF(B$2=0,0,B$4/B$2)</f>
        <v>-5.5</v>
      </c>
      <c r="C5" s="126"/>
      <c r="E5" s="27" t="s">
        <v>159</v>
      </c>
      <c r="F5" s="24" t="s">
        <v>160</v>
      </c>
      <c r="G5" s="12">
        <v>7</v>
      </c>
      <c r="H5" s="88">
        <f>IF(B$20=0,0,G5/B$20)</f>
        <v>0.36842105263157893</v>
      </c>
      <c r="I5" s="58">
        <v>7</v>
      </c>
      <c r="K5" s="74">
        <v>3</v>
      </c>
      <c r="L5" s="119">
        <v>-40.4</v>
      </c>
      <c r="M5" s="117">
        <v>1518.8868623780729</v>
      </c>
      <c r="O5" s="74" t="s">
        <v>131</v>
      </c>
      <c r="P5" s="80">
        <f t="shared" si="0"/>
        <v>-4062.5</v>
      </c>
      <c r="Q5" s="77">
        <v>8</v>
      </c>
      <c r="R5" s="64">
        <v>-32500</v>
      </c>
    </row>
    <row r="6" spans="1:18" x14ac:dyDescent="0.45">
      <c r="A6" s="19" t="s">
        <v>196</v>
      </c>
      <c r="B6" s="129">
        <v>1519.2183815819624</v>
      </c>
      <c r="C6" s="130"/>
      <c r="E6" s="27" t="s">
        <v>67</v>
      </c>
      <c r="F6" s="24" t="s">
        <v>23</v>
      </c>
      <c r="G6" s="12">
        <v>5</v>
      </c>
      <c r="H6" s="88">
        <f>IF(B$20=0,0,G6/B$20)</f>
        <v>0.26315789473684209</v>
      </c>
      <c r="I6" s="58">
        <v>4</v>
      </c>
      <c r="K6" s="74">
        <v>4</v>
      </c>
      <c r="L6" s="119">
        <v>-36.799999999999997</v>
      </c>
      <c r="M6" s="117">
        <v>1520.1595412038046</v>
      </c>
      <c r="O6" s="74" t="s">
        <v>132</v>
      </c>
      <c r="P6" s="80">
        <f t="shared" si="0"/>
        <v>-3385.7142857142858</v>
      </c>
      <c r="Q6" s="77">
        <v>7</v>
      </c>
      <c r="R6" s="64">
        <v>-23700</v>
      </c>
    </row>
    <row r="7" spans="1:18" x14ac:dyDescent="0.45">
      <c r="A7" s="19" t="s">
        <v>1</v>
      </c>
      <c r="B7" s="139">
        <f>IF(B$2=0,0,(B$8*1+B$9*2+B$10*3)/B$2)</f>
        <v>2.2000000000000002</v>
      </c>
      <c r="C7" s="140"/>
      <c r="E7" s="27" t="s">
        <v>65</v>
      </c>
      <c r="F7" s="24" t="s">
        <v>21</v>
      </c>
      <c r="G7" s="12">
        <v>3</v>
      </c>
      <c r="H7" s="88">
        <f>IF(B$20=0,0,G7/B$20)</f>
        <v>0.15789473684210525</v>
      </c>
      <c r="I7" s="58">
        <v>3</v>
      </c>
      <c r="K7" s="74">
        <v>5</v>
      </c>
      <c r="L7" s="119">
        <v>-73.900000000000006</v>
      </c>
      <c r="M7" s="117">
        <v>1513.3425839565818</v>
      </c>
      <c r="O7" s="75" t="s">
        <v>133</v>
      </c>
      <c r="P7" s="81">
        <f t="shared" si="0"/>
        <v>-3266.6666666666665</v>
      </c>
      <c r="Q7" s="78">
        <v>6</v>
      </c>
      <c r="R7" s="65">
        <v>-19600</v>
      </c>
    </row>
    <row r="8" spans="1:18" x14ac:dyDescent="0.45">
      <c r="A8" s="19" t="s">
        <v>2</v>
      </c>
      <c r="B8" s="12">
        <v>1</v>
      </c>
      <c r="C8" s="6">
        <f t="shared" ref="C8:C15" si="1">IF(B$2=0,0,B8/B$2)</f>
        <v>0.1</v>
      </c>
      <c r="E8" s="27" t="s">
        <v>68</v>
      </c>
      <c r="F8" s="24" t="s">
        <v>12</v>
      </c>
      <c r="G8" s="12">
        <v>3</v>
      </c>
      <c r="H8" s="88">
        <f>IF(B$20=0,0,G8/B$20)</f>
        <v>0.15789473684210525</v>
      </c>
      <c r="I8" s="58">
        <v>11</v>
      </c>
      <c r="K8" s="74">
        <v>6</v>
      </c>
      <c r="L8" s="119">
        <v>-85.5</v>
      </c>
      <c r="M8" s="117">
        <v>1511.1565284528424</v>
      </c>
      <c r="O8" s="107"/>
      <c r="P8" s="85"/>
      <c r="Q8" s="108"/>
      <c r="R8" s="70"/>
    </row>
    <row r="9" spans="1:18" x14ac:dyDescent="0.45">
      <c r="A9" s="19" t="s">
        <v>3</v>
      </c>
      <c r="B9" s="12">
        <v>6</v>
      </c>
      <c r="C9" s="6">
        <f t="shared" si="1"/>
        <v>0.6</v>
      </c>
      <c r="E9" s="27" t="s">
        <v>69</v>
      </c>
      <c r="F9" s="24" t="s">
        <v>24</v>
      </c>
      <c r="G9" s="12">
        <v>2</v>
      </c>
      <c r="H9" s="88">
        <f>IF(B$20=0,0,G9/B$20)</f>
        <v>0.10526315789473684</v>
      </c>
      <c r="I9" s="58">
        <v>5</v>
      </c>
      <c r="K9" s="74">
        <v>7</v>
      </c>
      <c r="L9" s="119">
        <v>-77.8</v>
      </c>
      <c r="M9" s="117">
        <v>1513.2255892821254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3</v>
      </c>
      <c r="C10" s="7">
        <f t="shared" si="1"/>
        <v>0.3</v>
      </c>
      <c r="E10" s="27" t="s">
        <v>89</v>
      </c>
      <c r="F10" s="24" t="s">
        <v>44</v>
      </c>
      <c r="G10" s="12">
        <v>2</v>
      </c>
      <c r="H10" s="88">
        <f>IF(B$20=0,0,G10/B$20)</f>
        <v>0.10526315789473684</v>
      </c>
      <c r="I10" s="58">
        <v>10</v>
      </c>
      <c r="K10" s="74">
        <v>8</v>
      </c>
      <c r="L10" s="119">
        <v>-22.799999999999997</v>
      </c>
      <c r="M10" s="117">
        <v>1523.7962357464326</v>
      </c>
      <c r="O10" s="73" t="s">
        <v>151</v>
      </c>
      <c r="P10" s="82">
        <f>IF(Q10=0,0,R10/Q10)</f>
        <v>-18.466666666666665</v>
      </c>
      <c r="Q10" s="76">
        <v>3</v>
      </c>
      <c r="R10" s="67">
        <v>-55.4</v>
      </c>
    </row>
    <row r="11" spans="1:18" x14ac:dyDescent="0.45">
      <c r="A11" s="20" t="s">
        <v>184</v>
      </c>
      <c r="B11" s="109">
        <f>IF(B8=0,0,C11/B8)</f>
        <v>55</v>
      </c>
      <c r="C11" s="110">
        <v>55</v>
      </c>
      <c r="E11" s="27" t="s">
        <v>79</v>
      </c>
      <c r="F11" s="24" t="s">
        <v>34</v>
      </c>
      <c r="G11" s="12">
        <v>1</v>
      </c>
      <c r="H11" s="88">
        <f>IF(B$20=0,0,G11/B$20)</f>
        <v>5.2631578947368418E-2</v>
      </c>
      <c r="I11" s="58">
        <v>1</v>
      </c>
      <c r="K11" s="74">
        <v>9</v>
      </c>
      <c r="L11" s="119">
        <v>-29.599999999999998</v>
      </c>
      <c r="M11" s="117">
        <v>1523.179458331954</v>
      </c>
      <c r="O11" s="74" t="s">
        <v>152</v>
      </c>
      <c r="P11" s="83">
        <f>IF(Q11=0,0,R11/Q11)</f>
        <v>-20.2</v>
      </c>
      <c r="Q11" s="77">
        <v>2</v>
      </c>
      <c r="R11" s="68">
        <v>-40.4</v>
      </c>
    </row>
    <row r="12" spans="1:18" x14ac:dyDescent="0.45">
      <c r="A12" s="20" t="s">
        <v>185</v>
      </c>
      <c r="B12" s="109">
        <f>IF(B9=0,0,C12/B9)</f>
        <v>-2.3166666666666664</v>
      </c>
      <c r="C12" s="110">
        <v>-13.899999999999999</v>
      </c>
      <c r="E12" s="27" t="s">
        <v>81</v>
      </c>
      <c r="F12" s="24" t="s">
        <v>36</v>
      </c>
      <c r="G12" s="12">
        <v>1</v>
      </c>
      <c r="H12" s="88">
        <f>IF(B$20=0,0,G12/B$20)</f>
        <v>5.2631578947368418E-2</v>
      </c>
      <c r="I12" s="58">
        <v>3</v>
      </c>
      <c r="K12" s="74">
        <v>10</v>
      </c>
      <c r="L12" s="119">
        <v>-55</v>
      </c>
      <c r="M12" s="117">
        <v>1519.2183815819624</v>
      </c>
      <c r="O12" s="75" t="s">
        <v>153</v>
      </c>
      <c r="P12" s="84">
        <f>IF(Q12=0,0,R12/Q12)</f>
        <v>8.16</v>
      </c>
      <c r="Q12" s="78">
        <v>5</v>
      </c>
      <c r="R12" s="69">
        <v>40.800000000000004</v>
      </c>
    </row>
    <row r="13" spans="1:18" x14ac:dyDescent="0.45">
      <c r="A13" s="20" t="s">
        <v>186</v>
      </c>
      <c r="B13" s="109">
        <f>IF(B10=0,0,C13/B10)</f>
        <v>-32.033333333333331</v>
      </c>
      <c r="C13" s="110">
        <v>-96.1</v>
      </c>
      <c r="E13" s="27" t="s">
        <v>83</v>
      </c>
      <c r="F13" s="24" t="s">
        <v>38</v>
      </c>
      <c r="G13" s="12">
        <v>1</v>
      </c>
      <c r="H13" s="88">
        <f>IF(B$20=0,0,G13/B$20)</f>
        <v>5.2631578947368418E-2</v>
      </c>
      <c r="I13" s="58">
        <v>3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6.8833333333333355</v>
      </c>
      <c r="C14" s="126"/>
      <c r="E14" s="27" t="s">
        <v>86</v>
      </c>
      <c r="F14" s="24" t="s">
        <v>41</v>
      </c>
      <c r="G14" s="12">
        <v>1</v>
      </c>
      <c r="H14" s="88">
        <f>IF(B$20=0,0,G14/B$20)</f>
        <v>5.2631578947368418E-2</v>
      </c>
      <c r="I14" s="58">
        <v>3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70</v>
      </c>
      <c r="F15" s="24" t="s">
        <v>25</v>
      </c>
      <c r="G15" s="12">
        <v>0</v>
      </c>
      <c r="H15" s="88">
        <f>IF(B$20=0,0,G15/B$20)</f>
        <v>0</v>
      </c>
      <c r="I15" s="58">
        <v>9</v>
      </c>
      <c r="O15" s="73" t="s">
        <v>192</v>
      </c>
      <c r="P15" s="82">
        <f>IF(Q15=0,0,R15/Q15)</f>
        <v>-3.0714285714285707</v>
      </c>
      <c r="Q15" s="76">
        <v>7</v>
      </c>
      <c r="R15" s="67">
        <v>-21.499999999999996</v>
      </c>
    </row>
    <row r="16" spans="1:18" x14ac:dyDescent="0.45">
      <c r="A16" s="22" t="s">
        <v>121</v>
      </c>
      <c r="B16" s="15">
        <v>21</v>
      </c>
      <c r="C16" s="10">
        <f>IF(B$3=0,0,B16/B$3)</f>
        <v>0.27272727272727271</v>
      </c>
      <c r="E16" s="27" t="s">
        <v>71</v>
      </c>
      <c r="F16" s="24" t="s">
        <v>26</v>
      </c>
      <c r="G16" s="12">
        <v>0</v>
      </c>
      <c r="H16" s="88">
        <f>IF(B$20=0,0,G16/B$20)</f>
        <v>0</v>
      </c>
      <c r="I16" s="58">
        <v>8</v>
      </c>
      <c r="O16" s="74" t="s">
        <v>211</v>
      </c>
      <c r="P16" s="83">
        <f>IF(Q16=0,0,R16/Q16)</f>
        <v>-6.5999999999999988</v>
      </c>
      <c r="Q16" s="77">
        <v>3</v>
      </c>
      <c r="R16" s="68">
        <v>-19.799999999999997</v>
      </c>
    </row>
    <row r="17" spans="1:18" x14ac:dyDescent="0.45">
      <c r="A17" s="19" t="s">
        <v>118</v>
      </c>
      <c r="B17" s="12">
        <v>16</v>
      </c>
      <c r="C17" s="6">
        <f>IF(B$3=0,0,B17/B$3)</f>
        <v>0.20779220779220781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5</v>
      </c>
      <c r="O17" s="74" t="s">
        <v>126</v>
      </c>
      <c r="P17" s="83">
        <f>IF(Q17=0,0,R17/Q17)</f>
        <v>-12.162500000000001</v>
      </c>
      <c r="Q17" s="77">
        <v>8</v>
      </c>
      <c r="R17" s="68">
        <v>-97.300000000000011</v>
      </c>
    </row>
    <row r="18" spans="1:18" x14ac:dyDescent="0.45">
      <c r="A18" s="18" t="s">
        <v>123</v>
      </c>
      <c r="B18" s="11">
        <f>B24</f>
        <v>11</v>
      </c>
      <c r="C18" s="5">
        <f>IF(B$16=0,0,B18/B$16)</f>
        <v>0.52380952380952384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O18" s="74" t="s">
        <v>189</v>
      </c>
      <c r="P18" s="83">
        <f>IF(Q18=0,0,R18/Q18)</f>
        <v>-13.200000000000003</v>
      </c>
      <c r="Q18" s="77">
        <v>2</v>
      </c>
      <c r="R18" s="68">
        <v>-26.400000000000006</v>
      </c>
    </row>
    <row r="19" spans="1:18" x14ac:dyDescent="0.45">
      <c r="A19" s="18" t="s">
        <v>124</v>
      </c>
      <c r="B19" s="11">
        <f>B25</f>
        <v>7</v>
      </c>
      <c r="C19" s="5">
        <f>IF(B$17=0,0,B19/B$17)</f>
        <v>0.4375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3</v>
      </c>
    </row>
    <row r="20" spans="1:18" x14ac:dyDescent="0.45">
      <c r="A20" s="18" t="s">
        <v>10</v>
      </c>
      <c r="B20" s="11">
        <f>B23+B22</f>
        <v>19</v>
      </c>
      <c r="C20" s="5">
        <f>IF(B$3=0,0,B20/B$3)</f>
        <v>0.24675324675324675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</row>
    <row r="21" spans="1:18" x14ac:dyDescent="0.45">
      <c r="A21" s="19" t="s">
        <v>13</v>
      </c>
      <c r="B21" s="12">
        <v>5</v>
      </c>
      <c r="C21" s="6">
        <f>IF(B$3=0,0,B21/B$3)</f>
        <v>6.4935064935064929E-2</v>
      </c>
      <c r="E21" s="27" t="s">
        <v>77</v>
      </c>
      <c r="F21" s="24" t="s">
        <v>32</v>
      </c>
      <c r="G21" s="12">
        <v>0</v>
      </c>
      <c r="H21" s="88">
        <f>IF(B$20=0,0,G21/B$20)</f>
        <v>0</v>
      </c>
      <c r="I21" s="58">
        <v>3</v>
      </c>
    </row>
    <row r="22" spans="1:18" x14ac:dyDescent="0.45">
      <c r="A22" s="19" t="s">
        <v>12</v>
      </c>
      <c r="B22" s="12">
        <v>3</v>
      </c>
      <c r="C22" s="6">
        <f>IF(B$20=0,0,B22/B$20)</f>
        <v>0.15789473684210525</v>
      </c>
      <c r="E22" s="27" t="s">
        <v>78</v>
      </c>
      <c r="F22" s="24" t="s">
        <v>33</v>
      </c>
      <c r="G22" s="12">
        <v>0</v>
      </c>
      <c r="H22" s="88">
        <f>IF(B$20=0,0,G22/B$20)</f>
        <v>0</v>
      </c>
      <c r="I22" s="58">
        <v>7</v>
      </c>
    </row>
    <row r="23" spans="1:18" x14ac:dyDescent="0.45">
      <c r="A23" s="19" t="s">
        <v>11</v>
      </c>
      <c r="B23" s="12">
        <v>16</v>
      </c>
      <c r="C23" s="6">
        <f>IF(B$20=0,0,B23/B$20)</f>
        <v>0.84210526315789469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183</v>
      </c>
      <c r="B24" s="12">
        <v>11</v>
      </c>
      <c r="C24" s="6">
        <f>IF(B$20=0,0,B24/B$20)</f>
        <v>0.57894736842105265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7</v>
      </c>
      <c r="C25" s="6">
        <f>IF(B$20=0,0,B25/B$20)</f>
        <v>0.36842105263157893</v>
      </c>
      <c r="E25" s="27" t="s">
        <v>84</v>
      </c>
      <c r="F25" s="24" t="s">
        <v>39</v>
      </c>
      <c r="G25" s="12">
        <v>0</v>
      </c>
      <c r="H25" s="88">
        <f>IF(B$20=0,0,G25/B$20)</f>
        <v>0</v>
      </c>
      <c r="I25" s="58">
        <v>1</v>
      </c>
    </row>
    <row r="26" spans="1:18" x14ac:dyDescent="0.45">
      <c r="A26" s="19" t="s">
        <v>182</v>
      </c>
      <c r="B26" s="12">
        <v>1</v>
      </c>
      <c r="C26" s="6">
        <f>IF(B$20=0,0,B26/B$20)</f>
        <v>5.2631578947368418E-2</v>
      </c>
      <c r="E26" s="27" t="s">
        <v>85</v>
      </c>
      <c r="F26" s="24" t="s">
        <v>40</v>
      </c>
      <c r="G26" s="12">
        <v>0</v>
      </c>
      <c r="H26" s="88">
        <f>IF(B$20=0,0,G26/B$20)</f>
        <v>0</v>
      </c>
      <c r="I26" s="58">
        <v>5</v>
      </c>
    </row>
    <row r="27" spans="1:18" x14ac:dyDescent="0.45">
      <c r="A27" s="19" t="s">
        <v>5</v>
      </c>
      <c r="B27" s="16">
        <f>IF(B$20=0,0,C27/B$20)</f>
        <v>6452.6315789473683</v>
      </c>
      <c r="C27" s="8">
        <v>122600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6283.333333333333</v>
      </c>
      <c r="C28" s="96">
        <v>75400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5">
      <c r="A29" s="20" t="s">
        <v>166</v>
      </c>
      <c r="B29" s="95">
        <f>IF(B$19=0,0,C29/B$19)</f>
        <v>6742.8571428571431</v>
      </c>
      <c r="C29" s="96">
        <v>47200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-3380</v>
      </c>
      <c r="C30" s="96">
        <v>-16900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27</v>
      </c>
      <c r="C32" s="90">
        <v>27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80000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1</v>
      </c>
      <c r="C37" s="98">
        <f t="shared" ref="C37:C49" si="2">IF(B$20=0,0,B37/B$20)</f>
        <v>5.2631578947368418E-2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6</v>
      </c>
      <c r="C38" s="6">
        <f t="shared" si="2"/>
        <v>0.31578947368421051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5</v>
      </c>
      <c r="C39" s="6">
        <f t="shared" si="2"/>
        <v>0.26315789473684209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4</v>
      </c>
      <c r="C40" s="6">
        <f t="shared" si="2"/>
        <v>0.21052631578947367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1</v>
      </c>
      <c r="C41" s="6">
        <f t="shared" si="2"/>
        <v>5.2631578947368418E-2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0</v>
      </c>
      <c r="C42" s="6">
        <f t="shared" si="2"/>
        <v>0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2</v>
      </c>
      <c r="C44" s="6">
        <f t="shared" si="2"/>
        <v>0.10526315789473684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958A01-4BF0-4459-806B-DD777DF002AF}">
  <sheetPr codeName="Sheet15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211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22</v>
      </c>
      <c r="C2" s="134"/>
      <c r="E2" s="26" t="s">
        <v>66</v>
      </c>
      <c r="F2" s="23" t="s">
        <v>22</v>
      </c>
      <c r="G2" s="11">
        <v>48</v>
      </c>
      <c r="H2" s="87">
        <f>IF(B$20=0,0,G2/B$20)</f>
        <v>0.84210526315789469</v>
      </c>
      <c r="I2" s="57">
        <v>3</v>
      </c>
      <c r="K2" s="73">
        <v>0</v>
      </c>
      <c r="L2" s="118">
        <v>0</v>
      </c>
      <c r="M2" s="116">
        <v>1488.8318648771276</v>
      </c>
      <c r="O2" s="73" t="s">
        <v>128</v>
      </c>
      <c r="P2" s="79">
        <f t="shared" ref="P2:P7" si="0">IF(Q2=0,0,R2/Q2)</f>
        <v>-1422.7272727272727</v>
      </c>
      <c r="Q2" s="76">
        <v>22</v>
      </c>
      <c r="R2" s="63">
        <v>-31300</v>
      </c>
    </row>
    <row r="3" spans="1:18" x14ac:dyDescent="0.45">
      <c r="A3" s="19" t="s">
        <v>8</v>
      </c>
      <c r="B3" s="135">
        <v>175</v>
      </c>
      <c r="C3" s="136"/>
      <c r="E3" s="27" t="s">
        <v>72</v>
      </c>
      <c r="F3" s="24" t="s">
        <v>27</v>
      </c>
      <c r="G3" s="12">
        <v>36</v>
      </c>
      <c r="H3" s="88">
        <f>IF(B$20=0,0,G3/B$20)</f>
        <v>0.63157894736842102</v>
      </c>
      <c r="I3" s="58">
        <v>6</v>
      </c>
      <c r="K3" s="74">
        <v>1</v>
      </c>
      <c r="L3" s="119">
        <v>55.6</v>
      </c>
      <c r="M3" s="117">
        <v>1499.6088736878648</v>
      </c>
      <c r="O3" s="74" t="s">
        <v>129</v>
      </c>
      <c r="P3" s="80">
        <f t="shared" si="0"/>
        <v>1013.6363636363636</v>
      </c>
      <c r="Q3" s="77">
        <v>22</v>
      </c>
      <c r="R3" s="64">
        <v>22300</v>
      </c>
    </row>
    <row r="4" spans="1:18" x14ac:dyDescent="0.45">
      <c r="A4" s="19" t="s">
        <v>6</v>
      </c>
      <c r="B4" s="137">
        <v>137.19999999999999</v>
      </c>
      <c r="C4" s="138"/>
      <c r="E4" s="27" t="s">
        <v>64</v>
      </c>
      <c r="F4" s="24" t="s">
        <v>20</v>
      </c>
      <c r="G4" s="12">
        <v>22</v>
      </c>
      <c r="H4" s="88">
        <f>IF(B$20=0,0,G4/B$20)</f>
        <v>0.38596491228070173</v>
      </c>
      <c r="I4" s="58">
        <v>6</v>
      </c>
      <c r="K4" s="74">
        <v>2</v>
      </c>
      <c r="L4" s="119">
        <v>24.900000000000002</v>
      </c>
      <c r="M4" s="117">
        <v>1494.8112204457377</v>
      </c>
      <c r="O4" s="74" t="s">
        <v>130</v>
      </c>
      <c r="P4" s="80">
        <f t="shared" si="0"/>
        <v>2700</v>
      </c>
      <c r="Q4" s="77">
        <v>22</v>
      </c>
      <c r="R4" s="64">
        <v>59400</v>
      </c>
    </row>
    <row r="5" spans="1:18" x14ac:dyDescent="0.45">
      <c r="A5" s="19" t="s">
        <v>7</v>
      </c>
      <c r="B5" s="125">
        <f>IF(B$2=0,0,B$4/B$2)</f>
        <v>6.2363636363636354</v>
      </c>
      <c r="C5" s="126"/>
      <c r="E5" s="27" t="s">
        <v>67</v>
      </c>
      <c r="F5" s="24" t="s">
        <v>23</v>
      </c>
      <c r="G5" s="12">
        <v>16</v>
      </c>
      <c r="H5" s="88">
        <f>IF(B$20=0,0,G5/B$20)</f>
        <v>0.2807017543859649</v>
      </c>
      <c r="I5" s="58">
        <v>3</v>
      </c>
      <c r="K5" s="74">
        <v>3</v>
      </c>
      <c r="L5" s="119">
        <v>-20.599999999999998</v>
      </c>
      <c r="M5" s="117">
        <v>1487.3783531230633</v>
      </c>
      <c r="O5" s="74" t="s">
        <v>131</v>
      </c>
      <c r="P5" s="80">
        <f t="shared" si="0"/>
        <v>163.15789473684211</v>
      </c>
      <c r="Q5" s="77">
        <v>19</v>
      </c>
      <c r="R5" s="64">
        <v>3100</v>
      </c>
    </row>
    <row r="6" spans="1:18" x14ac:dyDescent="0.45">
      <c r="A6" s="19" t="s">
        <v>196</v>
      </c>
      <c r="B6" s="129">
        <v>1523.9584309432291</v>
      </c>
      <c r="C6" s="130"/>
      <c r="E6" s="27" t="s">
        <v>68</v>
      </c>
      <c r="F6" s="24" t="s">
        <v>12</v>
      </c>
      <c r="G6" s="12">
        <v>12</v>
      </c>
      <c r="H6" s="88">
        <f>IF(B$20=0,0,G6/B$20)</f>
        <v>0.21052631578947367</v>
      </c>
      <c r="I6" s="58">
        <v>10</v>
      </c>
      <c r="K6" s="74">
        <v>4</v>
      </c>
      <c r="L6" s="119">
        <v>-25</v>
      </c>
      <c r="M6" s="117">
        <v>1486.6380830043249</v>
      </c>
      <c r="O6" s="74" t="s">
        <v>132</v>
      </c>
      <c r="P6" s="80">
        <f t="shared" si="0"/>
        <v>2537.5</v>
      </c>
      <c r="Q6" s="77">
        <v>16</v>
      </c>
      <c r="R6" s="64">
        <v>40600</v>
      </c>
    </row>
    <row r="7" spans="1:18" x14ac:dyDescent="0.45">
      <c r="A7" s="19" t="s">
        <v>1</v>
      </c>
      <c r="B7" s="139">
        <f>IF(B$2=0,0,(B$8*1+B$9*2+B$10*3)/B$2)</f>
        <v>1.8181818181818181</v>
      </c>
      <c r="C7" s="140"/>
      <c r="E7" s="27" t="s">
        <v>159</v>
      </c>
      <c r="F7" s="24" t="s">
        <v>160</v>
      </c>
      <c r="G7" s="12">
        <v>12</v>
      </c>
      <c r="H7" s="88">
        <f>IF(B$20=0,0,G7/B$20)</f>
        <v>0.21052631578947367</v>
      </c>
      <c r="I7" s="58">
        <v>11</v>
      </c>
      <c r="K7" s="74">
        <v>5</v>
      </c>
      <c r="L7" s="119">
        <v>-53</v>
      </c>
      <c r="M7" s="117">
        <v>1481.354254506299</v>
      </c>
      <c r="O7" s="75" t="s">
        <v>133</v>
      </c>
      <c r="P7" s="81">
        <f t="shared" si="0"/>
        <v>1005.8823529411765</v>
      </c>
      <c r="Q7" s="78">
        <v>17</v>
      </c>
      <c r="R7" s="65">
        <v>17100</v>
      </c>
    </row>
    <row r="8" spans="1:18" x14ac:dyDescent="0.45">
      <c r="A8" s="19" t="s">
        <v>2</v>
      </c>
      <c r="B8" s="12">
        <v>10</v>
      </c>
      <c r="C8" s="6">
        <f t="shared" ref="C8:C15" si="1">IF(B$2=0,0,B8/B$2)</f>
        <v>0.45454545454545453</v>
      </c>
      <c r="E8" s="27" t="s">
        <v>89</v>
      </c>
      <c r="F8" s="24" t="s">
        <v>44</v>
      </c>
      <c r="G8" s="12">
        <v>9</v>
      </c>
      <c r="H8" s="88">
        <f>IF(B$20=0,0,G8/B$20)</f>
        <v>0.15789473684210525</v>
      </c>
      <c r="I8" s="58">
        <v>5</v>
      </c>
      <c r="K8" s="74">
        <v>6</v>
      </c>
      <c r="L8" s="119">
        <v>-32.799999999999997</v>
      </c>
      <c r="M8" s="117">
        <v>1485.3541289792611</v>
      </c>
      <c r="O8" s="107"/>
      <c r="P8" s="85"/>
      <c r="Q8" s="108"/>
      <c r="R8" s="70"/>
    </row>
    <row r="9" spans="1:18" x14ac:dyDescent="0.45">
      <c r="A9" s="19" t="s">
        <v>3</v>
      </c>
      <c r="B9" s="12">
        <v>6</v>
      </c>
      <c r="C9" s="6">
        <f t="shared" si="1"/>
        <v>0.27272727272727271</v>
      </c>
      <c r="E9" s="27" t="s">
        <v>69</v>
      </c>
      <c r="F9" s="24" t="s">
        <v>24</v>
      </c>
      <c r="G9" s="12">
        <v>8</v>
      </c>
      <c r="H9" s="88">
        <f>IF(B$20=0,0,G9/B$20)</f>
        <v>0.14035087719298245</v>
      </c>
      <c r="I9" s="58">
        <v>3</v>
      </c>
      <c r="K9" s="74">
        <v>7</v>
      </c>
      <c r="L9" s="119">
        <v>-22.199999999999996</v>
      </c>
      <c r="M9" s="117">
        <v>1487.6020042053856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6</v>
      </c>
      <c r="C10" s="7">
        <f t="shared" si="1"/>
        <v>0.27272727272727271</v>
      </c>
      <c r="E10" s="27" t="s">
        <v>71</v>
      </c>
      <c r="F10" s="24" t="s">
        <v>26</v>
      </c>
      <c r="G10" s="12">
        <v>6</v>
      </c>
      <c r="H10" s="88">
        <f>IF(B$20=0,0,G10/B$20)</f>
        <v>0.10526315789473684</v>
      </c>
      <c r="I10" s="58">
        <v>1</v>
      </c>
      <c r="K10" s="74">
        <v>8</v>
      </c>
      <c r="L10" s="119">
        <v>0.30000000000000426</v>
      </c>
      <c r="M10" s="117">
        <v>1491.7683921801533</v>
      </c>
      <c r="O10" s="73" t="s">
        <v>151</v>
      </c>
      <c r="P10" s="82">
        <f>IF(Q10=0,0,R10/Q10)</f>
        <v>-1.8200000000000003</v>
      </c>
      <c r="Q10" s="76">
        <v>5</v>
      </c>
      <c r="R10" s="67">
        <v>-9.1000000000000014</v>
      </c>
    </row>
    <row r="11" spans="1:18" x14ac:dyDescent="0.45">
      <c r="A11" s="20" t="s">
        <v>184</v>
      </c>
      <c r="B11" s="109">
        <f>IF(B8=0,0,C11/B8)</f>
        <v>32.450000000000003</v>
      </c>
      <c r="C11" s="110">
        <v>324.5</v>
      </c>
      <c r="E11" s="27" t="s">
        <v>86</v>
      </c>
      <c r="F11" s="24" t="s">
        <v>41</v>
      </c>
      <c r="G11" s="12">
        <v>5</v>
      </c>
      <c r="H11" s="88">
        <f>IF(B$20=0,0,G11/B$20)</f>
        <v>8.771929824561403E-2</v>
      </c>
      <c r="I11" s="58">
        <v>2</v>
      </c>
      <c r="K11" s="74">
        <v>9</v>
      </c>
      <c r="L11" s="119">
        <v>20.500000000000004</v>
      </c>
      <c r="M11" s="117">
        <v>1495.4357818270723</v>
      </c>
      <c r="O11" s="74" t="s">
        <v>152</v>
      </c>
      <c r="P11" s="83">
        <f>IF(Q11=0,0,R11/Q11)</f>
        <v>5.4428571428571439</v>
      </c>
      <c r="Q11" s="77">
        <v>7</v>
      </c>
      <c r="R11" s="68">
        <v>38.100000000000009</v>
      </c>
    </row>
    <row r="12" spans="1:18" x14ac:dyDescent="0.45">
      <c r="A12" s="20" t="s">
        <v>185</v>
      </c>
      <c r="B12" s="109">
        <f>IF(B9=0,0,C12/B9)</f>
        <v>0.41666666666666624</v>
      </c>
      <c r="C12" s="110">
        <v>2.4999999999999973</v>
      </c>
      <c r="E12" s="27" t="s">
        <v>91</v>
      </c>
      <c r="F12" s="24" t="s">
        <v>46</v>
      </c>
      <c r="G12" s="12">
        <v>5</v>
      </c>
      <c r="H12" s="88">
        <f>IF(B$20=0,0,G12/B$20)</f>
        <v>8.771929824561403E-2</v>
      </c>
      <c r="I12" s="58">
        <v>1</v>
      </c>
      <c r="K12" s="74">
        <v>10</v>
      </c>
      <c r="L12" s="119">
        <v>6.9000000000000039</v>
      </c>
      <c r="M12" s="117">
        <v>1493.62116713611</v>
      </c>
      <c r="O12" s="75" t="s">
        <v>153</v>
      </c>
      <c r="P12" s="84">
        <f>IF(Q12=0,0,R12/Q12)</f>
        <v>10.82</v>
      </c>
      <c r="Q12" s="78">
        <v>10</v>
      </c>
      <c r="R12" s="69">
        <v>108.2</v>
      </c>
    </row>
    <row r="13" spans="1:18" x14ac:dyDescent="0.45">
      <c r="A13" s="20" t="s">
        <v>186</v>
      </c>
      <c r="B13" s="109">
        <f>IF(B10=0,0,C13/B10)</f>
        <v>-31.633333333333336</v>
      </c>
      <c r="C13" s="110">
        <v>-189.8</v>
      </c>
      <c r="E13" s="27" t="s">
        <v>65</v>
      </c>
      <c r="F13" s="24" t="s">
        <v>21</v>
      </c>
      <c r="G13" s="12">
        <v>3</v>
      </c>
      <c r="H13" s="88">
        <f>IF(B$20=0,0,G13/B$20)</f>
        <v>5.2631578947368418E-2</v>
      </c>
      <c r="I13" s="58">
        <v>8</v>
      </c>
      <c r="K13" s="74">
        <v>11</v>
      </c>
      <c r="L13" s="119">
        <v>-18.799999999999997</v>
      </c>
      <c r="M13" s="117">
        <v>1489.7534401332932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0.41111111111111026</v>
      </c>
      <c r="C14" s="126"/>
      <c r="E14" s="27" t="s">
        <v>81</v>
      </c>
      <c r="F14" s="24" t="s">
        <v>36</v>
      </c>
      <c r="G14" s="12">
        <v>3</v>
      </c>
      <c r="H14" s="88">
        <f>IF(B$20=0,0,G14/B$20)</f>
        <v>5.2631578947368418E-2</v>
      </c>
      <c r="I14" s="58">
        <v>3</v>
      </c>
      <c r="K14" s="74">
        <v>12</v>
      </c>
      <c r="L14" s="119">
        <v>32.1</v>
      </c>
      <c r="M14" s="117">
        <v>1499.6969194924934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2</v>
      </c>
      <c r="C15" s="9">
        <f t="shared" si="1"/>
        <v>9.0909090909090912E-2</v>
      </c>
      <c r="E15" s="27" t="s">
        <v>83</v>
      </c>
      <c r="F15" s="24" t="s">
        <v>38</v>
      </c>
      <c r="G15" s="12">
        <v>3</v>
      </c>
      <c r="H15" s="88">
        <f>IF(B$20=0,0,G15/B$20)</f>
        <v>5.2631578947368418E-2</v>
      </c>
      <c r="I15" s="58">
        <v>3</v>
      </c>
      <c r="K15" s="74">
        <v>13</v>
      </c>
      <c r="L15" s="119">
        <v>65.800000000000011</v>
      </c>
      <c r="M15" s="117">
        <v>1506.4847379755383</v>
      </c>
      <c r="O15" s="73" t="s">
        <v>195</v>
      </c>
      <c r="P15" s="82">
        <f>IF(Q15=0,0,R15/Q15)</f>
        <v>44.4</v>
      </c>
      <c r="Q15" s="76">
        <v>1</v>
      </c>
      <c r="R15" s="67">
        <v>44.4</v>
      </c>
    </row>
    <row r="16" spans="1:18" x14ac:dyDescent="0.45">
      <c r="A16" s="22" t="s">
        <v>121</v>
      </c>
      <c r="B16" s="15">
        <v>39</v>
      </c>
      <c r="C16" s="10">
        <f>IF(B$3=0,0,B16/B$3)</f>
        <v>0.22285714285714286</v>
      </c>
      <c r="E16" s="27" t="s">
        <v>70</v>
      </c>
      <c r="F16" s="24" t="s">
        <v>25</v>
      </c>
      <c r="G16" s="12">
        <v>2</v>
      </c>
      <c r="H16" s="88">
        <f>IF(B$20=0,0,G16/B$20)</f>
        <v>3.5087719298245612E-2</v>
      </c>
      <c r="I16" s="58">
        <v>7</v>
      </c>
      <c r="K16" s="74">
        <v>14</v>
      </c>
      <c r="L16" s="119">
        <v>99.300000000000011</v>
      </c>
      <c r="M16" s="117">
        <v>1512.415829547685</v>
      </c>
      <c r="O16" s="74" t="s">
        <v>192</v>
      </c>
      <c r="P16" s="83">
        <f>IF(Q16=0,0,R16/Q16)</f>
        <v>28.800000000000004</v>
      </c>
      <c r="Q16" s="77">
        <v>4</v>
      </c>
      <c r="R16" s="68">
        <v>115.20000000000002</v>
      </c>
    </row>
    <row r="17" spans="1:18" x14ac:dyDescent="0.45">
      <c r="A17" s="19" t="s">
        <v>118</v>
      </c>
      <c r="B17" s="12">
        <v>40</v>
      </c>
      <c r="C17" s="6">
        <f>IF(B$3=0,0,B17/B$3)</f>
        <v>0.22857142857142856</v>
      </c>
      <c r="E17" s="27" t="s">
        <v>73</v>
      </c>
      <c r="F17" s="24" t="s">
        <v>28</v>
      </c>
      <c r="G17" s="12">
        <v>2</v>
      </c>
      <c r="H17" s="88">
        <f>IF(B$20=0,0,G17/B$20)</f>
        <v>3.5087719298245612E-2</v>
      </c>
      <c r="I17" s="58">
        <v>1</v>
      </c>
      <c r="K17" s="74">
        <v>15</v>
      </c>
      <c r="L17" s="119">
        <v>75.200000000000017</v>
      </c>
      <c r="M17" s="117">
        <v>1508.6093345703989</v>
      </c>
      <c r="O17" s="74" t="s">
        <v>221</v>
      </c>
      <c r="P17" s="83">
        <f>IF(Q17=0,0,R17/Q17)</f>
        <v>16.2</v>
      </c>
      <c r="Q17" s="77">
        <v>1</v>
      </c>
      <c r="R17" s="68">
        <v>16.2</v>
      </c>
    </row>
    <row r="18" spans="1:18" x14ac:dyDescent="0.45">
      <c r="A18" s="18" t="s">
        <v>123</v>
      </c>
      <c r="B18" s="11">
        <f>B24</f>
        <v>22</v>
      </c>
      <c r="C18" s="5">
        <f>IF(B$16=0,0,B18/B$16)</f>
        <v>0.5641025641025641</v>
      </c>
      <c r="E18" s="27" t="s">
        <v>78</v>
      </c>
      <c r="F18" s="24" t="s">
        <v>33</v>
      </c>
      <c r="G18" s="12">
        <v>2</v>
      </c>
      <c r="H18" s="88">
        <f>IF(B$20=0,0,G18/B$20)</f>
        <v>3.5087719298245612E-2</v>
      </c>
      <c r="I18" s="58">
        <v>4</v>
      </c>
      <c r="K18" s="74">
        <v>16</v>
      </c>
      <c r="L18" s="119">
        <v>83.000000000000014</v>
      </c>
      <c r="M18" s="117">
        <v>1510.5676785629764</v>
      </c>
      <c r="O18" s="74" t="s">
        <v>216</v>
      </c>
      <c r="P18" s="83">
        <f>IF(Q18=0,0,R18/Q18)</f>
        <v>15.922222222222224</v>
      </c>
      <c r="Q18" s="77">
        <v>9</v>
      </c>
      <c r="R18" s="68">
        <v>143.30000000000001</v>
      </c>
    </row>
    <row r="19" spans="1:18" x14ac:dyDescent="0.45">
      <c r="A19" s="18" t="s">
        <v>124</v>
      </c>
      <c r="B19" s="11">
        <f>B25</f>
        <v>23</v>
      </c>
      <c r="C19" s="5">
        <f>IF(B$17=0,0,B19/B$17)</f>
        <v>0.57499999999999996</v>
      </c>
      <c r="E19" s="27" t="s">
        <v>75</v>
      </c>
      <c r="F19" s="24" t="s">
        <v>30</v>
      </c>
      <c r="G19" s="12">
        <v>1</v>
      </c>
      <c r="H19" s="88">
        <f>IF(B$20=0,0,G19/B$20)</f>
        <v>1.7543859649122806E-2</v>
      </c>
      <c r="I19" s="58">
        <v>1</v>
      </c>
      <c r="K19" s="74">
        <v>17</v>
      </c>
      <c r="L19" s="119">
        <v>81.600000000000009</v>
      </c>
      <c r="M19" s="117">
        <v>1510.8582724915987</v>
      </c>
      <c r="O19" s="74" t="s">
        <v>163</v>
      </c>
      <c r="P19" s="83">
        <f>IF(Q19=0,0,R19/Q19)</f>
        <v>9.35</v>
      </c>
      <c r="Q19" s="77">
        <v>6</v>
      </c>
      <c r="R19" s="68">
        <v>56.1</v>
      </c>
    </row>
    <row r="20" spans="1:18" x14ac:dyDescent="0.45">
      <c r="A20" s="18" t="s">
        <v>10</v>
      </c>
      <c r="B20" s="11">
        <f>B23+B22</f>
        <v>57</v>
      </c>
      <c r="C20" s="5">
        <f>IF(B$3=0,0,B20/B$3)</f>
        <v>0.32571428571428573</v>
      </c>
      <c r="E20" s="27" t="s">
        <v>74</v>
      </c>
      <c r="F20" s="24" t="s">
        <v>29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83.2</v>
      </c>
      <c r="M20" s="117">
        <v>1512.053122856649</v>
      </c>
      <c r="O20" s="74" t="s">
        <v>190</v>
      </c>
      <c r="P20" s="83">
        <f>IF(Q20=0,0,R20/Q20)</f>
        <v>6.5999999999999988</v>
      </c>
      <c r="Q20" s="77">
        <v>3</v>
      </c>
      <c r="R20" s="68">
        <v>19.799999999999997</v>
      </c>
    </row>
    <row r="21" spans="1:18" x14ac:dyDescent="0.45">
      <c r="A21" s="19" t="s">
        <v>13</v>
      </c>
      <c r="B21" s="12">
        <v>25</v>
      </c>
      <c r="C21" s="6">
        <f>IF(B$3=0,0,B21/B$3)</f>
        <v>0.14285714285714285</v>
      </c>
      <c r="E21" s="27" t="s">
        <v>76</v>
      </c>
      <c r="F21" s="24" t="s">
        <v>31</v>
      </c>
      <c r="G21" s="12">
        <v>0</v>
      </c>
      <c r="H21" s="88">
        <f>IF(B$20=0,0,G21/B$20)</f>
        <v>0</v>
      </c>
      <c r="I21" s="58">
        <v>1</v>
      </c>
      <c r="K21" s="74">
        <v>19</v>
      </c>
      <c r="L21" s="119">
        <v>126.80000000000001</v>
      </c>
      <c r="M21" s="117">
        <v>1520.8008041195092</v>
      </c>
      <c r="O21" s="74" t="s">
        <v>126</v>
      </c>
      <c r="P21" s="83">
        <f>IF(Q21=0,0,R21/Q21)</f>
        <v>2.9153846153846152</v>
      </c>
      <c r="Q21" s="77">
        <v>13</v>
      </c>
      <c r="R21" s="68">
        <v>37.9</v>
      </c>
    </row>
    <row r="22" spans="1:18" x14ac:dyDescent="0.45">
      <c r="A22" s="19" t="s">
        <v>12</v>
      </c>
      <c r="B22" s="12">
        <v>23</v>
      </c>
      <c r="C22" s="6">
        <f>IF(B$20=0,0,B22/B$20)</f>
        <v>0.40350877192982454</v>
      </c>
      <c r="E22" s="27" t="s">
        <v>77</v>
      </c>
      <c r="F22" s="24" t="s">
        <v>32</v>
      </c>
      <c r="G22" s="12">
        <v>0</v>
      </c>
      <c r="H22" s="88">
        <f>IF(B$20=0,0,G22/B$20)</f>
        <v>0</v>
      </c>
      <c r="I22" s="58">
        <v>3</v>
      </c>
      <c r="K22" s="74">
        <v>20</v>
      </c>
      <c r="L22" s="119">
        <v>163</v>
      </c>
      <c r="M22" s="117">
        <v>1527.9899992947921</v>
      </c>
      <c r="O22" s="74" t="s">
        <v>189</v>
      </c>
      <c r="P22" s="83">
        <f>IF(Q22=0,0,R22/Q22)</f>
        <v>-1.3800000000000014</v>
      </c>
      <c r="Q22" s="77">
        <v>5</v>
      </c>
      <c r="R22" s="68">
        <v>-6.9000000000000075</v>
      </c>
    </row>
    <row r="23" spans="1:18" x14ac:dyDescent="0.45">
      <c r="A23" s="19" t="s">
        <v>11</v>
      </c>
      <c r="B23" s="12">
        <v>34</v>
      </c>
      <c r="C23" s="6">
        <f>IF(B$20=0,0,B23/B$20)</f>
        <v>0.59649122807017541</v>
      </c>
      <c r="E23" s="27" t="s">
        <v>79</v>
      </c>
      <c r="F23" s="24" t="s">
        <v>34</v>
      </c>
      <c r="G23" s="12">
        <v>0</v>
      </c>
      <c r="H23" s="88">
        <f>IF(B$20=0,0,G23/B$20)</f>
        <v>0</v>
      </c>
      <c r="I23" s="58">
        <v>7</v>
      </c>
      <c r="K23" s="74">
        <v>21</v>
      </c>
      <c r="L23" s="119">
        <v>116.7</v>
      </c>
      <c r="M23" s="117">
        <v>1519.9380592990233</v>
      </c>
      <c r="O23" s="74" t="s">
        <v>193</v>
      </c>
      <c r="P23" s="83">
        <f>IF(Q23=0,0,R23/Q23)</f>
        <v>-7.1999999999999993</v>
      </c>
      <c r="Q23" s="77">
        <v>2</v>
      </c>
      <c r="R23" s="68">
        <v>-14.399999999999999</v>
      </c>
    </row>
    <row r="24" spans="1:18" x14ac:dyDescent="0.45">
      <c r="A24" s="19" t="s">
        <v>183</v>
      </c>
      <c r="B24" s="12">
        <v>22</v>
      </c>
      <c r="C24" s="6">
        <f>IF(B$20=0,0,B24/B$20)</f>
        <v>0.38596491228070173</v>
      </c>
      <c r="E24" s="27" t="s">
        <v>80</v>
      </c>
      <c r="F24" s="24" t="s">
        <v>35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137.19999999999999</v>
      </c>
      <c r="M24" s="117">
        <v>1523.9584309432291</v>
      </c>
    </row>
    <row r="25" spans="1:18" x14ac:dyDescent="0.45">
      <c r="A25" s="19" t="s">
        <v>181</v>
      </c>
      <c r="B25" s="12">
        <v>23</v>
      </c>
      <c r="C25" s="6">
        <f>IF(B$20=0,0,B25/B$20)</f>
        <v>0.40350877192982454</v>
      </c>
      <c r="E25" s="27" t="s">
        <v>82</v>
      </c>
      <c r="F25" s="24" t="s">
        <v>37</v>
      </c>
      <c r="G25" s="12">
        <v>0</v>
      </c>
      <c r="H25" s="88">
        <f>IF(B$20=0,0,G25/B$20)</f>
        <v>0</v>
      </c>
      <c r="I25" s="58">
        <v>1</v>
      </c>
    </row>
    <row r="26" spans="1:18" x14ac:dyDescent="0.45">
      <c r="A26" s="19" t="s">
        <v>182</v>
      </c>
      <c r="B26" s="12">
        <v>12</v>
      </c>
      <c r="C26" s="6">
        <f>IF(B$20=0,0,B26/B$20)</f>
        <v>0.21052631578947367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8285.9649122807023</v>
      </c>
      <c r="C27" s="8">
        <v>472300</v>
      </c>
      <c r="E27" s="27" t="s">
        <v>85</v>
      </c>
      <c r="F27" s="24" t="s">
        <v>40</v>
      </c>
      <c r="G27" s="12">
        <v>0</v>
      </c>
      <c r="H27" s="88">
        <f>IF(B$20=0,0,G27/B$20)</f>
        <v>0</v>
      </c>
      <c r="I27" s="58">
        <v>5</v>
      </c>
    </row>
    <row r="28" spans="1:18" x14ac:dyDescent="0.45">
      <c r="A28" s="20" t="s">
        <v>165</v>
      </c>
      <c r="B28" s="95">
        <f>IF($B$20-B$19=0,0,C28/($B$20-B$19))</f>
        <v>8902.9411764705874</v>
      </c>
      <c r="C28" s="96">
        <v>302700</v>
      </c>
      <c r="E28" s="27" t="s">
        <v>87</v>
      </c>
      <c r="F28" s="24" t="s">
        <v>42</v>
      </c>
      <c r="G28" s="12">
        <v>0</v>
      </c>
      <c r="H28" s="88">
        <f>IF(B$20=0,0,G28/B$20)</f>
        <v>0</v>
      </c>
      <c r="I28" s="58">
        <v>1</v>
      </c>
    </row>
    <row r="29" spans="1:18" x14ac:dyDescent="0.45">
      <c r="A29" s="20" t="s">
        <v>166</v>
      </c>
      <c r="B29" s="95">
        <f>IF(B$19=0,0,C29/B$19)</f>
        <v>7373.913043478261</v>
      </c>
      <c r="C29" s="96">
        <v>169600</v>
      </c>
      <c r="E29" s="27" t="s">
        <v>88</v>
      </c>
      <c r="F29" s="24" t="s">
        <v>43</v>
      </c>
      <c r="G29" s="12">
        <v>0</v>
      </c>
      <c r="H29" s="88">
        <f>IF(B$20=0,0,G29/B$20)</f>
        <v>0</v>
      </c>
      <c r="I29" s="58">
        <v>5</v>
      </c>
    </row>
    <row r="30" spans="1:18" x14ac:dyDescent="0.45">
      <c r="A30" s="20" t="s">
        <v>164</v>
      </c>
      <c r="B30" s="95">
        <f>IF(B$21=0,0,C30/B$21)</f>
        <v>-7012</v>
      </c>
      <c r="C30" s="96">
        <v>-175300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1</v>
      </c>
    </row>
    <row r="31" spans="1:18" x14ac:dyDescent="0.45">
      <c r="A31" s="19" t="s">
        <v>157</v>
      </c>
      <c r="B31" s="12">
        <v>4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30</v>
      </c>
      <c r="C32" s="90">
        <v>9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6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80600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1</v>
      </c>
      <c r="C35" s="9">
        <f>IF(B$3=0,0,B35/B$3)</f>
        <v>5.7142857142857143E-3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4</v>
      </c>
      <c r="C37" s="98">
        <f t="shared" ref="C37:C49" si="2">IF(B$20=0,0,B37/B$20)</f>
        <v>7.0175438596491224E-2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13</v>
      </c>
      <c r="C38" s="6">
        <f t="shared" si="2"/>
        <v>0.22807017543859648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10</v>
      </c>
      <c r="C39" s="6">
        <f t="shared" si="2"/>
        <v>0.17543859649122806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9</v>
      </c>
      <c r="C40" s="6">
        <f t="shared" si="2"/>
        <v>0.15789473684210525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4</v>
      </c>
      <c r="C41" s="6">
        <f t="shared" si="2"/>
        <v>7.0175438596491224E-2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6</v>
      </c>
      <c r="C42" s="6">
        <f t="shared" si="2"/>
        <v>0.10526315789473684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5</v>
      </c>
      <c r="C43" s="6">
        <f t="shared" si="2"/>
        <v>8.771929824561403E-2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3</v>
      </c>
      <c r="C44" s="6">
        <f t="shared" si="2"/>
        <v>5.2631578947368418E-2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1</v>
      </c>
      <c r="C45" s="6">
        <f t="shared" si="2"/>
        <v>1.7543859649122806E-2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1</v>
      </c>
      <c r="C46" s="6">
        <f t="shared" si="2"/>
        <v>1.7543859649122806E-2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1</v>
      </c>
      <c r="C47" s="6">
        <f t="shared" si="2"/>
        <v>1.7543859649122806E-2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3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3DF6E-1B51-4CC6-B000-E82FF9DCEBDF}">
  <sheetPr codeName="Sheet17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192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29</v>
      </c>
      <c r="C2" s="134"/>
      <c r="E2" s="26" t="s">
        <v>66</v>
      </c>
      <c r="F2" s="23" t="s">
        <v>22</v>
      </c>
      <c r="G2" s="11">
        <v>70</v>
      </c>
      <c r="H2" s="87">
        <f>IF(B$20=0,0,G2/B$20)</f>
        <v>0.82352941176470584</v>
      </c>
      <c r="I2" s="57">
        <v>4</v>
      </c>
      <c r="K2" s="73">
        <v>0</v>
      </c>
      <c r="L2" s="118">
        <v>0</v>
      </c>
      <c r="M2" s="116">
        <v>1517.1288342047803</v>
      </c>
      <c r="O2" s="73" t="s">
        <v>128</v>
      </c>
      <c r="P2" s="79">
        <f t="shared" ref="P2:P7" si="0">IF(Q2=0,0,R2/Q2)</f>
        <v>-417.24137931034483</v>
      </c>
      <c r="Q2" s="76">
        <v>29</v>
      </c>
      <c r="R2" s="63">
        <v>-12100</v>
      </c>
    </row>
    <row r="3" spans="1:18" x14ac:dyDescent="0.45">
      <c r="A3" s="19" t="s">
        <v>8</v>
      </c>
      <c r="B3" s="135">
        <v>246</v>
      </c>
      <c r="C3" s="136"/>
      <c r="E3" s="27" t="s">
        <v>72</v>
      </c>
      <c r="F3" s="24" t="s">
        <v>27</v>
      </c>
      <c r="G3" s="12">
        <v>50</v>
      </c>
      <c r="H3" s="88">
        <f>IF(B$20=0,0,G3/B$20)</f>
        <v>0.58823529411764708</v>
      </c>
      <c r="I3" s="58">
        <v>7</v>
      </c>
      <c r="K3" s="74">
        <v>1</v>
      </c>
      <c r="L3" s="119">
        <v>11.6</v>
      </c>
      <c r="M3" s="117">
        <v>1519.7080611995516</v>
      </c>
      <c r="O3" s="74" t="s">
        <v>129</v>
      </c>
      <c r="P3" s="80">
        <f t="shared" si="0"/>
        <v>1992.5925925925926</v>
      </c>
      <c r="Q3" s="77">
        <v>27</v>
      </c>
      <c r="R3" s="64">
        <v>53800</v>
      </c>
    </row>
    <row r="4" spans="1:18" x14ac:dyDescent="0.45">
      <c r="A4" s="19" t="s">
        <v>6</v>
      </c>
      <c r="B4" s="137">
        <v>201.79999999999995</v>
      </c>
      <c r="C4" s="138"/>
      <c r="E4" s="27" t="s">
        <v>159</v>
      </c>
      <c r="F4" s="24" t="s">
        <v>160</v>
      </c>
      <c r="G4" s="12">
        <v>42</v>
      </c>
      <c r="H4" s="88">
        <f>IF(B$20=0,0,G4/B$20)</f>
        <v>0.49411764705882355</v>
      </c>
      <c r="I4" s="58">
        <v>1</v>
      </c>
      <c r="K4" s="74">
        <v>2</v>
      </c>
      <c r="L4" s="119">
        <v>42.9</v>
      </c>
      <c r="M4" s="117">
        <v>1525.8538128323544</v>
      </c>
      <c r="O4" s="74" t="s">
        <v>130</v>
      </c>
      <c r="P4" s="80">
        <f t="shared" si="0"/>
        <v>453.57142857142856</v>
      </c>
      <c r="Q4" s="77">
        <v>28</v>
      </c>
      <c r="R4" s="64">
        <v>12700</v>
      </c>
    </row>
    <row r="5" spans="1:18" x14ac:dyDescent="0.45">
      <c r="A5" s="19" t="s">
        <v>7</v>
      </c>
      <c r="B5" s="125">
        <f>IF(B$2=0,0,B$4/B$2)</f>
        <v>6.958620689655171</v>
      </c>
      <c r="C5" s="126"/>
      <c r="E5" s="27" t="s">
        <v>64</v>
      </c>
      <c r="F5" s="24" t="s">
        <v>20</v>
      </c>
      <c r="G5" s="12">
        <v>27</v>
      </c>
      <c r="H5" s="88">
        <f>IF(B$20=0,0,G5/B$20)</f>
        <v>0.31764705882352939</v>
      </c>
      <c r="I5" s="58">
        <v>9</v>
      </c>
      <c r="K5" s="74">
        <v>3</v>
      </c>
      <c r="L5" s="119">
        <v>49.199999999999996</v>
      </c>
      <c r="M5" s="117">
        <v>1526.8746899553603</v>
      </c>
      <c r="O5" s="74" t="s">
        <v>131</v>
      </c>
      <c r="P5" s="80">
        <f t="shared" si="0"/>
        <v>-744</v>
      </c>
      <c r="Q5" s="77">
        <v>25</v>
      </c>
      <c r="R5" s="64">
        <v>-18600</v>
      </c>
    </row>
    <row r="6" spans="1:18" x14ac:dyDescent="0.45">
      <c r="A6" s="19" t="s">
        <v>196</v>
      </c>
      <c r="B6" s="129">
        <v>1564.8235944029475</v>
      </c>
      <c r="C6" s="130"/>
      <c r="E6" s="27" t="s">
        <v>68</v>
      </c>
      <c r="F6" s="24" t="s">
        <v>12</v>
      </c>
      <c r="G6" s="12">
        <v>26</v>
      </c>
      <c r="H6" s="88">
        <f>IF(B$20=0,0,G6/B$20)</f>
        <v>0.30588235294117649</v>
      </c>
      <c r="I6" s="58">
        <v>6</v>
      </c>
      <c r="K6" s="74">
        <v>4</v>
      </c>
      <c r="L6" s="119">
        <v>75.8</v>
      </c>
      <c r="M6" s="117">
        <v>1532.5274418156282</v>
      </c>
      <c r="O6" s="74" t="s">
        <v>132</v>
      </c>
      <c r="P6" s="80">
        <f t="shared" si="0"/>
        <v>1373.9130434782608</v>
      </c>
      <c r="Q6" s="77">
        <v>23</v>
      </c>
      <c r="R6" s="64">
        <v>31600</v>
      </c>
    </row>
    <row r="7" spans="1:18" x14ac:dyDescent="0.45">
      <c r="A7" s="19" t="s">
        <v>1</v>
      </c>
      <c r="B7" s="139">
        <f>IF(B$2=0,0,(B$8*1+B$9*2+B$10*3)/B$2)</f>
        <v>1.7586206896551724</v>
      </c>
      <c r="C7" s="140"/>
      <c r="E7" s="27" t="s">
        <v>70</v>
      </c>
      <c r="F7" s="24" t="s">
        <v>25</v>
      </c>
      <c r="G7" s="12">
        <v>14</v>
      </c>
      <c r="H7" s="88">
        <f>IF(B$20=0,0,G7/B$20)</f>
        <v>0.16470588235294117</v>
      </c>
      <c r="I7" s="58">
        <v>1</v>
      </c>
      <c r="K7" s="74">
        <v>5</v>
      </c>
      <c r="L7" s="119">
        <v>47.8</v>
      </c>
      <c r="M7" s="117">
        <v>1528.3182771647344</v>
      </c>
      <c r="O7" s="75" t="s">
        <v>133</v>
      </c>
      <c r="P7" s="81">
        <f t="shared" si="0"/>
        <v>-90</v>
      </c>
      <c r="Q7" s="78">
        <v>20</v>
      </c>
      <c r="R7" s="65">
        <v>-1800</v>
      </c>
    </row>
    <row r="8" spans="1:18" x14ac:dyDescent="0.45">
      <c r="A8" s="19" t="s">
        <v>2</v>
      </c>
      <c r="B8" s="12">
        <v>14</v>
      </c>
      <c r="C8" s="6">
        <f t="shared" ref="C8:C15" si="1">IF(B$2=0,0,B8/B$2)</f>
        <v>0.48275862068965519</v>
      </c>
      <c r="E8" s="27" t="s">
        <v>67</v>
      </c>
      <c r="F8" s="24" t="s">
        <v>23</v>
      </c>
      <c r="G8" s="12">
        <v>12</v>
      </c>
      <c r="H8" s="88">
        <f>IF(B$20=0,0,G8/B$20)</f>
        <v>0.14117647058823529</v>
      </c>
      <c r="I8" s="58">
        <v>9</v>
      </c>
      <c r="K8" s="74">
        <v>6</v>
      </c>
      <c r="L8" s="119">
        <v>26.4</v>
      </c>
      <c r="M8" s="117">
        <v>1524.962367501746</v>
      </c>
      <c r="O8" s="107"/>
      <c r="P8" s="85"/>
      <c r="Q8" s="108"/>
      <c r="R8" s="70"/>
    </row>
    <row r="9" spans="1:18" x14ac:dyDescent="0.45">
      <c r="A9" s="19" t="s">
        <v>3</v>
      </c>
      <c r="B9" s="12">
        <v>8</v>
      </c>
      <c r="C9" s="6">
        <f t="shared" si="1"/>
        <v>0.27586206896551724</v>
      </c>
      <c r="E9" s="27" t="s">
        <v>89</v>
      </c>
      <c r="F9" s="24" t="s">
        <v>44</v>
      </c>
      <c r="G9" s="12">
        <v>10</v>
      </c>
      <c r="H9" s="88">
        <f>IF(B$20=0,0,G9/B$20)</f>
        <v>0.11764705882352941</v>
      </c>
      <c r="I9" s="58">
        <v>9</v>
      </c>
      <c r="K9" s="74">
        <v>7</v>
      </c>
      <c r="L9" s="119">
        <v>25.9</v>
      </c>
      <c r="M9" s="117">
        <v>1524.5545932967354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7</v>
      </c>
      <c r="C10" s="7">
        <f t="shared" si="1"/>
        <v>0.2413793103448276</v>
      </c>
      <c r="E10" s="27" t="s">
        <v>69</v>
      </c>
      <c r="F10" s="24" t="s">
        <v>24</v>
      </c>
      <c r="G10" s="12">
        <v>8</v>
      </c>
      <c r="H10" s="88">
        <f>IF(B$20=0,0,G10/B$20)</f>
        <v>9.4117647058823528E-2</v>
      </c>
      <c r="I10" s="58">
        <v>7</v>
      </c>
      <c r="K10" s="74">
        <v>8</v>
      </c>
      <c r="L10" s="119">
        <v>1.5</v>
      </c>
      <c r="M10" s="117">
        <v>1520.549265736955</v>
      </c>
      <c r="O10" s="73" t="s">
        <v>151</v>
      </c>
      <c r="P10" s="82">
        <f>IF(Q10=0,0,R10/Q10)</f>
        <v>13.776923076923074</v>
      </c>
      <c r="Q10" s="76">
        <v>13</v>
      </c>
      <c r="R10" s="67">
        <v>179.09999999999997</v>
      </c>
    </row>
    <row r="11" spans="1:18" x14ac:dyDescent="0.45">
      <c r="A11" s="20" t="s">
        <v>184</v>
      </c>
      <c r="B11" s="109">
        <f>IF(B8=0,0,C11/B8)</f>
        <v>35.371428571428574</v>
      </c>
      <c r="C11" s="110">
        <v>495.20000000000005</v>
      </c>
      <c r="E11" s="27" t="s">
        <v>71</v>
      </c>
      <c r="F11" s="24" t="s">
        <v>26</v>
      </c>
      <c r="G11" s="12">
        <v>8</v>
      </c>
      <c r="H11" s="88">
        <f>IF(B$20=0,0,G11/B$20)</f>
        <v>9.4117647058823528E-2</v>
      </c>
      <c r="I11" s="58">
        <v>2</v>
      </c>
      <c r="K11" s="74">
        <v>9</v>
      </c>
      <c r="L11" s="119">
        <v>9.6999999999999993</v>
      </c>
      <c r="M11" s="117">
        <v>1522.4359701425333</v>
      </c>
      <c r="O11" s="74" t="s">
        <v>152</v>
      </c>
      <c r="P11" s="83">
        <f>IF(Q11=0,0,R11/Q11)</f>
        <v>-3.9454545454545453</v>
      </c>
      <c r="Q11" s="77">
        <v>11</v>
      </c>
      <c r="R11" s="68">
        <v>-43.4</v>
      </c>
    </row>
    <row r="12" spans="1:18" x14ac:dyDescent="0.45">
      <c r="A12" s="20" t="s">
        <v>185</v>
      </c>
      <c r="B12" s="109">
        <f>IF(B9=0,0,C12/B9)</f>
        <v>-5.6875</v>
      </c>
      <c r="C12" s="110">
        <v>-45.5</v>
      </c>
      <c r="E12" s="27" t="s">
        <v>78</v>
      </c>
      <c r="F12" s="24" t="s">
        <v>33</v>
      </c>
      <c r="G12" s="12">
        <v>4</v>
      </c>
      <c r="H12" s="88">
        <f>IF(B$20=0,0,G12/B$20)</f>
        <v>4.7058823529411764E-2</v>
      </c>
      <c r="I12" s="58">
        <v>3</v>
      </c>
      <c r="K12" s="74">
        <v>10</v>
      </c>
      <c r="L12" s="119">
        <v>9.1999999999999993</v>
      </c>
      <c r="M12" s="117">
        <v>1522.8413543216782</v>
      </c>
      <c r="O12" s="75" t="s">
        <v>153</v>
      </c>
      <c r="P12" s="84">
        <f>IF(Q12=0,0,R12/Q12)</f>
        <v>13.219999999999999</v>
      </c>
      <c r="Q12" s="78">
        <v>5</v>
      </c>
      <c r="R12" s="69">
        <v>66.099999999999994</v>
      </c>
    </row>
    <row r="13" spans="1:18" x14ac:dyDescent="0.45">
      <c r="A13" s="20" t="s">
        <v>186</v>
      </c>
      <c r="B13" s="109">
        <f>IF(B10=0,0,C13/B10)</f>
        <v>-35.414285714285718</v>
      </c>
      <c r="C13" s="110">
        <v>-247.9</v>
      </c>
      <c r="E13" s="27" t="s">
        <v>86</v>
      </c>
      <c r="F13" s="24" t="s">
        <v>41</v>
      </c>
      <c r="G13" s="12">
        <v>3</v>
      </c>
      <c r="H13" s="88">
        <f>IF(B$20=0,0,G13/B$20)</f>
        <v>3.5294117647058823E-2</v>
      </c>
      <c r="I13" s="58">
        <v>7</v>
      </c>
      <c r="K13" s="74">
        <v>11</v>
      </c>
      <c r="L13" s="119">
        <v>2.2999999999999989</v>
      </c>
      <c r="M13" s="117">
        <v>1522.0923061957481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-1.9101190476190482</v>
      </c>
      <c r="C14" s="126"/>
      <c r="E14" s="27" t="s">
        <v>65</v>
      </c>
      <c r="F14" s="24" t="s">
        <v>21</v>
      </c>
      <c r="G14" s="12">
        <v>2</v>
      </c>
      <c r="H14" s="88">
        <f>IF(B$20=0,0,G14/B$20)</f>
        <v>2.3529411764705882E-2</v>
      </c>
      <c r="I14" s="58">
        <v>10</v>
      </c>
      <c r="K14" s="74">
        <v>12</v>
      </c>
      <c r="L14" s="119">
        <v>1.599999999999999</v>
      </c>
      <c r="M14" s="117">
        <v>1522.4637523585736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2</v>
      </c>
      <c r="C15" s="9">
        <f t="shared" si="1"/>
        <v>6.8965517241379309E-2</v>
      </c>
      <c r="E15" s="27" t="s">
        <v>79</v>
      </c>
      <c r="F15" s="24" t="s">
        <v>34</v>
      </c>
      <c r="G15" s="12">
        <v>2</v>
      </c>
      <c r="H15" s="88">
        <f>IF(B$20=0,0,G15/B$20)</f>
        <v>2.3529411764705882E-2</v>
      </c>
      <c r="I15" s="58">
        <v>4</v>
      </c>
      <c r="K15" s="74">
        <v>13</v>
      </c>
      <c r="L15" s="119">
        <v>-48.5</v>
      </c>
      <c r="M15" s="117">
        <v>1514.0489698444221</v>
      </c>
      <c r="O15" s="73" t="s">
        <v>195</v>
      </c>
      <c r="P15" s="82">
        <f>IF(Q15=0,0,R15/Q15)</f>
        <v>36.479999999999997</v>
      </c>
      <c r="Q15" s="76">
        <v>5</v>
      </c>
      <c r="R15" s="67">
        <v>182.39999999999998</v>
      </c>
    </row>
    <row r="16" spans="1:18" x14ac:dyDescent="0.45">
      <c r="A16" s="22" t="s">
        <v>121</v>
      </c>
      <c r="B16" s="15">
        <v>55</v>
      </c>
      <c r="C16" s="10">
        <f>IF(B$3=0,0,B16/B$3)</f>
        <v>0.22357723577235772</v>
      </c>
      <c r="E16" s="27" t="s">
        <v>83</v>
      </c>
      <c r="F16" s="24" t="s">
        <v>38</v>
      </c>
      <c r="G16" s="12">
        <v>2</v>
      </c>
      <c r="H16" s="88">
        <f>IF(B$20=0,0,G16/B$20)</f>
        <v>2.3529411764705882E-2</v>
      </c>
      <c r="I16" s="58">
        <v>8</v>
      </c>
      <c r="K16" s="74">
        <v>14</v>
      </c>
      <c r="L16" s="119">
        <v>-20.2</v>
      </c>
      <c r="M16" s="117">
        <v>1519.0406760253557</v>
      </c>
      <c r="O16" s="74" t="s">
        <v>216</v>
      </c>
      <c r="P16" s="83">
        <f>IF(Q16=0,0,R16/Q16)</f>
        <v>35.1</v>
      </c>
      <c r="Q16" s="77">
        <v>1</v>
      </c>
      <c r="R16" s="68">
        <v>35.1</v>
      </c>
    </row>
    <row r="17" spans="1:18" x14ac:dyDescent="0.45">
      <c r="A17" s="19" t="s">
        <v>118</v>
      </c>
      <c r="B17" s="12">
        <v>60</v>
      </c>
      <c r="C17" s="6">
        <f>IF(B$3=0,0,B17/B$3)</f>
        <v>0.24390243902439024</v>
      </c>
      <c r="E17" s="27" t="s">
        <v>73</v>
      </c>
      <c r="F17" s="24" t="s">
        <v>28</v>
      </c>
      <c r="G17" s="12">
        <v>1</v>
      </c>
      <c r="H17" s="88">
        <f>IF(B$20=0,0,G17/B$20)</f>
        <v>1.1764705882352941E-2</v>
      </c>
      <c r="I17" s="58">
        <v>2</v>
      </c>
      <c r="K17" s="74">
        <v>15</v>
      </c>
      <c r="L17" s="119">
        <v>22.500000000000004</v>
      </c>
      <c r="M17" s="117">
        <v>1526.5944319692035</v>
      </c>
      <c r="O17" s="74" t="s">
        <v>221</v>
      </c>
      <c r="P17" s="83">
        <f>IF(Q17=0,0,R17/Q17)</f>
        <v>17</v>
      </c>
      <c r="Q17" s="77">
        <v>1</v>
      </c>
      <c r="R17" s="68">
        <v>17</v>
      </c>
    </row>
    <row r="18" spans="1:18" x14ac:dyDescent="0.45">
      <c r="A18" s="18" t="s">
        <v>123</v>
      </c>
      <c r="B18" s="11">
        <f>B24</f>
        <v>28</v>
      </c>
      <c r="C18" s="5">
        <f>IF(B$16=0,0,B18/B$16)</f>
        <v>0.50909090909090904</v>
      </c>
      <c r="E18" s="27" t="s">
        <v>81</v>
      </c>
      <c r="F18" s="24" t="s">
        <v>36</v>
      </c>
      <c r="G18" s="12">
        <v>1</v>
      </c>
      <c r="H18" s="88">
        <f>IF(B$20=0,0,G18/B$20)</f>
        <v>1.1764705882352941E-2</v>
      </c>
      <c r="I18" s="58">
        <v>8</v>
      </c>
      <c r="K18" s="74">
        <v>16</v>
      </c>
      <c r="L18" s="119">
        <v>64.5</v>
      </c>
      <c r="M18" s="117">
        <v>1534.7448653773884</v>
      </c>
      <c r="O18" s="74" t="s">
        <v>189</v>
      </c>
      <c r="P18" s="83">
        <f>IF(Q18=0,0,R18/Q18)</f>
        <v>15.020000000000001</v>
      </c>
      <c r="Q18" s="77">
        <v>10</v>
      </c>
      <c r="R18" s="68">
        <v>150.20000000000002</v>
      </c>
    </row>
    <row r="19" spans="1:18" x14ac:dyDescent="0.45">
      <c r="A19" s="18" t="s">
        <v>124</v>
      </c>
      <c r="B19" s="11">
        <f>B25</f>
        <v>30</v>
      </c>
      <c r="C19" s="5">
        <f>IF(B$17=0,0,B19/B$17)</f>
        <v>0.5</v>
      </c>
      <c r="E19" s="27" t="s">
        <v>88</v>
      </c>
      <c r="F19" s="24" t="s">
        <v>43</v>
      </c>
      <c r="G19" s="12">
        <v>1</v>
      </c>
      <c r="H19" s="88">
        <f>IF(B$20=0,0,G19/B$20)</f>
        <v>1.1764705882352941E-2</v>
      </c>
      <c r="I19" s="58">
        <v>3</v>
      </c>
      <c r="K19" s="74">
        <v>17</v>
      </c>
      <c r="L19" s="119">
        <v>10.5</v>
      </c>
      <c r="M19" s="117">
        <v>1525.5663961851239</v>
      </c>
      <c r="O19" s="74" t="s">
        <v>163</v>
      </c>
      <c r="P19" s="83">
        <f>IF(Q19=0,0,R19/Q19)</f>
        <v>14.785714285714286</v>
      </c>
      <c r="Q19" s="77">
        <v>7</v>
      </c>
      <c r="R19" s="68">
        <v>103.5</v>
      </c>
    </row>
    <row r="20" spans="1:18" x14ac:dyDescent="0.45">
      <c r="A20" s="18" t="s">
        <v>10</v>
      </c>
      <c r="B20" s="11">
        <f>B23+B22</f>
        <v>85</v>
      </c>
      <c r="C20" s="5">
        <f>IF(B$3=0,0,B20/B$3)</f>
        <v>0.34552845528455284</v>
      </c>
      <c r="E20" s="27" t="s">
        <v>102</v>
      </c>
      <c r="F20" s="24" t="s">
        <v>57</v>
      </c>
      <c r="G20" s="12">
        <v>1</v>
      </c>
      <c r="H20" s="88">
        <f>IF(B$20=0,0,G20/B$20)</f>
        <v>1.1764705882352941E-2</v>
      </c>
      <c r="I20" s="58">
        <v>1</v>
      </c>
      <c r="K20" s="74">
        <v>18</v>
      </c>
      <c r="L20" s="119">
        <v>-22.299999999999997</v>
      </c>
      <c r="M20" s="117">
        <v>1520.2589978080132</v>
      </c>
      <c r="O20" s="74" t="s">
        <v>126</v>
      </c>
      <c r="P20" s="83">
        <f>IF(Q20=0,0,R20/Q20)</f>
        <v>9.1695652173913054</v>
      </c>
      <c r="Q20" s="77">
        <v>23</v>
      </c>
      <c r="R20" s="68">
        <v>210.9</v>
      </c>
    </row>
    <row r="21" spans="1:18" x14ac:dyDescent="0.45">
      <c r="A21" s="19" t="s">
        <v>13</v>
      </c>
      <c r="B21" s="12">
        <v>35</v>
      </c>
      <c r="C21" s="6">
        <f>IF(B$3=0,0,B21/B$3)</f>
        <v>0.14227642276422764</v>
      </c>
      <c r="E21" s="27" t="s">
        <v>155</v>
      </c>
      <c r="F21" s="24" t="s">
        <v>156</v>
      </c>
      <c r="G21" s="12">
        <v>1</v>
      </c>
      <c r="H21" s="88">
        <f>IF(B$20=0,0,G21/B$20)</f>
        <v>1.1764705882352941E-2</v>
      </c>
      <c r="I21" s="58">
        <v>4</v>
      </c>
      <c r="K21" s="74">
        <v>19</v>
      </c>
      <c r="L21" s="119">
        <v>8.5000000000000036</v>
      </c>
      <c r="M21" s="117">
        <v>1526.4314438211652</v>
      </c>
      <c r="O21" s="74" t="s">
        <v>190</v>
      </c>
      <c r="P21" s="83">
        <f>IF(Q21=0,0,R21/Q21)</f>
        <v>3.0714285714285707</v>
      </c>
      <c r="Q21" s="77">
        <v>7</v>
      </c>
      <c r="R21" s="68">
        <v>21.499999999999996</v>
      </c>
    </row>
    <row r="22" spans="1:18" x14ac:dyDescent="0.45">
      <c r="A22" s="19" t="s">
        <v>12</v>
      </c>
      <c r="B22" s="12">
        <v>38</v>
      </c>
      <c r="C22" s="6">
        <f>IF(B$20=0,0,B22/B$20)</f>
        <v>0.44705882352941179</v>
      </c>
      <c r="E22" s="27" t="s">
        <v>74</v>
      </c>
      <c r="F22" s="24" t="s">
        <v>29</v>
      </c>
      <c r="G22" s="12">
        <v>0</v>
      </c>
      <c r="H22" s="88">
        <f>IF(B$20=0,0,G22/B$20)</f>
        <v>0</v>
      </c>
      <c r="I22" s="58">
        <v>1</v>
      </c>
      <c r="K22" s="74">
        <v>20</v>
      </c>
      <c r="L22" s="119">
        <v>36.800000000000004</v>
      </c>
      <c r="M22" s="117">
        <v>1531.9848551582381</v>
      </c>
      <c r="O22" s="74" t="s">
        <v>211</v>
      </c>
      <c r="P22" s="83">
        <f>IF(Q22=0,0,R22/Q22)</f>
        <v>-28.799999999999997</v>
      </c>
      <c r="Q22" s="77">
        <v>4</v>
      </c>
      <c r="R22" s="68">
        <v>-115.19999999999999</v>
      </c>
    </row>
    <row r="23" spans="1:18" x14ac:dyDescent="0.45">
      <c r="A23" s="19" t="s">
        <v>11</v>
      </c>
      <c r="B23" s="12">
        <v>47</v>
      </c>
      <c r="C23" s="6">
        <f>IF(B$20=0,0,B23/B$20)</f>
        <v>0.55294117647058827</v>
      </c>
      <c r="E23" s="27" t="s">
        <v>75</v>
      </c>
      <c r="F23" s="24" t="s">
        <v>30</v>
      </c>
      <c r="G23" s="12">
        <v>0</v>
      </c>
      <c r="H23" s="88">
        <f>IF(B$20=0,0,G23/B$20)</f>
        <v>0</v>
      </c>
      <c r="I23" s="58">
        <v>3</v>
      </c>
      <c r="K23" s="74">
        <v>21</v>
      </c>
      <c r="L23" s="119">
        <v>66.2</v>
      </c>
      <c r="M23" s="117">
        <v>1537.7029460272888</v>
      </c>
    </row>
    <row r="24" spans="1:18" x14ac:dyDescent="0.45">
      <c r="A24" s="19" t="s">
        <v>183</v>
      </c>
      <c r="B24" s="12">
        <v>28</v>
      </c>
      <c r="C24" s="6">
        <f>IF(B$20=0,0,B24/B$20)</f>
        <v>0.32941176470588235</v>
      </c>
      <c r="E24" s="27" t="s">
        <v>76</v>
      </c>
      <c r="F24" s="24" t="s">
        <v>31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103</v>
      </c>
      <c r="M24" s="117">
        <v>1545.0727283511251</v>
      </c>
    </row>
    <row r="25" spans="1:18" x14ac:dyDescent="0.45">
      <c r="A25" s="19" t="s">
        <v>181</v>
      </c>
      <c r="B25" s="12">
        <v>30</v>
      </c>
      <c r="C25" s="6">
        <f>IF(B$20=0,0,B25/B$20)</f>
        <v>0.35294117647058826</v>
      </c>
      <c r="E25" s="27" t="s">
        <v>77</v>
      </c>
      <c r="F25" s="24" t="s">
        <v>32</v>
      </c>
      <c r="G25" s="12">
        <v>0</v>
      </c>
      <c r="H25" s="88">
        <f>IF(B$20=0,0,G25/B$20)</f>
        <v>0</v>
      </c>
      <c r="I25" s="58">
        <v>3</v>
      </c>
      <c r="K25" s="74">
        <v>23</v>
      </c>
      <c r="L25" s="119">
        <v>125.1</v>
      </c>
      <c r="M25" s="117">
        <v>1549.7522919810183</v>
      </c>
    </row>
    <row r="26" spans="1:18" x14ac:dyDescent="0.45">
      <c r="A26" s="19" t="s">
        <v>182</v>
      </c>
      <c r="B26" s="12">
        <v>27</v>
      </c>
      <c r="C26" s="6">
        <f>IF(B$20=0,0,B26/B$20)</f>
        <v>0.31764705882352939</v>
      </c>
      <c r="E26" s="27" t="s">
        <v>80</v>
      </c>
      <c r="F26" s="24" t="s">
        <v>35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198.89999999999998</v>
      </c>
      <c r="M26" s="117">
        <v>1563.2357782291322</v>
      </c>
    </row>
    <row r="27" spans="1:18" x14ac:dyDescent="0.45">
      <c r="A27" s="19" t="s">
        <v>5</v>
      </c>
      <c r="B27" s="16">
        <f>IF(B$20=0,0,C27/B$20)</f>
        <v>7843.5294117647063</v>
      </c>
      <c r="C27" s="8">
        <v>666700</v>
      </c>
      <c r="E27" s="27" t="s">
        <v>82</v>
      </c>
      <c r="F27" s="24" t="s">
        <v>37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230.09999999999997</v>
      </c>
      <c r="M27" s="117">
        <v>1568.9703635597573</v>
      </c>
    </row>
    <row r="28" spans="1:18" x14ac:dyDescent="0.45">
      <c r="A28" s="20" t="s">
        <v>165</v>
      </c>
      <c r="B28" s="95">
        <f>IF($B$20-B$19=0,0,C28/($B$20-B$19))</f>
        <v>9323.636363636364</v>
      </c>
      <c r="C28" s="96">
        <v>512800</v>
      </c>
      <c r="E28" s="27" t="s">
        <v>84</v>
      </c>
      <c r="F28" s="24" t="s">
        <v>39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290.39999999999998</v>
      </c>
      <c r="M28" s="117">
        <v>1580.4125413783988</v>
      </c>
    </row>
    <row r="29" spans="1:18" x14ac:dyDescent="0.45">
      <c r="A29" s="20" t="s">
        <v>166</v>
      </c>
      <c r="B29" s="95">
        <f>IF(B$19=0,0,C29/B$19)</f>
        <v>5130</v>
      </c>
      <c r="C29" s="96">
        <v>153900</v>
      </c>
      <c r="E29" s="27" t="s">
        <v>85</v>
      </c>
      <c r="F29" s="24" t="s">
        <v>40</v>
      </c>
      <c r="G29" s="12">
        <v>0</v>
      </c>
      <c r="H29" s="88">
        <f>IF(B$20=0,0,G29/B$20)</f>
        <v>0</v>
      </c>
      <c r="I29" s="58">
        <v>5</v>
      </c>
      <c r="K29" s="74">
        <v>27</v>
      </c>
      <c r="L29" s="119">
        <v>250.09999999999997</v>
      </c>
      <c r="M29" s="117">
        <v>1573.4740661301284</v>
      </c>
    </row>
    <row r="30" spans="1:18" x14ac:dyDescent="0.45">
      <c r="A30" s="20" t="s">
        <v>164</v>
      </c>
      <c r="B30" s="95">
        <f>IF(B$21=0,0,C30/B$21)</f>
        <v>-7828.5714285714284</v>
      </c>
      <c r="C30" s="96">
        <v>-274000</v>
      </c>
      <c r="E30" s="27" t="s">
        <v>87</v>
      </c>
      <c r="F30" s="24" t="s">
        <v>42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226.69999999999996</v>
      </c>
      <c r="M30" s="117">
        <v>1569.2712217333476</v>
      </c>
    </row>
    <row r="31" spans="1:18" x14ac:dyDescent="0.45">
      <c r="A31" s="19" t="s">
        <v>157</v>
      </c>
      <c r="B31" s="12">
        <v>6</v>
      </c>
      <c r="C31" s="90">
        <v>0</v>
      </c>
      <c r="E31" s="27" t="s">
        <v>90</v>
      </c>
      <c r="F31" s="24" t="s">
        <v>45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201.79999999999995</v>
      </c>
      <c r="M31" s="117">
        <v>1564.8235944029475</v>
      </c>
    </row>
    <row r="32" spans="1:18" x14ac:dyDescent="0.45">
      <c r="A32" s="19" t="s">
        <v>158</v>
      </c>
      <c r="B32" s="12">
        <v>30</v>
      </c>
      <c r="C32" s="90">
        <v>0</v>
      </c>
      <c r="E32" s="27" t="s">
        <v>91</v>
      </c>
      <c r="F32" s="24" t="s">
        <v>46</v>
      </c>
      <c r="G32" s="12">
        <v>0</v>
      </c>
      <c r="H32" s="88">
        <f>IF(B$20=0,0,G32/B$20)</f>
        <v>0</v>
      </c>
      <c r="I32" s="58">
        <v>5</v>
      </c>
    </row>
    <row r="33" spans="1:9" x14ac:dyDescent="0.45">
      <c r="A33" s="54" t="s">
        <v>136</v>
      </c>
      <c r="B33" s="127">
        <v>7</v>
      </c>
      <c r="C33" s="128"/>
      <c r="E33" s="27" t="s">
        <v>92</v>
      </c>
      <c r="F33" s="24" t="s">
        <v>47</v>
      </c>
      <c r="G33" s="12">
        <v>0</v>
      </c>
      <c r="H33" s="88">
        <f>IF(B$20=0,0,G33/B$20)</f>
        <v>0</v>
      </c>
      <c r="I33" s="58">
        <v>3</v>
      </c>
    </row>
    <row r="34" spans="1:9" x14ac:dyDescent="0.45">
      <c r="A34" s="22" t="s">
        <v>180</v>
      </c>
      <c r="B34" s="129">
        <v>98800</v>
      </c>
      <c r="C34" s="130"/>
      <c r="E34" s="27" t="s">
        <v>93</v>
      </c>
      <c r="F34" s="24" t="s">
        <v>48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9</v>
      </c>
      <c r="C37" s="98">
        <f t="shared" ref="C37:C49" si="2">IF(B$20=0,0,B37/B$20)</f>
        <v>0.10588235294117647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18</v>
      </c>
      <c r="C38" s="6">
        <f t="shared" si="2"/>
        <v>0.21176470588235294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19</v>
      </c>
      <c r="C39" s="6">
        <f t="shared" si="2"/>
        <v>0.22352941176470589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14</v>
      </c>
      <c r="C40" s="6">
        <f t="shared" si="2"/>
        <v>0.16470588235294117</v>
      </c>
      <c r="E40" s="27" t="s">
        <v>99</v>
      </c>
      <c r="F40" s="24" t="s">
        <v>54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11</v>
      </c>
      <c r="C41" s="6">
        <f t="shared" si="2"/>
        <v>0.12941176470588237</v>
      </c>
      <c r="E41" s="27" t="s">
        <v>100</v>
      </c>
      <c r="F41" s="24" t="s">
        <v>55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2</v>
      </c>
      <c r="C42" s="6">
        <f t="shared" si="2"/>
        <v>2.3529411764705882E-2</v>
      </c>
      <c r="E42" s="27" t="s">
        <v>101</v>
      </c>
      <c r="F42" s="24" t="s">
        <v>56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7</v>
      </c>
      <c r="C43" s="6">
        <f t="shared" si="2"/>
        <v>8.2352941176470587E-2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2</v>
      </c>
      <c r="C44" s="6">
        <f t="shared" si="2"/>
        <v>2.3529411764705882E-2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1</v>
      </c>
      <c r="C45" s="6">
        <f t="shared" si="2"/>
        <v>1.1764705882352941E-2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1</v>
      </c>
      <c r="C46" s="6">
        <f t="shared" si="2"/>
        <v>1.1764705882352941E-2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1</v>
      </c>
      <c r="C49" s="9">
        <f t="shared" si="2"/>
        <v>1.1764705882352941E-2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2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53932-1757-4D90-9AFE-BC2EB9350461}">
  <sheetPr codeName="Sheet19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216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14</v>
      </c>
      <c r="C2" s="134"/>
      <c r="E2" s="26" t="s">
        <v>66</v>
      </c>
      <c r="F2" s="23" t="s">
        <v>22</v>
      </c>
      <c r="G2" s="11">
        <v>15</v>
      </c>
      <c r="H2" s="87">
        <f>IF(B$20=0,0,G2/B$20)</f>
        <v>0.6</v>
      </c>
      <c r="I2" s="57">
        <v>11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-1221.4285714285713</v>
      </c>
      <c r="Q2" s="76">
        <v>14</v>
      </c>
      <c r="R2" s="63">
        <v>-17100</v>
      </c>
    </row>
    <row r="3" spans="1:18" x14ac:dyDescent="0.45">
      <c r="A3" s="19" t="s">
        <v>8</v>
      </c>
      <c r="B3" s="135">
        <v>111</v>
      </c>
      <c r="C3" s="136"/>
      <c r="E3" s="27" t="s">
        <v>72</v>
      </c>
      <c r="F3" s="24" t="s">
        <v>27</v>
      </c>
      <c r="G3" s="12">
        <v>14</v>
      </c>
      <c r="H3" s="88">
        <f>IF(B$20=0,0,G3/B$20)</f>
        <v>0.56000000000000005</v>
      </c>
      <c r="I3" s="58">
        <v>8</v>
      </c>
      <c r="K3" s="74">
        <v>1</v>
      </c>
      <c r="L3" s="119">
        <v>42.4</v>
      </c>
      <c r="M3" s="117">
        <v>1507.6079999999999</v>
      </c>
      <c r="O3" s="74" t="s">
        <v>129</v>
      </c>
      <c r="P3" s="80">
        <f t="shared" si="0"/>
        <v>-907.14285714285711</v>
      </c>
      <c r="Q3" s="77">
        <v>14</v>
      </c>
      <c r="R3" s="64">
        <v>-12700</v>
      </c>
    </row>
    <row r="4" spans="1:18" x14ac:dyDescent="0.45">
      <c r="A4" s="19" t="s">
        <v>6</v>
      </c>
      <c r="B4" s="137">
        <v>-95.6</v>
      </c>
      <c r="C4" s="138"/>
      <c r="E4" s="27" t="s">
        <v>64</v>
      </c>
      <c r="F4" s="24" t="s">
        <v>20</v>
      </c>
      <c r="G4" s="12">
        <v>11</v>
      </c>
      <c r="H4" s="88">
        <f>IF(B$20=0,0,G4/B$20)</f>
        <v>0.44</v>
      </c>
      <c r="I4" s="58">
        <v>3</v>
      </c>
      <c r="K4" s="74">
        <v>2</v>
      </c>
      <c r="L4" s="119">
        <v>50.4</v>
      </c>
      <c r="M4" s="117">
        <v>1508.6783519999999</v>
      </c>
      <c r="O4" s="74" t="s">
        <v>130</v>
      </c>
      <c r="P4" s="80">
        <f t="shared" si="0"/>
        <v>-4335.7142857142853</v>
      </c>
      <c r="Q4" s="77">
        <v>14</v>
      </c>
      <c r="R4" s="64">
        <v>-60700</v>
      </c>
    </row>
    <row r="5" spans="1:18" x14ac:dyDescent="0.45">
      <c r="A5" s="19" t="s">
        <v>7</v>
      </c>
      <c r="B5" s="125">
        <f>IF(B$2=0,0,B$4/B$2)</f>
        <v>-6.8285714285714283</v>
      </c>
      <c r="C5" s="126"/>
      <c r="E5" s="27" t="s">
        <v>159</v>
      </c>
      <c r="F5" s="24" t="s">
        <v>160</v>
      </c>
      <c r="G5" s="12">
        <v>9</v>
      </c>
      <c r="H5" s="88">
        <f>IF(B$20=0,0,G5/B$20)</f>
        <v>0.36</v>
      </c>
      <c r="I5" s="58">
        <v>8</v>
      </c>
      <c r="K5" s="74">
        <v>3</v>
      </c>
      <c r="L5" s="119">
        <v>10.399999999999999</v>
      </c>
      <c r="M5" s="117">
        <v>1501.8402818879999</v>
      </c>
      <c r="O5" s="74" t="s">
        <v>131</v>
      </c>
      <c r="P5" s="80">
        <f t="shared" si="0"/>
        <v>-161.53846153846155</v>
      </c>
      <c r="Q5" s="77">
        <v>13</v>
      </c>
      <c r="R5" s="64">
        <v>-2100</v>
      </c>
    </row>
    <row r="6" spans="1:18" x14ac:dyDescent="0.45">
      <c r="A6" s="19" t="s">
        <v>196</v>
      </c>
      <c r="B6" s="129">
        <v>1488.317150804671</v>
      </c>
      <c r="C6" s="130"/>
      <c r="E6" s="27" t="s">
        <v>68</v>
      </c>
      <c r="F6" s="24" t="s">
        <v>12</v>
      </c>
      <c r="G6" s="12">
        <v>6</v>
      </c>
      <c r="H6" s="88">
        <f>IF(B$20=0,0,G6/B$20)</f>
        <v>0.24</v>
      </c>
      <c r="I6" s="58">
        <v>9</v>
      </c>
      <c r="K6" s="74">
        <v>4</v>
      </c>
      <c r="L6" s="119">
        <v>60</v>
      </c>
      <c r="M6" s="117">
        <v>1511.171240196672</v>
      </c>
      <c r="O6" s="74" t="s">
        <v>132</v>
      </c>
      <c r="P6" s="80">
        <f t="shared" si="0"/>
        <v>-581.81818181818187</v>
      </c>
      <c r="Q6" s="77">
        <v>11</v>
      </c>
      <c r="R6" s="64">
        <v>-6400</v>
      </c>
    </row>
    <row r="7" spans="1:18" x14ac:dyDescent="0.45">
      <c r="A7" s="19" t="s">
        <v>1</v>
      </c>
      <c r="B7" s="139">
        <f>IF(B$2=0,0,(B$8*1+B$9*2+B$10*3)/B$2)</f>
        <v>2.1428571428571428</v>
      </c>
      <c r="C7" s="140"/>
      <c r="E7" s="27" t="s">
        <v>89</v>
      </c>
      <c r="F7" s="24" t="s">
        <v>44</v>
      </c>
      <c r="G7" s="12">
        <v>6</v>
      </c>
      <c r="H7" s="88">
        <f>IF(B$20=0,0,G7/B$20)</f>
        <v>0.24</v>
      </c>
      <c r="I7" s="58">
        <v>3</v>
      </c>
      <c r="K7" s="74">
        <v>5</v>
      </c>
      <c r="L7" s="119">
        <v>6.2000000000000028</v>
      </c>
      <c r="M7" s="117">
        <v>1501.672212755492</v>
      </c>
      <c r="O7" s="75" t="s">
        <v>133</v>
      </c>
      <c r="P7" s="81">
        <f t="shared" si="0"/>
        <v>2945.4545454545455</v>
      </c>
      <c r="Q7" s="78">
        <v>11</v>
      </c>
      <c r="R7" s="65">
        <v>32400</v>
      </c>
    </row>
    <row r="8" spans="1:18" x14ac:dyDescent="0.45">
      <c r="A8" s="19" t="s">
        <v>2</v>
      </c>
      <c r="B8" s="12">
        <v>4</v>
      </c>
      <c r="C8" s="6">
        <f t="shared" ref="C8:C15" si="1">IF(B$2=0,0,B8/B$2)</f>
        <v>0.2857142857142857</v>
      </c>
      <c r="E8" s="27" t="s">
        <v>65</v>
      </c>
      <c r="F8" s="24" t="s">
        <v>21</v>
      </c>
      <c r="G8" s="12">
        <v>4</v>
      </c>
      <c r="H8" s="88">
        <f>IF(B$20=0,0,G8/B$20)</f>
        <v>0.16</v>
      </c>
      <c r="I8" s="58">
        <v>2</v>
      </c>
      <c r="K8" s="74">
        <v>6</v>
      </c>
      <c r="L8" s="119">
        <v>30.000000000000004</v>
      </c>
      <c r="M8" s="117">
        <v>1506.198179478959</v>
      </c>
      <c r="O8" s="107"/>
      <c r="P8" s="85"/>
      <c r="Q8" s="108"/>
      <c r="R8" s="70"/>
    </row>
    <row r="9" spans="1:18" x14ac:dyDescent="0.45">
      <c r="A9" s="19" t="s">
        <v>3</v>
      </c>
      <c r="B9" s="12">
        <v>4</v>
      </c>
      <c r="C9" s="6">
        <f t="shared" si="1"/>
        <v>0.2857142857142857</v>
      </c>
      <c r="E9" s="27" t="s">
        <v>67</v>
      </c>
      <c r="F9" s="24" t="s">
        <v>23</v>
      </c>
      <c r="G9" s="12">
        <v>3</v>
      </c>
      <c r="H9" s="88">
        <f>IF(B$20=0,0,G9/B$20)</f>
        <v>0.12</v>
      </c>
      <c r="I9" s="58">
        <v>10</v>
      </c>
      <c r="K9" s="74">
        <v>7</v>
      </c>
      <c r="L9" s="119">
        <v>1.2000000000000028</v>
      </c>
      <c r="M9" s="117">
        <v>1501.0189904020851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6</v>
      </c>
      <c r="C10" s="7">
        <f t="shared" si="1"/>
        <v>0.42857142857142855</v>
      </c>
      <c r="E10" s="27" t="s">
        <v>70</v>
      </c>
      <c r="F10" s="24" t="s">
        <v>25</v>
      </c>
      <c r="G10" s="12">
        <v>3</v>
      </c>
      <c r="H10" s="88">
        <f>IF(B$20=0,0,G10/B$20)</f>
        <v>0.12</v>
      </c>
      <c r="I10" s="58">
        <v>3</v>
      </c>
      <c r="K10" s="74">
        <v>8</v>
      </c>
      <c r="L10" s="119">
        <v>40.900000000000006</v>
      </c>
      <c r="M10" s="117">
        <v>1508.8788764596727</v>
      </c>
      <c r="O10" s="73" t="s">
        <v>151</v>
      </c>
      <c r="P10" s="82">
        <f>IF(Q10=0,0,R10/Q10)</f>
        <v>-15.66</v>
      </c>
      <c r="Q10" s="76">
        <v>5</v>
      </c>
      <c r="R10" s="67">
        <v>-78.3</v>
      </c>
    </row>
    <row r="11" spans="1:18" x14ac:dyDescent="0.45">
      <c r="A11" s="20" t="s">
        <v>184</v>
      </c>
      <c r="B11" s="109">
        <f>IF(B8=0,0,C11/B8)</f>
        <v>38.875</v>
      </c>
      <c r="C11" s="110">
        <v>155.5</v>
      </c>
      <c r="E11" s="27" t="s">
        <v>86</v>
      </c>
      <c r="F11" s="24" t="s">
        <v>41</v>
      </c>
      <c r="G11" s="12">
        <v>3</v>
      </c>
      <c r="H11" s="88">
        <f>IF(B$20=0,0,G11/B$20)</f>
        <v>0.12</v>
      </c>
      <c r="I11" s="58">
        <v>1</v>
      </c>
      <c r="K11" s="74">
        <v>9</v>
      </c>
      <c r="L11" s="119">
        <v>21.100000000000005</v>
      </c>
      <c r="M11" s="117">
        <v>1505.9816032009146</v>
      </c>
      <c r="O11" s="74" t="s">
        <v>152</v>
      </c>
      <c r="P11" s="83">
        <f>IF(Q11=0,0,R11/Q11)</f>
        <v>-17.133333333333333</v>
      </c>
      <c r="Q11" s="77">
        <v>3</v>
      </c>
      <c r="R11" s="68">
        <v>-51.4</v>
      </c>
    </row>
    <row r="12" spans="1:18" x14ac:dyDescent="0.45">
      <c r="A12" s="20" t="s">
        <v>185</v>
      </c>
      <c r="B12" s="109">
        <f>IF(B9=0,0,C12/B9)</f>
        <v>-3.6750000000000003</v>
      </c>
      <c r="C12" s="110">
        <v>-14.700000000000001</v>
      </c>
      <c r="E12" s="27" t="s">
        <v>69</v>
      </c>
      <c r="F12" s="24" t="s">
        <v>24</v>
      </c>
      <c r="G12" s="12">
        <v>2</v>
      </c>
      <c r="H12" s="88">
        <f>IF(B$20=0,0,G12/B$20)</f>
        <v>0.08</v>
      </c>
      <c r="I12" s="58">
        <v>8</v>
      </c>
      <c r="K12" s="74">
        <v>10</v>
      </c>
      <c r="L12" s="119">
        <v>14.100000000000005</v>
      </c>
      <c r="M12" s="117">
        <v>1505.4057135817091</v>
      </c>
      <c r="O12" s="75" t="s">
        <v>153</v>
      </c>
      <c r="P12" s="84">
        <f>IF(Q12=0,0,R12/Q12)</f>
        <v>5.6833333333333336</v>
      </c>
      <c r="Q12" s="78">
        <v>6</v>
      </c>
      <c r="R12" s="69">
        <v>34.1</v>
      </c>
    </row>
    <row r="13" spans="1:18" x14ac:dyDescent="0.45">
      <c r="A13" s="20" t="s">
        <v>186</v>
      </c>
      <c r="B13" s="109">
        <f>IF(B10=0,0,C13/B10)</f>
        <v>-39.4</v>
      </c>
      <c r="C13" s="110">
        <v>-236.4</v>
      </c>
      <c r="E13" s="27" t="s">
        <v>71</v>
      </c>
      <c r="F13" s="24" t="s">
        <v>26</v>
      </c>
      <c r="G13" s="12">
        <v>2</v>
      </c>
      <c r="H13" s="88">
        <f>IF(B$20=0,0,G13/B$20)</f>
        <v>0.08</v>
      </c>
      <c r="I13" s="58">
        <v>3</v>
      </c>
      <c r="K13" s="74">
        <v>11</v>
      </c>
      <c r="L13" s="119">
        <v>-20.399999999999995</v>
      </c>
      <c r="M13" s="117">
        <v>1499.1032793002189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-1.3999999999999986</v>
      </c>
      <c r="C14" s="126"/>
      <c r="E14" s="27" t="s">
        <v>77</v>
      </c>
      <c r="F14" s="24" t="s">
        <v>32</v>
      </c>
      <c r="G14" s="12">
        <v>1</v>
      </c>
      <c r="H14" s="88">
        <f>IF(B$20=0,0,G14/B$20)</f>
        <v>0.04</v>
      </c>
      <c r="I14" s="58">
        <v>1</v>
      </c>
      <c r="K14" s="74">
        <v>12</v>
      </c>
      <c r="L14" s="119">
        <v>-16.299999999999997</v>
      </c>
      <c r="M14" s="117">
        <v>1500.7526596244177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1</v>
      </c>
      <c r="C15" s="9">
        <f t="shared" si="1"/>
        <v>7.1428571428571425E-2</v>
      </c>
      <c r="E15" s="27" t="s">
        <v>81</v>
      </c>
      <c r="F15" s="24" t="s">
        <v>36</v>
      </c>
      <c r="G15" s="12">
        <v>1</v>
      </c>
      <c r="H15" s="88">
        <f>IF(B$20=0,0,G15/B$20)</f>
        <v>0.04</v>
      </c>
      <c r="I15" s="58">
        <v>5</v>
      </c>
      <c r="K15" s="74">
        <v>13</v>
      </c>
      <c r="L15" s="119">
        <v>-54.199999999999996</v>
      </c>
      <c r="M15" s="117">
        <v>1494.8321436666711</v>
      </c>
      <c r="O15" s="73" t="s">
        <v>193</v>
      </c>
      <c r="P15" s="82">
        <f t="shared" ref="P15:P20" si="2">IF(Q15=0,0,R15/Q15)</f>
        <v>27.925000000000001</v>
      </c>
      <c r="Q15" s="76">
        <v>4</v>
      </c>
      <c r="R15" s="67">
        <v>111.7</v>
      </c>
    </row>
    <row r="16" spans="1:18" x14ac:dyDescent="0.45">
      <c r="A16" s="22" t="s">
        <v>121</v>
      </c>
      <c r="B16" s="15">
        <v>26</v>
      </c>
      <c r="C16" s="10">
        <f>IF(B$3=0,0,B16/B$3)</f>
        <v>0.23423423423423423</v>
      </c>
      <c r="E16" s="27" t="s">
        <v>85</v>
      </c>
      <c r="F16" s="24" t="s">
        <v>40</v>
      </c>
      <c r="G16" s="12">
        <v>1</v>
      </c>
      <c r="H16" s="88">
        <f>IF(B$20=0,0,G16/B$20)</f>
        <v>0.04</v>
      </c>
      <c r="I16" s="58">
        <v>1</v>
      </c>
      <c r="K16" s="74">
        <v>14</v>
      </c>
      <c r="L16" s="119">
        <v>-95.6</v>
      </c>
      <c r="M16" s="117">
        <v>1488.317150804671</v>
      </c>
      <c r="O16" s="74" t="s">
        <v>126</v>
      </c>
      <c r="P16" s="83">
        <f t="shared" si="2"/>
        <v>1.85</v>
      </c>
      <c r="Q16" s="77">
        <v>8</v>
      </c>
      <c r="R16" s="68">
        <v>14.8</v>
      </c>
    </row>
    <row r="17" spans="1:18" x14ac:dyDescent="0.45">
      <c r="A17" s="19" t="s">
        <v>118</v>
      </c>
      <c r="B17" s="12">
        <v>23</v>
      </c>
      <c r="C17" s="6">
        <f>IF(B$3=0,0,B17/B$3)</f>
        <v>0.2072072072072072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5</v>
      </c>
      <c r="O17" s="74" t="s">
        <v>211</v>
      </c>
      <c r="P17" s="83">
        <f t="shared" si="2"/>
        <v>-15.922222222222224</v>
      </c>
      <c r="Q17" s="77">
        <v>9</v>
      </c>
      <c r="R17" s="68">
        <v>-143.30000000000001</v>
      </c>
    </row>
    <row r="18" spans="1:18" x14ac:dyDescent="0.45">
      <c r="A18" s="18" t="s">
        <v>123</v>
      </c>
      <c r="B18" s="11">
        <f>B24</f>
        <v>12</v>
      </c>
      <c r="C18" s="5">
        <f>IF(B$16=0,0,B18/B$16)</f>
        <v>0.46153846153846156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O18" s="74" t="s">
        <v>192</v>
      </c>
      <c r="P18" s="83">
        <f t="shared" si="2"/>
        <v>-35.1</v>
      </c>
      <c r="Q18" s="77">
        <v>1</v>
      </c>
      <c r="R18" s="68">
        <v>-35.1</v>
      </c>
    </row>
    <row r="19" spans="1:18" x14ac:dyDescent="0.45">
      <c r="A19" s="18" t="s">
        <v>124</v>
      </c>
      <c r="B19" s="11">
        <f>B25</f>
        <v>7</v>
      </c>
      <c r="C19" s="5">
        <f>IF(B$17=0,0,B19/B$17)</f>
        <v>0.30434782608695654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3</v>
      </c>
      <c r="O19" s="74" t="s">
        <v>189</v>
      </c>
      <c r="P19" s="83">
        <f t="shared" si="2"/>
        <v>-35.5</v>
      </c>
      <c r="Q19" s="77">
        <v>1</v>
      </c>
      <c r="R19" s="68">
        <v>-35.5</v>
      </c>
    </row>
    <row r="20" spans="1:18" x14ac:dyDescent="0.45">
      <c r="A20" s="18" t="s">
        <v>10</v>
      </c>
      <c r="B20" s="11">
        <f>B23+B22</f>
        <v>25</v>
      </c>
      <c r="C20" s="5">
        <f>IF(B$3=0,0,B20/B$3)</f>
        <v>0.22522522522522523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  <c r="O20" s="74" t="s">
        <v>163</v>
      </c>
      <c r="P20" s="83">
        <f t="shared" si="2"/>
        <v>-39.880000000000003</v>
      </c>
      <c r="Q20" s="77">
        <v>5</v>
      </c>
      <c r="R20" s="68">
        <v>-199.4</v>
      </c>
    </row>
    <row r="21" spans="1:18" x14ac:dyDescent="0.45">
      <c r="A21" s="19" t="s">
        <v>13</v>
      </c>
      <c r="B21" s="12">
        <v>24</v>
      </c>
      <c r="C21" s="6">
        <f>IF(B$3=0,0,B21/B$3)</f>
        <v>0.21621621621621623</v>
      </c>
      <c r="E21" s="27" t="s">
        <v>78</v>
      </c>
      <c r="F21" s="24" t="s">
        <v>33</v>
      </c>
      <c r="G21" s="12">
        <v>0</v>
      </c>
      <c r="H21" s="88">
        <f>IF(B$20=0,0,G21/B$20)</f>
        <v>0</v>
      </c>
      <c r="I21" s="58">
        <v>7</v>
      </c>
    </row>
    <row r="22" spans="1:18" x14ac:dyDescent="0.45">
      <c r="A22" s="19" t="s">
        <v>12</v>
      </c>
      <c r="B22" s="12">
        <v>11</v>
      </c>
      <c r="C22" s="6">
        <f>IF(B$20=0,0,B22/B$20)</f>
        <v>0.44</v>
      </c>
      <c r="E22" s="27" t="s">
        <v>79</v>
      </c>
      <c r="F22" s="24" t="s">
        <v>34</v>
      </c>
      <c r="G22" s="12">
        <v>0</v>
      </c>
      <c r="H22" s="88">
        <f>IF(B$20=0,0,G22/B$20)</f>
        <v>0</v>
      </c>
      <c r="I22" s="58">
        <v>7</v>
      </c>
    </row>
    <row r="23" spans="1:18" x14ac:dyDescent="0.45">
      <c r="A23" s="19" t="s">
        <v>11</v>
      </c>
      <c r="B23" s="12">
        <v>14</v>
      </c>
      <c r="C23" s="6">
        <f>IF(B$20=0,0,B23/B$20)</f>
        <v>0.56000000000000005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183</v>
      </c>
      <c r="B24" s="12">
        <v>12</v>
      </c>
      <c r="C24" s="6">
        <f>IF(B$20=0,0,B24/B$20)</f>
        <v>0.48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7</v>
      </c>
      <c r="C25" s="6">
        <f>IF(B$20=0,0,B25/B$20)</f>
        <v>0.28000000000000003</v>
      </c>
      <c r="E25" s="27" t="s">
        <v>83</v>
      </c>
      <c r="F25" s="24" t="s">
        <v>38</v>
      </c>
      <c r="G25" s="12">
        <v>0</v>
      </c>
      <c r="H25" s="88">
        <f>IF(B$20=0,0,G25/B$20)</f>
        <v>0</v>
      </c>
      <c r="I25" s="58">
        <v>9</v>
      </c>
    </row>
    <row r="26" spans="1:18" x14ac:dyDescent="0.45">
      <c r="A26" s="19" t="s">
        <v>182</v>
      </c>
      <c r="B26" s="12">
        <v>6</v>
      </c>
      <c r="C26" s="6">
        <f>IF(B$20=0,0,B26/B$20)</f>
        <v>0.24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7796</v>
      </c>
      <c r="C27" s="8">
        <v>194900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8922.2222222222226</v>
      </c>
      <c r="C28" s="96">
        <v>160600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5">
      <c r="A29" s="20" t="s">
        <v>166</v>
      </c>
      <c r="B29" s="95">
        <f>IF(B$19=0,0,C29/B$19)</f>
        <v>4900</v>
      </c>
      <c r="C29" s="96">
        <v>34300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-7654.166666666667</v>
      </c>
      <c r="C30" s="96">
        <v>-183700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17</v>
      </c>
      <c r="C32" s="90">
        <v>5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74600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4</v>
      </c>
      <c r="C37" s="98">
        <f t="shared" ref="C37:C49" si="3">IF(B$20=0,0,B37/B$20)</f>
        <v>0.16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5</v>
      </c>
      <c r="C38" s="6">
        <f t="shared" si="3"/>
        <v>0.2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1</v>
      </c>
      <c r="C39" s="6">
        <f t="shared" si="3"/>
        <v>0.04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6</v>
      </c>
      <c r="C40" s="6">
        <f t="shared" si="3"/>
        <v>0.24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3</v>
      </c>
      <c r="C41" s="6">
        <f t="shared" si="3"/>
        <v>0.12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3</v>
      </c>
      <c r="C42" s="6">
        <f t="shared" si="3"/>
        <v>0.12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2</v>
      </c>
      <c r="C43" s="6">
        <f t="shared" si="3"/>
        <v>0.08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3"/>
        <v>0.04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3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2B3BB-0E90-4935-8404-B50392BE42B2}">
  <sheetPr codeName="Sheet21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4</v>
      </c>
      <c r="C2" s="134"/>
      <c r="E2" s="26" t="s">
        <v>72</v>
      </c>
      <c r="F2" s="23" t="s">
        <v>27</v>
      </c>
      <c r="G2" s="11">
        <v>7</v>
      </c>
      <c r="H2" s="87">
        <f>IF(B$20=0,0,G2/B$20)</f>
        <v>0.875</v>
      </c>
      <c r="I2" s="57">
        <v>2</v>
      </c>
      <c r="K2" s="73">
        <v>0</v>
      </c>
      <c r="L2" s="118">
        <v>0</v>
      </c>
      <c r="M2" s="116">
        <v>1348.2487416206377</v>
      </c>
      <c r="O2" s="73" t="s">
        <v>128</v>
      </c>
      <c r="P2" s="79">
        <f t="shared" ref="P2:P7" si="0">IF(Q2=0,0,R2/Q2)</f>
        <v>-6625</v>
      </c>
      <c r="Q2" s="76">
        <v>4</v>
      </c>
      <c r="R2" s="63">
        <v>-26500</v>
      </c>
    </row>
    <row r="3" spans="1:18" x14ac:dyDescent="0.45">
      <c r="A3" s="19" t="s">
        <v>8</v>
      </c>
      <c r="B3" s="135">
        <v>35</v>
      </c>
      <c r="C3" s="136"/>
      <c r="E3" s="27" t="s">
        <v>66</v>
      </c>
      <c r="F3" s="24" t="s">
        <v>22</v>
      </c>
      <c r="G3" s="12">
        <v>6</v>
      </c>
      <c r="H3" s="88">
        <f>IF(B$20=0,0,G3/B$20)</f>
        <v>0.75</v>
      </c>
      <c r="I3" s="58">
        <v>6</v>
      </c>
      <c r="K3" s="74">
        <v>1</v>
      </c>
      <c r="L3" s="119">
        <v>-38</v>
      </c>
      <c r="M3" s="117">
        <v>1342.2952491709138</v>
      </c>
      <c r="O3" s="74" t="s">
        <v>129</v>
      </c>
      <c r="P3" s="80">
        <f t="shared" si="0"/>
        <v>-1125</v>
      </c>
      <c r="Q3" s="77">
        <v>4</v>
      </c>
      <c r="R3" s="64">
        <v>-4500</v>
      </c>
    </row>
    <row r="4" spans="1:18" x14ac:dyDescent="0.45">
      <c r="A4" s="19" t="s">
        <v>6</v>
      </c>
      <c r="B4" s="137">
        <v>-51.699999999999996</v>
      </c>
      <c r="C4" s="138"/>
      <c r="E4" s="27" t="s">
        <v>89</v>
      </c>
      <c r="F4" s="24" t="s">
        <v>44</v>
      </c>
      <c r="G4" s="12">
        <v>3</v>
      </c>
      <c r="H4" s="88">
        <f>IF(B$20=0,0,G4/B$20)</f>
        <v>0.375</v>
      </c>
      <c r="I4" s="58">
        <v>1</v>
      </c>
      <c r="K4" s="74">
        <v>2</v>
      </c>
      <c r="L4" s="119">
        <v>-18</v>
      </c>
      <c r="M4" s="117">
        <v>1346.5174776758884</v>
      </c>
      <c r="O4" s="74" t="s">
        <v>130</v>
      </c>
      <c r="P4" s="80">
        <f t="shared" si="0"/>
        <v>6750</v>
      </c>
      <c r="Q4" s="77">
        <v>4</v>
      </c>
      <c r="R4" s="64">
        <v>27000</v>
      </c>
    </row>
    <row r="5" spans="1:18" x14ac:dyDescent="0.45">
      <c r="A5" s="19" t="s">
        <v>7</v>
      </c>
      <c r="B5" s="125">
        <f>IF(B$2=0,0,B$4/B$2)</f>
        <v>-12.924999999999999</v>
      </c>
      <c r="C5" s="126"/>
      <c r="E5" s="27" t="s">
        <v>159</v>
      </c>
      <c r="F5" s="24" t="s">
        <v>160</v>
      </c>
      <c r="G5" s="12">
        <v>3</v>
      </c>
      <c r="H5" s="88">
        <f>IF(B$20=0,0,G5/B$20)</f>
        <v>0.375</v>
      </c>
      <c r="I5" s="58">
        <v>5</v>
      </c>
      <c r="K5" s="74">
        <v>3</v>
      </c>
      <c r="L5" s="119">
        <v>-14.9</v>
      </c>
      <c r="M5" s="117">
        <v>1348.410372809833</v>
      </c>
      <c r="O5" s="74" t="s">
        <v>131</v>
      </c>
      <c r="P5" s="80">
        <f t="shared" si="0"/>
        <v>-766.66666666666663</v>
      </c>
      <c r="Q5" s="77">
        <v>3</v>
      </c>
      <c r="R5" s="64">
        <v>-2300</v>
      </c>
    </row>
    <row r="6" spans="1:18" x14ac:dyDescent="0.45">
      <c r="A6" s="19" t="s">
        <v>196</v>
      </c>
      <c r="B6" s="129">
        <v>1343.1099105729741</v>
      </c>
      <c r="C6" s="130"/>
      <c r="E6" s="27" t="s">
        <v>64</v>
      </c>
      <c r="F6" s="24" t="s">
        <v>20</v>
      </c>
      <c r="G6" s="12">
        <v>2</v>
      </c>
      <c r="H6" s="88">
        <f>IF(B$20=0,0,G6/B$20)</f>
        <v>0.25</v>
      </c>
      <c r="I6" s="58">
        <v>10</v>
      </c>
      <c r="K6" s="74">
        <v>4</v>
      </c>
      <c r="L6" s="119">
        <v>-51.699999999999996</v>
      </c>
      <c r="M6" s="117">
        <v>1343.1099105729741</v>
      </c>
      <c r="O6" s="74" t="s">
        <v>132</v>
      </c>
      <c r="P6" s="80">
        <f t="shared" si="0"/>
        <v>-4000</v>
      </c>
      <c r="Q6" s="77">
        <v>3</v>
      </c>
      <c r="R6" s="64">
        <v>-12000</v>
      </c>
    </row>
    <row r="7" spans="1:18" x14ac:dyDescent="0.45">
      <c r="A7" s="19" t="s">
        <v>1</v>
      </c>
      <c r="B7" s="139">
        <f>IF(B$2=0,0,(B$8*1+B$9*2+B$10*3)/B$2)</f>
        <v>2.25</v>
      </c>
      <c r="C7" s="140"/>
      <c r="E7" s="27" t="s">
        <v>68</v>
      </c>
      <c r="F7" s="24" t="s">
        <v>12</v>
      </c>
      <c r="G7" s="12">
        <v>2</v>
      </c>
      <c r="H7" s="88">
        <f>IF(B$20=0,0,G7/B$20)</f>
        <v>0.25</v>
      </c>
      <c r="I7" s="58">
        <v>8</v>
      </c>
      <c r="O7" s="75" t="s">
        <v>133</v>
      </c>
      <c r="P7" s="81">
        <f t="shared" si="0"/>
        <v>-7800</v>
      </c>
      <c r="Q7" s="78">
        <v>3</v>
      </c>
      <c r="R7" s="65">
        <v>-23400</v>
      </c>
    </row>
    <row r="8" spans="1:18" x14ac:dyDescent="0.45">
      <c r="A8" s="19" t="s">
        <v>2</v>
      </c>
      <c r="B8" s="12">
        <v>1</v>
      </c>
      <c r="C8" s="6">
        <f t="shared" ref="C8:C15" si="1">IF(B$2=0,0,B8/B$2)</f>
        <v>0.25</v>
      </c>
      <c r="E8" s="27" t="s">
        <v>65</v>
      </c>
      <c r="F8" s="24" t="s">
        <v>21</v>
      </c>
      <c r="G8" s="12">
        <v>1</v>
      </c>
      <c r="H8" s="88">
        <f>IF(B$20=0,0,G8/B$20)</f>
        <v>0.125</v>
      </c>
      <c r="I8" s="58">
        <v>4</v>
      </c>
      <c r="O8" s="107"/>
      <c r="P8" s="85"/>
      <c r="Q8" s="108"/>
      <c r="R8" s="70"/>
    </row>
    <row r="9" spans="1:18" x14ac:dyDescent="0.45">
      <c r="A9" s="19" t="s">
        <v>3</v>
      </c>
      <c r="B9" s="12">
        <v>1</v>
      </c>
      <c r="C9" s="6">
        <f t="shared" si="1"/>
        <v>0.25</v>
      </c>
      <c r="E9" s="27" t="s">
        <v>81</v>
      </c>
      <c r="F9" s="24" t="s">
        <v>36</v>
      </c>
      <c r="G9" s="12">
        <v>1</v>
      </c>
      <c r="H9" s="88">
        <f>IF(B$20=0,0,G9/B$20)</f>
        <v>0.125</v>
      </c>
      <c r="I9" s="58">
        <v>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2</v>
      </c>
      <c r="C10" s="7">
        <f t="shared" si="1"/>
        <v>0.5</v>
      </c>
      <c r="E10" s="27" t="s">
        <v>83</v>
      </c>
      <c r="F10" s="24" t="s">
        <v>38</v>
      </c>
      <c r="G10" s="12">
        <v>1</v>
      </c>
      <c r="H10" s="88">
        <f>IF(B$20=0,0,G10/B$20)</f>
        <v>0.125</v>
      </c>
      <c r="I10" s="58">
        <v>1</v>
      </c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5">
      <c r="A11" s="20" t="s">
        <v>184</v>
      </c>
      <c r="B11" s="109">
        <f>IF(B8=0,0,C11/B8)</f>
        <v>20</v>
      </c>
      <c r="C11" s="110">
        <v>20</v>
      </c>
      <c r="E11" s="27" t="s">
        <v>67</v>
      </c>
      <c r="F11" s="24" t="s">
        <v>23</v>
      </c>
      <c r="G11" s="12">
        <v>0</v>
      </c>
      <c r="H11" s="88">
        <f>IF(B$20=0,0,G11/B$20)</f>
        <v>0</v>
      </c>
      <c r="I11" s="58">
        <v>11</v>
      </c>
      <c r="O11" s="74" t="s">
        <v>152</v>
      </c>
      <c r="P11" s="83">
        <f>IF(Q11=0,0,R11/Q11)</f>
        <v>20</v>
      </c>
      <c r="Q11" s="77">
        <v>1</v>
      </c>
      <c r="R11" s="68">
        <v>20</v>
      </c>
    </row>
    <row r="12" spans="1:18" x14ac:dyDescent="0.45">
      <c r="A12" s="20" t="s">
        <v>185</v>
      </c>
      <c r="B12" s="109">
        <f>IF(B9=0,0,C12/B9)</f>
        <v>3.1</v>
      </c>
      <c r="C12" s="110">
        <v>3.1</v>
      </c>
      <c r="E12" s="27" t="s">
        <v>69</v>
      </c>
      <c r="F12" s="24" t="s">
        <v>24</v>
      </c>
      <c r="G12" s="12">
        <v>0</v>
      </c>
      <c r="H12" s="88">
        <f>IF(B$20=0,0,G12/B$20)</f>
        <v>0</v>
      </c>
      <c r="I12" s="58">
        <v>10</v>
      </c>
      <c r="O12" s="75" t="s">
        <v>153</v>
      </c>
      <c r="P12" s="84">
        <f>IF(Q12=0,0,R12/Q12)</f>
        <v>-23.899999999999995</v>
      </c>
      <c r="Q12" s="78">
        <v>3</v>
      </c>
      <c r="R12" s="69">
        <v>-71.699999999999989</v>
      </c>
    </row>
    <row r="13" spans="1:18" x14ac:dyDescent="0.45">
      <c r="A13" s="20" t="s">
        <v>186</v>
      </c>
      <c r="B13" s="109">
        <f>IF(B10=0,0,C13/B10)</f>
        <v>-37.4</v>
      </c>
      <c r="C13" s="110">
        <v>-74.8</v>
      </c>
      <c r="E13" s="27" t="s">
        <v>70</v>
      </c>
      <c r="F13" s="24" t="s">
        <v>25</v>
      </c>
      <c r="G13" s="12">
        <v>0</v>
      </c>
      <c r="H13" s="88">
        <f>IF(B$20=0,0,G13/B$20)</f>
        <v>0</v>
      </c>
      <c r="I13" s="58">
        <v>9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-4.7666666666666657</v>
      </c>
      <c r="C14" s="126"/>
      <c r="E14" s="27" t="s">
        <v>71</v>
      </c>
      <c r="F14" s="24" t="s">
        <v>26</v>
      </c>
      <c r="G14" s="12">
        <v>0</v>
      </c>
      <c r="H14" s="88">
        <f>IF(B$20=0,0,G14/B$20)</f>
        <v>0</v>
      </c>
      <c r="I14" s="58">
        <v>8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5</v>
      </c>
      <c r="O15" s="73" t="s">
        <v>211</v>
      </c>
      <c r="P15" s="82">
        <f>IF(Q15=0,0,R15/Q15)</f>
        <v>7.1999999999999993</v>
      </c>
      <c r="Q15" s="76">
        <v>2</v>
      </c>
      <c r="R15" s="67">
        <v>14.399999999999999</v>
      </c>
    </row>
    <row r="16" spans="1:18" x14ac:dyDescent="0.45">
      <c r="A16" s="22" t="s">
        <v>121</v>
      </c>
      <c r="B16" s="15">
        <v>9</v>
      </c>
      <c r="C16" s="10">
        <f>IF(B$3=0,0,B16/B$3)</f>
        <v>0.25714285714285712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1</v>
      </c>
      <c r="O16" s="74" t="s">
        <v>216</v>
      </c>
      <c r="P16" s="83">
        <f>IF(Q16=0,0,R16/Q16)</f>
        <v>-27.925000000000004</v>
      </c>
      <c r="Q16" s="77">
        <v>4</v>
      </c>
      <c r="R16" s="68">
        <v>-111.70000000000002</v>
      </c>
    </row>
    <row r="17" spans="1:18" x14ac:dyDescent="0.45">
      <c r="A17" s="19" t="s">
        <v>118</v>
      </c>
      <c r="B17" s="12">
        <v>10</v>
      </c>
      <c r="C17" s="6">
        <f>IF(B$3=0,0,B17/B$3)</f>
        <v>0.2857142857142857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3</v>
      </c>
      <c r="O17" s="74" t="s">
        <v>126</v>
      </c>
      <c r="P17" s="83">
        <f>IF(Q17=0,0,R17/Q17)</f>
        <v>-28.9</v>
      </c>
      <c r="Q17" s="77">
        <v>2</v>
      </c>
      <c r="R17" s="68">
        <v>-57.8</v>
      </c>
    </row>
    <row r="18" spans="1:18" x14ac:dyDescent="0.45">
      <c r="A18" s="18" t="s">
        <v>123</v>
      </c>
      <c r="B18" s="11">
        <f>B24</f>
        <v>2</v>
      </c>
      <c r="C18" s="5">
        <f>IF(B$16=0,0,B18/B$16)</f>
        <v>0.22222222222222221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</row>
    <row r="19" spans="1:18" x14ac:dyDescent="0.45">
      <c r="A19" s="18" t="s">
        <v>124</v>
      </c>
      <c r="B19" s="11">
        <f>B25</f>
        <v>4</v>
      </c>
      <c r="C19" s="5">
        <f>IF(B$17=0,0,B19/B$17)</f>
        <v>0.4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3</v>
      </c>
    </row>
    <row r="20" spans="1:18" x14ac:dyDescent="0.45">
      <c r="A20" s="18" t="s">
        <v>10</v>
      </c>
      <c r="B20" s="11">
        <f>B23+B22</f>
        <v>8</v>
      </c>
      <c r="C20" s="5">
        <f>IF(B$3=0,0,B20/B$3)</f>
        <v>0.22857142857142856</v>
      </c>
      <c r="E20" s="27" t="s">
        <v>78</v>
      </c>
      <c r="F20" s="24" t="s">
        <v>33</v>
      </c>
      <c r="G20" s="12">
        <v>0</v>
      </c>
      <c r="H20" s="88">
        <f>IF(B$20=0,0,G20/B$20)</f>
        <v>0</v>
      </c>
      <c r="I20" s="58">
        <v>7</v>
      </c>
    </row>
    <row r="21" spans="1:18" x14ac:dyDescent="0.45">
      <c r="A21" s="19" t="s">
        <v>13</v>
      </c>
      <c r="B21" s="12">
        <v>8</v>
      </c>
      <c r="C21" s="6">
        <f>IF(B$3=0,0,B21/B$3)</f>
        <v>0.22857142857142856</v>
      </c>
      <c r="E21" s="27" t="s">
        <v>79</v>
      </c>
      <c r="F21" s="24" t="s">
        <v>34</v>
      </c>
      <c r="G21" s="12">
        <v>0</v>
      </c>
      <c r="H21" s="88">
        <f>IF(B$20=0,0,G21/B$20)</f>
        <v>0</v>
      </c>
      <c r="I21" s="58">
        <v>7</v>
      </c>
    </row>
    <row r="22" spans="1:18" x14ac:dyDescent="0.45">
      <c r="A22" s="19" t="s">
        <v>12</v>
      </c>
      <c r="B22" s="12">
        <v>2</v>
      </c>
      <c r="C22" s="6">
        <f>IF(B$20=0,0,B22/B$20)</f>
        <v>0.25</v>
      </c>
      <c r="E22" s="27" t="s">
        <v>80</v>
      </c>
      <c r="F22" s="24" t="s">
        <v>35</v>
      </c>
      <c r="G22" s="12">
        <v>0</v>
      </c>
      <c r="H22" s="88">
        <f>IF(B$20=0,0,G22/B$20)</f>
        <v>0</v>
      </c>
      <c r="I22" s="58">
        <v>1</v>
      </c>
    </row>
    <row r="23" spans="1:18" x14ac:dyDescent="0.45">
      <c r="A23" s="19" t="s">
        <v>11</v>
      </c>
      <c r="B23" s="12">
        <v>6</v>
      </c>
      <c r="C23" s="6">
        <f>IF(B$20=0,0,B23/B$20)</f>
        <v>0.75</v>
      </c>
      <c r="E23" s="27" t="s">
        <v>82</v>
      </c>
      <c r="F23" s="24" t="s">
        <v>37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183</v>
      </c>
      <c r="B24" s="12">
        <v>2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4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5">
      <c r="A26" s="19" t="s">
        <v>182</v>
      </c>
      <c r="B26" s="12">
        <v>2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5">
      <c r="A27" s="19" t="s">
        <v>5</v>
      </c>
      <c r="B27" s="16">
        <f>IF(B$20=0,0,C27/B$20)</f>
        <v>8212.5</v>
      </c>
      <c r="C27" s="8">
        <v>65700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7725</v>
      </c>
      <c r="C28" s="96">
        <v>30900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5">
      <c r="A29" s="20" t="s">
        <v>166</v>
      </c>
      <c r="B29" s="95">
        <f>IF(B$19=0,0,C29/B$19)</f>
        <v>8700</v>
      </c>
      <c r="C29" s="96">
        <v>34800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-9387.5</v>
      </c>
      <c r="C30" s="96">
        <v>-75100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12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3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45000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1</v>
      </c>
      <c r="C37" s="98">
        <f t="shared" ref="C37:C49" si="2">IF(B$20=0,0,B37/B$20)</f>
        <v>0.125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2</v>
      </c>
      <c r="C38" s="6">
        <f t="shared" si="2"/>
        <v>0.25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1</v>
      </c>
      <c r="C39" s="6">
        <f t="shared" si="2"/>
        <v>0.125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1</v>
      </c>
      <c r="C40" s="6">
        <f t="shared" si="2"/>
        <v>0.125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2</v>
      </c>
      <c r="C42" s="6">
        <f t="shared" si="2"/>
        <v>0.25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2"/>
        <v>0.125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548DB-9B7B-4D79-A163-CE0BCBD5527D}">
  <sheetPr codeName="Sheet23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195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6</v>
      </c>
      <c r="C2" s="134"/>
      <c r="E2" s="26" t="s">
        <v>66</v>
      </c>
      <c r="F2" s="23" t="s">
        <v>22</v>
      </c>
      <c r="G2" s="11">
        <v>8</v>
      </c>
      <c r="H2" s="87">
        <f>IF(B$20=0,0,G2/B$20)</f>
        <v>0.72727272727272729</v>
      </c>
      <c r="I2" s="57">
        <v>9</v>
      </c>
      <c r="K2" s="73">
        <v>0</v>
      </c>
      <c r="L2" s="118">
        <v>0</v>
      </c>
      <c r="M2" s="116">
        <v>1392.8042574192286</v>
      </c>
      <c r="O2" s="73" t="s">
        <v>128</v>
      </c>
      <c r="P2" s="79">
        <f t="shared" ref="P2:P7" si="0">IF(Q2=0,0,R2/Q2)</f>
        <v>-7283.333333333333</v>
      </c>
      <c r="Q2" s="76">
        <v>6</v>
      </c>
      <c r="R2" s="63">
        <v>-43700</v>
      </c>
    </row>
    <row r="3" spans="1:18" x14ac:dyDescent="0.45">
      <c r="A3" s="19" t="s">
        <v>8</v>
      </c>
      <c r="B3" s="135">
        <v>49</v>
      </c>
      <c r="C3" s="136"/>
      <c r="E3" s="27" t="s">
        <v>68</v>
      </c>
      <c r="F3" s="24" t="s">
        <v>12</v>
      </c>
      <c r="G3" s="12">
        <v>8</v>
      </c>
      <c r="H3" s="88">
        <f>IF(B$20=0,0,G3/B$20)</f>
        <v>0.72727272727272729</v>
      </c>
      <c r="I3" s="58">
        <v>1</v>
      </c>
      <c r="K3" s="74">
        <v>1</v>
      </c>
      <c r="L3" s="119">
        <v>-24.2</v>
      </c>
      <c r="M3" s="117">
        <v>1389.0734318747132</v>
      </c>
      <c r="O3" s="74" t="s">
        <v>129</v>
      </c>
      <c r="P3" s="80">
        <f t="shared" si="0"/>
        <v>3080</v>
      </c>
      <c r="Q3" s="77">
        <v>5</v>
      </c>
      <c r="R3" s="64">
        <v>15400</v>
      </c>
    </row>
    <row r="4" spans="1:18" x14ac:dyDescent="0.45">
      <c r="A4" s="19" t="s">
        <v>6</v>
      </c>
      <c r="B4" s="137">
        <v>-118.3</v>
      </c>
      <c r="C4" s="138"/>
      <c r="E4" s="27" t="s">
        <v>64</v>
      </c>
      <c r="F4" s="24" t="s">
        <v>20</v>
      </c>
      <c r="G4" s="12">
        <v>7</v>
      </c>
      <c r="H4" s="88">
        <f>IF(B$20=0,0,G4/B$20)</f>
        <v>0.63636363636363635</v>
      </c>
      <c r="I4" s="58">
        <v>1</v>
      </c>
      <c r="K4" s="74">
        <v>2</v>
      </c>
      <c r="L4" s="119">
        <v>-6.1999999999999993</v>
      </c>
      <c r="M4" s="117">
        <v>1392.8109912834648</v>
      </c>
      <c r="O4" s="74" t="s">
        <v>130</v>
      </c>
      <c r="P4" s="80">
        <f t="shared" si="0"/>
        <v>-2700</v>
      </c>
      <c r="Q4" s="77">
        <v>6</v>
      </c>
      <c r="R4" s="64">
        <v>-16200</v>
      </c>
    </row>
    <row r="5" spans="1:18" x14ac:dyDescent="0.45">
      <c r="A5" s="19" t="s">
        <v>7</v>
      </c>
      <c r="B5" s="125">
        <f>IF(B$2=0,0,B$4/B$2)</f>
        <v>-19.716666666666665</v>
      </c>
      <c r="C5" s="126"/>
      <c r="E5" s="27" t="s">
        <v>67</v>
      </c>
      <c r="F5" s="24" t="s">
        <v>23</v>
      </c>
      <c r="G5" s="12">
        <v>7</v>
      </c>
      <c r="H5" s="88">
        <f>IF(B$20=0,0,G5/B$20)</f>
        <v>0.63636363636363635</v>
      </c>
      <c r="I5" s="58">
        <v>1</v>
      </c>
      <c r="K5" s="74">
        <v>3</v>
      </c>
      <c r="L5" s="119">
        <v>18.100000000000001</v>
      </c>
      <c r="M5" s="117">
        <v>1398.3621253357639</v>
      </c>
      <c r="O5" s="74" t="s">
        <v>131</v>
      </c>
      <c r="P5" s="80">
        <f t="shared" si="0"/>
        <v>-5340</v>
      </c>
      <c r="Q5" s="77">
        <v>5</v>
      </c>
      <c r="R5" s="64">
        <v>-26700</v>
      </c>
    </row>
    <row r="6" spans="1:18" x14ac:dyDescent="0.45">
      <c r="A6" s="19" t="s">
        <v>196</v>
      </c>
      <c r="B6" s="129">
        <v>1377.2761788230373</v>
      </c>
      <c r="C6" s="130"/>
      <c r="E6" s="27" t="s">
        <v>159</v>
      </c>
      <c r="F6" s="24" t="s">
        <v>160</v>
      </c>
      <c r="G6" s="12">
        <v>5</v>
      </c>
      <c r="H6" s="88">
        <f>IF(B$20=0,0,G6/B$20)</f>
        <v>0.45454545454545453</v>
      </c>
      <c r="I6" s="58">
        <v>2</v>
      </c>
      <c r="K6" s="74">
        <v>4</v>
      </c>
      <c r="L6" s="119">
        <v>-14.699999999999996</v>
      </c>
      <c r="M6" s="117">
        <v>1393.6019525837494</v>
      </c>
      <c r="O6" s="74" t="s">
        <v>132</v>
      </c>
      <c r="P6" s="80">
        <f t="shared" si="0"/>
        <v>540</v>
      </c>
      <c r="Q6" s="77">
        <v>5</v>
      </c>
      <c r="R6" s="64">
        <v>2700</v>
      </c>
    </row>
    <row r="7" spans="1:18" x14ac:dyDescent="0.45">
      <c r="A7" s="19" t="s">
        <v>1</v>
      </c>
      <c r="B7" s="139">
        <f>IF(B$2=0,0,(B$8*1+B$9*2+B$10*3)/B$2)</f>
        <v>2.3333333333333335</v>
      </c>
      <c r="C7" s="140"/>
      <c r="E7" s="27" t="s">
        <v>72</v>
      </c>
      <c r="F7" s="24" t="s">
        <v>27</v>
      </c>
      <c r="G7" s="12">
        <v>4</v>
      </c>
      <c r="H7" s="88">
        <f>IF(B$20=0,0,G7/B$20)</f>
        <v>0.36363636363636365</v>
      </c>
      <c r="I7" s="58">
        <v>11</v>
      </c>
      <c r="K7" s="74">
        <v>5</v>
      </c>
      <c r="L7" s="119">
        <v>-66.8</v>
      </c>
      <c r="M7" s="117">
        <v>1385.3603408682468</v>
      </c>
      <c r="O7" s="75" t="s">
        <v>133</v>
      </c>
      <c r="P7" s="81">
        <f t="shared" si="0"/>
        <v>100</v>
      </c>
      <c r="Q7" s="78">
        <v>5</v>
      </c>
      <c r="R7" s="65">
        <v>500</v>
      </c>
    </row>
    <row r="8" spans="1:18" x14ac:dyDescent="0.45">
      <c r="A8" s="19" t="s">
        <v>2</v>
      </c>
      <c r="B8" s="12">
        <v>2</v>
      </c>
      <c r="C8" s="6">
        <f t="shared" ref="C8:C15" si="1">IF(B$2=0,0,B8/B$2)</f>
        <v>0.33333333333333331</v>
      </c>
      <c r="E8" s="27" t="s">
        <v>69</v>
      </c>
      <c r="F8" s="24" t="s">
        <v>24</v>
      </c>
      <c r="G8" s="12">
        <v>3</v>
      </c>
      <c r="H8" s="88">
        <f>IF(B$20=0,0,G8/B$20)</f>
        <v>0.27272727272727271</v>
      </c>
      <c r="I8" s="58">
        <v>1</v>
      </c>
      <c r="K8" s="74">
        <v>6</v>
      </c>
      <c r="L8" s="119">
        <v>-118.3</v>
      </c>
      <c r="M8" s="117">
        <v>1377.2761788230373</v>
      </c>
      <c r="O8" s="107"/>
      <c r="P8" s="85"/>
      <c r="Q8" s="108"/>
      <c r="R8" s="70"/>
    </row>
    <row r="9" spans="1:18" x14ac:dyDescent="0.45">
      <c r="A9" s="19" t="s">
        <v>3</v>
      </c>
      <c r="B9" s="12">
        <v>0</v>
      </c>
      <c r="C9" s="6">
        <f t="shared" si="1"/>
        <v>0</v>
      </c>
      <c r="E9" s="27" t="s">
        <v>65</v>
      </c>
      <c r="F9" s="24" t="s">
        <v>21</v>
      </c>
      <c r="G9" s="12">
        <v>2</v>
      </c>
      <c r="H9" s="88">
        <f>IF(B$20=0,0,G9/B$20)</f>
        <v>0.18181818181818182</v>
      </c>
      <c r="I9" s="58">
        <v>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4</v>
      </c>
      <c r="C10" s="7">
        <f t="shared" si="1"/>
        <v>0.66666666666666663</v>
      </c>
      <c r="E10" s="27" t="s">
        <v>70</v>
      </c>
      <c r="F10" s="24" t="s">
        <v>25</v>
      </c>
      <c r="G10" s="12">
        <v>1</v>
      </c>
      <c r="H10" s="88">
        <f>IF(B$20=0,0,G10/B$20)</f>
        <v>9.0909090909090912E-2</v>
      </c>
      <c r="I10" s="58">
        <v>5</v>
      </c>
      <c r="O10" s="73" t="s">
        <v>151</v>
      </c>
      <c r="P10" s="82">
        <f>IF(Q10=0,0,R10/Q10)</f>
        <v>-24.2</v>
      </c>
      <c r="Q10" s="76">
        <v>1</v>
      </c>
      <c r="R10" s="67">
        <v>-24.2</v>
      </c>
    </row>
    <row r="11" spans="1:18" x14ac:dyDescent="0.45">
      <c r="A11" s="20" t="s">
        <v>184</v>
      </c>
      <c r="B11" s="109">
        <f>IF(B8=0,0,C11/B8)</f>
        <v>21.15</v>
      </c>
      <c r="C11" s="110">
        <v>42.3</v>
      </c>
      <c r="E11" s="27" t="s">
        <v>71</v>
      </c>
      <c r="F11" s="24" t="s">
        <v>26</v>
      </c>
      <c r="G11" s="12">
        <v>0</v>
      </c>
      <c r="H11" s="88">
        <f>IF(B$20=0,0,G11/B$20)</f>
        <v>0</v>
      </c>
      <c r="I11" s="58">
        <v>8</v>
      </c>
      <c r="O11" s="74" t="s">
        <v>152</v>
      </c>
      <c r="P11" s="83">
        <f>IF(Q11=0,0,R11/Q11)</f>
        <v>-17.05</v>
      </c>
      <c r="Q11" s="77">
        <v>2</v>
      </c>
      <c r="R11" s="68">
        <v>-34.1</v>
      </c>
    </row>
    <row r="12" spans="1:18" x14ac:dyDescent="0.45">
      <c r="A12" s="20" t="s">
        <v>185</v>
      </c>
      <c r="B12" s="109">
        <f>IF(B9=0,0,C12/B9)</f>
        <v>0</v>
      </c>
      <c r="C12" s="110">
        <v>0</v>
      </c>
      <c r="E12" s="27" t="s">
        <v>73</v>
      </c>
      <c r="F12" s="24" t="s">
        <v>28</v>
      </c>
      <c r="G12" s="12">
        <v>0</v>
      </c>
      <c r="H12" s="88">
        <f>IF(B$20=0,0,G12/B$20)</f>
        <v>0</v>
      </c>
      <c r="I12" s="58">
        <v>5</v>
      </c>
      <c r="O12" s="75" t="s">
        <v>153</v>
      </c>
      <c r="P12" s="84">
        <f>IF(Q12=0,0,R12/Q12)</f>
        <v>-20</v>
      </c>
      <c r="Q12" s="78">
        <v>3</v>
      </c>
      <c r="R12" s="69">
        <v>-60</v>
      </c>
    </row>
    <row r="13" spans="1:18" x14ac:dyDescent="0.45">
      <c r="A13" s="20" t="s">
        <v>186</v>
      </c>
      <c r="B13" s="109">
        <f>IF(B10=0,0,C13/B10)</f>
        <v>-40.15</v>
      </c>
      <c r="C13" s="110">
        <v>-160.6</v>
      </c>
      <c r="E13" s="27" t="s">
        <v>74</v>
      </c>
      <c r="F13" s="24" t="s">
        <v>29</v>
      </c>
      <c r="G13" s="12">
        <v>0</v>
      </c>
      <c r="H13" s="88">
        <f>IF(B$20=0,0,G13/B$20)</f>
        <v>0</v>
      </c>
      <c r="I13" s="58">
        <v>1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-6.333333333333333</v>
      </c>
      <c r="C14" s="126"/>
      <c r="E14" s="27" t="s">
        <v>75</v>
      </c>
      <c r="F14" s="24" t="s">
        <v>30</v>
      </c>
      <c r="G14" s="12">
        <v>0</v>
      </c>
      <c r="H14" s="88">
        <f>IF(B$20=0,0,G14/B$20)</f>
        <v>0</v>
      </c>
      <c r="I14" s="58">
        <v>3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2</v>
      </c>
      <c r="C15" s="9">
        <f t="shared" si="1"/>
        <v>0.33333333333333331</v>
      </c>
      <c r="E15" s="27" t="s">
        <v>76</v>
      </c>
      <c r="F15" s="24" t="s">
        <v>31</v>
      </c>
      <c r="G15" s="12">
        <v>0</v>
      </c>
      <c r="H15" s="88">
        <f>IF(B$20=0,0,G15/B$20)</f>
        <v>0</v>
      </c>
      <c r="I15" s="58">
        <v>1</v>
      </c>
      <c r="O15" s="73" t="s">
        <v>221</v>
      </c>
      <c r="P15" s="82">
        <f>IF(Q15=0,0,R15/Q15)</f>
        <v>3.6500000000000004</v>
      </c>
      <c r="Q15" s="76">
        <v>2</v>
      </c>
      <c r="R15" s="67">
        <v>7.3000000000000007</v>
      </c>
    </row>
    <row r="16" spans="1:18" x14ac:dyDescent="0.45">
      <c r="A16" s="22" t="s">
        <v>121</v>
      </c>
      <c r="B16" s="15">
        <v>10</v>
      </c>
      <c r="C16" s="10">
        <f>IF(B$3=0,0,B16/B$3)</f>
        <v>0.20408163265306123</v>
      </c>
      <c r="E16" s="27" t="s">
        <v>77</v>
      </c>
      <c r="F16" s="24" t="s">
        <v>32</v>
      </c>
      <c r="G16" s="12">
        <v>0</v>
      </c>
      <c r="H16" s="88">
        <f>IF(B$20=0,0,G16/B$20)</f>
        <v>0</v>
      </c>
      <c r="I16" s="58">
        <v>3</v>
      </c>
      <c r="O16" s="74" t="s">
        <v>126</v>
      </c>
      <c r="P16" s="83">
        <f>IF(Q16=0,0,R16/Q16)</f>
        <v>-33.85</v>
      </c>
      <c r="Q16" s="77">
        <v>4</v>
      </c>
      <c r="R16" s="68">
        <v>-135.4</v>
      </c>
    </row>
    <row r="17" spans="1:18" x14ac:dyDescent="0.45">
      <c r="A17" s="19" t="s">
        <v>118</v>
      </c>
      <c r="B17" s="12">
        <v>3</v>
      </c>
      <c r="C17" s="6">
        <f>IF(B$3=0,0,B17/B$3)</f>
        <v>6.1224489795918366E-2</v>
      </c>
      <c r="E17" s="27" t="s">
        <v>78</v>
      </c>
      <c r="F17" s="24" t="s">
        <v>33</v>
      </c>
      <c r="G17" s="12">
        <v>0</v>
      </c>
      <c r="H17" s="88">
        <f>IF(B$20=0,0,G17/B$20)</f>
        <v>0</v>
      </c>
      <c r="I17" s="58">
        <v>7</v>
      </c>
      <c r="O17" s="74" t="s">
        <v>192</v>
      </c>
      <c r="P17" s="83">
        <f>IF(Q17=0,0,R17/Q17)</f>
        <v>-36.479999999999997</v>
      </c>
      <c r="Q17" s="77">
        <v>5</v>
      </c>
      <c r="R17" s="68">
        <v>-182.39999999999998</v>
      </c>
    </row>
    <row r="18" spans="1:18" x14ac:dyDescent="0.45">
      <c r="A18" s="18" t="s">
        <v>123</v>
      </c>
      <c r="B18" s="11">
        <f>B24</f>
        <v>7</v>
      </c>
      <c r="C18" s="5">
        <f>IF(B$16=0,0,B18/B$16)</f>
        <v>0.7</v>
      </c>
      <c r="E18" s="27" t="s">
        <v>79</v>
      </c>
      <c r="F18" s="24" t="s">
        <v>34</v>
      </c>
      <c r="G18" s="12">
        <v>0</v>
      </c>
      <c r="H18" s="88">
        <f>IF(B$20=0,0,G18/B$20)</f>
        <v>0</v>
      </c>
      <c r="I18" s="58">
        <v>7</v>
      </c>
      <c r="O18" s="74" t="s">
        <v>211</v>
      </c>
      <c r="P18" s="83">
        <f>IF(Q18=0,0,R18/Q18)</f>
        <v>-44.4</v>
      </c>
      <c r="Q18" s="77">
        <v>1</v>
      </c>
      <c r="R18" s="68">
        <v>-44.4</v>
      </c>
    </row>
    <row r="19" spans="1:18" x14ac:dyDescent="0.45">
      <c r="A19" s="18" t="s">
        <v>124</v>
      </c>
      <c r="B19" s="11">
        <f>B25</f>
        <v>2</v>
      </c>
      <c r="C19" s="5">
        <f>IF(B$17=0,0,B19/B$17)</f>
        <v>0.66666666666666663</v>
      </c>
      <c r="E19" s="27" t="s">
        <v>80</v>
      </c>
      <c r="F19" s="24" t="s">
        <v>35</v>
      </c>
      <c r="G19" s="12">
        <v>0</v>
      </c>
      <c r="H19" s="88">
        <f>IF(B$20=0,0,G19/B$20)</f>
        <v>0</v>
      </c>
      <c r="I19" s="58">
        <v>1</v>
      </c>
    </row>
    <row r="20" spans="1:18" x14ac:dyDescent="0.45">
      <c r="A20" s="18" t="s">
        <v>10</v>
      </c>
      <c r="B20" s="11">
        <f>B23+B22</f>
        <v>11</v>
      </c>
      <c r="C20" s="5">
        <f>IF(B$3=0,0,B20/B$3)</f>
        <v>0.22448979591836735</v>
      </c>
      <c r="E20" s="27" t="s">
        <v>81</v>
      </c>
      <c r="F20" s="24" t="s">
        <v>36</v>
      </c>
      <c r="G20" s="12">
        <v>0</v>
      </c>
      <c r="H20" s="88">
        <f>IF(B$20=0,0,G20/B$20)</f>
        <v>0</v>
      </c>
      <c r="I20" s="58">
        <v>9</v>
      </c>
    </row>
    <row r="21" spans="1:18" x14ac:dyDescent="0.45">
      <c r="A21" s="19" t="s">
        <v>13</v>
      </c>
      <c r="B21" s="12">
        <v>9</v>
      </c>
      <c r="C21" s="6">
        <f>IF(B$3=0,0,B21/B$3)</f>
        <v>0.18367346938775511</v>
      </c>
      <c r="E21" s="27" t="s">
        <v>82</v>
      </c>
      <c r="F21" s="24" t="s">
        <v>37</v>
      </c>
      <c r="G21" s="12">
        <v>0</v>
      </c>
      <c r="H21" s="88">
        <f>IF(B$20=0,0,G21/B$20)</f>
        <v>0</v>
      </c>
      <c r="I21" s="58">
        <v>1</v>
      </c>
    </row>
    <row r="22" spans="1:18" x14ac:dyDescent="0.45">
      <c r="A22" s="19" t="s">
        <v>12</v>
      </c>
      <c r="B22" s="12">
        <v>8</v>
      </c>
      <c r="C22" s="6">
        <f>IF(B$20=0,0,B22/B$20)</f>
        <v>0.72727272727272729</v>
      </c>
      <c r="E22" s="27" t="s">
        <v>83</v>
      </c>
      <c r="F22" s="24" t="s">
        <v>38</v>
      </c>
      <c r="G22" s="12">
        <v>0</v>
      </c>
      <c r="H22" s="88">
        <f>IF(B$20=0,0,G22/B$20)</f>
        <v>0</v>
      </c>
      <c r="I22" s="58">
        <v>9</v>
      </c>
    </row>
    <row r="23" spans="1:18" x14ac:dyDescent="0.45">
      <c r="A23" s="19" t="s">
        <v>11</v>
      </c>
      <c r="B23" s="12">
        <v>3</v>
      </c>
      <c r="C23" s="6">
        <f>IF(B$20=0,0,B23/B$20)</f>
        <v>0.27272727272727271</v>
      </c>
      <c r="E23" s="27" t="s">
        <v>84</v>
      </c>
      <c r="F23" s="24" t="s">
        <v>39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183</v>
      </c>
      <c r="B24" s="12">
        <v>7</v>
      </c>
      <c r="C24" s="6">
        <f>IF(B$20=0,0,B24/B$20)</f>
        <v>0.63636363636363635</v>
      </c>
      <c r="E24" s="27" t="s">
        <v>85</v>
      </c>
      <c r="F24" s="24" t="s">
        <v>40</v>
      </c>
      <c r="G24" s="12">
        <v>0</v>
      </c>
      <c r="H24" s="88">
        <f>IF(B$20=0,0,G24/B$20)</f>
        <v>0</v>
      </c>
      <c r="I24" s="58">
        <v>5</v>
      </c>
    </row>
    <row r="25" spans="1:18" x14ac:dyDescent="0.45">
      <c r="A25" s="19" t="s">
        <v>181</v>
      </c>
      <c r="B25" s="12">
        <v>2</v>
      </c>
      <c r="C25" s="6">
        <f>IF(B$20=0,0,B25/B$20)</f>
        <v>0.18181818181818182</v>
      </c>
      <c r="E25" s="27" t="s">
        <v>86</v>
      </c>
      <c r="F25" s="24" t="s">
        <v>41</v>
      </c>
      <c r="G25" s="12">
        <v>0</v>
      </c>
      <c r="H25" s="88">
        <f>IF(B$20=0,0,G25/B$20)</f>
        <v>0</v>
      </c>
      <c r="I25" s="58">
        <v>9</v>
      </c>
    </row>
    <row r="26" spans="1:18" x14ac:dyDescent="0.45">
      <c r="A26" s="19" t="s">
        <v>182</v>
      </c>
      <c r="B26" s="12">
        <v>2</v>
      </c>
      <c r="C26" s="6">
        <f>IF(B$20=0,0,B26/B$20)</f>
        <v>0.18181818181818182</v>
      </c>
      <c r="E26" s="27" t="s">
        <v>87</v>
      </c>
      <c r="F26" s="24" t="s">
        <v>42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8272.7272727272721</v>
      </c>
      <c r="C27" s="8">
        <v>91000</v>
      </c>
      <c r="E27" s="27" t="s">
        <v>88</v>
      </c>
      <c r="F27" s="24" t="s">
        <v>43</v>
      </c>
      <c r="G27" s="12">
        <v>0</v>
      </c>
      <c r="H27" s="88">
        <f>IF(B$20=0,0,G27/B$20)</f>
        <v>0</v>
      </c>
      <c r="I27" s="58">
        <v>5</v>
      </c>
    </row>
    <row r="28" spans="1:18" x14ac:dyDescent="0.45">
      <c r="A28" s="20" t="s">
        <v>165</v>
      </c>
      <c r="B28" s="95">
        <f>IF($B$20-B$19=0,0,C28/($B$20-B$19))</f>
        <v>8822.2222222222226</v>
      </c>
      <c r="C28" s="96">
        <v>79400</v>
      </c>
      <c r="E28" s="27" t="s">
        <v>89</v>
      </c>
      <c r="F28" s="24" t="s">
        <v>44</v>
      </c>
      <c r="G28" s="12">
        <v>0</v>
      </c>
      <c r="H28" s="88">
        <f>IF(B$20=0,0,G28/B$20)</f>
        <v>0</v>
      </c>
      <c r="I28" s="58">
        <v>11</v>
      </c>
    </row>
    <row r="29" spans="1:18" x14ac:dyDescent="0.45">
      <c r="A29" s="20" t="s">
        <v>166</v>
      </c>
      <c r="B29" s="95">
        <f>IF(B$19=0,0,C29/B$19)</f>
        <v>5800</v>
      </c>
      <c r="C29" s="96">
        <v>11600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-7666.666666666667</v>
      </c>
      <c r="C30" s="96">
        <v>-69000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1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15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49300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1</v>
      </c>
      <c r="C35" s="9">
        <f>IF(B$3=0,0,B35/B$3)</f>
        <v>2.0408163265306121E-2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2</v>
      </c>
      <c r="C38" s="6">
        <f t="shared" si="2"/>
        <v>0.18181818181818182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3</v>
      </c>
      <c r="C39" s="6">
        <f t="shared" si="2"/>
        <v>0.27272727272727271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2</v>
      </c>
      <c r="C40" s="6">
        <f t="shared" si="2"/>
        <v>0.18181818181818182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2</v>
      </c>
      <c r="C41" s="6">
        <f t="shared" si="2"/>
        <v>0.18181818181818182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1</v>
      </c>
      <c r="C42" s="6">
        <f t="shared" si="2"/>
        <v>9.0909090909090912E-2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2"/>
        <v>9.0909090909090912E-2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9A7DE-DB73-4373-94A4-5221EAA383FD}">
  <sheetPr codeName="Sheet25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221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2</v>
      </c>
      <c r="C2" s="134"/>
      <c r="E2" s="26" t="s">
        <v>66</v>
      </c>
      <c r="F2" s="23" t="s">
        <v>22</v>
      </c>
      <c r="G2" s="11">
        <v>7</v>
      </c>
      <c r="H2" s="87">
        <f>IF(B$20=0,0,G2/B$20)</f>
        <v>1.75</v>
      </c>
      <c r="I2" s="57">
        <v>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-3650</v>
      </c>
      <c r="Q2" s="76">
        <v>2</v>
      </c>
      <c r="R2" s="63">
        <v>-7300</v>
      </c>
    </row>
    <row r="3" spans="1:18" x14ac:dyDescent="0.45">
      <c r="A3" s="19" t="s">
        <v>8</v>
      </c>
      <c r="B3" s="135">
        <v>18</v>
      </c>
      <c r="C3" s="136"/>
      <c r="E3" s="27" t="s">
        <v>72</v>
      </c>
      <c r="F3" s="24" t="s">
        <v>27</v>
      </c>
      <c r="G3" s="12">
        <v>4</v>
      </c>
      <c r="H3" s="88">
        <f>IF(B$20=0,0,G3/B$20)</f>
        <v>1</v>
      </c>
      <c r="I3" s="58">
        <v>1</v>
      </c>
      <c r="K3" s="74">
        <v>1</v>
      </c>
      <c r="L3" s="119">
        <v>4</v>
      </c>
      <c r="M3" s="117">
        <v>1500.702</v>
      </c>
      <c r="O3" s="74" t="s">
        <v>129</v>
      </c>
      <c r="P3" s="80">
        <f t="shared" si="0"/>
        <v>-850</v>
      </c>
      <c r="Q3" s="77">
        <v>2</v>
      </c>
      <c r="R3" s="64">
        <v>-1700</v>
      </c>
    </row>
    <row r="4" spans="1:18" x14ac:dyDescent="0.45">
      <c r="A4" s="19" t="s">
        <v>6</v>
      </c>
      <c r="B4" s="137">
        <v>-13.5</v>
      </c>
      <c r="C4" s="138"/>
      <c r="E4" s="27" t="s">
        <v>68</v>
      </c>
      <c r="F4" s="24" t="s">
        <v>12</v>
      </c>
      <c r="G4" s="12">
        <v>2</v>
      </c>
      <c r="H4" s="88">
        <f>IF(B$20=0,0,G4/B$20)</f>
        <v>0.5</v>
      </c>
      <c r="I4" s="58">
        <v>2</v>
      </c>
      <c r="K4" s="74">
        <v>2</v>
      </c>
      <c r="L4" s="119">
        <v>-13.5</v>
      </c>
      <c r="M4" s="117">
        <v>1497.379788</v>
      </c>
      <c r="O4" s="74" t="s">
        <v>130</v>
      </c>
      <c r="P4" s="80">
        <f t="shared" si="0"/>
        <v>-4150</v>
      </c>
      <c r="Q4" s="77">
        <v>2</v>
      </c>
      <c r="R4" s="64">
        <v>-8300</v>
      </c>
    </row>
    <row r="5" spans="1:18" x14ac:dyDescent="0.45">
      <c r="A5" s="19" t="s">
        <v>7</v>
      </c>
      <c r="B5" s="125">
        <f>IF(B$2=0,0,B$4/B$2)</f>
        <v>-6.75</v>
      </c>
      <c r="C5" s="126"/>
      <c r="E5" s="27" t="s">
        <v>64</v>
      </c>
      <c r="F5" s="24" t="s">
        <v>20</v>
      </c>
      <c r="G5" s="12">
        <v>1</v>
      </c>
      <c r="H5" s="88">
        <f>IF(B$20=0,0,G5/B$20)</f>
        <v>0.25</v>
      </c>
      <c r="I5" s="58">
        <v>10</v>
      </c>
      <c r="O5" s="74" t="s">
        <v>131</v>
      </c>
      <c r="P5" s="80">
        <f t="shared" si="0"/>
        <v>2900</v>
      </c>
      <c r="Q5" s="77">
        <v>2</v>
      </c>
      <c r="R5" s="64">
        <v>5800</v>
      </c>
    </row>
    <row r="6" spans="1:18" x14ac:dyDescent="0.45">
      <c r="A6" s="19" t="s">
        <v>196</v>
      </c>
      <c r="B6" s="129">
        <v>1497.379788</v>
      </c>
      <c r="C6" s="130"/>
      <c r="E6" s="27" t="s">
        <v>67</v>
      </c>
      <c r="F6" s="24" t="s">
        <v>23</v>
      </c>
      <c r="G6" s="12">
        <v>1</v>
      </c>
      <c r="H6" s="88">
        <f>IF(B$20=0,0,G6/B$20)</f>
        <v>0.25</v>
      </c>
      <c r="I6" s="58">
        <v>5</v>
      </c>
      <c r="O6" s="74" t="s">
        <v>132</v>
      </c>
      <c r="P6" s="80">
        <f t="shared" si="0"/>
        <v>1850</v>
      </c>
      <c r="Q6" s="77">
        <v>2</v>
      </c>
      <c r="R6" s="64">
        <v>3700</v>
      </c>
    </row>
    <row r="7" spans="1:18" x14ac:dyDescent="0.45">
      <c r="A7" s="19" t="s">
        <v>1</v>
      </c>
      <c r="B7" s="139">
        <f>IF(B$2=0,0,(B$8*1+B$9*2+B$10*3)/B$2)</f>
        <v>2.5</v>
      </c>
      <c r="C7" s="140"/>
      <c r="E7" s="27" t="s">
        <v>78</v>
      </c>
      <c r="F7" s="24" t="s">
        <v>33</v>
      </c>
      <c r="G7" s="12">
        <v>1</v>
      </c>
      <c r="H7" s="88">
        <f>IF(B$20=0,0,G7/B$20)</f>
        <v>0.25</v>
      </c>
      <c r="I7" s="58">
        <v>1</v>
      </c>
      <c r="O7" s="75" t="s">
        <v>133</v>
      </c>
      <c r="P7" s="81">
        <f t="shared" si="0"/>
        <v>2150</v>
      </c>
      <c r="Q7" s="78">
        <v>2</v>
      </c>
      <c r="R7" s="65">
        <v>4300</v>
      </c>
    </row>
    <row r="8" spans="1:18" x14ac:dyDescent="0.45">
      <c r="A8" s="19" t="s">
        <v>2</v>
      </c>
      <c r="B8" s="12">
        <v>0</v>
      </c>
      <c r="C8" s="6">
        <f t="shared" ref="C8:C15" si="1">IF(B$2=0,0,B8/B$2)</f>
        <v>0</v>
      </c>
      <c r="E8" s="27" t="s">
        <v>89</v>
      </c>
      <c r="F8" s="24" t="s">
        <v>44</v>
      </c>
      <c r="G8" s="12">
        <v>1</v>
      </c>
      <c r="H8" s="88">
        <f>IF(B$20=0,0,G8/B$20)</f>
        <v>0.25</v>
      </c>
      <c r="I8" s="58">
        <v>2</v>
      </c>
      <c r="O8" s="107"/>
      <c r="P8" s="85"/>
      <c r="Q8" s="108"/>
      <c r="R8" s="70"/>
    </row>
    <row r="9" spans="1:18" x14ac:dyDescent="0.45">
      <c r="A9" s="19" t="s">
        <v>3</v>
      </c>
      <c r="B9" s="12">
        <v>1</v>
      </c>
      <c r="C9" s="6">
        <f t="shared" si="1"/>
        <v>0.5</v>
      </c>
      <c r="E9" s="27" t="s">
        <v>159</v>
      </c>
      <c r="F9" s="24" t="s">
        <v>160</v>
      </c>
      <c r="G9" s="12">
        <v>1</v>
      </c>
      <c r="H9" s="88">
        <f>IF(B$20=0,0,G9/B$20)</f>
        <v>0.25</v>
      </c>
      <c r="I9" s="58">
        <v>10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1</v>
      </c>
      <c r="C10" s="7">
        <f t="shared" si="1"/>
        <v>0.5</v>
      </c>
      <c r="E10" s="27" t="s">
        <v>65</v>
      </c>
      <c r="F10" s="24" t="s">
        <v>21</v>
      </c>
      <c r="G10" s="12">
        <v>0</v>
      </c>
      <c r="H10" s="88">
        <f>IF(B$20=0,0,G10/B$20)</f>
        <v>0</v>
      </c>
      <c r="I10" s="58">
        <v>11</v>
      </c>
      <c r="O10" s="73" t="s">
        <v>151</v>
      </c>
      <c r="P10" s="82">
        <f>IF(Q10=0,0,R10/Q10)</f>
        <v>-17.5</v>
      </c>
      <c r="Q10" s="76">
        <v>1</v>
      </c>
      <c r="R10" s="67">
        <v>-17.5</v>
      </c>
    </row>
    <row r="11" spans="1:18" x14ac:dyDescent="0.45">
      <c r="A11" s="20" t="s">
        <v>184</v>
      </c>
      <c r="B11" s="109">
        <f>IF(B8=0,0,C11/B8)</f>
        <v>0</v>
      </c>
      <c r="C11" s="110">
        <v>0</v>
      </c>
      <c r="E11" s="27" t="s">
        <v>69</v>
      </c>
      <c r="F11" s="24" t="s">
        <v>24</v>
      </c>
      <c r="G11" s="12">
        <v>0</v>
      </c>
      <c r="H11" s="88">
        <f>IF(B$20=0,0,G11/B$20)</f>
        <v>0</v>
      </c>
      <c r="I11" s="58">
        <v>10</v>
      </c>
      <c r="O11" s="74" t="s">
        <v>152</v>
      </c>
      <c r="P11" s="83">
        <f>IF(Q11=0,0,R11/Q11)</f>
        <v>4</v>
      </c>
      <c r="Q11" s="77">
        <v>1</v>
      </c>
      <c r="R11" s="68">
        <v>4</v>
      </c>
    </row>
    <row r="12" spans="1:18" x14ac:dyDescent="0.45">
      <c r="A12" s="20" t="s">
        <v>185</v>
      </c>
      <c r="B12" s="109">
        <f>IF(B9=0,0,C12/B9)</f>
        <v>4</v>
      </c>
      <c r="C12" s="110">
        <v>4</v>
      </c>
      <c r="E12" s="27" t="s">
        <v>70</v>
      </c>
      <c r="F12" s="24" t="s">
        <v>25</v>
      </c>
      <c r="G12" s="12">
        <v>0</v>
      </c>
      <c r="H12" s="88">
        <f>IF(B$20=0,0,G12/B$20)</f>
        <v>0</v>
      </c>
      <c r="I12" s="58">
        <v>9</v>
      </c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5">
      <c r="A13" s="20" t="s">
        <v>186</v>
      </c>
      <c r="B13" s="109">
        <f>IF(B10=0,0,C13/B10)</f>
        <v>-17.5</v>
      </c>
      <c r="C13" s="110">
        <v>-17.5</v>
      </c>
      <c r="E13" s="27" t="s">
        <v>71</v>
      </c>
      <c r="F13" s="24" t="s">
        <v>26</v>
      </c>
      <c r="G13" s="12">
        <v>0</v>
      </c>
      <c r="H13" s="88">
        <f>IF(B$20=0,0,G13/B$20)</f>
        <v>0</v>
      </c>
      <c r="I13" s="58">
        <v>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-4.5</v>
      </c>
      <c r="C14" s="126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195</v>
      </c>
      <c r="P15" s="82">
        <f>IF(Q15=0,0,R15/Q15)</f>
        <v>-3.6500000000000004</v>
      </c>
      <c r="Q15" s="76">
        <v>2</v>
      </c>
      <c r="R15" s="67">
        <v>-7.3000000000000007</v>
      </c>
    </row>
    <row r="16" spans="1:18" x14ac:dyDescent="0.45">
      <c r="A16" s="22" t="s">
        <v>121</v>
      </c>
      <c r="B16" s="15">
        <v>4</v>
      </c>
      <c r="C16" s="10">
        <f>IF(B$3=0,0,B16/B$3)</f>
        <v>0.22222222222222221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3</v>
      </c>
      <c r="O16" s="74" t="s">
        <v>211</v>
      </c>
      <c r="P16" s="83">
        <f>IF(Q16=0,0,R16/Q16)</f>
        <v>-16.2</v>
      </c>
      <c r="Q16" s="77">
        <v>1</v>
      </c>
      <c r="R16" s="68">
        <v>-16.2</v>
      </c>
    </row>
    <row r="17" spans="1:18" x14ac:dyDescent="0.45">
      <c r="A17" s="19" t="s">
        <v>118</v>
      </c>
      <c r="B17" s="12">
        <v>5</v>
      </c>
      <c r="C17" s="6">
        <f>IF(B$3=0,0,B17/B$3)</f>
        <v>0.27777777777777779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192</v>
      </c>
      <c r="P17" s="83">
        <f>IF(Q17=0,0,R17/Q17)</f>
        <v>-17</v>
      </c>
      <c r="Q17" s="77">
        <v>1</v>
      </c>
      <c r="R17" s="68">
        <v>-17</v>
      </c>
    </row>
    <row r="18" spans="1:18" x14ac:dyDescent="0.45">
      <c r="A18" s="18" t="s">
        <v>123</v>
      </c>
      <c r="B18" s="11">
        <f>B24</f>
        <v>1</v>
      </c>
      <c r="C18" s="5">
        <f>IF(B$16=0,0,B18/B$16)</f>
        <v>0.25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3</v>
      </c>
    </row>
    <row r="19" spans="1:18" x14ac:dyDescent="0.45">
      <c r="A19" s="18" t="s">
        <v>124</v>
      </c>
      <c r="B19" s="11">
        <f>B25</f>
        <v>2</v>
      </c>
      <c r="C19" s="5">
        <f>IF(B$17=0,0,B19/B$17)</f>
        <v>0.4</v>
      </c>
      <c r="E19" s="27" t="s">
        <v>79</v>
      </c>
      <c r="F19" s="24" t="s">
        <v>34</v>
      </c>
      <c r="G19" s="12">
        <v>0</v>
      </c>
      <c r="H19" s="88">
        <f>IF(B$20=0,0,G19/B$20)</f>
        <v>0</v>
      </c>
      <c r="I19" s="58">
        <v>7</v>
      </c>
    </row>
    <row r="20" spans="1:18" x14ac:dyDescent="0.45">
      <c r="A20" s="18" t="s">
        <v>10</v>
      </c>
      <c r="B20" s="11">
        <f>B23+B22</f>
        <v>4</v>
      </c>
      <c r="C20" s="5">
        <f>IF(B$3=0,0,B20/B$3)</f>
        <v>0.22222222222222221</v>
      </c>
      <c r="E20" s="27" t="s">
        <v>80</v>
      </c>
      <c r="F20" s="24" t="s">
        <v>35</v>
      </c>
      <c r="G20" s="12">
        <v>0</v>
      </c>
      <c r="H20" s="88">
        <f>IF(B$20=0,0,G20/B$20)</f>
        <v>0</v>
      </c>
      <c r="I20" s="58">
        <v>1</v>
      </c>
    </row>
    <row r="21" spans="1:18" x14ac:dyDescent="0.45">
      <c r="A21" s="19" t="s">
        <v>13</v>
      </c>
      <c r="B21" s="12">
        <v>3</v>
      </c>
      <c r="C21" s="6">
        <f>IF(B$3=0,0,B21/B$3)</f>
        <v>0.16666666666666666</v>
      </c>
      <c r="E21" s="27" t="s">
        <v>81</v>
      </c>
      <c r="F21" s="24" t="s">
        <v>36</v>
      </c>
      <c r="G21" s="12">
        <v>0</v>
      </c>
      <c r="H21" s="88">
        <f>IF(B$20=0,0,G21/B$20)</f>
        <v>0</v>
      </c>
      <c r="I21" s="58">
        <v>9</v>
      </c>
    </row>
    <row r="22" spans="1:18" x14ac:dyDescent="0.45">
      <c r="A22" s="19" t="s">
        <v>12</v>
      </c>
      <c r="B22" s="12">
        <v>4</v>
      </c>
      <c r="C22" s="6">
        <f>IF(B$20=0,0,B22/B$20)</f>
        <v>1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5">
      <c r="A23" s="19" t="s">
        <v>11</v>
      </c>
      <c r="B23" s="12">
        <v>0</v>
      </c>
      <c r="C23" s="6">
        <f>IF(B$20=0,0,B23/B$20)</f>
        <v>0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9</v>
      </c>
    </row>
    <row r="24" spans="1:18" x14ac:dyDescent="0.45">
      <c r="A24" s="19" t="s">
        <v>183</v>
      </c>
      <c r="B24" s="12">
        <v>1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2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5">
      <c r="A26" s="19" t="s">
        <v>182</v>
      </c>
      <c r="B26" s="12">
        <v>1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5">
      <c r="A27" s="19" t="s">
        <v>5</v>
      </c>
      <c r="B27" s="16">
        <f>IF(B$20=0,0,C27/B$20)</f>
        <v>10925</v>
      </c>
      <c r="C27" s="8">
        <v>43700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9850</v>
      </c>
      <c r="C28" s="96">
        <v>19700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5">
      <c r="A29" s="20" t="s">
        <v>166</v>
      </c>
      <c r="B29" s="95">
        <f>IF(B$19=0,0,C29/B$19)</f>
        <v>12000</v>
      </c>
      <c r="C29" s="96">
        <v>24000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-10300</v>
      </c>
      <c r="C30" s="96">
        <v>-30900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2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5</v>
      </c>
      <c r="C32" s="90">
        <v>3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3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39000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0</v>
      </c>
      <c r="C38" s="6">
        <f t="shared" si="2"/>
        <v>0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2</v>
      </c>
      <c r="C40" s="6">
        <f t="shared" si="2"/>
        <v>0.5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2</v>
      </c>
      <c r="C42" s="6">
        <f t="shared" si="2"/>
        <v>0.5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07D52-816F-490F-96CA-82AAB86153E1}">
  <sheetPr codeName="Sheet26"/>
  <dimension ref="A1:Q5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221</v>
      </c>
      <c r="B1" s="34" t="s">
        <v>221</v>
      </c>
      <c r="C1" s="34" t="s">
        <v>221</v>
      </c>
      <c r="D1" s="35" t="s">
        <v>221</v>
      </c>
      <c r="E1" s="34" t="s">
        <v>221</v>
      </c>
      <c r="F1" s="34" t="s">
        <v>221</v>
      </c>
      <c r="G1" s="34" t="s">
        <v>221</v>
      </c>
      <c r="H1" s="34" t="s">
        <v>221</v>
      </c>
      <c r="I1" s="34" t="s">
        <v>221</v>
      </c>
      <c r="J1" s="34" t="s">
        <v>221</v>
      </c>
      <c r="K1" s="34" t="s">
        <v>221</v>
      </c>
      <c r="L1" s="34" t="s">
        <v>221</v>
      </c>
      <c r="M1" s="34" t="s">
        <v>221</v>
      </c>
      <c r="N1" s="34" t="s">
        <v>221</v>
      </c>
      <c r="O1" s="34" t="s">
        <v>221</v>
      </c>
      <c r="P1" s="34" t="s">
        <v>221</v>
      </c>
      <c r="Q1" s="34" t="s">
        <v>221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4</v>
      </c>
      <c r="C4" s="30">
        <v>4</v>
      </c>
      <c r="D4" s="35">
        <v>2</v>
      </c>
      <c r="E4" s="31">
        <v>0</v>
      </c>
      <c r="F4" s="31">
        <v>0</v>
      </c>
      <c r="G4" s="31">
        <v>0.3</v>
      </c>
      <c r="H4" s="31">
        <v>0.2</v>
      </c>
      <c r="I4" s="32">
        <v>10566.666666666666</v>
      </c>
      <c r="J4" s="32">
        <v>-12850</v>
      </c>
      <c r="K4" s="31">
        <v>0</v>
      </c>
      <c r="L4" s="31">
        <v>0.3</v>
      </c>
      <c r="M4" s="31">
        <v>0.3</v>
      </c>
      <c r="N4" s="31">
        <v>0.33333333333333331</v>
      </c>
      <c r="O4" s="31">
        <v>0.33333333333333331</v>
      </c>
      <c r="P4" s="31">
        <v>1</v>
      </c>
    </row>
    <row r="5" spans="1:17" x14ac:dyDescent="0.45">
      <c r="A5" s="33">
        <v>2</v>
      </c>
      <c r="B5" s="30">
        <v>-13.5</v>
      </c>
      <c r="C5" s="30">
        <v>-6.75</v>
      </c>
      <c r="D5" s="35">
        <v>2.5</v>
      </c>
      <c r="E5" s="31">
        <v>0</v>
      </c>
      <c r="F5" s="31">
        <v>0.5</v>
      </c>
      <c r="G5" s="31">
        <v>0.22222222222222221</v>
      </c>
      <c r="H5" s="31">
        <v>0.16666666666666666</v>
      </c>
      <c r="I5" s="32">
        <v>10925</v>
      </c>
      <c r="J5" s="32">
        <v>-10300</v>
      </c>
      <c r="K5" s="31">
        <v>0</v>
      </c>
      <c r="L5" s="31">
        <v>0.22222222222222221</v>
      </c>
      <c r="M5" s="31">
        <v>0.27777777777777779</v>
      </c>
      <c r="N5" s="31">
        <v>0.25</v>
      </c>
      <c r="O5" s="31">
        <v>0.4</v>
      </c>
      <c r="P5" s="31">
        <v>1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6F3C86-77D7-4C79-B4C9-9BAFDB655C8B}">
  <sheetPr codeName="Sheet24"/>
  <dimension ref="A1:Q9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195</v>
      </c>
      <c r="B1" s="34" t="s">
        <v>195</v>
      </c>
      <c r="C1" s="34" t="s">
        <v>195</v>
      </c>
      <c r="D1" s="35" t="s">
        <v>195</v>
      </c>
      <c r="E1" s="34" t="s">
        <v>195</v>
      </c>
      <c r="F1" s="34" t="s">
        <v>195</v>
      </c>
      <c r="G1" s="34" t="s">
        <v>195</v>
      </c>
      <c r="H1" s="34" t="s">
        <v>195</v>
      </c>
      <c r="I1" s="34" t="s">
        <v>195</v>
      </c>
      <c r="J1" s="34" t="s">
        <v>195</v>
      </c>
      <c r="K1" s="34" t="s">
        <v>195</v>
      </c>
      <c r="L1" s="34" t="s">
        <v>195</v>
      </c>
      <c r="M1" s="34" t="s">
        <v>195</v>
      </c>
      <c r="N1" s="34" t="s">
        <v>195</v>
      </c>
      <c r="O1" s="34" t="s">
        <v>195</v>
      </c>
      <c r="P1" s="34" t="s">
        <v>195</v>
      </c>
      <c r="Q1" s="34" t="s">
        <v>195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-24.2</v>
      </c>
      <c r="C4" s="30">
        <v>-24.2</v>
      </c>
      <c r="D4" s="35">
        <v>3</v>
      </c>
      <c r="E4" s="31">
        <v>0</v>
      </c>
      <c r="F4" s="31">
        <v>1</v>
      </c>
      <c r="G4" s="31">
        <v>0.2</v>
      </c>
      <c r="H4" s="31">
        <v>0.1</v>
      </c>
      <c r="I4" s="32">
        <v>4400</v>
      </c>
      <c r="J4" s="32">
        <v>-1300</v>
      </c>
      <c r="K4" s="31">
        <v>0</v>
      </c>
      <c r="L4" s="31">
        <v>0.1</v>
      </c>
      <c r="M4" s="31">
        <v>0</v>
      </c>
      <c r="N4" s="31">
        <v>1</v>
      </c>
      <c r="O4" s="31">
        <v>0</v>
      </c>
      <c r="P4" s="31">
        <v>1</v>
      </c>
    </row>
    <row r="5" spans="1:17" x14ac:dyDescent="0.45">
      <c r="A5" s="33">
        <v>2</v>
      </c>
      <c r="B5" s="30">
        <v>-6.1999999999999993</v>
      </c>
      <c r="C5" s="30">
        <v>-3.0999999999999996</v>
      </c>
      <c r="D5" s="35">
        <v>2</v>
      </c>
      <c r="E5" s="31">
        <v>0.5</v>
      </c>
      <c r="F5" s="31">
        <v>0.5</v>
      </c>
      <c r="G5" s="31">
        <v>0.27777777777777779</v>
      </c>
      <c r="H5" s="31">
        <v>0.16666666666666666</v>
      </c>
      <c r="I5" s="32">
        <v>7460</v>
      </c>
      <c r="J5" s="32">
        <v>-5766.666666666667</v>
      </c>
      <c r="K5" s="31">
        <v>0</v>
      </c>
      <c r="L5" s="31">
        <v>0.22222222222222221</v>
      </c>
      <c r="M5" s="31">
        <v>0</v>
      </c>
      <c r="N5" s="31">
        <v>1</v>
      </c>
      <c r="O5" s="31">
        <v>0</v>
      </c>
      <c r="P5" s="31">
        <v>0.8</v>
      </c>
    </row>
    <row r="6" spans="1:17" x14ac:dyDescent="0.45">
      <c r="A6" s="33">
        <v>3</v>
      </c>
      <c r="B6" s="30">
        <v>18.100000000000001</v>
      </c>
      <c r="C6" s="30">
        <v>6.0333333333333341</v>
      </c>
      <c r="D6" s="35">
        <v>1.6666666666666667</v>
      </c>
      <c r="E6" s="31">
        <v>0.66666666666666663</v>
      </c>
      <c r="F6" s="31">
        <v>0.33333333333333331</v>
      </c>
      <c r="G6" s="31">
        <v>0.29166666666666669</v>
      </c>
      <c r="H6" s="31">
        <v>0.20833333333333334</v>
      </c>
      <c r="I6" s="32">
        <v>9314.2857142857138</v>
      </c>
      <c r="J6" s="32">
        <v>-6380</v>
      </c>
      <c r="K6" s="31">
        <v>0</v>
      </c>
      <c r="L6" s="31">
        <v>0.25</v>
      </c>
      <c r="M6" s="31">
        <v>8.3333333333333329E-2</v>
      </c>
      <c r="N6" s="31">
        <v>0.83333333333333337</v>
      </c>
      <c r="O6" s="31">
        <v>0.5</v>
      </c>
      <c r="P6" s="31">
        <v>0.7142857142857143</v>
      </c>
    </row>
    <row r="7" spans="1:17" x14ac:dyDescent="0.45">
      <c r="A7" s="33">
        <v>4</v>
      </c>
      <c r="B7" s="30">
        <v>-14.699999999999996</v>
      </c>
      <c r="C7" s="30">
        <v>-3.6749999999999989</v>
      </c>
      <c r="D7" s="35">
        <v>2</v>
      </c>
      <c r="E7" s="31">
        <v>0.5</v>
      </c>
      <c r="F7" s="31">
        <v>0.5</v>
      </c>
      <c r="G7" s="31">
        <v>0.25</v>
      </c>
      <c r="H7" s="31">
        <v>0.1388888888888889</v>
      </c>
      <c r="I7" s="32">
        <v>9022.2222222222226</v>
      </c>
      <c r="J7" s="32">
        <v>-6380</v>
      </c>
      <c r="K7" s="31">
        <v>0</v>
      </c>
      <c r="L7" s="31">
        <v>0.25</v>
      </c>
      <c r="M7" s="31">
        <v>5.5555555555555552E-2</v>
      </c>
      <c r="N7" s="31">
        <v>0.77777777777777779</v>
      </c>
      <c r="O7" s="31">
        <v>0.5</v>
      </c>
      <c r="P7" s="31">
        <v>0.77777777777777779</v>
      </c>
    </row>
    <row r="8" spans="1:17" x14ac:dyDescent="0.45">
      <c r="A8" s="33">
        <v>5</v>
      </c>
      <c r="B8" s="30">
        <v>-66.8</v>
      </c>
      <c r="C8" s="30">
        <v>-13.36</v>
      </c>
      <c r="D8" s="35">
        <v>2.2000000000000002</v>
      </c>
      <c r="E8" s="31">
        <v>0.4</v>
      </c>
      <c r="F8" s="31">
        <v>0.6</v>
      </c>
      <c r="G8" s="31">
        <v>0.25</v>
      </c>
      <c r="H8" s="31">
        <v>0.15</v>
      </c>
      <c r="I8" s="32">
        <v>8330</v>
      </c>
      <c r="J8" s="32">
        <v>-5966.666666666667</v>
      </c>
      <c r="K8" s="31">
        <v>0.2</v>
      </c>
      <c r="L8" s="31">
        <v>0.25</v>
      </c>
      <c r="M8" s="31">
        <v>0.05</v>
      </c>
      <c r="N8" s="31">
        <v>0.7</v>
      </c>
      <c r="O8" s="31">
        <v>0.5</v>
      </c>
      <c r="P8" s="31">
        <v>0.8</v>
      </c>
    </row>
    <row r="9" spans="1:17" x14ac:dyDescent="0.45">
      <c r="A9" s="33">
        <v>6</v>
      </c>
      <c r="B9" s="30">
        <v>-118.3</v>
      </c>
      <c r="C9" s="30">
        <v>-19.716666666666665</v>
      </c>
      <c r="D9" s="35">
        <v>2.3333333333333335</v>
      </c>
      <c r="E9" s="31">
        <v>0.33333333333333331</v>
      </c>
      <c r="F9" s="31">
        <v>0.66666666666666663</v>
      </c>
      <c r="G9" s="31">
        <v>0.22448979591836735</v>
      </c>
      <c r="H9" s="31">
        <v>0.18367346938775511</v>
      </c>
      <c r="I9" s="32">
        <v>8272.7272727272721</v>
      </c>
      <c r="J9" s="32">
        <v>-7666.666666666667</v>
      </c>
      <c r="K9" s="31">
        <v>0.33333333333333331</v>
      </c>
      <c r="L9" s="31">
        <v>0.20408163265306123</v>
      </c>
      <c r="M9" s="31">
        <v>6.1224489795918366E-2</v>
      </c>
      <c r="N9" s="31">
        <v>0.7</v>
      </c>
      <c r="O9" s="31">
        <v>0.66666666666666663</v>
      </c>
      <c r="P9" s="31">
        <v>0.72727272727272729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E6A7C-8328-4D99-ABE9-F9F6880A75EE}">
  <sheetPr codeName="Sheet22"/>
  <dimension ref="A1:Q7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193</v>
      </c>
      <c r="B1" s="34" t="s">
        <v>193</v>
      </c>
      <c r="C1" s="34" t="s">
        <v>193</v>
      </c>
      <c r="D1" s="35" t="s">
        <v>193</v>
      </c>
      <c r="E1" s="34" t="s">
        <v>193</v>
      </c>
      <c r="F1" s="34" t="s">
        <v>193</v>
      </c>
      <c r="G1" s="34" t="s">
        <v>193</v>
      </c>
      <c r="H1" s="34" t="s">
        <v>193</v>
      </c>
      <c r="I1" s="34" t="s">
        <v>193</v>
      </c>
      <c r="J1" s="34" t="s">
        <v>193</v>
      </c>
      <c r="K1" s="34" t="s">
        <v>193</v>
      </c>
      <c r="L1" s="34" t="s">
        <v>193</v>
      </c>
      <c r="M1" s="34" t="s">
        <v>193</v>
      </c>
      <c r="N1" s="34" t="s">
        <v>193</v>
      </c>
      <c r="O1" s="34" t="s">
        <v>193</v>
      </c>
      <c r="P1" s="34" t="s">
        <v>193</v>
      </c>
      <c r="Q1" s="34" t="s">
        <v>193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-38</v>
      </c>
      <c r="C4" s="30">
        <v>-38</v>
      </c>
      <c r="D4" s="35">
        <v>3</v>
      </c>
      <c r="E4" s="31">
        <v>0</v>
      </c>
      <c r="F4" s="31">
        <v>1</v>
      </c>
      <c r="G4" s="31">
        <v>7.1428571428571425E-2</v>
      </c>
      <c r="H4" s="31">
        <v>0.21428571428571427</v>
      </c>
      <c r="I4" s="32">
        <v>4800</v>
      </c>
      <c r="J4" s="32">
        <v>-6600</v>
      </c>
      <c r="K4" s="31">
        <v>0</v>
      </c>
      <c r="L4" s="31">
        <v>0.2857142857142857</v>
      </c>
      <c r="M4" s="31">
        <v>0.14285714285714285</v>
      </c>
      <c r="N4" s="31">
        <v>0.25</v>
      </c>
      <c r="O4" s="31">
        <v>0</v>
      </c>
      <c r="P4" s="31">
        <v>0</v>
      </c>
    </row>
    <row r="5" spans="1:17" x14ac:dyDescent="0.45">
      <c r="A5" s="33">
        <v>2</v>
      </c>
      <c r="B5" s="30">
        <v>-18</v>
      </c>
      <c r="C5" s="30">
        <v>-9</v>
      </c>
      <c r="D5" s="35">
        <v>2</v>
      </c>
      <c r="E5" s="31">
        <v>0.5</v>
      </c>
      <c r="F5" s="31">
        <v>0.5</v>
      </c>
      <c r="G5" s="31">
        <v>0.17647058823529413</v>
      </c>
      <c r="H5" s="31">
        <v>0.23529411764705882</v>
      </c>
      <c r="I5" s="32">
        <v>7266.666666666667</v>
      </c>
      <c r="J5" s="32">
        <v>-6950</v>
      </c>
      <c r="K5" s="31">
        <v>0</v>
      </c>
      <c r="L5" s="31">
        <v>0.23529411764705882</v>
      </c>
      <c r="M5" s="31">
        <v>0.23529411764705882</v>
      </c>
      <c r="N5" s="31">
        <v>0.25</v>
      </c>
      <c r="O5" s="31">
        <v>0.5</v>
      </c>
      <c r="P5" s="31">
        <v>0</v>
      </c>
    </row>
    <row r="6" spans="1:17" x14ac:dyDescent="0.45">
      <c r="A6" s="33">
        <v>3</v>
      </c>
      <c r="B6" s="30">
        <v>-14.9</v>
      </c>
      <c r="C6" s="30">
        <v>-4.9666666666666668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0.17857142857142858</v>
      </c>
      <c r="I6" s="32">
        <v>7671.4285714285716</v>
      </c>
      <c r="J6" s="32">
        <v>-9160</v>
      </c>
      <c r="K6" s="31">
        <v>0</v>
      </c>
      <c r="L6" s="31">
        <v>0.25</v>
      </c>
      <c r="M6" s="31">
        <v>0.2857142857142857</v>
      </c>
      <c r="N6" s="31">
        <v>0.14285714285714285</v>
      </c>
      <c r="O6" s="31">
        <v>0.5</v>
      </c>
      <c r="P6" s="31">
        <v>0.14285714285714285</v>
      </c>
    </row>
    <row r="7" spans="1:17" x14ac:dyDescent="0.45">
      <c r="A7" s="33">
        <v>4</v>
      </c>
      <c r="B7" s="30">
        <v>-51.699999999999996</v>
      </c>
      <c r="C7" s="30">
        <v>-12.924999999999999</v>
      </c>
      <c r="D7" s="35">
        <v>2.25</v>
      </c>
      <c r="E7" s="31">
        <v>0.25</v>
      </c>
      <c r="F7" s="31">
        <v>0.5</v>
      </c>
      <c r="G7" s="31">
        <v>0.22857142857142856</v>
      </c>
      <c r="H7" s="31">
        <v>0.22857142857142856</v>
      </c>
      <c r="I7" s="32">
        <v>8212.5</v>
      </c>
      <c r="J7" s="32">
        <v>-9387.5</v>
      </c>
      <c r="K7" s="31">
        <v>0</v>
      </c>
      <c r="L7" s="31">
        <v>0.25714285714285712</v>
      </c>
      <c r="M7" s="31">
        <v>0.2857142857142857</v>
      </c>
      <c r="N7" s="31">
        <v>0.22222222222222221</v>
      </c>
      <c r="O7" s="31">
        <v>0.4</v>
      </c>
      <c r="P7" s="31">
        <v>0.25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88FCE-C98F-48B2-B7A7-D69D1B8AF486}">
  <sheetPr codeName="Sheet20"/>
  <dimension ref="A1:Q17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216</v>
      </c>
      <c r="B1" s="34" t="s">
        <v>216</v>
      </c>
      <c r="C1" s="34" t="s">
        <v>216</v>
      </c>
      <c r="D1" s="35" t="s">
        <v>216</v>
      </c>
      <c r="E1" s="34" t="s">
        <v>216</v>
      </c>
      <c r="F1" s="34" t="s">
        <v>216</v>
      </c>
      <c r="G1" s="34" t="s">
        <v>216</v>
      </c>
      <c r="H1" s="34" t="s">
        <v>216</v>
      </c>
      <c r="I1" s="34" t="s">
        <v>216</v>
      </c>
      <c r="J1" s="34" t="s">
        <v>216</v>
      </c>
      <c r="K1" s="34" t="s">
        <v>216</v>
      </c>
      <c r="L1" s="34" t="s">
        <v>216</v>
      </c>
      <c r="M1" s="34" t="s">
        <v>216</v>
      </c>
      <c r="N1" s="34" t="s">
        <v>216</v>
      </c>
      <c r="O1" s="34" t="s">
        <v>216</v>
      </c>
      <c r="P1" s="34" t="s">
        <v>216</v>
      </c>
      <c r="Q1" s="34" t="s">
        <v>216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42.4</v>
      </c>
      <c r="C4" s="30">
        <v>42.4</v>
      </c>
      <c r="D4" s="35">
        <v>1</v>
      </c>
      <c r="E4" s="31">
        <v>1</v>
      </c>
      <c r="F4" s="31">
        <v>0</v>
      </c>
      <c r="G4" s="31">
        <v>0.35714285714285715</v>
      </c>
      <c r="H4" s="31">
        <v>7.1428571428571425E-2</v>
      </c>
      <c r="I4" s="32">
        <v>8980</v>
      </c>
      <c r="J4" s="32">
        <v>-12000</v>
      </c>
      <c r="K4" s="31">
        <v>0</v>
      </c>
      <c r="L4" s="31">
        <v>0.42857142857142855</v>
      </c>
      <c r="M4" s="31">
        <v>0.21428571428571427</v>
      </c>
      <c r="N4" s="31">
        <v>0.33333333333333331</v>
      </c>
      <c r="O4" s="31">
        <v>1</v>
      </c>
      <c r="P4" s="31">
        <v>0.2</v>
      </c>
    </row>
    <row r="5" spans="1:17" x14ac:dyDescent="0.45">
      <c r="A5" s="33">
        <v>2</v>
      </c>
      <c r="B5" s="30">
        <v>50.4</v>
      </c>
      <c r="C5" s="30">
        <v>25.2</v>
      </c>
      <c r="D5" s="35">
        <v>1.5</v>
      </c>
      <c r="E5" s="31">
        <v>0.5</v>
      </c>
      <c r="F5" s="31">
        <v>0</v>
      </c>
      <c r="G5" s="31">
        <v>0.35294117647058826</v>
      </c>
      <c r="H5" s="31">
        <v>5.8823529411764705E-2</v>
      </c>
      <c r="I5" s="32">
        <v>8816.6666666666661</v>
      </c>
      <c r="J5" s="32">
        <v>-12000</v>
      </c>
      <c r="K5" s="31">
        <v>0</v>
      </c>
      <c r="L5" s="31">
        <v>0.41176470588235292</v>
      </c>
      <c r="M5" s="31">
        <v>0.17647058823529413</v>
      </c>
      <c r="N5" s="31">
        <v>0.42857142857142855</v>
      </c>
      <c r="O5" s="31">
        <v>1</v>
      </c>
      <c r="P5" s="31">
        <v>0.16666666666666666</v>
      </c>
    </row>
    <row r="6" spans="1:17" x14ac:dyDescent="0.45">
      <c r="A6" s="33">
        <v>3</v>
      </c>
      <c r="B6" s="30">
        <v>10.399999999999999</v>
      </c>
      <c r="C6" s="30">
        <v>3.4666666666666663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0.10714285714285714</v>
      </c>
      <c r="I6" s="32">
        <v>7857.1428571428569</v>
      </c>
      <c r="J6" s="32">
        <v>-9933.3333333333339</v>
      </c>
      <c r="K6" s="31">
        <v>0</v>
      </c>
      <c r="L6" s="31">
        <v>0.39285714285714285</v>
      </c>
      <c r="M6" s="31">
        <v>0.25</v>
      </c>
      <c r="N6" s="31">
        <v>0.27272727272727271</v>
      </c>
      <c r="O6" s="31">
        <v>0.5714285714285714</v>
      </c>
      <c r="P6" s="31">
        <v>0.2857142857142857</v>
      </c>
    </row>
    <row r="7" spans="1:17" x14ac:dyDescent="0.45">
      <c r="A7" s="33">
        <v>4</v>
      </c>
      <c r="B7" s="30">
        <v>60</v>
      </c>
      <c r="C7" s="30">
        <v>15</v>
      </c>
      <c r="D7" s="35">
        <v>1.75</v>
      </c>
      <c r="E7" s="31">
        <v>0.5</v>
      </c>
      <c r="F7" s="31">
        <v>0.25</v>
      </c>
      <c r="G7" s="31">
        <v>0.34285714285714286</v>
      </c>
      <c r="H7" s="31">
        <v>0.11428571428571428</v>
      </c>
      <c r="I7" s="32">
        <v>8625</v>
      </c>
      <c r="J7" s="32">
        <v>-8425</v>
      </c>
      <c r="K7" s="31">
        <v>0</v>
      </c>
      <c r="L7" s="31">
        <v>0.4</v>
      </c>
      <c r="M7" s="31">
        <v>0.22857142857142856</v>
      </c>
      <c r="N7" s="31">
        <v>0.42857142857142855</v>
      </c>
      <c r="O7" s="31">
        <v>0.625</v>
      </c>
      <c r="P7" s="31">
        <v>0.33333333333333331</v>
      </c>
    </row>
    <row r="8" spans="1:17" x14ac:dyDescent="0.45">
      <c r="A8" s="33">
        <v>5</v>
      </c>
      <c r="B8" s="30">
        <v>6.2000000000000028</v>
      </c>
      <c r="C8" s="30">
        <v>1.2400000000000007</v>
      </c>
      <c r="D8" s="35">
        <v>2</v>
      </c>
      <c r="E8" s="31">
        <v>0.4</v>
      </c>
      <c r="F8" s="31">
        <v>0.4</v>
      </c>
      <c r="G8" s="31">
        <v>0.27272727272727271</v>
      </c>
      <c r="H8" s="31">
        <v>0.18181818181818182</v>
      </c>
      <c r="I8" s="32">
        <v>8625</v>
      </c>
      <c r="J8" s="32">
        <v>-8400</v>
      </c>
      <c r="K8" s="31">
        <v>0.2</v>
      </c>
      <c r="L8" s="31">
        <v>0.36363636363636365</v>
      </c>
      <c r="M8" s="31">
        <v>0.18181818181818182</v>
      </c>
      <c r="N8" s="31">
        <v>0.375</v>
      </c>
      <c r="O8" s="31">
        <v>0.625</v>
      </c>
      <c r="P8" s="31">
        <v>0.33333333333333331</v>
      </c>
    </row>
    <row r="9" spans="1:17" x14ac:dyDescent="0.45">
      <c r="A9" s="33">
        <v>6</v>
      </c>
      <c r="B9" s="30">
        <v>30.000000000000004</v>
      </c>
      <c r="C9" s="30">
        <v>5.0000000000000009</v>
      </c>
      <c r="D9" s="35">
        <v>1.8333333333333333</v>
      </c>
      <c r="E9" s="31">
        <v>0.5</v>
      </c>
      <c r="F9" s="31">
        <v>0.33333333333333331</v>
      </c>
      <c r="G9" s="31">
        <v>0.3</v>
      </c>
      <c r="H9" s="31">
        <v>0.16</v>
      </c>
      <c r="I9" s="32">
        <v>7693.333333333333</v>
      </c>
      <c r="J9" s="32">
        <v>-8400</v>
      </c>
      <c r="K9" s="31">
        <v>0.16666666666666666</v>
      </c>
      <c r="L9" s="31">
        <v>0.34</v>
      </c>
      <c r="M9" s="31">
        <v>0.18</v>
      </c>
      <c r="N9" s="31">
        <v>0.41176470588235292</v>
      </c>
      <c r="O9" s="31">
        <v>0.66666666666666663</v>
      </c>
      <c r="P9" s="31">
        <v>0.4</v>
      </c>
    </row>
    <row r="10" spans="1:17" x14ac:dyDescent="0.45">
      <c r="A10" s="33">
        <v>7</v>
      </c>
      <c r="B10" s="30">
        <v>1.2000000000000028</v>
      </c>
      <c r="C10" s="30">
        <v>0.17142857142857185</v>
      </c>
      <c r="D10" s="35">
        <v>2</v>
      </c>
      <c r="E10" s="31">
        <v>0.42857142857142855</v>
      </c>
      <c r="F10" s="31">
        <v>0.42857142857142855</v>
      </c>
      <c r="G10" s="31">
        <v>0.25862068965517243</v>
      </c>
      <c r="H10" s="31">
        <v>0.17241379310344829</v>
      </c>
      <c r="I10" s="32">
        <v>7693.333333333333</v>
      </c>
      <c r="J10" s="32">
        <v>-7820</v>
      </c>
      <c r="K10" s="31">
        <v>0.14285714285714285</v>
      </c>
      <c r="L10" s="31">
        <v>0.29310344827586204</v>
      </c>
      <c r="M10" s="31">
        <v>0.18965517241379309</v>
      </c>
      <c r="N10" s="31">
        <v>0.41176470588235292</v>
      </c>
      <c r="O10" s="31">
        <v>0.54545454545454541</v>
      </c>
      <c r="P10" s="31">
        <v>0.4</v>
      </c>
    </row>
    <row r="11" spans="1:17" x14ac:dyDescent="0.45">
      <c r="A11" s="33">
        <v>8</v>
      </c>
      <c r="B11" s="30">
        <v>40.900000000000006</v>
      </c>
      <c r="C11" s="30">
        <v>5.1125000000000007</v>
      </c>
      <c r="D11" s="35">
        <v>1.875</v>
      </c>
      <c r="E11" s="31">
        <v>0.5</v>
      </c>
      <c r="F11" s="31">
        <v>0.375</v>
      </c>
      <c r="G11" s="31">
        <v>0.27692307692307694</v>
      </c>
      <c r="H11" s="31">
        <v>0.16923076923076924</v>
      </c>
      <c r="I11" s="32">
        <v>7905.5555555555557</v>
      </c>
      <c r="J11" s="32">
        <v>-7227.272727272727</v>
      </c>
      <c r="K11" s="31">
        <v>0.125</v>
      </c>
      <c r="L11" s="31">
        <v>0.27692307692307694</v>
      </c>
      <c r="M11" s="31">
        <v>0.2</v>
      </c>
      <c r="N11" s="31">
        <v>0.44444444444444442</v>
      </c>
      <c r="O11" s="31">
        <v>0.46153846153846156</v>
      </c>
      <c r="P11" s="31">
        <v>0.5</v>
      </c>
    </row>
    <row r="12" spans="1:17" x14ac:dyDescent="0.45">
      <c r="A12" s="33">
        <v>9</v>
      </c>
      <c r="B12" s="30">
        <v>21.100000000000005</v>
      </c>
      <c r="C12" s="30">
        <v>2.344444444444445</v>
      </c>
      <c r="D12" s="35">
        <v>1.8888888888888888</v>
      </c>
      <c r="E12" s="31">
        <v>0.44444444444444442</v>
      </c>
      <c r="F12" s="31">
        <v>0.33333333333333331</v>
      </c>
      <c r="G12" s="31">
        <v>0.25</v>
      </c>
      <c r="H12" s="31">
        <v>0.18055555555555555</v>
      </c>
      <c r="I12" s="32">
        <v>7905.5555555555557</v>
      </c>
      <c r="J12" s="32">
        <v>-6907.6923076923076</v>
      </c>
      <c r="K12" s="31">
        <v>0.1111111111111111</v>
      </c>
      <c r="L12" s="31">
        <v>0.25</v>
      </c>
      <c r="M12" s="31">
        <v>0.20833333333333334</v>
      </c>
      <c r="N12" s="31">
        <v>0.44444444444444442</v>
      </c>
      <c r="O12" s="31">
        <v>0.4</v>
      </c>
      <c r="P12" s="31">
        <v>0.5</v>
      </c>
    </row>
    <row r="13" spans="1:17" x14ac:dyDescent="0.45">
      <c r="A13" s="33">
        <v>10</v>
      </c>
      <c r="B13" s="30">
        <v>14.100000000000005</v>
      </c>
      <c r="C13" s="30">
        <v>1.4100000000000006</v>
      </c>
      <c r="D13" s="35">
        <v>1.9</v>
      </c>
      <c r="E13" s="31">
        <v>0.4</v>
      </c>
      <c r="F13" s="31">
        <v>0.3</v>
      </c>
      <c r="G13" s="31">
        <v>0.24358974358974358</v>
      </c>
      <c r="H13" s="31">
        <v>0.16666666666666666</v>
      </c>
      <c r="I13" s="32">
        <v>7557.894736842105</v>
      </c>
      <c r="J13" s="32">
        <v>-6907.6923076923076</v>
      </c>
      <c r="K13" s="31">
        <v>0.1</v>
      </c>
      <c r="L13" s="31">
        <v>0.26923076923076922</v>
      </c>
      <c r="M13" s="31">
        <v>0.21794871794871795</v>
      </c>
      <c r="N13" s="31">
        <v>0.42857142857142855</v>
      </c>
      <c r="O13" s="31">
        <v>0.35294117647058826</v>
      </c>
      <c r="P13" s="31">
        <v>0.47368421052631576</v>
      </c>
    </row>
    <row r="14" spans="1:17" x14ac:dyDescent="0.45">
      <c r="A14" s="33">
        <v>11</v>
      </c>
      <c r="B14" s="30">
        <v>-20.399999999999995</v>
      </c>
      <c r="C14" s="30">
        <v>-1.8545454545454541</v>
      </c>
      <c r="D14" s="35">
        <v>2</v>
      </c>
      <c r="E14" s="31">
        <v>0.36363636363636365</v>
      </c>
      <c r="F14" s="31">
        <v>0.36363636363636365</v>
      </c>
      <c r="G14" s="31">
        <v>0.23529411764705882</v>
      </c>
      <c r="H14" s="31">
        <v>0.21176470588235294</v>
      </c>
      <c r="I14" s="32">
        <v>7580</v>
      </c>
      <c r="J14" s="32">
        <v>-6738.8888888888887</v>
      </c>
      <c r="K14" s="31">
        <v>9.0909090909090912E-2</v>
      </c>
      <c r="L14" s="31">
        <v>0.24705882352941178</v>
      </c>
      <c r="M14" s="31">
        <v>0.23529411764705882</v>
      </c>
      <c r="N14" s="31">
        <v>0.42857142857142855</v>
      </c>
      <c r="O14" s="31">
        <v>0.35</v>
      </c>
      <c r="P14" s="31">
        <v>0.45</v>
      </c>
    </row>
    <row r="15" spans="1:17" x14ac:dyDescent="0.45">
      <c r="A15" s="33">
        <v>12</v>
      </c>
      <c r="B15" s="30">
        <v>-16.299999999999997</v>
      </c>
      <c r="C15" s="30">
        <v>-1.3583333333333332</v>
      </c>
      <c r="D15" s="35">
        <v>2</v>
      </c>
      <c r="E15" s="31">
        <v>0.33333333333333331</v>
      </c>
      <c r="F15" s="31">
        <v>0.33333333333333331</v>
      </c>
      <c r="G15" s="31">
        <v>0.24468085106382978</v>
      </c>
      <c r="H15" s="31">
        <v>0.21276595744680851</v>
      </c>
      <c r="I15" s="32">
        <v>7778.260869565217</v>
      </c>
      <c r="J15" s="32">
        <v>-6725</v>
      </c>
      <c r="K15" s="31">
        <v>8.3333333333333329E-2</v>
      </c>
      <c r="L15" s="31">
        <v>0.25531914893617019</v>
      </c>
      <c r="M15" s="31">
        <v>0.23404255319148937</v>
      </c>
      <c r="N15" s="31">
        <v>0.5</v>
      </c>
      <c r="O15" s="31">
        <v>0.31818181818181818</v>
      </c>
      <c r="P15" s="31">
        <v>0.47826086956521741</v>
      </c>
    </row>
    <row r="16" spans="1:17" x14ac:dyDescent="0.45">
      <c r="A16" s="33">
        <v>13</v>
      </c>
      <c r="B16" s="30">
        <v>-54.199999999999996</v>
      </c>
      <c r="C16" s="30">
        <v>-4.1692307692307686</v>
      </c>
      <c r="D16" s="35">
        <v>2.0769230769230771</v>
      </c>
      <c r="E16" s="31">
        <v>0.30769230769230771</v>
      </c>
      <c r="F16" s="31">
        <v>0.38461538461538464</v>
      </c>
      <c r="G16" s="31">
        <v>0.23529411764705882</v>
      </c>
      <c r="H16" s="31">
        <v>0.21568627450980393</v>
      </c>
      <c r="I16" s="32">
        <v>7787.5</v>
      </c>
      <c r="J16" s="32">
        <v>-7004.545454545455</v>
      </c>
      <c r="K16" s="31">
        <v>7.6923076923076927E-2</v>
      </c>
      <c r="L16" s="31">
        <v>0.24509803921568626</v>
      </c>
      <c r="M16" s="31">
        <v>0.21568627450980393</v>
      </c>
      <c r="N16" s="31">
        <v>0.48</v>
      </c>
      <c r="O16" s="31">
        <v>0.31818181818181818</v>
      </c>
      <c r="P16" s="31">
        <v>0.45833333333333331</v>
      </c>
    </row>
    <row r="17" spans="1:16" x14ac:dyDescent="0.45">
      <c r="A17" s="33">
        <v>14</v>
      </c>
      <c r="B17" s="30">
        <v>-95.6</v>
      </c>
      <c r="C17" s="30">
        <v>-6.8285714285714283</v>
      </c>
      <c r="D17" s="35">
        <v>2.1428571428571428</v>
      </c>
      <c r="E17" s="31">
        <v>0.2857142857142857</v>
      </c>
      <c r="F17" s="31">
        <v>0.42857142857142855</v>
      </c>
      <c r="G17" s="31">
        <v>0.22522522522522523</v>
      </c>
      <c r="H17" s="31">
        <v>0.21621621621621623</v>
      </c>
      <c r="I17" s="32">
        <v>7796</v>
      </c>
      <c r="J17" s="32">
        <v>-7654.166666666667</v>
      </c>
      <c r="K17" s="31">
        <v>7.1428571428571425E-2</v>
      </c>
      <c r="L17" s="31">
        <v>0.23423423423423423</v>
      </c>
      <c r="M17" s="31">
        <v>0.2072072072072072</v>
      </c>
      <c r="N17" s="31">
        <v>0.46153846153846156</v>
      </c>
      <c r="O17" s="31">
        <v>0.30434782608695654</v>
      </c>
      <c r="P17" s="31">
        <v>0.44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783D5-B4E2-4583-AD25-72CA202ACB3F}">
  <sheetPr codeName="Sheet18"/>
  <dimension ref="A1:Q32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192</v>
      </c>
      <c r="B1" s="34" t="s">
        <v>192</v>
      </c>
      <c r="C1" s="34" t="s">
        <v>192</v>
      </c>
      <c r="D1" s="35" t="s">
        <v>192</v>
      </c>
      <c r="E1" s="34" t="s">
        <v>192</v>
      </c>
      <c r="F1" s="34" t="s">
        <v>192</v>
      </c>
      <c r="G1" s="34" t="s">
        <v>192</v>
      </c>
      <c r="H1" s="34" t="s">
        <v>192</v>
      </c>
      <c r="I1" s="34" t="s">
        <v>192</v>
      </c>
      <c r="J1" s="34" t="s">
        <v>192</v>
      </c>
      <c r="K1" s="34" t="s">
        <v>192</v>
      </c>
      <c r="L1" s="34" t="s">
        <v>192</v>
      </c>
      <c r="M1" s="34" t="s">
        <v>192</v>
      </c>
      <c r="N1" s="34" t="s">
        <v>192</v>
      </c>
      <c r="O1" s="34" t="s">
        <v>192</v>
      </c>
      <c r="P1" s="34" t="s">
        <v>192</v>
      </c>
      <c r="Q1" s="34" t="s">
        <v>192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11.6</v>
      </c>
      <c r="C4" s="30">
        <v>11.6</v>
      </c>
      <c r="D4" s="35">
        <v>1</v>
      </c>
      <c r="E4" s="31">
        <v>1</v>
      </c>
      <c r="F4" s="31">
        <v>0</v>
      </c>
      <c r="G4" s="31">
        <v>0.25</v>
      </c>
      <c r="H4" s="31">
        <v>0</v>
      </c>
      <c r="I4" s="32">
        <v>1800</v>
      </c>
      <c r="J4" s="32">
        <v>0</v>
      </c>
      <c r="K4" s="31">
        <v>0</v>
      </c>
      <c r="L4" s="31">
        <v>0</v>
      </c>
      <c r="M4" s="31">
        <v>0.25</v>
      </c>
      <c r="N4" s="31">
        <v>0</v>
      </c>
      <c r="O4" s="31">
        <v>0.5</v>
      </c>
      <c r="P4" s="31">
        <v>0</v>
      </c>
    </row>
    <row r="5" spans="1:17" x14ac:dyDescent="0.45">
      <c r="A5" s="33">
        <v>2</v>
      </c>
      <c r="B5" s="30">
        <v>42.9</v>
      </c>
      <c r="C5" s="30">
        <v>21.45</v>
      </c>
      <c r="D5" s="35">
        <v>1</v>
      </c>
      <c r="E5" s="31">
        <v>1</v>
      </c>
      <c r="F5" s="31">
        <v>0</v>
      </c>
      <c r="G5" s="31">
        <v>0.36842105263157893</v>
      </c>
      <c r="H5" s="31">
        <v>5.2631578947368418E-2</v>
      </c>
      <c r="I5" s="32">
        <v>6028.5714285714284</v>
      </c>
      <c r="J5" s="32">
        <v>-12000</v>
      </c>
      <c r="K5" s="31">
        <v>0</v>
      </c>
      <c r="L5" s="31">
        <v>0.26315789473684209</v>
      </c>
      <c r="M5" s="31">
        <v>0.15789473684210525</v>
      </c>
      <c r="N5" s="31">
        <v>0.6</v>
      </c>
      <c r="O5" s="31">
        <v>0.66666666666666663</v>
      </c>
      <c r="P5" s="31">
        <v>0.42857142857142855</v>
      </c>
    </row>
    <row r="6" spans="1:17" x14ac:dyDescent="0.45">
      <c r="A6" s="33">
        <v>3</v>
      </c>
      <c r="B6" s="30">
        <v>49.199999999999996</v>
      </c>
      <c r="C6" s="30">
        <v>16.399999999999999</v>
      </c>
      <c r="D6" s="35">
        <v>1.3333333333333333</v>
      </c>
      <c r="E6" s="31">
        <v>0.66666666666666663</v>
      </c>
      <c r="F6" s="31">
        <v>0</v>
      </c>
      <c r="G6" s="31">
        <v>0.37037037037037035</v>
      </c>
      <c r="H6" s="31">
        <v>0.1111111111111111</v>
      </c>
      <c r="I6" s="32">
        <v>6210</v>
      </c>
      <c r="J6" s="32">
        <v>-8866.6666666666661</v>
      </c>
      <c r="K6" s="31">
        <v>0</v>
      </c>
      <c r="L6" s="31">
        <v>0.25925925925925924</v>
      </c>
      <c r="M6" s="31">
        <v>0.14814814814814814</v>
      </c>
      <c r="N6" s="31">
        <v>0.7142857142857143</v>
      </c>
      <c r="O6" s="31">
        <v>0.75</v>
      </c>
      <c r="P6" s="31">
        <v>0.5</v>
      </c>
    </row>
    <row r="7" spans="1:17" x14ac:dyDescent="0.45">
      <c r="A7" s="33">
        <v>4</v>
      </c>
      <c r="B7" s="30">
        <v>75.8</v>
      </c>
      <c r="C7" s="30">
        <v>18.95</v>
      </c>
      <c r="D7" s="35">
        <v>1.25</v>
      </c>
      <c r="E7" s="31">
        <v>0.75</v>
      </c>
      <c r="F7" s="31">
        <v>0</v>
      </c>
      <c r="G7" s="31">
        <v>0.375</v>
      </c>
      <c r="H7" s="31">
        <v>0.1</v>
      </c>
      <c r="I7" s="32">
        <v>6126.666666666667</v>
      </c>
      <c r="J7" s="32">
        <v>-7625</v>
      </c>
      <c r="K7" s="31">
        <v>0</v>
      </c>
      <c r="L7" s="31">
        <v>0.25</v>
      </c>
      <c r="M7" s="31">
        <v>0.17499999999999999</v>
      </c>
      <c r="N7" s="31">
        <v>0.8</v>
      </c>
      <c r="O7" s="31">
        <v>0.5714285714285714</v>
      </c>
      <c r="P7" s="31">
        <v>0.4</v>
      </c>
    </row>
    <row r="8" spans="1:17" x14ac:dyDescent="0.45">
      <c r="A8" s="33">
        <v>5</v>
      </c>
      <c r="B8" s="30">
        <v>47.8</v>
      </c>
      <c r="C8" s="30">
        <v>9.5599999999999987</v>
      </c>
      <c r="D8" s="35">
        <v>1.4</v>
      </c>
      <c r="E8" s="31">
        <v>0.6</v>
      </c>
      <c r="F8" s="31">
        <v>0</v>
      </c>
      <c r="G8" s="31">
        <v>0.32608695652173914</v>
      </c>
      <c r="H8" s="31">
        <v>0.10869565217391304</v>
      </c>
      <c r="I8" s="32">
        <v>6126.666666666667</v>
      </c>
      <c r="J8" s="32">
        <v>-8500</v>
      </c>
      <c r="K8" s="31">
        <v>0</v>
      </c>
      <c r="L8" s="31">
        <v>0.21739130434782608</v>
      </c>
      <c r="M8" s="31">
        <v>0.17391304347826086</v>
      </c>
      <c r="N8" s="31">
        <v>0.8</v>
      </c>
      <c r="O8" s="31">
        <v>0.5</v>
      </c>
      <c r="P8" s="31">
        <v>0.4</v>
      </c>
    </row>
    <row r="9" spans="1:17" x14ac:dyDescent="0.45">
      <c r="A9" s="33">
        <v>6</v>
      </c>
      <c r="B9" s="30">
        <v>26.4</v>
      </c>
      <c r="C9" s="30">
        <v>4.3999999999999995</v>
      </c>
      <c r="D9" s="35">
        <v>1.6666666666666667</v>
      </c>
      <c r="E9" s="31">
        <v>0.5</v>
      </c>
      <c r="F9" s="31">
        <v>0.16666666666666666</v>
      </c>
      <c r="G9" s="31">
        <v>0.30357142857142855</v>
      </c>
      <c r="H9" s="31">
        <v>0.10714285714285714</v>
      </c>
      <c r="I9" s="32">
        <v>6288.2352941176468</v>
      </c>
      <c r="J9" s="32">
        <v>-7733.333333333333</v>
      </c>
      <c r="K9" s="31">
        <v>0</v>
      </c>
      <c r="L9" s="31">
        <v>0.25</v>
      </c>
      <c r="M9" s="31">
        <v>0.21428571428571427</v>
      </c>
      <c r="N9" s="31">
        <v>0.6428571428571429</v>
      </c>
      <c r="O9" s="31">
        <v>0.41666666666666669</v>
      </c>
      <c r="P9" s="31">
        <v>0.41176470588235292</v>
      </c>
    </row>
    <row r="10" spans="1:17" x14ac:dyDescent="0.45">
      <c r="A10" s="33">
        <v>7</v>
      </c>
      <c r="B10" s="30">
        <v>25.9</v>
      </c>
      <c r="C10" s="30">
        <v>3.6999999999999997</v>
      </c>
      <c r="D10" s="35">
        <v>1.7142857142857142</v>
      </c>
      <c r="E10" s="31">
        <v>0.42857142857142855</v>
      </c>
      <c r="F10" s="31">
        <v>0.14285714285714285</v>
      </c>
      <c r="G10" s="31">
        <v>0.3125</v>
      </c>
      <c r="H10" s="31">
        <v>0.109375</v>
      </c>
      <c r="I10" s="32">
        <v>6405</v>
      </c>
      <c r="J10" s="32">
        <v>-7371.4285714285716</v>
      </c>
      <c r="K10" s="31">
        <v>0</v>
      </c>
      <c r="L10" s="31">
        <v>0.25</v>
      </c>
      <c r="M10" s="31">
        <v>0.203125</v>
      </c>
      <c r="N10" s="31">
        <v>0.625</v>
      </c>
      <c r="O10" s="31">
        <v>0.46153846153846156</v>
      </c>
      <c r="P10" s="31">
        <v>0.35</v>
      </c>
    </row>
    <row r="11" spans="1:17" x14ac:dyDescent="0.45">
      <c r="A11" s="33">
        <v>8</v>
      </c>
      <c r="B11" s="30">
        <v>1.5</v>
      </c>
      <c r="C11" s="30">
        <v>0.1875</v>
      </c>
      <c r="D11" s="35">
        <v>1.875</v>
      </c>
      <c r="E11" s="31">
        <v>0.375</v>
      </c>
      <c r="F11" s="31">
        <v>0.25</v>
      </c>
      <c r="G11" s="31">
        <v>0.31428571428571428</v>
      </c>
      <c r="H11" s="31">
        <v>0.11428571428571428</v>
      </c>
      <c r="I11" s="32">
        <v>6031.818181818182</v>
      </c>
      <c r="J11" s="32">
        <v>-7450</v>
      </c>
      <c r="K11" s="31">
        <v>0</v>
      </c>
      <c r="L11" s="31">
        <v>0.25714285714285712</v>
      </c>
      <c r="M11" s="31">
        <v>0.2</v>
      </c>
      <c r="N11" s="31">
        <v>0.61111111111111116</v>
      </c>
      <c r="O11" s="31">
        <v>0.5</v>
      </c>
      <c r="P11" s="31">
        <v>0.31818181818181818</v>
      </c>
    </row>
    <row r="12" spans="1:17" x14ac:dyDescent="0.45">
      <c r="A12" s="33">
        <v>9</v>
      </c>
      <c r="B12" s="30">
        <v>9.6999999999999993</v>
      </c>
      <c r="C12" s="30">
        <v>1.0777777777777777</v>
      </c>
      <c r="D12" s="35">
        <v>1.8888888888888888</v>
      </c>
      <c r="E12" s="31">
        <v>0.33333333333333331</v>
      </c>
      <c r="F12" s="31">
        <v>0.22222222222222221</v>
      </c>
      <c r="G12" s="31">
        <v>0.32926829268292684</v>
      </c>
      <c r="H12" s="31">
        <v>0.10975609756097561</v>
      </c>
      <c r="I12" s="32">
        <v>6414.8148148148148</v>
      </c>
      <c r="J12" s="32">
        <v>-7955.5555555555557</v>
      </c>
      <c r="K12" s="31">
        <v>0</v>
      </c>
      <c r="L12" s="31">
        <v>0.24390243902439024</v>
      </c>
      <c r="M12" s="31">
        <v>0.1951219512195122</v>
      </c>
      <c r="N12" s="31">
        <v>0.6</v>
      </c>
      <c r="O12" s="31">
        <v>0.5</v>
      </c>
      <c r="P12" s="31">
        <v>0.40740740740740738</v>
      </c>
    </row>
    <row r="13" spans="1:17" x14ac:dyDescent="0.45">
      <c r="A13" s="33">
        <v>10</v>
      </c>
      <c r="B13" s="30">
        <v>9.1999999999999993</v>
      </c>
      <c r="C13" s="30">
        <v>0.91999999999999993</v>
      </c>
      <c r="D13" s="35">
        <v>1.9</v>
      </c>
      <c r="E13" s="31">
        <v>0.3</v>
      </c>
      <c r="F13" s="31">
        <v>0.2</v>
      </c>
      <c r="G13" s="31">
        <v>0.32258064516129031</v>
      </c>
      <c r="H13" s="31">
        <v>0.11827956989247312</v>
      </c>
      <c r="I13" s="32">
        <v>6493.333333333333</v>
      </c>
      <c r="J13" s="32">
        <v>-7327.272727272727</v>
      </c>
      <c r="K13" s="31">
        <v>0</v>
      </c>
      <c r="L13" s="31">
        <v>0.22580645161290322</v>
      </c>
      <c r="M13" s="31">
        <v>0.21505376344086022</v>
      </c>
      <c r="N13" s="31">
        <v>0.5714285714285714</v>
      </c>
      <c r="O13" s="31">
        <v>0.5</v>
      </c>
      <c r="P13" s="31">
        <v>0.4</v>
      </c>
    </row>
    <row r="14" spans="1:17" x14ac:dyDescent="0.45">
      <c r="A14" s="33">
        <v>11</v>
      </c>
      <c r="B14" s="30">
        <v>2.2999999999999989</v>
      </c>
      <c r="C14" s="30">
        <v>0.20909090909090899</v>
      </c>
      <c r="D14" s="35">
        <v>1.9090909090909092</v>
      </c>
      <c r="E14" s="31">
        <v>0.27272727272727271</v>
      </c>
      <c r="F14" s="31">
        <v>0.18181818181818182</v>
      </c>
      <c r="G14" s="31">
        <v>0.32323232323232326</v>
      </c>
      <c r="H14" s="31">
        <v>0.12121212121212122</v>
      </c>
      <c r="I14" s="32">
        <v>6315.625</v>
      </c>
      <c r="J14" s="32">
        <v>-7150</v>
      </c>
      <c r="K14" s="31">
        <v>0</v>
      </c>
      <c r="L14" s="31">
        <v>0.23232323232323232</v>
      </c>
      <c r="M14" s="31">
        <v>0.21212121212121213</v>
      </c>
      <c r="N14" s="31">
        <v>0.56521739130434778</v>
      </c>
      <c r="O14" s="31">
        <v>0.47619047619047616</v>
      </c>
      <c r="P14" s="31">
        <v>0.40625</v>
      </c>
    </row>
    <row r="15" spans="1:17" x14ac:dyDescent="0.45">
      <c r="A15" s="33">
        <v>12</v>
      </c>
      <c r="B15" s="30">
        <v>1.599999999999999</v>
      </c>
      <c r="C15" s="30">
        <v>0.13333333333333325</v>
      </c>
      <c r="D15" s="35">
        <v>1.9166666666666667</v>
      </c>
      <c r="E15" s="31">
        <v>0.25</v>
      </c>
      <c r="F15" s="31">
        <v>0.16666666666666666</v>
      </c>
      <c r="G15" s="31">
        <v>0.31775700934579437</v>
      </c>
      <c r="H15" s="31">
        <v>0.12149532710280374</v>
      </c>
      <c r="I15" s="32">
        <v>6532.3529411764703</v>
      </c>
      <c r="J15" s="32">
        <v>-7830.7692307692305</v>
      </c>
      <c r="K15" s="31">
        <v>0</v>
      </c>
      <c r="L15" s="31">
        <v>0.23364485981308411</v>
      </c>
      <c r="M15" s="31">
        <v>0.21495327102803738</v>
      </c>
      <c r="N15" s="31">
        <v>0.52</v>
      </c>
      <c r="O15" s="31">
        <v>0.43478260869565216</v>
      </c>
      <c r="P15" s="31">
        <v>0.41176470588235292</v>
      </c>
    </row>
    <row r="16" spans="1:17" x14ac:dyDescent="0.45">
      <c r="A16" s="33">
        <v>13</v>
      </c>
      <c r="B16" s="30">
        <v>-48.5</v>
      </c>
      <c r="C16" s="30">
        <v>-3.7307692307692308</v>
      </c>
      <c r="D16" s="35">
        <v>2</v>
      </c>
      <c r="E16" s="31">
        <v>0.23076923076923078</v>
      </c>
      <c r="F16" s="31">
        <v>0.23076923076923078</v>
      </c>
      <c r="G16" s="31">
        <v>0.30973451327433627</v>
      </c>
      <c r="H16" s="31">
        <v>0.15044247787610621</v>
      </c>
      <c r="I16" s="32">
        <v>6460</v>
      </c>
      <c r="J16" s="32">
        <v>-7641.1764705882351</v>
      </c>
      <c r="K16" s="31">
        <v>7.6923076923076927E-2</v>
      </c>
      <c r="L16" s="31">
        <v>0.23008849557522124</v>
      </c>
      <c r="M16" s="31">
        <v>0.24778761061946902</v>
      </c>
      <c r="N16" s="31">
        <v>0.5</v>
      </c>
      <c r="O16" s="31">
        <v>0.39285714285714285</v>
      </c>
      <c r="P16" s="31">
        <v>0.42857142857142855</v>
      </c>
    </row>
    <row r="17" spans="1:16" x14ac:dyDescent="0.45">
      <c r="A17" s="33">
        <v>14</v>
      </c>
      <c r="B17" s="30">
        <v>-20.2</v>
      </c>
      <c r="C17" s="30">
        <v>-1.4428571428571428</v>
      </c>
      <c r="D17" s="35">
        <v>1.9285714285714286</v>
      </c>
      <c r="E17" s="31">
        <v>0.2857142857142857</v>
      </c>
      <c r="F17" s="31">
        <v>0.21428571428571427</v>
      </c>
      <c r="G17" s="31">
        <v>0.30952380952380953</v>
      </c>
      <c r="H17" s="31">
        <v>0.15873015873015872</v>
      </c>
      <c r="I17" s="32">
        <v>6669.2307692307695</v>
      </c>
      <c r="J17" s="32">
        <v>-6980</v>
      </c>
      <c r="K17" s="31">
        <v>7.1428571428571425E-2</v>
      </c>
      <c r="L17" s="31">
        <v>0.23015873015873015</v>
      </c>
      <c r="M17" s="31">
        <v>0.24603174603174602</v>
      </c>
      <c r="N17" s="31">
        <v>0.48275862068965519</v>
      </c>
      <c r="O17" s="31">
        <v>0.41935483870967744</v>
      </c>
      <c r="P17" s="31">
        <v>0.41025641025641024</v>
      </c>
    </row>
    <row r="18" spans="1:16" x14ac:dyDescent="0.45">
      <c r="A18" s="33">
        <v>15</v>
      </c>
      <c r="B18" s="30">
        <v>22.500000000000004</v>
      </c>
      <c r="C18" s="30">
        <v>1.5000000000000002</v>
      </c>
      <c r="D18" s="35">
        <v>1.8666666666666667</v>
      </c>
      <c r="E18" s="31">
        <v>0.33333333333333331</v>
      </c>
      <c r="F18" s="31">
        <v>0.2</v>
      </c>
      <c r="G18" s="31">
        <v>0.31617647058823528</v>
      </c>
      <c r="H18" s="31">
        <v>0.15441176470588236</v>
      </c>
      <c r="I18" s="32">
        <v>6951.1627906976746</v>
      </c>
      <c r="J18" s="32">
        <v>-6771.4285714285716</v>
      </c>
      <c r="K18" s="31">
        <v>6.6666666666666666E-2</v>
      </c>
      <c r="L18" s="31">
        <v>0.22058823529411764</v>
      </c>
      <c r="M18" s="31">
        <v>0.26470588235294118</v>
      </c>
      <c r="N18" s="31">
        <v>0.5</v>
      </c>
      <c r="O18" s="31">
        <v>0.41666666666666669</v>
      </c>
      <c r="P18" s="31">
        <v>0.39534883720930231</v>
      </c>
    </row>
    <row r="19" spans="1:16" x14ac:dyDescent="0.45">
      <c r="A19" s="33">
        <v>16</v>
      </c>
      <c r="B19" s="30">
        <v>64.5</v>
      </c>
      <c r="C19" s="30">
        <v>4.03125</v>
      </c>
      <c r="D19" s="35">
        <v>1.8125</v>
      </c>
      <c r="E19" s="31">
        <v>0.375</v>
      </c>
      <c r="F19" s="31">
        <v>0.1875</v>
      </c>
      <c r="G19" s="31">
        <v>0.32167832167832167</v>
      </c>
      <c r="H19" s="31">
        <v>0.14685314685314685</v>
      </c>
      <c r="I19" s="32">
        <v>7095.652173913043</v>
      </c>
      <c r="J19" s="32">
        <v>-6771.4285714285716</v>
      </c>
      <c r="K19" s="31">
        <v>6.25E-2</v>
      </c>
      <c r="L19" s="31">
        <v>0.21678321678321677</v>
      </c>
      <c r="M19" s="31">
        <v>0.28671328671328672</v>
      </c>
      <c r="N19" s="31">
        <v>0.4838709677419355</v>
      </c>
      <c r="O19" s="31">
        <v>0.43902439024390244</v>
      </c>
      <c r="P19" s="31">
        <v>0.39130434782608697</v>
      </c>
    </row>
    <row r="20" spans="1:16" x14ac:dyDescent="0.45">
      <c r="A20" s="33">
        <v>17</v>
      </c>
      <c r="B20" s="30">
        <v>10.5</v>
      </c>
      <c r="C20" s="30">
        <v>0.61764705882352944</v>
      </c>
      <c r="D20" s="35">
        <v>1.8823529411764706</v>
      </c>
      <c r="E20" s="31">
        <v>0.35294117647058826</v>
      </c>
      <c r="F20" s="31">
        <v>0.23529411764705882</v>
      </c>
      <c r="G20" s="31">
        <v>0.31292517006802723</v>
      </c>
      <c r="H20" s="31">
        <v>0.15646258503401361</v>
      </c>
      <c r="I20" s="32">
        <v>7095.652173913043</v>
      </c>
      <c r="J20" s="32">
        <v>-7226.086956521739</v>
      </c>
      <c r="K20" s="31">
        <v>0.11764705882352941</v>
      </c>
      <c r="L20" s="31">
        <v>0.21768707482993196</v>
      </c>
      <c r="M20" s="31">
        <v>0.2857142857142857</v>
      </c>
      <c r="N20" s="31">
        <v>0.46875</v>
      </c>
      <c r="O20" s="31">
        <v>0.42857142857142855</v>
      </c>
      <c r="P20" s="31">
        <v>0.39130434782608697</v>
      </c>
    </row>
    <row r="21" spans="1:16" x14ac:dyDescent="0.45">
      <c r="A21" s="33">
        <v>18</v>
      </c>
      <c r="B21" s="30">
        <v>-22.299999999999997</v>
      </c>
      <c r="C21" s="30">
        <v>-1.2388888888888887</v>
      </c>
      <c r="D21" s="35">
        <v>1.9444444444444444</v>
      </c>
      <c r="E21" s="31">
        <v>0.33333333333333331</v>
      </c>
      <c r="F21" s="31">
        <v>0.27777777777777779</v>
      </c>
      <c r="G21" s="31">
        <v>0.30573248407643311</v>
      </c>
      <c r="H21" s="31">
        <v>0.15923566878980891</v>
      </c>
      <c r="I21" s="32">
        <v>7087.5</v>
      </c>
      <c r="J21" s="32">
        <v>-7180</v>
      </c>
      <c r="K21" s="31">
        <v>0.1111111111111111</v>
      </c>
      <c r="L21" s="31">
        <v>0.22292993630573249</v>
      </c>
      <c r="M21" s="31">
        <v>0.27388535031847133</v>
      </c>
      <c r="N21" s="31">
        <v>0.42857142857142855</v>
      </c>
      <c r="O21" s="31">
        <v>0.44186046511627908</v>
      </c>
      <c r="P21" s="31">
        <v>0.39583333333333331</v>
      </c>
    </row>
    <row r="22" spans="1:16" x14ac:dyDescent="0.45">
      <c r="A22" s="33">
        <v>19</v>
      </c>
      <c r="B22" s="30">
        <v>8.5000000000000036</v>
      </c>
      <c r="C22" s="30">
        <v>0.44736842105263175</v>
      </c>
      <c r="D22" s="35">
        <v>1.8947368421052631</v>
      </c>
      <c r="E22" s="31">
        <v>0.36842105263157893</v>
      </c>
      <c r="F22" s="31">
        <v>0.26315789473684209</v>
      </c>
      <c r="G22" s="31">
        <v>0.31288343558282211</v>
      </c>
      <c r="H22" s="31">
        <v>0.15950920245398773</v>
      </c>
      <c r="I22" s="32">
        <v>7294.1176470588234</v>
      </c>
      <c r="J22" s="32">
        <v>-7211.5384615384619</v>
      </c>
      <c r="K22" s="31">
        <v>0.10526315789473684</v>
      </c>
      <c r="L22" s="31">
        <v>0.23312883435582821</v>
      </c>
      <c r="M22" s="31">
        <v>0.26993865030674846</v>
      </c>
      <c r="N22" s="31">
        <v>0.47368421052631576</v>
      </c>
      <c r="O22" s="31">
        <v>0.43181818181818182</v>
      </c>
      <c r="P22" s="31">
        <v>0.39215686274509803</v>
      </c>
    </row>
    <row r="23" spans="1:16" x14ac:dyDescent="0.45">
      <c r="A23" s="33">
        <v>20</v>
      </c>
      <c r="B23" s="30">
        <v>36.800000000000004</v>
      </c>
      <c r="C23" s="30">
        <v>1.8400000000000003</v>
      </c>
      <c r="D23" s="35">
        <v>1.85</v>
      </c>
      <c r="E23" s="31">
        <v>0.4</v>
      </c>
      <c r="F23" s="31">
        <v>0.25</v>
      </c>
      <c r="G23" s="31">
        <v>0.31764705882352939</v>
      </c>
      <c r="H23" s="31">
        <v>0.1588235294117647</v>
      </c>
      <c r="I23" s="32">
        <v>7277.7777777777774</v>
      </c>
      <c r="J23" s="32">
        <v>-7051.8518518518522</v>
      </c>
      <c r="K23" s="31">
        <v>0.1</v>
      </c>
      <c r="L23" s="31">
        <v>0.23529411764705882</v>
      </c>
      <c r="M23" s="31">
        <v>0.26470588235294118</v>
      </c>
      <c r="N23" s="31">
        <v>0.47499999999999998</v>
      </c>
      <c r="O23" s="31">
        <v>0.44444444444444442</v>
      </c>
      <c r="P23" s="31">
        <v>0.37037037037037035</v>
      </c>
    </row>
    <row r="24" spans="1:16" x14ac:dyDescent="0.45">
      <c r="A24" s="33">
        <v>21</v>
      </c>
      <c r="B24" s="30">
        <v>66.2</v>
      </c>
      <c r="C24" s="30">
        <v>3.1523809523809527</v>
      </c>
      <c r="D24" s="35">
        <v>1.8095238095238095</v>
      </c>
      <c r="E24" s="31">
        <v>0.42857142857142855</v>
      </c>
      <c r="F24" s="31">
        <v>0.23809523809523808</v>
      </c>
      <c r="G24" s="31">
        <v>0.32960893854748602</v>
      </c>
      <c r="H24" s="31">
        <v>0.16201117318435754</v>
      </c>
      <c r="I24" s="32">
        <v>7345.7627118644068</v>
      </c>
      <c r="J24" s="32">
        <v>-7089.6551724137935</v>
      </c>
      <c r="K24" s="31">
        <v>9.5238095238095233E-2</v>
      </c>
      <c r="L24" s="31">
        <v>0.22905027932960895</v>
      </c>
      <c r="M24" s="31">
        <v>0.26256983240223464</v>
      </c>
      <c r="N24" s="31">
        <v>0.48780487804878048</v>
      </c>
      <c r="O24" s="31">
        <v>0.44680851063829785</v>
      </c>
      <c r="P24" s="31">
        <v>0.3559322033898305</v>
      </c>
    </row>
    <row r="25" spans="1:16" x14ac:dyDescent="0.45">
      <c r="A25" s="33">
        <v>22</v>
      </c>
      <c r="B25" s="30">
        <v>103</v>
      </c>
      <c r="C25" s="30">
        <v>4.6818181818181817</v>
      </c>
      <c r="D25" s="35">
        <v>1.7727272727272727</v>
      </c>
      <c r="E25" s="31">
        <v>0.45454545454545453</v>
      </c>
      <c r="F25" s="31">
        <v>0.22727272727272727</v>
      </c>
      <c r="G25" s="31">
        <v>0.33689839572192515</v>
      </c>
      <c r="H25" s="31">
        <v>0.15508021390374332</v>
      </c>
      <c r="I25" s="32">
        <v>7447.6190476190477</v>
      </c>
      <c r="J25" s="32">
        <v>-7089.6551724137935</v>
      </c>
      <c r="K25" s="31">
        <v>9.0909090909090912E-2</v>
      </c>
      <c r="L25" s="31">
        <v>0.22459893048128343</v>
      </c>
      <c r="M25" s="31">
        <v>0.26203208556149732</v>
      </c>
      <c r="N25" s="31">
        <v>0.5</v>
      </c>
      <c r="O25" s="31">
        <v>0.46938775510204084</v>
      </c>
      <c r="P25" s="31">
        <v>0.36507936507936506</v>
      </c>
    </row>
    <row r="26" spans="1:16" x14ac:dyDescent="0.45">
      <c r="A26" s="33">
        <v>23</v>
      </c>
      <c r="B26" s="30">
        <v>125.1</v>
      </c>
      <c r="C26" s="30">
        <v>5.4391304347826086</v>
      </c>
      <c r="D26" s="35">
        <v>1.7391304347826086</v>
      </c>
      <c r="E26" s="31">
        <v>0.47826086956521741</v>
      </c>
      <c r="F26" s="31">
        <v>0.21739130434782608</v>
      </c>
      <c r="G26" s="31">
        <v>0.34183673469387754</v>
      </c>
      <c r="H26" s="31">
        <v>0.15816326530612246</v>
      </c>
      <c r="I26" s="32">
        <v>7525.373134328358</v>
      </c>
      <c r="J26" s="32">
        <v>-7277.4193548387093</v>
      </c>
      <c r="K26" s="31">
        <v>8.6956521739130432E-2</v>
      </c>
      <c r="L26" s="31">
        <v>0.22448979591836735</v>
      </c>
      <c r="M26" s="31">
        <v>0.25510204081632654</v>
      </c>
      <c r="N26" s="31">
        <v>0.52272727272727271</v>
      </c>
      <c r="O26" s="31">
        <v>0.48</v>
      </c>
      <c r="P26" s="31">
        <v>0.37313432835820898</v>
      </c>
    </row>
    <row r="27" spans="1:16" x14ac:dyDescent="0.45">
      <c r="A27" s="33">
        <v>24</v>
      </c>
      <c r="B27" s="30">
        <v>198.89999999999998</v>
      </c>
      <c r="C27" s="30">
        <v>8.2874999999999996</v>
      </c>
      <c r="D27" s="35">
        <v>1.7083333333333333</v>
      </c>
      <c r="E27" s="31">
        <v>0.5</v>
      </c>
      <c r="F27" s="31">
        <v>0.20833333333333334</v>
      </c>
      <c r="G27" s="31">
        <v>0.34499999999999997</v>
      </c>
      <c r="H27" s="31">
        <v>0.155</v>
      </c>
      <c r="I27" s="32">
        <v>8171.014492753623</v>
      </c>
      <c r="J27" s="32">
        <v>-7277.4193548387093</v>
      </c>
      <c r="K27" s="31">
        <v>8.3333333333333329E-2</v>
      </c>
      <c r="L27" s="31">
        <v>0.23</v>
      </c>
      <c r="M27" s="31">
        <v>0.25</v>
      </c>
      <c r="N27" s="31">
        <v>0.52173913043478259</v>
      </c>
      <c r="O27" s="31">
        <v>0.48</v>
      </c>
      <c r="P27" s="31">
        <v>0.39130434782608697</v>
      </c>
    </row>
    <row r="28" spans="1:16" x14ac:dyDescent="0.45">
      <c r="A28" s="33">
        <v>25</v>
      </c>
      <c r="B28" s="30">
        <v>230.09999999999997</v>
      </c>
      <c r="C28" s="30">
        <v>9.2039999999999988</v>
      </c>
      <c r="D28" s="35">
        <v>1.68</v>
      </c>
      <c r="E28" s="31">
        <v>0.52</v>
      </c>
      <c r="F28" s="31">
        <v>0.2</v>
      </c>
      <c r="G28" s="31">
        <v>0.34449760765550241</v>
      </c>
      <c r="H28" s="31">
        <v>0.14832535885167464</v>
      </c>
      <c r="I28" s="32">
        <v>8055.5555555555557</v>
      </c>
      <c r="J28" s="32">
        <v>-7277.4193548387093</v>
      </c>
      <c r="K28" s="31">
        <v>0.08</v>
      </c>
      <c r="L28" s="31">
        <v>0.22488038277511962</v>
      </c>
      <c r="M28" s="31">
        <v>0.25358851674641147</v>
      </c>
      <c r="N28" s="31">
        <v>0.53191489361702127</v>
      </c>
      <c r="O28" s="31">
        <v>0.49056603773584906</v>
      </c>
      <c r="P28" s="31">
        <v>0.41666666666666669</v>
      </c>
    </row>
    <row r="29" spans="1:16" x14ac:dyDescent="0.45">
      <c r="A29" s="33">
        <v>26</v>
      </c>
      <c r="B29" s="30">
        <v>290.39999999999998</v>
      </c>
      <c r="C29" s="30">
        <v>11.169230769230769</v>
      </c>
      <c r="D29" s="35">
        <v>1.6538461538461537</v>
      </c>
      <c r="E29" s="31">
        <v>0.53846153846153844</v>
      </c>
      <c r="F29" s="31">
        <v>0.19230769230769232</v>
      </c>
      <c r="G29" s="31">
        <v>0.36486486486486486</v>
      </c>
      <c r="H29" s="31">
        <v>0.13963963963963963</v>
      </c>
      <c r="I29" s="32">
        <v>7793.8271604938273</v>
      </c>
      <c r="J29" s="32">
        <v>-7277.4193548387093</v>
      </c>
      <c r="K29" s="31">
        <v>7.6923076923076927E-2</v>
      </c>
      <c r="L29" s="31">
        <v>0.22072072072072071</v>
      </c>
      <c r="M29" s="31">
        <v>0.26126126126126126</v>
      </c>
      <c r="N29" s="31">
        <v>0.53061224489795922</v>
      </c>
      <c r="O29" s="31">
        <v>0.51724137931034486</v>
      </c>
      <c r="P29" s="31">
        <v>0.44444444444444442</v>
      </c>
    </row>
    <row r="30" spans="1:16" x14ac:dyDescent="0.45">
      <c r="A30" s="33">
        <v>27</v>
      </c>
      <c r="B30" s="30">
        <v>250.09999999999997</v>
      </c>
      <c r="C30" s="30">
        <v>9.2629629629629608</v>
      </c>
      <c r="D30" s="35">
        <v>1.7037037037037037</v>
      </c>
      <c r="E30" s="31">
        <v>0.51851851851851849</v>
      </c>
      <c r="F30" s="31">
        <v>0.22222222222222221</v>
      </c>
      <c r="G30" s="31">
        <v>0.35807860262008734</v>
      </c>
      <c r="H30" s="31">
        <v>0.14410480349344978</v>
      </c>
      <c r="I30" s="32">
        <v>7730.4878048780483</v>
      </c>
      <c r="J30" s="32">
        <v>-7393.939393939394</v>
      </c>
      <c r="K30" s="31">
        <v>7.407407407407407E-2</v>
      </c>
      <c r="L30" s="31">
        <v>0.22270742358078602</v>
      </c>
      <c r="M30" s="31">
        <v>0.25327510917030566</v>
      </c>
      <c r="N30" s="31">
        <v>0.50980392156862742</v>
      </c>
      <c r="O30" s="31">
        <v>0.51724137931034486</v>
      </c>
      <c r="P30" s="31">
        <v>0.43902439024390244</v>
      </c>
    </row>
    <row r="31" spans="1:16" x14ac:dyDescent="0.45">
      <c r="A31" s="33">
        <v>28</v>
      </c>
      <c r="B31" s="30">
        <v>226.69999999999996</v>
      </c>
      <c r="C31" s="30">
        <v>8.0964285714285698</v>
      </c>
      <c r="D31" s="35">
        <v>1.7142857142857142</v>
      </c>
      <c r="E31" s="31">
        <v>0.5</v>
      </c>
      <c r="F31" s="31">
        <v>0.21428571428571427</v>
      </c>
      <c r="G31" s="31">
        <v>0.35169491525423729</v>
      </c>
      <c r="H31" s="31">
        <v>0.13983050847457626</v>
      </c>
      <c r="I31" s="32">
        <v>7675.9036144578313</v>
      </c>
      <c r="J31" s="32">
        <v>-7393.939393939394</v>
      </c>
      <c r="K31" s="31">
        <v>7.1428571428571425E-2</v>
      </c>
      <c r="L31" s="31">
        <v>0.22033898305084745</v>
      </c>
      <c r="M31" s="31">
        <v>0.24576271186440679</v>
      </c>
      <c r="N31" s="31">
        <v>0.5</v>
      </c>
      <c r="O31" s="31">
        <v>0.51724137931034486</v>
      </c>
      <c r="P31" s="31">
        <v>0.43373493975903615</v>
      </c>
    </row>
    <row r="32" spans="1:16" x14ac:dyDescent="0.45">
      <c r="A32" s="33">
        <v>29</v>
      </c>
      <c r="B32" s="30">
        <v>201.79999999999995</v>
      </c>
      <c r="C32" s="30">
        <v>6.958620689655171</v>
      </c>
      <c r="D32" s="35">
        <v>1.7586206896551724</v>
      </c>
      <c r="E32" s="31">
        <v>0.48275862068965519</v>
      </c>
      <c r="F32" s="31">
        <v>0.2413793103448276</v>
      </c>
      <c r="G32" s="31">
        <v>0.34552845528455284</v>
      </c>
      <c r="H32" s="31">
        <v>0.14227642276422764</v>
      </c>
      <c r="I32" s="32">
        <v>7843.5294117647063</v>
      </c>
      <c r="J32" s="32">
        <v>-7828.5714285714284</v>
      </c>
      <c r="K32" s="31">
        <v>6.8965517241379309E-2</v>
      </c>
      <c r="L32" s="31">
        <v>0.22357723577235772</v>
      </c>
      <c r="M32" s="31">
        <v>0.24390243902439024</v>
      </c>
      <c r="N32" s="31">
        <v>0.50909090909090904</v>
      </c>
      <c r="O32" s="31">
        <v>0.5</v>
      </c>
      <c r="P32" s="31">
        <v>0.44705882352941179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99370D-2606-4D49-A722-84B46D015DED}">
  <sheetPr codeName="Sheet16"/>
  <dimension ref="A1:Q25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211</v>
      </c>
      <c r="B1" s="34" t="s">
        <v>211</v>
      </c>
      <c r="C1" s="34" t="s">
        <v>211</v>
      </c>
      <c r="D1" s="35" t="s">
        <v>211</v>
      </c>
      <c r="E1" s="34" t="s">
        <v>211</v>
      </c>
      <c r="F1" s="34" t="s">
        <v>211</v>
      </c>
      <c r="G1" s="34" t="s">
        <v>211</v>
      </c>
      <c r="H1" s="34" t="s">
        <v>211</v>
      </c>
      <c r="I1" s="34" t="s">
        <v>211</v>
      </c>
      <c r="J1" s="34" t="s">
        <v>211</v>
      </c>
      <c r="K1" s="34" t="s">
        <v>211</v>
      </c>
      <c r="L1" s="34" t="s">
        <v>211</v>
      </c>
      <c r="M1" s="34" t="s">
        <v>211</v>
      </c>
      <c r="N1" s="34" t="s">
        <v>211</v>
      </c>
      <c r="O1" s="34" t="s">
        <v>211</v>
      </c>
      <c r="P1" s="34" t="s">
        <v>211</v>
      </c>
      <c r="Q1" s="34" t="s">
        <v>211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55.6</v>
      </c>
      <c r="C4" s="30">
        <v>55.6</v>
      </c>
      <c r="D4" s="35">
        <v>1</v>
      </c>
      <c r="E4" s="31">
        <v>1</v>
      </c>
      <c r="F4" s="31">
        <v>0</v>
      </c>
      <c r="G4" s="31">
        <v>0.5</v>
      </c>
      <c r="H4" s="31">
        <v>0.1</v>
      </c>
      <c r="I4" s="32">
        <v>9000</v>
      </c>
      <c r="J4" s="32">
        <v>-7700</v>
      </c>
      <c r="K4" s="31">
        <v>0</v>
      </c>
      <c r="L4" s="31">
        <v>0.5</v>
      </c>
      <c r="M4" s="31">
        <v>0.3</v>
      </c>
      <c r="N4" s="31">
        <v>0.6</v>
      </c>
      <c r="O4" s="31">
        <v>0.66666666666666663</v>
      </c>
      <c r="P4" s="31">
        <v>0.8</v>
      </c>
    </row>
    <row r="5" spans="1:17" x14ac:dyDescent="0.45">
      <c r="A5" s="33">
        <v>2</v>
      </c>
      <c r="B5" s="30">
        <v>24.900000000000002</v>
      </c>
      <c r="C5" s="30">
        <v>12.450000000000001</v>
      </c>
      <c r="D5" s="35">
        <v>2</v>
      </c>
      <c r="E5" s="31">
        <v>0.5</v>
      </c>
      <c r="F5" s="31">
        <v>0.5</v>
      </c>
      <c r="G5" s="31">
        <v>0.3125</v>
      </c>
      <c r="H5" s="31">
        <v>0.125</v>
      </c>
      <c r="I5" s="32">
        <v>9000</v>
      </c>
      <c r="J5" s="32">
        <v>-7700</v>
      </c>
      <c r="K5" s="31">
        <v>0</v>
      </c>
      <c r="L5" s="31">
        <v>0.375</v>
      </c>
      <c r="M5" s="31">
        <v>0.1875</v>
      </c>
      <c r="N5" s="31">
        <v>0.5</v>
      </c>
      <c r="O5" s="31">
        <v>0.66666666666666663</v>
      </c>
      <c r="P5" s="31">
        <v>0.8</v>
      </c>
    </row>
    <row r="6" spans="1:17" x14ac:dyDescent="0.45">
      <c r="A6" s="33">
        <v>3</v>
      </c>
      <c r="B6" s="30">
        <v>-20.599999999999998</v>
      </c>
      <c r="C6" s="30">
        <v>-6.8666666666666663</v>
      </c>
      <c r="D6" s="35">
        <v>2.3333333333333335</v>
      </c>
      <c r="E6" s="31">
        <v>0.33333333333333331</v>
      </c>
      <c r="F6" s="31">
        <v>0.66666666666666663</v>
      </c>
      <c r="G6" s="31">
        <v>0.23809523809523808</v>
      </c>
      <c r="H6" s="31">
        <v>0.19047619047619047</v>
      </c>
      <c r="I6" s="32">
        <v>9000</v>
      </c>
      <c r="J6" s="32">
        <v>-9850</v>
      </c>
      <c r="K6" s="31">
        <v>0.33333333333333331</v>
      </c>
      <c r="L6" s="31">
        <v>0.33333333333333331</v>
      </c>
      <c r="M6" s="31">
        <v>0.19047619047619047</v>
      </c>
      <c r="N6" s="31">
        <v>0.42857142857142855</v>
      </c>
      <c r="O6" s="31">
        <v>0.5</v>
      </c>
      <c r="P6" s="31">
        <v>0.8</v>
      </c>
    </row>
    <row r="7" spans="1:17" x14ac:dyDescent="0.45">
      <c r="A7" s="33">
        <v>4</v>
      </c>
      <c r="B7" s="30">
        <v>-25</v>
      </c>
      <c r="C7" s="30">
        <v>-6.25</v>
      </c>
      <c r="D7" s="35">
        <v>2.25</v>
      </c>
      <c r="E7" s="31">
        <v>0.25</v>
      </c>
      <c r="F7" s="31">
        <v>0.5</v>
      </c>
      <c r="G7" s="31">
        <v>0.25714285714285712</v>
      </c>
      <c r="H7" s="31">
        <v>0.22857142857142856</v>
      </c>
      <c r="I7" s="32">
        <v>8533.3333333333339</v>
      </c>
      <c r="J7" s="32">
        <v>-8887.5</v>
      </c>
      <c r="K7" s="31">
        <v>0.25</v>
      </c>
      <c r="L7" s="31">
        <v>0.31428571428571428</v>
      </c>
      <c r="M7" s="31">
        <v>0.17142857142857143</v>
      </c>
      <c r="N7" s="31">
        <v>0.54545454545454541</v>
      </c>
      <c r="O7" s="31">
        <v>0.5</v>
      </c>
      <c r="P7" s="31">
        <v>0.55555555555555558</v>
      </c>
    </row>
    <row r="8" spans="1:17" x14ac:dyDescent="0.45">
      <c r="A8" s="33">
        <v>5</v>
      </c>
      <c r="B8" s="30">
        <v>-53</v>
      </c>
      <c r="C8" s="30">
        <v>-10.6</v>
      </c>
      <c r="D8" s="35">
        <v>2.4</v>
      </c>
      <c r="E8" s="31">
        <v>0.2</v>
      </c>
      <c r="F8" s="31">
        <v>0.6</v>
      </c>
      <c r="G8" s="31">
        <v>0.23684210526315788</v>
      </c>
      <c r="H8" s="31">
        <v>0.26315789473684209</v>
      </c>
      <c r="I8" s="32">
        <v>8533.3333333333339</v>
      </c>
      <c r="J8" s="32">
        <v>-8810</v>
      </c>
      <c r="K8" s="31">
        <v>0.2</v>
      </c>
      <c r="L8" s="31">
        <v>0.31578947368421051</v>
      </c>
      <c r="M8" s="31">
        <v>0.15789473684210525</v>
      </c>
      <c r="N8" s="31">
        <v>0.5</v>
      </c>
      <c r="O8" s="31">
        <v>0.5</v>
      </c>
      <c r="P8" s="31">
        <v>0.55555555555555558</v>
      </c>
    </row>
    <row r="9" spans="1:17" x14ac:dyDescent="0.45">
      <c r="A9" s="33">
        <v>6</v>
      </c>
      <c r="B9" s="30">
        <v>-32.799999999999997</v>
      </c>
      <c r="C9" s="30">
        <v>-5.4666666666666659</v>
      </c>
      <c r="D9" s="35">
        <v>2.3333333333333335</v>
      </c>
      <c r="E9" s="31">
        <v>0.16666666666666666</v>
      </c>
      <c r="F9" s="31">
        <v>0.5</v>
      </c>
      <c r="G9" s="31">
        <v>0.25531914893617019</v>
      </c>
      <c r="H9" s="31">
        <v>0.23404255319148937</v>
      </c>
      <c r="I9" s="32">
        <v>8708.3333333333339</v>
      </c>
      <c r="J9" s="32">
        <v>-8481.818181818182</v>
      </c>
      <c r="K9" s="31">
        <v>0.16666666666666666</v>
      </c>
      <c r="L9" s="31">
        <v>0.34042553191489361</v>
      </c>
      <c r="M9" s="31">
        <v>0.19148936170212766</v>
      </c>
      <c r="N9" s="31">
        <v>0.4375</v>
      </c>
      <c r="O9" s="31">
        <v>0.55555555555555558</v>
      </c>
      <c r="P9" s="31">
        <v>0.41666666666666669</v>
      </c>
    </row>
    <row r="10" spans="1:17" x14ac:dyDescent="0.45">
      <c r="A10" s="33">
        <v>7</v>
      </c>
      <c r="B10" s="30">
        <v>-22.199999999999996</v>
      </c>
      <c r="C10" s="30">
        <v>-3.1714285714285708</v>
      </c>
      <c r="D10" s="35">
        <v>2.2857142857142856</v>
      </c>
      <c r="E10" s="31">
        <v>0.14285714285714285</v>
      </c>
      <c r="F10" s="31">
        <v>0.42857142857142855</v>
      </c>
      <c r="G10" s="31">
        <v>0.28301886792452829</v>
      </c>
      <c r="H10" s="31">
        <v>0.20754716981132076</v>
      </c>
      <c r="I10" s="32">
        <v>7480</v>
      </c>
      <c r="J10" s="32">
        <v>-8481.818181818182</v>
      </c>
      <c r="K10" s="31">
        <v>0.14285714285714285</v>
      </c>
      <c r="L10" s="31">
        <v>0.33962264150943394</v>
      </c>
      <c r="M10" s="31">
        <v>0.18867924528301888</v>
      </c>
      <c r="N10" s="31">
        <v>0.5</v>
      </c>
      <c r="O10" s="31">
        <v>0.6</v>
      </c>
      <c r="P10" s="31">
        <v>0.53333333333333333</v>
      </c>
    </row>
    <row r="11" spans="1:17" x14ac:dyDescent="0.45">
      <c r="A11" s="33">
        <v>8</v>
      </c>
      <c r="B11" s="30">
        <v>0.30000000000000426</v>
      </c>
      <c r="C11" s="30">
        <v>3.7500000000000533E-2</v>
      </c>
      <c r="D11" s="35">
        <v>2.125</v>
      </c>
      <c r="E11" s="31">
        <v>0.25</v>
      </c>
      <c r="F11" s="31">
        <v>0.375</v>
      </c>
      <c r="G11" s="31">
        <v>0.29508196721311475</v>
      </c>
      <c r="H11" s="31">
        <v>0.18032786885245902</v>
      </c>
      <c r="I11" s="32">
        <v>7333.333333333333</v>
      </c>
      <c r="J11" s="32">
        <v>-8481.818181818182</v>
      </c>
      <c r="K11" s="31">
        <v>0.125</v>
      </c>
      <c r="L11" s="31">
        <v>0.31147540983606559</v>
      </c>
      <c r="M11" s="31">
        <v>0.19672131147540983</v>
      </c>
      <c r="N11" s="31">
        <v>0.52631578947368418</v>
      </c>
      <c r="O11" s="31">
        <v>0.58333333333333337</v>
      </c>
      <c r="P11" s="31">
        <v>0.44444444444444442</v>
      </c>
    </row>
    <row r="12" spans="1:17" x14ac:dyDescent="0.45">
      <c r="A12" s="33">
        <v>9</v>
      </c>
      <c r="B12" s="30">
        <v>20.500000000000004</v>
      </c>
      <c r="C12" s="30">
        <v>2.2777777777777781</v>
      </c>
      <c r="D12" s="35">
        <v>2</v>
      </c>
      <c r="E12" s="31">
        <v>0.33333333333333331</v>
      </c>
      <c r="F12" s="31">
        <v>0.33333333333333331</v>
      </c>
      <c r="G12" s="31">
        <v>0.30985915492957744</v>
      </c>
      <c r="H12" s="31">
        <v>0.15492957746478872</v>
      </c>
      <c r="I12" s="32">
        <v>7322.727272727273</v>
      </c>
      <c r="J12" s="32">
        <v>-8481.818181818182</v>
      </c>
      <c r="K12" s="31">
        <v>0.1111111111111111</v>
      </c>
      <c r="L12" s="31">
        <v>0.30985915492957744</v>
      </c>
      <c r="M12" s="31">
        <v>0.18309859154929578</v>
      </c>
      <c r="N12" s="31">
        <v>0.54545454545454541</v>
      </c>
      <c r="O12" s="31">
        <v>0.61538461538461542</v>
      </c>
      <c r="P12" s="31">
        <v>0.40909090909090912</v>
      </c>
    </row>
    <row r="13" spans="1:17" x14ac:dyDescent="0.45">
      <c r="A13" s="33">
        <v>10</v>
      </c>
      <c r="B13" s="30">
        <v>6.9000000000000039</v>
      </c>
      <c r="C13" s="30">
        <v>0.69000000000000039</v>
      </c>
      <c r="D13" s="35">
        <v>2.1</v>
      </c>
      <c r="E13" s="31">
        <v>0.3</v>
      </c>
      <c r="F13" s="31">
        <v>0.4</v>
      </c>
      <c r="G13" s="31">
        <v>0.30769230769230771</v>
      </c>
      <c r="H13" s="31">
        <v>0.15384615384615385</v>
      </c>
      <c r="I13" s="32">
        <v>7366.666666666667</v>
      </c>
      <c r="J13" s="32">
        <v>-8416.6666666666661</v>
      </c>
      <c r="K13" s="31">
        <v>0.1</v>
      </c>
      <c r="L13" s="31">
        <v>0.29487179487179488</v>
      </c>
      <c r="M13" s="31">
        <v>0.20512820512820512</v>
      </c>
      <c r="N13" s="31">
        <v>0.56521739130434778</v>
      </c>
      <c r="O13" s="31">
        <v>0.5625</v>
      </c>
      <c r="P13" s="31">
        <v>0.41666666666666669</v>
      </c>
    </row>
    <row r="14" spans="1:17" x14ac:dyDescent="0.45">
      <c r="A14" s="33">
        <v>11</v>
      </c>
      <c r="B14" s="30">
        <v>-18.799999999999997</v>
      </c>
      <c r="C14" s="30">
        <v>-1.7090909090909088</v>
      </c>
      <c r="D14" s="35">
        <v>2.1818181818181817</v>
      </c>
      <c r="E14" s="31">
        <v>0.27272727272727271</v>
      </c>
      <c r="F14" s="31">
        <v>0.45454545454545453</v>
      </c>
      <c r="G14" s="31">
        <v>0.30588235294117649</v>
      </c>
      <c r="H14" s="31">
        <v>0.15294117647058825</v>
      </c>
      <c r="I14" s="32">
        <v>7150</v>
      </c>
      <c r="J14" s="32">
        <v>-7953.8461538461543</v>
      </c>
      <c r="K14" s="31">
        <v>9.0909090909090912E-2</v>
      </c>
      <c r="L14" s="31">
        <v>0.28235294117647058</v>
      </c>
      <c r="M14" s="31">
        <v>0.18823529411764706</v>
      </c>
      <c r="N14" s="31">
        <v>0.58333333333333337</v>
      </c>
      <c r="O14" s="31">
        <v>0.5625</v>
      </c>
      <c r="P14" s="31">
        <v>0.42307692307692307</v>
      </c>
    </row>
    <row r="15" spans="1:17" x14ac:dyDescent="0.45">
      <c r="A15" s="33">
        <v>12</v>
      </c>
      <c r="B15" s="30">
        <v>32.1</v>
      </c>
      <c r="C15" s="30">
        <v>2.6750000000000003</v>
      </c>
      <c r="D15" s="35">
        <v>2.0833333333333335</v>
      </c>
      <c r="E15" s="31">
        <v>0.33333333333333331</v>
      </c>
      <c r="F15" s="31">
        <v>0.41666666666666669</v>
      </c>
      <c r="G15" s="31">
        <v>0.31521739130434784</v>
      </c>
      <c r="H15" s="31">
        <v>0.16304347826086957</v>
      </c>
      <c r="I15" s="32">
        <v>8065.5172413793107</v>
      </c>
      <c r="J15" s="32">
        <v>-7500</v>
      </c>
      <c r="K15" s="31">
        <v>8.3333333333333329E-2</v>
      </c>
      <c r="L15" s="31">
        <v>0.2608695652173913</v>
      </c>
      <c r="M15" s="31">
        <v>0.19565217391304349</v>
      </c>
      <c r="N15" s="31">
        <v>0.58333333333333337</v>
      </c>
      <c r="O15" s="31">
        <v>0.55555555555555558</v>
      </c>
      <c r="P15" s="31">
        <v>0.44827586206896552</v>
      </c>
    </row>
    <row r="16" spans="1:17" x14ac:dyDescent="0.45">
      <c r="A16" s="33">
        <v>13</v>
      </c>
      <c r="B16" s="30">
        <v>65.800000000000011</v>
      </c>
      <c r="C16" s="30">
        <v>5.0615384615384622</v>
      </c>
      <c r="D16" s="35">
        <v>2</v>
      </c>
      <c r="E16" s="31">
        <v>0.38461538461538464</v>
      </c>
      <c r="F16" s="31">
        <v>0.38461538461538464</v>
      </c>
      <c r="G16" s="31">
        <v>0.32653061224489793</v>
      </c>
      <c r="H16" s="31">
        <v>0.16326530612244897</v>
      </c>
      <c r="I16" s="32">
        <v>8165.625</v>
      </c>
      <c r="J16" s="32">
        <v>-7356.25</v>
      </c>
      <c r="K16" s="31">
        <v>7.6923076923076927E-2</v>
      </c>
      <c r="L16" s="31">
        <v>0.25510204081632654</v>
      </c>
      <c r="M16" s="31">
        <v>0.22448979591836735</v>
      </c>
      <c r="N16" s="31">
        <v>0.6</v>
      </c>
      <c r="O16" s="31">
        <v>0.54545454545454541</v>
      </c>
      <c r="P16" s="31">
        <v>0.46875</v>
      </c>
    </row>
    <row r="17" spans="1:16" x14ac:dyDescent="0.45">
      <c r="A17" s="33">
        <v>14</v>
      </c>
      <c r="B17" s="30">
        <v>99.300000000000011</v>
      </c>
      <c r="C17" s="30">
        <v>7.0928571428571434</v>
      </c>
      <c r="D17" s="35">
        <v>1.9285714285714286</v>
      </c>
      <c r="E17" s="31">
        <v>0.42857142857142855</v>
      </c>
      <c r="F17" s="31">
        <v>0.35714285714285715</v>
      </c>
      <c r="G17" s="31">
        <v>0.35238095238095241</v>
      </c>
      <c r="H17" s="31">
        <v>0.16190476190476191</v>
      </c>
      <c r="I17" s="32">
        <v>7913.5135135135133</v>
      </c>
      <c r="J17" s="32">
        <v>-7394.1176470588234</v>
      </c>
      <c r="K17" s="31">
        <v>7.1428571428571425E-2</v>
      </c>
      <c r="L17" s="31">
        <v>0.24761904761904763</v>
      </c>
      <c r="M17" s="31">
        <v>0.25714285714285712</v>
      </c>
      <c r="N17" s="31">
        <v>0.61538461538461542</v>
      </c>
      <c r="O17" s="31">
        <v>0.59259259259259256</v>
      </c>
      <c r="P17" s="31">
        <v>0.40540540540540543</v>
      </c>
    </row>
    <row r="18" spans="1:16" x14ac:dyDescent="0.45">
      <c r="A18" s="33">
        <v>15</v>
      </c>
      <c r="B18" s="30">
        <v>75.200000000000017</v>
      </c>
      <c r="C18" s="30">
        <v>5.0133333333333345</v>
      </c>
      <c r="D18" s="35">
        <v>1.9333333333333333</v>
      </c>
      <c r="E18" s="31">
        <v>0.4</v>
      </c>
      <c r="F18" s="31">
        <v>0.33333333333333331</v>
      </c>
      <c r="G18" s="31">
        <v>0.35652173913043478</v>
      </c>
      <c r="H18" s="31">
        <v>0.16521739130434782</v>
      </c>
      <c r="I18" s="32">
        <v>7495.1219512195121</v>
      </c>
      <c r="J18" s="32">
        <v>-7921.0526315789475</v>
      </c>
      <c r="K18" s="31">
        <v>6.6666666666666666E-2</v>
      </c>
      <c r="L18" s="31">
        <v>0.23478260869565218</v>
      </c>
      <c r="M18" s="31">
        <v>0.25217391304347825</v>
      </c>
      <c r="N18" s="31">
        <v>0.59259259259259256</v>
      </c>
      <c r="O18" s="31">
        <v>0.62068965517241381</v>
      </c>
      <c r="P18" s="31">
        <v>0.36585365853658536</v>
      </c>
    </row>
    <row r="19" spans="1:16" x14ac:dyDescent="0.45">
      <c r="A19" s="33">
        <v>16</v>
      </c>
      <c r="B19" s="30">
        <v>83.000000000000014</v>
      </c>
      <c r="C19" s="30">
        <v>5.1875000000000009</v>
      </c>
      <c r="D19" s="35">
        <v>1.875</v>
      </c>
      <c r="E19" s="31">
        <v>0.4375</v>
      </c>
      <c r="F19" s="31">
        <v>0.3125</v>
      </c>
      <c r="G19" s="31">
        <v>0.34959349593495936</v>
      </c>
      <c r="H19" s="31">
        <v>0.15447154471544716</v>
      </c>
      <c r="I19" s="32">
        <v>7474.4186046511632</v>
      </c>
      <c r="J19" s="32">
        <v>-7921.0526315789475</v>
      </c>
      <c r="K19" s="31">
        <v>6.25E-2</v>
      </c>
      <c r="L19" s="31">
        <v>0.22764227642276422</v>
      </c>
      <c r="M19" s="31">
        <v>0.26016260162601629</v>
      </c>
      <c r="N19" s="31">
        <v>0.6071428571428571</v>
      </c>
      <c r="O19" s="31">
        <v>0.59375</v>
      </c>
      <c r="P19" s="31">
        <v>0.39534883720930231</v>
      </c>
    </row>
    <row r="20" spans="1:16" x14ac:dyDescent="0.45">
      <c r="A20" s="33">
        <v>17</v>
      </c>
      <c r="B20" s="30">
        <v>81.600000000000009</v>
      </c>
      <c r="C20" s="30">
        <v>4.8000000000000007</v>
      </c>
      <c r="D20" s="35">
        <v>1.8823529411764706</v>
      </c>
      <c r="E20" s="31">
        <v>0.41176470588235292</v>
      </c>
      <c r="F20" s="31">
        <v>0.29411764705882354</v>
      </c>
      <c r="G20" s="31">
        <v>0.33834586466165412</v>
      </c>
      <c r="H20" s="31">
        <v>0.15789473684210525</v>
      </c>
      <c r="I20" s="32">
        <v>7453.333333333333</v>
      </c>
      <c r="J20" s="32">
        <v>-7447.6190476190477</v>
      </c>
      <c r="K20" s="31">
        <v>5.8823529411764705E-2</v>
      </c>
      <c r="L20" s="31">
        <v>0.21804511278195488</v>
      </c>
      <c r="M20" s="31">
        <v>0.26315789473684209</v>
      </c>
      <c r="N20" s="31">
        <v>0.62068965517241381</v>
      </c>
      <c r="O20" s="31">
        <v>0.5714285714285714</v>
      </c>
      <c r="P20" s="31">
        <v>0.37777777777777777</v>
      </c>
    </row>
    <row r="21" spans="1:16" x14ac:dyDescent="0.45">
      <c r="A21" s="33">
        <v>18</v>
      </c>
      <c r="B21" s="30">
        <v>83.2</v>
      </c>
      <c r="C21" s="30">
        <v>4.6222222222222227</v>
      </c>
      <c r="D21" s="35">
        <v>1.8888888888888888</v>
      </c>
      <c r="E21" s="31">
        <v>0.3888888888888889</v>
      </c>
      <c r="F21" s="31">
        <v>0.27777777777777779</v>
      </c>
      <c r="G21" s="31">
        <v>0.33098591549295775</v>
      </c>
      <c r="H21" s="31">
        <v>0.15492957746478872</v>
      </c>
      <c r="I21" s="32">
        <v>7531.9148936170213</v>
      </c>
      <c r="J21" s="32">
        <v>-7154.545454545455</v>
      </c>
      <c r="K21" s="31">
        <v>5.5555555555555552E-2</v>
      </c>
      <c r="L21" s="31">
        <v>0.22535211267605634</v>
      </c>
      <c r="M21" s="31">
        <v>0.25352112676056338</v>
      </c>
      <c r="N21" s="31">
        <v>0.5625</v>
      </c>
      <c r="O21" s="31">
        <v>0.58333333333333337</v>
      </c>
      <c r="P21" s="31">
        <v>0.36170212765957449</v>
      </c>
    </row>
    <row r="22" spans="1:16" x14ac:dyDescent="0.45">
      <c r="A22" s="33">
        <v>19</v>
      </c>
      <c r="B22" s="30">
        <v>126.80000000000001</v>
      </c>
      <c r="C22" s="30">
        <v>6.6736842105263161</v>
      </c>
      <c r="D22" s="35">
        <v>1.8421052631578947</v>
      </c>
      <c r="E22" s="31">
        <v>0.42105263157894735</v>
      </c>
      <c r="F22" s="31">
        <v>0.26315789473684209</v>
      </c>
      <c r="G22" s="31">
        <v>0.33774834437086093</v>
      </c>
      <c r="H22" s="31">
        <v>0.15231788079470199</v>
      </c>
      <c r="I22" s="32">
        <v>8115.6862745098042</v>
      </c>
      <c r="J22" s="32">
        <v>-7365.217391304348</v>
      </c>
      <c r="K22" s="31">
        <v>5.2631578947368418E-2</v>
      </c>
      <c r="L22" s="31">
        <v>0.2185430463576159</v>
      </c>
      <c r="M22" s="31">
        <v>0.25827814569536423</v>
      </c>
      <c r="N22" s="31">
        <v>0.54545454545454541</v>
      </c>
      <c r="O22" s="31">
        <v>0.58974358974358976</v>
      </c>
      <c r="P22" s="31">
        <v>0.39215686274509803</v>
      </c>
    </row>
    <row r="23" spans="1:16" x14ac:dyDescent="0.45">
      <c r="A23" s="33">
        <v>20</v>
      </c>
      <c r="B23" s="30">
        <v>163</v>
      </c>
      <c r="C23" s="30">
        <v>8.15</v>
      </c>
      <c r="D23" s="35">
        <v>1.8</v>
      </c>
      <c r="E23" s="31">
        <v>0.45</v>
      </c>
      <c r="F23" s="31">
        <v>0.25</v>
      </c>
      <c r="G23" s="31">
        <v>0.34177215189873417</v>
      </c>
      <c r="H23" s="31">
        <v>0.14556962025316456</v>
      </c>
      <c r="I23" s="32">
        <v>8168.5185185185182</v>
      </c>
      <c r="J23" s="32">
        <v>-7365.217391304348</v>
      </c>
      <c r="K23" s="31">
        <v>0.05</v>
      </c>
      <c r="L23" s="31">
        <v>0.22151898734177214</v>
      </c>
      <c r="M23" s="31">
        <v>0.25316455696202533</v>
      </c>
      <c r="N23" s="31">
        <v>0.5714285714285714</v>
      </c>
      <c r="O23" s="31">
        <v>0.57499999999999996</v>
      </c>
      <c r="P23" s="31">
        <v>0.3888888888888889</v>
      </c>
    </row>
    <row r="24" spans="1:16" x14ac:dyDescent="0.45">
      <c r="A24" s="33">
        <v>21</v>
      </c>
      <c r="B24" s="30">
        <v>116.7</v>
      </c>
      <c r="C24" s="30">
        <v>5.5571428571428569</v>
      </c>
      <c r="D24" s="35">
        <v>1.8571428571428572</v>
      </c>
      <c r="E24" s="31">
        <v>0.42857142857142855</v>
      </c>
      <c r="F24" s="31">
        <v>0.2857142857142857</v>
      </c>
      <c r="G24" s="31">
        <v>0.32727272727272727</v>
      </c>
      <c r="H24" s="31">
        <v>0.14545454545454545</v>
      </c>
      <c r="I24" s="32">
        <v>8168.5185185185182</v>
      </c>
      <c r="J24" s="32">
        <v>-7141.666666666667</v>
      </c>
      <c r="K24" s="31">
        <v>9.5238095238095233E-2</v>
      </c>
      <c r="L24" s="31">
        <v>0.21818181818181817</v>
      </c>
      <c r="M24" s="31">
        <v>0.24242424242424243</v>
      </c>
      <c r="N24" s="31">
        <v>0.55555555555555558</v>
      </c>
      <c r="O24" s="31">
        <v>0.57499999999999996</v>
      </c>
      <c r="P24" s="31">
        <v>0.3888888888888889</v>
      </c>
    </row>
    <row r="25" spans="1:16" x14ac:dyDescent="0.45">
      <c r="A25" s="33">
        <v>22</v>
      </c>
      <c r="B25" s="30">
        <v>137.19999999999999</v>
      </c>
      <c r="C25" s="30">
        <v>6.2363636363636354</v>
      </c>
      <c r="D25" s="35">
        <v>1.8181818181818181</v>
      </c>
      <c r="E25" s="31">
        <v>0.45454545454545453</v>
      </c>
      <c r="F25" s="31">
        <v>0.27272727272727271</v>
      </c>
      <c r="G25" s="31">
        <v>0.32571428571428573</v>
      </c>
      <c r="H25" s="31">
        <v>0.14285714285714285</v>
      </c>
      <c r="I25" s="32">
        <v>8285.9649122807023</v>
      </c>
      <c r="J25" s="32">
        <v>-7012</v>
      </c>
      <c r="K25" s="31">
        <v>9.0909090909090912E-2</v>
      </c>
      <c r="L25" s="31">
        <v>0.22285714285714286</v>
      </c>
      <c r="M25" s="31">
        <v>0.22857142857142856</v>
      </c>
      <c r="N25" s="31">
        <v>0.5641025641025641</v>
      </c>
      <c r="O25" s="31">
        <v>0.57499999999999996</v>
      </c>
      <c r="P25" s="31">
        <v>0.40350877192982454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98B6E-A762-4A06-8278-0902BD877EF4}">
  <sheetPr codeName="Sheet14"/>
  <dimension ref="A1:Q13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190</v>
      </c>
      <c r="B1" s="34" t="s">
        <v>190</v>
      </c>
      <c r="C1" s="34" t="s">
        <v>190</v>
      </c>
      <c r="D1" s="35" t="s">
        <v>190</v>
      </c>
      <c r="E1" s="34" t="s">
        <v>190</v>
      </c>
      <c r="F1" s="34" t="s">
        <v>190</v>
      </c>
      <c r="G1" s="34" t="s">
        <v>190</v>
      </c>
      <c r="H1" s="34" t="s">
        <v>190</v>
      </c>
      <c r="I1" s="34" t="s">
        <v>190</v>
      </c>
      <c r="J1" s="34" t="s">
        <v>190</v>
      </c>
      <c r="K1" s="34" t="s">
        <v>190</v>
      </c>
      <c r="L1" s="34" t="s">
        <v>190</v>
      </c>
      <c r="M1" s="34" t="s">
        <v>190</v>
      </c>
      <c r="N1" s="34" t="s">
        <v>190</v>
      </c>
      <c r="O1" s="34" t="s">
        <v>190</v>
      </c>
      <c r="P1" s="34" t="s">
        <v>190</v>
      </c>
      <c r="Q1" s="34" t="s">
        <v>190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-33.6</v>
      </c>
      <c r="C4" s="30">
        <v>-33.6</v>
      </c>
      <c r="D4" s="35">
        <v>3</v>
      </c>
      <c r="E4" s="31">
        <v>0</v>
      </c>
      <c r="F4" s="31">
        <v>1</v>
      </c>
      <c r="G4" s="31">
        <v>0.1</v>
      </c>
      <c r="H4" s="31">
        <v>0.1</v>
      </c>
      <c r="I4" s="32">
        <v>7700</v>
      </c>
      <c r="J4" s="32">
        <v>-3900</v>
      </c>
      <c r="K4" s="31">
        <v>0</v>
      </c>
      <c r="L4" s="31">
        <v>0.1</v>
      </c>
      <c r="M4" s="31">
        <v>0.2</v>
      </c>
      <c r="N4" s="31">
        <v>0</v>
      </c>
      <c r="O4" s="31">
        <v>0.5</v>
      </c>
      <c r="P4" s="31">
        <v>0</v>
      </c>
    </row>
    <row r="5" spans="1:17" x14ac:dyDescent="0.45">
      <c r="A5" s="33">
        <v>2</v>
      </c>
      <c r="B5" s="30">
        <v>-36.9</v>
      </c>
      <c r="C5" s="30">
        <v>-18.45</v>
      </c>
      <c r="D5" s="35">
        <v>2.5</v>
      </c>
      <c r="E5" s="31">
        <v>0</v>
      </c>
      <c r="F5" s="31">
        <v>0.5</v>
      </c>
      <c r="G5" s="31">
        <v>0.1875</v>
      </c>
      <c r="H5" s="31">
        <v>6.25E-2</v>
      </c>
      <c r="I5" s="32">
        <v>5800</v>
      </c>
      <c r="J5" s="32">
        <v>-3900</v>
      </c>
      <c r="K5" s="31">
        <v>0</v>
      </c>
      <c r="L5" s="31">
        <v>0.125</v>
      </c>
      <c r="M5" s="31">
        <v>0.1875</v>
      </c>
      <c r="N5" s="31">
        <v>0.5</v>
      </c>
      <c r="O5" s="31">
        <v>0.33333333333333331</v>
      </c>
      <c r="P5" s="31">
        <v>0</v>
      </c>
    </row>
    <row r="6" spans="1:17" x14ac:dyDescent="0.45">
      <c r="A6" s="33">
        <v>3</v>
      </c>
      <c r="B6" s="30">
        <v>-40.4</v>
      </c>
      <c r="C6" s="30">
        <v>-13.466666666666667</v>
      </c>
      <c r="D6" s="35">
        <v>2.3333333333333335</v>
      </c>
      <c r="E6" s="31">
        <v>0</v>
      </c>
      <c r="F6" s="31">
        <v>0.33333333333333331</v>
      </c>
      <c r="G6" s="31">
        <v>0.14285714285714285</v>
      </c>
      <c r="H6" s="31">
        <v>4.7619047619047616E-2</v>
      </c>
      <c r="I6" s="32">
        <v>5800</v>
      </c>
      <c r="J6" s="32">
        <v>-3900</v>
      </c>
      <c r="K6" s="31">
        <v>0</v>
      </c>
      <c r="L6" s="31">
        <v>9.5238095238095233E-2</v>
      </c>
      <c r="M6" s="31">
        <v>0.23809523809523808</v>
      </c>
      <c r="N6" s="31">
        <v>0.5</v>
      </c>
      <c r="O6" s="31">
        <v>0.2</v>
      </c>
      <c r="P6" s="31">
        <v>0</v>
      </c>
    </row>
    <row r="7" spans="1:17" x14ac:dyDescent="0.45">
      <c r="A7" s="33">
        <v>4</v>
      </c>
      <c r="B7" s="30">
        <v>-36.799999999999997</v>
      </c>
      <c r="C7" s="30">
        <v>-9.1999999999999993</v>
      </c>
      <c r="D7" s="35">
        <v>2.25</v>
      </c>
      <c r="E7" s="31">
        <v>0</v>
      </c>
      <c r="F7" s="31">
        <v>0.25</v>
      </c>
      <c r="G7" s="31">
        <v>0.18518518518518517</v>
      </c>
      <c r="H7" s="31">
        <v>3.7037037037037035E-2</v>
      </c>
      <c r="I7" s="32">
        <v>6300</v>
      </c>
      <c r="J7" s="32">
        <v>-3900</v>
      </c>
      <c r="K7" s="31">
        <v>0</v>
      </c>
      <c r="L7" s="31">
        <v>0.1111111111111111</v>
      </c>
      <c r="M7" s="31">
        <v>0.25925925925925924</v>
      </c>
      <c r="N7" s="31">
        <v>0.66666666666666663</v>
      </c>
      <c r="O7" s="31">
        <v>0.2857142857142857</v>
      </c>
      <c r="P7" s="31">
        <v>0</v>
      </c>
    </row>
    <row r="8" spans="1:17" x14ac:dyDescent="0.45">
      <c r="A8" s="33">
        <v>5</v>
      </c>
      <c r="B8" s="30">
        <v>-73.900000000000006</v>
      </c>
      <c r="C8" s="30">
        <v>-14.780000000000001</v>
      </c>
      <c r="D8" s="35">
        <v>2.4</v>
      </c>
      <c r="E8" s="31">
        <v>0</v>
      </c>
      <c r="F8" s="31">
        <v>0.4</v>
      </c>
      <c r="G8" s="31">
        <v>0.17499999999999999</v>
      </c>
      <c r="H8" s="31">
        <v>0.1</v>
      </c>
      <c r="I8" s="32">
        <v>6057.1428571428569</v>
      </c>
      <c r="J8" s="32">
        <v>-3975</v>
      </c>
      <c r="K8" s="31">
        <v>0</v>
      </c>
      <c r="L8" s="31">
        <v>0.125</v>
      </c>
      <c r="M8" s="31">
        <v>0.22500000000000001</v>
      </c>
      <c r="N8" s="31">
        <v>0.4</v>
      </c>
      <c r="O8" s="31">
        <v>0.44444444444444442</v>
      </c>
      <c r="P8" s="31">
        <v>0</v>
      </c>
    </row>
    <row r="9" spans="1:17" x14ac:dyDescent="0.45">
      <c r="A9" s="33">
        <v>6</v>
      </c>
      <c r="B9" s="30">
        <v>-85.5</v>
      </c>
      <c r="C9" s="30">
        <v>-14.25</v>
      </c>
      <c r="D9" s="35">
        <v>2.3333333333333335</v>
      </c>
      <c r="E9" s="31">
        <v>0</v>
      </c>
      <c r="F9" s="31">
        <v>0.33333333333333331</v>
      </c>
      <c r="G9" s="31">
        <v>0.22</v>
      </c>
      <c r="H9" s="31">
        <v>0.1</v>
      </c>
      <c r="I9" s="32">
        <v>5072.727272727273</v>
      </c>
      <c r="J9" s="32">
        <v>-3380</v>
      </c>
      <c r="K9" s="31">
        <v>0</v>
      </c>
      <c r="L9" s="31">
        <v>0.22</v>
      </c>
      <c r="M9" s="31">
        <v>0.22</v>
      </c>
      <c r="N9" s="31">
        <v>0.45454545454545453</v>
      </c>
      <c r="O9" s="31">
        <v>0.45454545454545453</v>
      </c>
      <c r="P9" s="31">
        <v>9.0909090909090912E-2</v>
      </c>
    </row>
    <row r="10" spans="1:17" x14ac:dyDescent="0.45">
      <c r="A10" s="33">
        <v>7</v>
      </c>
      <c r="B10" s="30">
        <v>-77.8</v>
      </c>
      <c r="C10" s="30">
        <v>-11.114285714285714</v>
      </c>
      <c r="D10" s="35">
        <v>2.2857142857142856</v>
      </c>
      <c r="E10" s="31">
        <v>0</v>
      </c>
      <c r="F10" s="31">
        <v>0.2857142857142857</v>
      </c>
      <c r="G10" s="31">
        <v>0.21052631578947367</v>
      </c>
      <c r="H10" s="31">
        <v>8.771929824561403E-2</v>
      </c>
      <c r="I10" s="32">
        <v>5316.666666666667</v>
      </c>
      <c r="J10" s="32">
        <v>-3380</v>
      </c>
      <c r="K10" s="31">
        <v>0</v>
      </c>
      <c r="L10" s="31">
        <v>0.22807017543859648</v>
      </c>
      <c r="M10" s="31">
        <v>0.21052631578947367</v>
      </c>
      <c r="N10" s="31">
        <v>0.46153846153846156</v>
      </c>
      <c r="O10" s="31">
        <v>0.41666666666666669</v>
      </c>
      <c r="P10" s="31">
        <v>8.3333333333333329E-2</v>
      </c>
    </row>
    <row r="11" spans="1:17" x14ac:dyDescent="0.45">
      <c r="A11" s="33">
        <v>8</v>
      </c>
      <c r="B11" s="30">
        <v>-22.799999999999997</v>
      </c>
      <c r="C11" s="30">
        <v>-2.8499999999999996</v>
      </c>
      <c r="D11" s="35">
        <v>2.125</v>
      </c>
      <c r="E11" s="31">
        <v>0.125</v>
      </c>
      <c r="F11" s="31">
        <v>0.25</v>
      </c>
      <c r="G11" s="31">
        <v>0.24590163934426229</v>
      </c>
      <c r="H11" s="31">
        <v>8.1967213114754092E-2</v>
      </c>
      <c r="I11" s="32">
        <v>7453.333333333333</v>
      </c>
      <c r="J11" s="32">
        <v>-3380</v>
      </c>
      <c r="K11" s="31">
        <v>0</v>
      </c>
      <c r="L11" s="31">
        <v>0.24590163934426229</v>
      </c>
      <c r="M11" s="31">
        <v>0.21311475409836064</v>
      </c>
      <c r="N11" s="31">
        <v>0.53333333333333333</v>
      </c>
      <c r="O11" s="31">
        <v>0.46153846153846156</v>
      </c>
      <c r="P11" s="31">
        <v>0.13333333333333333</v>
      </c>
    </row>
    <row r="12" spans="1:17" x14ac:dyDescent="0.45">
      <c r="A12" s="33">
        <v>9</v>
      </c>
      <c r="B12" s="30">
        <v>-29.599999999999998</v>
      </c>
      <c r="C12" s="30">
        <v>-3.2888888888888888</v>
      </c>
      <c r="D12" s="35">
        <v>2.1111111111111112</v>
      </c>
      <c r="E12" s="31">
        <v>0.1111111111111111</v>
      </c>
      <c r="F12" s="31">
        <v>0.22222222222222221</v>
      </c>
      <c r="G12" s="31">
        <v>0.25352112676056338</v>
      </c>
      <c r="H12" s="31">
        <v>7.0422535211267609E-2</v>
      </c>
      <c r="I12" s="32">
        <v>6666.666666666667</v>
      </c>
      <c r="J12" s="32">
        <v>-3380</v>
      </c>
      <c r="K12" s="31">
        <v>0</v>
      </c>
      <c r="L12" s="31">
        <v>0.26760563380281688</v>
      </c>
      <c r="M12" s="31">
        <v>0.19718309859154928</v>
      </c>
      <c r="N12" s="31">
        <v>0.52631578947368418</v>
      </c>
      <c r="O12" s="31">
        <v>0.5</v>
      </c>
      <c r="P12" s="31">
        <v>0.16666666666666666</v>
      </c>
    </row>
    <row r="13" spans="1:17" x14ac:dyDescent="0.45">
      <c r="A13" s="33">
        <v>10</v>
      </c>
      <c r="B13" s="30">
        <v>-55</v>
      </c>
      <c r="C13" s="30">
        <v>-5.5</v>
      </c>
      <c r="D13" s="35">
        <v>2.2000000000000002</v>
      </c>
      <c r="E13" s="31">
        <v>0.1</v>
      </c>
      <c r="F13" s="31">
        <v>0.3</v>
      </c>
      <c r="G13" s="31">
        <v>0.24675324675324675</v>
      </c>
      <c r="H13" s="31">
        <v>6.4935064935064929E-2</v>
      </c>
      <c r="I13" s="32">
        <v>6452.6315789473683</v>
      </c>
      <c r="J13" s="32">
        <v>-3380</v>
      </c>
      <c r="K13" s="31">
        <v>0</v>
      </c>
      <c r="L13" s="31">
        <v>0.27272727272727271</v>
      </c>
      <c r="M13" s="31">
        <v>0.20779220779220781</v>
      </c>
      <c r="N13" s="31">
        <v>0.52380952380952384</v>
      </c>
      <c r="O13" s="31">
        <v>0.4375</v>
      </c>
      <c r="P13" s="31">
        <v>0.15789473684210525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07C99-293E-4A3B-A36B-7F855B545B70}">
  <sheetPr codeName="Sheet12"/>
  <dimension ref="A1:Q21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189</v>
      </c>
      <c r="B1" s="34" t="s">
        <v>189</v>
      </c>
      <c r="C1" s="34" t="s">
        <v>189</v>
      </c>
      <c r="D1" s="35" t="s">
        <v>189</v>
      </c>
      <c r="E1" s="34" t="s">
        <v>189</v>
      </c>
      <c r="F1" s="34" t="s">
        <v>189</v>
      </c>
      <c r="G1" s="34" t="s">
        <v>189</v>
      </c>
      <c r="H1" s="34" t="s">
        <v>189</v>
      </c>
      <c r="I1" s="34" t="s">
        <v>189</v>
      </c>
      <c r="J1" s="34" t="s">
        <v>189</v>
      </c>
      <c r="K1" s="34" t="s">
        <v>189</v>
      </c>
      <c r="L1" s="34" t="s">
        <v>189</v>
      </c>
      <c r="M1" s="34" t="s">
        <v>189</v>
      </c>
      <c r="N1" s="34" t="s">
        <v>189</v>
      </c>
      <c r="O1" s="34" t="s">
        <v>189</v>
      </c>
      <c r="P1" s="34" t="s">
        <v>189</v>
      </c>
      <c r="Q1" s="34" t="s">
        <v>189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10.1</v>
      </c>
      <c r="C4" s="30">
        <v>10.1</v>
      </c>
      <c r="D4" s="35">
        <v>2</v>
      </c>
      <c r="E4" s="31">
        <v>0</v>
      </c>
      <c r="F4" s="31">
        <v>0</v>
      </c>
      <c r="G4" s="31">
        <v>0.44444444444444442</v>
      </c>
      <c r="H4" s="31">
        <v>0.1111111111111111</v>
      </c>
      <c r="I4" s="32">
        <v>8400</v>
      </c>
      <c r="J4" s="32">
        <v>-8000</v>
      </c>
      <c r="K4" s="31">
        <v>0</v>
      </c>
      <c r="L4" s="31">
        <v>0.22222222222222221</v>
      </c>
      <c r="M4" s="31">
        <v>0.55555555555555558</v>
      </c>
      <c r="N4" s="31">
        <v>0.5</v>
      </c>
      <c r="O4" s="31">
        <v>0.6</v>
      </c>
      <c r="P4" s="31">
        <v>0.75</v>
      </c>
    </row>
    <row r="5" spans="1:17" x14ac:dyDescent="0.45">
      <c r="A5" s="33">
        <v>2</v>
      </c>
      <c r="B5" s="30">
        <v>36.4</v>
      </c>
      <c r="C5" s="30">
        <v>18.2</v>
      </c>
      <c r="D5" s="35">
        <v>2</v>
      </c>
      <c r="E5" s="31">
        <v>0</v>
      </c>
      <c r="F5" s="31">
        <v>0</v>
      </c>
      <c r="G5" s="31">
        <v>0.41176470588235292</v>
      </c>
      <c r="H5" s="31">
        <v>5.8823529411764705E-2</v>
      </c>
      <c r="I5" s="32">
        <v>9028.5714285714294</v>
      </c>
      <c r="J5" s="32">
        <v>-8000</v>
      </c>
      <c r="K5" s="31">
        <v>0</v>
      </c>
      <c r="L5" s="31">
        <v>0.29411764705882354</v>
      </c>
      <c r="M5" s="31">
        <v>0.47058823529411764</v>
      </c>
      <c r="N5" s="31">
        <v>0.4</v>
      </c>
      <c r="O5" s="31">
        <v>0.625</v>
      </c>
      <c r="P5" s="31">
        <v>0.5714285714285714</v>
      </c>
    </row>
    <row r="6" spans="1:17" x14ac:dyDescent="0.45">
      <c r="A6" s="33">
        <v>3</v>
      </c>
      <c r="B6" s="30">
        <v>36.4</v>
      </c>
      <c r="C6" s="30">
        <v>12.133333333333333</v>
      </c>
      <c r="D6" s="35">
        <v>2</v>
      </c>
      <c r="E6" s="31">
        <v>0</v>
      </c>
      <c r="F6" s="31">
        <v>0</v>
      </c>
      <c r="G6" s="31">
        <v>0.4</v>
      </c>
      <c r="H6" s="31">
        <v>0.12</v>
      </c>
      <c r="I6" s="32">
        <v>7780</v>
      </c>
      <c r="J6" s="32">
        <v>-6200</v>
      </c>
      <c r="K6" s="31">
        <v>0</v>
      </c>
      <c r="L6" s="31">
        <v>0.24</v>
      </c>
      <c r="M6" s="31">
        <v>0.52</v>
      </c>
      <c r="N6" s="31">
        <v>0.33333333333333331</v>
      </c>
      <c r="O6" s="31">
        <v>0.53846153846153844</v>
      </c>
      <c r="P6" s="31">
        <v>0.5</v>
      </c>
    </row>
    <row r="7" spans="1:17" x14ac:dyDescent="0.45">
      <c r="A7" s="33">
        <v>4</v>
      </c>
      <c r="B7" s="30">
        <v>13.299999999999997</v>
      </c>
      <c r="C7" s="30">
        <v>3.3249999999999993</v>
      </c>
      <c r="D7" s="35">
        <v>2.25</v>
      </c>
      <c r="E7" s="31">
        <v>0</v>
      </c>
      <c r="F7" s="31">
        <v>0.25</v>
      </c>
      <c r="G7" s="31">
        <v>0.33333333333333331</v>
      </c>
      <c r="H7" s="31">
        <v>0.1111111111111111</v>
      </c>
      <c r="I7" s="32">
        <v>7983.333333333333</v>
      </c>
      <c r="J7" s="32">
        <v>-6575</v>
      </c>
      <c r="K7" s="31">
        <v>0</v>
      </c>
      <c r="L7" s="31">
        <v>0.27777777777777779</v>
      </c>
      <c r="M7" s="31">
        <v>0.44444444444444442</v>
      </c>
      <c r="N7" s="31">
        <v>0.4</v>
      </c>
      <c r="O7" s="31">
        <v>0.4375</v>
      </c>
      <c r="P7" s="31">
        <v>0.5</v>
      </c>
    </row>
    <row r="8" spans="1:17" x14ac:dyDescent="0.45">
      <c r="A8" s="33">
        <v>5</v>
      </c>
      <c r="B8" s="30">
        <v>8.0999999999999979</v>
      </c>
      <c r="C8" s="30">
        <v>1.6199999999999997</v>
      </c>
      <c r="D8" s="35">
        <v>2.2000000000000002</v>
      </c>
      <c r="E8" s="31">
        <v>0</v>
      </c>
      <c r="F8" s="31">
        <v>0.2</v>
      </c>
      <c r="G8" s="31">
        <v>0.32608695652173914</v>
      </c>
      <c r="H8" s="31">
        <v>0.13043478260869565</v>
      </c>
      <c r="I8" s="32">
        <v>8240</v>
      </c>
      <c r="J8" s="32">
        <v>-7550</v>
      </c>
      <c r="K8" s="31">
        <v>0</v>
      </c>
      <c r="L8" s="31">
        <v>0.2608695652173913</v>
      </c>
      <c r="M8" s="31">
        <v>0.43478260869565216</v>
      </c>
      <c r="N8" s="31">
        <v>0.41666666666666669</v>
      </c>
      <c r="O8" s="31">
        <v>0.4</v>
      </c>
      <c r="P8" s="31">
        <v>0.53333333333333333</v>
      </c>
    </row>
    <row r="9" spans="1:17" x14ac:dyDescent="0.45">
      <c r="A9" s="33">
        <v>6</v>
      </c>
      <c r="B9" s="30">
        <v>24.7</v>
      </c>
      <c r="C9" s="30">
        <v>4.1166666666666663</v>
      </c>
      <c r="D9" s="35">
        <v>2</v>
      </c>
      <c r="E9" s="31">
        <v>0.16666666666666666</v>
      </c>
      <c r="F9" s="31">
        <v>0.16666666666666666</v>
      </c>
      <c r="G9" s="31">
        <v>0.33962264150943394</v>
      </c>
      <c r="H9" s="31">
        <v>0.13207547169811321</v>
      </c>
      <c r="I9" s="32">
        <v>8355.5555555555547</v>
      </c>
      <c r="J9" s="32">
        <v>-7571.4285714285716</v>
      </c>
      <c r="K9" s="31">
        <v>0</v>
      </c>
      <c r="L9" s="31">
        <v>0.28301886792452829</v>
      </c>
      <c r="M9" s="31">
        <v>0.43396226415094341</v>
      </c>
      <c r="N9" s="31">
        <v>0.46666666666666667</v>
      </c>
      <c r="O9" s="31">
        <v>0.39130434782608697</v>
      </c>
      <c r="P9" s="31">
        <v>0.55555555555555558</v>
      </c>
    </row>
    <row r="10" spans="1:17" x14ac:dyDescent="0.45">
      <c r="A10" s="33">
        <v>7</v>
      </c>
      <c r="B10" s="30">
        <v>39.5</v>
      </c>
      <c r="C10" s="30">
        <v>5.6428571428571432</v>
      </c>
      <c r="D10" s="35">
        <v>1.8571428571428572</v>
      </c>
      <c r="E10" s="31">
        <v>0.2857142857142857</v>
      </c>
      <c r="F10" s="31">
        <v>0.14285714285714285</v>
      </c>
      <c r="G10" s="31">
        <v>0.34375</v>
      </c>
      <c r="H10" s="31">
        <v>0.140625</v>
      </c>
      <c r="I10" s="32">
        <v>7850</v>
      </c>
      <c r="J10" s="32">
        <v>-7100</v>
      </c>
      <c r="K10" s="31">
        <v>0</v>
      </c>
      <c r="L10" s="31">
        <v>0.28125</v>
      </c>
      <c r="M10" s="31">
        <v>0.40625</v>
      </c>
      <c r="N10" s="31">
        <v>0.44444444444444442</v>
      </c>
      <c r="O10" s="31">
        <v>0.42307692307692307</v>
      </c>
      <c r="P10" s="31">
        <v>0.59090909090909094</v>
      </c>
    </row>
    <row r="11" spans="1:17" x14ac:dyDescent="0.45">
      <c r="A11" s="33">
        <v>8</v>
      </c>
      <c r="B11" s="30">
        <v>66.5</v>
      </c>
      <c r="C11" s="30">
        <v>8.3125</v>
      </c>
      <c r="D11" s="35">
        <v>1.75</v>
      </c>
      <c r="E11" s="31">
        <v>0.375</v>
      </c>
      <c r="F11" s="31">
        <v>0.125</v>
      </c>
      <c r="G11" s="31">
        <v>0.35714285714285715</v>
      </c>
      <c r="H11" s="31">
        <v>0.14285714285714285</v>
      </c>
      <c r="I11" s="32">
        <v>7796</v>
      </c>
      <c r="J11" s="32">
        <v>-6780</v>
      </c>
      <c r="K11" s="31">
        <v>0</v>
      </c>
      <c r="L11" s="31">
        <v>0.3</v>
      </c>
      <c r="M11" s="31">
        <v>0.38571428571428573</v>
      </c>
      <c r="N11" s="31">
        <v>0.42857142857142855</v>
      </c>
      <c r="O11" s="31">
        <v>0.44444444444444442</v>
      </c>
      <c r="P11" s="31">
        <v>0.56000000000000005</v>
      </c>
    </row>
    <row r="12" spans="1:17" x14ac:dyDescent="0.45">
      <c r="A12" s="33">
        <v>9</v>
      </c>
      <c r="B12" s="30">
        <v>90.7</v>
      </c>
      <c r="C12" s="30">
        <v>10.077777777777778</v>
      </c>
      <c r="D12" s="35">
        <v>1.6666666666666667</v>
      </c>
      <c r="E12" s="31">
        <v>0.44444444444444442</v>
      </c>
      <c r="F12" s="31">
        <v>0.1111111111111111</v>
      </c>
      <c r="G12" s="31">
        <v>0.35897435897435898</v>
      </c>
      <c r="H12" s="31">
        <v>0.14102564102564102</v>
      </c>
      <c r="I12" s="32">
        <v>8017.8571428571431</v>
      </c>
      <c r="J12" s="32">
        <v>-6890.909090909091</v>
      </c>
      <c r="K12" s="31">
        <v>0</v>
      </c>
      <c r="L12" s="31">
        <v>0.29487179487179488</v>
      </c>
      <c r="M12" s="31">
        <v>0.37179487179487181</v>
      </c>
      <c r="N12" s="31">
        <v>0.43478260869565216</v>
      </c>
      <c r="O12" s="31">
        <v>0.44827586206896552</v>
      </c>
      <c r="P12" s="31">
        <v>0.5357142857142857</v>
      </c>
    </row>
    <row r="13" spans="1:17" x14ac:dyDescent="0.45">
      <c r="A13" s="33">
        <v>10</v>
      </c>
      <c r="B13" s="30">
        <v>91.7</v>
      </c>
      <c r="C13" s="30">
        <v>9.17</v>
      </c>
      <c r="D13" s="35">
        <v>1.7</v>
      </c>
      <c r="E13" s="31">
        <v>0.4</v>
      </c>
      <c r="F13" s="31">
        <v>0.1</v>
      </c>
      <c r="G13" s="31">
        <v>0.3411764705882353</v>
      </c>
      <c r="H13" s="31">
        <v>0.14117647058823529</v>
      </c>
      <c r="I13" s="32">
        <v>7810.3448275862065</v>
      </c>
      <c r="J13" s="32">
        <v>-6483.333333333333</v>
      </c>
      <c r="K13" s="31">
        <v>0</v>
      </c>
      <c r="L13" s="31">
        <v>0.27058823529411763</v>
      </c>
      <c r="M13" s="31">
        <v>0.37647058823529411</v>
      </c>
      <c r="N13" s="31">
        <v>0.43478260869565216</v>
      </c>
      <c r="O13" s="31">
        <v>0.4375</v>
      </c>
      <c r="P13" s="31">
        <v>0.51724137931034486</v>
      </c>
    </row>
    <row r="14" spans="1:17" x14ac:dyDescent="0.45">
      <c r="A14" s="33">
        <v>11</v>
      </c>
      <c r="B14" s="30">
        <v>100.5</v>
      </c>
      <c r="C14" s="30">
        <v>9.1363636363636367</v>
      </c>
      <c r="D14" s="35">
        <v>1.7272727272727273</v>
      </c>
      <c r="E14" s="31">
        <v>0.36363636363636365</v>
      </c>
      <c r="F14" s="31">
        <v>9.0909090909090912E-2</v>
      </c>
      <c r="G14" s="31">
        <v>0.34693877551020408</v>
      </c>
      <c r="H14" s="31">
        <v>0.14285714285714285</v>
      </c>
      <c r="I14" s="32">
        <v>7655.8823529411766</v>
      </c>
      <c r="J14" s="32">
        <v>-7414.2857142857147</v>
      </c>
      <c r="K14" s="31">
        <v>0</v>
      </c>
      <c r="L14" s="31">
        <v>0.27551020408163263</v>
      </c>
      <c r="M14" s="31">
        <v>0.37755102040816324</v>
      </c>
      <c r="N14" s="31">
        <v>0.44444444444444442</v>
      </c>
      <c r="O14" s="31">
        <v>0.45945945945945948</v>
      </c>
      <c r="P14" s="31">
        <v>0.5</v>
      </c>
    </row>
    <row r="15" spans="1:17" x14ac:dyDescent="0.45">
      <c r="A15" s="33">
        <v>12</v>
      </c>
      <c r="B15" s="30">
        <v>69.400000000000006</v>
      </c>
      <c r="C15" s="30">
        <v>5.7833333333333341</v>
      </c>
      <c r="D15" s="35">
        <v>1.8333333333333333</v>
      </c>
      <c r="E15" s="31">
        <v>0.33333333333333331</v>
      </c>
      <c r="F15" s="31">
        <v>0.16666666666666666</v>
      </c>
      <c r="G15" s="31">
        <v>0.32407407407407407</v>
      </c>
      <c r="H15" s="31">
        <v>0.15740740740740741</v>
      </c>
      <c r="I15" s="32">
        <v>7780</v>
      </c>
      <c r="J15" s="32">
        <v>-7317.6470588235297</v>
      </c>
      <c r="K15" s="31">
        <v>0</v>
      </c>
      <c r="L15" s="31">
        <v>0.25925925925925924</v>
      </c>
      <c r="M15" s="31">
        <v>0.35185185185185186</v>
      </c>
      <c r="N15" s="31">
        <v>0.42857142857142855</v>
      </c>
      <c r="O15" s="31">
        <v>0.47368421052631576</v>
      </c>
      <c r="P15" s="31">
        <v>0.51428571428571423</v>
      </c>
    </row>
    <row r="16" spans="1:17" x14ac:dyDescent="0.45">
      <c r="A16" s="33">
        <v>13</v>
      </c>
      <c r="B16" s="30">
        <v>35.000000000000007</v>
      </c>
      <c r="C16" s="30">
        <v>2.692307692307693</v>
      </c>
      <c r="D16" s="35">
        <v>1.9230769230769231</v>
      </c>
      <c r="E16" s="31">
        <v>0.30769230769230771</v>
      </c>
      <c r="F16" s="31">
        <v>0.23076923076923078</v>
      </c>
      <c r="G16" s="31">
        <v>0.29661016949152541</v>
      </c>
      <c r="H16" s="31">
        <v>0.16101694915254236</v>
      </c>
      <c r="I16" s="32">
        <v>7780</v>
      </c>
      <c r="J16" s="32">
        <v>-7157.894736842105</v>
      </c>
      <c r="K16" s="31">
        <v>0</v>
      </c>
      <c r="L16" s="31">
        <v>0.23728813559322035</v>
      </c>
      <c r="M16" s="31">
        <v>0.34745762711864409</v>
      </c>
      <c r="N16" s="31">
        <v>0.42857142857142855</v>
      </c>
      <c r="O16" s="31">
        <v>0.43902439024390244</v>
      </c>
      <c r="P16" s="31">
        <v>0.51428571428571423</v>
      </c>
    </row>
    <row r="17" spans="1:16" x14ac:dyDescent="0.45">
      <c r="A17" s="33">
        <v>14</v>
      </c>
      <c r="B17" s="30">
        <v>42.800000000000004</v>
      </c>
      <c r="C17" s="30">
        <v>3.0571428571428574</v>
      </c>
      <c r="D17" s="35">
        <v>1.8571428571428572</v>
      </c>
      <c r="E17" s="31">
        <v>0.35714285714285715</v>
      </c>
      <c r="F17" s="31">
        <v>0.21428571428571427</v>
      </c>
      <c r="G17" s="31">
        <v>0.30952380952380953</v>
      </c>
      <c r="H17" s="31">
        <v>0.15079365079365079</v>
      </c>
      <c r="I17" s="32">
        <v>7266.666666666667</v>
      </c>
      <c r="J17" s="32">
        <v>-7157.894736842105</v>
      </c>
      <c r="K17" s="31">
        <v>0</v>
      </c>
      <c r="L17" s="31">
        <v>0.24603174603174602</v>
      </c>
      <c r="M17" s="31">
        <v>0.34126984126984128</v>
      </c>
      <c r="N17" s="31">
        <v>0.45161290322580644</v>
      </c>
      <c r="O17" s="31">
        <v>0.44186046511627908</v>
      </c>
      <c r="P17" s="31">
        <v>0.53846153846153844</v>
      </c>
    </row>
    <row r="18" spans="1:16" x14ac:dyDescent="0.45">
      <c r="A18" s="33">
        <v>15</v>
      </c>
      <c r="B18" s="30">
        <v>60.900000000000006</v>
      </c>
      <c r="C18" s="30">
        <v>4.0600000000000005</v>
      </c>
      <c r="D18" s="35">
        <v>1.8</v>
      </c>
      <c r="E18" s="31">
        <v>0.4</v>
      </c>
      <c r="F18" s="31">
        <v>0.2</v>
      </c>
      <c r="G18" s="31">
        <v>0.30882352941176472</v>
      </c>
      <c r="H18" s="31">
        <v>0.14705882352941177</v>
      </c>
      <c r="I18" s="32">
        <v>7071.4285714285716</v>
      </c>
      <c r="J18" s="32">
        <v>-6900</v>
      </c>
      <c r="K18" s="31">
        <v>0</v>
      </c>
      <c r="L18" s="31">
        <v>0.25</v>
      </c>
      <c r="M18" s="31">
        <v>0.33088235294117646</v>
      </c>
      <c r="N18" s="31">
        <v>0.44117647058823528</v>
      </c>
      <c r="O18" s="31">
        <v>0.46666666666666667</v>
      </c>
      <c r="P18" s="31">
        <v>0.5</v>
      </c>
    </row>
    <row r="19" spans="1:16" x14ac:dyDescent="0.45">
      <c r="A19" s="33">
        <v>16</v>
      </c>
      <c r="B19" s="30">
        <v>38.600000000000009</v>
      </c>
      <c r="C19" s="30">
        <v>2.4125000000000005</v>
      </c>
      <c r="D19" s="35">
        <v>1.875</v>
      </c>
      <c r="E19" s="31">
        <v>0.375</v>
      </c>
      <c r="F19" s="31">
        <v>0.25</v>
      </c>
      <c r="G19" s="31">
        <v>0.31468531468531469</v>
      </c>
      <c r="H19" s="31">
        <v>0.15384615384615385</v>
      </c>
      <c r="I19" s="32">
        <v>6704.4444444444443</v>
      </c>
      <c r="J19" s="32">
        <v>-6727.272727272727</v>
      </c>
      <c r="K19" s="31">
        <v>0</v>
      </c>
      <c r="L19" s="31">
        <v>0.25874125874125875</v>
      </c>
      <c r="M19" s="31">
        <v>0.33566433566433568</v>
      </c>
      <c r="N19" s="31">
        <v>0.45945945945945948</v>
      </c>
      <c r="O19" s="31">
        <v>0.45833333333333331</v>
      </c>
      <c r="P19" s="31">
        <v>0.48888888888888887</v>
      </c>
    </row>
    <row r="20" spans="1:16" x14ac:dyDescent="0.45">
      <c r="A20" s="33">
        <v>17</v>
      </c>
      <c r="B20" s="30">
        <v>7.6000000000000085</v>
      </c>
      <c r="C20" s="30">
        <v>0.44705882352941229</v>
      </c>
      <c r="D20" s="35">
        <v>1.9411764705882353</v>
      </c>
      <c r="E20" s="31">
        <v>0.35294117647058826</v>
      </c>
      <c r="F20" s="31">
        <v>0.29411764705882354</v>
      </c>
      <c r="G20" s="31">
        <v>0.3</v>
      </c>
      <c r="H20" s="31">
        <v>0.16666666666666666</v>
      </c>
      <c r="I20" s="32">
        <v>6704.4444444444443</v>
      </c>
      <c r="J20" s="32">
        <v>-6628</v>
      </c>
      <c r="K20" s="31">
        <v>0</v>
      </c>
      <c r="L20" s="31">
        <v>0.25333333333333335</v>
      </c>
      <c r="M20" s="31">
        <v>0.32</v>
      </c>
      <c r="N20" s="31">
        <v>0.44736842105263158</v>
      </c>
      <c r="O20" s="31">
        <v>0.45833333333333331</v>
      </c>
      <c r="P20" s="31">
        <v>0.48888888888888887</v>
      </c>
    </row>
    <row r="21" spans="1:16" x14ac:dyDescent="0.45">
      <c r="A21" s="33">
        <v>18</v>
      </c>
      <c r="B21" s="30">
        <v>15.100000000000009</v>
      </c>
      <c r="C21" s="30">
        <v>0.83888888888888935</v>
      </c>
      <c r="D21" s="35">
        <v>1.9444444444444444</v>
      </c>
      <c r="E21" s="31">
        <v>0.33333333333333331</v>
      </c>
      <c r="F21" s="31">
        <v>0.27777777777777779</v>
      </c>
      <c r="G21" s="31">
        <v>0.30188679245283018</v>
      </c>
      <c r="H21" s="31">
        <v>0.16352201257861634</v>
      </c>
      <c r="I21" s="32">
        <v>6945.833333333333</v>
      </c>
      <c r="J21" s="32">
        <v>-6669.2307692307695</v>
      </c>
      <c r="K21" s="31">
        <v>0</v>
      </c>
      <c r="L21" s="31">
        <v>0.25157232704402516</v>
      </c>
      <c r="M21" s="31">
        <v>0.32075471698113206</v>
      </c>
      <c r="N21" s="31">
        <v>0.45</v>
      </c>
      <c r="O21" s="31">
        <v>0.47058823529411764</v>
      </c>
      <c r="P21" s="31">
        <v>0.5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4E192-D1BC-4BCE-A65B-1B7B311C1AC6}">
  <sheetPr codeName="Sheet10"/>
  <dimension ref="A1:Q20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163</v>
      </c>
      <c r="B1" s="34" t="s">
        <v>163</v>
      </c>
      <c r="C1" s="34" t="s">
        <v>163</v>
      </c>
      <c r="D1" s="35" t="s">
        <v>163</v>
      </c>
      <c r="E1" s="34" t="s">
        <v>163</v>
      </c>
      <c r="F1" s="34" t="s">
        <v>163</v>
      </c>
      <c r="G1" s="34" t="s">
        <v>163</v>
      </c>
      <c r="H1" s="34" t="s">
        <v>163</v>
      </c>
      <c r="I1" s="34" t="s">
        <v>163</v>
      </c>
      <c r="J1" s="34" t="s">
        <v>163</v>
      </c>
      <c r="K1" s="34" t="s">
        <v>163</v>
      </c>
      <c r="L1" s="34" t="s">
        <v>163</v>
      </c>
      <c r="M1" s="34" t="s">
        <v>163</v>
      </c>
      <c r="N1" s="34" t="s">
        <v>163</v>
      </c>
      <c r="O1" s="34" t="s">
        <v>163</v>
      </c>
      <c r="P1" s="34" t="s">
        <v>163</v>
      </c>
      <c r="Q1" s="34" t="s">
        <v>163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-31</v>
      </c>
      <c r="C4" s="30">
        <v>-31</v>
      </c>
      <c r="D4" s="35">
        <v>3</v>
      </c>
      <c r="E4" s="31">
        <v>0</v>
      </c>
      <c r="F4" s="31">
        <v>1</v>
      </c>
      <c r="G4" s="31">
        <v>0.22222222222222221</v>
      </c>
      <c r="H4" s="31">
        <v>0.1111111111111111</v>
      </c>
      <c r="I4" s="32">
        <v>7950</v>
      </c>
      <c r="J4" s="32">
        <v>-12000</v>
      </c>
      <c r="K4" s="31">
        <v>0</v>
      </c>
      <c r="L4" s="31">
        <v>0.22222222222222221</v>
      </c>
      <c r="M4" s="31">
        <v>0.1111111111111111</v>
      </c>
      <c r="N4" s="31">
        <v>0.5</v>
      </c>
      <c r="O4" s="31">
        <v>1</v>
      </c>
      <c r="P4" s="31">
        <v>0.5</v>
      </c>
    </row>
    <row r="5" spans="1:17" x14ac:dyDescent="0.45">
      <c r="A5" s="33">
        <v>2</v>
      </c>
      <c r="B5" s="30">
        <v>-98.9</v>
      </c>
      <c r="C5" s="30">
        <v>-49.45</v>
      </c>
      <c r="D5" s="35">
        <v>3</v>
      </c>
      <c r="E5" s="31">
        <v>0</v>
      </c>
      <c r="F5" s="31">
        <v>1</v>
      </c>
      <c r="G5" s="31">
        <v>0.17647058823529413</v>
      </c>
      <c r="H5" s="31">
        <v>0.17647058823529413</v>
      </c>
      <c r="I5" s="32">
        <v>9300</v>
      </c>
      <c r="J5" s="32">
        <v>-23866.666666666668</v>
      </c>
      <c r="K5" s="31">
        <v>0.5</v>
      </c>
      <c r="L5" s="31">
        <v>0.29411764705882354</v>
      </c>
      <c r="M5" s="31">
        <v>0.11764705882352941</v>
      </c>
      <c r="N5" s="31">
        <v>0.4</v>
      </c>
      <c r="O5" s="31">
        <v>0.5</v>
      </c>
      <c r="P5" s="31">
        <v>0.33333333333333331</v>
      </c>
    </row>
    <row r="6" spans="1:17" x14ac:dyDescent="0.45">
      <c r="A6" s="33">
        <v>3</v>
      </c>
      <c r="B6" s="30">
        <v>-65.300000000000011</v>
      </c>
      <c r="C6" s="30">
        <v>-21.766666666666669</v>
      </c>
      <c r="D6" s="35">
        <v>2.3333333333333335</v>
      </c>
      <c r="E6" s="31">
        <v>0.33333333333333331</v>
      </c>
      <c r="F6" s="31">
        <v>0.66666666666666663</v>
      </c>
      <c r="G6" s="31">
        <v>0.30769230769230771</v>
      </c>
      <c r="H6" s="31">
        <v>0.15384615384615385</v>
      </c>
      <c r="I6" s="32">
        <v>7312.5</v>
      </c>
      <c r="J6" s="32">
        <v>-20900</v>
      </c>
      <c r="K6" s="31">
        <v>0.33333333333333331</v>
      </c>
      <c r="L6" s="31">
        <v>0.19230769230769232</v>
      </c>
      <c r="M6" s="31">
        <v>0.23076923076923078</v>
      </c>
      <c r="N6" s="31">
        <v>0.4</v>
      </c>
      <c r="O6" s="31">
        <v>0.5</v>
      </c>
      <c r="P6" s="31">
        <v>0.375</v>
      </c>
    </row>
    <row r="7" spans="1:17" x14ac:dyDescent="0.45">
      <c r="A7" s="33">
        <v>4</v>
      </c>
      <c r="B7" s="30">
        <v>-99.700000000000017</v>
      </c>
      <c r="C7" s="30">
        <v>-24.925000000000004</v>
      </c>
      <c r="D7" s="35">
        <v>2.5</v>
      </c>
      <c r="E7" s="31">
        <v>0.25</v>
      </c>
      <c r="F7" s="31">
        <v>0.75</v>
      </c>
      <c r="G7" s="31">
        <v>0.25</v>
      </c>
      <c r="H7" s="31">
        <v>0.15625</v>
      </c>
      <c r="I7" s="32">
        <v>7312.5</v>
      </c>
      <c r="J7" s="32">
        <v>-18260</v>
      </c>
      <c r="K7" s="31">
        <v>0.25</v>
      </c>
      <c r="L7" s="31">
        <v>0.15625</v>
      </c>
      <c r="M7" s="31">
        <v>0.28125</v>
      </c>
      <c r="N7" s="31">
        <v>0.4</v>
      </c>
      <c r="O7" s="31">
        <v>0.33333333333333331</v>
      </c>
      <c r="P7" s="31">
        <v>0.375</v>
      </c>
    </row>
    <row r="8" spans="1:17" x14ac:dyDescent="0.45">
      <c r="A8" s="33">
        <v>5</v>
      </c>
      <c r="B8" s="30">
        <v>-132.90000000000003</v>
      </c>
      <c r="C8" s="30">
        <v>-26.580000000000005</v>
      </c>
      <c r="D8" s="35">
        <v>2.6</v>
      </c>
      <c r="E8" s="31">
        <v>0.2</v>
      </c>
      <c r="F8" s="31">
        <v>0.8</v>
      </c>
      <c r="G8" s="31">
        <v>0.22222222222222221</v>
      </c>
      <c r="H8" s="31">
        <v>0.2</v>
      </c>
      <c r="I8" s="32">
        <v>7340</v>
      </c>
      <c r="J8" s="32">
        <v>-12566.666666666666</v>
      </c>
      <c r="K8" s="31">
        <v>0.2</v>
      </c>
      <c r="L8" s="31">
        <v>0.22222222222222221</v>
      </c>
      <c r="M8" s="31">
        <v>0.28888888888888886</v>
      </c>
      <c r="N8" s="31">
        <v>0.3</v>
      </c>
      <c r="O8" s="31">
        <v>0.30769230769230771</v>
      </c>
      <c r="P8" s="31">
        <v>0.3</v>
      </c>
    </row>
    <row r="9" spans="1:17" x14ac:dyDescent="0.45">
      <c r="A9" s="33">
        <v>6</v>
      </c>
      <c r="B9" s="30">
        <v>-182.90000000000003</v>
      </c>
      <c r="C9" s="30">
        <v>-30.483333333333338</v>
      </c>
      <c r="D9" s="35">
        <v>2.6666666666666665</v>
      </c>
      <c r="E9" s="31">
        <v>0.16666666666666666</v>
      </c>
      <c r="F9" s="31">
        <v>0.83333333333333337</v>
      </c>
      <c r="G9" s="31">
        <v>0.19607843137254902</v>
      </c>
      <c r="H9" s="31">
        <v>0.21568627450980393</v>
      </c>
      <c r="I9" s="32">
        <v>7340</v>
      </c>
      <c r="J9" s="32">
        <v>-12463.636363636364</v>
      </c>
      <c r="K9" s="31">
        <v>0.33333333333333331</v>
      </c>
      <c r="L9" s="31">
        <v>0.21568627450980393</v>
      </c>
      <c r="M9" s="31">
        <v>0.25490196078431371</v>
      </c>
      <c r="N9" s="31">
        <v>0.27272727272727271</v>
      </c>
      <c r="O9" s="31">
        <v>0.30769230769230771</v>
      </c>
      <c r="P9" s="31">
        <v>0.3</v>
      </c>
    </row>
    <row r="10" spans="1:17" x14ac:dyDescent="0.45">
      <c r="A10" s="33">
        <v>7</v>
      </c>
      <c r="B10" s="30">
        <v>-162.30000000000004</v>
      </c>
      <c r="C10" s="30">
        <v>-23.18571428571429</v>
      </c>
      <c r="D10" s="35">
        <v>2.4285714285714284</v>
      </c>
      <c r="E10" s="31">
        <v>0.2857142857142857</v>
      </c>
      <c r="F10" s="31">
        <v>0.7142857142857143</v>
      </c>
      <c r="G10" s="31">
        <v>0.21666666666666667</v>
      </c>
      <c r="H10" s="31">
        <v>0.21666666666666667</v>
      </c>
      <c r="I10" s="32">
        <v>8569.2307692307695</v>
      </c>
      <c r="J10" s="32">
        <v>-12053.846153846154</v>
      </c>
      <c r="K10" s="31">
        <v>0.2857142857142857</v>
      </c>
      <c r="L10" s="31">
        <v>0.23333333333333334</v>
      </c>
      <c r="M10" s="31">
        <v>0.23333333333333334</v>
      </c>
      <c r="N10" s="31">
        <v>0.35714285714285715</v>
      </c>
      <c r="O10" s="31">
        <v>0.2857142857142857</v>
      </c>
      <c r="P10" s="31">
        <v>0.30769230769230771</v>
      </c>
    </row>
    <row r="11" spans="1:17" x14ac:dyDescent="0.45">
      <c r="A11" s="33">
        <v>8</v>
      </c>
      <c r="B11" s="30">
        <v>-137.50000000000003</v>
      </c>
      <c r="C11" s="30">
        <v>-17.187500000000004</v>
      </c>
      <c r="D11" s="35">
        <v>2.25</v>
      </c>
      <c r="E11" s="31">
        <v>0.375</v>
      </c>
      <c r="F11" s="31">
        <v>0.625</v>
      </c>
      <c r="G11" s="31">
        <v>0.25</v>
      </c>
      <c r="H11" s="31">
        <v>0.20588235294117646</v>
      </c>
      <c r="I11" s="32">
        <v>8864.7058823529405</v>
      </c>
      <c r="J11" s="32">
        <v>-11764.285714285714</v>
      </c>
      <c r="K11" s="31">
        <v>0.25</v>
      </c>
      <c r="L11" s="31">
        <v>0.26470588235294118</v>
      </c>
      <c r="M11" s="31">
        <v>0.25</v>
      </c>
      <c r="N11" s="31">
        <v>0.3888888888888889</v>
      </c>
      <c r="O11" s="31">
        <v>0.35294117647058826</v>
      </c>
      <c r="P11" s="31">
        <v>0.29411764705882354</v>
      </c>
    </row>
    <row r="12" spans="1:17" x14ac:dyDescent="0.45">
      <c r="A12" s="33">
        <v>9</v>
      </c>
      <c r="B12" s="30">
        <v>-87.900000000000034</v>
      </c>
      <c r="C12" s="30">
        <v>-9.766666666666671</v>
      </c>
      <c r="D12" s="35">
        <v>2.1111111111111112</v>
      </c>
      <c r="E12" s="31">
        <v>0.44444444444444442</v>
      </c>
      <c r="F12" s="31">
        <v>0.55555555555555558</v>
      </c>
      <c r="G12" s="31">
        <v>0.27272727272727271</v>
      </c>
      <c r="H12" s="31">
        <v>0.20779220779220781</v>
      </c>
      <c r="I12" s="32">
        <v>9561.9047619047615</v>
      </c>
      <c r="J12" s="32">
        <v>-10887.5</v>
      </c>
      <c r="K12" s="31">
        <v>0.22222222222222221</v>
      </c>
      <c r="L12" s="31">
        <v>0.23376623376623376</v>
      </c>
      <c r="M12" s="31">
        <v>0.25974025974025972</v>
      </c>
      <c r="N12" s="31">
        <v>0.3888888888888889</v>
      </c>
      <c r="O12" s="31">
        <v>0.4</v>
      </c>
      <c r="P12" s="31">
        <v>0.33333333333333331</v>
      </c>
    </row>
    <row r="13" spans="1:17" x14ac:dyDescent="0.45">
      <c r="A13" s="33">
        <v>10</v>
      </c>
      <c r="B13" s="30">
        <v>-61.000000000000036</v>
      </c>
      <c r="C13" s="30">
        <v>-6.1000000000000032</v>
      </c>
      <c r="D13" s="35">
        <v>2</v>
      </c>
      <c r="E13" s="31">
        <v>0.5</v>
      </c>
      <c r="F13" s="31">
        <v>0.5</v>
      </c>
      <c r="G13" s="31">
        <v>0.27380952380952384</v>
      </c>
      <c r="H13" s="31">
        <v>0.21428571428571427</v>
      </c>
      <c r="I13" s="32">
        <v>9460.8695652173919</v>
      </c>
      <c r="J13" s="32">
        <v>-9822.2222222222226</v>
      </c>
      <c r="K13" s="31">
        <v>0.2</v>
      </c>
      <c r="L13" s="31">
        <v>0.22619047619047619</v>
      </c>
      <c r="M13" s="31">
        <v>0.23809523809523808</v>
      </c>
      <c r="N13" s="31">
        <v>0.42105263157894735</v>
      </c>
      <c r="O13" s="31">
        <v>0.4</v>
      </c>
      <c r="P13" s="31">
        <v>0.34782608695652173</v>
      </c>
    </row>
    <row r="14" spans="1:17" x14ac:dyDescent="0.45">
      <c r="A14" s="33">
        <v>11</v>
      </c>
      <c r="B14" s="30">
        <v>-94.500000000000028</v>
      </c>
      <c r="C14" s="30">
        <v>-8.5909090909090935</v>
      </c>
      <c r="D14" s="35">
        <v>2.0909090909090908</v>
      </c>
      <c r="E14" s="31">
        <v>0.45454545454545453</v>
      </c>
      <c r="F14" s="31">
        <v>0.54545454545454541</v>
      </c>
      <c r="G14" s="31">
        <v>0.25806451612903225</v>
      </c>
      <c r="H14" s="31">
        <v>0.22580645161290322</v>
      </c>
      <c r="I14" s="32">
        <v>9566.6666666666661</v>
      </c>
      <c r="J14" s="32">
        <v>-9490.4761904761908</v>
      </c>
      <c r="K14" s="31">
        <v>0.18181818181818182</v>
      </c>
      <c r="L14" s="31">
        <v>0.21505376344086022</v>
      </c>
      <c r="M14" s="31">
        <v>0.24731182795698925</v>
      </c>
      <c r="N14" s="31">
        <v>0.4</v>
      </c>
      <c r="O14" s="31">
        <v>0.34782608695652173</v>
      </c>
      <c r="P14" s="31">
        <v>0.375</v>
      </c>
    </row>
    <row r="15" spans="1:17" x14ac:dyDescent="0.45">
      <c r="A15" s="33">
        <v>12</v>
      </c>
      <c r="B15" s="30">
        <v>-140.20000000000005</v>
      </c>
      <c r="C15" s="30">
        <v>-11.683333333333337</v>
      </c>
      <c r="D15" s="35">
        <v>2.1666666666666665</v>
      </c>
      <c r="E15" s="31">
        <v>0.41666666666666669</v>
      </c>
      <c r="F15" s="31">
        <v>0.58333333333333337</v>
      </c>
      <c r="G15" s="31">
        <v>0.24509803921568626</v>
      </c>
      <c r="H15" s="31">
        <v>0.21568627450980393</v>
      </c>
      <c r="I15" s="32">
        <v>9504</v>
      </c>
      <c r="J15" s="32">
        <v>-9236.363636363636</v>
      </c>
      <c r="K15" s="31">
        <v>0.25</v>
      </c>
      <c r="L15" s="31">
        <v>0.21568627450980393</v>
      </c>
      <c r="M15" s="31">
        <v>0.24509803921568626</v>
      </c>
      <c r="N15" s="31">
        <v>0.36363636363636365</v>
      </c>
      <c r="O15" s="31">
        <v>0.36</v>
      </c>
      <c r="P15" s="31">
        <v>0.36</v>
      </c>
    </row>
    <row r="16" spans="1:17" x14ac:dyDescent="0.45">
      <c r="A16" s="33">
        <v>13</v>
      </c>
      <c r="B16" s="30">
        <v>-131.30000000000004</v>
      </c>
      <c r="C16" s="30">
        <v>-10.100000000000003</v>
      </c>
      <c r="D16" s="35">
        <v>2.1538461538461537</v>
      </c>
      <c r="E16" s="31">
        <v>0.38461538461538464</v>
      </c>
      <c r="F16" s="31">
        <v>0.53846153846153844</v>
      </c>
      <c r="G16" s="31">
        <v>0.26363636363636361</v>
      </c>
      <c r="H16" s="31">
        <v>0.20909090909090908</v>
      </c>
      <c r="I16" s="32">
        <v>9155.1724137931033</v>
      </c>
      <c r="J16" s="32">
        <v>-9169.565217391304</v>
      </c>
      <c r="K16" s="31">
        <v>0.23076923076923078</v>
      </c>
      <c r="L16" s="31">
        <v>0.22727272727272727</v>
      </c>
      <c r="M16" s="31">
        <v>0.23636363636363636</v>
      </c>
      <c r="N16" s="31">
        <v>0.44</v>
      </c>
      <c r="O16" s="31">
        <v>0.34615384615384615</v>
      </c>
      <c r="P16" s="31">
        <v>0.37931034482758619</v>
      </c>
    </row>
    <row r="17" spans="1:16" x14ac:dyDescent="0.45">
      <c r="A17" s="33">
        <v>14</v>
      </c>
      <c r="B17" s="30">
        <v>-125.80000000000004</v>
      </c>
      <c r="C17" s="30">
        <v>-8.9857142857142893</v>
      </c>
      <c r="D17" s="35">
        <v>2.1428571428571428</v>
      </c>
      <c r="E17" s="31">
        <v>0.35714285714285715</v>
      </c>
      <c r="F17" s="31">
        <v>0.5</v>
      </c>
      <c r="G17" s="31">
        <v>0.26050420168067229</v>
      </c>
      <c r="H17" s="31">
        <v>0.19327731092436976</v>
      </c>
      <c r="I17" s="32">
        <v>9070.967741935483</v>
      </c>
      <c r="J17" s="32">
        <v>-9169.565217391304</v>
      </c>
      <c r="K17" s="31">
        <v>0.21428571428571427</v>
      </c>
      <c r="L17" s="31">
        <v>0.21848739495798319</v>
      </c>
      <c r="M17" s="31">
        <v>0.22689075630252101</v>
      </c>
      <c r="N17" s="31">
        <v>0.46153846153846156</v>
      </c>
      <c r="O17" s="31">
        <v>0.33333333333333331</v>
      </c>
      <c r="P17" s="31">
        <v>0.38709677419354838</v>
      </c>
    </row>
    <row r="18" spans="1:16" x14ac:dyDescent="0.45">
      <c r="A18" s="33">
        <v>15</v>
      </c>
      <c r="B18" s="30">
        <v>-165.10000000000002</v>
      </c>
      <c r="C18" s="30">
        <v>-11.006666666666668</v>
      </c>
      <c r="D18" s="35">
        <v>2.2000000000000002</v>
      </c>
      <c r="E18" s="31">
        <v>0.33333333333333331</v>
      </c>
      <c r="F18" s="31">
        <v>0.53333333333333333</v>
      </c>
      <c r="G18" s="31">
        <v>0.25</v>
      </c>
      <c r="H18" s="31">
        <v>0.19696969696969696</v>
      </c>
      <c r="I18" s="32">
        <v>8972.7272727272721</v>
      </c>
      <c r="J18" s="32">
        <v>-8907.6923076923085</v>
      </c>
      <c r="K18" s="31">
        <v>0.2</v>
      </c>
      <c r="L18" s="31">
        <v>0.20454545454545456</v>
      </c>
      <c r="M18" s="31">
        <v>0.22727272727272727</v>
      </c>
      <c r="N18" s="31">
        <v>0.44444444444444442</v>
      </c>
      <c r="O18" s="31">
        <v>0.36666666666666664</v>
      </c>
      <c r="P18" s="31">
        <v>0.39393939393939392</v>
      </c>
    </row>
    <row r="19" spans="1:16" x14ac:dyDescent="0.45">
      <c r="A19" s="33">
        <v>16</v>
      </c>
      <c r="B19" s="30">
        <v>-95.40000000000002</v>
      </c>
      <c r="C19" s="30">
        <v>-5.9625000000000012</v>
      </c>
      <c r="D19" s="35">
        <v>2.125</v>
      </c>
      <c r="E19" s="31">
        <v>0.375</v>
      </c>
      <c r="F19" s="31">
        <v>0.5</v>
      </c>
      <c r="G19" s="31">
        <v>0.2805755395683453</v>
      </c>
      <c r="H19" s="31">
        <v>0.19424460431654678</v>
      </c>
      <c r="I19" s="32">
        <v>9102.5641025641035</v>
      </c>
      <c r="J19" s="32">
        <v>-8696.2962962962956</v>
      </c>
      <c r="K19" s="31">
        <v>0.1875</v>
      </c>
      <c r="L19" s="31">
        <v>0.22302158273381295</v>
      </c>
      <c r="M19" s="31">
        <v>0.22302158273381295</v>
      </c>
      <c r="N19" s="31">
        <v>0.5161290322580645</v>
      </c>
      <c r="O19" s="31">
        <v>0.35483870967741937</v>
      </c>
      <c r="P19" s="31">
        <v>0.46153846153846156</v>
      </c>
    </row>
    <row r="20" spans="1:16" x14ac:dyDescent="0.45">
      <c r="A20" s="33">
        <v>17</v>
      </c>
      <c r="B20" s="30">
        <v>-91.000000000000014</v>
      </c>
      <c r="C20" s="30">
        <v>-5.3529411764705888</v>
      </c>
      <c r="D20" s="35">
        <v>2.1176470588235294</v>
      </c>
      <c r="E20" s="31">
        <v>0.35294117647058826</v>
      </c>
      <c r="F20" s="31">
        <v>0.47058823529411764</v>
      </c>
      <c r="G20" s="31">
        <v>0.28187919463087246</v>
      </c>
      <c r="H20" s="31">
        <v>0.18120805369127516</v>
      </c>
      <c r="I20" s="32">
        <v>9021.4285714285706</v>
      </c>
      <c r="J20" s="32">
        <v>-8696.2962962962956</v>
      </c>
      <c r="K20" s="31">
        <v>0.17647058823529413</v>
      </c>
      <c r="L20" s="31">
        <v>0.24161073825503357</v>
      </c>
      <c r="M20" s="31">
        <v>0.22147651006711411</v>
      </c>
      <c r="N20" s="31">
        <v>0.47222222222222221</v>
      </c>
      <c r="O20" s="31">
        <v>0.36363636363636365</v>
      </c>
      <c r="P20" s="31">
        <v>0.45238095238095238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993A5-F60B-4D48-9692-6BE0A77DFDDB}">
  <sheetPr codeName="Sheet8"/>
  <dimension ref="A1:Q46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20.9</v>
      </c>
      <c r="C4" s="30">
        <v>20.9</v>
      </c>
      <c r="D4" s="35">
        <v>1</v>
      </c>
      <c r="E4" s="31">
        <v>1</v>
      </c>
      <c r="F4" s="31">
        <v>0</v>
      </c>
      <c r="G4" s="31">
        <v>0.33333333333333331</v>
      </c>
      <c r="H4" s="31">
        <v>0.1111111111111111</v>
      </c>
      <c r="I4" s="32">
        <v>10666.666666666666</v>
      </c>
      <c r="J4" s="32">
        <v>-3900</v>
      </c>
      <c r="K4" s="31">
        <v>0</v>
      </c>
      <c r="L4" s="31">
        <v>0.22222222222222221</v>
      </c>
      <c r="M4" s="31">
        <v>0.22222222222222221</v>
      </c>
      <c r="N4" s="31">
        <v>0.5</v>
      </c>
      <c r="O4" s="31">
        <v>0.5</v>
      </c>
      <c r="P4" s="31">
        <v>0.66666666666666663</v>
      </c>
    </row>
    <row r="5" spans="1:17" x14ac:dyDescent="0.45">
      <c r="A5" s="33">
        <v>2</v>
      </c>
      <c r="B5" s="30">
        <v>62.5</v>
      </c>
      <c r="C5" s="30">
        <v>31.25</v>
      </c>
      <c r="D5" s="35">
        <v>1</v>
      </c>
      <c r="E5" s="31">
        <v>1</v>
      </c>
      <c r="F5" s="31">
        <v>0</v>
      </c>
      <c r="G5" s="31">
        <v>0.35294117647058826</v>
      </c>
      <c r="H5" s="31">
        <v>0.17647058823529413</v>
      </c>
      <c r="I5" s="32">
        <v>14266.666666666666</v>
      </c>
      <c r="J5" s="32">
        <v>-5966.666666666667</v>
      </c>
      <c r="K5" s="31">
        <v>0</v>
      </c>
      <c r="L5" s="31">
        <v>0.17647058823529413</v>
      </c>
      <c r="M5" s="31">
        <v>0.35294117647058826</v>
      </c>
      <c r="N5" s="31">
        <v>0.33333333333333331</v>
      </c>
      <c r="O5" s="31">
        <v>0.5</v>
      </c>
      <c r="P5" s="31">
        <v>0.66666666666666663</v>
      </c>
    </row>
    <row r="6" spans="1:17" x14ac:dyDescent="0.45">
      <c r="A6" s="33">
        <v>3</v>
      </c>
      <c r="B6" s="30">
        <v>40.5</v>
      </c>
      <c r="C6" s="30">
        <v>13.5</v>
      </c>
      <c r="D6" s="35">
        <v>1.3333333333333333</v>
      </c>
      <c r="E6" s="31">
        <v>0.66666666666666663</v>
      </c>
      <c r="F6" s="31">
        <v>0</v>
      </c>
      <c r="G6" s="31">
        <v>0.25925925925925924</v>
      </c>
      <c r="H6" s="31">
        <v>0.1111111111111111</v>
      </c>
      <c r="I6" s="32">
        <v>12628.571428571429</v>
      </c>
      <c r="J6" s="32">
        <v>-5966.666666666667</v>
      </c>
      <c r="K6" s="31">
        <v>0</v>
      </c>
      <c r="L6" s="31">
        <v>0.25925925925925924</v>
      </c>
      <c r="M6" s="31">
        <v>0.22222222222222221</v>
      </c>
      <c r="N6" s="31">
        <v>0.2857142857142857</v>
      </c>
      <c r="O6" s="31">
        <v>0.5</v>
      </c>
      <c r="P6" s="31">
        <v>0.7142857142857143</v>
      </c>
    </row>
    <row r="7" spans="1:17" x14ac:dyDescent="0.45">
      <c r="A7" s="33">
        <v>4</v>
      </c>
      <c r="B7" s="30">
        <v>74.5</v>
      </c>
      <c r="C7" s="30">
        <v>18.625</v>
      </c>
      <c r="D7" s="35">
        <v>1.25</v>
      </c>
      <c r="E7" s="31">
        <v>0.75</v>
      </c>
      <c r="F7" s="31">
        <v>0</v>
      </c>
      <c r="G7" s="31">
        <v>0.30303030303030304</v>
      </c>
      <c r="H7" s="31">
        <v>0.12121212121212122</v>
      </c>
      <c r="I7" s="32">
        <v>11640</v>
      </c>
      <c r="J7" s="32">
        <v>-4975</v>
      </c>
      <c r="K7" s="31">
        <v>0</v>
      </c>
      <c r="L7" s="31">
        <v>0.27272727272727271</v>
      </c>
      <c r="M7" s="31">
        <v>0.21212121212121213</v>
      </c>
      <c r="N7" s="31">
        <v>0.44444444444444442</v>
      </c>
      <c r="O7" s="31">
        <v>0.42857142857142855</v>
      </c>
      <c r="P7" s="31">
        <v>0.8</v>
      </c>
    </row>
    <row r="8" spans="1:17" x14ac:dyDescent="0.45">
      <c r="A8" s="33">
        <v>5</v>
      </c>
      <c r="B8" s="30">
        <v>123.5</v>
      </c>
      <c r="C8" s="30">
        <v>24.7</v>
      </c>
      <c r="D8" s="35">
        <v>1.2</v>
      </c>
      <c r="E8" s="31">
        <v>0.8</v>
      </c>
      <c r="F8" s="31">
        <v>0</v>
      </c>
      <c r="G8" s="31">
        <v>0.34210526315789475</v>
      </c>
      <c r="H8" s="31">
        <v>0.10526315789473684</v>
      </c>
      <c r="I8" s="32">
        <v>11723.076923076924</v>
      </c>
      <c r="J8" s="32">
        <v>-4975</v>
      </c>
      <c r="K8" s="31">
        <v>0</v>
      </c>
      <c r="L8" s="31">
        <v>0.23684210526315788</v>
      </c>
      <c r="M8" s="31">
        <v>0.23684210526315788</v>
      </c>
      <c r="N8" s="31">
        <v>0.44444444444444442</v>
      </c>
      <c r="O8" s="31">
        <v>0.55555555555555558</v>
      </c>
      <c r="P8" s="31">
        <v>0.69230769230769229</v>
      </c>
    </row>
    <row r="9" spans="1:17" x14ac:dyDescent="0.45">
      <c r="A9" s="33">
        <v>6</v>
      </c>
      <c r="B9" s="30">
        <v>111.9</v>
      </c>
      <c r="C9" s="30">
        <v>18.650000000000002</v>
      </c>
      <c r="D9" s="35">
        <v>1.5</v>
      </c>
      <c r="E9" s="31">
        <v>0.66666666666666663</v>
      </c>
      <c r="F9" s="31">
        <v>0.16666666666666666</v>
      </c>
      <c r="G9" s="31">
        <v>0.30434782608695654</v>
      </c>
      <c r="H9" s="31">
        <v>0.15217391304347827</v>
      </c>
      <c r="I9" s="32">
        <v>11457.142857142857</v>
      </c>
      <c r="J9" s="32">
        <v>-4642.8571428571431</v>
      </c>
      <c r="K9" s="31">
        <v>0</v>
      </c>
      <c r="L9" s="31">
        <v>0.2391304347826087</v>
      </c>
      <c r="M9" s="31">
        <v>0.2391304347826087</v>
      </c>
      <c r="N9" s="31">
        <v>0.36363636363636365</v>
      </c>
      <c r="O9" s="31">
        <v>0.54545454545454541</v>
      </c>
      <c r="P9" s="31">
        <v>0.6428571428571429</v>
      </c>
    </row>
    <row r="10" spans="1:17" x14ac:dyDescent="0.45">
      <c r="A10" s="33">
        <v>7</v>
      </c>
      <c r="B10" s="30">
        <v>103.7</v>
      </c>
      <c r="C10" s="30">
        <v>14.814285714285715</v>
      </c>
      <c r="D10" s="35">
        <v>1.5714285714285714</v>
      </c>
      <c r="E10" s="31">
        <v>0.5714285714285714</v>
      </c>
      <c r="F10" s="31">
        <v>0.14285714285714285</v>
      </c>
      <c r="G10" s="31">
        <v>0.2982456140350877</v>
      </c>
      <c r="H10" s="31">
        <v>0.14035087719298245</v>
      </c>
      <c r="I10" s="32">
        <v>10476.470588235294</v>
      </c>
      <c r="J10" s="32">
        <v>-4550</v>
      </c>
      <c r="K10" s="31">
        <v>0</v>
      </c>
      <c r="L10" s="31">
        <v>0.22807017543859648</v>
      </c>
      <c r="M10" s="31">
        <v>0.22807017543859648</v>
      </c>
      <c r="N10" s="31">
        <v>0.38461538461538464</v>
      </c>
      <c r="O10" s="31">
        <v>0.61538461538461542</v>
      </c>
      <c r="P10" s="31">
        <v>0.70588235294117652</v>
      </c>
    </row>
    <row r="11" spans="1:17" x14ac:dyDescent="0.45">
      <c r="A11" s="33">
        <v>8</v>
      </c>
      <c r="B11" s="30">
        <v>140.6</v>
      </c>
      <c r="C11" s="30">
        <v>17.574999999999999</v>
      </c>
      <c r="D11" s="35">
        <v>1.5</v>
      </c>
      <c r="E11" s="31">
        <v>0.625</v>
      </c>
      <c r="F11" s="31">
        <v>0.125</v>
      </c>
      <c r="G11" s="31">
        <v>0.29411764705882354</v>
      </c>
      <c r="H11" s="31">
        <v>0.13235294117647059</v>
      </c>
      <c r="I11" s="32">
        <v>11005</v>
      </c>
      <c r="J11" s="32">
        <v>-5377.7777777777774</v>
      </c>
      <c r="K11" s="31">
        <v>0</v>
      </c>
      <c r="L11" s="31">
        <v>0.22058823529411764</v>
      </c>
      <c r="M11" s="31">
        <v>0.23529411764705882</v>
      </c>
      <c r="N11" s="31">
        <v>0.4</v>
      </c>
      <c r="O11" s="31">
        <v>0.5625</v>
      </c>
      <c r="P11" s="31">
        <v>0.7</v>
      </c>
    </row>
    <row r="12" spans="1:17" x14ac:dyDescent="0.45">
      <c r="A12" s="33">
        <v>9</v>
      </c>
      <c r="B12" s="30">
        <v>127.8</v>
      </c>
      <c r="C12" s="30">
        <v>14.2</v>
      </c>
      <c r="D12" s="35">
        <v>1.5555555555555556</v>
      </c>
      <c r="E12" s="31">
        <v>0.55555555555555558</v>
      </c>
      <c r="F12" s="31">
        <v>0.1111111111111111</v>
      </c>
      <c r="G12" s="31">
        <v>0.28000000000000003</v>
      </c>
      <c r="H12" s="31">
        <v>0.12</v>
      </c>
      <c r="I12" s="32">
        <v>10666.666666666666</v>
      </c>
      <c r="J12" s="32">
        <v>-5377.7777777777774</v>
      </c>
      <c r="K12" s="31">
        <v>0</v>
      </c>
      <c r="L12" s="31">
        <v>0.22666666666666666</v>
      </c>
      <c r="M12" s="31">
        <v>0.22666666666666666</v>
      </c>
      <c r="N12" s="31">
        <v>0.35294117647058826</v>
      </c>
      <c r="O12" s="31">
        <v>0.52941176470588236</v>
      </c>
      <c r="P12" s="31">
        <v>0.66666666666666663</v>
      </c>
    </row>
    <row r="13" spans="1:17" x14ac:dyDescent="0.45">
      <c r="A13" s="33">
        <v>10</v>
      </c>
      <c r="B13" s="30">
        <v>134.4</v>
      </c>
      <c r="C13" s="30">
        <v>13.440000000000001</v>
      </c>
      <c r="D13" s="35">
        <v>1.6</v>
      </c>
      <c r="E13" s="31">
        <v>0.5</v>
      </c>
      <c r="F13" s="31">
        <v>0.1</v>
      </c>
      <c r="G13" s="31">
        <v>0.28409090909090912</v>
      </c>
      <c r="H13" s="31">
        <v>0.125</v>
      </c>
      <c r="I13" s="32">
        <v>10080</v>
      </c>
      <c r="J13" s="32">
        <v>-5754.545454545455</v>
      </c>
      <c r="K13" s="31">
        <v>0</v>
      </c>
      <c r="L13" s="31">
        <v>0.22727272727272727</v>
      </c>
      <c r="M13" s="31">
        <v>0.25</v>
      </c>
      <c r="N13" s="31">
        <v>0.4</v>
      </c>
      <c r="O13" s="31">
        <v>0.5</v>
      </c>
      <c r="P13" s="31">
        <v>0.68</v>
      </c>
    </row>
    <row r="14" spans="1:17" x14ac:dyDescent="0.45">
      <c r="A14" s="33">
        <v>11</v>
      </c>
      <c r="B14" s="30">
        <v>212.4</v>
      </c>
      <c r="C14" s="30">
        <v>19.309090909090909</v>
      </c>
      <c r="D14" s="35">
        <v>1.5454545454545454</v>
      </c>
      <c r="E14" s="31">
        <v>0.54545454545454541</v>
      </c>
      <c r="F14" s="31">
        <v>9.0909090909090912E-2</v>
      </c>
      <c r="G14" s="31">
        <v>0.32978723404255317</v>
      </c>
      <c r="H14" s="31">
        <v>0.11702127659574468</v>
      </c>
      <c r="I14" s="32">
        <v>9967.7419354838712</v>
      </c>
      <c r="J14" s="32">
        <v>-5754.545454545455</v>
      </c>
      <c r="K14" s="31">
        <v>0</v>
      </c>
      <c r="L14" s="31">
        <v>0.24468085106382978</v>
      </c>
      <c r="M14" s="31">
        <v>0.25531914893617019</v>
      </c>
      <c r="N14" s="31">
        <v>0.47826086956521741</v>
      </c>
      <c r="O14" s="31">
        <v>0.54166666666666663</v>
      </c>
      <c r="P14" s="31">
        <v>0.64516129032258063</v>
      </c>
    </row>
    <row r="15" spans="1:17" x14ac:dyDescent="0.45">
      <c r="A15" s="33">
        <v>12</v>
      </c>
      <c r="B15" s="30">
        <v>239</v>
      </c>
      <c r="C15" s="30">
        <v>19.916666666666668</v>
      </c>
      <c r="D15" s="35">
        <v>1.5</v>
      </c>
      <c r="E15" s="31">
        <v>0.58333333333333337</v>
      </c>
      <c r="F15" s="31">
        <v>8.3333333333333329E-2</v>
      </c>
      <c r="G15" s="31">
        <v>0.34615384615384615</v>
      </c>
      <c r="H15" s="31">
        <v>0.125</v>
      </c>
      <c r="I15" s="32">
        <v>9775</v>
      </c>
      <c r="J15" s="32">
        <v>-6238.4615384615381</v>
      </c>
      <c r="K15" s="31">
        <v>0</v>
      </c>
      <c r="L15" s="31">
        <v>0.24038461538461539</v>
      </c>
      <c r="M15" s="31">
        <v>0.25961538461538464</v>
      </c>
      <c r="N15" s="31">
        <v>0.48</v>
      </c>
      <c r="O15" s="31">
        <v>0.55555555555555558</v>
      </c>
      <c r="P15" s="31">
        <v>0.61111111111111116</v>
      </c>
    </row>
    <row r="16" spans="1:17" x14ac:dyDescent="0.45">
      <c r="A16" s="33">
        <v>13</v>
      </c>
      <c r="B16" s="30">
        <v>236</v>
      </c>
      <c r="C16" s="30">
        <v>18.153846153846153</v>
      </c>
      <c r="D16" s="35">
        <v>1.5384615384615385</v>
      </c>
      <c r="E16" s="31">
        <v>0.53846153846153844</v>
      </c>
      <c r="F16" s="31">
        <v>7.6923076923076927E-2</v>
      </c>
      <c r="G16" s="31">
        <v>0.34234234234234234</v>
      </c>
      <c r="H16" s="31">
        <v>0.12612612612612611</v>
      </c>
      <c r="I16" s="32">
        <v>9778.9473684210534</v>
      </c>
      <c r="J16" s="32">
        <v>-6364.2857142857147</v>
      </c>
      <c r="K16" s="31">
        <v>0</v>
      </c>
      <c r="L16" s="31">
        <v>0.24324324324324326</v>
      </c>
      <c r="M16" s="31">
        <v>0.26126126126126126</v>
      </c>
      <c r="N16" s="31">
        <v>0.48148148148148145</v>
      </c>
      <c r="O16" s="31">
        <v>0.55172413793103448</v>
      </c>
      <c r="P16" s="31">
        <v>0.60526315789473684</v>
      </c>
    </row>
    <row r="17" spans="1:16" x14ac:dyDescent="0.45">
      <c r="A17" s="33">
        <v>14</v>
      </c>
      <c r="B17" s="30">
        <v>222</v>
      </c>
      <c r="C17" s="30">
        <v>15.857142857142858</v>
      </c>
      <c r="D17" s="35">
        <v>1.5714285714285714</v>
      </c>
      <c r="E17" s="31">
        <v>0.5</v>
      </c>
      <c r="F17" s="31">
        <v>7.1428571428571425E-2</v>
      </c>
      <c r="G17" s="31">
        <v>0.33050847457627119</v>
      </c>
      <c r="H17" s="31">
        <v>0.11864406779661017</v>
      </c>
      <c r="I17" s="32">
        <v>9589.7435897435898</v>
      </c>
      <c r="J17" s="32">
        <v>-6364.2857142857147</v>
      </c>
      <c r="K17" s="31">
        <v>0</v>
      </c>
      <c r="L17" s="31">
        <v>0.23728813559322035</v>
      </c>
      <c r="M17" s="31">
        <v>0.25423728813559321</v>
      </c>
      <c r="N17" s="31">
        <v>0.5</v>
      </c>
      <c r="O17" s="31">
        <v>0.53333333333333333</v>
      </c>
      <c r="P17" s="31">
        <v>0.58974358974358976</v>
      </c>
    </row>
    <row r="18" spans="1:16" x14ac:dyDescent="0.45">
      <c r="A18" s="33">
        <v>15</v>
      </c>
      <c r="B18" s="30">
        <v>190.9</v>
      </c>
      <c r="C18" s="30">
        <v>12.726666666666667</v>
      </c>
      <c r="D18" s="35">
        <v>1.6666666666666667</v>
      </c>
      <c r="E18" s="31">
        <v>0.46666666666666667</v>
      </c>
      <c r="F18" s="31">
        <v>0.13333333333333333</v>
      </c>
      <c r="G18" s="31">
        <v>0.34399999999999997</v>
      </c>
      <c r="H18" s="31">
        <v>0.12</v>
      </c>
      <c r="I18" s="32">
        <v>9148.8372093023263</v>
      </c>
      <c r="J18" s="32">
        <v>-7540</v>
      </c>
      <c r="K18" s="31">
        <v>0</v>
      </c>
      <c r="L18" s="31">
        <v>0.25600000000000001</v>
      </c>
      <c r="M18" s="31">
        <v>0.24</v>
      </c>
      <c r="N18" s="31">
        <v>0.53125</v>
      </c>
      <c r="O18" s="31">
        <v>0.53333333333333333</v>
      </c>
      <c r="P18" s="31">
        <v>0.53488372093023251</v>
      </c>
    </row>
    <row r="19" spans="1:16" x14ac:dyDescent="0.45">
      <c r="A19" s="33">
        <v>16</v>
      </c>
      <c r="B19" s="30">
        <v>164.20000000000002</v>
      </c>
      <c r="C19" s="30">
        <v>10.262500000000001</v>
      </c>
      <c r="D19" s="35">
        <v>1.75</v>
      </c>
      <c r="E19" s="31">
        <v>0.4375</v>
      </c>
      <c r="F19" s="31">
        <v>0.1875</v>
      </c>
      <c r="G19" s="31">
        <v>0.33587786259541985</v>
      </c>
      <c r="H19" s="31">
        <v>0.12977099236641221</v>
      </c>
      <c r="I19" s="32">
        <v>9059.0909090909099</v>
      </c>
      <c r="J19" s="32">
        <v>-7182.3529411764703</v>
      </c>
      <c r="K19" s="31">
        <v>0</v>
      </c>
      <c r="L19" s="31">
        <v>0.24427480916030533</v>
      </c>
      <c r="M19" s="31">
        <v>0.23664122137404581</v>
      </c>
      <c r="N19" s="31">
        <v>0.53125</v>
      </c>
      <c r="O19" s="31">
        <v>0.54838709677419351</v>
      </c>
      <c r="P19" s="31">
        <v>0.52272727272727271</v>
      </c>
    </row>
    <row r="20" spans="1:16" x14ac:dyDescent="0.45">
      <c r="A20" s="33">
        <v>17</v>
      </c>
      <c r="B20" s="30">
        <v>164.3</v>
      </c>
      <c r="C20" s="30">
        <v>9.6647058823529424</v>
      </c>
      <c r="D20" s="35">
        <v>1.7647058823529411</v>
      </c>
      <c r="E20" s="31">
        <v>0.41176470588235292</v>
      </c>
      <c r="F20" s="31">
        <v>0.17647058823529413</v>
      </c>
      <c r="G20" s="31">
        <v>0.33576642335766421</v>
      </c>
      <c r="H20" s="31">
        <v>0.13868613138686131</v>
      </c>
      <c r="I20" s="32">
        <v>9100</v>
      </c>
      <c r="J20" s="32">
        <v>-6736.8421052631575</v>
      </c>
      <c r="K20" s="31">
        <v>0</v>
      </c>
      <c r="L20" s="31">
        <v>0.25547445255474455</v>
      </c>
      <c r="M20" s="31">
        <v>0.23357664233576642</v>
      </c>
      <c r="N20" s="31">
        <v>0.51428571428571423</v>
      </c>
      <c r="O20" s="31">
        <v>0.53125</v>
      </c>
      <c r="P20" s="31">
        <v>0.5</v>
      </c>
    </row>
    <row r="21" spans="1:16" x14ac:dyDescent="0.45">
      <c r="A21" s="33">
        <v>18</v>
      </c>
      <c r="B21" s="30">
        <v>188.9</v>
      </c>
      <c r="C21" s="30">
        <v>10.494444444444445</v>
      </c>
      <c r="D21" s="35">
        <v>1.7222222222222223</v>
      </c>
      <c r="E21" s="31">
        <v>0.44444444444444442</v>
      </c>
      <c r="F21" s="31">
        <v>0.16666666666666666</v>
      </c>
      <c r="G21" s="31">
        <v>0.34228187919463088</v>
      </c>
      <c r="H21" s="31">
        <v>0.13422818791946309</v>
      </c>
      <c r="I21" s="32">
        <v>9135.2941176470595</v>
      </c>
      <c r="J21" s="32">
        <v>-6545</v>
      </c>
      <c r="K21" s="31">
        <v>0</v>
      </c>
      <c r="L21" s="31">
        <v>0.26845637583892618</v>
      </c>
      <c r="M21" s="31">
        <v>0.2348993288590604</v>
      </c>
      <c r="N21" s="31">
        <v>0.5</v>
      </c>
      <c r="O21" s="31">
        <v>0.54285714285714282</v>
      </c>
      <c r="P21" s="31">
        <v>0.52941176470588236</v>
      </c>
    </row>
    <row r="22" spans="1:16" x14ac:dyDescent="0.45">
      <c r="A22" s="33">
        <v>19</v>
      </c>
      <c r="B22" s="30">
        <v>174.6</v>
      </c>
      <c r="C22" s="30">
        <v>9.189473684210526</v>
      </c>
      <c r="D22" s="35">
        <v>1.7894736842105263</v>
      </c>
      <c r="E22" s="31">
        <v>0.42105263157894735</v>
      </c>
      <c r="F22" s="31">
        <v>0.21052631578947367</v>
      </c>
      <c r="G22" s="31">
        <v>0.34375</v>
      </c>
      <c r="H22" s="31">
        <v>0.13125000000000001</v>
      </c>
      <c r="I22" s="32">
        <v>8756.363636363636</v>
      </c>
      <c r="J22" s="32">
        <v>-6804.7619047619046</v>
      </c>
      <c r="K22" s="31">
        <v>0</v>
      </c>
      <c r="L22" s="31">
        <v>0.26874999999999999</v>
      </c>
      <c r="M22" s="31">
        <v>0.23125000000000001</v>
      </c>
      <c r="N22" s="31">
        <v>0.51162790697674421</v>
      </c>
      <c r="O22" s="31">
        <v>0.54054054054054057</v>
      </c>
      <c r="P22" s="31">
        <v>0.52727272727272723</v>
      </c>
    </row>
    <row r="23" spans="1:16" x14ac:dyDescent="0.45">
      <c r="A23" s="33">
        <v>20</v>
      </c>
      <c r="B23" s="30">
        <v>154.5</v>
      </c>
      <c r="C23" s="30">
        <v>7.7249999999999996</v>
      </c>
      <c r="D23" s="35">
        <v>1.85</v>
      </c>
      <c r="E23" s="31">
        <v>0.4</v>
      </c>
      <c r="F23" s="31">
        <v>0.25</v>
      </c>
      <c r="G23" s="31">
        <v>0.33734939759036142</v>
      </c>
      <c r="H23" s="31">
        <v>0.13855421686746988</v>
      </c>
      <c r="I23" s="32">
        <v>8669.6428571428569</v>
      </c>
      <c r="J23" s="32">
        <v>-6482.608695652174</v>
      </c>
      <c r="K23" s="31">
        <v>0</v>
      </c>
      <c r="L23" s="31">
        <v>0.27710843373493976</v>
      </c>
      <c r="M23" s="31">
        <v>0.22289156626506024</v>
      </c>
      <c r="N23" s="31">
        <v>0.5</v>
      </c>
      <c r="O23" s="31">
        <v>0.54054054054054057</v>
      </c>
      <c r="P23" s="31">
        <v>0.5178571428571429</v>
      </c>
    </row>
    <row r="24" spans="1:16" x14ac:dyDescent="0.45">
      <c r="A24" s="33">
        <v>21</v>
      </c>
      <c r="B24" s="30">
        <v>131</v>
      </c>
      <c r="C24" s="30">
        <v>6.2380952380952381</v>
      </c>
      <c r="D24" s="35">
        <v>1.9047619047619047</v>
      </c>
      <c r="E24" s="31">
        <v>0.38095238095238093</v>
      </c>
      <c r="F24" s="31">
        <v>0.2857142857142857</v>
      </c>
      <c r="G24" s="31">
        <v>0.33333333333333331</v>
      </c>
      <c r="H24" s="31">
        <v>0.14367816091954022</v>
      </c>
      <c r="I24" s="32">
        <v>8643.1034482758623</v>
      </c>
      <c r="J24" s="32">
        <v>-6684</v>
      </c>
      <c r="K24" s="31">
        <v>0</v>
      </c>
      <c r="L24" s="31">
        <v>0.27011494252873564</v>
      </c>
      <c r="M24" s="31">
        <v>0.22413793103448276</v>
      </c>
      <c r="N24" s="31">
        <v>0.48936170212765956</v>
      </c>
      <c r="O24" s="31">
        <v>0.5641025641025641</v>
      </c>
      <c r="P24" s="31">
        <v>0.51724137931034486</v>
      </c>
    </row>
    <row r="25" spans="1:16" x14ac:dyDescent="0.45">
      <c r="A25" s="33">
        <v>22</v>
      </c>
      <c r="B25" s="30">
        <v>106.3</v>
      </c>
      <c r="C25" s="30">
        <v>4.831818181818182</v>
      </c>
      <c r="D25" s="35">
        <v>1.9545454545454546</v>
      </c>
      <c r="E25" s="31">
        <v>0.36363636363636365</v>
      </c>
      <c r="F25" s="31">
        <v>0.31818181818181818</v>
      </c>
      <c r="G25" s="31">
        <v>0.32786885245901637</v>
      </c>
      <c r="H25" s="31">
        <v>0.14207650273224043</v>
      </c>
      <c r="I25" s="32">
        <v>8575</v>
      </c>
      <c r="J25" s="32">
        <v>-6888.4615384615381</v>
      </c>
      <c r="K25" s="31">
        <v>0</v>
      </c>
      <c r="L25" s="31">
        <v>0.26229508196721313</v>
      </c>
      <c r="M25" s="31">
        <v>0.21857923497267759</v>
      </c>
      <c r="N25" s="31">
        <v>0.5</v>
      </c>
      <c r="O25" s="31">
        <v>0.55000000000000004</v>
      </c>
      <c r="P25" s="31">
        <v>0.5</v>
      </c>
    </row>
    <row r="26" spans="1:16" x14ac:dyDescent="0.45">
      <c r="A26" s="33">
        <v>23</v>
      </c>
      <c r="B26" s="30">
        <v>119.39999999999999</v>
      </c>
      <c r="C26" s="30">
        <v>5.1913043478260867</v>
      </c>
      <c r="D26" s="35">
        <v>1.9565217391304348</v>
      </c>
      <c r="E26" s="31">
        <v>0.34782608695652173</v>
      </c>
      <c r="F26" s="31">
        <v>0.30434782608695654</v>
      </c>
      <c r="G26" s="31">
        <v>0.32460732984293195</v>
      </c>
      <c r="H26" s="31">
        <v>0.14136125654450263</v>
      </c>
      <c r="I26" s="32">
        <v>8750</v>
      </c>
      <c r="J26" s="32">
        <v>-7077.7777777777774</v>
      </c>
      <c r="K26" s="31">
        <v>0</v>
      </c>
      <c r="L26" s="31">
        <v>0.26178010471204188</v>
      </c>
      <c r="M26" s="31">
        <v>0.21989528795811519</v>
      </c>
      <c r="N26" s="31">
        <v>0.52</v>
      </c>
      <c r="O26" s="31">
        <v>0.52380952380952384</v>
      </c>
      <c r="P26" s="31">
        <v>0.5161290322580645</v>
      </c>
    </row>
    <row r="27" spans="1:16" x14ac:dyDescent="0.45">
      <c r="A27" s="33">
        <v>24</v>
      </c>
      <c r="B27" s="30">
        <v>111.19999999999999</v>
      </c>
      <c r="C27" s="30">
        <v>4.6333333333333329</v>
      </c>
      <c r="D27" s="35">
        <v>1.9583333333333333</v>
      </c>
      <c r="E27" s="31">
        <v>0.33333333333333331</v>
      </c>
      <c r="F27" s="31">
        <v>0.29166666666666669</v>
      </c>
      <c r="G27" s="31">
        <v>0.32</v>
      </c>
      <c r="H27" s="31">
        <v>0.14000000000000001</v>
      </c>
      <c r="I27" s="32">
        <v>8681.25</v>
      </c>
      <c r="J27" s="32">
        <v>-7253.5714285714284</v>
      </c>
      <c r="K27" s="31">
        <v>0</v>
      </c>
      <c r="L27" s="31">
        <v>0.26</v>
      </c>
      <c r="M27" s="31">
        <v>0.22</v>
      </c>
      <c r="N27" s="31">
        <v>0.5</v>
      </c>
      <c r="O27" s="31">
        <v>0.54545454545454541</v>
      </c>
      <c r="P27" s="31">
        <v>0.5</v>
      </c>
    </row>
    <row r="28" spans="1:16" x14ac:dyDescent="0.45">
      <c r="A28" s="33">
        <v>25</v>
      </c>
      <c r="B28" s="30">
        <v>157.69999999999999</v>
      </c>
      <c r="C28" s="30">
        <v>6.3079999999999998</v>
      </c>
      <c r="D28" s="35">
        <v>1.92</v>
      </c>
      <c r="E28" s="31">
        <v>0.36</v>
      </c>
      <c r="F28" s="31">
        <v>0.28000000000000003</v>
      </c>
      <c r="G28" s="31">
        <v>0.32524271844660196</v>
      </c>
      <c r="H28" s="31">
        <v>0.13592233009708737</v>
      </c>
      <c r="I28" s="32">
        <v>8859.7014925373132</v>
      </c>
      <c r="J28" s="32">
        <v>-7253.5714285714284</v>
      </c>
      <c r="K28" s="31">
        <v>0</v>
      </c>
      <c r="L28" s="31">
        <v>0.25728155339805825</v>
      </c>
      <c r="M28" s="31">
        <v>0.22815533980582525</v>
      </c>
      <c r="N28" s="31">
        <v>0.50943396226415094</v>
      </c>
      <c r="O28" s="31">
        <v>0.55319148936170215</v>
      </c>
      <c r="P28" s="31">
        <v>0.4925373134328358</v>
      </c>
    </row>
    <row r="29" spans="1:16" x14ac:dyDescent="0.45">
      <c r="A29" s="33">
        <v>26</v>
      </c>
      <c r="B29" s="30">
        <v>216.2</v>
      </c>
      <c r="C29" s="30">
        <v>8.3153846153846143</v>
      </c>
      <c r="D29" s="35">
        <v>1.8846153846153846</v>
      </c>
      <c r="E29" s="31">
        <v>0.38461538461538464</v>
      </c>
      <c r="F29" s="31">
        <v>0.26923076923076922</v>
      </c>
      <c r="G29" s="31">
        <v>0.33796296296296297</v>
      </c>
      <c r="H29" s="31">
        <v>0.14351851851851852</v>
      </c>
      <c r="I29" s="32">
        <v>8954.7945205479446</v>
      </c>
      <c r="J29" s="32">
        <v>-6893.5483870967746</v>
      </c>
      <c r="K29" s="31">
        <v>0</v>
      </c>
      <c r="L29" s="31">
        <v>0.25462962962962965</v>
      </c>
      <c r="M29" s="31">
        <v>0.22685185185185186</v>
      </c>
      <c r="N29" s="31">
        <v>0.52727272727272723</v>
      </c>
      <c r="O29" s="31">
        <v>0.5714285714285714</v>
      </c>
      <c r="P29" s="31">
        <v>0.49315068493150682</v>
      </c>
    </row>
    <row r="30" spans="1:16" x14ac:dyDescent="0.45">
      <c r="A30" s="33">
        <v>27</v>
      </c>
      <c r="B30" s="30">
        <v>200.6</v>
      </c>
      <c r="C30" s="30">
        <v>7.4296296296296296</v>
      </c>
      <c r="D30" s="35">
        <v>1.9259259259259258</v>
      </c>
      <c r="E30" s="31">
        <v>0.37037037037037035</v>
      </c>
      <c r="F30" s="31">
        <v>0.29629629629629628</v>
      </c>
      <c r="G30" s="31">
        <v>0.33035714285714285</v>
      </c>
      <c r="H30" s="31">
        <v>0.14285714285714285</v>
      </c>
      <c r="I30" s="32">
        <v>8995.9459459459467</v>
      </c>
      <c r="J30" s="32">
        <v>-6740.625</v>
      </c>
      <c r="K30" s="31">
        <v>0</v>
      </c>
      <c r="L30" s="31">
        <v>0.25</v>
      </c>
      <c r="M30" s="31">
        <v>0.22767857142857142</v>
      </c>
      <c r="N30" s="31">
        <v>0.5357142857142857</v>
      </c>
      <c r="O30" s="31">
        <v>0.5490196078431373</v>
      </c>
      <c r="P30" s="31">
        <v>0.5</v>
      </c>
    </row>
    <row r="31" spans="1:16" x14ac:dyDescent="0.45">
      <c r="A31" s="33">
        <v>28</v>
      </c>
      <c r="B31" s="30">
        <v>183.9</v>
      </c>
      <c r="C31" s="30">
        <v>6.5678571428571431</v>
      </c>
      <c r="D31" s="35">
        <v>1.9642857142857142</v>
      </c>
      <c r="E31" s="31">
        <v>0.35714285714285715</v>
      </c>
      <c r="F31" s="31">
        <v>0.32142857142857145</v>
      </c>
      <c r="G31" s="31">
        <v>0.32905982905982906</v>
      </c>
      <c r="H31" s="31">
        <v>0.15384615384615385</v>
      </c>
      <c r="I31" s="32">
        <v>8929.8701298701308</v>
      </c>
      <c r="J31" s="32">
        <v>-6702.7777777777774</v>
      </c>
      <c r="K31" s="31">
        <v>0</v>
      </c>
      <c r="L31" s="31">
        <v>0.25641025641025639</v>
      </c>
      <c r="M31" s="31">
        <v>0.23076923076923078</v>
      </c>
      <c r="N31" s="31">
        <v>0.51666666666666672</v>
      </c>
      <c r="O31" s="31">
        <v>0.55555555555555558</v>
      </c>
      <c r="P31" s="31">
        <v>0.4935064935064935</v>
      </c>
    </row>
    <row r="32" spans="1:16" x14ac:dyDescent="0.45">
      <c r="A32" s="33">
        <v>29</v>
      </c>
      <c r="B32" s="30">
        <v>179.3</v>
      </c>
      <c r="C32" s="30">
        <v>6.1827586206896559</v>
      </c>
      <c r="D32" s="35">
        <v>1.9655172413793103</v>
      </c>
      <c r="E32" s="31">
        <v>0.34482758620689657</v>
      </c>
      <c r="F32" s="31">
        <v>0.31034482758620691</v>
      </c>
      <c r="G32" s="31">
        <v>0.32365145228215769</v>
      </c>
      <c r="H32" s="31">
        <v>0.14937759336099585</v>
      </c>
      <c r="I32" s="32">
        <v>8882.0512820512813</v>
      </c>
      <c r="J32" s="32">
        <v>-6702.7777777777774</v>
      </c>
      <c r="K32" s="31">
        <v>0</v>
      </c>
      <c r="L32" s="31">
        <v>0.25311203319502074</v>
      </c>
      <c r="M32" s="31">
        <v>0.22406639004149378</v>
      </c>
      <c r="N32" s="31">
        <v>0.52459016393442626</v>
      </c>
      <c r="O32" s="31">
        <v>0.55555555555555558</v>
      </c>
      <c r="P32" s="31">
        <v>0.48717948717948717</v>
      </c>
    </row>
    <row r="33" spans="1:16" x14ac:dyDescent="0.45">
      <c r="A33" s="33">
        <v>30</v>
      </c>
      <c r="B33" s="30">
        <v>211.20000000000002</v>
      </c>
      <c r="C33" s="30">
        <v>7.0400000000000009</v>
      </c>
      <c r="D33" s="35">
        <v>1.9333333333333333</v>
      </c>
      <c r="E33" s="31">
        <v>0.36666666666666664</v>
      </c>
      <c r="F33" s="31">
        <v>0.3</v>
      </c>
      <c r="G33" s="31">
        <v>0.33200000000000002</v>
      </c>
      <c r="H33" s="31">
        <v>0.14799999999999999</v>
      </c>
      <c r="I33" s="32">
        <v>8654.2168674698787</v>
      </c>
      <c r="J33" s="32">
        <v>-6591.8918918918916</v>
      </c>
      <c r="K33" s="31">
        <v>0</v>
      </c>
      <c r="L33" s="31">
        <v>0.252</v>
      </c>
      <c r="M33" s="31">
        <v>0.22800000000000001</v>
      </c>
      <c r="N33" s="31">
        <v>0.53968253968253965</v>
      </c>
      <c r="O33" s="31">
        <v>0.54385964912280704</v>
      </c>
      <c r="P33" s="31">
        <v>0.48192771084337349</v>
      </c>
    </row>
    <row r="34" spans="1:16" x14ac:dyDescent="0.45">
      <c r="A34" s="33">
        <v>31</v>
      </c>
      <c r="B34" s="30">
        <v>213.3</v>
      </c>
      <c r="C34" s="30">
        <v>6.8806451612903228</v>
      </c>
      <c r="D34" s="35">
        <v>1.935483870967742</v>
      </c>
      <c r="E34" s="31">
        <v>0.35483870967741937</v>
      </c>
      <c r="F34" s="31">
        <v>0.29032258064516131</v>
      </c>
      <c r="G34" s="31">
        <v>0.33204633204633205</v>
      </c>
      <c r="H34" s="31">
        <v>0.14671814671814673</v>
      </c>
      <c r="I34" s="32">
        <v>8725.5813953488378</v>
      </c>
      <c r="J34" s="32">
        <v>-6628.9473684210525</v>
      </c>
      <c r="K34" s="31">
        <v>0</v>
      </c>
      <c r="L34" s="31">
        <v>0.25868725868725867</v>
      </c>
      <c r="M34" s="31">
        <v>0.22779922779922779</v>
      </c>
      <c r="N34" s="31">
        <v>0.55223880597014929</v>
      </c>
      <c r="O34" s="31">
        <v>0.52542372881355937</v>
      </c>
      <c r="P34" s="31">
        <v>0.48837209302325579</v>
      </c>
    </row>
    <row r="35" spans="1:16" x14ac:dyDescent="0.45">
      <c r="A35" s="33">
        <v>32</v>
      </c>
      <c r="B35" s="30">
        <v>163.60000000000002</v>
      </c>
      <c r="C35" s="30">
        <v>5.1125000000000007</v>
      </c>
      <c r="D35" s="35">
        <v>1.96875</v>
      </c>
      <c r="E35" s="31">
        <v>0.34375</v>
      </c>
      <c r="F35" s="31">
        <v>0.3125</v>
      </c>
      <c r="G35" s="31">
        <v>0.32330827067669171</v>
      </c>
      <c r="H35" s="31">
        <v>0.15413533834586465</v>
      </c>
      <c r="I35" s="32">
        <v>8725.5813953488378</v>
      </c>
      <c r="J35" s="32">
        <v>-6726.8292682926831</v>
      </c>
      <c r="K35" s="31">
        <v>3.125E-2</v>
      </c>
      <c r="L35" s="31">
        <v>0.25563909774436089</v>
      </c>
      <c r="M35" s="31">
        <v>0.22180451127819548</v>
      </c>
      <c r="N35" s="31">
        <v>0.54411764705882348</v>
      </c>
      <c r="O35" s="31">
        <v>0.52542372881355937</v>
      </c>
      <c r="P35" s="31">
        <v>0.48837209302325579</v>
      </c>
    </row>
    <row r="36" spans="1:16" x14ac:dyDescent="0.45">
      <c r="A36" s="33">
        <v>33</v>
      </c>
      <c r="B36" s="30">
        <v>162.60000000000002</v>
      </c>
      <c r="C36" s="30">
        <v>4.9272727272727277</v>
      </c>
      <c r="D36" s="35">
        <v>1.9696969696969697</v>
      </c>
      <c r="E36" s="31">
        <v>0.33333333333333331</v>
      </c>
      <c r="F36" s="31">
        <v>0.30303030303030304</v>
      </c>
      <c r="G36" s="31">
        <v>0.32222222222222224</v>
      </c>
      <c r="H36" s="31">
        <v>0.15185185185185185</v>
      </c>
      <c r="I36" s="32">
        <v>8763.2183908045972</v>
      </c>
      <c r="J36" s="32">
        <v>-6726.8292682926831</v>
      </c>
      <c r="K36" s="31">
        <v>3.0303030303030304E-2</v>
      </c>
      <c r="L36" s="31">
        <v>0.25555555555555554</v>
      </c>
      <c r="M36" s="31">
        <v>0.22222222222222221</v>
      </c>
      <c r="N36" s="31">
        <v>0.53623188405797106</v>
      </c>
      <c r="O36" s="31">
        <v>0.51666666666666672</v>
      </c>
      <c r="P36" s="31">
        <v>0.4942528735632184</v>
      </c>
    </row>
    <row r="37" spans="1:16" x14ac:dyDescent="0.45">
      <c r="A37" s="33">
        <v>34</v>
      </c>
      <c r="B37" s="30">
        <v>202.20000000000002</v>
      </c>
      <c r="C37" s="30">
        <v>5.947058823529412</v>
      </c>
      <c r="D37" s="35">
        <v>1.9411764705882353</v>
      </c>
      <c r="E37" s="31">
        <v>0.35294117647058826</v>
      </c>
      <c r="F37" s="31">
        <v>0.29411764705882354</v>
      </c>
      <c r="G37" s="31">
        <v>0.32500000000000001</v>
      </c>
      <c r="H37" s="31">
        <v>0.15357142857142858</v>
      </c>
      <c r="I37" s="32">
        <v>8880.2197802197807</v>
      </c>
      <c r="J37" s="32">
        <v>-6751.1627906976746</v>
      </c>
      <c r="K37" s="31">
        <v>2.9411764705882353E-2</v>
      </c>
      <c r="L37" s="31">
        <v>0.26071428571428573</v>
      </c>
      <c r="M37" s="31">
        <v>0.22857142857142856</v>
      </c>
      <c r="N37" s="31">
        <v>0.56164383561643838</v>
      </c>
      <c r="O37" s="31">
        <v>0.484375</v>
      </c>
      <c r="P37" s="31">
        <v>0.50549450549450547</v>
      </c>
    </row>
    <row r="38" spans="1:16" x14ac:dyDescent="0.45">
      <c r="A38" s="33">
        <v>35</v>
      </c>
      <c r="B38" s="30">
        <v>196.8</v>
      </c>
      <c r="C38" s="30">
        <v>5.6228571428571428</v>
      </c>
      <c r="D38" s="35">
        <v>1.9428571428571428</v>
      </c>
      <c r="E38" s="31">
        <v>0.34285714285714286</v>
      </c>
      <c r="F38" s="31">
        <v>0.2857142857142857</v>
      </c>
      <c r="G38" s="31">
        <v>0.32517482517482516</v>
      </c>
      <c r="H38" s="31">
        <v>0.16083916083916083</v>
      </c>
      <c r="I38" s="32">
        <v>8861.2903225806458</v>
      </c>
      <c r="J38" s="32">
        <v>-6536.95652173913</v>
      </c>
      <c r="K38" s="31">
        <v>2.8571428571428571E-2</v>
      </c>
      <c r="L38" s="31">
        <v>0.25874125874125875</v>
      </c>
      <c r="M38" s="31">
        <v>0.23076923076923078</v>
      </c>
      <c r="N38" s="31">
        <v>0.56756756756756754</v>
      </c>
      <c r="O38" s="31">
        <v>0.48484848484848486</v>
      </c>
      <c r="P38" s="31">
        <v>0.5053763440860215</v>
      </c>
    </row>
    <row r="39" spans="1:16" x14ac:dyDescent="0.45">
      <c r="A39" s="33">
        <v>36</v>
      </c>
      <c r="B39" s="30">
        <v>199.5</v>
      </c>
      <c r="C39" s="30">
        <v>5.541666666666667</v>
      </c>
      <c r="D39" s="35">
        <v>1.9444444444444444</v>
      </c>
      <c r="E39" s="31">
        <v>0.33333333333333331</v>
      </c>
      <c r="F39" s="31">
        <v>0.27777777777777779</v>
      </c>
      <c r="G39" s="31">
        <v>0.33105802047781568</v>
      </c>
      <c r="H39" s="31">
        <v>0.16382252559726962</v>
      </c>
      <c r="I39" s="32">
        <v>8650.5154639175253</v>
      </c>
      <c r="J39" s="32">
        <v>-6541.666666666667</v>
      </c>
      <c r="K39" s="31">
        <v>2.7777777777777776E-2</v>
      </c>
      <c r="L39" s="31">
        <v>0.25597269624573377</v>
      </c>
      <c r="M39" s="31">
        <v>0.23208191126279865</v>
      </c>
      <c r="N39" s="31">
        <v>0.57333333333333336</v>
      </c>
      <c r="O39" s="31">
        <v>0.48529411764705882</v>
      </c>
      <c r="P39" s="31">
        <v>0.49484536082474229</v>
      </c>
    </row>
    <row r="40" spans="1:16" x14ac:dyDescent="0.45">
      <c r="A40" s="33">
        <v>37</v>
      </c>
      <c r="B40" s="30">
        <v>162.6</v>
      </c>
      <c r="C40" s="30">
        <v>4.3945945945945946</v>
      </c>
      <c r="D40" s="35">
        <v>1.972972972972973</v>
      </c>
      <c r="E40" s="31">
        <v>0.32432432432432434</v>
      </c>
      <c r="F40" s="31">
        <v>0.29729729729729731</v>
      </c>
      <c r="G40" s="31">
        <v>0.32450331125827814</v>
      </c>
      <c r="H40" s="31">
        <v>0.16887417218543047</v>
      </c>
      <c r="I40" s="32">
        <v>8594.8979591836742</v>
      </c>
      <c r="J40" s="32">
        <v>-6562.7450980392159</v>
      </c>
      <c r="K40" s="31">
        <v>2.7027027027027029E-2</v>
      </c>
      <c r="L40" s="31">
        <v>0.25496688741721857</v>
      </c>
      <c r="M40" s="31">
        <v>0.2251655629139073</v>
      </c>
      <c r="N40" s="31">
        <v>0.5714285714285714</v>
      </c>
      <c r="O40" s="31">
        <v>0.48529411764705882</v>
      </c>
      <c r="P40" s="31">
        <v>0.48979591836734693</v>
      </c>
    </row>
    <row r="41" spans="1:16" x14ac:dyDescent="0.45">
      <c r="A41" s="33">
        <v>38</v>
      </c>
      <c r="B41" s="30">
        <v>116.89999999999999</v>
      </c>
      <c r="C41" s="30">
        <v>3.0763157894736839</v>
      </c>
      <c r="D41" s="35">
        <v>2</v>
      </c>
      <c r="E41" s="31">
        <v>0.31578947368421051</v>
      </c>
      <c r="F41" s="31">
        <v>0.31578947368421051</v>
      </c>
      <c r="G41" s="31">
        <v>0.31612903225806449</v>
      </c>
      <c r="H41" s="31">
        <v>0.17419354838709677</v>
      </c>
      <c r="I41" s="32">
        <v>8594.8979591836742</v>
      </c>
      <c r="J41" s="32">
        <v>-6344.4444444444443</v>
      </c>
      <c r="K41" s="31">
        <v>5.2631578947368418E-2</v>
      </c>
      <c r="L41" s="31">
        <v>0.24838709677419354</v>
      </c>
      <c r="M41" s="31">
        <v>0.22903225806451613</v>
      </c>
      <c r="N41" s="31">
        <v>0.5714285714285714</v>
      </c>
      <c r="O41" s="31">
        <v>0.46478873239436619</v>
      </c>
      <c r="P41" s="31">
        <v>0.48979591836734693</v>
      </c>
    </row>
    <row r="42" spans="1:16" x14ac:dyDescent="0.45">
      <c r="A42" s="33">
        <v>39</v>
      </c>
      <c r="B42" s="30">
        <v>89.299999999999983</v>
      </c>
      <c r="C42" s="30">
        <v>2.2897435897435892</v>
      </c>
      <c r="D42" s="35">
        <v>2.0256410256410255</v>
      </c>
      <c r="E42" s="31">
        <v>0.30769230769230771</v>
      </c>
      <c r="F42" s="31">
        <v>0.33333333333333331</v>
      </c>
      <c r="G42" s="31">
        <v>0.31347962382445144</v>
      </c>
      <c r="H42" s="31">
        <v>0.17554858934169279</v>
      </c>
      <c r="I42" s="32">
        <v>8583</v>
      </c>
      <c r="J42" s="32">
        <v>-6398.2142857142853</v>
      </c>
      <c r="K42" s="31">
        <v>5.128205128205128E-2</v>
      </c>
      <c r="L42" s="31">
        <v>0.2476489028213166</v>
      </c>
      <c r="M42" s="31">
        <v>0.22884012539184953</v>
      </c>
      <c r="N42" s="31">
        <v>0.58227848101265822</v>
      </c>
      <c r="O42" s="31">
        <v>0.45205479452054792</v>
      </c>
      <c r="P42" s="31">
        <v>0.49</v>
      </c>
    </row>
    <row r="43" spans="1:16" x14ac:dyDescent="0.45">
      <c r="A43" s="33">
        <v>40</v>
      </c>
      <c r="B43" s="30">
        <v>67.59999999999998</v>
      </c>
      <c r="C43" s="30">
        <v>1.6899999999999995</v>
      </c>
      <c r="D43" s="35">
        <v>2.0249999999999999</v>
      </c>
      <c r="E43" s="31">
        <v>0.3</v>
      </c>
      <c r="F43" s="31">
        <v>0.32500000000000001</v>
      </c>
      <c r="G43" s="31">
        <v>0.31269349845201239</v>
      </c>
      <c r="H43" s="31">
        <v>0.17337461300309598</v>
      </c>
      <c r="I43" s="32">
        <v>8536.6336633663359</v>
      </c>
      <c r="J43" s="32">
        <v>-6398.2142857142853</v>
      </c>
      <c r="K43" s="31">
        <v>0.05</v>
      </c>
      <c r="L43" s="31">
        <v>0.24458204334365324</v>
      </c>
      <c r="M43" s="31">
        <v>0.23529411764705882</v>
      </c>
      <c r="N43" s="31">
        <v>0.58227848101265822</v>
      </c>
      <c r="O43" s="31">
        <v>0.44736842105263158</v>
      </c>
      <c r="P43" s="31">
        <v>0.48514851485148514</v>
      </c>
    </row>
    <row r="44" spans="1:16" x14ac:dyDescent="0.45">
      <c r="A44" s="33">
        <v>41</v>
      </c>
      <c r="B44" s="30">
        <v>87.899999999999977</v>
      </c>
      <c r="C44" s="30">
        <v>2.1439024390243895</v>
      </c>
      <c r="D44" s="35">
        <v>2.024390243902439</v>
      </c>
      <c r="E44" s="31">
        <v>0.29268292682926828</v>
      </c>
      <c r="F44" s="31">
        <v>0.31707317073170732</v>
      </c>
      <c r="G44" s="31">
        <v>0.31325301204819278</v>
      </c>
      <c r="H44" s="31">
        <v>0.1716867469879518</v>
      </c>
      <c r="I44" s="32">
        <v>8609.6153846153848</v>
      </c>
      <c r="J44" s="32">
        <v>-6421.0526315789475</v>
      </c>
      <c r="K44" s="31">
        <v>4.878048780487805E-2</v>
      </c>
      <c r="L44" s="31">
        <v>0.25903614457831325</v>
      </c>
      <c r="M44" s="31">
        <v>0.2289156626506024</v>
      </c>
      <c r="N44" s="31">
        <v>0.56976744186046513</v>
      </c>
      <c r="O44" s="31">
        <v>0.44736842105263158</v>
      </c>
      <c r="P44" s="31">
        <v>0.47115384615384615</v>
      </c>
    </row>
    <row r="45" spans="1:16" x14ac:dyDescent="0.45">
      <c r="A45" s="33">
        <v>42</v>
      </c>
      <c r="B45" s="30">
        <v>66.899999999999977</v>
      </c>
      <c r="C45" s="30">
        <v>1.5928571428571423</v>
      </c>
      <c r="D45" s="35">
        <v>2.0238095238095237</v>
      </c>
      <c r="E45" s="31">
        <v>0.2857142857142857</v>
      </c>
      <c r="F45" s="31">
        <v>0.30952380952380953</v>
      </c>
      <c r="G45" s="31">
        <v>0.30724637681159422</v>
      </c>
      <c r="H45" s="31">
        <v>0.17101449275362318</v>
      </c>
      <c r="I45" s="32">
        <v>8598.1132075471705</v>
      </c>
      <c r="J45" s="32">
        <v>-6557.6271186440681</v>
      </c>
      <c r="K45" s="31">
        <v>4.7619047619047616E-2</v>
      </c>
      <c r="L45" s="31">
        <v>0.25507246376811593</v>
      </c>
      <c r="M45" s="31">
        <v>0.22898550724637681</v>
      </c>
      <c r="N45" s="31">
        <v>0.56818181818181823</v>
      </c>
      <c r="O45" s="31">
        <v>0.44303797468354428</v>
      </c>
      <c r="P45" s="31">
        <v>0.47169811320754718</v>
      </c>
    </row>
    <row r="46" spans="1:16" x14ac:dyDescent="0.45">
      <c r="A46" s="33">
        <v>43</v>
      </c>
      <c r="B46" s="30">
        <v>70.999999999999972</v>
      </c>
      <c r="C46" s="30">
        <v>1.6511627906976738</v>
      </c>
      <c r="D46" s="35">
        <v>2.0232558139534884</v>
      </c>
      <c r="E46" s="31">
        <v>0.27906976744186046</v>
      </c>
      <c r="F46" s="31">
        <v>0.30232558139534882</v>
      </c>
      <c r="G46" s="31">
        <v>0.30965909090909088</v>
      </c>
      <c r="H46" s="31">
        <v>0.17613636363636365</v>
      </c>
      <c r="I46" s="32">
        <v>8603.6697247706416</v>
      </c>
      <c r="J46" s="32">
        <v>-6527.4193548387093</v>
      </c>
      <c r="K46" s="31">
        <v>4.6511627906976744E-2</v>
      </c>
      <c r="L46" s="31">
        <v>0.25852272727272729</v>
      </c>
      <c r="M46" s="31">
        <v>0.22443181818181818</v>
      </c>
      <c r="N46" s="31">
        <v>0.5714285714285714</v>
      </c>
      <c r="O46" s="31">
        <v>0.44303797468354428</v>
      </c>
      <c r="P46" s="31">
        <v>0.46788990825688076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5F574-7687-4D17-95BF-14186DDFC98C}">
  <sheetPr codeName="Sheet6"/>
  <dimension ref="A1:Q58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139</v>
      </c>
      <c r="B1" s="34" t="s">
        <v>139</v>
      </c>
      <c r="C1" s="34" t="s">
        <v>139</v>
      </c>
      <c r="D1" s="35" t="s">
        <v>139</v>
      </c>
      <c r="E1" s="34" t="s">
        <v>139</v>
      </c>
      <c r="F1" s="34" t="s">
        <v>139</v>
      </c>
      <c r="G1" s="34" t="s">
        <v>139</v>
      </c>
      <c r="H1" s="34" t="s">
        <v>139</v>
      </c>
      <c r="I1" s="34" t="s">
        <v>139</v>
      </c>
      <c r="J1" s="34" t="s">
        <v>139</v>
      </c>
      <c r="K1" s="34" t="s">
        <v>139</v>
      </c>
      <c r="L1" s="34" t="s">
        <v>139</v>
      </c>
      <c r="M1" s="34" t="s">
        <v>139</v>
      </c>
      <c r="N1" s="34" t="s">
        <v>139</v>
      </c>
      <c r="O1" s="34" t="s">
        <v>139</v>
      </c>
      <c r="P1" s="34" t="s">
        <v>139</v>
      </c>
      <c r="Q1" s="34" t="s">
        <v>139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-1.7763568394002505E-15</v>
      </c>
      <c r="C4" s="30">
        <v>-5.9211894646675012E-16</v>
      </c>
      <c r="D4" s="35">
        <v>2</v>
      </c>
      <c r="E4" s="31">
        <v>0.33333333333333331</v>
      </c>
      <c r="F4" s="31">
        <v>0.33333333333333331</v>
      </c>
      <c r="G4" s="31">
        <v>0.33333333333333331</v>
      </c>
      <c r="H4" s="31">
        <v>0.1111111111111111</v>
      </c>
      <c r="I4" s="32">
        <v>9055.5555555555547</v>
      </c>
      <c r="J4" s="32">
        <v>-7966.666666666667</v>
      </c>
      <c r="K4" s="31">
        <v>0</v>
      </c>
      <c r="L4" s="31">
        <v>0.22222222222222221</v>
      </c>
      <c r="M4" s="31">
        <v>0.29629629629629628</v>
      </c>
      <c r="N4" s="31">
        <v>0.5</v>
      </c>
      <c r="O4" s="31">
        <v>0.625</v>
      </c>
      <c r="P4" s="31">
        <v>0.66666666666666663</v>
      </c>
    </row>
    <row r="5" spans="1:17" x14ac:dyDescent="0.45">
      <c r="A5" s="33">
        <v>2</v>
      </c>
      <c r="B5" s="30">
        <v>-7.1054273576010019E-15</v>
      </c>
      <c r="C5" s="30">
        <v>-1.1842378929335002E-15</v>
      </c>
      <c r="D5" s="35">
        <v>2</v>
      </c>
      <c r="E5" s="31">
        <v>0.33333333333333331</v>
      </c>
      <c r="F5" s="31">
        <v>0.33333333333333331</v>
      </c>
      <c r="G5" s="31">
        <v>0.31372549019607843</v>
      </c>
      <c r="H5" s="31">
        <v>0.13725490196078433</v>
      </c>
      <c r="I5" s="32">
        <v>11043.75</v>
      </c>
      <c r="J5" s="32">
        <v>-13928.571428571429</v>
      </c>
      <c r="K5" s="31">
        <v>0.16666666666666666</v>
      </c>
      <c r="L5" s="31">
        <v>0.25490196078431371</v>
      </c>
      <c r="M5" s="31">
        <v>0.31372549019607843</v>
      </c>
      <c r="N5" s="31">
        <v>0.38461538461538464</v>
      </c>
      <c r="O5" s="31">
        <v>0.5625</v>
      </c>
      <c r="P5" s="31">
        <v>0.5625</v>
      </c>
    </row>
    <row r="6" spans="1:17" x14ac:dyDescent="0.45">
      <c r="A6" s="33">
        <v>3</v>
      </c>
      <c r="B6" s="30">
        <v>-7.1054273576010019E-15</v>
      </c>
      <c r="C6" s="30">
        <v>-7.894919286223335E-16</v>
      </c>
      <c r="D6" s="35">
        <v>2</v>
      </c>
      <c r="E6" s="31">
        <v>0.33333333333333331</v>
      </c>
      <c r="F6" s="31">
        <v>0.33333333333333331</v>
      </c>
      <c r="G6" s="31">
        <v>0.2839506172839506</v>
      </c>
      <c r="H6" s="31">
        <v>0.1111111111111111</v>
      </c>
      <c r="I6" s="32">
        <v>10095.652173913044</v>
      </c>
      <c r="J6" s="32">
        <v>-12122.222222222223</v>
      </c>
      <c r="K6" s="31">
        <v>0.1111111111111111</v>
      </c>
      <c r="L6" s="31">
        <v>0.2839506172839506</v>
      </c>
      <c r="M6" s="31">
        <v>0.25925925925925924</v>
      </c>
      <c r="N6" s="31">
        <v>0.39130434782608697</v>
      </c>
      <c r="O6" s="31">
        <v>0.5714285714285714</v>
      </c>
      <c r="P6" s="31">
        <v>0.60869565217391308</v>
      </c>
    </row>
    <row r="7" spans="1:17" x14ac:dyDescent="0.45">
      <c r="A7" s="33">
        <v>4</v>
      </c>
      <c r="B7" s="30">
        <v>-7.1054273576010019E-15</v>
      </c>
      <c r="C7" s="30">
        <v>-5.9211894646675012E-16</v>
      </c>
      <c r="D7" s="35">
        <v>2</v>
      </c>
      <c r="E7" s="31">
        <v>0.33333333333333331</v>
      </c>
      <c r="F7" s="31">
        <v>0.33333333333333331</v>
      </c>
      <c r="G7" s="31">
        <v>0.28282828282828282</v>
      </c>
      <c r="H7" s="31">
        <v>0.1111111111111111</v>
      </c>
      <c r="I7" s="32">
        <v>9639.2857142857138</v>
      </c>
      <c r="J7" s="32">
        <v>-10800</v>
      </c>
      <c r="K7" s="31">
        <v>8.3333333333333329E-2</v>
      </c>
      <c r="L7" s="31">
        <v>0.27272727272727271</v>
      </c>
      <c r="M7" s="31">
        <v>0.23232323232323232</v>
      </c>
      <c r="N7" s="31">
        <v>0.44444444444444442</v>
      </c>
      <c r="O7" s="31">
        <v>0.52173913043478259</v>
      </c>
      <c r="P7" s="31">
        <v>0.6071428571428571</v>
      </c>
    </row>
    <row r="8" spans="1:17" x14ac:dyDescent="0.45">
      <c r="A8" s="33">
        <v>5</v>
      </c>
      <c r="B8" s="30">
        <v>-7.1054273576010019E-15</v>
      </c>
      <c r="C8" s="30">
        <v>-4.7369515717340012E-16</v>
      </c>
      <c r="D8" s="35">
        <v>2</v>
      </c>
      <c r="E8" s="31">
        <v>0.33333333333333331</v>
      </c>
      <c r="F8" s="31">
        <v>0.33333333333333331</v>
      </c>
      <c r="G8" s="31">
        <v>0.27192982456140352</v>
      </c>
      <c r="H8" s="31">
        <v>0.11403508771929824</v>
      </c>
      <c r="I8" s="32">
        <v>9867.7419354838712</v>
      </c>
      <c r="J8" s="32">
        <v>-10984.615384615385</v>
      </c>
      <c r="K8" s="31">
        <v>0.13333333333333333</v>
      </c>
      <c r="L8" s="31">
        <v>0.24561403508771928</v>
      </c>
      <c r="M8" s="31">
        <v>0.24561403508771928</v>
      </c>
      <c r="N8" s="31">
        <v>0.42857142857142855</v>
      </c>
      <c r="O8" s="31">
        <v>0.5</v>
      </c>
      <c r="P8" s="31">
        <v>0.58064516129032262</v>
      </c>
    </row>
    <row r="9" spans="1:17" x14ac:dyDescent="0.45">
      <c r="A9" s="33">
        <v>6</v>
      </c>
      <c r="B9" s="30">
        <v>-7.1054273576010019E-15</v>
      </c>
      <c r="C9" s="30">
        <v>-3.9474596431116675E-16</v>
      </c>
      <c r="D9" s="35">
        <v>2</v>
      </c>
      <c r="E9" s="31">
        <v>0.33333333333333331</v>
      </c>
      <c r="F9" s="31">
        <v>0.33333333333333331</v>
      </c>
      <c r="G9" s="31">
        <v>0.26811594202898553</v>
      </c>
      <c r="H9" s="31">
        <v>0.13043478260869565</v>
      </c>
      <c r="I9" s="32">
        <v>8975.6756756756749</v>
      </c>
      <c r="J9" s="32">
        <v>-9222.2222222222226</v>
      </c>
      <c r="K9" s="31">
        <v>0.1111111111111111</v>
      </c>
      <c r="L9" s="31">
        <v>0.22463768115942029</v>
      </c>
      <c r="M9" s="31">
        <v>0.26811594202898553</v>
      </c>
      <c r="N9" s="31">
        <v>0.38709677419354838</v>
      </c>
      <c r="O9" s="31">
        <v>0.48648648648648651</v>
      </c>
      <c r="P9" s="31">
        <v>0.51351351351351349</v>
      </c>
    </row>
    <row r="10" spans="1:17" x14ac:dyDescent="0.45">
      <c r="A10" s="33">
        <v>7</v>
      </c>
      <c r="B10" s="30">
        <v>-7.1054273576010019E-15</v>
      </c>
      <c r="C10" s="30">
        <v>-3.3835368369528578E-16</v>
      </c>
      <c r="D10" s="35">
        <v>2</v>
      </c>
      <c r="E10" s="31">
        <v>0.33333333333333331</v>
      </c>
      <c r="F10" s="31">
        <v>0.33333333333333331</v>
      </c>
      <c r="G10" s="31">
        <v>0.27485380116959063</v>
      </c>
      <c r="H10" s="31">
        <v>0.12280701754385964</v>
      </c>
      <c r="I10" s="32">
        <v>8646.8085106382987</v>
      </c>
      <c r="J10" s="32">
        <v>-9028.5714285714294</v>
      </c>
      <c r="K10" s="31">
        <v>9.5238095238095233E-2</v>
      </c>
      <c r="L10" s="31">
        <v>0.24561403508771928</v>
      </c>
      <c r="M10" s="31">
        <v>0.25146198830409355</v>
      </c>
      <c r="N10" s="31">
        <v>0.42857142857142855</v>
      </c>
      <c r="O10" s="31">
        <v>0.48837209302325579</v>
      </c>
      <c r="P10" s="31">
        <v>0.55319148936170215</v>
      </c>
    </row>
    <row r="11" spans="1:17" x14ac:dyDescent="0.45">
      <c r="A11" s="33">
        <v>8</v>
      </c>
      <c r="B11" s="30">
        <v>-7.1054273576010019E-15</v>
      </c>
      <c r="C11" s="30">
        <v>-2.9605947323337506E-16</v>
      </c>
      <c r="D11" s="35">
        <v>2</v>
      </c>
      <c r="E11" s="31">
        <v>0.33333333333333331</v>
      </c>
      <c r="F11" s="31">
        <v>0.33333333333333331</v>
      </c>
      <c r="G11" s="31">
        <v>0.26760563380281688</v>
      </c>
      <c r="H11" s="31">
        <v>0.13615023474178403</v>
      </c>
      <c r="I11" s="32">
        <v>8559.6491228070172</v>
      </c>
      <c r="J11" s="32">
        <v>-8727.5862068965525</v>
      </c>
      <c r="K11" s="31">
        <v>8.3333333333333329E-2</v>
      </c>
      <c r="L11" s="31">
        <v>0.26291079812206575</v>
      </c>
      <c r="M11" s="31">
        <v>0.23474178403755869</v>
      </c>
      <c r="N11" s="31">
        <v>0.42857142857142855</v>
      </c>
      <c r="O11" s="31">
        <v>0.5</v>
      </c>
      <c r="P11" s="31">
        <v>0.49122807017543857</v>
      </c>
    </row>
    <row r="12" spans="1:17" x14ac:dyDescent="0.45">
      <c r="A12" s="33">
        <v>9</v>
      </c>
      <c r="B12" s="30">
        <v>-7.1054273576010019E-15</v>
      </c>
      <c r="C12" s="30">
        <v>-2.631639762074445E-16</v>
      </c>
      <c r="D12" s="35">
        <v>2</v>
      </c>
      <c r="E12" s="31">
        <v>0.33333333333333331</v>
      </c>
      <c r="F12" s="31">
        <v>0.33333333333333331</v>
      </c>
      <c r="G12" s="31">
        <v>0.27027027027027029</v>
      </c>
      <c r="H12" s="31">
        <v>0.14414414414414414</v>
      </c>
      <c r="I12" s="32">
        <v>8548.3333333333339</v>
      </c>
      <c r="J12" s="32">
        <v>-8690.625</v>
      </c>
      <c r="K12" s="31">
        <v>7.407407407407407E-2</v>
      </c>
      <c r="L12" s="31">
        <v>0.26126126126126126</v>
      </c>
      <c r="M12" s="31">
        <v>0.23423423423423423</v>
      </c>
      <c r="N12" s="31">
        <v>0.43103448275862066</v>
      </c>
      <c r="O12" s="31">
        <v>0.51923076923076927</v>
      </c>
      <c r="P12" s="31">
        <v>0.46666666666666667</v>
      </c>
    </row>
    <row r="13" spans="1:17" x14ac:dyDescent="0.45">
      <c r="A13" s="33">
        <v>10</v>
      </c>
      <c r="B13" s="30">
        <v>-8.4376949871511897E-15</v>
      </c>
      <c r="C13" s="30">
        <v>-2.8125649957170631E-16</v>
      </c>
      <c r="D13" s="35">
        <v>2</v>
      </c>
      <c r="E13" s="31">
        <v>0.33333333333333331</v>
      </c>
      <c r="F13" s="31">
        <v>0.33333333333333331</v>
      </c>
      <c r="G13" s="31">
        <v>0.26666666666666666</v>
      </c>
      <c r="H13" s="31">
        <v>0.14117647058823529</v>
      </c>
      <c r="I13" s="32">
        <v>8660.2941176470595</v>
      </c>
      <c r="J13" s="32">
        <v>-9052.7777777777774</v>
      </c>
      <c r="K13" s="31">
        <v>6.6666666666666666E-2</v>
      </c>
      <c r="L13" s="31">
        <v>0.2627450980392157</v>
      </c>
      <c r="M13" s="31">
        <v>0.24705882352941178</v>
      </c>
      <c r="N13" s="31">
        <v>0.38805970149253732</v>
      </c>
      <c r="O13" s="31">
        <v>0.49206349206349204</v>
      </c>
      <c r="P13" s="31">
        <v>0.47058823529411764</v>
      </c>
    </row>
    <row r="14" spans="1:17" x14ac:dyDescent="0.45">
      <c r="A14" s="33">
        <v>11</v>
      </c>
      <c r="B14" s="30">
        <v>0</v>
      </c>
      <c r="C14" s="30">
        <v>0</v>
      </c>
      <c r="D14" s="35">
        <v>2</v>
      </c>
      <c r="E14" s="31">
        <v>0.33333333333333331</v>
      </c>
      <c r="F14" s="31">
        <v>0.33333333333333331</v>
      </c>
      <c r="G14" s="31">
        <v>0.27173913043478259</v>
      </c>
      <c r="H14" s="31">
        <v>0.14492753623188406</v>
      </c>
      <c r="I14" s="32">
        <v>8710.6666666666661</v>
      </c>
      <c r="J14" s="32">
        <v>-8977.5</v>
      </c>
      <c r="K14" s="31">
        <v>6.0606060606060608E-2</v>
      </c>
      <c r="L14" s="31">
        <v>0.26811594202898553</v>
      </c>
      <c r="M14" s="31">
        <v>0.24275362318840579</v>
      </c>
      <c r="N14" s="31">
        <v>0.40540540540540543</v>
      </c>
      <c r="O14" s="31">
        <v>0.47761194029850745</v>
      </c>
      <c r="P14" s="31">
        <v>0.46666666666666667</v>
      </c>
    </row>
    <row r="15" spans="1:17" x14ac:dyDescent="0.45">
      <c r="A15" s="33">
        <v>12</v>
      </c>
      <c r="B15" s="30">
        <v>3.5527136788005009E-15</v>
      </c>
      <c r="C15" s="30">
        <v>9.8686491077791687E-17</v>
      </c>
      <c r="D15" s="35">
        <v>2</v>
      </c>
      <c r="E15" s="31">
        <v>0.33333333333333331</v>
      </c>
      <c r="F15" s="31">
        <v>0.33333333333333331</v>
      </c>
      <c r="G15" s="31">
        <v>0.27392739273927391</v>
      </c>
      <c r="H15" s="31">
        <v>0.15181518151815182</v>
      </c>
      <c r="I15" s="32">
        <v>8573.4939759036151</v>
      </c>
      <c r="J15" s="32">
        <v>-8908.6956521739139</v>
      </c>
      <c r="K15" s="31">
        <v>8.3333333333333329E-2</v>
      </c>
      <c r="L15" s="31">
        <v>0.264026402640264</v>
      </c>
      <c r="M15" s="31">
        <v>0.24422442244224424</v>
      </c>
      <c r="N15" s="31">
        <v>0.38750000000000001</v>
      </c>
      <c r="O15" s="31">
        <v>0.48648648648648651</v>
      </c>
      <c r="P15" s="31">
        <v>0.44578313253012047</v>
      </c>
    </row>
    <row r="16" spans="1:17" x14ac:dyDescent="0.45">
      <c r="A16" s="33">
        <v>13</v>
      </c>
      <c r="B16" s="30">
        <v>1.0658141036401503E-14</v>
      </c>
      <c r="C16" s="30">
        <v>2.7328566760003855E-16</v>
      </c>
      <c r="D16" s="35">
        <v>2</v>
      </c>
      <c r="E16" s="31">
        <v>0.33333333333333331</v>
      </c>
      <c r="F16" s="31">
        <v>0.33333333333333331</v>
      </c>
      <c r="G16" s="31">
        <v>0.27725856697819312</v>
      </c>
      <c r="H16" s="31">
        <v>0.14641744548286603</v>
      </c>
      <c r="I16" s="32">
        <v>8215.7303370786522</v>
      </c>
      <c r="J16" s="32">
        <v>-8882.978723404256</v>
      </c>
      <c r="K16" s="31">
        <v>7.6923076923076927E-2</v>
      </c>
      <c r="L16" s="31">
        <v>0.25856697819314639</v>
      </c>
      <c r="M16" s="31">
        <v>0.24610591900311526</v>
      </c>
      <c r="N16" s="31">
        <v>0.40963855421686746</v>
      </c>
      <c r="O16" s="31">
        <v>0.48101265822784811</v>
      </c>
      <c r="P16" s="31">
        <v>0.47191011235955055</v>
      </c>
    </row>
    <row r="17" spans="1:16" x14ac:dyDescent="0.45">
      <c r="A17" s="33">
        <v>14</v>
      </c>
      <c r="B17" s="30">
        <v>1.0658141036401503E-14</v>
      </c>
      <c r="C17" s="30">
        <v>2.5376526277146434E-16</v>
      </c>
      <c r="D17" s="35">
        <v>2</v>
      </c>
      <c r="E17" s="31">
        <v>0.33333333333333331</v>
      </c>
      <c r="F17" s="31">
        <v>0.33333333333333331</v>
      </c>
      <c r="G17" s="31">
        <v>0.27536231884057971</v>
      </c>
      <c r="H17" s="31">
        <v>0.14782608695652175</v>
      </c>
      <c r="I17" s="32">
        <v>8114.7368421052633</v>
      </c>
      <c r="J17" s="32">
        <v>-8688.2352941176468</v>
      </c>
      <c r="K17" s="31">
        <v>7.1428571428571425E-2</v>
      </c>
      <c r="L17" s="31">
        <v>0.24927536231884059</v>
      </c>
      <c r="M17" s="31">
        <v>0.24347826086956523</v>
      </c>
      <c r="N17" s="31">
        <v>0.43023255813953487</v>
      </c>
      <c r="O17" s="31">
        <v>0.47619047619047616</v>
      </c>
      <c r="P17" s="31">
        <v>0.4631578947368421</v>
      </c>
    </row>
    <row r="18" spans="1:16" x14ac:dyDescent="0.45">
      <c r="A18" s="33">
        <v>15</v>
      </c>
      <c r="B18" s="30">
        <v>8.8817841970012523E-15</v>
      </c>
      <c r="C18" s="30">
        <v>1.9737298215558337E-16</v>
      </c>
      <c r="D18" s="35">
        <v>2</v>
      </c>
      <c r="E18" s="31">
        <v>0.33333333333333331</v>
      </c>
      <c r="F18" s="31">
        <v>0.33333333333333331</v>
      </c>
      <c r="G18" s="31">
        <v>0.27604166666666669</v>
      </c>
      <c r="H18" s="31">
        <v>0.15104166666666666</v>
      </c>
      <c r="I18" s="32">
        <v>7958.4905660377362</v>
      </c>
      <c r="J18" s="32">
        <v>-8339.6551724137935</v>
      </c>
      <c r="K18" s="31">
        <v>6.6666666666666666E-2</v>
      </c>
      <c r="L18" s="31">
        <v>0.25260416666666669</v>
      </c>
      <c r="M18" s="31">
        <v>0.25</v>
      </c>
      <c r="N18" s="31">
        <v>0.44329896907216493</v>
      </c>
      <c r="O18" s="31">
        <v>0.45833333333333331</v>
      </c>
      <c r="P18" s="31">
        <v>0.45283018867924529</v>
      </c>
    </row>
    <row r="19" spans="1:16" x14ac:dyDescent="0.45">
      <c r="A19" s="33">
        <v>16</v>
      </c>
      <c r="B19" s="30">
        <v>7.1054273576010019E-15</v>
      </c>
      <c r="C19" s="30">
        <v>1.4802973661668753E-16</v>
      </c>
      <c r="D19" s="35">
        <v>2</v>
      </c>
      <c r="E19" s="31">
        <v>0.33333333333333331</v>
      </c>
      <c r="F19" s="31">
        <v>0.33333333333333331</v>
      </c>
      <c r="G19" s="31">
        <v>0.27860696517412936</v>
      </c>
      <c r="H19" s="31">
        <v>0.15174129353233831</v>
      </c>
      <c r="I19" s="32">
        <v>8041.0714285714284</v>
      </c>
      <c r="J19" s="32">
        <v>-8519.6721311475412</v>
      </c>
      <c r="K19" s="31">
        <v>8.3333333333333329E-2</v>
      </c>
      <c r="L19" s="31">
        <v>0.25124378109452739</v>
      </c>
      <c r="M19" s="31">
        <v>0.2462686567164179</v>
      </c>
      <c r="N19" s="31">
        <v>0.45544554455445546</v>
      </c>
      <c r="O19" s="31">
        <v>0.46464646464646464</v>
      </c>
      <c r="P19" s="31">
        <v>0.45535714285714285</v>
      </c>
    </row>
    <row r="20" spans="1:16" x14ac:dyDescent="0.45">
      <c r="A20" s="33">
        <v>17</v>
      </c>
      <c r="B20" s="30">
        <v>1.0658141036401503E-14</v>
      </c>
      <c r="C20" s="30">
        <v>2.0898315757650005E-16</v>
      </c>
      <c r="D20" s="35">
        <v>2</v>
      </c>
      <c r="E20" s="31">
        <v>0.33333333333333331</v>
      </c>
      <c r="F20" s="31">
        <v>0.33333333333333331</v>
      </c>
      <c r="G20" s="31">
        <v>0.28240740740740738</v>
      </c>
      <c r="H20" s="31">
        <v>0.15277777777777779</v>
      </c>
      <c r="I20" s="32">
        <v>8084.4262295081971</v>
      </c>
      <c r="J20" s="32">
        <v>-8490.9090909090901</v>
      </c>
      <c r="K20" s="31">
        <v>7.8431372549019607E-2</v>
      </c>
      <c r="L20" s="31">
        <v>0.25231481481481483</v>
      </c>
      <c r="M20" s="31">
        <v>0.25462962962962965</v>
      </c>
      <c r="N20" s="31">
        <v>0.44954128440366975</v>
      </c>
      <c r="O20" s="31">
        <v>0.45454545454545453</v>
      </c>
      <c r="P20" s="31">
        <v>0.45901639344262296</v>
      </c>
    </row>
    <row r="21" spans="1:16" x14ac:dyDescent="0.45">
      <c r="A21" s="33">
        <v>18</v>
      </c>
      <c r="B21" s="30">
        <v>1.0658141036401503E-14</v>
      </c>
      <c r="C21" s="30">
        <v>1.9737298215558337E-16</v>
      </c>
      <c r="D21" s="35">
        <v>2</v>
      </c>
      <c r="E21" s="31">
        <v>0.33333333333333331</v>
      </c>
      <c r="F21" s="31">
        <v>0.33333333333333331</v>
      </c>
      <c r="G21" s="31">
        <v>0.28354978354978355</v>
      </c>
      <c r="H21" s="31">
        <v>0.14935064935064934</v>
      </c>
      <c r="I21" s="32">
        <v>8060.3053435114507</v>
      </c>
      <c r="J21" s="32">
        <v>-8513.04347826087</v>
      </c>
      <c r="K21" s="31">
        <v>7.407407407407407E-2</v>
      </c>
      <c r="L21" s="31">
        <v>0.25108225108225107</v>
      </c>
      <c r="M21" s="31">
        <v>0.24675324675324675</v>
      </c>
      <c r="N21" s="31">
        <v>0.45689655172413796</v>
      </c>
      <c r="O21" s="31">
        <v>0.45614035087719296</v>
      </c>
      <c r="P21" s="31">
        <v>0.47328244274809161</v>
      </c>
    </row>
    <row r="22" spans="1:16" x14ac:dyDescent="0.45">
      <c r="A22" s="33">
        <v>19</v>
      </c>
      <c r="B22" s="30">
        <v>1.0658141036401503E-14</v>
      </c>
      <c r="C22" s="30">
        <v>1.8698493046318425E-16</v>
      </c>
      <c r="D22" s="35">
        <v>2</v>
      </c>
      <c r="E22" s="31">
        <v>0.33333333333333331</v>
      </c>
      <c r="F22" s="31">
        <v>0.33333333333333331</v>
      </c>
      <c r="G22" s="31">
        <v>0.2839506172839506</v>
      </c>
      <c r="H22" s="31">
        <v>0.15020576131687244</v>
      </c>
      <c r="I22" s="32">
        <v>8098.550724637681</v>
      </c>
      <c r="J22" s="32">
        <v>-8408.2191780821922</v>
      </c>
      <c r="K22" s="31">
        <v>7.0175438596491224E-2</v>
      </c>
      <c r="L22" s="31">
        <v>0.25102880658436216</v>
      </c>
      <c r="M22" s="31">
        <v>0.24074074074074073</v>
      </c>
      <c r="N22" s="31">
        <v>0.46721311475409838</v>
      </c>
      <c r="O22" s="31">
        <v>0.46153846153846156</v>
      </c>
      <c r="P22" s="31">
        <v>0.47101449275362317</v>
      </c>
    </row>
    <row r="23" spans="1:16" x14ac:dyDescent="0.45">
      <c r="A23" s="33">
        <v>20</v>
      </c>
      <c r="B23" s="30">
        <v>1.2434497875801753E-14</v>
      </c>
      <c r="C23" s="30">
        <v>2.0724163126336256E-16</v>
      </c>
      <c r="D23" s="35">
        <v>2</v>
      </c>
      <c r="E23" s="31">
        <v>0.33333333333333331</v>
      </c>
      <c r="F23" s="31">
        <v>0.33333333333333331</v>
      </c>
      <c r="G23" s="31">
        <v>0.28599605522682447</v>
      </c>
      <c r="H23" s="31">
        <v>0.14990138067061143</v>
      </c>
      <c r="I23" s="32">
        <v>8136.5517241379312</v>
      </c>
      <c r="J23" s="32">
        <v>-8384.21052631579</v>
      </c>
      <c r="K23" s="31">
        <v>6.6666666666666666E-2</v>
      </c>
      <c r="L23" s="31">
        <v>0.25246548323471402</v>
      </c>
      <c r="M23" s="31">
        <v>0.2465483234714004</v>
      </c>
      <c r="N23" s="31">
        <v>0.4765625</v>
      </c>
      <c r="O23" s="31">
        <v>0.45600000000000002</v>
      </c>
      <c r="P23" s="31">
        <v>0.47586206896551725</v>
      </c>
    </row>
    <row r="24" spans="1:16" x14ac:dyDescent="0.45">
      <c r="A24" s="33">
        <v>21</v>
      </c>
      <c r="B24" s="30">
        <v>1.4210854715202004E-14</v>
      </c>
      <c r="C24" s="30">
        <v>2.2556912246352386E-16</v>
      </c>
      <c r="D24" s="35">
        <v>2</v>
      </c>
      <c r="E24" s="31">
        <v>0.33333333333333331</v>
      </c>
      <c r="F24" s="31">
        <v>0.33333333333333331</v>
      </c>
      <c r="G24" s="31">
        <v>0.28598484848484851</v>
      </c>
      <c r="H24" s="31">
        <v>0.14772727272727273</v>
      </c>
      <c r="I24" s="32">
        <v>8067.5496688741723</v>
      </c>
      <c r="J24" s="32">
        <v>-8216.6666666666661</v>
      </c>
      <c r="K24" s="31">
        <v>6.3492063492063489E-2</v>
      </c>
      <c r="L24" s="31">
        <v>0.24810606060606061</v>
      </c>
      <c r="M24" s="31">
        <v>0.24242424242424243</v>
      </c>
      <c r="N24" s="31">
        <v>0.48854961832061067</v>
      </c>
      <c r="O24" s="31">
        <v>0.4453125</v>
      </c>
      <c r="P24" s="31">
        <v>0.48344370860927155</v>
      </c>
    </row>
    <row r="25" spans="1:16" x14ac:dyDescent="0.45">
      <c r="A25" s="33">
        <v>22</v>
      </c>
      <c r="B25" s="30">
        <v>7.1054273576010019E-15</v>
      </c>
      <c r="C25" s="30">
        <v>1.0765799026668185E-16</v>
      </c>
      <c r="D25" s="35">
        <v>2</v>
      </c>
      <c r="E25" s="31">
        <v>0.33333333333333331</v>
      </c>
      <c r="F25" s="31">
        <v>0.33333333333333331</v>
      </c>
      <c r="G25" s="31">
        <v>0.28779599271402551</v>
      </c>
      <c r="H25" s="31">
        <v>0.151183970856102</v>
      </c>
      <c r="I25" s="32">
        <v>8136.7088607594933</v>
      </c>
      <c r="J25" s="32">
        <v>-8244.5783132530123</v>
      </c>
      <c r="K25" s="31">
        <v>6.0606060606060608E-2</v>
      </c>
      <c r="L25" s="31">
        <v>0.24590163934426229</v>
      </c>
      <c r="M25" s="31">
        <v>0.24043715846994534</v>
      </c>
      <c r="N25" s="31">
        <v>0.49629629629629629</v>
      </c>
      <c r="O25" s="31">
        <v>0.43939393939393939</v>
      </c>
      <c r="P25" s="31">
        <v>0.47468354430379744</v>
      </c>
    </row>
    <row r="26" spans="1:16" x14ac:dyDescent="0.45">
      <c r="A26" s="33">
        <v>23</v>
      </c>
      <c r="B26" s="30">
        <v>1.0658141036401503E-14</v>
      </c>
      <c r="C26" s="30">
        <v>1.5446581212176091E-16</v>
      </c>
      <c r="D26" s="35">
        <v>2</v>
      </c>
      <c r="E26" s="31">
        <v>0.33333333333333331</v>
      </c>
      <c r="F26" s="31">
        <v>0.33333333333333331</v>
      </c>
      <c r="G26" s="31">
        <v>0.2874779541446208</v>
      </c>
      <c r="H26" s="31">
        <v>0.15167548500881833</v>
      </c>
      <c r="I26" s="32">
        <v>8095.0920245398775</v>
      </c>
      <c r="J26" s="32">
        <v>-8122.0930232558139</v>
      </c>
      <c r="K26" s="31">
        <v>5.7971014492753624E-2</v>
      </c>
      <c r="L26" s="31">
        <v>0.24514991181657847</v>
      </c>
      <c r="M26" s="31">
        <v>0.24514991181657847</v>
      </c>
      <c r="N26" s="31">
        <v>0.49640287769784175</v>
      </c>
      <c r="O26" s="31">
        <v>0.43884892086330934</v>
      </c>
      <c r="P26" s="31">
        <v>0.47239263803680981</v>
      </c>
    </row>
    <row r="27" spans="1:16" x14ac:dyDescent="0.45">
      <c r="A27" s="33">
        <v>24</v>
      </c>
      <c r="B27" s="30">
        <v>1.4210854715202004E-14</v>
      </c>
      <c r="C27" s="30">
        <v>1.9737298215558337E-16</v>
      </c>
      <c r="D27" s="35">
        <v>2</v>
      </c>
      <c r="E27" s="31">
        <v>0.33333333333333331</v>
      </c>
      <c r="F27" s="31">
        <v>0.33333333333333331</v>
      </c>
      <c r="G27" s="31">
        <v>0.28888888888888886</v>
      </c>
      <c r="H27" s="31">
        <v>0.15555555555555556</v>
      </c>
      <c r="I27" s="32">
        <v>8118.3431952662722</v>
      </c>
      <c r="J27" s="32">
        <v>-7989.0109890109889</v>
      </c>
      <c r="K27" s="31">
        <v>5.5555555555555552E-2</v>
      </c>
      <c r="L27" s="31">
        <v>0.24957264957264957</v>
      </c>
      <c r="M27" s="31">
        <v>0.24444444444444444</v>
      </c>
      <c r="N27" s="31">
        <v>0.49315068493150682</v>
      </c>
      <c r="O27" s="31">
        <v>0.44055944055944057</v>
      </c>
      <c r="P27" s="31">
        <v>0.46153846153846156</v>
      </c>
    </row>
    <row r="28" spans="1:16" x14ac:dyDescent="0.45">
      <c r="A28" s="33">
        <v>25</v>
      </c>
      <c r="B28" s="30">
        <v>1.4210854715202004E-14</v>
      </c>
      <c r="C28" s="30">
        <v>1.8947806286936006E-16</v>
      </c>
      <c r="D28" s="35">
        <v>2</v>
      </c>
      <c r="E28" s="31">
        <v>0.33333333333333331</v>
      </c>
      <c r="F28" s="31">
        <v>0.33333333333333331</v>
      </c>
      <c r="G28" s="31">
        <v>0.29146537842190018</v>
      </c>
      <c r="H28" s="31">
        <v>0.14975845410628019</v>
      </c>
      <c r="I28" s="32">
        <v>8153.5911602209944</v>
      </c>
      <c r="J28" s="32">
        <v>-7977.4193548387093</v>
      </c>
      <c r="K28" s="31">
        <v>5.3333333333333337E-2</v>
      </c>
      <c r="L28" s="31">
        <v>0.25120772946859904</v>
      </c>
      <c r="M28" s="31">
        <v>0.23832528180354268</v>
      </c>
      <c r="N28" s="31">
        <v>0.49358974358974361</v>
      </c>
      <c r="O28" s="31">
        <v>0.44594594594594594</v>
      </c>
      <c r="P28" s="31">
        <v>0.48618784530386738</v>
      </c>
    </row>
    <row r="29" spans="1:16" x14ac:dyDescent="0.45">
      <c r="A29" s="33">
        <v>26</v>
      </c>
      <c r="B29" s="30">
        <v>1.4210854715202004E-14</v>
      </c>
      <c r="C29" s="30">
        <v>1.8219044506669235E-16</v>
      </c>
      <c r="D29" s="35">
        <v>2</v>
      </c>
      <c r="E29" s="31">
        <v>0.33333333333333331</v>
      </c>
      <c r="F29" s="31">
        <v>0.33333333333333331</v>
      </c>
      <c r="G29" s="31">
        <v>0.29357798165137616</v>
      </c>
      <c r="H29" s="31">
        <v>0.14984709480122324</v>
      </c>
      <c r="I29" s="32">
        <v>7996.875</v>
      </c>
      <c r="J29" s="32">
        <v>-7895.9183673469388</v>
      </c>
      <c r="K29" s="31">
        <v>5.128205128205128E-2</v>
      </c>
      <c r="L29" s="31">
        <v>0.2492354740061162</v>
      </c>
      <c r="M29" s="31">
        <v>0.2400611620795107</v>
      </c>
      <c r="N29" s="31">
        <v>0.49079754601226994</v>
      </c>
      <c r="O29" s="31">
        <v>0.45222929936305734</v>
      </c>
      <c r="P29" s="31">
        <v>0.48958333333333331</v>
      </c>
    </row>
    <row r="30" spans="1:16" x14ac:dyDescent="0.45">
      <c r="A30" s="33">
        <v>27</v>
      </c>
      <c r="B30" s="30">
        <v>1.4210854715202004E-14</v>
      </c>
      <c r="C30" s="30">
        <v>1.75442650804963E-16</v>
      </c>
      <c r="D30" s="35">
        <v>2</v>
      </c>
      <c r="E30" s="31">
        <v>0.33333333333333331</v>
      </c>
      <c r="F30" s="31">
        <v>0.33333333333333331</v>
      </c>
      <c r="G30" s="31">
        <v>0.29464285714285715</v>
      </c>
      <c r="H30" s="31">
        <v>0.15178571428571427</v>
      </c>
      <c r="I30" s="32">
        <v>7923.2323232323233</v>
      </c>
      <c r="J30" s="32">
        <v>-7736.2745098039213</v>
      </c>
      <c r="K30" s="31">
        <v>4.9382716049382713E-2</v>
      </c>
      <c r="L30" s="31">
        <v>0.2544642857142857</v>
      </c>
      <c r="M30" s="31">
        <v>0.23660714285714285</v>
      </c>
      <c r="N30" s="31">
        <v>0.4853801169590643</v>
      </c>
      <c r="O30" s="31">
        <v>0.45283018867924529</v>
      </c>
      <c r="P30" s="31">
        <v>0.48484848484848486</v>
      </c>
    </row>
    <row r="31" spans="1:16" x14ac:dyDescent="0.45">
      <c r="A31" s="33">
        <v>28</v>
      </c>
      <c r="B31" s="30">
        <v>1.4210854715202004E-14</v>
      </c>
      <c r="C31" s="30">
        <v>1.6917684184764289E-16</v>
      </c>
      <c r="D31" s="35">
        <v>2</v>
      </c>
      <c r="E31" s="31">
        <v>0.33333333333333331</v>
      </c>
      <c r="F31" s="31">
        <v>0.33333333333333331</v>
      </c>
      <c r="G31" s="31">
        <v>0.29454022988505746</v>
      </c>
      <c r="H31" s="31">
        <v>0.15229885057471265</v>
      </c>
      <c r="I31" s="32">
        <v>7971.707317073171</v>
      </c>
      <c r="J31" s="32">
        <v>-7840.566037735849</v>
      </c>
      <c r="K31" s="31">
        <v>4.7619047619047616E-2</v>
      </c>
      <c r="L31" s="31">
        <v>0.25287356321839083</v>
      </c>
      <c r="M31" s="31">
        <v>0.23706896551724138</v>
      </c>
      <c r="N31" s="31">
        <v>0.47727272727272729</v>
      </c>
      <c r="O31" s="31">
        <v>0.45454545454545453</v>
      </c>
      <c r="P31" s="31">
        <v>0.48292682926829267</v>
      </c>
    </row>
    <row r="32" spans="1:16" x14ac:dyDescent="0.45">
      <c r="A32" s="33">
        <v>29</v>
      </c>
      <c r="B32" s="30">
        <v>1.4210854715202004E-14</v>
      </c>
      <c r="C32" s="30">
        <v>1.6334315764600004E-16</v>
      </c>
      <c r="D32" s="35">
        <v>2</v>
      </c>
      <c r="E32" s="31">
        <v>0.33333333333333331</v>
      </c>
      <c r="F32" s="31">
        <v>0.33333333333333331</v>
      </c>
      <c r="G32" s="31">
        <v>0.29567642956764295</v>
      </c>
      <c r="H32" s="31">
        <v>0.15760111576011157</v>
      </c>
      <c r="I32" s="32">
        <v>7904.2452830188677</v>
      </c>
      <c r="J32" s="32">
        <v>-7722.1238938053093</v>
      </c>
      <c r="K32" s="31">
        <v>4.5977011494252873E-2</v>
      </c>
      <c r="L32" s="31">
        <v>0.24686192468619247</v>
      </c>
      <c r="M32" s="31">
        <v>0.24546722454672246</v>
      </c>
      <c r="N32" s="31">
        <v>0.48022598870056499</v>
      </c>
      <c r="O32" s="31">
        <v>0.46022727272727271</v>
      </c>
      <c r="P32" s="31">
        <v>0.46698113207547171</v>
      </c>
    </row>
    <row r="33" spans="1:16" x14ac:dyDescent="0.45">
      <c r="A33" s="33">
        <v>30</v>
      </c>
      <c r="B33" s="30">
        <v>1.5987211554602254E-14</v>
      </c>
      <c r="C33" s="30">
        <v>1.7763568394002506E-16</v>
      </c>
      <c r="D33" s="35">
        <v>2</v>
      </c>
      <c r="E33" s="31">
        <v>0.33333333333333331</v>
      </c>
      <c r="F33" s="31">
        <v>0.33333333333333331</v>
      </c>
      <c r="G33" s="31">
        <v>0.29569892473118281</v>
      </c>
      <c r="H33" s="31">
        <v>0.15860215053763441</v>
      </c>
      <c r="I33" s="32">
        <v>7973.636363636364</v>
      </c>
      <c r="J33" s="32">
        <v>-7774.5762711864409</v>
      </c>
      <c r="K33" s="31">
        <v>4.4444444444444446E-2</v>
      </c>
      <c r="L33" s="31">
        <v>0.24731182795698925</v>
      </c>
      <c r="M33" s="31">
        <v>0.24193548387096775</v>
      </c>
      <c r="N33" s="31">
        <v>0.49456521739130432</v>
      </c>
      <c r="O33" s="31">
        <v>0.45</v>
      </c>
      <c r="P33" s="31">
        <v>0.46363636363636362</v>
      </c>
    </row>
    <row r="34" spans="1:16" x14ac:dyDescent="0.45">
      <c r="A34" s="33">
        <v>31</v>
      </c>
      <c r="B34" s="30">
        <v>1.5987211554602254E-14</v>
      </c>
      <c r="C34" s="30">
        <v>1.7190550058712101E-16</v>
      </c>
      <c r="D34" s="35">
        <v>2</v>
      </c>
      <c r="E34" s="31">
        <v>0.33333333333333331</v>
      </c>
      <c r="F34" s="31">
        <v>0.33333333333333331</v>
      </c>
      <c r="G34" s="31">
        <v>0.29557291666666669</v>
      </c>
      <c r="H34" s="31">
        <v>0.15885416666666666</v>
      </c>
      <c r="I34" s="32">
        <v>8059.4713656387667</v>
      </c>
      <c r="J34" s="32">
        <v>-7844.2622950819668</v>
      </c>
      <c r="K34" s="31">
        <v>4.3010752688172046E-2</v>
      </c>
      <c r="L34" s="31">
        <v>0.24869791666666666</v>
      </c>
      <c r="M34" s="31">
        <v>0.24088541666666666</v>
      </c>
      <c r="N34" s="31">
        <v>0.49738219895287961</v>
      </c>
      <c r="O34" s="31">
        <v>0.44864864864864867</v>
      </c>
      <c r="P34" s="31">
        <v>0.46255506607929514</v>
      </c>
    </row>
    <row r="35" spans="1:16" x14ac:dyDescent="0.45">
      <c r="A35" s="33">
        <v>32</v>
      </c>
      <c r="B35" s="30">
        <v>2.1316282072803006E-14</v>
      </c>
      <c r="C35" s="30">
        <v>2.2204460492503131E-16</v>
      </c>
      <c r="D35" s="35">
        <v>2</v>
      </c>
      <c r="E35" s="31">
        <v>0.33333333333333331</v>
      </c>
      <c r="F35" s="31">
        <v>0.33333333333333331</v>
      </c>
      <c r="G35" s="31">
        <v>0.29433962264150942</v>
      </c>
      <c r="H35" s="31">
        <v>0.15974842767295597</v>
      </c>
      <c r="I35" s="32">
        <v>8122.6495726495723</v>
      </c>
      <c r="J35" s="32">
        <v>-7937.7952755905508</v>
      </c>
      <c r="K35" s="31">
        <v>4.1666666666666664E-2</v>
      </c>
      <c r="L35" s="31">
        <v>0.2440251572327044</v>
      </c>
      <c r="M35" s="31">
        <v>0.24025157232704403</v>
      </c>
      <c r="N35" s="31">
        <v>0.48969072164948452</v>
      </c>
      <c r="O35" s="31">
        <v>0.45549738219895286</v>
      </c>
      <c r="P35" s="31">
        <v>0.45726495726495725</v>
      </c>
    </row>
    <row r="36" spans="1:16" x14ac:dyDescent="0.45">
      <c r="A36" s="33">
        <v>33</v>
      </c>
      <c r="B36" s="30">
        <v>2.1316282072803006E-14</v>
      </c>
      <c r="C36" s="30">
        <v>2.153159805333637E-16</v>
      </c>
      <c r="D36" s="35">
        <v>2</v>
      </c>
      <c r="E36" s="31">
        <v>0.33333333333333331</v>
      </c>
      <c r="F36" s="31">
        <v>0.33333333333333331</v>
      </c>
      <c r="G36" s="31">
        <v>0.29520295202952029</v>
      </c>
      <c r="H36" s="31">
        <v>0.16113161131611317</v>
      </c>
      <c r="I36" s="32">
        <v>8153.333333333333</v>
      </c>
      <c r="J36" s="32">
        <v>-7909.9236641221378</v>
      </c>
      <c r="K36" s="31">
        <v>5.0505050505050504E-2</v>
      </c>
      <c r="L36" s="31">
        <v>0.24231242312423124</v>
      </c>
      <c r="M36" s="31">
        <v>0.24723247232472326</v>
      </c>
      <c r="N36" s="31">
        <v>0.49238578680203043</v>
      </c>
      <c r="O36" s="31">
        <v>0.45273631840796019</v>
      </c>
      <c r="P36" s="31">
        <v>0.45416666666666666</v>
      </c>
    </row>
    <row r="37" spans="1:16" x14ac:dyDescent="0.45">
      <c r="A37" s="33">
        <v>34</v>
      </c>
      <c r="B37" s="30">
        <v>2.1316282072803006E-14</v>
      </c>
      <c r="C37" s="30">
        <v>2.0898315757650005E-16</v>
      </c>
      <c r="D37" s="35">
        <v>2</v>
      </c>
      <c r="E37" s="31">
        <v>0.33333333333333331</v>
      </c>
      <c r="F37" s="31">
        <v>0.33333333333333331</v>
      </c>
      <c r="G37" s="31">
        <v>0.29460093896713613</v>
      </c>
      <c r="H37" s="31">
        <v>0.16314553990610328</v>
      </c>
      <c r="I37" s="32">
        <v>8109.5617529880474</v>
      </c>
      <c r="J37" s="32">
        <v>-7797.8417266187053</v>
      </c>
      <c r="K37" s="31">
        <v>4.9019607843137254E-2</v>
      </c>
      <c r="L37" s="31">
        <v>0.24178403755868544</v>
      </c>
      <c r="M37" s="31">
        <v>0.24765258215962441</v>
      </c>
      <c r="N37" s="31">
        <v>0.4854368932038835</v>
      </c>
      <c r="O37" s="31">
        <v>0.46445497630331756</v>
      </c>
      <c r="P37" s="31">
        <v>0.44621513944223107</v>
      </c>
    </row>
    <row r="38" spans="1:16" x14ac:dyDescent="0.45">
      <c r="A38" s="33">
        <v>35</v>
      </c>
      <c r="B38" s="30">
        <v>2.3092638912203256E-14</v>
      </c>
      <c r="C38" s="30">
        <v>2.1992989440193578E-16</v>
      </c>
      <c r="D38" s="35">
        <v>2</v>
      </c>
      <c r="E38" s="31">
        <v>0.33333333333333331</v>
      </c>
      <c r="F38" s="31">
        <v>0.33333333333333331</v>
      </c>
      <c r="G38" s="31">
        <v>0.29478458049886619</v>
      </c>
      <c r="H38" s="31">
        <v>0.16326530612244897</v>
      </c>
      <c r="I38" s="32">
        <v>8075.7692307692305</v>
      </c>
      <c r="J38" s="32">
        <v>-7695.1388888888887</v>
      </c>
      <c r="K38" s="31">
        <v>4.7619047619047616E-2</v>
      </c>
      <c r="L38" s="31">
        <v>0.24263038548752835</v>
      </c>
      <c r="M38" s="31">
        <v>0.24829931972789115</v>
      </c>
      <c r="N38" s="31">
        <v>0.48598130841121495</v>
      </c>
      <c r="O38" s="31">
        <v>0.46575342465753422</v>
      </c>
      <c r="P38" s="31">
        <v>0.44230769230769229</v>
      </c>
    </row>
    <row r="39" spans="1:16" x14ac:dyDescent="0.45">
      <c r="A39" s="33">
        <v>36</v>
      </c>
      <c r="B39" s="30">
        <v>2.1316282072803006E-14</v>
      </c>
      <c r="C39" s="30">
        <v>1.9737298215558337E-16</v>
      </c>
      <c r="D39" s="35">
        <v>2</v>
      </c>
      <c r="E39" s="31">
        <v>0.33333333333333331</v>
      </c>
      <c r="F39" s="31">
        <v>0.33333333333333331</v>
      </c>
      <c r="G39" s="31">
        <v>0.29605263157894735</v>
      </c>
      <c r="H39" s="31">
        <v>0.16557017543859648</v>
      </c>
      <c r="I39" s="32">
        <v>8052.9629629629626</v>
      </c>
      <c r="J39" s="32">
        <v>-7649.6688741721855</v>
      </c>
      <c r="K39" s="31">
        <v>4.6296296296296294E-2</v>
      </c>
      <c r="L39" s="31">
        <v>0.23793859649122806</v>
      </c>
      <c r="M39" s="31">
        <v>0.24780701754385964</v>
      </c>
      <c r="N39" s="31">
        <v>0.48847926267281105</v>
      </c>
      <c r="O39" s="31">
        <v>0.46902654867256638</v>
      </c>
      <c r="P39" s="31">
        <v>0.43703703703703706</v>
      </c>
    </row>
    <row r="40" spans="1:16" x14ac:dyDescent="0.45">
      <c r="A40" s="33">
        <v>37</v>
      </c>
      <c r="B40" s="30">
        <v>2.1316282072803006E-14</v>
      </c>
      <c r="C40" s="30">
        <v>1.9203857723245952E-16</v>
      </c>
      <c r="D40" s="35">
        <v>1.9909909909909911</v>
      </c>
      <c r="E40" s="31">
        <v>0.34234234234234234</v>
      </c>
      <c r="F40" s="31">
        <v>0.33333333333333331</v>
      </c>
      <c r="G40" s="31">
        <v>0.29594017094017094</v>
      </c>
      <c r="H40" s="31">
        <v>0.1623931623931624</v>
      </c>
      <c r="I40" s="32">
        <v>7983.7545126353789</v>
      </c>
      <c r="J40" s="32">
        <v>-7612.5</v>
      </c>
      <c r="K40" s="31">
        <v>4.5045045045045043E-2</v>
      </c>
      <c r="L40" s="31">
        <v>0.23717948717948717</v>
      </c>
      <c r="M40" s="31">
        <v>0.24893162393162394</v>
      </c>
      <c r="N40" s="31">
        <v>0.49549549549549549</v>
      </c>
      <c r="O40" s="31">
        <v>0.46351931330472101</v>
      </c>
      <c r="P40" s="31">
        <v>0.44765342960288806</v>
      </c>
    </row>
    <row r="41" spans="1:16" x14ac:dyDescent="0.45">
      <c r="A41" s="33">
        <v>38</v>
      </c>
      <c r="B41" s="30">
        <v>2.3536728122053319E-14</v>
      </c>
      <c r="C41" s="30">
        <v>2.0646252738643262E-16</v>
      </c>
      <c r="D41" s="35">
        <v>1.9912280701754386</v>
      </c>
      <c r="E41" s="31">
        <v>0.34210526315789475</v>
      </c>
      <c r="F41" s="31">
        <v>0.33333333333333331</v>
      </c>
      <c r="G41" s="31">
        <v>0.29503105590062112</v>
      </c>
      <c r="H41" s="31">
        <v>0.16459627329192547</v>
      </c>
      <c r="I41" s="32">
        <v>7933.333333333333</v>
      </c>
      <c r="J41" s="32">
        <v>-7488.0503144654085</v>
      </c>
      <c r="K41" s="31">
        <v>4.3859649122807015E-2</v>
      </c>
      <c r="L41" s="31">
        <v>0.23809523809523808</v>
      </c>
      <c r="M41" s="31">
        <v>0.24948240165631469</v>
      </c>
      <c r="N41" s="31">
        <v>0.49130434782608695</v>
      </c>
      <c r="O41" s="31">
        <v>0.46887966804979253</v>
      </c>
      <c r="P41" s="31">
        <v>0.43859649122807015</v>
      </c>
    </row>
    <row r="42" spans="1:16" x14ac:dyDescent="0.45">
      <c r="A42" s="33">
        <v>39</v>
      </c>
      <c r="B42" s="30">
        <v>2.1316282072803006E-14</v>
      </c>
      <c r="C42" s="30">
        <v>1.8219044506669235E-16</v>
      </c>
      <c r="D42" s="35">
        <v>1.9914529914529915</v>
      </c>
      <c r="E42" s="31">
        <v>0.34188034188034189</v>
      </c>
      <c r="F42" s="31">
        <v>0.33333333333333331</v>
      </c>
      <c r="G42" s="31">
        <v>0.29483282674772038</v>
      </c>
      <c r="H42" s="31">
        <v>0.1651469098277609</v>
      </c>
      <c r="I42" s="32">
        <v>7861.5120274914088</v>
      </c>
      <c r="J42" s="32">
        <v>-7381.5950920245396</v>
      </c>
      <c r="K42" s="31">
        <v>4.2735042735042736E-2</v>
      </c>
      <c r="L42" s="31">
        <v>0.23809523809523808</v>
      </c>
      <c r="M42" s="31">
        <v>0.24721377912867273</v>
      </c>
      <c r="N42" s="31">
        <v>0.49787234042553191</v>
      </c>
      <c r="O42" s="31">
        <v>0.46721311475409838</v>
      </c>
      <c r="P42" s="31">
        <v>0.43642611683848798</v>
      </c>
    </row>
    <row r="43" spans="1:16" x14ac:dyDescent="0.45">
      <c r="A43" s="33">
        <v>40</v>
      </c>
      <c r="B43" s="30">
        <v>2.1316282072803006E-14</v>
      </c>
      <c r="C43" s="30">
        <v>1.7763568394002506E-16</v>
      </c>
      <c r="D43" s="35">
        <v>1.9916666666666667</v>
      </c>
      <c r="E43" s="31">
        <v>0.34166666666666667</v>
      </c>
      <c r="F43" s="31">
        <v>0.33333333333333331</v>
      </c>
      <c r="G43" s="31">
        <v>0.29487179487179488</v>
      </c>
      <c r="H43" s="31">
        <v>0.16568047337278108</v>
      </c>
      <c r="I43" s="32">
        <v>7838.7959866220735</v>
      </c>
      <c r="J43" s="32">
        <v>-7317.2619047619046</v>
      </c>
      <c r="K43" s="31">
        <v>4.1666666666666664E-2</v>
      </c>
      <c r="L43" s="31">
        <v>0.23767258382642997</v>
      </c>
      <c r="M43" s="31">
        <v>0.24753451676528598</v>
      </c>
      <c r="N43" s="31">
        <v>0.49377593360995853</v>
      </c>
      <c r="O43" s="31">
        <v>0.46215139442231074</v>
      </c>
      <c r="P43" s="31">
        <v>0.43478260869565216</v>
      </c>
    </row>
    <row r="44" spans="1:16" x14ac:dyDescent="0.45">
      <c r="A44" s="33">
        <v>41</v>
      </c>
      <c r="B44" s="30">
        <v>2.1316282072803006E-14</v>
      </c>
      <c r="C44" s="30">
        <v>1.7330310628295127E-16</v>
      </c>
      <c r="D44" s="35">
        <v>1.9918699186991871</v>
      </c>
      <c r="E44" s="31">
        <v>0.34146341463414637</v>
      </c>
      <c r="F44" s="31">
        <v>0.33333333333333331</v>
      </c>
      <c r="G44" s="31">
        <v>0.29490874159462055</v>
      </c>
      <c r="H44" s="31">
        <v>0.16426512968299711</v>
      </c>
      <c r="I44" s="32">
        <v>7960.2605863192184</v>
      </c>
      <c r="J44" s="32">
        <v>-7328.6549707602335</v>
      </c>
      <c r="K44" s="31">
        <v>4.878048780487805E-2</v>
      </c>
      <c r="L44" s="31">
        <v>0.23823246878001922</v>
      </c>
      <c r="M44" s="31">
        <v>0.2478386167146974</v>
      </c>
      <c r="N44" s="31">
        <v>0.49193548387096775</v>
      </c>
      <c r="O44" s="31">
        <v>0.46124031007751937</v>
      </c>
      <c r="P44" s="31">
        <v>0.43973941368078173</v>
      </c>
    </row>
    <row r="45" spans="1:16" x14ac:dyDescent="0.45">
      <c r="A45" s="33">
        <v>42</v>
      </c>
      <c r="B45" s="30">
        <v>1.865174681370263E-14</v>
      </c>
      <c r="C45" s="30">
        <v>1.4802973661668753E-16</v>
      </c>
      <c r="D45" s="35">
        <v>1.9920634920634921</v>
      </c>
      <c r="E45" s="31">
        <v>0.34126984126984128</v>
      </c>
      <c r="F45" s="31">
        <v>0.33333333333333331</v>
      </c>
      <c r="G45" s="31">
        <v>0.2928436911487759</v>
      </c>
      <c r="H45" s="31">
        <v>0.16384180790960451</v>
      </c>
      <c r="I45" s="32">
        <v>7972.0257234726687</v>
      </c>
      <c r="J45" s="32">
        <v>-7339.6551724137935</v>
      </c>
      <c r="K45" s="31">
        <v>5.5555555555555552E-2</v>
      </c>
      <c r="L45" s="31">
        <v>0.23728813559322035</v>
      </c>
      <c r="M45" s="31">
        <v>0.24858757062146894</v>
      </c>
      <c r="N45" s="31">
        <v>0.48809523809523808</v>
      </c>
      <c r="O45" s="31">
        <v>0.4621212121212121</v>
      </c>
      <c r="P45" s="31">
        <v>0.43729903536977494</v>
      </c>
    </row>
    <row r="46" spans="1:16" x14ac:dyDescent="0.45">
      <c r="A46" s="33">
        <v>43</v>
      </c>
      <c r="B46" s="30">
        <v>2.1316282072803006E-14</v>
      </c>
      <c r="C46" s="30">
        <v>1.6524249668839539E-16</v>
      </c>
      <c r="D46" s="35">
        <v>1.9922480620155039</v>
      </c>
      <c r="E46" s="31">
        <v>0.34108527131782945</v>
      </c>
      <c r="F46" s="31">
        <v>0.33333333333333331</v>
      </c>
      <c r="G46" s="31">
        <v>0.29329608938547486</v>
      </c>
      <c r="H46" s="31">
        <v>0.16387337057728119</v>
      </c>
      <c r="I46" s="32">
        <v>8061.269841269841</v>
      </c>
      <c r="J46" s="32">
        <v>-7392.613636363636</v>
      </c>
      <c r="K46" s="31">
        <v>6.2015503875968991E-2</v>
      </c>
      <c r="L46" s="31">
        <v>0.23836126629422719</v>
      </c>
      <c r="M46" s="31">
        <v>0.24860335195530725</v>
      </c>
      <c r="N46" s="31">
        <v>0.48828125</v>
      </c>
      <c r="O46" s="31">
        <v>0.4606741573033708</v>
      </c>
      <c r="P46" s="31">
        <v>0.43809523809523809</v>
      </c>
    </row>
    <row r="47" spans="1:16" x14ac:dyDescent="0.45">
      <c r="A47" s="33">
        <v>44</v>
      </c>
      <c r="B47" s="30">
        <v>2.5757174171303632E-14</v>
      </c>
      <c r="C47" s="30">
        <v>1.9513010735836085E-16</v>
      </c>
      <c r="D47" s="35">
        <v>1.9924242424242424</v>
      </c>
      <c r="E47" s="31">
        <v>0.34090909090909088</v>
      </c>
      <c r="F47" s="31">
        <v>0.33333333333333331</v>
      </c>
      <c r="G47" s="31">
        <v>0.29347826086956524</v>
      </c>
      <c r="H47" s="31">
        <v>0.16304347826086957</v>
      </c>
      <c r="I47" s="32">
        <v>8046.2962962962965</v>
      </c>
      <c r="J47" s="32">
        <v>-7382.7777777777774</v>
      </c>
      <c r="K47" s="31">
        <v>6.0606060606060608E-2</v>
      </c>
      <c r="L47" s="31">
        <v>0.24184782608695651</v>
      </c>
      <c r="M47" s="31">
        <v>0.24728260869565216</v>
      </c>
      <c r="N47" s="31">
        <v>0.49063670411985016</v>
      </c>
      <c r="O47" s="31">
        <v>0.45787545787545786</v>
      </c>
      <c r="P47" s="31">
        <v>0.44135802469135804</v>
      </c>
    </row>
    <row r="48" spans="1:16" x14ac:dyDescent="0.45">
      <c r="A48" s="33">
        <v>45</v>
      </c>
      <c r="B48" s="30">
        <v>2.4868995751603507E-14</v>
      </c>
      <c r="C48" s="30">
        <v>1.8421478334521115E-16</v>
      </c>
      <c r="D48" s="35">
        <v>1.9925925925925927</v>
      </c>
      <c r="E48" s="31">
        <v>0.34074074074074073</v>
      </c>
      <c r="F48" s="31">
        <v>0.33333333333333331</v>
      </c>
      <c r="G48" s="31">
        <v>0.29411764705882354</v>
      </c>
      <c r="H48" s="31">
        <v>0.16399286987522282</v>
      </c>
      <c r="I48" s="32">
        <v>8052.727272727273</v>
      </c>
      <c r="J48" s="32">
        <v>-7322.282608695652</v>
      </c>
      <c r="K48" s="31">
        <v>5.9259259259259262E-2</v>
      </c>
      <c r="L48" s="31">
        <v>0.24331550802139038</v>
      </c>
      <c r="M48" s="31">
        <v>0.24777183600713013</v>
      </c>
      <c r="N48" s="31">
        <v>0.49816849816849818</v>
      </c>
      <c r="O48" s="31">
        <v>0.45323741007194246</v>
      </c>
      <c r="P48" s="31">
        <v>0.43939393939393939</v>
      </c>
    </row>
    <row r="49" spans="1:16" x14ac:dyDescent="0.45">
      <c r="A49" s="33">
        <v>46</v>
      </c>
      <c r="B49" s="30">
        <v>2.4868995751603507E-14</v>
      </c>
      <c r="C49" s="30">
        <v>1.8021011414205441E-16</v>
      </c>
      <c r="D49" s="35">
        <v>1.9927536231884058</v>
      </c>
      <c r="E49" s="31">
        <v>0.34057971014492755</v>
      </c>
      <c r="F49" s="31">
        <v>0.33333333333333331</v>
      </c>
      <c r="G49" s="31">
        <v>0.29483814523184604</v>
      </c>
      <c r="H49" s="31">
        <v>0.16622922134733159</v>
      </c>
      <c r="I49" s="32">
        <v>7992.2848664688427</v>
      </c>
      <c r="J49" s="32">
        <v>-7269.4736842105267</v>
      </c>
      <c r="K49" s="31">
        <v>5.7971014492753624E-2</v>
      </c>
      <c r="L49" s="31">
        <v>0.24234470691163604</v>
      </c>
      <c r="M49" s="31">
        <v>0.24584426946631671</v>
      </c>
      <c r="N49" s="31">
        <v>0.49819494584837543</v>
      </c>
      <c r="O49" s="31">
        <v>0.45551601423487542</v>
      </c>
      <c r="P49" s="31">
        <v>0.43323442136498519</v>
      </c>
    </row>
    <row r="50" spans="1:16" x14ac:dyDescent="0.45">
      <c r="A50" s="33">
        <v>47</v>
      </c>
      <c r="B50" s="30">
        <v>2.4868995751603507E-14</v>
      </c>
      <c r="C50" s="30">
        <v>1.7637585639435112E-16</v>
      </c>
      <c r="D50" s="35">
        <v>1.9929078014184398</v>
      </c>
      <c r="E50" s="31">
        <v>0.34042553191489361</v>
      </c>
      <c r="F50" s="31">
        <v>0.33333333333333331</v>
      </c>
      <c r="G50" s="31">
        <v>0.29572649572649573</v>
      </c>
      <c r="H50" s="31">
        <v>0.16752136752136751</v>
      </c>
      <c r="I50" s="32">
        <v>8002.023121387283</v>
      </c>
      <c r="J50" s="32">
        <v>-7269.3877551020405</v>
      </c>
      <c r="K50" s="31">
        <v>5.6737588652482268E-2</v>
      </c>
      <c r="L50" s="31">
        <v>0.24102564102564103</v>
      </c>
      <c r="M50" s="31">
        <v>0.24444444444444444</v>
      </c>
      <c r="N50" s="31">
        <v>0.5</v>
      </c>
      <c r="O50" s="31">
        <v>0.45804195804195802</v>
      </c>
      <c r="P50" s="31">
        <v>0.430635838150289</v>
      </c>
    </row>
    <row r="51" spans="1:16" x14ac:dyDescent="0.45">
      <c r="A51" s="33">
        <v>48</v>
      </c>
      <c r="B51" s="30">
        <v>2.1316282072803006E-14</v>
      </c>
      <c r="C51" s="30">
        <v>1.4802973661668753E-16</v>
      </c>
      <c r="D51" s="35">
        <v>1.9930555555555556</v>
      </c>
      <c r="E51" s="31">
        <v>0.34027777777777779</v>
      </c>
      <c r="F51" s="31">
        <v>0.33333333333333331</v>
      </c>
      <c r="G51" s="31">
        <v>0.29648241206030151</v>
      </c>
      <c r="H51" s="31">
        <v>0.16750418760469013</v>
      </c>
      <c r="I51" s="32">
        <v>8001.129943502825</v>
      </c>
      <c r="J51" s="32">
        <v>-7202</v>
      </c>
      <c r="K51" s="31">
        <v>6.25E-2</v>
      </c>
      <c r="L51" s="31">
        <v>0.23953098827470687</v>
      </c>
      <c r="M51" s="31">
        <v>0.24455611390284757</v>
      </c>
      <c r="N51" s="31">
        <v>0.50699300699300698</v>
      </c>
      <c r="O51" s="31">
        <v>0.45547945205479451</v>
      </c>
      <c r="P51" s="31">
        <v>0.43220338983050849</v>
      </c>
    </row>
    <row r="52" spans="1:16" x14ac:dyDescent="0.45">
      <c r="A52" s="33">
        <v>49</v>
      </c>
      <c r="B52" s="30">
        <v>2.1316282072803006E-14</v>
      </c>
      <c r="C52" s="30">
        <v>1.450087215836939E-16</v>
      </c>
      <c r="D52" s="35">
        <v>1.9931972789115646</v>
      </c>
      <c r="E52" s="31">
        <v>0.3401360544217687</v>
      </c>
      <c r="F52" s="31">
        <v>0.33333333333333331</v>
      </c>
      <c r="G52" s="31">
        <v>0.29647829647829649</v>
      </c>
      <c r="H52" s="31">
        <v>0.16707616707616707</v>
      </c>
      <c r="I52" s="32">
        <v>8008.5635359116022</v>
      </c>
      <c r="J52" s="32">
        <v>-7235.7843137254904</v>
      </c>
      <c r="K52" s="31">
        <v>6.1224489795918366E-2</v>
      </c>
      <c r="L52" s="31">
        <v>0.23832923832923833</v>
      </c>
      <c r="M52" s="31">
        <v>0.24242424242424243</v>
      </c>
      <c r="N52" s="31">
        <v>0.51546391752577314</v>
      </c>
      <c r="O52" s="31">
        <v>0.45270270270270269</v>
      </c>
      <c r="P52" s="31">
        <v>0.43370165745856354</v>
      </c>
    </row>
    <row r="53" spans="1:16" x14ac:dyDescent="0.45">
      <c r="A53" s="33">
        <v>50</v>
      </c>
      <c r="B53" s="30">
        <v>1.0658141036401503E-14</v>
      </c>
      <c r="C53" s="30">
        <v>7.105427357601002E-17</v>
      </c>
      <c r="D53" s="35">
        <v>1.9933333333333334</v>
      </c>
      <c r="E53" s="31">
        <v>0.34</v>
      </c>
      <c r="F53" s="31">
        <v>0.33333333333333331</v>
      </c>
      <c r="G53" s="31">
        <v>0.29683698296836986</v>
      </c>
      <c r="H53" s="31">
        <v>0.16626115166261152</v>
      </c>
      <c r="I53" s="32">
        <v>8100.2732240437163</v>
      </c>
      <c r="J53" s="32">
        <v>-7219.5121951219517</v>
      </c>
      <c r="K53" s="31">
        <v>6.6666666666666666E-2</v>
      </c>
      <c r="L53" s="31">
        <v>0.23844282238442821</v>
      </c>
      <c r="M53" s="31">
        <v>0.24249797242497972</v>
      </c>
      <c r="N53" s="31">
        <v>0.51360544217687076</v>
      </c>
      <c r="O53" s="31">
        <v>0.451505016722408</v>
      </c>
      <c r="P53" s="31">
        <v>0.43715846994535518</v>
      </c>
    </row>
    <row r="54" spans="1:16" x14ac:dyDescent="0.45">
      <c r="A54" s="33">
        <v>51</v>
      </c>
      <c r="B54" s="30">
        <v>1.4210854715202004E-14</v>
      </c>
      <c r="C54" s="30">
        <v>9.288140336733336E-17</v>
      </c>
      <c r="D54" s="35">
        <v>1.9934640522875817</v>
      </c>
      <c r="E54" s="31">
        <v>0.33986928104575165</v>
      </c>
      <c r="F54" s="31">
        <v>0.33333333333333331</v>
      </c>
      <c r="G54" s="31">
        <v>0.29603174603174603</v>
      </c>
      <c r="H54" s="31">
        <v>0.16587301587301587</v>
      </c>
      <c r="I54" s="32">
        <v>8101.3404825737261</v>
      </c>
      <c r="J54" s="32">
        <v>-7277.0334928229668</v>
      </c>
      <c r="K54" s="31">
        <v>7.1895424836601302E-2</v>
      </c>
      <c r="L54" s="31">
        <v>0.23968253968253969</v>
      </c>
      <c r="M54" s="31">
        <v>0.24047619047619048</v>
      </c>
      <c r="N54" s="31">
        <v>0.51324503311258274</v>
      </c>
      <c r="O54" s="31">
        <v>0.45544554455445546</v>
      </c>
      <c r="P54" s="31">
        <v>0.43699731903485256</v>
      </c>
    </row>
    <row r="55" spans="1:16" x14ac:dyDescent="0.45">
      <c r="A55" s="33">
        <v>52</v>
      </c>
      <c r="B55" s="30">
        <v>1.4210854715202004E-14</v>
      </c>
      <c r="C55" s="30">
        <v>9.1095222533346175E-17</v>
      </c>
      <c r="D55" s="35">
        <v>1.9935897435897436</v>
      </c>
      <c r="E55" s="31">
        <v>0.33974358974358976</v>
      </c>
      <c r="F55" s="31">
        <v>0.33333333333333331</v>
      </c>
      <c r="G55" s="31">
        <v>0.29715165511932257</v>
      </c>
      <c r="H55" s="31">
        <v>0.16474210931485758</v>
      </c>
      <c r="I55" s="32">
        <v>8041.4507772020725</v>
      </c>
      <c r="J55" s="32">
        <v>-7301.4018691588781</v>
      </c>
      <c r="K55" s="31">
        <v>7.0512820512820512E-2</v>
      </c>
      <c r="L55" s="31">
        <v>0.23633564280215549</v>
      </c>
      <c r="M55" s="31">
        <v>0.24172440338722093</v>
      </c>
      <c r="N55" s="31">
        <v>0.51140065146579805</v>
      </c>
      <c r="O55" s="31">
        <v>0.46178343949044587</v>
      </c>
      <c r="P55" s="31">
        <v>0.44300518134715028</v>
      </c>
    </row>
    <row r="56" spans="1:16" x14ac:dyDescent="0.45">
      <c r="A56" s="33">
        <v>53</v>
      </c>
      <c r="B56" s="30">
        <v>2.1316282072803006E-14</v>
      </c>
      <c r="C56" s="30">
        <v>1.340646671245472E-16</v>
      </c>
      <c r="D56" s="35">
        <v>1.9937106918238994</v>
      </c>
      <c r="E56" s="31">
        <v>0.33962264150943394</v>
      </c>
      <c r="F56" s="31">
        <v>0.33333333333333331</v>
      </c>
      <c r="G56" s="31">
        <v>0.29772727272727273</v>
      </c>
      <c r="H56" s="31">
        <v>0.16590909090909092</v>
      </c>
      <c r="I56" s="32">
        <v>8041.2213740458019</v>
      </c>
      <c r="J56" s="32">
        <v>-7300</v>
      </c>
      <c r="K56" s="31">
        <v>6.9182389937106917E-2</v>
      </c>
      <c r="L56" s="31">
        <v>0.23787878787878788</v>
      </c>
      <c r="M56" s="31">
        <v>0.23863636363636365</v>
      </c>
      <c r="N56" s="31">
        <v>0.51273885350318471</v>
      </c>
      <c r="O56" s="31">
        <v>0.46031746031746029</v>
      </c>
      <c r="P56" s="31">
        <v>0.44020356234096691</v>
      </c>
    </row>
    <row r="57" spans="1:16" x14ac:dyDescent="0.45">
      <c r="A57" s="33">
        <v>54</v>
      </c>
      <c r="B57" s="30">
        <v>2.1316282072803006E-14</v>
      </c>
      <c r="C57" s="30">
        <v>1.3158198810372225E-16</v>
      </c>
      <c r="D57" s="35">
        <v>1.9938271604938271</v>
      </c>
      <c r="E57" s="31">
        <v>0.33950617283950618</v>
      </c>
      <c r="F57" s="31">
        <v>0.33333333333333331</v>
      </c>
      <c r="G57" s="31">
        <v>0.29828486204325133</v>
      </c>
      <c r="H57" s="31">
        <v>0.16480238627889635</v>
      </c>
      <c r="I57" s="32">
        <v>8055.75</v>
      </c>
      <c r="J57" s="32">
        <v>-7257.4660633484164</v>
      </c>
      <c r="K57" s="31">
        <v>7.407407407407407E-2</v>
      </c>
      <c r="L57" s="31">
        <v>0.23862788963460105</v>
      </c>
      <c r="M57" s="31">
        <v>0.23564504101416853</v>
      </c>
      <c r="N57" s="31">
        <v>0.515625</v>
      </c>
      <c r="O57" s="31">
        <v>0.45886075949367089</v>
      </c>
      <c r="P57" s="31">
        <v>0.44500000000000001</v>
      </c>
    </row>
    <row r="58" spans="1:16" x14ac:dyDescent="0.45">
      <c r="A58" s="33">
        <v>55</v>
      </c>
      <c r="B58" s="30">
        <v>2.1316282072803006E-14</v>
      </c>
      <c r="C58" s="30">
        <v>1.2918958832001821E-16</v>
      </c>
      <c r="D58" s="35">
        <v>1.9939393939393939</v>
      </c>
      <c r="E58" s="31">
        <v>0.33939393939393941</v>
      </c>
      <c r="F58" s="31">
        <v>0.33333333333333331</v>
      </c>
      <c r="G58" s="31">
        <v>0.2975929978118162</v>
      </c>
      <c r="H58" s="31">
        <v>0.16338439095550694</v>
      </c>
      <c r="I58" s="32">
        <v>8105.3921568627447</v>
      </c>
      <c r="J58" s="32">
        <v>-7311.6071428571431</v>
      </c>
      <c r="K58" s="31">
        <v>7.2727272727272724E-2</v>
      </c>
      <c r="L58" s="31">
        <v>0.24142961342086069</v>
      </c>
      <c r="M58" s="31">
        <v>0.23340627279358134</v>
      </c>
      <c r="N58" s="31">
        <v>0.51359516616314205</v>
      </c>
      <c r="O58" s="31">
        <v>0.45624999999999999</v>
      </c>
      <c r="P58" s="31">
        <v>0.4485294117647059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756</vt:i4>
      </vt:variant>
    </vt:vector>
  </HeadingPairs>
  <TitlesOfParts>
    <vt:vector size="798" baseType="lpstr">
      <vt:lpstr>Cache</vt:lpstr>
      <vt:lpstr>Template2</vt:lpstr>
      <vt:lpstr>Players</vt:lpstr>
      <vt:lpstr>Template1</vt:lpstr>
      <vt:lpstr>ランキング</vt:lpstr>
      <vt:lpstr>全体</vt:lpstr>
      <vt:lpstr>だいち</vt:lpstr>
      <vt:lpstr>れんたろう</vt:lpstr>
      <vt:lpstr>たかの</vt:lpstr>
      <vt:lpstr>まっつん</vt:lpstr>
      <vt:lpstr>いちかわ</vt:lpstr>
      <vt:lpstr>ただ</vt:lpstr>
      <vt:lpstr>たか</vt:lpstr>
      <vt:lpstr>のり</vt:lpstr>
      <vt:lpstr>りくと</vt:lpstr>
      <vt:lpstr>わさび</vt:lpstr>
      <vt:lpstr>わさび2</vt:lpstr>
      <vt:lpstr>りくと2</vt:lpstr>
      <vt:lpstr>のり2</vt:lpstr>
      <vt:lpstr>たか2</vt:lpstr>
      <vt:lpstr>ただ2</vt:lpstr>
      <vt:lpstr>いちかわ2</vt:lpstr>
      <vt:lpstr>まっつん2</vt:lpstr>
      <vt:lpstr>たかの2</vt:lpstr>
      <vt:lpstr>れんたろう2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いちかわ!アガリ数</vt:lpstr>
      <vt:lpstr>だいち!アガリ数</vt:lpstr>
      <vt:lpstr>たか!アガリ数</vt:lpstr>
      <vt:lpstr>たかの!アガリ数</vt:lpstr>
      <vt:lpstr>ただ!アガリ数</vt:lpstr>
      <vt:lpstr>のり!アガリ数</vt:lpstr>
      <vt:lpstr>まっつん!アガリ数</vt:lpstr>
      <vt:lpstr>りくと!アガリ数</vt:lpstr>
      <vt:lpstr>れんたろう!アガリ数</vt:lpstr>
      <vt:lpstr>わさび!アガリ数</vt:lpstr>
      <vt:lpstr>全体!アガリ数</vt:lpstr>
      <vt:lpstr>Template1!アガリ率</vt:lpstr>
      <vt:lpstr>いちかわ!アガリ率</vt:lpstr>
      <vt:lpstr>だいち!アガリ率</vt:lpstr>
      <vt:lpstr>たか!アガリ率</vt:lpstr>
      <vt:lpstr>たかの!アガリ率</vt:lpstr>
      <vt:lpstr>ただ!アガリ率</vt:lpstr>
      <vt:lpstr>のり!アガリ率</vt:lpstr>
      <vt:lpstr>まっつん!アガリ率</vt:lpstr>
      <vt:lpstr>りくと!アガリ率</vt:lpstr>
      <vt:lpstr>れんたろう!アガリ率</vt:lpstr>
      <vt:lpstr>わさび!アガリ率</vt:lpstr>
      <vt:lpstr>全体!アガリ率</vt:lpstr>
      <vt:lpstr>Template1!ダマアガリ数</vt:lpstr>
      <vt:lpstr>いちかわ!ダマアガリ数</vt:lpstr>
      <vt:lpstr>だいち!ダマアガリ数</vt:lpstr>
      <vt:lpstr>たか!ダマアガリ数</vt:lpstr>
      <vt:lpstr>たかの!ダマアガリ数</vt:lpstr>
      <vt:lpstr>ただ!ダマアガリ数</vt:lpstr>
      <vt:lpstr>のり!ダマアガリ数</vt:lpstr>
      <vt:lpstr>まっつん!ダマアガリ数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Template1!ダマアガリ率</vt:lpstr>
      <vt:lpstr>いちかわ!ダマアガリ率</vt:lpstr>
      <vt:lpstr>だいち!ダマアガリ率</vt:lpstr>
      <vt:lpstr>たか!ダマアガリ率</vt:lpstr>
      <vt:lpstr>たかの!ダマアガリ率</vt:lpstr>
      <vt:lpstr>ただ!ダマアガリ率</vt:lpstr>
      <vt:lpstr>のり!ダマアガリ率</vt:lpstr>
      <vt:lpstr>まっつん!ダマアガリ率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Template1!チョンボ数</vt:lpstr>
      <vt:lpstr>いちかわ!チョンボ数</vt:lpstr>
      <vt:lpstr>だいち!チョンボ数</vt:lpstr>
      <vt:lpstr>たか!チョンボ数</vt:lpstr>
      <vt:lpstr>たかの!チョンボ数</vt:lpstr>
      <vt:lpstr>ただ!チョンボ数</vt:lpstr>
      <vt:lpstr>のり!チョンボ数</vt:lpstr>
      <vt:lpstr>まっつん!チョンボ数</vt:lpstr>
      <vt:lpstr>りくと!チョンボ数</vt:lpstr>
      <vt:lpstr>れんたろう!チョンボ数</vt:lpstr>
      <vt:lpstr>わさび!チョンボ数</vt:lpstr>
      <vt:lpstr>全体!チョンボ数</vt:lpstr>
      <vt:lpstr>Template1!チョンボ率</vt:lpstr>
      <vt:lpstr>いちかわ!チョンボ率</vt:lpstr>
      <vt:lpstr>だいち!チョンボ率</vt:lpstr>
      <vt:lpstr>たか!チョンボ率</vt:lpstr>
      <vt:lpstr>たかの!チョンボ率</vt:lpstr>
      <vt:lpstr>ただ!チョンボ率</vt:lpstr>
      <vt:lpstr>のり!チョンボ率</vt:lpstr>
      <vt:lpstr>まっつん!チョンボ率</vt:lpstr>
      <vt:lpstr>りくと!チョンボ率</vt:lpstr>
      <vt:lpstr>れんたろう!チョンボ率</vt:lpstr>
      <vt:lpstr>わさび!チョンボ率</vt:lpstr>
      <vt:lpstr>全体!チョンボ率</vt:lpstr>
      <vt:lpstr>Template1!ツモ数</vt:lpstr>
      <vt:lpstr>いちかわ!ツモ数</vt:lpstr>
      <vt:lpstr>だいち!ツモ数</vt:lpstr>
      <vt:lpstr>たか!ツモ数</vt:lpstr>
      <vt:lpstr>たかの!ツモ数</vt:lpstr>
      <vt:lpstr>ただ!ツモ数</vt:lpstr>
      <vt:lpstr>のり!ツモ数</vt:lpstr>
      <vt:lpstr>まっつん!ツモ数</vt:lpstr>
      <vt:lpstr>りくと!ツモ数</vt:lpstr>
      <vt:lpstr>れんたろう!ツモ数</vt:lpstr>
      <vt:lpstr>わさび!ツモ数</vt:lpstr>
      <vt:lpstr>全体!ツモ数</vt:lpstr>
      <vt:lpstr>Template1!ツモ率</vt:lpstr>
      <vt:lpstr>いちかわ!ツモ率</vt:lpstr>
      <vt:lpstr>だいち!ツモ率</vt:lpstr>
      <vt:lpstr>たか!ツモ率</vt:lpstr>
      <vt:lpstr>たかの!ツモ率</vt:lpstr>
      <vt:lpstr>ただ!ツモ率</vt:lpstr>
      <vt:lpstr>のり!ツモ率</vt:lpstr>
      <vt:lpstr>まっつん!ツモ率</vt:lpstr>
      <vt:lpstr>りくと!ツモ率</vt:lpstr>
      <vt:lpstr>れんたろう!ツモ率</vt:lpstr>
      <vt:lpstr>わさび!ツモ率</vt:lpstr>
      <vt:lpstr>全体!ツモ率</vt:lpstr>
      <vt:lpstr>Template1!トップ数</vt:lpstr>
      <vt:lpstr>いちかわ!トップ数</vt:lpstr>
      <vt:lpstr>だいち!トップ数</vt:lpstr>
      <vt:lpstr>たか!トップ数</vt:lpstr>
      <vt:lpstr>たかの!トップ数</vt:lpstr>
      <vt:lpstr>ただ!トップ数</vt:lpstr>
      <vt:lpstr>のり!トップ数</vt:lpstr>
      <vt:lpstr>まっつん!トップ数</vt:lpstr>
      <vt:lpstr>りくと!トップ数</vt:lpstr>
      <vt:lpstr>れんたろう!トップ数</vt:lpstr>
      <vt:lpstr>わさび!トップ数</vt:lpstr>
      <vt:lpstr>全体!トップ数</vt:lpstr>
      <vt:lpstr>Template1!トップ率</vt:lpstr>
      <vt:lpstr>いちかわ!トップ率</vt:lpstr>
      <vt:lpstr>だいち!トップ率</vt:lpstr>
      <vt:lpstr>たか!トップ率</vt:lpstr>
      <vt:lpstr>たかの!トップ率</vt:lpstr>
      <vt:lpstr>ただ!トップ率</vt:lpstr>
      <vt:lpstr>のり!トップ率</vt:lpstr>
      <vt:lpstr>まっつん!トップ率</vt:lpstr>
      <vt:lpstr>りくと!トップ率</vt:lpstr>
      <vt:lpstr>れんたろう!トップ率</vt:lpstr>
      <vt:lpstr>わさび!トップ率</vt:lpstr>
      <vt:lpstr>全体!トップ率</vt:lpstr>
      <vt:lpstr>いちかわ!バランス</vt:lpstr>
      <vt:lpstr>だいち!バランス</vt:lpstr>
      <vt:lpstr>たか!バランス</vt:lpstr>
      <vt:lpstr>たかの!バランス</vt:lpstr>
      <vt:lpstr>ただ!バランス</vt:lpstr>
      <vt:lpstr>のり!バランス</vt:lpstr>
      <vt:lpstr>まっつん!バランス</vt:lpstr>
      <vt:lpstr>りくと!バランス</vt:lpstr>
      <vt:lpstr>れんたろう!バランス</vt:lpstr>
      <vt:lpstr>わさび!バランス</vt:lpstr>
      <vt:lpstr>全体!バランス</vt:lpstr>
      <vt:lpstr>バランス</vt:lpstr>
      <vt:lpstr>Template1!ふっとび数</vt:lpstr>
      <vt:lpstr>いちかわ!ふっとび数</vt:lpstr>
      <vt:lpstr>だいち!ふっとび数</vt:lpstr>
      <vt:lpstr>たか!ふっとび数</vt:lpstr>
      <vt:lpstr>たかの!ふっとび数</vt:lpstr>
      <vt:lpstr>ただ!ふっとび数</vt:lpstr>
      <vt:lpstr>のり!ふっとび数</vt:lpstr>
      <vt:lpstr>まっつん!ふっとび数</vt:lpstr>
      <vt:lpstr>りくと!ふっとび数</vt:lpstr>
      <vt:lpstr>れんたろう!ふっとび数</vt:lpstr>
      <vt:lpstr>わさび!ふっとび数</vt:lpstr>
      <vt:lpstr>全体!ふっとび数</vt:lpstr>
      <vt:lpstr>Template1!ふっとび率</vt:lpstr>
      <vt:lpstr>いちかわ!ふっとび率</vt:lpstr>
      <vt:lpstr>だいち!ふっとび率</vt:lpstr>
      <vt:lpstr>たか!ふっとび率</vt:lpstr>
      <vt:lpstr>たかの!ふっとび率</vt:lpstr>
      <vt:lpstr>ただ!ふっとび率</vt:lpstr>
      <vt:lpstr>のり!ふっとび率</vt:lpstr>
      <vt:lpstr>まっつん!ふっとび率</vt:lpstr>
      <vt:lpstr>りくと!ふっとび率</vt:lpstr>
      <vt:lpstr>れんたろう!ふっとび率</vt:lpstr>
      <vt:lpstr>わさび!ふっとび率</vt:lpstr>
      <vt:lpstr>全体!ふっとび率</vt:lpstr>
      <vt:lpstr>Template1!ラス数</vt:lpstr>
      <vt:lpstr>いちかわ!ラス数</vt:lpstr>
      <vt:lpstr>だいち!ラス数</vt:lpstr>
      <vt:lpstr>たか!ラス数</vt:lpstr>
      <vt:lpstr>たかの!ラス数</vt:lpstr>
      <vt:lpstr>ただ!ラス数</vt:lpstr>
      <vt:lpstr>のり!ラス数</vt:lpstr>
      <vt:lpstr>まっつん!ラス数</vt:lpstr>
      <vt:lpstr>りくと!ラス数</vt:lpstr>
      <vt:lpstr>れんたろう!ラス数</vt:lpstr>
      <vt:lpstr>わさび!ラス数</vt:lpstr>
      <vt:lpstr>全体!ラス数</vt:lpstr>
      <vt:lpstr>Template1!ラス率</vt:lpstr>
      <vt:lpstr>いちかわ!ラス率</vt:lpstr>
      <vt:lpstr>だいち!ラス率</vt:lpstr>
      <vt:lpstr>たか!ラス率</vt:lpstr>
      <vt:lpstr>たかの!ラス率</vt:lpstr>
      <vt:lpstr>ただ!ラス率</vt:lpstr>
      <vt:lpstr>のり!ラス率</vt:lpstr>
      <vt:lpstr>まっつん!ラス率</vt:lpstr>
      <vt:lpstr>りくと!ラス率</vt:lpstr>
      <vt:lpstr>れんたろう!ラス率</vt:lpstr>
      <vt:lpstr>わさび!ラス率</vt:lpstr>
      <vt:lpstr>全体!ラス率</vt:lpstr>
      <vt:lpstr>Template1!リーチアガリ数</vt:lpstr>
      <vt:lpstr>いちかわ!リーチアガリ数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のり!リーチアガリ数</vt:lpstr>
      <vt:lpstr>まっつん!リーチアガリ数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Template1!リーチアガリ率</vt:lpstr>
      <vt:lpstr>いちかわ!リーチアガリ率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のり!リーチアガリ率</vt:lpstr>
      <vt:lpstr>まっつん!リーチアガリ率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Template1!リーチ数</vt:lpstr>
      <vt:lpstr>いちかわ!リーチ数</vt:lpstr>
      <vt:lpstr>だいち!リーチ数</vt:lpstr>
      <vt:lpstr>たか!リーチ数</vt:lpstr>
      <vt:lpstr>たかの!リーチ数</vt:lpstr>
      <vt:lpstr>ただ!リーチ数</vt:lpstr>
      <vt:lpstr>のり!リーチ数</vt:lpstr>
      <vt:lpstr>まっつん!リーチ数</vt:lpstr>
      <vt:lpstr>りくと!リーチ数</vt:lpstr>
      <vt:lpstr>れんたろう!リーチ数</vt:lpstr>
      <vt:lpstr>わさび!リーチ数</vt:lpstr>
      <vt:lpstr>全体!リーチ数</vt:lpstr>
      <vt:lpstr>Template1!リーチ成功数</vt:lpstr>
      <vt:lpstr>いちかわ!リーチ成功数</vt:lpstr>
      <vt:lpstr>だいち!リーチ成功数</vt:lpstr>
      <vt:lpstr>たか!リーチ成功数</vt:lpstr>
      <vt:lpstr>たかの!リーチ成功数</vt:lpstr>
      <vt:lpstr>ただ!リーチ成功数</vt:lpstr>
      <vt:lpstr>のり!リーチ成功数</vt:lpstr>
      <vt:lpstr>まっつん!リーチ成功数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Template1!リーチ成功率</vt:lpstr>
      <vt:lpstr>いちかわ!リーチ成功率</vt:lpstr>
      <vt:lpstr>だいち!リーチ成功率</vt:lpstr>
      <vt:lpstr>たか!リーチ成功率</vt:lpstr>
      <vt:lpstr>たかの!リーチ成功率</vt:lpstr>
      <vt:lpstr>ただ!リーチ成功率</vt:lpstr>
      <vt:lpstr>のり!リーチ成功率</vt:lpstr>
      <vt:lpstr>まっつん!リーチ成功率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Template1!リーチ率</vt:lpstr>
      <vt:lpstr>いちかわ!リーチ率</vt:lpstr>
      <vt:lpstr>だいち!リーチ率</vt:lpstr>
      <vt:lpstr>たか!リーチ率</vt:lpstr>
      <vt:lpstr>たかの!リーチ率</vt:lpstr>
      <vt:lpstr>ただ!リーチ率</vt:lpstr>
      <vt:lpstr>のり!リーチ率</vt:lpstr>
      <vt:lpstr>まっつん!リーチ率</vt:lpstr>
      <vt:lpstr>りくと!リーチ率</vt:lpstr>
      <vt:lpstr>れんたろう!リーチ率</vt:lpstr>
      <vt:lpstr>わさび!リーチ率</vt:lpstr>
      <vt:lpstr>全体!リーチ率</vt:lpstr>
      <vt:lpstr>いちかわ!レーティング</vt:lpstr>
      <vt:lpstr>だいち!レーティング</vt:lpstr>
      <vt:lpstr>たか!レーティング</vt:lpstr>
      <vt:lpstr>たかの!レーティング</vt:lpstr>
      <vt:lpstr>ただ!レーティング</vt:lpstr>
      <vt:lpstr>のり!レーティング</vt:lpstr>
      <vt:lpstr>まっつん!レーティング</vt:lpstr>
      <vt:lpstr>りくと!レーティング</vt:lpstr>
      <vt:lpstr>れんたろう!レーティング</vt:lpstr>
      <vt:lpstr>わさび!レーティング</vt:lpstr>
      <vt:lpstr>全体!レーティング</vt:lpstr>
      <vt:lpstr>レーティング</vt:lpstr>
      <vt:lpstr>Template1!ロン数</vt:lpstr>
      <vt:lpstr>いちかわ!ロン数</vt:lpstr>
      <vt:lpstr>だいち!ロン数</vt:lpstr>
      <vt:lpstr>たか!ロン数</vt:lpstr>
      <vt:lpstr>たかの!ロン数</vt:lpstr>
      <vt:lpstr>ただ!ロン数</vt:lpstr>
      <vt:lpstr>のり!ロン数</vt:lpstr>
      <vt:lpstr>まっつん!ロン数</vt:lpstr>
      <vt:lpstr>りくと!ロン数</vt:lpstr>
      <vt:lpstr>れんたろう!ロン数</vt:lpstr>
      <vt:lpstr>わさび!ロン数</vt:lpstr>
      <vt:lpstr>全体!ロン数</vt:lpstr>
      <vt:lpstr>Template1!ロン率</vt:lpstr>
      <vt:lpstr>いちかわ!ロン率</vt:lpstr>
      <vt:lpstr>だいち!ロン率</vt:lpstr>
      <vt:lpstr>たか!ロン率</vt:lpstr>
      <vt:lpstr>たかの!ロン率</vt:lpstr>
      <vt:lpstr>ただ!ロン率</vt:lpstr>
      <vt:lpstr>のり!ロン率</vt:lpstr>
      <vt:lpstr>まっつん!ロン率</vt:lpstr>
      <vt:lpstr>りくと!ロン率</vt:lpstr>
      <vt:lpstr>れんたろう!ロン率</vt:lpstr>
      <vt:lpstr>わさび!ロン率</vt:lpstr>
      <vt:lpstr>全体!ロン率</vt:lpstr>
      <vt:lpstr>いちかわ!一位スコア</vt:lpstr>
      <vt:lpstr>だいち!一位スコア</vt:lpstr>
      <vt:lpstr>たか!一位スコア</vt:lpstr>
      <vt:lpstr>たかの!一位スコア</vt:lpstr>
      <vt:lpstr>ただ!一位スコア</vt:lpstr>
      <vt:lpstr>のり!一位スコア</vt:lpstr>
      <vt:lpstr>まっつん!一位スコア</vt:lpstr>
      <vt:lpstr>りくと!一位スコア</vt:lpstr>
      <vt:lpstr>れんたろう!一位スコア</vt:lpstr>
      <vt:lpstr>わさび!一位スコア</vt:lpstr>
      <vt:lpstr>全体!一位スコア</vt:lpstr>
      <vt:lpstr>一位スコア</vt:lpstr>
      <vt:lpstr>いちかわ!一位通算スコア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のり!一位通算スコア</vt:lpstr>
      <vt:lpstr>まっつん!一位通算スコア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一位通算スコア</vt:lpstr>
      <vt:lpstr>いちかわ!一翻数</vt:lpstr>
      <vt:lpstr>だいち!一翻数</vt:lpstr>
      <vt:lpstr>たか!一翻数</vt:lpstr>
      <vt:lpstr>たかの!一翻数</vt:lpstr>
      <vt:lpstr>ただ!一翻数</vt:lpstr>
      <vt:lpstr>のり!一翻数</vt:lpstr>
      <vt:lpstr>まっつん!一翻数</vt:lpstr>
      <vt:lpstr>りくと!一翻数</vt:lpstr>
      <vt:lpstr>れんたろう!一翻数</vt:lpstr>
      <vt:lpstr>わさび!一翻数</vt:lpstr>
      <vt:lpstr>全体!一翻数</vt:lpstr>
      <vt:lpstr>一翻数</vt:lpstr>
      <vt:lpstr>いちかわ!一翻率</vt:lpstr>
      <vt:lpstr>だいち!一翻率</vt:lpstr>
      <vt:lpstr>たか!一翻率</vt:lpstr>
      <vt:lpstr>たかの!一翻率</vt:lpstr>
      <vt:lpstr>ただ!一翻率</vt:lpstr>
      <vt:lpstr>のり!一翻率</vt:lpstr>
      <vt:lpstr>まっつん!一翻率</vt:lpstr>
      <vt:lpstr>りくと!一翻率</vt:lpstr>
      <vt:lpstr>れんたろう!一翻率</vt:lpstr>
      <vt:lpstr>わさび!一翻率</vt:lpstr>
      <vt:lpstr>全体!一翻率</vt:lpstr>
      <vt:lpstr>一翻率</vt:lpstr>
      <vt:lpstr>Template1!現行連続アガリ</vt:lpstr>
      <vt:lpstr>いちかわ!現行連続アガリ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のり!現行連続アガリ</vt:lpstr>
      <vt:lpstr>まっつん!現行連続アガリ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Template1!現行連続無放銃</vt:lpstr>
      <vt:lpstr>いちかわ!現行連続無放銃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のり!現行連続無放銃</vt:lpstr>
      <vt:lpstr>まっつん!現行連続無放銃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Template1!最高点</vt:lpstr>
      <vt:lpstr>いちかわ!最高点</vt:lpstr>
      <vt:lpstr>だいち!最高点</vt:lpstr>
      <vt:lpstr>たか!最高点</vt:lpstr>
      <vt:lpstr>たかの!最高点</vt:lpstr>
      <vt:lpstr>ただ!最高点</vt:lpstr>
      <vt:lpstr>のり!最高点</vt:lpstr>
      <vt:lpstr>まっつん!最高点</vt:lpstr>
      <vt:lpstr>りくと!最高点</vt:lpstr>
      <vt:lpstr>れんたろう!最高点</vt:lpstr>
      <vt:lpstr>わさび!最高点</vt:lpstr>
      <vt:lpstr>全体!最高点</vt:lpstr>
      <vt:lpstr>Template1!最大ドラ数</vt:lpstr>
      <vt:lpstr>いちかわ!最大ドラ数</vt:lpstr>
      <vt:lpstr>だいち!最大ドラ数</vt:lpstr>
      <vt:lpstr>たか!最大ドラ数</vt:lpstr>
      <vt:lpstr>たかの!最大ドラ数</vt:lpstr>
      <vt:lpstr>ただ!最大ドラ数</vt:lpstr>
      <vt:lpstr>のり!最大ドラ数</vt:lpstr>
      <vt:lpstr>まっつん!最大ドラ数</vt:lpstr>
      <vt:lpstr>りくと!最大ドラ数</vt:lpstr>
      <vt:lpstr>れんたろう!最大ドラ数</vt:lpstr>
      <vt:lpstr>わさび!最大ドラ数</vt:lpstr>
      <vt:lpstr>全体!最大ドラ数</vt:lpstr>
      <vt:lpstr>Template1!最大点数</vt:lpstr>
      <vt:lpstr>いちかわ!最大点数</vt:lpstr>
      <vt:lpstr>だいち!最大点数</vt:lpstr>
      <vt:lpstr>たか!最大点数</vt:lpstr>
      <vt:lpstr>たかの!最大点数</vt:lpstr>
      <vt:lpstr>ただ!最大点数</vt:lpstr>
      <vt:lpstr>のり!最大点数</vt:lpstr>
      <vt:lpstr>まっつん!最大点数</vt:lpstr>
      <vt:lpstr>りくと!最大点数</vt:lpstr>
      <vt:lpstr>れんたろう!最大点数</vt:lpstr>
      <vt:lpstr>わさび!最大点数</vt:lpstr>
      <vt:lpstr>全体!最大点数</vt:lpstr>
      <vt:lpstr>いちかわ!三位スコア</vt:lpstr>
      <vt:lpstr>だいち!三位スコア</vt:lpstr>
      <vt:lpstr>たか!三位スコア</vt:lpstr>
      <vt:lpstr>たかの!三位スコア</vt:lpstr>
      <vt:lpstr>ただ!三位スコア</vt:lpstr>
      <vt:lpstr>のり!三位スコア</vt:lpstr>
      <vt:lpstr>まっつん!三位スコア</vt:lpstr>
      <vt:lpstr>りくと!三位スコア</vt:lpstr>
      <vt:lpstr>れんたろう!三位スコア</vt:lpstr>
      <vt:lpstr>わさび!三位スコア</vt:lpstr>
      <vt:lpstr>全体!三位スコア</vt:lpstr>
      <vt:lpstr>三位スコア</vt:lpstr>
      <vt:lpstr>いちかわ!三位通算スコア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のり!三位通算スコア</vt:lpstr>
      <vt:lpstr>まっつん!三位通算スコア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三位通算スコア</vt:lpstr>
      <vt:lpstr>Template1!総局数</vt:lpstr>
      <vt:lpstr>いちかわ!総局数</vt:lpstr>
      <vt:lpstr>だいち!総局数</vt:lpstr>
      <vt:lpstr>たか!総局数</vt:lpstr>
      <vt:lpstr>たかの!総局数</vt:lpstr>
      <vt:lpstr>ただ!総局数</vt:lpstr>
      <vt:lpstr>のり!総局数</vt:lpstr>
      <vt:lpstr>まっつん!総局数</vt:lpstr>
      <vt:lpstr>りくと!総局数</vt:lpstr>
      <vt:lpstr>れんたろう!総局数</vt:lpstr>
      <vt:lpstr>わさび!総局数</vt:lpstr>
      <vt:lpstr>全体!総局数</vt:lpstr>
      <vt:lpstr>Template1!対戦数</vt:lpstr>
      <vt:lpstr>いちかわ!対戦数</vt:lpstr>
      <vt:lpstr>だいち!対戦数</vt:lpstr>
      <vt:lpstr>たか!対戦数</vt:lpstr>
      <vt:lpstr>たかの!対戦数</vt:lpstr>
      <vt:lpstr>ただ!対戦数</vt:lpstr>
      <vt:lpstr>のり!対戦数</vt:lpstr>
      <vt:lpstr>まっつん!対戦数</vt:lpstr>
      <vt:lpstr>りくと!対戦数</vt:lpstr>
      <vt:lpstr>れんたろう!対戦数</vt:lpstr>
      <vt:lpstr>わさび!対戦数</vt:lpstr>
      <vt:lpstr>全体!対戦数</vt:lpstr>
      <vt:lpstr>Template1!通算アガリ点</vt:lpstr>
      <vt:lpstr>いちかわ!通算アガリ点</vt:lpstr>
      <vt:lpstr>だいち!通算アガリ点</vt:lpstr>
      <vt:lpstr>たか!通算アガリ点</vt:lpstr>
      <vt:lpstr>たかの!通算アガリ点</vt:lpstr>
      <vt:lpstr>ただ!通算アガリ点</vt:lpstr>
      <vt:lpstr>のり!通算アガリ点</vt:lpstr>
      <vt:lpstr>まっつん!通算アガリ点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Template1!通算スコア</vt:lpstr>
      <vt:lpstr>いちかわ!通算スコア</vt:lpstr>
      <vt:lpstr>だいち!通算スコア</vt:lpstr>
      <vt:lpstr>たか!通算スコア</vt:lpstr>
      <vt:lpstr>たかの!通算スコア</vt:lpstr>
      <vt:lpstr>ただ!通算スコア</vt:lpstr>
      <vt:lpstr>のり!通算スコア</vt:lpstr>
      <vt:lpstr>まっつん!通算スコア</vt:lpstr>
      <vt:lpstr>りくと!通算スコア</vt:lpstr>
      <vt:lpstr>れんたろう!通算スコア</vt:lpstr>
      <vt:lpstr>わさび!通算スコア</vt:lpstr>
      <vt:lpstr>全体!通算スコア</vt:lpstr>
      <vt:lpstr>Template1!通算副露アガリ点</vt:lpstr>
      <vt:lpstr>いちかわ!通算副露アガリ点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のり!通算副露アガリ点</vt:lpstr>
      <vt:lpstr>まっつん!通算副露アガリ点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Template1!通算放銃点</vt:lpstr>
      <vt:lpstr>いちかわ!通算放銃点</vt:lpstr>
      <vt:lpstr>だいち!通算放銃点</vt:lpstr>
      <vt:lpstr>たか!通算放銃点</vt:lpstr>
      <vt:lpstr>たかの!通算放銃点</vt:lpstr>
      <vt:lpstr>ただ!通算放銃点</vt:lpstr>
      <vt:lpstr>のり!通算放銃点</vt:lpstr>
      <vt:lpstr>まっつん!通算放銃点</vt:lpstr>
      <vt:lpstr>りくと!通算放銃点</vt:lpstr>
      <vt:lpstr>れんたろう!通算放銃点</vt:lpstr>
      <vt:lpstr>わさび!通算放銃点</vt:lpstr>
      <vt:lpstr>全体!通算放銃点</vt:lpstr>
      <vt:lpstr>Template1!通算門前アガリ点</vt:lpstr>
      <vt:lpstr>いちかわ!通算門前アガリ点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のり!通算門前アガリ点</vt:lpstr>
      <vt:lpstr>まっつん!通算門前アガリ点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いちかわ!二位スコア</vt:lpstr>
      <vt:lpstr>だいち!二位スコア</vt:lpstr>
      <vt:lpstr>たか!二位スコア</vt:lpstr>
      <vt:lpstr>たかの!二位スコア</vt:lpstr>
      <vt:lpstr>ただ!二位スコア</vt:lpstr>
      <vt:lpstr>のり!二位スコア</vt:lpstr>
      <vt:lpstr>まっつん!二位スコア</vt:lpstr>
      <vt:lpstr>りくと!二位スコア</vt:lpstr>
      <vt:lpstr>れんたろう!二位スコア</vt:lpstr>
      <vt:lpstr>わさび!二位スコア</vt:lpstr>
      <vt:lpstr>全体!二位スコア</vt:lpstr>
      <vt:lpstr>二位スコア</vt:lpstr>
      <vt:lpstr>Template1!二位数</vt:lpstr>
      <vt:lpstr>いちかわ!二位数</vt:lpstr>
      <vt:lpstr>だいち!二位数</vt:lpstr>
      <vt:lpstr>たか!二位数</vt:lpstr>
      <vt:lpstr>たかの!二位数</vt:lpstr>
      <vt:lpstr>ただ!二位数</vt:lpstr>
      <vt:lpstr>のり!二位数</vt:lpstr>
      <vt:lpstr>まっつん!二位数</vt:lpstr>
      <vt:lpstr>りくと!二位数</vt:lpstr>
      <vt:lpstr>れんたろう!二位数</vt:lpstr>
      <vt:lpstr>わさび!二位数</vt:lpstr>
      <vt:lpstr>全体!二位数</vt:lpstr>
      <vt:lpstr>いちかわ!二位通算スコア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のり!二位通算スコア</vt:lpstr>
      <vt:lpstr>まっつん!二位通算スコア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二位通算スコア</vt:lpstr>
      <vt:lpstr>Template1!二位率</vt:lpstr>
      <vt:lpstr>いちかわ!二位率</vt:lpstr>
      <vt:lpstr>だいち!二位率</vt:lpstr>
      <vt:lpstr>たか!二位率</vt:lpstr>
      <vt:lpstr>たかの!二位率</vt:lpstr>
      <vt:lpstr>ただ!二位率</vt:lpstr>
      <vt:lpstr>のり!二位率</vt:lpstr>
      <vt:lpstr>まっつん!二位率</vt:lpstr>
      <vt:lpstr>りくと!二位率</vt:lpstr>
      <vt:lpstr>れんたろう!二位率</vt:lpstr>
      <vt:lpstr>わさび!二位率</vt:lpstr>
      <vt:lpstr>全体!二位率</vt:lpstr>
      <vt:lpstr>Template1!副露アガリ数</vt:lpstr>
      <vt:lpstr>いちかわ!副露アガリ数</vt:lpstr>
      <vt:lpstr>だいち!副露アガリ数</vt:lpstr>
      <vt:lpstr>たか!副露アガリ数</vt:lpstr>
      <vt:lpstr>たかの!副露アガリ数</vt:lpstr>
      <vt:lpstr>ただ!副露アガリ数</vt:lpstr>
      <vt:lpstr>のり!副露アガリ数</vt:lpstr>
      <vt:lpstr>まっつん!副露アガリ数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Template1!副露アガリ点</vt:lpstr>
      <vt:lpstr>いちかわ!副露アガリ点</vt:lpstr>
      <vt:lpstr>だいち!副露アガリ点</vt:lpstr>
      <vt:lpstr>たか!副露アガリ点</vt:lpstr>
      <vt:lpstr>たかの!副露アガリ点</vt:lpstr>
      <vt:lpstr>ただ!副露アガリ点</vt:lpstr>
      <vt:lpstr>のり!副露アガリ点</vt:lpstr>
      <vt:lpstr>まっつん!副露アガリ点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Template1!副露アガリ率</vt:lpstr>
      <vt:lpstr>いちかわ!副露アガリ率</vt:lpstr>
      <vt:lpstr>だいち!副露アガリ率</vt:lpstr>
      <vt:lpstr>たか!副露アガリ率</vt:lpstr>
      <vt:lpstr>たかの!副露アガリ率</vt:lpstr>
      <vt:lpstr>ただ!副露アガリ率</vt:lpstr>
      <vt:lpstr>のり!副露アガリ率</vt:lpstr>
      <vt:lpstr>まっつん!副露アガリ率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Template1!副露数</vt:lpstr>
      <vt:lpstr>いちかわ!副露数</vt:lpstr>
      <vt:lpstr>だいち!副露数</vt:lpstr>
      <vt:lpstr>たか!副露数</vt:lpstr>
      <vt:lpstr>たかの!副露数</vt:lpstr>
      <vt:lpstr>ただ!副露数</vt:lpstr>
      <vt:lpstr>のり!副露数</vt:lpstr>
      <vt:lpstr>まっつん!副露数</vt:lpstr>
      <vt:lpstr>りくと!副露数</vt:lpstr>
      <vt:lpstr>れんたろう!副露数</vt:lpstr>
      <vt:lpstr>わさび!副露数</vt:lpstr>
      <vt:lpstr>全体!副露数</vt:lpstr>
      <vt:lpstr>Template1!副露成功数</vt:lpstr>
      <vt:lpstr>いちかわ!副露成功数</vt:lpstr>
      <vt:lpstr>だいち!副露成功数</vt:lpstr>
      <vt:lpstr>たか!副露成功数</vt:lpstr>
      <vt:lpstr>たかの!副露成功数</vt:lpstr>
      <vt:lpstr>ただ!副露成功数</vt:lpstr>
      <vt:lpstr>のり!副露成功数</vt:lpstr>
      <vt:lpstr>まっつん!副露成功数</vt:lpstr>
      <vt:lpstr>りくと!副露成功数</vt:lpstr>
      <vt:lpstr>れんたろう!副露成功数</vt:lpstr>
      <vt:lpstr>わさび!副露成功数</vt:lpstr>
      <vt:lpstr>全体!副露成功数</vt:lpstr>
      <vt:lpstr>Template1!副露成功率</vt:lpstr>
      <vt:lpstr>いちかわ!副露成功率</vt:lpstr>
      <vt:lpstr>だいち!副露成功率</vt:lpstr>
      <vt:lpstr>たか!副露成功率</vt:lpstr>
      <vt:lpstr>たかの!副露成功率</vt:lpstr>
      <vt:lpstr>ただ!副露成功率</vt:lpstr>
      <vt:lpstr>のり!副露成功率</vt:lpstr>
      <vt:lpstr>まっつん!副露成功率</vt:lpstr>
      <vt:lpstr>りくと!副露成功率</vt:lpstr>
      <vt:lpstr>れんたろう!副露成功率</vt:lpstr>
      <vt:lpstr>わさび!副露成功率</vt:lpstr>
      <vt:lpstr>全体!副露成功率</vt:lpstr>
      <vt:lpstr>Template1!副露率</vt:lpstr>
      <vt:lpstr>いちかわ!副露率</vt:lpstr>
      <vt:lpstr>だいち!副露率</vt:lpstr>
      <vt:lpstr>たか!副露率</vt:lpstr>
      <vt:lpstr>たかの!副露率</vt:lpstr>
      <vt:lpstr>ただ!副露率</vt:lpstr>
      <vt:lpstr>のり!副露率</vt:lpstr>
      <vt:lpstr>まっつん!副露率</vt:lpstr>
      <vt:lpstr>りくと!副露率</vt:lpstr>
      <vt:lpstr>れんたろう!副露率</vt:lpstr>
      <vt:lpstr>わさび!副露率</vt:lpstr>
      <vt:lpstr>全体!副露率</vt:lpstr>
      <vt:lpstr>Template1!平均アガリ点</vt:lpstr>
      <vt:lpstr>いちかわ!平均アガリ点</vt:lpstr>
      <vt:lpstr>だいち!平均アガリ点</vt:lpstr>
      <vt:lpstr>たか!平均アガリ点</vt:lpstr>
      <vt:lpstr>たかの!平均アガリ点</vt:lpstr>
      <vt:lpstr>ただ!平均アガリ点</vt:lpstr>
      <vt:lpstr>のり!平均アガリ点</vt:lpstr>
      <vt:lpstr>まっつん!平均アガリ点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Template1!平均スコア</vt:lpstr>
      <vt:lpstr>いちかわ!平均スコア</vt:lpstr>
      <vt:lpstr>だいち!平均スコア</vt:lpstr>
      <vt:lpstr>たか!平均スコア</vt:lpstr>
      <vt:lpstr>たかの!平均スコア</vt:lpstr>
      <vt:lpstr>ただ!平均スコア</vt:lpstr>
      <vt:lpstr>のり!平均スコア</vt:lpstr>
      <vt:lpstr>まっつん!平均スコア</vt:lpstr>
      <vt:lpstr>りくと!平均スコア</vt:lpstr>
      <vt:lpstr>れんたろう!平均スコア</vt:lpstr>
      <vt:lpstr>わさび!平均スコア</vt:lpstr>
      <vt:lpstr>全体!平均スコア</vt:lpstr>
      <vt:lpstr>Template1!平均順位</vt:lpstr>
      <vt:lpstr>いちかわ!平均順位</vt:lpstr>
      <vt:lpstr>だいち!平均順位</vt:lpstr>
      <vt:lpstr>たか!平均順位</vt:lpstr>
      <vt:lpstr>たかの!平均順位</vt:lpstr>
      <vt:lpstr>ただ!平均順位</vt:lpstr>
      <vt:lpstr>のり!平均順位</vt:lpstr>
      <vt:lpstr>まっつん!平均順位</vt:lpstr>
      <vt:lpstr>りくと!平均順位</vt:lpstr>
      <vt:lpstr>れんたろう!平均順位</vt:lpstr>
      <vt:lpstr>わさび!平均順位</vt:lpstr>
      <vt:lpstr>全体!平均順位</vt:lpstr>
      <vt:lpstr>Template1!平均放銃点</vt:lpstr>
      <vt:lpstr>いちかわ!平均放銃点</vt:lpstr>
      <vt:lpstr>だいち!平均放銃点</vt:lpstr>
      <vt:lpstr>たか!平均放銃点</vt:lpstr>
      <vt:lpstr>たかの!平均放銃点</vt:lpstr>
      <vt:lpstr>ただ!平均放銃点</vt:lpstr>
      <vt:lpstr>のり!平均放銃点</vt:lpstr>
      <vt:lpstr>まっつん!平均放銃点</vt:lpstr>
      <vt:lpstr>りくと!平均放銃点</vt:lpstr>
      <vt:lpstr>れんたろう!平均放銃点</vt:lpstr>
      <vt:lpstr>わさび!平均放銃点</vt:lpstr>
      <vt:lpstr>全体!平均放銃点</vt:lpstr>
      <vt:lpstr>Template1!放銃数</vt:lpstr>
      <vt:lpstr>いちかわ!放銃数</vt:lpstr>
      <vt:lpstr>だいち!放銃数</vt:lpstr>
      <vt:lpstr>たか!放銃数</vt:lpstr>
      <vt:lpstr>たかの!放銃数</vt:lpstr>
      <vt:lpstr>ただ!放銃数</vt:lpstr>
      <vt:lpstr>のり!放銃数</vt:lpstr>
      <vt:lpstr>まっつん!放銃数</vt:lpstr>
      <vt:lpstr>りくと!放銃数</vt:lpstr>
      <vt:lpstr>れんたろう!放銃数</vt:lpstr>
      <vt:lpstr>わさび!放銃数</vt:lpstr>
      <vt:lpstr>全体!放銃数</vt:lpstr>
      <vt:lpstr>Template1!放銃率</vt:lpstr>
      <vt:lpstr>いちかわ!放銃率</vt:lpstr>
      <vt:lpstr>だいち!放銃率</vt:lpstr>
      <vt:lpstr>たか!放銃率</vt:lpstr>
      <vt:lpstr>たかの!放銃率</vt:lpstr>
      <vt:lpstr>ただ!放銃率</vt:lpstr>
      <vt:lpstr>のり!放銃率</vt:lpstr>
      <vt:lpstr>まっつん!放銃率</vt:lpstr>
      <vt:lpstr>りくと!放銃率</vt:lpstr>
      <vt:lpstr>れんたろう!放銃率</vt:lpstr>
      <vt:lpstr>わさび!放銃率</vt:lpstr>
      <vt:lpstr>全体!放銃率</vt:lpstr>
      <vt:lpstr>Template1!名前</vt:lpstr>
      <vt:lpstr>いちかわ!名前</vt:lpstr>
      <vt:lpstr>だいち!名前</vt:lpstr>
      <vt:lpstr>たか!名前</vt:lpstr>
      <vt:lpstr>たかの!名前</vt:lpstr>
      <vt:lpstr>ただ!名前</vt:lpstr>
      <vt:lpstr>のり!名前</vt:lpstr>
      <vt:lpstr>まっつん!名前</vt:lpstr>
      <vt:lpstr>りくと!名前</vt:lpstr>
      <vt:lpstr>れんたろう!名前</vt:lpstr>
      <vt:lpstr>わさび!名前</vt:lpstr>
      <vt:lpstr>全体!名前</vt:lpstr>
      <vt:lpstr>Template1!門前アガリ点</vt:lpstr>
      <vt:lpstr>いちかわ!門前アガリ点</vt:lpstr>
      <vt:lpstr>だいち!門前アガリ点</vt:lpstr>
      <vt:lpstr>たか!門前アガリ点</vt:lpstr>
      <vt:lpstr>たかの!門前アガリ点</vt:lpstr>
      <vt:lpstr>ただ!門前アガリ点</vt:lpstr>
      <vt:lpstr>のり!門前アガリ点</vt:lpstr>
      <vt:lpstr>まっつん!門前アガリ点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Template1!連続アガリ</vt:lpstr>
      <vt:lpstr>いちかわ!連続アガリ</vt:lpstr>
      <vt:lpstr>だいち!連続アガリ</vt:lpstr>
      <vt:lpstr>たか!連続アガリ</vt:lpstr>
      <vt:lpstr>たかの!連続アガリ</vt:lpstr>
      <vt:lpstr>ただ!連続アガリ</vt:lpstr>
      <vt:lpstr>のり!連続アガリ</vt:lpstr>
      <vt:lpstr>まっつん!連続アガリ</vt:lpstr>
      <vt:lpstr>りくと!連続アガリ</vt:lpstr>
      <vt:lpstr>れんたろう!連続アガリ</vt:lpstr>
      <vt:lpstr>わさび!連続アガリ</vt:lpstr>
      <vt:lpstr>全体!連続アガリ</vt:lpstr>
      <vt:lpstr>Template1!連続無放銃</vt:lpstr>
      <vt:lpstr>いちかわ!連続無放銃</vt:lpstr>
      <vt:lpstr>だいち!連続無放銃</vt:lpstr>
      <vt:lpstr>たか!連続無放銃</vt:lpstr>
      <vt:lpstr>たかの!連続無放銃</vt:lpstr>
      <vt:lpstr>ただ!連続無放銃</vt:lpstr>
      <vt:lpstr>のり!連続無放銃</vt:lpstr>
      <vt:lpstr>まっつん!連続無放銃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2020-10-26T09:24:48Z</dcterms:modified>
</cp:coreProperties>
</file>