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E1BBD4B3-48C0-4DEA-9D11-5AC2014BE01C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58" r:id="rId6"/>
    <sheet name="だいち" sheetId="6960" r:id="rId7"/>
    <sheet name="れんたろう" sheetId="6962" r:id="rId8"/>
    <sheet name="たかの" sheetId="6964" r:id="rId9"/>
    <sheet name="まっつん" sheetId="6966" r:id="rId10"/>
    <sheet name="いちかわ" sheetId="6968" r:id="rId11"/>
    <sheet name="ただ" sheetId="6970" r:id="rId12"/>
    <sheet name="たか" sheetId="6972" r:id="rId13"/>
    <sheet name="のり" sheetId="6974" r:id="rId14"/>
    <sheet name="りくと" sheetId="6976" r:id="rId15"/>
    <sheet name="わさび" sheetId="6978" r:id="rId16"/>
    <sheet name="わさび2" sheetId="6979" state="hidden" r:id="rId17"/>
    <sheet name="りくと2" sheetId="6977" state="hidden" r:id="rId18"/>
    <sheet name="のり2" sheetId="6975" state="hidden" r:id="rId19"/>
    <sheet name="たか2" sheetId="6973" state="hidden" r:id="rId20"/>
    <sheet name="ただ2" sheetId="6971" state="hidden" r:id="rId21"/>
    <sheet name="いちかわ2" sheetId="6969" state="hidden" r:id="rId22"/>
    <sheet name="まっつん2" sheetId="6967" state="hidden" r:id="rId23"/>
    <sheet name="たかの2" sheetId="6965" state="hidden" r:id="rId24"/>
    <sheet name="れんたろう2" sheetId="6963" state="hidden" r:id="rId25"/>
    <sheet name="だいち2" sheetId="6961" state="hidden" r:id="rId26"/>
    <sheet name="全体2" sheetId="695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76" l="1"/>
  <c r="P19" i="6966"/>
  <c r="P16" i="6962" l="1"/>
  <c r="P18" i="6966"/>
  <c r="P15" i="6976" l="1"/>
  <c r="P21" i="6962"/>
  <c r="P16" i="6964" l="1"/>
  <c r="P20" i="6966"/>
  <c r="P21" i="6970"/>
  <c r="P16" i="6966"/>
  <c r="P19" i="6972" l="1"/>
  <c r="P15" i="6964"/>
  <c r="P18" i="6976" l="1"/>
  <c r="P21" i="6960"/>
  <c r="P19" i="6968" l="1"/>
  <c r="P18" i="6964"/>
  <c r="P15" i="6970" l="1"/>
  <c r="P18" i="6970"/>
  <c r="P20" i="6976"/>
  <c r="P17" i="6978"/>
  <c r="P17" i="6968"/>
  <c r="P22" i="6968"/>
  <c r="P15" i="6978"/>
  <c r="P16" i="6978"/>
  <c r="C35" i="6978"/>
  <c r="H34" i="6978"/>
  <c r="H31" i="6978"/>
  <c r="B30" i="6978"/>
  <c r="C21" i="6978"/>
  <c r="B20" i="6978"/>
  <c r="H52" i="6978" s="1"/>
  <c r="H21" i="6978"/>
  <c r="B19" i="6978"/>
  <c r="C19" i="6978" s="1"/>
  <c r="C18" i="6978"/>
  <c r="B18" i="6978"/>
  <c r="C17" i="6978"/>
  <c r="C16" i="6978"/>
  <c r="C15" i="6978"/>
  <c r="B13" i="6978"/>
  <c r="P12" i="6978"/>
  <c r="H15" i="6978"/>
  <c r="B12" i="6978"/>
  <c r="P11" i="6978"/>
  <c r="B11" i="6978"/>
  <c r="P10" i="6978"/>
  <c r="C10" i="6978"/>
  <c r="H13" i="6978"/>
  <c r="C9" i="6978"/>
  <c r="C8" i="6978"/>
  <c r="P7" i="6978"/>
  <c r="B7" i="6978"/>
  <c r="P6" i="6978"/>
  <c r="P5" i="6978"/>
  <c r="B5" i="6978"/>
  <c r="P4" i="6978"/>
  <c r="P3" i="6978"/>
  <c r="P2" i="6978"/>
  <c r="P19" i="6958"/>
  <c r="P17" i="6976"/>
  <c r="P19" i="6976"/>
  <c r="C35" i="6976"/>
  <c r="B30" i="6976"/>
  <c r="C21" i="6976"/>
  <c r="B20" i="6976"/>
  <c r="H52" i="6976" s="1"/>
  <c r="C19" i="6976"/>
  <c r="B19" i="6976"/>
  <c r="B29" i="6976" s="1"/>
  <c r="B18" i="6976"/>
  <c r="C18" i="6976" s="1"/>
  <c r="C17" i="6976"/>
  <c r="C16" i="6976"/>
  <c r="C15" i="6976"/>
  <c r="B13" i="6976"/>
  <c r="P12" i="6976"/>
  <c r="B12" i="6976"/>
  <c r="P11" i="6976"/>
  <c r="B11" i="6976"/>
  <c r="P10" i="6976"/>
  <c r="C10" i="6976"/>
  <c r="C9" i="6976"/>
  <c r="C8" i="6976"/>
  <c r="P7" i="6976"/>
  <c r="B7" i="6976"/>
  <c r="P6" i="6976"/>
  <c r="P5" i="6976"/>
  <c r="B5" i="6976"/>
  <c r="P4" i="6976"/>
  <c r="P3" i="6976"/>
  <c r="P2" i="6976"/>
  <c r="P17" i="6958"/>
  <c r="B14" i="6976" l="1"/>
  <c r="H10" i="6976"/>
  <c r="B29" i="6978"/>
  <c r="C24" i="6978"/>
  <c r="H4" i="6978"/>
  <c r="H5" i="6978"/>
  <c r="H7" i="6978"/>
  <c r="C25" i="6978"/>
  <c r="B14" i="6978"/>
  <c r="C41" i="6978"/>
  <c r="H43" i="6978"/>
  <c r="H44" i="6978"/>
  <c r="H19" i="6978"/>
  <c r="H28" i="6978"/>
  <c r="C45" i="6978"/>
  <c r="B27" i="6978"/>
  <c r="C26" i="6978"/>
  <c r="H3" i="6978"/>
  <c r="H37" i="6978"/>
  <c r="H2" i="6978"/>
  <c r="H11" i="6978"/>
  <c r="C37" i="6978"/>
  <c r="H17" i="6978"/>
  <c r="C22" i="6978"/>
  <c r="B28" i="6978"/>
  <c r="H39" i="6978"/>
  <c r="H48" i="6978"/>
  <c r="H47" i="6978"/>
  <c r="H14" i="6978"/>
  <c r="H20" i="6978"/>
  <c r="H24" i="6978"/>
  <c r="H40" i="6978"/>
  <c r="C49" i="6978"/>
  <c r="H10" i="6978"/>
  <c r="C20" i="6978"/>
  <c r="H16" i="6978"/>
  <c r="H6" i="6978"/>
  <c r="H12" i="6978"/>
  <c r="H18" i="6978"/>
  <c r="C23" i="6978"/>
  <c r="H41" i="6978"/>
  <c r="H9" i="6978"/>
  <c r="H23" i="6978"/>
  <c r="H27" i="6978"/>
  <c r="H30" i="6978"/>
  <c r="H36" i="6978"/>
  <c r="C40" i="6978"/>
  <c r="C44" i="6978"/>
  <c r="C48" i="6978"/>
  <c r="H45" i="6978"/>
  <c r="H49" i="6978"/>
  <c r="H32" i="6978"/>
  <c r="H38" i="6978"/>
  <c r="H42" i="6978"/>
  <c r="H46" i="6978"/>
  <c r="H50" i="6978"/>
  <c r="H25" i="6978"/>
  <c r="H8" i="6978"/>
  <c r="H33" i="6978"/>
  <c r="C38" i="6978"/>
  <c r="C42" i="6978"/>
  <c r="C46" i="6978"/>
  <c r="H51" i="6978"/>
  <c r="H22" i="6978"/>
  <c r="H26" i="6978"/>
  <c r="H29" i="6978"/>
  <c r="H35" i="6978"/>
  <c r="C39" i="6978"/>
  <c r="C43" i="6978"/>
  <c r="C47" i="6978"/>
  <c r="C20" i="6976"/>
  <c r="H7" i="6976"/>
  <c r="H6" i="6976"/>
  <c r="H33" i="6976"/>
  <c r="C46" i="6976"/>
  <c r="H2" i="6976"/>
  <c r="H8" i="6976"/>
  <c r="H16" i="6976"/>
  <c r="H18" i="6976"/>
  <c r="C25" i="6976"/>
  <c r="H40" i="6976"/>
  <c r="H44" i="6976"/>
  <c r="H48" i="6976"/>
  <c r="H27" i="6976"/>
  <c r="H30" i="6976"/>
  <c r="C40" i="6976"/>
  <c r="C44" i="6976"/>
  <c r="C22" i="6976"/>
  <c r="C26" i="6976"/>
  <c r="H37" i="6976"/>
  <c r="H41" i="6976"/>
  <c r="H45" i="6976"/>
  <c r="H49" i="6976"/>
  <c r="H5" i="6976"/>
  <c r="H15" i="6976"/>
  <c r="H17" i="6976"/>
  <c r="H24" i="6976"/>
  <c r="H28" i="6976"/>
  <c r="H31" i="6976"/>
  <c r="C37" i="6976"/>
  <c r="C41" i="6976"/>
  <c r="C45" i="6976"/>
  <c r="C49" i="6976"/>
  <c r="H21" i="6976"/>
  <c r="H23" i="6976"/>
  <c r="H36" i="6976"/>
  <c r="C48" i="6976"/>
  <c r="H4" i="6976"/>
  <c r="H19" i="6976"/>
  <c r="H9" i="6976"/>
  <c r="H12" i="6976"/>
  <c r="H13" i="6976"/>
  <c r="C23" i="6976"/>
  <c r="B27" i="6976"/>
  <c r="H32" i="6976"/>
  <c r="H38" i="6976"/>
  <c r="H42" i="6976"/>
  <c r="H46" i="6976"/>
  <c r="H50" i="6976"/>
  <c r="H25" i="6976"/>
  <c r="H14" i="6976"/>
  <c r="C38" i="6976"/>
  <c r="C42" i="6976"/>
  <c r="H51" i="6976"/>
  <c r="H11" i="6976"/>
  <c r="H20" i="6976"/>
  <c r="C24" i="6976"/>
  <c r="B28" i="6976"/>
  <c r="H34" i="6976"/>
  <c r="H39" i="6976"/>
  <c r="H43" i="6976"/>
  <c r="H47" i="6976"/>
  <c r="H3" i="6976"/>
  <c r="H22" i="6976"/>
  <c r="H26" i="6976"/>
  <c r="H29" i="6976"/>
  <c r="H35" i="6976"/>
  <c r="C39" i="6976"/>
  <c r="C43" i="6976"/>
  <c r="C47" i="6976"/>
  <c r="P20" i="6962" l="1"/>
  <c r="P19" i="6970"/>
  <c r="P15" i="6968"/>
  <c r="P16" i="6970"/>
  <c r="P22" i="6970"/>
  <c r="P18" i="6972"/>
  <c r="P18" i="6968"/>
  <c r="P20" i="6972"/>
  <c r="P17" i="6962"/>
  <c r="P15" i="6962"/>
  <c r="P17" i="6974" l="1"/>
  <c r="P16" i="6972"/>
  <c r="P15" i="6960"/>
  <c r="P16" i="6960"/>
  <c r="P16" i="6974"/>
  <c r="P15" i="6974"/>
  <c r="C35" i="6974"/>
  <c r="B30" i="6974"/>
  <c r="C21" i="6974"/>
  <c r="B20" i="6974"/>
  <c r="H5" i="6974" s="1"/>
  <c r="H9" i="6974"/>
  <c r="B19" i="6974"/>
  <c r="B29" i="6974" s="1"/>
  <c r="B18" i="6974"/>
  <c r="C18" i="6974" s="1"/>
  <c r="C17" i="6974"/>
  <c r="C16" i="6974"/>
  <c r="C15" i="6974"/>
  <c r="H18" i="6974"/>
  <c r="B13" i="6974"/>
  <c r="P12" i="6974"/>
  <c r="B12" i="6974"/>
  <c r="B14" i="6974" s="1"/>
  <c r="P11" i="6974"/>
  <c r="B11" i="6974"/>
  <c r="P10" i="6974"/>
  <c r="C10" i="6974"/>
  <c r="C9" i="6974"/>
  <c r="C8" i="6974"/>
  <c r="P7" i="6974"/>
  <c r="B7" i="6974"/>
  <c r="P6" i="6974"/>
  <c r="P5" i="6974"/>
  <c r="B5" i="6974"/>
  <c r="P4" i="6974"/>
  <c r="P3" i="6974"/>
  <c r="H8" i="6974"/>
  <c r="P2" i="6974"/>
  <c r="H6" i="6974"/>
  <c r="P17" i="6972"/>
  <c r="P15" i="6972"/>
  <c r="C35" i="6972"/>
  <c r="B30" i="6972"/>
  <c r="C21" i="6972"/>
  <c r="B20" i="6972"/>
  <c r="H52" i="6972" s="1"/>
  <c r="B19" i="6972"/>
  <c r="B29" i="6972" s="1"/>
  <c r="B18" i="6972"/>
  <c r="C18" i="6972" s="1"/>
  <c r="C17" i="6972"/>
  <c r="C16" i="6972"/>
  <c r="C15" i="6972"/>
  <c r="B13" i="6972"/>
  <c r="P12" i="6972"/>
  <c r="B12" i="6972"/>
  <c r="P11" i="6972"/>
  <c r="B11" i="6972"/>
  <c r="P10" i="6972"/>
  <c r="C10" i="6972"/>
  <c r="C9" i="6972"/>
  <c r="C8" i="6972"/>
  <c r="P7" i="6972"/>
  <c r="B7" i="6972"/>
  <c r="P6" i="6972"/>
  <c r="P5" i="6972"/>
  <c r="B5" i="6972"/>
  <c r="P4" i="6972"/>
  <c r="P3" i="6972"/>
  <c r="P2" i="6972"/>
  <c r="P21" i="6968"/>
  <c r="P16" i="6968"/>
  <c r="P15" i="6958"/>
  <c r="P16" i="6958"/>
  <c r="B14" i="6972" l="1"/>
  <c r="C22" i="6974"/>
  <c r="H15" i="6974"/>
  <c r="C43" i="6974"/>
  <c r="H13" i="6974"/>
  <c r="C23" i="6974"/>
  <c r="H26" i="6974"/>
  <c r="C47" i="6974"/>
  <c r="H42" i="6974"/>
  <c r="H46" i="6974"/>
  <c r="C25" i="6974"/>
  <c r="H19" i="6974"/>
  <c r="H44" i="6974"/>
  <c r="H14" i="6974"/>
  <c r="H7" i="6974"/>
  <c r="C19" i="6974"/>
  <c r="H32" i="6974"/>
  <c r="H11" i="6974"/>
  <c r="H16" i="6974"/>
  <c r="H20" i="6974"/>
  <c r="H35" i="6974"/>
  <c r="C26" i="6974"/>
  <c r="H38" i="6974"/>
  <c r="H48" i="6974"/>
  <c r="C20" i="6974"/>
  <c r="B27" i="6974"/>
  <c r="H50" i="6974"/>
  <c r="H2" i="6974"/>
  <c r="C39" i="6974"/>
  <c r="H3" i="6974"/>
  <c r="H12" i="6974"/>
  <c r="H17" i="6974"/>
  <c r="H21" i="6974"/>
  <c r="H23" i="6974"/>
  <c r="H29" i="6974"/>
  <c r="H40" i="6974"/>
  <c r="H52" i="6974"/>
  <c r="H22" i="6974"/>
  <c r="H10" i="6974"/>
  <c r="H27" i="6974"/>
  <c r="H30" i="6974"/>
  <c r="H36" i="6974"/>
  <c r="C40" i="6974"/>
  <c r="C44" i="6974"/>
  <c r="C48" i="6974"/>
  <c r="H37" i="6974"/>
  <c r="H41" i="6974"/>
  <c r="H45" i="6974"/>
  <c r="H49" i="6974"/>
  <c r="H24" i="6974"/>
  <c r="H28" i="6974"/>
  <c r="H31" i="6974"/>
  <c r="C37" i="6974"/>
  <c r="C41" i="6974"/>
  <c r="C45" i="6974"/>
  <c r="C49" i="6974"/>
  <c r="H25" i="6974"/>
  <c r="H4" i="6974"/>
  <c r="H33" i="6974"/>
  <c r="C38" i="6974"/>
  <c r="C42" i="6974"/>
  <c r="C46" i="6974"/>
  <c r="H51" i="6974"/>
  <c r="C24" i="6974"/>
  <c r="B28" i="6974"/>
  <c r="H34" i="6974"/>
  <c r="H39" i="6974"/>
  <c r="H43" i="6974"/>
  <c r="H47" i="6974"/>
  <c r="C19" i="6972"/>
  <c r="C20" i="6972"/>
  <c r="C46" i="6972"/>
  <c r="H34" i="6972"/>
  <c r="C25" i="6972"/>
  <c r="H48" i="6972"/>
  <c r="H9" i="6972"/>
  <c r="H10" i="6972"/>
  <c r="H23" i="6972"/>
  <c r="H25" i="6972"/>
  <c r="H27" i="6972"/>
  <c r="H30" i="6972"/>
  <c r="H36" i="6972"/>
  <c r="C40" i="6972"/>
  <c r="C44" i="6972"/>
  <c r="C48" i="6972"/>
  <c r="H33" i="6972"/>
  <c r="H2" i="6972"/>
  <c r="C24" i="6972"/>
  <c r="C26" i="6972"/>
  <c r="H37" i="6972"/>
  <c r="H41" i="6972"/>
  <c r="H45" i="6972"/>
  <c r="H49" i="6972"/>
  <c r="H3" i="6972"/>
  <c r="H16" i="6972"/>
  <c r="C38" i="6972"/>
  <c r="H43" i="6972"/>
  <c r="H17" i="6972"/>
  <c r="H40" i="6972"/>
  <c r="H4" i="6972"/>
  <c r="H6" i="6972"/>
  <c r="H13" i="6972"/>
  <c r="H18" i="6972"/>
  <c r="H26" i="6972"/>
  <c r="H28" i="6972"/>
  <c r="H31" i="6972"/>
  <c r="C37" i="6972"/>
  <c r="C41" i="6972"/>
  <c r="C45" i="6972"/>
  <c r="C49" i="6972"/>
  <c r="H51" i="6972"/>
  <c r="H22" i="6972"/>
  <c r="H39" i="6972"/>
  <c r="H20" i="6972"/>
  <c r="H44" i="6972"/>
  <c r="H14" i="6972"/>
  <c r="C22" i="6972"/>
  <c r="H8" i="6972"/>
  <c r="H21" i="6972"/>
  <c r="H15" i="6972"/>
  <c r="C23" i="6972"/>
  <c r="B27" i="6972"/>
  <c r="H32" i="6972"/>
  <c r="H38" i="6972"/>
  <c r="H42" i="6972"/>
  <c r="H46" i="6972"/>
  <c r="H50" i="6972"/>
  <c r="H7" i="6972"/>
  <c r="C42" i="6972"/>
  <c r="H12" i="6972"/>
  <c r="H19" i="6972"/>
  <c r="B28" i="6972"/>
  <c r="H47" i="6972"/>
  <c r="H5" i="6972"/>
  <c r="H24" i="6972"/>
  <c r="H11" i="6972"/>
  <c r="H29" i="6972"/>
  <c r="H35" i="6972"/>
  <c r="C39" i="6972"/>
  <c r="C43" i="6972"/>
  <c r="C47" i="6972"/>
  <c r="P20" i="6964" l="1"/>
  <c r="P20" i="6970"/>
  <c r="P17" i="6970"/>
  <c r="C35" i="6970"/>
  <c r="B30" i="6970"/>
  <c r="C21" i="6970"/>
  <c r="B20" i="6970"/>
  <c r="H22" i="6970" s="1"/>
  <c r="C19" i="6970"/>
  <c r="B19" i="6970"/>
  <c r="B29" i="6970" s="1"/>
  <c r="B18" i="6970"/>
  <c r="C18" i="6970" s="1"/>
  <c r="C17" i="6970"/>
  <c r="C16" i="6970"/>
  <c r="C15" i="6970"/>
  <c r="B13" i="6970"/>
  <c r="P12" i="6970"/>
  <c r="B12" i="6970"/>
  <c r="P11" i="6970"/>
  <c r="B11" i="6970"/>
  <c r="P10" i="6970"/>
  <c r="C10" i="6970"/>
  <c r="C9" i="6970"/>
  <c r="C8" i="6970"/>
  <c r="P7" i="6970"/>
  <c r="B7" i="6970"/>
  <c r="P6" i="6970"/>
  <c r="P5" i="6970"/>
  <c r="B5" i="6970"/>
  <c r="P4" i="6970"/>
  <c r="P3" i="6970"/>
  <c r="P2" i="6970"/>
  <c r="P22" i="6960"/>
  <c r="P24" i="6958"/>
  <c r="B14" i="6970" l="1"/>
  <c r="H26" i="6970"/>
  <c r="C39" i="6970"/>
  <c r="H17" i="6970"/>
  <c r="H18" i="6970"/>
  <c r="H2" i="6970"/>
  <c r="C37" i="6970"/>
  <c r="H7" i="6970"/>
  <c r="H8" i="6970"/>
  <c r="H29" i="6970"/>
  <c r="H24" i="6970"/>
  <c r="H27" i="6970"/>
  <c r="H19" i="6970"/>
  <c r="H46" i="6970"/>
  <c r="H11" i="6970"/>
  <c r="C43" i="6970"/>
  <c r="H5" i="6970"/>
  <c r="H25" i="6970"/>
  <c r="C45" i="6970"/>
  <c r="H39" i="6970"/>
  <c r="C22" i="6970"/>
  <c r="H32" i="6970"/>
  <c r="H52" i="6970"/>
  <c r="B28" i="6970"/>
  <c r="C24" i="6970"/>
  <c r="H33" i="6970"/>
  <c r="H41" i="6970"/>
  <c r="H48" i="6970"/>
  <c r="H14" i="6970"/>
  <c r="H50" i="6970"/>
  <c r="H6" i="6970"/>
  <c r="C20" i="6970"/>
  <c r="C25" i="6970"/>
  <c r="H20" i="6970"/>
  <c r="H21" i="6970"/>
  <c r="H12" i="6970"/>
  <c r="H15" i="6970"/>
  <c r="H31" i="6970"/>
  <c r="H36" i="6970"/>
  <c r="C41" i="6970"/>
  <c r="C49" i="6970"/>
  <c r="C47" i="6970"/>
  <c r="H10" i="6970"/>
  <c r="H23" i="6970"/>
  <c r="H28" i="6970"/>
  <c r="H3" i="6970"/>
  <c r="C26" i="6970"/>
  <c r="H37" i="6970"/>
  <c r="H44" i="6970"/>
  <c r="H4" i="6970"/>
  <c r="H42" i="6970"/>
  <c r="H45" i="6970"/>
  <c r="H49" i="6970"/>
  <c r="H38" i="6970"/>
  <c r="C40" i="6970"/>
  <c r="C44" i="6970"/>
  <c r="C48" i="6970"/>
  <c r="H13" i="6970"/>
  <c r="H16" i="6970"/>
  <c r="C23" i="6970"/>
  <c r="B27" i="6970"/>
  <c r="H34" i="6970"/>
  <c r="H40" i="6970"/>
  <c r="H43" i="6970"/>
  <c r="H47" i="6970"/>
  <c r="H51" i="6970"/>
  <c r="H30" i="6970"/>
  <c r="H9" i="6970"/>
  <c r="H35" i="6970"/>
  <c r="C38" i="6970"/>
  <c r="C42" i="6970"/>
  <c r="C46" i="6970"/>
  <c r="P18" i="6960" l="1"/>
  <c r="P19" i="6960"/>
  <c r="P23" i="6968"/>
  <c r="P20" i="6968"/>
  <c r="C35" i="6968"/>
  <c r="B30" i="6968"/>
  <c r="C21" i="6968"/>
  <c r="B20" i="6968"/>
  <c r="H52" i="6968" s="1"/>
  <c r="B19" i="6968"/>
  <c r="B29" i="6968" s="1"/>
  <c r="B18" i="6968"/>
  <c r="C18" i="6968" s="1"/>
  <c r="C17" i="6968"/>
  <c r="C16" i="6968"/>
  <c r="C15" i="6968"/>
  <c r="B13" i="6968"/>
  <c r="P12" i="6968"/>
  <c r="B12" i="6968"/>
  <c r="P11" i="6968"/>
  <c r="B11" i="6968"/>
  <c r="P10" i="6968"/>
  <c r="C10" i="6968"/>
  <c r="C9" i="6968"/>
  <c r="C8" i="6968"/>
  <c r="P7" i="6968"/>
  <c r="B7" i="6968"/>
  <c r="P6" i="6968"/>
  <c r="P5" i="6968"/>
  <c r="B5" i="6968"/>
  <c r="P4" i="6968"/>
  <c r="P3" i="6968"/>
  <c r="P2" i="6968"/>
  <c r="P22" i="6958"/>
  <c r="P17" i="6966"/>
  <c r="P15" i="6966"/>
  <c r="C35" i="6966"/>
  <c r="B30" i="6966"/>
  <c r="C21" i="6966"/>
  <c r="B20" i="6966"/>
  <c r="H51" i="6966" s="1"/>
  <c r="B19" i="6966"/>
  <c r="B29" i="6966" s="1"/>
  <c r="B18" i="6966"/>
  <c r="C18" i="6966" s="1"/>
  <c r="C17" i="6966"/>
  <c r="C16" i="6966"/>
  <c r="C15" i="6966"/>
  <c r="B13" i="6966"/>
  <c r="P12" i="6966"/>
  <c r="B12" i="6966"/>
  <c r="P11" i="6966"/>
  <c r="B11" i="6966"/>
  <c r="P10" i="6966"/>
  <c r="C10" i="6966"/>
  <c r="C9" i="6966"/>
  <c r="C8" i="6966"/>
  <c r="P7" i="6966"/>
  <c r="B7" i="6966"/>
  <c r="P6" i="6966"/>
  <c r="P5" i="6966"/>
  <c r="B5" i="6966"/>
  <c r="P4" i="6966"/>
  <c r="P3" i="6966"/>
  <c r="P2" i="6966"/>
  <c r="P23" i="6958"/>
  <c r="B14" i="6966" l="1"/>
  <c r="C19" i="6966"/>
  <c r="B14" i="6968"/>
  <c r="C23" i="6966"/>
  <c r="H7" i="6966"/>
  <c r="H8" i="6966"/>
  <c r="H22" i="6966"/>
  <c r="B28" i="6966"/>
  <c r="H18" i="6966"/>
  <c r="H15" i="6966"/>
  <c r="H37" i="6966"/>
  <c r="H14" i="6966"/>
  <c r="H45" i="6966"/>
  <c r="C19" i="6968"/>
  <c r="C20" i="6968"/>
  <c r="H3" i="6968"/>
  <c r="H8" i="6968"/>
  <c r="C38" i="6968"/>
  <c r="C46" i="6968"/>
  <c r="H9" i="6968"/>
  <c r="H18" i="6968"/>
  <c r="H21" i="6968"/>
  <c r="C25" i="6968"/>
  <c r="H40" i="6968"/>
  <c r="H44" i="6968"/>
  <c r="H48" i="6968"/>
  <c r="H6" i="6968"/>
  <c r="H12" i="6968"/>
  <c r="H28" i="6968"/>
  <c r="H36" i="6968"/>
  <c r="C44" i="6968"/>
  <c r="H4" i="6968"/>
  <c r="H22" i="6968"/>
  <c r="C22" i="6968"/>
  <c r="H41" i="6968"/>
  <c r="H49" i="6968"/>
  <c r="H7" i="6968"/>
  <c r="H10" i="6968"/>
  <c r="H20" i="6968"/>
  <c r="H26" i="6968"/>
  <c r="H29" i="6968"/>
  <c r="H31" i="6968"/>
  <c r="C37" i="6968"/>
  <c r="C41" i="6968"/>
  <c r="C45" i="6968"/>
  <c r="C49" i="6968"/>
  <c r="H15" i="6968"/>
  <c r="H24" i="6968"/>
  <c r="H14" i="6968"/>
  <c r="C40" i="6968"/>
  <c r="C48" i="6968"/>
  <c r="C26" i="6968"/>
  <c r="H37" i="6968"/>
  <c r="H45" i="6968"/>
  <c r="H13" i="6968"/>
  <c r="H17" i="6968"/>
  <c r="H16" i="6968"/>
  <c r="C23" i="6968"/>
  <c r="B27" i="6968"/>
  <c r="H32" i="6968"/>
  <c r="H38" i="6968"/>
  <c r="H42" i="6968"/>
  <c r="H46" i="6968"/>
  <c r="H50" i="6968"/>
  <c r="H27" i="6968"/>
  <c r="H33" i="6968"/>
  <c r="C42" i="6968"/>
  <c r="H51" i="6968"/>
  <c r="H2" i="6968"/>
  <c r="H19" i="6968"/>
  <c r="H23" i="6968"/>
  <c r="C24" i="6968"/>
  <c r="B28" i="6968"/>
  <c r="H34" i="6968"/>
  <c r="H39" i="6968"/>
  <c r="H43" i="6968"/>
  <c r="H47" i="6968"/>
  <c r="H5" i="6968"/>
  <c r="H25" i="6968"/>
  <c r="H11" i="6968"/>
  <c r="H30" i="6968"/>
  <c r="H35" i="6968"/>
  <c r="C39" i="6968"/>
  <c r="C43" i="6968"/>
  <c r="C47" i="6968"/>
  <c r="C24" i="6966"/>
  <c r="H3" i="6966"/>
  <c r="H47" i="6966"/>
  <c r="H29" i="6966"/>
  <c r="H13" i="6966"/>
  <c r="H30" i="6966"/>
  <c r="C25" i="6966"/>
  <c r="C39" i="6966"/>
  <c r="C47" i="6966"/>
  <c r="H46" i="6966"/>
  <c r="H41" i="6966"/>
  <c r="H10" i="6966"/>
  <c r="H24" i="6966"/>
  <c r="H20" i="6966"/>
  <c r="H32" i="6966"/>
  <c r="H49" i="6966"/>
  <c r="H17" i="6966"/>
  <c r="H16" i="6966"/>
  <c r="C26" i="6966"/>
  <c r="H34" i="6966"/>
  <c r="H42" i="6966"/>
  <c r="H50" i="6966"/>
  <c r="H38" i="6966"/>
  <c r="H39" i="6966"/>
  <c r="H6" i="6966"/>
  <c r="H11" i="6966"/>
  <c r="H21" i="6966"/>
  <c r="C22" i="6966"/>
  <c r="H28" i="6966"/>
  <c r="H35" i="6966"/>
  <c r="H43" i="6966"/>
  <c r="H5" i="6966"/>
  <c r="C20" i="6966"/>
  <c r="H12" i="6966"/>
  <c r="H2" i="6966"/>
  <c r="H19" i="6966"/>
  <c r="H27" i="6966"/>
  <c r="H23" i="6966"/>
  <c r="H4" i="6966"/>
  <c r="H25" i="6966"/>
  <c r="B27" i="6966"/>
  <c r="C43" i="6966"/>
  <c r="H52" i="6966"/>
  <c r="H40" i="6966"/>
  <c r="H44" i="6966"/>
  <c r="H48" i="6966"/>
  <c r="H36" i="6966"/>
  <c r="C40" i="6966"/>
  <c r="C44" i="6966"/>
  <c r="C48" i="6966"/>
  <c r="H31" i="6966"/>
  <c r="C37" i="6966"/>
  <c r="C41" i="6966"/>
  <c r="C45" i="6966"/>
  <c r="C49" i="6966"/>
  <c r="H26" i="6966"/>
  <c r="H9" i="6966"/>
  <c r="H33" i="6966"/>
  <c r="C38" i="6966"/>
  <c r="C42" i="6966"/>
  <c r="C46" i="6966"/>
  <c r="P17" i="6964" l="1"/>
  <c r="P19" i="6964"/>
  <c r="C35" i="6964"/>
  <c r="B30" i="6964"/>
  <c r="C21" i="6964"/>
  <c r="B20" i="6964"/>
  <c r="H51" i="6964" s="1"/>
  <c r="B19" i="6964"/>
  <c r="B29" i="6964" s="1"/>
  <c r="B18" i="6964"/>
  <c r="C18" i="6964" s="1"/>
  <c r="C17" i="6964"/>
  <c r="C16" i="6964"/>
  <c r="C15" i="6964"/>
  <c r="B13" i="6964"/>
  <c r="P12" i="6964"/>
  <c r="B12" i="6964"/>
  <c r="P11" i="6964"/>
  <c r="B11" i="6964"/>
  <c r="B14" i="6964" s="1"/>
  <c r="P10" i="6964"/>
  <c r="C10" i="6964"/>
  <c r="C9" i="6964"/>
  <c r="C8" i="6964"/>
  <c r="P7" i="6964"/>
  <c r="B7" i="6964"/>
  <c r="P6" i="6964"/>
  <c r="P5" i="6964"/>
  <c r="B5" i="6964"/>
  <c r="P4" i="6964"/>
  <c r="P3" i="6964"/>
  <c r="P2" i="6964"/>
  <c r="P18" i="6962"/>
  <c r="P19" i="6962"/>
  <c r="C35" i="6962"/>
  <c r="B30" i="6962"/>
  <c r="C21" i="6962"/>
  <c r="B20" i="6962"/>
  <c r="H52" i="6962" s="1"/>
  <c r="B19" i="6962"/>
  <c r="B29" i="6962" s="1"/>
  <c r="B18" i="6962"/>
  <c r="C18" i="6962" s="1"/>
  <c r="C17" i="6962"/>
  <c r="C16" i="6962"/>
  <c r="C15" i="6962"/>
  <c r="B13" i="6962"/>
  <c r="P12" i="6962"/>
  <c r="B12" i="6962"/>
  <c r="P11" i="6962"/>
  <c r="B11" i="6962"/>
  <c r="P10" i="6962"/>
  <c r="C10" i="6962"/>
  <c r="C9" i="6962"/>
  <c r="C8" i="6962"/>
  <c r="P7" i="6962"/>
  <c r="B7" i="6962"/>
  <c r="P6" i="6962"/>
  <c r="P5" i="6962"/>
  <c r="B5" i="6962"/>
  <c r="P4" i="6962"/>
  <c r="P3" i="6962"/>
  <c r="P2" i="6962"/>
  <c r="P21" i="6958"/>
  <c r="P20" i="6960"/>
  <c r="P17" i="6960"/>
  <c r="C35" i="6960"/>
  <c r="B30" i="6960"/>
  <c r="C21" i="6960"/>
  <c r="B20" i="6960"/>
  <c r="H15" i="6960" s="1"/>
  <c r="B19" i="6960"/>
  <c r="B29" i="6960" s="1"/>
  <c r="B18" i="6960"/>
  <c r="C18" i="6960" s="1"/>
  <c r="C17" i="6960"/>
  <c r="C16" i="6960"/>
  <c r="C15" i="6960"/>
  <c r="B13" i="6960"/>
  <c r="P12" i="6960"/>
  <c r="B12" i="6960"/>
  <c r="P11" i="6960"/>
  <c r="B11" i="6960"/>
  <c r="P10" i="6960"/>
  <c r="C10" i="6960"/>
  <c r="C9" i="6960"/>
  <c r="C8" i="6960"/>
  <c r="P7" i="6960"/>
  <c r="B7" i="6960"/>
  <c r="P6" i="6960"/>
  <c r="P5" i="6960"/>
  <c r="B5" i="6960"/>
  <c r="P4" i="6960"/>
  <c r="P3" i="6960"/>
  <c r="P2" i="6960"/>
  <c r="P20" i="6958"/>
  <c r="P18" i="6958"/>
  <c r="C35" i="6958"/>
  <c r="B30" i="6958"/>
  <c r="C21" i="6958"/>
  <c r="B20" i="6958"/>
  <c r="H5" i="6958" s="1"/>
  <c r="B19" i="6958"/>
  <c r="B29" i="6958" s="1"/>
  <c r="B18" i="6958"/>
  <c r="C18" i="6958" s="1"/>
  <c r="C17" i="6958"/>
  <c r="C16" i="6958"/>
  <c r="C15" i="6958"/>
  <c r="B13" i="6958"/>
  <c r="P12" i="6958"/>
  <c r="B12" i="6958"/>
  <c r="P11" i="6958"/>
  <c r="B11" i="6958"/>
  <c r="P10" i="6958"/>
  <c r="C10" i="6958"/>
  <c r="C9" i="6958"/>
  <c r="C8" i="6958"/>
  <c r="P7" i="6958"/>
  <c r="B7" i="6958"/>
  <c r="P6" i="6958"/>
  <c r="P5" i="6958"/>
  <c r="B5" i="6958"/>
  <c r="P4" i="6958"/>
  <c r="P3" i="6958"/>
  <c r="P2" i="6958"/>
  <c r="H13" i="6960" l="1"/>
  <c r="H39" i="6960"/>
  <c r="C19" i="6962"/>
  <c r="B14" i="6960"/>
  <c r="B14" i="6958"/>
  <c r="H17" i="6960"/>
  <c r="H27" i="6960"/>
  <c r="C19" i="6960"/>
  <c r="H6" i="6960"/>
  <c r="B27" i="6960"/>
  <c r="C19" i="6958"/>
  <c r="H25" i="6964"/>
  <c r="B27" i="6964"/>
  <c r="H6" i="6964"/>
  <c r="H2" i="6964"/>
  <c r="H38" i="6964"/>
  <c r="C37" i="6964"/>
  <c r="H22" i="6964"/>
  <c r="H29" i="6964"/>
  <c r="C41" i="6964"/>
  <c r="H26" i="6964"/>
  <c r="H9" i="6964"/>
  <c r="H16" i="6964"/>
  <c r="C23" i="6964"/>
  <c r="H43" i="6964"/>
  <c r="C22" i="6964"/>
  <c r="C26" i="6964"/>
  <c r="H44" i="6964"/>
  <c r="C19" i="6964"/>
  <c r="H32" i="6964"/>
  <c r="H47" i="6964"/>
  <c r="H7" i="6964"/>
  <c r="H15" i="6964"/>
  <c r="H28" i="6964"/>
  <c r="C47" i="6964"/>
  <c r="H13" i="6964"/>
  <c r="H23" i="6964"/>
  <c r="H48" i="6964"/>
  <c r="B28" i="6964"/>
  <c r="H4" i="6964"/>
  <c r="H14" i="6964"/>
  <c r="C24" i="6964"/>
  <c r="H39" i="6964"/>
  <c r="C43" i="6964"/>
  <c r="H49" i="6964"/>
  <c r="H17" i="6964"/>
  <c r="H33" i="6964"/>
  <c r="H40" i="6964"/>
  <c r="H45" i="6964"/>
  <c r="C49" i="6964"/>
  <c r="H10" i="6964"/>
  <c r="C20" i="6964"/>
  <c r="C25" i="6964"/>
  <c r="H20" i="6964"/>
  <c r="C39" i="6964"/>
  <c r="H21" i="6964"/>
  <c r="H50" i="6964"/>
  <c r="H35" i="6964"/>
  <c r="H41" i="6964"/>
  <c r="C45" i="6964"/>
  <c r="H5" i="6964"/>
  <c r="H3" i="6964"/>
  <c r="H11" i="6964"/>
  <c r="H24" i="6964"/>
  <c r="H19" i="6964"/>
  <c r="H36" i="6964"/>
  <c r="H42" i="6964"/>
  <c r="H46" i="6964"/>
  <c r="H52" i="6964"/>
  <c r="H27" i="6964"/>
  <c r="H12" i="6964"/>
  <c r="H31" i="6964"/>
  <c r="H18" i="6964"/>
  <c r="H37" i="6964"/>
  <c r="C40" i="6964"/>
  <c r="C44" i="6964"/>
  <c r="C48" i="6964"/>
  <c r="H30" i="6964"/>
  <c r="H8" i="6964"/>
  <c r="H34" i="6964"/>
  <c r="C38" i="6964"/>
  <c r="C42" i="6964"/>
  <c r="C46" i="6964"/>
  <c r="B14" i="6962"/>
  <c r="C25" i="6962"/>
  <c r="H18" i="6962"/>
  <c r="H45" i="6962"/>
  <c r="H46" i="6962"/>
  <c r="H6" i="6962"/>
  <c r="H12" i="6962"/>
  <c r="H23" i="6962"/>
  <c r="C20" i="6962"/>
  <c r="B28" i="6962"/>
  <c r="H40" i="6962"/>
  <c r="H48" i="6962"/>
  <c r="H37" i="6962"/>
  <c r="H38" i="6962"/>
  <c r="H10" i="6962"/>
  <c r="H19" i="6962"/>
  <c r="H41" i="6962"/>
  <c r="H49" i="6962"/>
  <c r="H7" i="6962"/>
  <c r="H26" i="6962"/>
  <c r="C44" i="6962"/>
  <c r="C26" i="6962"/>
  <c r="H3" i="6962"/>
  <c r="H15" i="6962"/>
  <c r="H22" i="6962"/>
  <c r="C40" i="6962"/>
  <c r="C48" i="6962"/>
  <c r="H11" i="6962"/>
  <c r="H30" i="6962"/>
  <c r="H4" i="6962"/>
  <c r="H2" i="6962"/>
  <c r="H9" i="6962"/>
  <c r="H24" i="6962"/>
  <c r="C22" i="6962"/>
  <c r="H42" i="6962"/>
  <c r="H50" i="6962"/>
  <c r="H25" i="6962"/>
  <c r="H27" i="6962"/>
  <c r="C24" i="6962"/>
  <c r="H35" i="6962"/>
  <c r="H44" i="6962"/>
  <c r="H5" i="6962"/>
  <c r="H29" i="6962"/>
  <c r="H21" i="6962"/>
  <c r="H32" i="6962"/>
  <c r="C37" i="6962"/>
  <c r="C41" i="6962"/>
  <c r="C45" i="6962"/>
  <c r="C49" i="6962"/>
  <c r="H16" i="6962"/>
  <c r="H14" i="6962"/>
  <c r="C23" i="6962"/>
  <c r="B27" i="6962"/>
  <c r="H33" i="6962"/>
  <c r="H39" i="6962"/>
  <c r="H43" i="6962"/>
  <c r="H47" i="6962"/>
  <c r="H51" i="6962"/>
  <c r="H20" i="6962"/>
  <c r="H8" i="6962"/>
  <c r="H34" i="6962"/>
  <c r="C38" i="6962"/>
  <c r="C42" i="6962"/>
  <c r="C46" i="6962"/>
  <c r="H17" i="6962"/>
  <c r="H28" i="6962"/>
  <c r="H13" i="6962"/>
  <c r="H31" i="6962"/>
  <c r="H36" i="6962"/>
  <c r="C39" i="6962"/>
  <c r="C43" i="6962"/>
  <c r="C47" i="6962"/>
  <c r="H18" i="6960"/>
  <c r="H30" i="6960"/>
  <c r="H4" i="6960"/>
  <c r="H28" i="6960"/>
  <c r="H43" i="6960"/>
  <c r="H42" i="6960"/>
  <c r="C41" i="6960"/>
  <c r="C24" i="6960"/>
  <c r="H32" i="6960"/>
  <c r="H47" i="6960"/>
  <c r="H36" i="6960"/>
  <c r="H48" i="6960"/>
  <c r="H9" i="6960"/>
  <c r="C47" i="6960"/>
  <c r="H7" i="6960"/>
  <c r="H26" i="6960"/>
  <c r="C22" i="6960"/>
  <c r="H38" i="6960"/>
  <c r="H52" i="6960"/>
  <c r="B28" i="6960"/>
  <c r="C23" i="6960"/>
  <c r="H24" i="6960"/>
  <c r="C37" i="6960"/>
  <c r="H44" i="6960"/>
  <c r="H49" i="6960"/>
  <c r="H19" i="6960"/>
  <c r="C49" i="6960"/>
  <c r="H12" i="6960"/>
  <c r="H25" i="6960"/>
  <c r="H40" i="6960"/>
  <c r="H45" i="6960"/>
  <c r="H3" i="6960"/>
  <c r="C20" i="6960"/>
  <c r="C25" i="6960"/>
  <c r="H33" i="6960"/>
  <c r="C39" i="6960"/>
  <c r="H46" i="6960"/>
  <c r="H51" i="6960"/>
  <c r="C43" i="6960"/>
  <c r="H50" i="6960"/>
  <c r="H11" i="6960"/>
  <c r="H2" i="6960"/>
  <c r="H8" i="6960"/>
  <c r="H20" i="6960"/>
  <c r="H21" i="6960"/>
  <c r="H29" i="6960"/>
  <c r="C26" i="6960"/>
  <c r="H35" i="6960"/>
  <c r="H41" i="6960"/>
  <c r="C45" i="6960"/>
  <c r="H5" i="6960"/>
  <c r="H22" i="6960"/>
  <c r="H14" i="6960"/>
  <c r="H31" i="6960"/>
  <c r="H16" i="6960"/>
  <c r="H37" i="6960"/>
  <c r="C40" i="6960"/>
  <c r="C44" i="6960"/>
  <c r="C48" i="6960"/>
  <c r="H23" i="6960"/>
  <c r="H10" i="6960"/>
  <c r="H34" i="6960"/>
  <c r="C38" i="6960"/>
  <c r="C42" i="6960"/>
  <c r="C46" i="6960"/>
  <c r="H34" i="6958"/>
  <c r="H15" i="6958"/>
  <c r="H6" i="6958"/>
  <c r="H31" i="6958"/>
  <c r="C23" i="6958"/>
  <c r="H16" i="6958"/>
  <c r="H11" i="6958"/>
  <c r="H12" i="6958"/>
  <c r="C41" i="6958"/>
  <c r="C43" i="6958"/>
  <c r="H46" i="6958"/>
  <c r="H13" i="6958"/>
  <c r="H9" i="6958"/>
  <c r="C25" i="6958"/>
  <c r="H38" i="6958"/>
  <c r="C45" i="6958"/>
  <c r="C47" i="6958"/>
  <c r="C20" i="6958"/>
  <c r="H35" i="6958"/>
  <c r="H20" i="6958"/>
  <c r="H32" i="6958"/>
  <c r="C26" i="6958"/>
  <c r="C37" i="6958"/>
  <c r="H49" i="6958"/>
  <c r="H3" i="6958"/>
  <c r="H25" i="6958"/>
  <c r="H2" i="6958"/>
  <c r="H21" i="6958"/>
  <c r="H7" i="6958"/>
  <c r="H26" i="6958"/>
  <c r="H23" i="6958"/>
  <c r="C39" i="6958"/>
  <c r="C49" i="6958"/>
  <c r="H19" i="6958"/>
  <c r="H33" i="6958"/>
  <c r="H10" i="6958"/>
  <c r="H14" i="6958"/>
  <c r="H4" i="6958"/>
  <c r="H24" i="6958"/>
  <c r="C22" i="6958"/>
  <c r="H27" i="6958"/>
  <c r="H43" i="6958"/>
  <c r="H52" i="6958"/>
  <c r="H18" i="6958"/>
  <c r="H39" i="6958"/>
  <c r="C40" i="6958"/>
  <c r="C44" i="6958"/>
  <c r="C48" i="6958"/>
  <c r="H40" i="6958"/>
  <c r="H29" i="6958"/>
  <c r="H30" i="6958"/>
  <c r="H50" i="6958"/>
  <c r="B27" i="6958"/>
  <c r="H28" i="6958"/>
  <c r="H41" i="6958"/>
  <c r="H44" i="6958"/>
  <c r="H47" i="6958"/>
  <c r="H51" i="6958"/>
  <c r="H22" i="6958"/>
  <c r="H8" i="6958"/>
  <c r="H36" i="6958"/>
  <c r="C38" i="6958"/>
  <c r="C42" i="6958"/>
  <c r="C46" i="6958"/>
  <c r="H17" i="6958"/>
  <c r="C24" i="6958"/>
  <c r="B28" i="6958"/>
  <c r="H37" i="6958"/>
  <c r="H42" i="6958"/>
  <c r="H45" i="6958"/>
  <c r="H48" i="695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<sst xmlns="http://schemas.openxmlformats.org/spreadsheetml/2006/main" count="2982" uniqueCount="252">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</sst>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全体!$K$2:$K$293</c:f>
              <c:numCache>
                <c:formatCode>General</c:formatCode>
                <c:ptCount val="2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</c:numCache>
            </c:numRef>
          </c:xVal>
          <c:yVal>
            <c:numRef>
              <c:f>全体!$L$2:$L$293</c:f>
              <c:numCache>
                <c:formatCode>\+0.0;\-0.0;\±0</c:formatCode>
                <c:ptCount val="292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1D-42B7-B27D-3C929E02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-37.800687285223368</c:v>
                </c:pt>
                <c:pt idx="1">
                  <c:v>35.460992907801419</c:v>
                </c:pt>
                <c:pt idx="2">
                  <c:v>-17.730496453900709</c:v>
                </c:pt>
                <c:pt idx="3">
                  <c:v>-7.4074074074074074</c:v>
                </c:pt>
                <c:pt idx="4">
                  <c:v>20.080321285140563</c:v>
                </c:pt>
                <c:pt idx="5">
                  <c:v>14.084507042253522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74-48A5-9232-5D5C7D1F6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61</c:v>
                </c:pt>
                <c:pt idx="1">
                  <c:v>135</c:v>
                </c:pt>
                <c:pt idx="2">
                  <c:v>140</c:v>
                </c:pt>
                <c:pt idx="3">
                  <c:v>138</c:v>
                </c:pt>
                <c:pt idx="4">
                  <c:v>101</c:v>
                </c:pt>
                <c:pt idx="5">
                  <c:v>67</c:v>
                </c:pt>
                <c:pt idx="6">
                  <c:v>33</c:v>
                </c:pt>
                <c:pt idx="7">
                  <c:v>20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10-4561-8F06-FC8290A35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全体!$K$2:$K$293</c:f>
              <c:numCache>
                <c:formatCode>General</c:formatCode>
                <c:ptCount val="2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</c:numCache>
            </c:numRef>
          </c:xVal>
          <c:yVal>
            <c:numRef>
              <c:f>全体!$M$2:$M$293</c:f>
              <c:numCache>
                <c:formatCode>0</c:formatCode>
                <c:ptCount val="292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9-43D9-AD37-A532EA184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だいち!$L$2:$L$82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58-4C4B-8608-6CC417056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206.25</c:v>
                </c:pt>
                <c:pt idx="1">
                  <c:v>-1171.4285714285713</c:v>
                </c:pt>
                <c:pt idx="2">
                  <c:v>-600</c:v>
                </c:pt>
                <c:pt idx="3">
                  <c:v>921.33333333333337</c:v>
                </c:pt>
                <c:pt idx="4">
                  <c:v>434.78260869565219</c:v>
                </c:pt>
                <c:pt idx="5">
                  <c:v>10.169491525423728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7-451B-A351-EB4604DBA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</c:v>
                </c:pt>
                <c:pt idx="1">
                  <c:v>37</c:v>
                </c:pt>
                <c:pt idx="2">
                  <c:v>45</c:v>
                </c:pt>
                <c:pt idx="3">
                  <c:v>39</c:v>
                </c:pt>
                <c:pt idx="4">
                  <c:v>35</c:v>
                </c:pt>
                <c:pt idx="5">
                  <c:v>25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A-475F-8F0F-B53BA1FEF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だいち!$M$2:$M$82</c:f>
              <c:numCache>
                <c:formatCode>0</c:formatCode>
                <c:ptCount val="81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2C-466A-AFAE-66320FD4E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7-47B1-8656-9D8675F92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1743.9024390243903</c:v>
                </c:pt>
                <c:pt idx="1">
                  <c:v>-169.23076923076923</c:v>
                </c:pt>
                <c:pt idx="2">
                  <c:v>-464.10256410256409</c:v>
                </c:pt>
                <c:pt idx="3">
                  <c:v>-286.84210526315792</c:v>
                </c:pt>
                <c:pt idx="4">
                  <c:v>-31.428571428571427</c:v>
                </c:pt>
                <c:pt idx="5">
                  <c:v>-913.79310344827582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2-4C3A-ADF1-CB8F9F0BE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18</c:v>
                </c:pt>
                <c:pt idx="3">
                  <c:v>20</c:v>
                </c:pt>
                <c:pt idx="4">
                  <c:v>17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3-4B4C-8CD2-858526B1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れんたろう!$M$2:$M$43</c:f>
              <c:numCache>
                <c:formatCode>0</c:formatCode>
                <c:ptCount val="42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EA-4D37-AE39-D3C350013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A6-4021-89F5-909909D9E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205.40540540540542</c:v>
                </c:pt>
                <c:pt idx="1">
                  <c:v>-1154.0540540540539</c:v>
                </c:pt>
                <c:pt idx="2">
                  <c:v>1311.1111111111111</c:v>
                </c:pt>
                <c:pt idx="3">
                  <c:v>-1202.7777777777778</c:v>
                </c:pt>
                <c:pt idx="4">
                  <c:v>-1408.3333333333333</c:v>
                </c:pt>
                <c:pt idx="5">
                  <c:v>737.93103448275861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6-4EDD-B0B6-CA827A04B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12</c:v>
                </c:pt>
                <c:pt idx="1">
                  <c:v>22</c:v>
                </c:pt>
                <c:pt idx="2">
                  <c:v>17</c:v>
                </c:pt>
                <c:pt idx="3">
                  <c:v>19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8E-4853-8591-97A362C4E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たかの!$M$2:$M$39</c:f>
              <c:numCache>
                <c:formatCode>0</c:formatCode>
                <c:ptCount val="38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8-4A00-A87C-2A3D4FB90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まっつん!$L$2:$L$25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B4-49D0-9D9B-9F90D52BA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108.69565217391305</c:v>
                </c:pt>
                <c:pt idx="1">
                  <c:v>634.78260869565213</c:v>
                </c:pt>
                <c:pt idx="2">
                  <c:v>377.27272727272725</c:v>
                </c:pt>
                <c:pt idx="3">
                  <c:v>-2180</c:v>
                </c:pt>
                <c:pt idx="4">
                  <c:v>2289.4736842105262</c:v>
                </c:pt>
                <c:pt idx="5">
                  <c:v>-343.75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7-4672-9A1E-500451505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9</c:v>
                </c:pt>
                <c:pt idx="2">
                  <c:v>11</c:v>
                </c:pt>
                <c:pt idx="3">
                  <c:v>15</c:v>
                </c:pt>
                <c:pt idx="4">
                  <c:v>5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EB-4556-9C1E-73D821B34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まっつん!$M$2:$M$25</c:f>
              <c:numCache>
                <c:formatCode>0</c:formatCode>
                <c:ptCount val="24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D2-4993-9E9C-0841B6635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いちかわ!$L$2:$L$37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3D-4C66-9600-E2C39A423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142.85714285714286</c:v>
                </c:pt>
                <c:pt idx="1">
                  <c:v>1231.4285714285713</c:v>
                </c:pt>
                <c:pt idx="2">
                  <c:v>1968.5714285714287</c:v>
                </c:pt>
                <c:pt idx="3">
                  <c:v>-590.625</c:v>
                </c:pt>
                <c:pt idx="4">
                  <c:v>-1417.8571428571429</c:v>
                </c:pt>
                <c:pt idx="5">
                  <c:v>-57.692307692307693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6-4EF0-BC4A-0415CD82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16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17-4666-BF12-572D85BCF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いちかわ!$M$2:$M$37</c:f>
              <c:numCache>
                <c:formatCode>0</c:formatCode>
                <c:ptCount val="36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57-4F27-ADFC-545683BE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ただ!$L$2:$L$43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47-4262-8004-9E2C8D9B3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-2.4390243902439024</c:v>
                </c:pt>
                <c:pt idx="1">
                  <c:v>1786.8421052631579</c:v>
                </c:pt>
                <c:pt idx="2">
                  <c:v>17.948717948717949</c:v>
                </c:pt>
                <c:pt idx="3">
                  <c:v>2318.9189189189187</c:v>
                </c:pt>
                <c:pt idx="4">
                  <c:v>755.88235294117646</c:v>
                </c:pt>
                <c:pt idx="5">
                  <c:v>310.71428571428572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A5-4463-B4A3-594907051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27</c:v>
                </c:pt>
                <c:pt idx="2">
                  <c:v>26</c:v>
                </c:pt>
                <c:pt idx="3">
                  <c:v>18</c:v>
                </c:pt>
                <c:pt idx="4">
                  <c:v>19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1-4BE4-B5D5-AD8DDF945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ただ!$M$2:$M$43</c:f>
              <c:numCache>
                <c:formatCode>0</c:formatCode>
                <c:ptCount val="42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C2-4587-BDD8-DD7781263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2-4F91-B8D9-DFDC9453A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8C4-B1C1-425E994B2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6-4C59-9E5A-5E114B72C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7-4447-BF3E-BB29FE7DF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4-46E1-89DD-24DAAE9C5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D-49CE-A64A-201581F9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9-4128-9844-66BA595D7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66-4C88-895F-40027EBF9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りくと!$L$2:$L$12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54-4403-89A7-846311013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-5510</c:v>
                </c:pt>
                <c:pt idx="1">
                  <c:v>6522.2222222222226</c:v>
                </c:pt>
                <c:pt idx="2">
                  <c:v>-1410</c:v>
                </c:pt>
                <c:pt idx="3">
                  <c:v>-3230</c:v>
                </c:pt>
                <c:pt idx="4">
                  <c:v>1333.3333333333333</c:v>
                </c:pt>
                <c:pt idx="5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5-4BB8-B36F-BCCB3B065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D-426C-972F-81BA41BE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りくと!$M$2:$M$12</c:f>
              <c:numCache>
                <c:formatCode>0</c:formatCode>
                <c:ptCount val="11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FE-4FE3-A398-DB4447DB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D-428A-B4D8-99BC09AA3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F3-4FE7-9470-F8DD5D3C8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47-4EBD-81EB-738DD5C6A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07-4C73-84D0-4B33CF3E1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たかの2!$B$3:$B$40</c:f>
              <c:numCache>
                <c:formatCode>\+0.0;\-0.0;\±0</c:formatCode>
                <c:ptCount val="38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たかの2!$C$3:$C$40</c:f>
              <c:numCache>
                <c:formatCode>\+0.0;\-0.0;\±0</c:formatCode>
                <c:ptCount val="38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  <c:pt idx="22">
                  <c:v>0.8181818181818179</c:v>
                </c:pt>
                <c:pt idx="23">
                  <c:v>2.0086956521739125</c:v>
                </c:pt>
                <c:pt idx="24">
                  <c:v>0.69999999999999962</c:v>
                </c:pt>
                <c:pt idx="25">
                  <c:v>2.4279999999999995</c:v>
                </c:pt>
                <c:pt idx="26">
                  <c:v>0.98461538461538411</c:v>
                </c:pt>
                <c:pt idx="27">
                  <c:v>0.63703703703703662</c:v>
                </c:pt>
                <c:pt idx="28">
                  <c:v>2.1857142857142855</c:v>
                </c:pt>
                <c:pt idx="29">
                  <c:v>1.2655172413793099</c:v>
                </c:pt>
                <c:pt idx="30">
                  <c:v>0.37333333333333296</c:v>
                </c:pt>
                <c:pt idx="31">
                  <c:v>0.43870967741935446</c:v>
                </c:pt>
                <c:pt idx="32">
                  <c:v>-0.2906250000000003</c:v>
                </c:pt>
                <c:pt idx="33">
                  <c:v>0.25454545454545424</c:v>
                </c:pt>
                <c:pt idx="34">
                  <c:v>-0.84117647058823553</c:v>
                </c:pt>
                <c:pt idx="35">
                  <c:v>-0.56857142857142884</c:v>
                </c:pt>
                <c:pt idx="36">
                  <c:v>-2.0194444444444444</c:v>
                </c:pt>
                <c:pt idx="37">
                  <c:v>-0.21081081081081074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6691045718350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たかの2!$D$3:$D$40</c:f>
              <c:numCache>
                <c:formatCode>0.00\ "位"</c:formatCode>
                <c:ptCount val="38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1.8695652173913044</c:v>
                </c:pt>
                <c:pt idx="24">
                  <c:v>1.9166666666666667</c:v>
                </c:pt>
                <c:pt idx="25">
                  <c:v>1.88</c:v>
                </c:pt>
                <c:pt idx="26">
                  <c:v>1.9230769230769231</c:v>
                </c:pt>
                <c:pt idx="27">
                  <c:v>1.9259259259259258</c:v>
                </c:pt>
                <c:pt idx="28">
                  <c:v>1.8928571428571428</c:v>
                </c:pt>
                <c:pt idx="29">
                  <c:v>1.9310344827586208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2</c:v>
                </c:pt>
                <c:pt idx="33">
                  <c:v>1.9696969696969697</c:v>
                </c:pt>
                <c:pt idx="34">
                  <c:v>2</c:v>
                </c:pt>
                <c:pt idx="35">
                  <c:v>2</c:v>
                </c:pt>
                <c:pt idx="36">
                  <c:v>2.0277777777777777</c:v>
                </c:pt>
                <c:pt idx="3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563573883161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たかの2!$E$3:$E$40</c:f>
              <c:numCache>
                <c:formatCode>0.0%</c:formatCode>
                <c:ptCount val="3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769759450171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たかの2!$F$3:$F$40</c:f>
              <c:numCache>
                <c:formatCode>0.0%</c:formatCode>
                <c:ptCount val="3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0.3611111111111111</c:v>
                </c:pt>
                <c:pt idx="37">
                  <c:v>0.35135135135135137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たかの2!$G$3:$G$40</c:f>
              <c:numCache>
                <c:formatCode>0.0%</c:formatCode>
                <c:ptCount val="38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  <c:pt idx="22">
                  <c:v>0.28999999999999998</c:v>
                </c:pt>
                <c:pt idx="23">
                  <c:v>0.29439252336448596</c:v>
                </c:pt>
                <c:pt idx="24">
                  <c:v>0.2927927927927928</c:v>
                </c:pt>
                <c:pt idx="25">
                  <c:v>0.30303030303030304</c:v>
                </c:pt>
                <c:pt idx="26">
                  <c:v>0.30543933054393307</c:v>
                </c:pt>
                <c:pt idx="27">
                  <c:v>0.30645161290322581</c:v>
                </c:pt>
                <c:pt idx="28">
                  <c:v>0.30588235294117649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0.30072463768115942</c:v>
                </c:pt>
                <c:pt idx="32">
                  <c:v>0.29577464788732394</c:v>
                </c:pt>
                <c:pt idx="33">
                  <c:v>0.29209621993127149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0.28888888888888886</c:v>
                </c:pt>
                <c:pt idx="37">
                  <c:v>0.29467084639498431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432964329643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たかの2!$H$3:$H$40</c:f>
              <c:numCache>
                <c:formatCode>0.0%</c:formatCode>
                <c:ptCount val="38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  <c:pt idx="22">
                  <c:v>0.155</c:v>
                </c:pt>
                <c:pt idx="23">
                  <c:v>0.16355140186915887</c:v>
                </c:pt>
                <c:pt idx="24">
                  <c:v>0.16216216216216217</c:v>
                </c:pt>
                <c:pt idx="25">
                  <c:v>0.16450216450216451</c:v>
                </c:pt>
                <c:pt idx="26">
                  <c:v>0.16736401673640167</c:v>
                </c:pt>
                <c:pt idx="27">
                  <c:v>0.17741935483870969</c:v>
                </c:pt>
                <c:pt idx="28">
                  <c:v>0.17254901960784313</c:v>
                </c:pt>
                <c:pt idx="29">
                  <c:v>0.16793893129770993</c:v>
                </c:pt>
                <c:pt idx="30">
                  <c:v>0.17164179104477612</c:v>
                </c:pt>
                <c:pt idx="31">
                  <c:v>0.17753623188405798</c:v>
                </c:pt>
                <c:pt idx="32">
                  <c:v>0.176056338028169</c:v>
                </c:pt>
                <c:pt idx="33">
                  <c:v>0.17525773195876287</c:v>
                </c:pt>
                <c:pt idx="34">
                  <c:v>0.18120805369127516</c:v>
                </c:pt>
                <c:pt idx="35">
                  <c:v>0.17647058823529413</c:v>
                </c:pt>
                <c:pt idx="36">
                  <c:v>0.18412698412698414</c:v>
                </c:pt>
                <c:pt idx="37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231652316523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たかの2!$I$3:$I$40</c:f>
              <c:numCache>
                <c:formatCode>0</c:formatCode>
                <c:ptCount val="38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  <c:pt idx="22">
                  <c:v>6862.0689655172409</c:v>
                </c:pt>
                <c:pt idx="23">
                  <c:v>6930.1587301587306</c:v>
                </c:pt>
                <c:pt idx="24">
                  <c:v>6852.3076923076924</c:v>
                </c:pt>
                <c:pt idx="25">
                  <c:v>6882.8571428571431</c:v>
                </c:pt>
                <c:pt idx="26">
                  <c:v>6920.5479452054797</c:v>
                </c:pt>
                <c:pt idx="27">
                  <c:v>7063.1578947368425</c:v>
                </c:pt>
                <c:pt idx="28">
                  <c:v>7446.1538461538457</c:v>
                </c:pt>
                <c:pt idx="29">
                  <c:v>7446.1538461538457</c:v>
                </c:pt>
                <c:pt idx="30">
                  <c:v>7453.164556962025</c:v>
                </c:pt>
                <c:pt idx="31">
                  <c:v>7419.2771084337346</c:v>
                </c:pt>
                <c:pt idx="32">
                  <c:v>7473.8095238095239</c:v>
                </c:pt>
                <c:pt idx="33">
                  <c:v>7522.3529411764703</c:v>
                </c:pt>
                <c:pt idx="34">
                  <c:v>7455.1724137931033</c:v>
                </c:pt>
                <c:pt idx="35">
                  <c:v>7334.065934065934</c:v>
                </c:pt>
                <c:pt idx="36">
                  <c:v>7334.065934065934</c:v>
                </c:pt>
                <c:pt idx="37">
                  <c:v>7705.3191489361698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05.94744121715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たかの2!$J$3:$J$40</c:f>
              <c:numCache>
                <c:formatCode>0</c:formatCode>
                <c:ptCount val="38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  <c:pt idx="22">
                  <c:v>-7290.322580645161</c:v>
                </c:pt>
                <c:pt idx="23">
                  <c:v>-7002.8571428571431</c:v>
                </c:pt>
                <c:pt idx="24">
                  <c:v>-7022.2222222222226</c:v>
                </c:pt>
                <c:pt idx="25">
                  <c:v>-6915.7894736842109</c:v>
                </c:pt>
                <c:pt idx="26">
                  <c:v>-7370</c:v>
                </c:pt>
                <c:pt idx="27">
                  <c:v>-7518.181818181818</c:v>
                </c:pt>
                <c:pt idx="28">
                  <c:v>-7518.181818181818</c:v>
                </c:pt>
                <c:pt idx="29">
                  <c:v>-7518.181818181818</c:v>
                </c:pt>
                <c:pt idx="30">
                  <c:v>-7539.130434782609</c:v>
                </c:pt>
                <c:pt idx="31">
                  <c:v>-7620.408163265306</c:v>
                </c:pt>
                <c:pt idx="32">
                  <c:v>-7708</c:v>
                </c:pt>
                <c:pt idx="33">
                  <c:v>-7582.3529411764703</c:v>
                </c:pt>
                <c:pt idx="34">
                  <c:v>-7775.9259259259261</c:v>
                </c:pt>
                <c:pt idx="35">
                  <c:v>-7775.9259259259261</c:v>
                </c:pt>
                <c:pt idx="36">
                  <c:v>-7800</c:v>
                </c:pt>
                <c:pt idx="37">
                  <c:v>-7800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453.84615384615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たかの2!$K$3:$K$40</c:f>
              <c:numCache>
                <c:formatCode>0.0%</c:formatCode>
                <c:ptCount val="3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5.5555555555555552E-2</c:v>
                </c:pt>
                <c:pt idx="37">
                  <c:v>5.4054054054054057E-2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90378006872852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たかの2!$L$3:$L$40</c:f>
              <c:numCache>
                <c:formatCode>0.0%</c:formatCode>
                <c:ptCount val="38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  <c:pt idx="22">
                  <c:v>0.25</c:v>
                </c:pt>
                <c:pt idx="23">
                  <c:v>0.24766355140186916</c:v>
                </c:pt>
                <c:pt idx="24">
                  <c:v>0.25675675675675674</c:v>
                </c:pt>
                <c:pt idx="25">
                  <c:v>0.25541125541125542</c:v>
                </c:pt>
                <c:pt idx="26">
                  <c:v>0.26359832635983266</c:v>
                </c:pt>
                <c:pt idx="27">
                  <c:v>0.27016129032258063</c:v>
                </c:pt>
                <c:pt idx="28">
                  <c:v>0.27450980392156865</c:v>
                </c:pt>
                <c:pt idx="29">
                  <c:v>0.26717557251908397</c:v>
                </c:pt>
                <c:pt idx="30">
                  <c:v>0.27238805970149255</c:v>
                </c:pt>
                <c:pt idx="31">
                  <c:v>0.27898550724637683</c:v>
                </c:pt>
                <c:pt idx="32">
                  <c:v>0.27464788732394368</c:v>
                </c:pt>
                <c:pt idx="33">
                  <c:v>0.27491408934707906</c:v>
                </c:pt>
                <c:pt idx="34">
                  <c:v>0.27181208053691275</c:v>
                </c:pt>
                <c:pt idx="35">
                  <c:v>0.27450980392156865</c:v>
                </c:pt>
                <c:pt idx="36">
                  <c:v>0.26984126984126983</c:v>
                </c:pt>
                <c:pt idx="37">
                  <c:v>0.2664576802507837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6572365723657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たかの2!$M$3:$M$40</c:f>
              <c:numCache>
                <c:formatCode>0.0%</c:formatCode>
                <c:ptCount val="38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  <c:pt idx="22">
                  <c:v>0.315</c:v>
                </c:pt>
                <c:pt idx="23">
                  <c:v>0.30373831775700932</c:v>
                </c:pt>
                <c:pt idx="24">
                  <c:v>0.29729729729729731</c:v>
                </c:pt>
                <c:pt idx="25">
                  <c:v>0.30735930735930733</c:v>
                </c:pt>
                <c:pt idx="26">
                  <c:v>0.29707112970711297</c:v>
                </c:pt>
                <c:pt idx="27">
                  <c:v>0.29435483870967744</c:v>
                </c:pt>
                <c:pt idx="28">
                  <c:v>0.29803921568627451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0.29347826086956524</c:v>
                </c:pt>
                <c:pt idx="32">
                  <c:v>0.29577464788732394</c:v>
                </c:pt>
                <c:pt idx="33">
                  <c:v>0.29553264604810997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0.29841269841269841</c:v>
                </c:pt>
                <c:pt idx="37">
                  <c:v>0.30094043887147337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472324723247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たかの2!$N$3:$N$40</c:f>
              <c:numCache>
                <c:formatCode>0.0%</c:formatCode>
                <c:ptCount val="38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0.43396226415094341</c:v>
                </c:pt>
                <c:pt idx="24">
                  <c:v>0.42105263157894735</c:v>
                </c:pt>
                <c:pt idx="25">
                  <c:v>0.44067796610169491</c:v>
                </c:pt>
                <c:pt idx="26">
                  <c:v>0.46031746031746029</c:v>
                </c:pt>
                <c:pt idx="27">
                  <c:v>0.46268656716417911</c:v>
                </c:pt>
                <c:pt idx="28">
                  <c:v>0.47142857142857142</c:v>
                </c:pt>
                <c:pt idx="29">
                  <c:v>0.47142857142857142</c:v>
                </c:pt>
                <c:pt idx="30">
                  <c:v>0.46575342465753422</c:v>
                </c:pt>
                <c:pt idx="31">
                  <c:v>0.48051948051948051</c:v>
                </c:pt>
                <c:pt idx="32">
                  <c:v>0.47435897435897434</c:v>
                </c:pt>
                <c:pt idx="33">
                  <c:v>0.46250000000000002</c:v>
                </c:pt>
                <c:pt idx="34">
                  <c:v>0.46913580246913578</c:v>
                </c:pt>
                <c:pt idx="35">
                  <c:v>0.47619047619047616</c:v>
                </c:pt>
                <c:pt idx="36">
                  <c:v>0.47058823529411764</c:v>
                </c:pt>
                <c:pt idx="37">
                  <c:v>0.47058823529411764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1663778162911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たかの2!$O$3:$O$40</c:f>
              <c:numCache>
                <c:formatCode>0.0%</c:formatCode>
                <c:ptCount val="38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  <c:pt idx="22">
                  <c:v>0.42857142857142855</c:v>
                </c:pt>
                <c:pt idx="23">
                  <c:v>0.41538461538461541</c:v>
                </c:pt>
                <c:pt idx="24">
                  <c:v>0.40909090909090912</c:v>
                </c:pt>
                <c:pt idx="25">
                  <c:v>0.42253521126760563</c:v>
                </c:pt>
                <c:pt idx="26">
                  <c:v>0.42253521126760563</c:v>
                </c:pt>
                <c:pt idx="27">
                  <c:v>0.42465753424657532</c:v>
                </c:pt>
                <c:pt idx="28">
                  <c:v>0.40789473684210525</c:v>
                </c:pt>
                <c:pt idx="29">
                  <c:v>0.39743589743589741</c:v>
                </c:pt>
                <c:pt idx="30">
                  <c:v>0.39240506329113922</c:v>
                </c:pt>
                <c:pt idx="31">
                  <c:v>0.39506172839506171</c:v>
                </c:pt>
                <c:pt idx="32">
                  <c:v>0.38095238095238093</c:v>
                </c:pt>
                <c:pt idx="33">
                  <c:v>0.38372093023255816</c:v>
                </c:pt>
                <c:pt idx="34">
                  <c:v>0.39080459770114945</c:v>
                </c:pt>
                <c:pt idx="35">
                  <c:v>0.39560439560439559</c:v>
                </c:pt>
                <c:pt idx="36">
                  <c:v>0.38297872340425532</c:v>
                </c:pt>
                <c:pt idx="37">
                  <c:v>0.39583333333333331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989417989417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たかの2!$A$3:$A$40</c:f>
              <c:numCache>
                <c:formatCode>0\ "回"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たかの2!$P$3:$P$40</c:f>
              <c:numCache>
                <c:formatCode>0.0%</c:formatCode>
                <c:ptCount val="38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</c:v>
                </c:pt>
                <c:pt idx="23">
                  <c:v>0.50793650793650791</c:v>
                </c:pt>
                <c:pt idx="24">
                  <c:v>0.52307692307692311</c:v>
                </c:pt>
                <c:pt idx="25">
                  <c:v>0.51428571428571423</c:v>
                </c:pt>
                <c:pt idx="26">
                  <c:v>0.49315068493150682</c:v>
                </c:pt>
                <c:pt idx="27">
                  <c:v>0.47368421052631576</c:v>
                </c:pt>
                <c:pt idx="28">
                  <c:v>0.48717948717948717</c:v>
                </c:pt>
                <c:pt idx="29">
                  <c:v>0.48717948717948717</c:v>
                </c:pt>
                <c:pt idx="30">
                  <c:v>0.49367088607594939</c:v>
                </c:pt>
                <c:pt idx="31">
                  <c:v>0.48192771084337349</c:v>
                </c:pt>
                <c:pt idx="32">
                  <c:v>0.48809523809523808</c:v>
                </c:pt>
                <c:pt idx="33">
                  <c:v>0.49411764705882355</c:v>
                </c:pt>
                <c:pt idx="34">
                  <c:v>0.4942528735632184</c:v>
                </c:pt>
                <c:pt idx="35">
                  <c:v>0.48351648351648352</c:v>
                </c:pt>
                <c:pt idx="36">
                  <c:v>0.48351648351648352</c:v>
                </c:pt>
                <c:pt idx="37">
                  <c:v>0.47872340425531917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68464730290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35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248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249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240</v>
      </c>
    </row>
    <row r="34" spans="1:7" x14ac:dyDescent="0.4">
      <c r="A34" s="2" t="s">
        <v>250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251</v>
      </c>
      <c r="B35" s="3">
        <v>44155.656064814815</v>
      </c>
      <c r="C35" s="2" t="s">
        <v>127</v>
      </c>
      <c r="D35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225</v>
      </c>
    </row>
    <row r="2" spans="1:3" x14ac:dyDescent="0.4">
      <c r="A2" t="s">
        <v>126</v>
      </c>
      <c r="B2" s="120">
        <v>80</v>
      </c>
      <c r="C2" s="120">
        <v>1842.3339395535957</v>
      </c>
    </row>
    <row r="3" spans="1:3" x14ac:dyDescent="0.4">
      <c r="A3" t="s">
        <v>163</v>
      </c>
      <c r="B3" s="120">
        <v>41</v>
      </c>
      <c r="C3" s="120">
        <v>1653.1699313523677</v>
      </c>
    </row>
    <row r="4" spans="1:3" x14ac:dyDescent="0.4">
      <c r="A4" t="s">
        <v>139</v>
      </c>
      <c r="B4" s="120">
        <v>291</v>
      </c>
      <c r="C4" s="120">
        <v>1594.5463045050694</v>
      </c>
    </row>
    <row r="5" spans="1:3" x14ac:dyDescent="0.4">
      <c r="A5" t="s">
        <v>190</v>
      </c>
      <c r="B5" s="120">
        <v>23</v>
      </c>
      <c r="C5" s="120">
        <v>1524.3778689305989</v>
      </c>
    </row>
    <row r="6" spans="1:3" x14ac:dyDescent="0.4">
      <c r="A6" t="s">
        <v>192</v>
      </c>
      <c r="B6" s="120">
        <v>41</v>
      </c>
      <c r="C6" s="120">
        <v>1517.1288342047803</v>
      </c>
    </row>
    <row r="7" spans="1:3" x14ac:dyDescent="0.4">
      <c r="A7" t="s">
        <v>211</v>
      </c>
      <c r="B7" s="120">
        <v>35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37</v>
      </c>
      <c r="C10" s="120">
        <v>1433.30445236539</v>
      </c>
    </row>
    <row r="11" spans="1:3" x14ac:dyDescent="0.4">
      <c r="A11" t="s">
        <v>195</v>
      </c>
      <c r="B11" s="120">
        <v>10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4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208</v>
      </c>
      <c r="B2" s="143">
        <v>0.90885526222849933</v>
      </c>
      <c r="C2" s="144"/>
      <c r="D2" s="143">
        <v>0.19939955381923199</v>
      </c>
      <c r="E2" s="144"/>
      <c r="F2" s="143">
        <v>0.22873111858263098</v>
      </c>
      <c r="G2" s="144"/>
      <c r="H2" s="145"/>
      <c r="I2" s="146"/>
      <c r="J2" s="143">
        <v>-0.19943410421767854</v>
      </c>
      <c r="K2" s="144"/>
      <c r="L2" s="143">
        <v>-0.38758228133077388</v>
      </c>
      <c r="M2" s="144"/>
      <c r="N2" s="143">
        <v>0.19327836255744446</v>
      </c>
      <c r="O2" s="144"/>
      <c r="P2" s="143">
        <v>0.36519885114719647</v>
      </c>
      <c r="Q2" s="144"/>
      <c r="R2" s="143">
        <v>-0.17170403159392406</v>
      </c>
      <c r="S2" s="144"/>
      <c r="T2" s="143">
        <v>0.10020898919018698</v>
      </c>
      <c r="U2" s="144"/>
      <c r="V2" s="143">
        <v>5.2138157626526018E-3</v>
      </c>
      <c r="W2" s="144"/>
      <c r="X2" s="143">
        <v>0.35774302162206006</v>
      </c>
      <c r="Y2" s="144"/>
      <c r="Z2" s="143">
        <v>0.12337824451385486</v>
      </c>
      <c r="AA2" s="144"/>
      <c r="AB2" s="143">
        <v>0.27087223443194341</v>
      </c>
      <c r="AC2" s="144"/>
      <c r="AD2" s="143">
        <v>-0.13725695996315576</v>
      </c>
      <c r="AE2" s="144"/>
      <c r="AF2" s="143">
        <v>0.31206408736798208</v>
      </c>
      <c r="AG2" s="144"/>
      <c r="AH2" s="143">
        <v>-0.147005864907258</v>
      </c>
      <c r="AI2" s="144"/>
      <c r="AJ2" s="143">
        <v>0.84115429501574168</v>
      </c>
      <c r="AK2" s="144"/>
    </row>
    <row r="3" spans="1:37" x14ac:dyDescent="0.4">
      <c r="A3" s="38">
        <v>1</v>
      </c>
      <c r="B3" s="41" t="s">
        <v>139</v>
      </c>
      <c r="C3" s="113">
        <v>97</v>
      </c>
      <c r="D3" s="39" t="s">
        <v>192</v>
      </c>
      <c r="E3" s="40">
        <v>286.49999999999994</v>
      </c>
      <c r="F3" s="41" t="s">
        <v>192</v>
      </c>
      <c r="G3" s="60">
        <v>6.9878048780487791</v>
      </c>
      <c r="H3" s="41" t="s">
        <v>126</v>
      </c>
      <c r="I3" s="45">
        <v>1760.4079128289225</v>
      </c>
      <c r="J3" s="41" t="s">
        <v>192</v>
      </c>
      <c r="K3" s="42">
        <v>1.7560975609756098</v>
      </c>
      <c r="L3" s="41" t="s">
        <v>195</v>
      </c>
      <c r="M3" s="43">
        <v>0.6</v>
      </c>
      <c r="N3" s="41" t="s">
        <v>190</v>
      </c>
      <c r="O3" s="43">
        <v>0.17391304347826086</v>
      </c>
      <c r="P3" s="41" t="s">
        <v>192</v>
      </c>
      <c r="Q3" s="44">
        <v>0.3342696629213483</v>
      </c>
      <c r="R3" s="41" t="s">
        <v>190</v>
      </c>
      <c r="S3" s="44">
        <v>0.10106382978723404</v>
      </c>
      <c r="T3" s="41" t="s">
        <v>221</v>
      </c>
      <c r="U3" s="45">
        <v>10925</v>
      </c>
      <c r="V3" s="41" t="s">
        <v>190</v>
      </c>
      <c r="W3" s="45">
        <v>-5489.4736842105267</v>
      </c>
      <c r="X3" s="41" t="s">
        <v>193</v>
      </c>
      <c r="Y3" s="43">
        <v>0</v>
      </c>
      <c r="Z3" s="41" t="s">
        <v>189</v>
      </c>
      <c r="AA3" s="44">
        <v>0.2664576802507837</v>
      </c>
      <c r="AB3" s="41" t="s">
        <v>189</v>
      </c>
      <c r="AC3" s="44">
        <v>0.30094043887147337</v>
      </c>
      <c r="AD3" s="41" t="s">
        <v>195</v>
      </c>
      <c r="AE3" s="44">
        <v>0.68421052631578949</v>
      </c>
      <c r="AF3" s="41" t="s">
        <v>211</v>
      </c>
      <c r="AG3" s="44">
        <v>0.48484848484848486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80</v>
      </c>
      <c r="D4" s="47" t="s">
        <v>126</v>
      </c>
      <c r="E4" s="48">
        <v>49.99999999999995</v>
      </c>
      <c r="F4" s="49" t="s">
        <v>211</v>
      </c>
      <c r="G4" s="61">
        <v>1.2999999999999994</v>
      </c>
      <c r="H4" s="49" t="s">
        <v>163</v>
      </c>
      <c r="I4" s="53">
        <v>1623.0600080708391</v>
      </c>
      <c r="J4" s="49" t="s">
        <v>195</v>
      </c>
      <c r="K4" s="50">
        <v>1.8</v>
      </c>
      <c r="L4" s="49" t="s">
        <v>192</v>
      </c>
      <c r="M4" s="51">
        <v>0.46341463414634149</v>
      </c>
      <c r="N4" s="49" t="s">
        <v>192</v>
      </c>
      <c r="O4" s="51">
        <v>0.21951219512195122</v>
      </c>
      <c r="P4" s="49" t="s">
        <v>126</v>
      </c>
      <c r="Q4" s="52">
        <v>0.32126696832579188</v>
      </c>
      <c r="R4" s="49" t="s">
        <v>192</v>
      </c>
      <c r="S4" s="52">
        <v>0.12359550561797752</v>
      </c>
      <c r="T4" s="49" t="s">
        <v>195</v>
      </c>
      <c r="U4" s="53">
        <v>8720.8333333333339</v>
      </c>
      <c r="V4" s="49" t="s">
        <v>211</v>
      </c>
      <c r="W4" s="53">
        <v>-6751.2820512820517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126</v>
      </c>
      <c r="AE4" s="52">
        <v>0.57055214723926384</v>
      </c>
      <c r="AF4" s="49" t="s">
        <v>126</v>
      </c>
      <c r="AG4" s="52">
        <v>0.46762589928057552</v>
      </c>
      <c r="AH4" s="49" t="s">
        <v>195</v>
      </c>
      <c r="AI4" s="52">
        <v>0.54166666666666663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41</v>
      </c>
      <c r="D5" s="47" t="s">
        <v>211</v>
      </c>
      <c r="E5" s="48">
        <v>45.499999999999979</v>
      </c>
      <c r="F5" s="49" t="s">
        <v>190</v>
      </c>
      <c r="G5" s="61">
        <v>1.2086956521739121</v>
      </c>
      <c r="H5" s="49" t="s">
        <v>139</v>
      </c>
      <c r="I5" s="53">
        <v>1602.7484069926884</v>
      </c>
      <c r="J5" s="49" t="s">
        <v>190</v>
      </c>
      <c r="K5" s="50">
        <v>1.9130434782608696</v>
      </c>
      <c r="L5" s="49" t="s">
        <v>211</v>
      </c>
      <c r="M5" s="51">
        <v>0.37142857142857144</v>
      </c>
      <c r="N5" s="49" t="s">
        <v>139</v>
      </c>
      <c r="O5" s="51">
        <v>0.33333333333333331</v>
      </c>
      <c r="P5" s="49" t="s">
        <v>211</v>
      </c>
      <c r="Q5" s="52">
        <v>0.30555555555555558</v>
      </c>
      <c r="R5" s="49" t="s">
        <v>211</v>
      </c>
      <c r="S5" s="52">
        <v>0.13541666666666666</v>
      </c>
      <c r="T5" s="49" t="s">
        <v>163</v>
      </c>
      <c r="U5" s="53">
        <v>8634.0425531914898</v>
      </c>
      <c r="V5" s="49" t="s">
        <v>126</v>
      </c>
      <c r="W5" s="53">
        <v>-7146.4</v>
      </c>
      <c r="X5" s="49" t="s">
        <v>190</v>
      </c>
      <c r="Y5" s="51">
        <v>4.3478260869565216E-2</v>
      </c>
      <c r="Z5" s="49" t="s">
        <v>163</v>
      </c>
      <c r="AA5" s="52">
        <v>0.25428571428571428</v>
      </c>
      <c r="AB5" s="49" t="s">
        <v>221</v>
      </c>
      <c r="AC5" s="52">
        <v>0.27777777777777779</v>
      </c>
      <c r="AD5" s="49" t="s">
        <v>190</v>
      </c>
      <c r="AE5" s="52">
        <v>0.56818181818181823</v>
      </c>
      <c r="AF5" s="49" t="s">
        <v>192</v>
      </c>
      <c r="AG5" s="52">
        <v>0.43617021276595747</v>
      </c>
      <c r="AH5" s="49" t="s">
        <v>189</v>
      </c>
      <c r="AI5" s="52">
        <v>0.47872340425531917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41</v>
      </c>
      <c r="D6" s="47" t="s">
        <v>190</v>
      </c>
      <c r="E6" s="48">
        <v>27.799999999999976</v>
      </c>
      <c r="F6" s="49" t="s">
        <v>126</v>
      </c>
      <c r="G6" s="61">
        <v>0.62499999999999933</v>
      </c>
      <c r="H6" s="49" t="s">
        <v>192</v>
      </c>
      <c r="I6" s="53">
        <v>1582.1239906491078</v>
      </c>
      <c r="J6" s="49" t="s">
        <v>211</v>
      </c>
      <c r="K6" s="50">
        <v>1.9714285714285715</v>
      </c>
      <c r="L6" s="49" t="s">
        <v>189</v>
      </c>
      <c r="M6" s="51">
        <v>0.35135135135135137</v>
      </c>
      <c r="N6" s="49" t="s">
        <v>211</v>
      </c>
      <c r="O6" s="51">
        <v>0.34285714285714286</v>
      </c>
      <c r="P6" s="49" t="s">
        <v>139</v>
      </c>
      <c r="Q6" s="52">
        <v>0.29643296432964328</v>
      </c>
      <c r="R6" s="49" t="s">
        <v>195</v>
      </c>
      <c r="S6" s="52">
        <v>0.14634146341463414</v>
      </c>
      <c r="T6" s="49" t="s">
        <v>193</v>
      </c>
      <c r="U6" s="53">
        <v>8212.5</v>
      </c>
      <c r="V6" s="49" t="s">
        <v>195</v>
      </c>
      <c r="W6" s="53">
        <v>-7225</v>
      </c>
      <c r="X6" s="49" t="s">
        <v>189</v>
      </c>
      <c r="Y6" s="51">
        <v>5.4054054054054057E-2</v>
      </c>
      <c r="Z6" s="49" t="s">
        <v>126</v>
      </c>
      <c r="AA6" s="52">
        <v>0.2458521870286576</v>
      </c>
      <c r="AB6" s="49" t="s">
        <v>192</v>
      </c>
      <c r="AC6" s="52">
        <v>0.2640449438202247</v>
      </c>
      <c r="AD6" s="49" t="s">
        <v>211</v>
      </c>
      <c r="AE6" s="52">
        <v>0.55932203389830504</v>
      </c>
      <c r="AF6" s="49" t="s">
        <v>139</v>
      </c>
      <c r="AG6" s="52">
        <v>0.41798941798941797</v>
      </c>
      <c r="AH6" s="49" t="s">
        <v>126</v>
      </c>
      <c r="AI6" s="52">
        <v>0.46478873239436619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189</v>
      </c>
      <c r="C7" s="114">
        <v>37</v>
      </c>
      <c r="D7" s="47" t="s">
        <v>139</v>
      </c>
      <c r="E7" s="48">
        <v>2.8421709430404007E-14</v>
      </c>
      <c r="F7" s="49" t="s">
        <v>139</v>
      </c>
      <c r="G7" s="61">
        <v>9.7669104571835075E-17</v>
      </c>
      <c r="H7" s="49" t="s">
        <v>190</v>
      </c>
      <c r="I7" s="53">
        <v>1539.8552995440607</v>
      </c>
      <c r="J7" s="49" t="s">
        <v>139</v>
      </c>
      <c r="K7" s="50">
        <v>1.9965635738831615</v>
      </c>
      <c r="L7" s="49" t="s">
        <v>139</v>
      </c>
      <c r="M7" s="51">
        <v>0.33676975945017185</v>
      </c>
      <c r="N7" s="49" t="s">
        <v>189</v>
      </c>
      <c r="O7" s="51">
        <v>0.35135135135135137</v>
      </c>
      <c r="P7" s="49" t="s">
        <v>189</v>
      </c>
      <c r="Q7" s="52">
        <v>0.29467084639498431</v>
      </c>
      <c r="R7" s="49" t="s">
        <v>139</v>
      </c>
      <c r="S7" s="52">
        <v>0.16523165231652318</v>
      </c>
      <c r="T7" s="49" t="s">
        <v>126</v>
      </c>
      <c r="U7" s="53">
        <v>8080.2816901408451</v>
      </c>
      <c r="V7" s="49" t="s">
        <v>139</v>
      </c>
      <c r="W7" s="53">
        <v>-7453.8461538461543</v>
      </c>
      <c r="X7" s="49" t="s">
        <v>211</v>
      </c>
      <c r="Y7" s="51">
        <v>5.7142857142857141E-2</v>
      </c>
      <c r="Z7" s="49" t="s">
        <v>139</v>
      </c>
      <c r="AA7" s="52">
        <v>0.23657236572365722</v>
      </c>
      <c r="AB7" s="49" t="s">
        <v>163</v>
      </c>
      <c r="AC7" s="52">
        <v>0.24</v>
      </c>
      <c r="AD7" s="49" t="s">
        <v>192</v>
      </c>
      <c r="AE7" s="52">
        <v>0.53424657534246578</v>
      </c>
      <c r="AF7" s="49" t="s">
        <v>190</v>
      </c>
      <c r="AG7" s="52">
        <v>0.41025641025641024</v>
      </c>
      <c r="AH7" s="49" t="s">
        <v>163</v>
      </c>
      <c r="AI7" s="52">
        <v>0.45744680851063829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211</v>
      </c>
      <c r="C8" s="114">
        <v>35</v>
      </c>
      <c r="D8" s="47" t="s">
        <v>195</v>
      </c>
      <c r="E8" s="48">
        <v>-6.3000000000000025</v>
      </c>
      <c r="F8" s="49" t="s">
        <v>189</v>
      </c>
      <c r="G8" s="61">
        <v>-0.21081081081081074</v>
      </c>
      <c r="H8" s="49" t="s">
        <v>211</v>
      </c>
      <c r="I8" s="53">
        <v>1512.1666769868593</v>
      </c>
      <c r="J8" s="49" t="s">
        <v>189</v>
      </c>
      <c r="K8" s="50">
        <v>2</v>
      </c>
      <c r="L8" s="49" t="s">
        <v>126</v>
      </c>
      <c r="M8" s="51">
        <v>0.3125</v>
      </c>
      <c r="N8" s="49" t="s">
        <v>126</v>
      </c>
      <c r="O8" s="51">
        <v>0.36249999999999999</v>
      </c>
      <c r="P8" s="49" t="s">
        <v>195</v>
      </c>
      <c r="Q8" s="52">
        <v>0.29268292682926828</v>
      </c>
      <c r="R8" s="49" t="s">
        <v>221</v>
      </c>
      <c r="S8" s="52">
        <v>0.16666666666666666</v>
      </c>
      <c r="T8" s="49" t="s">
        <v>139</v>
      </c>
      <c r="U8" s="53">
        <v>8005.9474412171512</v>
      </c>
      <c r="V8" s="49" t="s">
        <v>192</v>
      </c>
      <c r="W8" s="53">
        <v>-7654.545454545455</v>
      </c>
      <c r="X8" s="49" t="s">
        <v>192</v>
      </c>
      <c r="Y8" s="51">
        <v>7.3170731707317069E-2</v>
      </c>
      <c r="Z8" s="49" t="s">
        <v>190</v>
      </c>
      <c r="AA8" s="52">
        <v>0.23404255319148937</v>
      </c>
      <c r="AB8" s="49" t="s">
        <v>139</v>
      </c>
      <c r="AC8" s="52">
        <v>0.23247232472324722</v>
      </c>
      <c r="AD8" s="49" t="s">
        <v>139</v>
      </c>
      <c r="AE8" s="52">
        <v>0.52166377816291165</v>
      </c>
      <c r="AF8" s="49" t="s">
        <v>195</v>
      </c>
      <c r="AG8" s="52">
        <v>0.4</v>
      </c>
      <c r="AH8" s="49" t="s">
        <v>139</v>
      </c>
      <c r="AI8" s="52">
        <v>0.43568464730290457</v>
      </c>
      <c r="AJ8" s="49" t="s">
        <v>211</v>
      </c>
      <c r="AK8" s="56">
        <v>80600</v>
      </c>
    </row>
    <row r="9" spans="1:37" x14ac:dyDescent="0.4">
      <c r="A9" s="46">
        <v>7</v>
      </c>
      <c r="B9" s="49" t="s">
        <v>190</v>
      </c>
      <c r="C9" s="114">
        <v>23</v>
      </c>
      <c r="D9" s="47" t="s">
        <v>189</v>
      </c>
      <c r="E9" s="48">
        <v>-7.7999999999999972</v>
      </c>
      <c r="F9" s="49" t="s">
        <v>195</v>
      </c>
      <c r="G9" s="61">
        <v>-0.63000000000000023</v>
      </c>
      <c r="H9" s="49" t="s">
        <v>221</v>
      </c>
      <c r="I9" s="53">
        <v>1497.379788</v>
      </c>
      <c r="J9" s="49" t="s">
        <v>126</v>
      </c>
      <c r="K9" s="50">
        <v>2.0499999999999998</v>
      </c>
      <c r="L9" s="49" t="s">
        <v>163</v>
      </c>
      <c r="M9" s="51">
        <v>0.26829268292682928</v>
      </c>
      <c r="N9" s="49" t="s">
        <v>163</v>
      </c>
      <c r="O9" s="51">
        <v>0.36585365853658536</v>
      </c>
      <c r="P9" s="49" t="s">
        <v>163</v>
      </c>
      <c r="Q9" s="52">
        <v>0.26857142857142857</v>
      </c>
      <c r="R9" s="49" t="s">
        <v>189</v>
      </c>
      <c r="S9" s="52">
        <v>0.18181818181818182</v>
      </c>
      <c r="T9" s="49" t="s">
        <v>190</v>
      </c>
      <c r="U9" s="53">
        <v>7989.7959183673465</v>
      </c>
      <c r="V9" s="49" t="s">
        <v>189</v>
      </c>
      <c r="W9" s="53">
        <v>-7800</v>
      </c>
      <c r="X9" s="49" t="s">
        <v>126</v>
      </c>
      <c r="Y9" s="51">
        <v>7.4999999999999997E-2</v>
      </c>
      <c r="Z9" s="49" t="s">
        <v>195</v>
      </c>
      <c r="AA9" s="52">
        <v>0.23170731707317074</v>
      </c>
      <c r="AB9" s="49" t="s">
        <v>211</v>
      </c>
      <c r="AC9" s="52">
        <v>0.22916666666666666</v>
      </c>
      <c r="AD9" s="49" t="s">
        <v>189</v>
      </c>
      <c r="AE9" s="52">
        <v>0.47058823529411764</v>
      </c>
      <c r="AF9" s="49" t="s">
        <v>193</v>
      </c>
      <c r="AG9" s="52">
        <v>0.4</v>
      </c>
      <c r="AH9" s="49" t="s">
        <v>216</v>
      </c>
      <c r="AI9" s="52">
        <v>0.43333333333333335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221</v>
      </c>
      <c r="E10" s="48">
        <v>-13.5</v>
      </c>
      <c r="F10" s="49" t="s">
        <v>163</v>
      </c>
      <c r="G10" s="61">
        <v>-3.6634146341463421</v>
      </c>
      <c r="H10" s="49" t="s">
        <v>216</v>
      </c>
      <c r="I10" s="53">
        <v>1475.2783888604056</v>
      </c>
      <c r="J10" s="49" t="s">
        <v>163</v>
      </c>
      <c r="K10" s="50">
        <v>2.0975609756097562</v>
      </c>
      <c r="L10" s="49" t="s">
        <v>190</v>
      </c>
      <c r="M10" s="51">
        <v>0.2608695652173913</v>
      </c>
      <c r="N10" s="49" t="s">
        <v>195</v>
      </c>
      <c r="O10" s="51">
        <v>0.4</v>
      </c>
      <c r="P10" s="49" t="s">
        <v>190</v>
      </c>
      <c r="Q10" s="52">
        <v>0.26063829787234044</v>
      </c>
      <c r="R10" s="49" t="s">
        <v>126</v>
      </c>
      <c r="S10" s="52">
        <v>0.18853695324283559</v>
      </c>
      <c r="T10" s="49" t="s">
        <v>211</v>
      </c>
      <c r="U10" s="53">
        <v>7815.909090909091</v>
      </c>
      <c r="V10" s="49" t="s">
        <v>216</v>
      </c>
      <c r="W10" s="53">
        <v>-7886.2068965517237</v>
      </c>
      <c r="X10" s="49" t="s">
        <v>139</v>
      </c>
      <c r="Y10" s="51">
        <v>7.903780068728522E-2</v>
      </c>
      <c r="Z10" s="49" t="s">
        <v>216</v>
      </c>
      <c r="AA10" s="52">
        <v>0.22857142857142856</v>
      </c>
      <c r="AB10" s="49" t="s">
        <v>126</v>
      </c>
      <c r="AC10" s="52">
        <v>0.20965309200603319</v>
      </c>
      <c r="AD10" s="49" t="s">
        <v>163</v>
      </c>
      <c r="AE10" s="52">
        <v>0.4606741573033708</v>
      </c>
      <c r="AF10" s="49" t="s">
        <v>221</v>
      </c>
      <c r="AG10" s="52">
        <v>0.4</v>
      </c>
      <c r="AH10" s="49" t="s">
        <v>211</v>
      </c>
      <c r="AI10" s="52">
        <v>0.40909090909090912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10</v>
      </c>
      <c r="D11" s="47" t="s">
        <v>193</v>
      </c>
      <c r="E11" s="48">
        <v>-51.699999999999996</v>
      </c>
      <c r="F11" s="49" t="s">
        <v>221</v>
      </c>
      <c r="G11" s="61">
        <v>-6.75</v>
      </c>
      <c r="H11" s="49" t="s">
        <v>189</v>
      </c>
      <c r="I11" s="53">
        <v>1464.0596274649417</v>
      </c>
      <c r="J11" s="49" t="s">
        <v>216</v>
      </c>
      <c r="K11" s="50">
        <v>2.2222222222222223</v>
      </c>
      <c r="L11" s="49" t="s">
        <v>193</v>
      </c>
      <c r="M11" s="51">
        <v>0.25</v>
      </c>
      <c r="N11" s="49" t="s">
        <v>216</v>
      </c>
      <c r="O11" s="51">
        <v>0.44444444444444442</v>
      </c>
      <c r="P11" s="49" t="s">
        <v>193</v>
      </c>
      <c r="Q11" s="52">
        <v>0.22857142857142856</v>
      </c>
      <c r="R11" s="49" t="s">
        <v>163</v>
      </c>
      <c r="S11" s="52">
        <v>0.18857142857142858</v>
      </c>
      <c r="T11" s="49" t="s">
        <v>192</v>
      </c>
      <c r="U11" s="53">
        <v>7712.6050420168067</v>
      </c>
      <c r="V11" s="49" t="s">
        <v>163</v>
      </c>
      <c r="W11" s="53">
        <v>-8066.666666666667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190</v>
      </c>
      <c r="AC11" s="52">
        <v>0.20744680851063829</v>
      </c>
      <c r="AD11" s="49" t="s">
        <v>216</v>
      </c>
      <c r="AE11" s="52">
        <v>0.4375</v>
      </c>
      <c r="AF11" s="49" t="s">
        <v>189</v>
      </c>
      <c r="AG11" s="52">
        <v>0.39583333333333331</v>
      </c>
      <c r="AH11" s="49" t="s">
        <v>192</v>
      </c>
      <c r="AI11" s="52">
        <v>0.40336134453781514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4</v>
      </c>
      <c r="D12" s="47" t="s">
        <v>163</v>
      </c>
      <c r="E12" s="48">
        <v>-150.20000000000002</v>
      </c>
      <c r="F12" s="49" t="s">
        <v>216</v>
      </c>
      <c r="G12" s="61">
        <v>-10.016666666666667</v>
      </c>
      <c r="H12" s="49" t="s">
        <v>195</v>
      </c>
      <c r="I12" s="53">
        <v>1401.5799326488498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7705.3191489361698</v>
      </c>
      <c r="V12" s="49" t="s">
        <v>193</v>
      </c>
      <c r="W12" s="53">
        <v>-9387.5</v>
      </c>
      <c r="X12" s="49" t="s">
        <v>163</v>
      </c>
      <c r="Y12" s="51">
        <v>0.12195121951219512</v>
      </c>
      <c r="Z12" s="49" t="s">
        <v>192</v>
      </c>
      <c r="AA12" s="52">
        <v>0.2050561797752809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0.33333333333333331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0.2</v>
      </c>
      <c r="Z13" s="49" t="s">
        <v>211</v>
      </c>
      <c r="AA13" s="52">
        <v>0.2048611111111111</v>
      </c>
      <c r="AB13" s="49" t="s">
        <v>195</v>
      </c>
      <c r="AC13" s="52">
        <v>0.12195121951219512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0.24489795918367346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25258-2DD4-4E42-AF1D-9C19597A162F}">
  <sheetPr codeName="Sheet4"/>
  <dimension ref="A1:R29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291</v>
      </c>
      <c r="C2" s="134"/>
      <c r="E2" s="26" t="s">
        <v>66</v>
      </c>
      <c r="F2" s="23" t="s">
        <v>22</v>
      </c>
      <c r="G2" s="11">
        <v>559</v>
      </c>
      <c r="H2" s="87">
        <f>IF(B$20=0,0,G2/B$20)</f>
        <v>0.77316735822959892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-37.800687285223368</v>
      </c>
      <c r="Q2" s="76">
        <v>291</v>
      </c>
      <c r="R2" s="63">
        <v>-11000</v>
      </c>
    </row>
    <row r="3" spans="1:18" x14ac:dyDescent="0.4">
      <c r="A3" s="19" t="s">
        <v>8</v>
      </c>
      <c r="B3" s="135">
        <v>2439</v>
      </c>
      <c r="C3" s="136"/>
      <c r="E3" s="27" t="s">
        <v>72</v>
      </c>
      <c r="F3" s="24" t="s">
        <v>27</v>
      </c>
      <c r="G3" s="12">
        <v>423</v>
      </c>
      <c r="H3" s="88">
        <f>IF(B$20=0,0,G3/B$20)</f>
        <v>0.58506224066390045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35.460992907801419</v>
      </c>
      <c r="Q3" s="77">
        <v>282</v>
      </c>
      <c r="R3" s="64">
        <v>10000</v>
      </c>
    </row>
    <row r="4" spans="1:18" x14ac:dyDescent="0.4">
      <c r="A4" s="19" t="s">
        <v>6</v>
      </c>
      <c r="B4" s="137">
        <v>2.8421709430404007E-14</v>
      </c>
      <c r="C4" s="138"/>
      <c r="E4" s="27" t="s">
        <v>64</v>
      </c>
      <c r="F4" s="24" t="s">
        <v>20</v>
      </c>
      <c r="G4" s="12">
        <v>293</v>
      </c>
      <c r="H4" s="88">
        <f>IF(B$20=0,0,G4/B$20)</f>
        <v>0.40525587828492393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-17.730496453900709</v>
      </c>
      <c r="Q4" s="77">
        <v>282</v>
      </c>
      <c r="R4" s="64">
        <v>-5000</v>
      </c>
    </row>
    <row r="5" spans="1:18" x14ac:dyDescent="0.4">
      <c r="A5" s="19" t="s">
        <v>7</v>
      </c>
      <c r="B5" s="125">
        <f>IF(B$2=0,0,B$4/B$2)</f>
        <v>9.7669104571835075E-17</v>
      </c>
      <c r="C5" s="126"/>
      <c r="E5" s="27" t="s">
        <v>159</v>
      </c>
      <c r="F5" s="24" t="s">
        <v>160</v>
      </c>
      <c r="G5" s="12">
        <v>283</v>
      </c>
      <c r="H5" s="88">
        <f>IF(B$20=0,0,G5/B$20)</f>
        <v>0.39142461964038727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-7.4074074074074074</v>
      </c>
      <c r="Q5" s="77">
        <v>270</v>
      </c>
      <c r="R5" s="64">
        <v>-2000</v>
      </c>
    </row>
    <row r="6" spans="1:18" x14ac:dyDescent="0.4">
      <c r="A6" s="19" t="s">
        <v>196</v>
      </c>
      <c r="B6" s="129">
        <v>1602.7484069926884</v>
      </c>
      <c r="C6" s="130"/>
      <c r="E6" s="27" t="s">
        <v>68</v>
      </c>
      <c r="F6" s="24" t="s">
        <v>12</v>
      </c>
      <c r="G6" s="12">
        <v>212</v>
      </c>
      <c r="H6" s="88">
        <f>IF(B$20=0,0,G6/B$20)</f>
        <v>0.29322268326417705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20.080321285140563</v>
      </c>
      <c r="Q6" s="77">
        <v>249</v>
      </c>
      <c r="R6" s="64">
        <v>5000</v>
      </c>
    </row>
    <row r="7" spans="1:18" x14ac:dyDescent="0.4">
      <c r="A7" s="19" t="s">
        <v>1</v>
      </c>
      <c r="B7" s="139">
        <f>IF(B$2=0,0,(B$8*1+B$9*2+B$10*3)/B$2)</f>
        <v>1.9965635738831615</v>
      </c>
      <c r="C7" s="140"/>
      <c r="E7" s="27" t="s">
        <v>67</v>
      </c>
      <c r="F7" s="24" t="s">
        <v>23</v>
      </c>
      <c r="G7" s="12">
        <v>154</v>
      </c>
      <c r="H7" s="88">
        <f>IF(B$20=0,0,G7/B$20)</f>
        <v>0.21300138312586445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14.084507042253522</v>
      </c>
      <c r="Q7" s="78">
        <v>213</v>
      </c>
      <c r="R7" s="65">
        <v>3000</v>
      </c>
    </row>
    <row r="8" spans="1:18" x14ac:dyDescent="0.4">
      <c r="A8" s="19" t="s">
        <v>2</v>
      </c>
      <c r="B8" s="12">
        <v>98</v>
      </c>
      <c r="C8" s="6">
        <f t="shared" ref="C8:C15" si="1">IF(B$2=0,0,B8/B$2)</f>
        <v>0.33676975945017185</v>
      </c>
      <c r="E8" s="27" t="s">
        <v>89</v>
      </c>
      <c r="F8" s="24" t="s">
        <v>44</v>
      </c>
      <c r="G8" s="12">
        <v>104</v>
      </c>
      <c r="H8" s="88">
        <f>IF(B$20=0,0,G8/B$20)</f>
        <v>0.14384508990318118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96</v>
      </c>
      <c r="C9" s="6">
        <f t="shared" si="1"/>
        <v>0.32989690721649484</v>
      </c>
      <c r="E9" s="27" t="s">
        <v>69</v>
      </c>
      <c r="F9" s="24" t="s">
        <v>24</v>
      </c>
      <c r="G9" s="12">
        <v>94</v>
      </c>
      <c r="H9" s="88">
        <f>IF(B$20=0,0,G9/B$20)</f>
        <v>0.13001383125864455</v>
      </c>
      <c r="I9" s="58">
        <v>3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97</v>
      </c>
      <c r="C10" s="7">
        <f t="shared" si="1"/>
        <v>0.33333333333333331</v>
      </c>
      <c r="E10" s="27" t="s">
        <v>70</v>
      </c>
      <c r="F10" s="24" t="s">
        <v>25</v>
      </c>
      <c r="G10" s="12">
        <v>79</v>
      </c>
      <c r="H10" s="88">
        <f>IF(B$20=0,0,G10/B$20)</f>
        <v>0.10926694329183956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3.4474226804123709</v>
      </c>
      <c r="Q10" s="76">
        <v>97</v>
      </c>
      <c r="R10" s="67">
        <v>334.4</v>
      </c>
    </row>
    <row r="11" spans="1:18" x14ac:dyDescent="0.4">
      <c r="A11" s="20" t="s">
        <v>184</v>
      </c>
      <c r="B11" s="109">
        <f>IF(B8=0,0,C11/B8)</f>
        <v>34.101020408163265</v>
      </c>
      <c r="C11" s="110">
        <v>3341.8999999999996</v>
      </c>
      <c r="E11" s="27" t="s">
        <v>65</v>
      </c>
      <c r="F11" s="24" t="s">
        <v>21</v>
      </c>
      <c r="G11" s="12">
        <v>61</v>
      </c>
      <c r="H11" s="88">
        <f>IF(B$20=0,0,G11/B$20)</f>
        <v>8.4370677731673588E-2</v>
      </c>
      <c r="I11" s="58">
        <v>7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-4.8752577319587624</v>
      </c>
      <c r="Q11" s="77">
        <v>97</v>
      </c>
      <c r="R11" s="68">
        <v>-472.9</v>
      </c>
    </row>
    <row r="12" spans="1:18" x14ac:dyDescent="0.4">
      <c r="A12" s="20" t="s">
        <v>185</v>
      </c>
      <c r="B12" s="109">
        <f>IF(B9=0,0,C12/B9)</f>
        <v>-0.84791666666666654</v>
      </c>
      <c r="C12" s="110">
        <v>-81.399999999999991</v>
      </c>
      <c r="E12" s="27" t="s">
        <v>71</v>
      </c>
      <c r="F12" s="24" t="s">
        <v>26</v>
      </c>
      <c r="G12" s="12">
        <v>44</v>
      </c>
      <c r="H12" s="88">
        <f>IF(B$20=0,0,G12/B$20)</f>
        <v>6.0857538035961271E-2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1.4278350515463918</v>
      </c>
      <c r="Q12" s="78">
        <v>97</v>
      </c>
      <c r="R12" s="69">
        <v>138.5</v>
      </c>
    </row>
    <row r="13" spans="1:18" x14ac:dyDescent="0.4">
      <c r="A13" s="20" t="s">
        <v>186</v>
      </c>
      <c r="B13" s="109">
        <f>IF(B10=0,0,C13/B10)</f>
        <v>-33.613402061855673</v>
      </c>
      <c r="C13" s="110">
        <v>-3260.5000000000005</v>
      </c>
      <c r="E13" s="27" t="s">
        <v>86</v>
      </c>
      <c r="F13" s="24" t="s">
        <v>41</v>
      </c>
      <c r="G13" s="12">
        <v>40</v>
      </c>
      <c r="H13" s="88">
        <f>IF(B$20=0,0,G13/B$20)</f>
        <v>5.5325034578146609E-2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-0.12009944011969272</v>
      </c>
      <c r="C14" s="126"/>
      <c r="E14" s="27" t="s">
        <v>83</v>
      </c>
      <c r="F14" s="24" t="s">
        <v>38</v>
      </c>
      <c r="G14" s="12">
        <v>31</v>
      </c>
      <c r="H14" s="88">
        <f>IF(B$20=0,0,G14/B$20)</f>
        <v>4.2876901798063624E-2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23</v>
      </c>
      <c r="C15" s="9">
        <f t="shared" si="1"/>
        <v>7.903780068728522E-2</v>
      </c>
      <c r="E15" s="27" t="s">
        <v>81</v>
      </c>
      <c r="F15" s="24" t="s">
        <v>36</v>
      </c>
      <c r="G15" s="12">
        <v>25</v>
      </c>
      <c r="H15" s="88">
        <f>IF(B$20=0,0,G15/B$20)</f>
        <v>3.4578146611341634E-2</v>
      </c>
      <c r="I15" s="58">
        <v>7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">
      <c r="A16" s="22" t="s">
        <v>121</v>
      </c>
      <c r="B16" s="15">
        <v>577</v>
      </c>
      <c r="C16" s="10">
        <f>IF(B$3=0,0,B16/B$3)</f>
        <v>0.23657236572365722</v>
      </c>
      <c r="E16" s="27" t="s">
        <v>78</v>
      </c>
      <c r="F16" s="24" t="s">
        <v>33</v>
      </c>
      <c r="G16" s="12">
        <v>18</v>
      </c>
      <c r="H16" s="88">
        <f>IF(B$20=0,0,G16/B$20)</f>
        <v>2.4896265560165973E-2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">
      <c r="A17" s="19" t="s">
        <v>118</v>
      </c>
      <c r="B17" s="12">
        <v>567</v>
      </c>
      <c r="C17" s="6">
        <f>IF(B$3=0,0,B17/B$3)</f>
        <v>0.23247232472324722</v>
      </c>
      <c r="E17" s="27" t="s">
        <v>155</v>
      </c>
      <c r="F17" s="24" t="s">
        <v>156</v>
      </c>
      <c r="G17" s="12">
        <v>14</v>
      </c>
      <c r="H17" s="88">
        <f>IF(B$20=0,0,G17/B$20)</f>
        <v>1.9363762102351315E-2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">
      <c r="A18" s="18" t="s">
        <v>123</v>
      </c>
      <c r="B18" s="11">
        <f>B24</f>
        <v>301</v>
      </c>
      <c r="C18" s="5">
        <f>IF(B$16=0,0,B18/B$16)</f>
        <v>0.52166377816291165</v>
      </c>
      <c r="E18" s="27" t="s">
        <v>91</v>
      </c>
      <c r="F18" s="24" t="s">
        <v>46</v>
      </c>
      <c r="G18" s="12">
        <v>13</v>
      </c>
      <c r="H18" s="88">
        <f>IF(B$20=0,0,G18/B$20)</f>
        <v>1.7980636237897647E-2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163</v>
      </c>
      <c r="P18" s="83">
        <f>IF(Q18=0,0,R18/Q18)</f>
        <v>5.495121951219514</v>
      </c>
      <c r="Q18" s="77">
        <v>82</v>
      </c>
      <c r="R18" s="68">
        <v>450.60000000000014</v>
      </c>
    </row>
    <row r="19" spans="1:18" x14ac:dyDescent="0.4">
      <c r="A19" s="18" t="s">
        <v>124</v>
      </c>
      <c r="B19" s="11">
        <f>B25</f>
        <v>237</v>
      </c>
      <c r="C19" s="5">
        <f>IF(B$17=0,0,B19/B$17)</f>
        <v>0.41798941798941797</v>
      </c>
      <c r="E19" s="27" t="s">
        <v>79</v>
      </c>
      <c r="F19" s="24" t="s">
        <v>34</v>
      </c>
      <c r="G19" s="12">
        <v>10</v>
      </c>
      <c r="H19" s="88">
        <f>IF(B$20=0,0,G19/B$20)</f>
        <v>1.3831258644536652E-2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0.94500000000000417</v>
      </c>
      <c r="Q19" s="77">
        <v>20</v>
      </c>
      <c r="R19" s="68">
        <v>18.900000000000084</v>
      </c>
    </row>
    <row r="20" spans="1:18" x14ac:dyDescent="0.4">
      <c r="A20" s="18" t="s">
        <v>10</v>
      </c>
      <c r="B20" s="11">
        <f>B23+B22</f>
        <v>723</v>
      </c>
      <c r="C20" s="5">
        <f>IF(B$3=0,0,B20/B$3)</f>
        <v>0.29643296432964328</v>
      </c>
      <c r="E20" s="27" t="s">
        <v>73</v>
      </c>
      <c r="F20" s="24" t="s">
        <v>28</v>
      </c>
      <c r="G20" s="12">
        <v>7</v>
      </c>
      <c r="H20" s="88">
        <f>IF(B$20=0,0,G20/B$20)</f>
        <v>9.6818810511756573E-3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189</v>
      </c>
      <c r="P20" s="83">
        <f>IF(Q20=0,0,R20/Q20)</f>
        <v>0.31621621621621704</v>
      </c>
      <c r="Q20" s="77">
        <v>74</v>
      </c>
      <c r="R20" s="68">
        <v>23.400000000000063</v>
      </c>
    </row>
    <row r="21" spans="1:18" x14ac:dyDescent="0.4">
      <c r="A21" s="19" t="s">
        <v>13</v>
      </c>
      <c r="B21" s="12">
        <v>403</v>
      </c>
      <c r="C21" s="6">
        <f>IF(B$3=0,0,B21/B$3)</f>
        <v>0.16523165231652318</v>
      </c>
      <c r="E21" s="27" t="s">
        <v>75</v>
      </c>
      <c r="F21" s="24" t="s">
        <v>30</v>
      </c>
      <c r="G21" s="12">
        <v>3</v>
      </c>
      <c r="H21" s="88">
        <f>IF(B$20=0,0,G21/B$20)</f>
        <v>4.1493775933609959E-3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126</v>
      </c>
      <c r="P21" s="83">
        <f>IF(Q21=0,0,R21/Q21)</f>
        <v>-0.93749999999999756</v>
      </c>
      <c r="Q21" s="77">
        <v>160</v>
      </c>
      <c r="R21" s="68">
        <v>-149.9999999999996</v>
      </c>
    </row>
    <row r="22" spans="1:18" x14ac:dyDescent="0.4">
      <c r="A22" s="19" t="s">
        <v>12</v>
      </c>
      <c r="B22" s="12">
        <v>315</v>
      </c>
      <c r="C22" s="6">
        <f>IF(B$20=0,0,B22/B$20)</f>
        <v>0.43568464730290457</v>
      </c>
      <c r="E22" s="27" t="s">
        <v>85</v>
      </c>
      <c r="F22" s="24" t="s">
        <v>40</v>
      </c>
      <c r="G22" s="12">
        <v>3</v>
      </c>
      <c r="H22" s="88">
        <f>IF(B$20=0,0,G22/B$20)</f>
        <v>4.1493775933609959E-3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190</v>
      </c>
      <c r="P22" s="83">
        <f>IF(Q22=0,0,R22/Q22)</f>
        <v>-1.8130434782608698</v>
      </c>
      <c r="Q22" s="77">
        <v>46</v>
      </c>
      <c r="R22" s="68">
        <v>-83.4</v>
      </c>
    </row>
    <row r="23" spans="1:18" x14ac:dyDescent="0.4">
      <c r="A23" s="19" t="s">
        <v>11</v>
      </c>
      <c r="B23" s="12">
        <v>408</v>
      </c>
      <c r="C23" s="6">
        <f>IF(B$20=0,0,B23/B$20)</f>
        <v>0.56431535269709543</v>
      </c>
      <c r="E23" s="27" t="s">
        <v>88</v>
      </c>
      <c r="F23" s="24" t="s">
        <v>43</v>
      </c>
      <c r="G23" s="12">
        <v>3</v>
      </c>
      <c r="H23" s="88">
        <f>IF(B$20=0,0,G23/B$20)</f>
        <v>4.1493775933609959E-3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-1.9500000000000013</v>
      </c>
      <c r="Q23" s="77">
        <v>70</v>
      </c>
      <c r="R23" s="68">
        <v>-136.50000000000009</v>
      </c>
    </row>
    <row r="24" spans="1:18" x14ac:dyDescent="0.4">
      <c r="A24" s="19" t="s">
        <v>183</v>
      </c>
      <c r="B24" s="12">
        <v>301</v>
      </c>
      <c r="C24" s="6">
        <f>IF(B$20=0,0,B24/B$20)</f>
        <v>0.41632088520055327</v>
      </c>
      <c r="E24" s="27" t="s">
        <v>77</v>
      </c>
      <c r="F24" s="24" t="s">
        <v>32</v>
      </c>
      <c r="G24" s="12">
        <v>2</v>
      </c>
      <c r="H24" s="88">
        <f>IF(B$20=0,0,G24/B$20)</f>
        <v>2.7662517289073307E-3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-10.481707317073177</v>
      </c>
      <c r="Q24" s="77">
        <v>82</v>
      </c>
      <c r="R24" s="68">
        <v>-859.50000000000045</v>
      </c>
    </row>
    <row r="25" spans="1:18" x14ac:dyDescent="0.4">
      <c r="A25" s="19" t="s">
        <v>181</v>
      </c>
      <c r="B25" s="12">
        <v>237</v>
      </c>
      <c r="C25" s="6">
        <f>IF(B$20=0,0,B25/B$20)</f>
        <v>0.32780082987551867</v>
      </c>
      <c r="E25" s="27" t="s">
        <v>92</v>
      </c>
      <c r="F25" s="24" t="s">
        <v>47</v>
      </c>
      <c r="G25" s="12">
        <v>2</v>
      </c>
      <c r="H25" s="88">
        <f>IF(B$20=0,0,G25/B$20)</f>
        <v>2.7662517289073307E-3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">
      <c r="A26" s="19" t="s">
        <v>182</v>
      </c>
      <c r="B26" s="12">
        <v>185</v>
      </c>
      <c r="C26" s="6">
        <f>IF(B$20=0,0,B26/B$20)</f>
        <v>0.25587828492392806</v>
      </c>
      <c r="E26" s="27" t="s">
        <v>80</v>
      </c>
      <c r="F26" s="24" t="s">
        <v>35</v>
      </c>
      <c r="G26" s="12">
        <v>1</v>
      </c>
      <c r="H26" s="88">
        <f>IF(B$20=0,0,G26/B$20)</f>
        <v>1.3831258644536654E-3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8005.9474412171512</v>
      </c>
      <c r="C27" s="8">
        <v>5788300</v>
      </c>
      <c r="E27" s="27" t="s">
        <v>90</v>
      </c>
      <c r="F27" s="24" t="s">
        <v>45</v>
      </c>
      <c r="G27" s="12">
        <v>1</v>
      </c>
      <c r="H27" s="88">
        <f>IF(B$20=0,0,G27/B$20)</f>
        <v>1.3831258644536654E-3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8610.4938271604933</v>
      </c>
      <c r="C28" s="96">
        <v>4184700</v>
      </c>
      <c r="E28" s="27" t="s">
        <v>93</v>
      </c>
      <c r="F28" s="24" t="s">
        <v>48</v>
      </c>
      <c r="G28" s="12">
        <v>1</v>
      </c>
      <c r="H28" s="88">
        <f>IF(B$20=0,0,G28/B$20)</f>
        <v>1.3831258644536654E-3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6766.2447257383965</v>
      </c>
      <c r="C29" s="96">
        <v>1603600</v>
      </c>
      <c r="E29" s="27" t="s">
        <v>102</v>
      </c>
      <c r="F29" s="24" t="s">
        <v>57</v>
      </c>
      <c r="G29" s="12">
        <v>1</v>
      </c>
      <c r="H29" s="88">
        <f>IF(B$20=0,0,G29/B$20)</f>
        <v>1.3831258644536654E-3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-7453.8461538461543</v>
      </c>
      <c r="C30" s="96">
        <v>-3003900</v>
      </c>
      <c r="E30" s="27" t="s">
        <v>106</v>
      </c>
      <c r="F30" s="24" t="s">
        <v>113</v>
      </c>
      <c r="G30" s="12">
        <v>1</v>
      </c>
      <c r="H30" s="88">
        <f>IF(B$20=0,0,G30/B$20)</f>
        <v>1.3831258644536654E-3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3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4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29">
        <v>103000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2.870028700287003E-3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61</v>
      </c>
      <c r="C37" s="98">
        <f t="shared" ref="C37:C49" si="2">IF(B$20=0,0,B37/B$20)</f>
        <v>8.4370677731673588E-2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135</v>
      </c>
      <c r="C38" s="6">
        <f t="shared" si="2"/>
        <v>0.18672199170124482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140</v>
      </c>
      <c r="C39" s="6">
        <f t="shared" si="2"/>
        <v>0.19363762102351315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138</v>
      </c>
      <c r="C40" s="6">
        <f t="shared" si="2"/>
        <v>0.1908713692946058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101</v>
      </c>
      <c r="C41" s="6">
        <f t="shared" si="2"/>
        <v>0.1396957123098202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67</v>
      </c>
      <c r="C42" s="6">
        <f t="shared" si="2"/>
        <v>9.2669432918395578E-2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33</v>
      </c>
      <c r="C43" s="6">
        <f t="shared" si="2"/>
        <v>4.5643153526970952E-2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20</v>
      </c>
      <c r="C44" s="6">
        <f t="shared" si="2"/>
        <v>2.7662517289073305E-2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13</v>
      </c>
      <c r="C45" s="6">
        <f t="shared" si="2"/>
        <v>1.7980636237897647E-2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8</v>
      </c>
      <c r="C46" s="6">
        <f t="shared" si="2"/>
        <v>1.1065006915629323E-2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2.7662517289073307E-3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5</v>
      </c>
      <c r="C49" s="9">
        <f t="shared" si="2"/>
        <v>6.9156293222683261E-3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4B00F-B820-422B-8BD9-5ED2D8E0D696}">
  <sheetPr codeName="Sheet7"/>
  <dimension ref="A1:R8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80</v>
      </c>
      <c r="C2" s="134"/>
      <c r="E2" s="26" t="s">
        <v>66</v>
      </c>
      <c r="F2" s="23" t="s">
        <v>22</v>
      </c>
      <c r="G2" s="11">
        <v>161</v>
      </c>
      <c r="H2" s="87">
        <f>IF(B$20=0,0,G2/B$20)</f>
        <v>0.755868544600939</v>
      </c>
      <c r="I2" s="57">
        <v>7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206.25</v>
      </c>
      <c r="Q2" s="76">
        <v>80</v>
      </c>
      <c r="R2" s="63">
        <v>16500</v>
      </c>
    </row>
    <row r="3" spans="1:18" x14ac:dyDescent="0.4">
      <c r="A3" s="19" t="s">
        <v>8</v>
      </c>
      <c r="B3" s="135">
        <v>663</v>
      </c>
      <c r="C3" s="136"/>
      <c r="E3" s="27" t="s">
        <v>72</v>
      </c>
      <c r="F3" s="24" t="s">
        <v>27</v>
      </c>
      <c r="G3" s="12">
        <v>117</v>
      </c>
      <c r="H3" s="88">
        <f>IF(B$20=0,0,G3/B$20)</f>
        <v>0.54929577464788737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-1171.4285714285713</v>
      </c>
      <c r="Q3" s="77">
        <v>77</v>
      </c>
      <c r="R3" s="64">
        <v>-90200</v>
      </c>
    </row>
    <row r="4" spans="1:18" x14ac:dyDescent="0.4">
      <c r="A4" s="19" t="s">
        <v>6</v>
      </c>
      <c r="B4" s="137">
        <v>49.99999999999995</v>
      </c>
      <c r="C4" s="138"/>
      <c r="E4" s="27" t="s">
        <v>64</v>
      </c>
      <c r="F4" s="24" t="s">
        <v>20</v>
      </c>
      <c r="G4" s="12">
        <v>85</v>
      </c>
      <c r="H4" s="88">
        <f>IF(B$20=0,0,G4/B$20)</f>
        <v>0.39906103286384975</v>
      </c>
      <c r="I4" s="58">
        <v>7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-600</v>
      </c>
      <c r="Q4" s="77">
        <v>77</v>
      </c>
      <c r="R4" s="64">
        <v>-46200</v>
      </c>
    </row>
    <row r="5" spans="1:18" x14ac:dyDescent="0.4">
      <c r="A5" s="19" t="s">
        <v>7</v>
      </c>
      <c r="B5" s="125">
        <f>IF(B$2=0,0,B$4/B$2)</f>
        <v>0.62499999999999933</v>
      </c>
      <c r="C5" s="126"/>
      <c r="E5" s="27" t="s">
        <v>159</v>
      </c>
      <c r="F5" s="24" t="s">
        <v>160</v>
      </c>
      <c r="G5" s="12">
        <v>77</v>
      </c>
      <c r="H5" s="88">
        <f>IF(B$20=0,0,G5/B$20)</f>
        <v>0.36150234741784038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921.33333333333337</v>
      </c>
      <c r="Q5" s="77">
        <v>75</v>
      </c>
      <c r="R5" s="64">
        <v>69100</v>
      </c>
    </row>
    <row r="6" spans="1:18" x14ac:dyDescent="0.4">
      <c r="A6" s="19" t="s">
        <v>196</v>
      </c>
      <c r="B6" s="129">
        <v>1760.4079128289225</v>
      </c>
      <c r="C6" s="130"/>
      <c r="E6" s="27" t="s">
        <v>68</v>
      </c>
      <c r="F6" s="24" t="s">
        <v>12</v>
      </c>
      <c r="G6" s="12">
        <v>65</v>
      </c>
      <c r="H6" s="88">
        <f>IF(B$20=0,0,G6/B$20)</f>
        <v>0.30516431924882631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434.78260869565219</v>
      </c>
      <c r="Q6" s="77">
        <v>69</v>
      </c>
      <c r="R6" s="64">
        <v>30000</v>
      </c>
    </row>
    <row r="7" spans="1:18" x14ac:dyDescent="0.4">
      <c r="A7" s="19" t="s">
        <v>1</v>
      </c>
      <c r="B7" s="139">
        <f>IF(B$2=0,0,(B$8*1+B$9*2+B$10*3)/B$2)</f>
        <v>2.0499999999999998</v>
      </c>
      <c r="C7" s="140"/>
      <c r="E7" s="27" t="s">
        <v>67</v>
      </c>
      <c r="F7" s="24" t="s">
        <v>23</v>
      </c>
      <c r="G7" s="12">
        <v>45</v>
      </c>
      <c r="H7" s="88">
        <f>IF(B$20=0,0,G7/B$20)</f>
        <v>0.21126760563380281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10.169491525423728</v>
      </c>
      <c r="Q7" s="78">
        <v>59</v>
      </c>
      <c r="R7" s="65">
        <v>600</v>
      </c>
    </row>
    <row r="8" spans="1:18" x14ac:dyDescent="0.4">
      <c r="A8" s="19" t="s">
        <v>2</v>
      </c>
      <c r="B8" s="12">
        <v>25</v>
      </c>
      <c r="C8" s="6">
        <f t="shared" ref="C8:C15" si="1">IF(B$2=0,0,B8/B$2)</f>
        <v>0.3125</v>
      </c>
      <c r="E8" s="27" t="s">
        <v>69</v>
      </c>
      <c r="F8" s="24" t="s">
        <v>24</v>
      </c>
      <c r="G8" s="12">
        <v>38</v>
      </c>
      <c r="H8" s="88">
        <f>IF(B$20=0,0,G8/B$20)</f>
        <v>0.17840375586854459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26</v>
      </c>
      <c r="C9" s="6">
        <f t="shared" si="1"/>
        <v>0.32500000000000001</v>
      </c>
      <c r="E9" s="27" t="s">
        <v>70</v>
      </c>
      <c r="F9" s="24" t="s">
        <v>25</v>
      </c>
      <c r="G9" s="12">
        <v>31</v>
      </c>
      <c r="H9" s="88">
        <f>IF(B$20=0,0,G9/B$20)</f>
        <v>0.14553990610328638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29</v>
      </c>
      <c r="C10" s="7">
        <f t="shared" si="1"/>
        <v>0.36249999999999999</v>
      </c>
      <c r="E10" s="27" t="s">
        <v>89</v>
      </c>
      <c r="F10" s="24" t="s">
        <v>44</v>
      </c>
      <c r="G10" s="12">
        <v>29</v>
      </c>
      <c r="H10" s="88">
        <f>IF(B$20=0,0,G10/B$20)</f>
        <v>0.13615023474178403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6.4178571428571427</v>
      </c>
      <c r="Q10" s="76">
        <v>28</v>
      </c>
      <c r="R10" s="67">
        <v>179.7</v>
      </c>
    </row>
    <row r="11" spans="1:18" x14ac:dyDescent="0.4">
      <c r="A11" s="20" t="s">
        <v>184</v>
      </c>
      <c r="B11" s="109">
        <f>IF(B8=0,0,C11/B8)</f>
        <v>37.552</v>
      </c>
      <c r="C11" s="110">
        <v>938.8</v>
      </c>
      <c r="E11" s="27" t="s">
        <v>65</v>
      </c>
      <c r="F11" s="24" t="s">
        <v>21</v>
      </c>
      <c r="G11" s="12">
        <v>16</v>
      </c>
      <c r="H11" s="88">
        <f>IF(B$20=0,0,G11/B$20)</f>
        <v>7.5117370892018781E-2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-8.9551724137931039</v>
      </c>
      <c r="Q11" s="77">
        <v>29</v>
      </c>
      <c r="R11" s="68">
        <v>-259.7</v>
      </c>
    </row>
    <row r="12" spans="1:18" x14ac:dyDescent="0.4">
      <c r="A12" s="20" t="s">
        <v>185</v>
      </c>
      <c r="B12" s="109">
        <f>IF(B9=0,0,C12/B9)</f>
        <v>-1.7307692307692302</v>
      </c>
      <c r="C12" s="110">
        <v>-44.999999999999986</v>
      </c>
      <c r="E12" s="27" t="s">
        <v>86</v>
      </c>
      <c r="F12" s="24" t="s">
        <v>41</v>
      </c>
      <c r="G12" s="12">
        <v>15</v>
      </c>
      <c r="H12" s="88">
        <f>IF(B$20=0,0,G12/B$20)</f>
        <v>7.0422535211267609E-2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5.6521739130434794</v>
      </c>
      <c r="Q12" s="78">
        <v>23</v>
      </c>
      <c r="R12" s="69">
        <v>130.00000000000003</v>
      </c>
    </row>
    <row r="13" spans="1:18" x14ac:dyDescent="0.4">
      <c r="A13" s="20" t="s">
        <v>186</v>
      </c>
      <c r="B13" s="109">
        <f>IF(B10=0,0,C13/B10)</f>
        <v>-29.096551724137932</v>
      </c>
      <c r="C13" s="110">
        <v>-843.80000000000007</v>
      </c>
      <c r="E13" s="27" t="s">
        <v>71</v>
      </c>
      <c r="F13" s="24" t="s">
        <v>26</v>
      </c>
      <c r="G13" s="12">
        <v>11</v>
      </c>
      <c r="H13" s="88">
        <f>IF(B$20=0,0,G13/B$20)</f>
        <v>5.1643192488262914E-2</v>
      </c>
      <c r="I13" s="58">
        <v>6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2.2415596816976113</v>
      </c>
      <c r="C14" s="126"/>
      <c r="E14" s="27" t="s">
        <v>83</v>
      </c>
      <c r="F14" s="24" t="s">
        <v>38</v>
      </c>
      <c r="G14" s="12">
        <v>11</v>
      </c>
      <c r="H14" s="88">
        <f>IF(B$20=0,0,G14/B$20)</f>
        <v>5.1643192488262914E-2</v>
      </c>
      <c r="I14" s="58">
        <v>4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7.4999999999999997E-2</v>
      </c>
      <c r="E15" s="27" t="s">
        <v>155</v>
      </c>
      <c r="F15" s="24" t="s">
        <v>156</v>
      </c>
      <c r="G15" s="12">
        <v>10</v>
      </c>
      <c r="H15" s="88">
        <f>IF(B$20=0,0,G15/B$20)</f>
        <v>4.6948356807511735E-2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">
      <c r="A16" s="22" t="s">
        <v>121</v>
      </c>
      <c r="B16" s="15">
        <v>163</v>
      </c>
      <c r="C16" s="10">
        <f>IF(B$3=0,0,B16/B$3)</f>
        <v>0.2458521870286576</v>
      </c>
      <c r="E16" s="27" t="s">
        <v>91</v>
      </c>
      <c r="F16" s="24" t="s">
        <v>46</v>
      </c>
      <c r="G16" s="12">
        <v>5</v>
      </c>
      <c r="H16" s="88">
        <f>IF(B$20=0,0,G16/B$20)</f>
        <v>2.3474178403755867E-2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">
      <c r="A17" s="19" t="s">
        <v>118</v>
      </c>
      <c r="B17" s="12">
        <v>139</v>
      </c>
      <c r="C17" s="6">
        <f>IF(B$3=0,0,B17/B$3)</f>
        <v>0.20965309200603319</v>
      </c>
      <c r="E17" s="27" t="s">
        <v>81</v>
      </c>
      <c r="F17" s="24" t="s">
        <v>36</v>
      </c>
      <c r="G17" s="12">
        <v>4</v>
      </c>
      <c r="H17" s="88">
        <f>IF(B$20=0,0,G17/B$20)</f>
        <v>1.8779342723004695E-2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10.658823529411768</v>
      </c>
      <c r="Q17" s="77">
        <v>34</v>
      </c>
      <c r="R17" s="68">
        <v>362.40000000000009</v>
      </c>
    </row>
    <row r="18" spans="1:18" x14ac:dyDescent="0.4">
      <c r="A18" s="18" t="s">
        <v>123</v>
      </c>
      <c r="B18" s="11">
        <f>B24</f>
        <v>93</v>
      </c>
      <c r="C18" s="5">
        <f>IF(B$16=0,0,B18/B$16)</f>
        <v>0.57055214723926384</v>
      </c>
      <c r="E18" s="27" t="s">
        <v>73</v>
      </c>
      <c r="F18" s="24" t="s">
        <v>28</v>
      </c>
      <c r="G18" s="12">
        <v>3</v>
      </c>
      <c r="H18" s="88">
        <f>IF(B$20=0,0,G18/B$20)</f>
        <v>1.4084507042253521E-2</v>
      </c>
      <c r="I18" s="58">
        <v>2</v>
      </c>
      <c r="K18" s="74">
        <v>16</v>
      </c>
      <c r="L18" s="119">
        <v>164.20000000000002</v>
      </c>
      <c r="M18" s="117">
        <v>1848.4372400471914</v>
      </c>
      <c r="O18" s="74" t="s">
        <v>211</v>
      </c>
      <c r="P18" s="83">
        <f>IF(Q18=0,0,R18/Q18)</f>
        <v>4.1523809523809527</v>
      </c>
      <c r="Q18" s="77">
        <v>21</v>
      </c>
      <c r="R18" s="68">
        <v>87.2</v>
      </c>
    </row>
    <row r="19" spans="1:18" x14ac:dyDescent="0.4">
      <c r="A19" s="18" t="s">
        <v>124</v>
      </c>
      <c r="B19" s="11">
        <f>B25</f>
        <v>65</v>
      </c>
      <c r="C19" s="5">
        <f>IF(B$17=0,0,B19/B$17)</f>
        <v>0.46762589928057552</v>
      </c>
      <c r="E19" s="27" t="s">
        <v>78</v>
      </c>
      <c r="F19" s="24" t="s">
        <v>33</v>
      </c>
      <c r="G19" s="12">
        <v>3</v>
      </c>
      <c r="H19" s="88">
        <f>IF(B$20=0,0,G19/B$20)</f>
        <v>1.4084507042253521E-2</v>
      </c>
      <c r="I19" s="58">
        <v>8</v>
      </c>
      <c r="K19" s="74">
        <v>17</v>
      </c>
      <c r="L19" s="119">
        <v>164.3</v>
      </c>
      <c r="M19" s="117">
        <v>1846.8986166069083</v>
      </c>
      <c r="O19" s="74" t="s">
        <v>190</v>
      </c>
      <c r="P19" s="83">
        <f>IF(Q19=0,0,R19/Q19)</f>
        <v>-1.627777777777778</v>
      </c>
      <c r="Q19" s="77">
        <v>18</v>
      </c>
      <c r="R19" s="68">
        <v>-29.300000000000004</v>
      </c>
    </row>
    <row r="20" spans="1:18" x14ac:dyDescent="0.4">
      <c r="A20" s="18" t="s">
        <v>10</v>
      </c>
      <c r="B20" s="11">
        <f>B23+B22</f>
        <v>213</v>
      </c>
      <c r="C20" s="5">
        <f>IF(B$3=0,0,B20/B$3)</f>
        <v>0.32126696832579188</v>
      </c>
      <c r="E20" s="27" t="s">
        <v>75</v>
      </c>
      <c r="F20" s="24" t="s">
        <v>30</v>
      </c>
      <c r="G20" s="12">
        <v>1</v>
      </c>
      <c r="H20" s="88">
        <f>IF(B$20=0,0,G20/B$20)</f>
        <v>4.6948356807511738E-3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-3.45</v>
      </c>
      <c r="Q20" s="77">
        <v>34</v>
      </c>
      <c r="R20" s="68">
        <v>-117.30000000000001</v>
      </c>
    </row>
    <row r="21" spans="1:18" x14ac:dyDescent="0.4">
      <c r="A21" s="19" t="s">
        <v>13</v>
      </c>
      <c r="B21" s="12">
        <v>125</v>
      </c>
      <c r="C21" s="6">
        <f>IF(B$3=0,0,B21/B$3)</f>
        <v>0.18853695324283559</v>
      </c>
      <c r="E21" s="27" t="s">
        <v>79</v>
      </c>
      <c r="F21" s="24" t="s">
        <v>34</v>
      </c>
      <c r="G21" s="12">
        <v>1</v>
      </c>
      <c r="H21" s="88">
        <f>IF(B$20=0,0,G21/B$20)</f>
        <v>4.6948356807511738E-3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195</v>
      </c>
      <c r="P21" s="83">
        <f>IF(Q21=0,0,R21/Q21)</f>
        <v>-4.8999999999999986</v>
      </c>
      <c r="Q21" s="77">
        <v>7</v>
      </c>
      <c r="R21" s="68">
        <v>-34.29999999999999</v>
      </c>
    </row>
    <row r="22" spans="1:18" x14ac:dyDescent="0.4">
      <c r="A22" s="19" t="s">
        <v>12</v>
      </c>
      <c r="B22" s="12">
        <v>99</v>
      </c>
      <c r="C22" s="6">
        <f>IF(B$20=0,0,B22/B$20)</f>
        <v>0.46478873239436619</v>
      </c>
      <c r="E22" s="27" t="s">
        <v>80</v>
      </c>
      <c r="F22" s="24" t="s">
        <v>35</v>
      </c>
      <c r="G22" s="12">
        <v>1</v>
      </c>
      <c r="H22" s="88">
        <f>IF(B$20=0,0,G22/B$20)</f>
        <v>4.6948356807511738E-3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-8.6852941176470591</v>
      </c>
      <c r="Q22" s="77">
        <v>34</v>
      </c>
      <c r="R22" s="68">
        <v>-295.3</v>
      </c>
    </row>
    <row r="23" spans="1:18" x14ac:dyDescent="0.4">
      <c r="A23" s="19" t="s">
        <v>11</v>
      </c>
      <c r="B23" s="12">
        <v>114</v>
      </c>
      <c r="C23" s="6">
        <f>IF(B$20=0,0,B23/B$20)</f>
        <v>0.53521126760563376</v>
      </c>
      <c r="E23" s="27" t="s">
        <v>85</v>
      </c>
      <c r="F23" s="24" t="s">
        <v>40</v>
      </c>
      <c r="G23" s="12">
        <v>1</v>
      </c>
      <c r="H23" s="88">
        <f>IF(B$20=0,0,G23/B$20)</f>
        <v>4.6948356807511738E-3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">
      <c r="A24" s="19" t="s">
        <v>183</v>
      </c>
      <c r="B24" s="12">
        <v>93</v>
      </c>
      <c r="C24" s="6">
        <f>IF(B$20=0,0,B24/B$20)</f>
        <v>0.43661971830985913</v>
      </c>
      <c r="E24" s="27" t="s">
        <v>90</v>
      </c>
      <c r="F24" s="24" t="s">
        <v>45</v>
      </c>
      <c r="G24" s="12">
        <v>1</v>
      </c>
      <c r="H24" s="88">
        <f>IF(B$20=0,0,G24/B$20)</f>
        <v>4.6948356807511738E-3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65</v>
      </c>
      <c r="C25" s="6">
        <f>IF(B$20=0,0,B25/B$20)</f>
        <v>0.30516431924882631</v>
      </c>
      <c r="E25" s="27" t="s">
        <v>92</v>
      </c>
      <c r="F25" s="24" t="s">
        <v>47</v>
      </c>
      <c r="G25" s="12">
        <v>1</v>
      </c>
      <c r="H25" s="88">
        <f>IF(B$20=0,0,G25/B$20)</f>
        <v>4.6948356807511738E-3</v>
      </c>
      <c r="I25" s="58">
        <v>2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55</v>
      </c>
      <c r="C26" s="6">
        <f>IF(B$20=0,0,B26/B$20)</f>
        <v>0.25821596244131456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8080.2816901408451</v>
      </c>
      <c r="C27" s="8">
        <v>1721100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8471.6216216216217</v>
      </c>
      <c r="C28" s="96">
        <v>1253800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7189.2307692307695</v>
      </c>
      <c r="C29" s="96">
        <v>467300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-7146.4</v>
      </c>
      <c r="C30" s="96">
        <v>-893300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17</v>
      </c>
      <c r="C32" s="90">
        <v>0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1.5082956259426848E-3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14</v>
      </c>
      <c r="C37" s="98">
        <f t="shared" ref="C37:C49" si="2">IF(B$20=0,0,B37/B$20)</f>
        <v>6.5727699530516437E-2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37</v>
      </c>
      <c r="C38" s="6">
        <f t="shared" si="2"/>
        <v>0.17370892018779344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45</v>
      </c>
      <c r="C39" s="6">
        <f t="shared" si="2"/>
        <v>0.21126760563380281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39</v>
      </c>
      <c r="C40" s="6">
        <f t="shared" si="2"/>
        <v>0.18309859154929578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35</v>
      </c>
      <c r="C41" s="6">
        <f t="shared" si="2"/>
        <v>0.16431924882629109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25</v>
      </c>
      <c r="C42" s="6">
        <f t="shared" si="2"/>
        <v>0.11737089201877934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8</v>
      </c>
      <c r="C43" s="6">
        <f t="shared" si="2"/>
        <v>3.7558685446009391E-2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2</v>
      </c>
      <c r="C44" s="6">
        <f t="shared" si="2"/>
        <v>9.3896713615023476E-3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4</v>
      </c>
      <c r="C45" s="6">
        <f t="shared" si="2"/>
        <v>1.8779342723004695E-2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9.3896713615023476E-3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4.6948356807511738E-3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4.6948356807511738E-3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7F2CB-33CE-4203-BB32-F63FDA7AAADD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41</v>
      </c>
      <c r="C2" s="134"/>
      <c r="E2" s="26" t="s">
        <v>66</v>
      </c>
      <c r="F2" s="23" t="s">
        <v>22</v>
      </c>
      <c r="G2" s="11">
        <v>89</v>
      </c>
      <c r="H2" s="87">
        <f>IF(B$20=0,0,G2/B$20)</f>
        <v>0.94680851063829785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1743.9024390243903</v>
      </c>
      <c r="Q2" s="76">
        <v>41</v>
      </c>
      <c r="R2" s="63">
        <v>71500</v>
      </c>
    </row>
    <row r="3" spans="1:18" x14ac:dyDescent="0.4">
      <c r="A3" s="19" t="s">
        <v>8</v>
      </c>
      <c r="B3" s="135">
        <v>350</v>
      </c>
      <c r="C3" s="136"/>
      <c r="E3" s="27" t="s">
        <v>72</v>
      </c>
      <c r="F3" s="24" t="s">
        <v>27</v>
      </c>
      <c r="G3" s="12">
        <v>52</v>
      </c>
      <c r="H3" s="88">
        <f>IF(B$20=0,0,G3/B$20)</f>
        <v>0.55319148936170215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-169.23076923076923</v>
      </c>
      <c r="Q3" s="77">
        <v>39</v>
      </c>
      <c r="R3" s="64">
        <v>-6600</v>
      </c>
    </row>
    <row r="4" spans="1:18" x14ac:dyDescent="0.4">
      <c r="A4" s="19" t="s">
        <v>6</v>
      </c>
      <c r="B4" s="137">
        <v>-150.20000000000002</v>
      </c>
      <c r="C4" s="138"/>
      <c r="E4" s="27" t="s">
        <v>64</v>
      </c>
      <c r="F4" s="24" t="s">
        <v>20</v>
      </c>
      <c r="G4" s="12">
        <v>40</v>
      </c>
      <c r="H4" s="88">
        <f>IF(B$20=0,0,G4/B$20)</f>
        <v>0.42553191489361702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-464.10256410256409</v>
      </c>
      <c r="Q4" s="77">
        <v>39</v>
      </c>
      <c r="R4" s="64">
        <v>-18100</v>
      </c>
    </row>
    <row r="5" spans="1:18" x14ac:dyDescent="0.4">
      <c r="A5" s="19" t="s">
        <v>7</v>
      </c>
      <c r="B5" s="125">
        <f>IF(B$2=0,0,B$4/B$2)</f>
        <v>-3.6634146341463421</v>
      </c>
      <c r="C5" s="126"/>
      <c r="E5" s="27" t="s">
        <v>159</v>
      </c>
      <c r="F5" s="24" t="s">
        <v>160</v>
      </c>
      <c r="G5" s="12">
        <v>39</v>
      </c>
      <c r="H5" s="88">
        <f>IF(B$20=0,0,G5/B$20)</f>
        <v>0.41489361702127658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-286.84210526315792</v>
      </c>
      <c r="Q5" s="77">
        <v>38</v>
      </c>
      <c r="R5" s="64">
        <v>-10900</v>
      </c>
    </row>
    <row r="6" spans="1:18" x14ac:dyDescent="0.4">
      <c r="A6" s="19" t="s">
        <v>196</v>
      </c>
      <c r="B6" s="129">
        <v>1623.0600080708391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0.34042553191489361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-31.428571428571427</v>
      </c>
      <c r="Q6" s="77">
        <v>35</v>
      </c>
      <c r="R6" s="64">
        <v>-1100</v>
      </c>
    </row>
    <row r="7" spans="1:18" x14ac:dyDescent="0.4">
      <c r="A7" s="19" t="s">
        <v>1</v>
      </c>
      <c r="B7" s="139">
        <f>IF(B$2=0,0,(B$8*1+B$9*2+B$10*3)/B$2)</f>
        <v>2.0975609756097562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0.21276595744680851</v>
      </c>
      <c r="I7" s="58">
        <v>7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-913.79310344827582</v>
      </c>
      <c r="Q7" s="78">
        <v>29</v>
      </c>
      <c r="R7" s="65">
        <v>-26500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0.26829268292682928</v>
      </c>
      <c r="E8" s="27" t="s">
        <v>89</v>
      </c>
      <c r="F8" s="24" t="s">
        <v>44</v>
      </c>
      <c r="G8" s="12">
        <v>16</v>
      </c>
      <c r="H8" s="88">
        <f>IF(B$20=0,0,G8/B$20)</f>
        <v>0.1702127659574468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0.36585365853658536</v>
      </c>
      <c r="E9" s="27" t="s">
        <v>69</v>
      </c>
      <c r="F9" s="24" t="s">
        <v>24</v>
      </c>
      <c r="G9" s="12">
        <v>11</v>
      </c>
      <c r="H9" s="88">
        <f>IF(B$20=0,0,G9/B$20)</f>
        <v>0.11702127659574468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0.36585365853658536</v>
      </c>
      <c r="E10" s="27" t="s">
        <v>65</v>
      </c>
      <c r="F10" s="24" t="s">
        <v>21</v>
      </c>
      <c r="G10" s="12">
        <v>8</v>
      </c>
      <c r="H10" s="88">
        <f>IF(B$20=0,0,G10/B$20)</f>
        <v>8.5106382978723402E-2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-2.6058823529411761</v>
      </c>
      <c r="Q10" s="76">
        <v>17</v>
      </c>
      <c r="R10" s="67">
        <v>-44.3</v>
      </c>
    </row>
    <row r="11" spans="1:18" x14ac:dyDescent="0.4">
      <c r="A11" s="20" t="s">
        <v>184</v>
      </c>
      <c r="B11" s="109">
        <f>IF(B8=0,0,C11/B8)</f>
        <v>36.518181818181809</v>
      </c>
      <c r="C11" s="110">
        <v>401.69999999999993</v>
      </c>
      <c r="E11" s="27" t="s">
        <v>70</v>
      </c>
      <c r="F11" s="24" t="s">
        <v>25</v>
      </c>
      <c r="G11" s="12">
        <v>8</v>
      </c>
      <c r="H11" s="88">
        <f>IF(B$20=0,0,G11/B$20)</f>
        <v>8.5106382978723402E-2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-2.200000000000002</v>
      </c>
      <c r="Q11" s="77">
        <v>11</v>
      </c>
      <c r="R11" s="68">
        <v>-24.200000000000021</v>
      </c>
    </row>
    <row r="12" spans="1:18" x14ac:dyDescent="0.4">
      <c r="A12" s="20" t="s">
        <v>185</v>
      </c>
      <c r="B12" s="109">
        <f>IF(B9=0,0,C12/B9)</f>
        <v>1.4266666666666663</v>
      </c>
      <c r="C12" s="110">
        <v>21.399999999999995</v>
      </c>
      <c r="E12" s="27" t="s">
        <v>71</v>
      </c>
      <c r="F12" s="24" t="s">
        <v>26</v>
      </c>
      <c r="G12" s="12">
        <v>7</v>
      </c>
      <c r="H12" s="88">
        <f>IF(B$20=0,0,G12/B$20)</f>
        <v>7.4468085106382975E-2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-6.2846153846153845</v>
      </c>
      <c r="Q12" s="78">
        <v>13</v>
      </c>
      <c r="R12" s="69">
        <v>-81.7</v>
      </c>
    </row>
    <row r="13" spans="1:18" x14ac:dyDescent="0.4">
      <c r="A13" s="20" t="s">
        <v>186</v>
      </c>
      <c r="B13" s="109">
        <f>IF(B10=0,0,C13/B10)</f>
        <v>-38.220000000000006</v>
      </c>
      <c r="C13" s="110">
        <v>-573.30000000000007</v>
      </c>
      <c r="E13" s="27" t="s">
        <v>86</v>
      </c>
      <c r="F13" s="24" t="s">
        <v>41</v>
      </c>
      <c r="G13" s="12">
        <v>6</v>
      </c>
      <c r="H13" s="88">
        <f>IF(B$20=0,0,G13/B$20)</f>
        <v>6.3829787234042548E-2</v>
      </c>
      <c r="I13" s="58">
        <v>4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-9.171717171717593E-2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5.3191489361702128E-2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0.12195121951219512</v>
      </c>
      <c r="E15" s="27" t="s">
        <v>83</v>
      </c>
      <c r="F15" s="24" t="s">
        <v>38</v>
      </c>
      <c r="G15" s="12">
        <v>4</v>
      </c>
      <c r="H15" s="88">
        <f>IF(B$20=0,0,G15/B$20)</f>
        <v>4.2553191489361701E-2</v>
      </c>
      <c r="I15" s="58">
        <v>6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 t="shared" ref="P15:P21" si="2"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89</v>
      </c>
      <c r="C16" s="10">
        <f>IF(B$3=0,0,B16/B$3)</f>
        <v>0.25428571428571428</v>
      </c>
      <c r="E16" s="27" t="s">
        <v>78</v>
      </c>
      <c r="F16" s="24" t="s">
        <v>33</v>
      </c>
      <c r="G16" s="12">
        <v>3</v>
      </c>
      <c r="H16" s="88">
        <f>IF(B$20=0,0,G16/B$20)</f>
        <v>3.1914893617021274E-2</v>
      </c>
      <c r="I16" s="58">
        <v>5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 t="shared" si="2"/>
        <v>8.7333333333333361</v>
      </c>
      <c r="Q16" s="77">
        <v>6</v>
      </c>
      <c r="R16" s="68">
        <v>52.400000000000013</v>
      </c>
    </row>
    <row r="17" spans="1:18" x14ac:dyDescent="0.4">
      <c r="A17" s="19" t="s">
        <v>118</v>
      </c>
      <c r="B17" s="12">
        <v>84</v>
      </c>
      <c r="C17" s="6">
        <f>IF(B$3=0,0,B17/B$3)</f>
        <v>0.24</v>
      </c>
      <c r="E17" s="27" t="s">
        <v>155</v>
      </c>
      <c r="F17" s="24" t="s">
        <v>156</v>
      </c>
      <c r="G17" s="12">
        <v>3</v>
      </c>
      <c r="H17" s="88">
        <f>IF(B$20=0,0,G17/B$20)</f>
        <v>3.1914893617021274E-2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 t="shared" si="2"/>
        <v>-3.9166666666666674</v>
      </c>
      <c r="Q17" s="77">
        <v>12</v>
      </c>
      <c r="R17" s="68">
        <v>-47.000000000000007</v>
      </c>
    </row>
    <row r="18" spans="1:18" x14ac:dyDescent="0.4">
      <c r="A18" s="18" t="s">
        <v>123</v>
      </c>
      <c r="B18" s="11">
        <f>B24</f>
        <v>41</v>
      </c>
      <c r="C18" s="5">
        <f>IF(B$16=0,0,B18/B$16)</f>
        <v>0.4606741573033708</v>
      </c>
      <c r="E18" s="27" t="s">
        <v>73</v>
      </c>
      <c r="F18" s="24" t="s">
        <v>28</v>
      </c>
      <c r="G18" s="12">
        <v>1</v>
      </c>
      <c r="H18" s="88">
        <f>IF(B$20=0,0,G18/B$20)</f>
        <v>1.0638297872340425E-2</v>
      </c>
      <c r="I18" s="58">
        <v>3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 t="shared" si="2"/>
        <v>-10.658823529411768</v>
      </c>
      <c r="Q18" s="77">
        <v>34</v>
      </c>
      <c r="R18" s="68">
        <v>-362.40000000000009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0.33333333333333331</v>
      </c>
      <c r="E19" s="27" t="s">
        <v>79</v>
      </c>
      <c r="F19" s="24" t="s">
        <v>34</v>
      </c>
      <c r="G19" s="12">
        <v>1</v>
      </c>
      <c r="H19" s="88">
        <f>IF(B$20=0,0,G19/B$20)</f>
        <v>1.0638297872340425E-2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 t="shared" si="2"/>
        <v>-10.833333333333334</v>
      </c>
      <c r="Q19" s="77">
        <v>12</v>
      </c>
      <c r="R19" s="68">
        <v>-130</v>
      </c>
    </row>
    <row r="20" spans="1:18" x14ac:dyDescent="0.4">
      <c r="A20" s="18" t="s">
        <v>10</v>
      </c>
      <c r="B20" s="11">
        <f>B23+B22</f>
        <v>94</v>
      </c>
      <c r="C20" s="5">
        <f>IF(B$3=0,0,B20/B$3)</f>
        <v>0.26857142857142857</v>
      </c>
      <c r="E20" s="27" t="s">
        <v>85</v>
      </c>
      <c r="F20" s="24" t="s">
        <v>40</v>
      </c>
      <c r="G20" s="12">
        <v>1</v>
      </c>
      <c r="H20" s="88">
        <f>IF(B$20=0,0,G20/B$20)</f>
        <v>1.0638297872340425E-2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192</v>
      </c>
      <c r="P20" s="83">
        <f t="shared" si="2"/>
        <v>-14.800000000000002</v>
      </c>
      <c r="Q20" s="77">
        <v>9</v>
      </c>
      <c r="R20" s="68">
        <v>-133.20000000000002</v>
      </c>
    </row>
    <row r="21" spans="1:18" x14ac:dyDescent="0.4">
      <c r="A21" s="19" t="s">
        <v>13</v>
      </c>
      <c r="B21" s="12">
        <v>66</v>
      </c>
      <c r="C21" s="6">
        <f>IF(B$3=0,0,B21/B$3)</f>
        <v>0.18857142857142858</v>
      </c>
      <c r="E21" s="27" t="s">
        <v>88</v>
      </c>
      <c r="F21" s="24" t="s">
        <v>43</v>
      </c>
      <c r="G21" s="12">
        <v>1</v>
      </c>
      <c r="H21" s="88">
        <f>IF(B$20=0,0,G21/B$20)</f>
        <v>1.0638297872340425E-2</v>
      </c>
      <c r="I21" s="58">
        <v>1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 t="shared" si="2"/>
        <v>-39.85</v>
      </c>
      <c r="Q21" s="77">
        <v>2</v>
      </c>
      <c r="R21" s="68">
        <v>-79.7</v>
      </c>
    </row>
    <row r="22" spans="1:18" x14ac:dyDescent="0.4">
      <c r="A22" s="19" t="s">
        <v>12</v>
      </c>
      <c r="B22" s="12">
        <v>43</v>
      </c>
      <c r="C22" s="6">
        <f>IF(B$20=0,0,B22/B$20)</f>
        <v>0.45744680851063829</v>
      </c>
      <c r="E22" s="27" t="s">
        <v>91</v>
      </c>
      <c r="F22" s="24" t="s">
        <v>46</v>
      </c>
      <c r="G22" s="12">
        <v>1</v>
      </c>
      <c r="H22" s="88">
        <f>IF(B$20=0,0,G22/B$20)</f>
        <v>1.0638297872340425E-2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">
      <c r="A23" s="19" t="s">
        <v>11</v>
      </c>
      <c r="B23" s="12">
        <v>51</v>
      </c>
      <c r="C23" s="6">
        <f>IF(B$20=0,0,B23/B$20)</f>
        <v>0.54255319148936165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">
      <c r="A24" s="19" t="s">
        <v>183</v>
      </c>
      <c r="B24" s="12">
        <v>41</v>
      </c>
      <c r="C24" s="6">
        <f>IF(B$20=0,0,B24/B$20)</f>
        <v>0.43617021276595747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28</v>
      </c>
      <c r="C25" s="6">
        <f>IF(B$20=0,0,B25/B$20)</f>
        <v>0.2978723404255319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25</v>
      </c>
      <c r="C26" s="6">
        <f>IF(B$20=0,0,B26/B$20)</f>
        <v>0.26595744680851063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8634.0425531914898</v>
      </c>
      <c r="C27" s="8">
        <v>811600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9045.454545454546</v>
      </c>
      <c r="C28" s="96">
        <v>597000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7664.2857142857147</v>
      </c>
      <c r="C29" s="96">
        <v>214600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-8066.666666666667</v>
      </c>
      <c r="C30" s="96">
        <v>-532400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19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2.8571428571428571E-3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8.5106382978723402E-2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9</v>
      </c>
      <c r="C38" s="6">
        <f t="shared" si="3"/>
        <v>9.5744680851063829E-2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18</v>
      </c>
      <c r="C39" s="6">
        <f t="shared" si="3"/>
        <v>0.19148936170212766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20</v>
      </c>
      <c r="C40" s="6">
        <f t="shared" si="3"/>
        <v>0.21276595744680851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17</v>
      </c>
      <c r="C41" s="6">
        <f t="shared" si="3"/>
        <v>0.18085106382978725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10</v>
      </c>
      <c r="C42" s="6">
        <f t="shared" si="3"/>
        <v>0.10638297872340426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6</v>
      </c>
      <c r="C43" s="6">
        <f t="shared" si="3"/>
        <v>6.3829787234042548E-2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3</v>
      </c>
      <c r="C44" s="6">
        <f t="shared" si="3"/>
        <v>3.1914893617021274E-2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2</v>
      </c>
      <c r="C45" s="6">
        <f t="shared" si="3"/>
        <v>2.1276595744680851E-2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1</v>
      </c>
      <c r="C46" s="6">
        <f t="shared" si="3"/>
        <v>1.0638297872340425E-2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93B63-1F92-4421-AA80-E44C4C047E7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37</v>
      </c>
      <c r="C2" s="134"/>
      <c r="E2" s="26" t="s">
        <v>72</v>
      </c>
      <c r="F2" s="23" t="s">
        <v>27</v>
      </c>
      <c r="G2" s="11">
        <v>61</v>
      </c>
      <c r="H2" s="87">
        <f>IF(B$20=0,0,G2/B$20)</f>
        <v>0.64893617021276595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205.40540540540542</v>
      </c>
      <c r="Q2" s="76">
        <v>37</v>
      </c>
      <c r="R2" s="63">
        <v>7600</v>
      </c>
    </row>
    <row r="3" spans="1:18" x14ac:dyDescent="0.4">
      <c r="A3" s="19" t="s">
        <v>8</v>
      </c>
      <c r="B3" s="135">
        <v>319</v>
      </c>
      <c r="C3" s="136"/>
      <c r="E3" s="27" t="s">
        <v>66</v>
      </c>
      <c r="F3" s="24" t="s">
        <v>22</v>
      </c>
      <c r="G3" s="12">
        <v>58</v>
      </c>
      <c r="H3" s="88">
        <f>IF(B$20=0,0,G3/B$20)</f>
        <v>0.61702127659574468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-1154.0540540540539</v>
      </c>
      <c r="Q3" s="77">
        <v>37</v>
      </c>
      <c r="R3" s="64">
        <v>-42700</v>
      </c>
    </row>
    <row r="4" spans="1:18" x14ac:dyDescent="0.4">
      <c r="A4" s="19" t="s">
        <v>6</v>
      </c>
      <c r="B4" s="137">
        <v>-7.7999999999999972</v>
      </c>
      <c r="C4" s="138"/>
      <c r="E4" s="27" t="s">
        <v>64</v>
      </c>
      <c r="F4" s="24" t="s">
        <v>20</v>
      </c>
      <c r="G4" s="12">
        <v>39</v>
      </c>
      <c r="H4" s="88">
        <f>IF(B$20=0,0,G4/B$20)</f>
        <v>0.41489361702127658</v>
      </c>
      <c r="I4" s="58">
        <v>5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1311.1111111111111</v>
      </c>
      <c r="Q4" s="77">
        <v>36</v>
      </c>
      <c r="R4" s="64">
        <v>47200</v>
      </c>
    </row>
    <row r="5" spans="1:18" x14ac:dyDescent="0.4">
      <c r="A5" s="19" t="s">
        <v>7</v>
      </c>
      <c r="B5" s="125">
        <f>IF(B$2=0,0,B$4/B$2)</f>
        <v>-0.21081081081081074</v>
      </c>
      <c r="C5" s="126"/>
      <c r="E5" s="27" t="s">
        <v>159</v>
      </c>
      <c r="F5" s="24" t="s">
        <v>160</v>
      </c>
      <c r="G5" s="12">
        <v>29</v>
      </c>
      <c r="H5" s="88">
        <f>IF(B$20=0,0,G5/B$20)</f>
        <v>0.30851063829787234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-1202.7777777777778</v>
      </c>
      <c r="Q5" s="77">
        <v>36</v>
      </c>
      <c r="R5" s="64">
        <v>-43300</v>
      </c>
    </row>
    <row r="6" spans="1:18" x14ac:dyDescent="0.4">
      <c r="A6" s="19" t="s">
        <v>196</v>
      </c>
      <c r="B6" s="129">
        <v>1464.0596274649417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0.2978723404255319</v>
      </c>
      <c r="I6" s="58">
        <v>6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-1408.3333333333333</v>
      </c>
      <c r="Q6" s="77">
        <v>36</v>
      </c>
      <c r="R6" s="64">
        <v>-50700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25</v>
      </c>
      <c r="H7" s="88">
        <f>IF(B$20=0,0,G7/B$20)</f>
        <v>0.26595744680851063</v>
      </c>
      <c r="I7" s="58">
        <v>2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737.93103448275861</v>
      </c>
      <c r="Q7" s="78">
        <v>29</v>
      </c>
      <c r="R7" s="65">
        <v>21400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0.35135135135135137</v>
      </c>
      <c r="E8" s="27" t="s">
        <v>89</v>
      </c>
      <c r="F8" s="24" t="s">
        <v>44</v>
      </c>
      <c r="G8" s="12">
        <v>11</v>
      </c>
      <c r="H8" s="88">
        <f>IF(B$20=0,0,G8/B$20)</f>
        <v>0.11702127659574468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0.29729729729729731</v>
      </c>
      <c r="E9" s="27" t="s">
        <v>70</v>
      </c>
      <c r="F9" s="24" t="s">
        <v>25</v>
      </c>
      <c r="G9" s="12">
        <v>9</v>
      </c>
      <c r="H9" s="88">
        <f>IF(B$20=0,0,G9/B$20)</f>
        <v>9.5744680851063829E-2</v>
      </c>
      <c r="I9" s="58">
        <v>6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0.35135135135135137</v>
      </c>
      <c r="E10" s="27" t="s">
        <v>65</v>
      </c>
      <c r="F10" s="24" t="s">
        <v>21</v>
      </c>
      <c r="G10" s="12">
        <v>8</v>
      </c>
      <c r="H10" s="88">
        <f>IF(B$20=0,0,G10/B$20)</f>
        <v>8.5106382978723402E-2</v>
      </c>
      <c r="I10" s="58">
        <v>5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8.64</v>
      </c>
      <c r="Q10" s="76">
        <v>10</v>
      </c>
      <c r="R10" s="67">
        <v>86.4</v>
      </c>
    </row>
    <row r="11" spans="1:18" x14ac:dyDescent="0.4">
      <c r="A11" s="20" t="s">
        <v>184</v>
      </c>
      <c r="B11" s="109">
        <f>IF(B8=0,0,C11/B8)</f>
        <v>28.738461538461539</v>
      </c>
      <c r="C11" s="110">
        <v>373.6</v>
      </c>
      <c r="E11" s="27" t="s">
        <v>69</v>
      </c>
      <c r="F11" s="24" t="s">
        <v>24</v>
      </c>
      <c r="G11" s="12">
        <v>8</v>
      </c>
      <c r="H11" s="88">
        <f>IF(B$20=0,0,G11/B$20)</f>
        <v>8.5106382978723402E-2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-9.625</v>
      </c>
      <c r="Q11" s="77">
        <v>12</v>
      </c>
      <c r="R11" s="68">
        <v>-115.5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6</v>
      </c>
      <c r="H12" s="88">
        <f>IF(B$20=0,0,G12/B$20)</f>
        <v>6.3829787234042548E-2</v>
      </c>
      <c r="I12" s="58">
        <v>3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1.4199999999999988</v>
      </c>
      <c r="Q12" s="78">
        <v>15</v>
      </c>
      <c r="R12" s="69">
        <v>21.299999999999983</v>
      </c>
    </row>
    <row r="13" spans="1:18" x14ac:dyDescent="0.4">
      <c r="A13" s="20" t="s">
        <v>186</v>
      </c>
      <c r="B13" s="109">
        <f>IF(B10=0,0,C13/B10)</f>
        <v>-33.5</v>
      </c>
      <c r="C13" s="110">
        <v>-435.5</v>
      </c>
      <c r="E13" s="27" t="s">
        <v>71</v>
      </c>
      <c r="F13" s="24" t="s">
        <v>26</v>
      </c>
      <c r="G13" s="12">
        <v>4</v>
      </c>
      <c r="H13" s="88">
        <f>IF(B$20=0,0,G13/B$20)</f>
        <v>4.2553191489361701E-2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5.2214452214452457E-2</v>
      </c>
      <c r="C14" s="126"/>
      <c r="E14" s="27" t="s">
        <v>81</v>
      </c>
      <c r="F14" s="24" t="s">
        <v>36</v>
      </c>
      <c r="G14" s="12">
        <v>4</v>
      </c>
      <c r="H14" s="88">
        <f>IF(B$20=0,0,G14/B$20)</f>
        <v>4.2553191489361701E-2</v>
      </c>
      <c r="I14" s="58">
        <v>4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78</v>
      </c>
      <c r="F15" s="24" t="s">
        <v>33</v>
      </c>
      <c r="G15" s="12">
        <v>3</v>
      </c>
      <c r="H15" s="88">
        <f>IF(B$20=0,0,G15/B$20)</f>
        <v>3.1914893617021274E-2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>IF(Q15=0,0,R15/Q15)</f>
        <v>35.5</v>
      </c>
      <c r="Q15" s="76">
        <v>1</v>
      </c>
      <c r="R15" s="67">
        <v>35.5</v>
      </c>
    </row>
    <row r="16" spans="1:18" x14ac:dyDescent="0.4">
      <c r="A16" s="22" t="s">
        <v>121</v>
      </c>
      <c r="B16" s="15">
        <v>85</v>
      </c>
      <c r="C16" s="10">
        <f>IF(B$3=0,0,B16/B$3)</f>
        <v>0.2664576802507837</v>
      </c>
      <c r="E16" s="27" t="s">
        <v>79</v>
      </c>
      <c r="F16" s="24" t="s">
        <v>34</v>
      </c>
      <c r="G16" s="12">
        <v>3</v>
      </c>
      <c r="H16" s="88">
        <f>IF(B$20=0,0,G16/B$20)</f>
        <v>3.1914893617021274E-2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>IF(Q16=0,0,R16/Q16)</f>
        <v>32.266666666666673</v>
      </c>
      <c r="Q16" s="77">
        <v>3</v>
      </c>
      <c r="R16" s="68">
        <v>96.800000000000011</v>
      </c>
    </row>
    <row r="17" spans="1:18" x14ac:dyDescent="0.4">
      <c r="A17" s="19" t="s">
        <v>118</v>
      </c>
      <c r="B17" s="12">
        <v>96</v>
      </c>
      <c r="C17" s="6">
        <f>IF(B$3=0,0,B17/B$3)</f>
        <v>0.30094043887147337</v>
      </c>
      <c r="E17" s="27" t="s">
        <v>86</v>
      </c>
      <c r="F17" s="24" t="s">
        <v>41</v>
      </c>
      <c r="G17" s="12">
        <v>2</v>
      </c>
      <c r="H17" s="88">
        <f>IF(B$20=0,0,G17/B$20)</f>
        <v>2.1276595744680851E-2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163</v>
      </c>
      <c r="P17" s="83">
        <f>IF(Q17=0,0,R17/Q17)</f>
        <v>10.833333333333336</v>
      </c>
      <c r="Q17" s="77">
        <v>12</v>
      </c>
      <c r="R17" s="68">
        <v>130.00000000000003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0.47058823529411764</v>
      </c>
      <c r="E18" s="27" t="s">
        <v>91</v>
      </c>
      <c r="F18" s="24" t="s">
        <v>46</v>
      </c>
      <c r="G18" s="12">
        <v>2</v>
      </c>
      <c r="H18" s="88">
        <f>IF(B$20=0,0,G18/B$20)</f>
        <v>2.1276595744680851E-2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>IF(Q18=0,0,R18/Q18)</f>
        <v>3.8333333333333344</v>
      </c>
      <c r="Q18" s="77">
        <v>6</v>
      </c>
      <c r="R18" s="68">
        <v>23.000000000000007</v>
      </c>
    </row>
    <row r="19" spans="1:18" x14ac:dyDescent="0.4">
      <c r="A19" s="18" t="s">
        <v>124</v>
      </c>
      <c r="B19" s="11">
        <f>B25</f>
        <v>38</v>
      </c>
      <c r="C19" s="5">
        <f>IF(B$17=0,0,B19/B$17)</f>
        <v>0.39583333333333331</v>
      </c>
      <c r="E19" s="27" t="s">
        <v>88</v>
      </c>
      <c r="F19" s="24" t="s">
        <v>43</v>
      </c>
      <c r="G19" s="12">
        <v>1</v>
      </c>
      <c r="H19" s="88">
        <f>IF(B$20=0,0,G19/B$20)</f>
        <v>1.0638297872340425E-2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>IF(Q19=0,0,R19/Q19)</f>
        <v>3.4499999999999993</v>
      </c>
      <c r="Q19" s="77">
        <v>34</v>
      </c>
      <c r="R19" s="68">
        <v>117.29999999999998</v>
      </c>
    </row>
    <row r="20" spans="1:18" x14ac:dyDescent="0.4">
      <c r="A20" s="18" t="s">
        <v>10</v>
      </c>
      <c r="B20" s="11">
        <f>B23+B22</f>
        <v>94</v>
      </c>
      <c r="C20" s="5">
        <f>IF(B$3=0,0,B20/B$3)</f>
        <v>0.29467084639498431</v>
      </c>
      <c r="E20" s="27" t="s">
        <v>93</v>
      </c>
      <c r="F20" s="24" t="s">
        <v>48</v>
      </c>
      <c r="G20" s="12">
        <v>1</v>
      </c>
      <c r="H20" s="88">
        <f>IF(B$20=0,0,G20/B$20)</f>
        <v>1.0638297872340425E-2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-23.666666666666671</v>
      </c>
      <c r="Q20" s="77">
        <v>18</v>
      </c>
      <c r="R20" s="68">
        <v>-426.00000000000006</v>
      </c>
    </row>
    <row r="21" spans="1:18" x14ac:dyDescent="0.4">
      <c r="A21" s="19" t="s">
        <v>13</v>
      </c>
      <c r="B21" s="12">
        <v>58</v>
      </c>
      <c r="C21" s="6">
        <f>IF(B$3=0,0,B21/B$3)</f>
        <v>0.18181818181818182</v>
      </c>
      <c r="E21" s="27" t="s">
        <v>106</v>
      </c>
      <c r="F21" s="24" t="s">
        <v>113</v>
      </c>
      <c r="G21" s="12">
        <v>1</v>
      </c>
      <c r="H21" s="88">
        <f>IF(B$20=0,0,G21/B$20)</f>
        <v>1.0638297872340425E-2</v>
      </c>
      <c r="I21" s="58">
        <v>1</v>
      </c>
      <c r="K21" s="74">
        <v>19</v>
      </c>
      <c r="L21" s="119">
        <v>42.400000000000006</v>
      </c>
      <c r="M21" s="117">
        <v>1456.6902885878533</v>
      </c>
    </row>
    <row r="22" spans="1:18" x14ac:dyDescent="0.4">
      <c r="A22" s="19" t="s">
        <v>12</v>
      </c>
      <c r="B22" s="12">
        <v>45</v>
      </c>
      <c r="C22" s="6">
        <f>IF(B$20=0,0,B22/B$20)</f>
        <v>0.47872340425531917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49</v>
      </c>
      <c r="C23" s="6">
        <f>IF(B$20=0,0,B23/B$20)</f>
        <v>0.52127659574468088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40</v>
      </c>
      <c r="C24" s="6">
        <f>IF(B$20=0,0,B24/B$20)</f>
        <v>0.42553191489361702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38</v>
      </c>
      <c r="C25" s="6">
        <f>IF(B$20=0,0,B25/B$20)</f>
        <v>0.40425531914893614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16</v>
      </c>
      <c r="C26" s="6">
        <f>IF(B$20=0,0,B26/B$20)</f>
        <v>0.1702127659574468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7705.3191489361698</v>
      </c>
      <c r="C27" s="8">
        <v>724300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9341.0714285714294</v>
      </c>
      <c r="C28" s="96">
        <v>523100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5294.7368421052633</v>
      </c>
      <c r="C29" s="96">
        <v>201200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-7800</v>
      </c>
      <c r="C30" s="96">
        <v>-452400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3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21</v>
      </c>
      <c r="C32" s="90">
        <v>5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29">
        <v>89900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3.134796238244514E-3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12</v>
      </c>
      <c r="C37" s="98">
        <f t="shared" ref="C37:C49" si="2">IF(B$20=0,0,B37/B$20)</f>
        <v>0.1276595744680851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22</v>
      </c>
      <c r="C38" s="6">
        <f t="shared" si="2"/>
        <v>0.23404255319148937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17</v>
      </c>
      <c r="C39" s="6">
        <f t="shared" si="2"/>
        <v>0.18085106382978725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19</v>
      </c>
      <c r="C40" s="6">
        <f t="shared" si="2"/>
        <v>0.20212765957446807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5</v>
      </c>
      <c r="C41" s="6">
        <f t="shared" si="2"/>
        <v>5.3191489361702128E-2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172</v>
      </c>
      <c r="B42" s="124">
        <v>4</v>
      </c>
      <c r="C42" s="6">
        <f t="shared" si="2"/>
        <v>4.2553191489361701E-2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13" x14ac:dyDescent="0.4">
      <c r="A43" s="19" t="s">
        <v>173</v>
      </c>
      <c r="B43" s="124">
        <v>4</v>
      </c>
      <c r="C43" s="6">
        <f t="shared" si="2"/>
        <v>4.2553191489361701E-2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2"/>
        <v>2.1276595744680851E-2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4</v>
      </c>
      <c r="C45" s="6">
        <f t="shared" si="2"/>
        <v>4.2553191489361701E-2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3</v>
      </c>
      <c r="C46" s="6">
        <f t="shared" si="2"/>
        <v>3.1914893617021274E-2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2.1276595744680851E-2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5F69E-8E04-46A9-ADD8-8FD9C3934367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23</v>
      </c>
      <c r="C2" s="134"/>
      <c r="E2" s="26" t="s">
        <v>66</v>
      </c>
      <c r="F2" s="23" t="s">
        <v>22</v>
      </c>
      <c r="G2" s="11">
        <v>46</v>
      </c>
      <c r="H2" s="87">
        <f>IF(B$20=0,0,G2/B$20)</f>
        <v>0.93877551020408168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108.69565217391305</v>
      </c>
      <c r="Q2" s="76">
        <v>23</v>
      </c>
      <c r="R2" s="63">
        <v>2500</v>
      </c>
    </row>
    <row r="3" spans="1:18" x14ac:dyDescent="0.4">
      <c r="A3" s="19" t="s">
        <v>8</v>
      </c>
      <c r="B3" s="135">
        <v>188</v>
      </c>
      <c r="C3" s="136"/>
      <c r="E3" s="27" t="s">
        <v>72</v>
      </c>
      <c r="F3" s="24" t="s">
        <v>27</v>
      </c>
      <c r="G3" s="12">
        <v>31</v>
      </c>
      <c r="H3" s="88">
        <f>IF(B$20=0,0,G3/B$20)</f>
        <v>0.63265306122448983</v>
      </c>
      <c r="I3" s="58">
        <v>4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634.78260869565213</v>
      </c>
      <c r="Q3" s="77">
        <v>23</v>
      </c>
      <c r="R3" s="64">
        <v>14600</v>
      </c>
    </row>
    <row r="4" spans="1:18" x14ac:dyDescent="0.4">
      <c r="A4" s="19" t="s">
        <v>6</v>
      </c>
      <c r="B4" s="137">
        <v>27.799999999999976</v>
      </c>
      <c r="C4" s="138"/>
      <c r="E4" s="27" t="s">
        <v>64</v>
      </c>
      <c r="F4" s="24" t="s">
        <v>20</v>
      </c>
      <c r="G4" s="12">
        <v>25</v>
      </c>
      <c r="H4" s="88">
        <f>IF(B$20=0,0,G4/B$20)</f>
        <v>0.51020408163265307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377.27272727272725</v>
      </c>
      <c r="Q4" s="77">
        <v>22</v>
      </c>
      <c r="R4" s="64">
        <v>8300</v>
      </c>
    </row>
    <row r="5" spans="1:18" x14ac:dyDescent="0.4">
      <c r="A5" s="19" t="s">
        <v>7</v>
      </c>
      <c r="B5" s="125">
        <f>IF(B$2=0,0,B$4/B$2)</f>
        <v>1.2086956521739121</v>
      </c>
      <c r="C5" s="126"/>
      <c r="E5" s="27" t="s">
        <v>159</v>
      </c>
      <c r="F5" s="24" t="s">
        <v>160</v>
      </c>
      <c r="G5" s="12">
        <v>22</v>
      </c>
      <c r="H5" s="88">
        <f>IF(B$20=0,0,G5/B$20)</f>
        <v>0.44897959183673469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-2180</v>
      </c>
      <c r="Q5" s="77">
        <v>20</v>
      </c>
      <c r="R5" s="64">
        <v>-43600</v>
      </c>
    </row>
    <row r="6" spans="1:18" x14ac:dyDescent="0.4">
      <c r="A6" s="19" t="s">
        <v>196</v>
      </c>
      <c r="B6" s="129">
        <v>1539.8552995440607</v>
      </c>
      <c r="C6" s="130"/>
      <c r="E6" s="27" t="s">
        <v>67</v>
      </c>
      <c r="F6" s="24" t="s">
        <v>23</v>
      </c>
      <c r="G6" s="12">
        <v>13</v>
      </c>
      <c r="H6" s="88">
        <f>IF(B$20=0,0,G6/B$20)</f>
        <v>0.26530612244897961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2289.4736842105262</v>
      </c>
      <c r="Q6" s="77">
        <v>19</v>
      </c>
      <c r="R6" s="64">
        <v>43500</v>
      </c>
    </row>
    <row r="7" spans="1:18" x14ac:dyDescent="0.4">
      <c r="A7" s="19" t="s">
        <v>1</v>
      </c>
      <c r="B7" s="139">
        <f>IF(B$2=0,0,(B$8*1+B$9*2+B$10*3)/B$2)</f>
        <v>1.9130434782608696</v>
      </c>
      <c r="C7" s="140"/>
      <c r="E7" s="27" t="s">
        <v>65</v>
      </c>
      <c r="F7" s="24" t="s">
        <v>21</v>
      </c>
      <c r="G7" s="12">
        <v>10</v>
      </c>
      <c r="H7" s="88">
        <f>IF(B$20=0,0,G7/B$20)</f>
        <v>0.20408163265306123</v>
      </c>
      <c r="I7" s="58">
        <v>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-343.75</v>
      </c>
      <c r="Q7" s="78">
        <v>16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0.2608695652173913</v>
      </c>
      <c r="E8" s="27" t="s">
        <v>68</v>
      </c>
      <c r="F8" s="24" t="s">
        <v>12</v>
      </c>
      <c r="G8" s="12">
        <v>9</v>
      </c>
      <c r="H8" s="88">
        <f>IF(B$20=0,0,G8/B$20)</f>
        <v>0.18367346938775511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0.56521739130434778</v>
      </c>
      <c r="E9" s="27" t="s">
        <v>89</v>
      </c>
      <c r="F9" s="24" t="s">
        <v>44</v>
      </c>
      <c r="G9" s="12">
        <v>6</v>
      </c>
      <c r="H9" s="88">
        <f>IF(B$20=0,0,G9/B$20)</f>
        <v>0.12244897959183673</v>
      </c>
      <c r="I9" s="58">
        <v>8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1"/>
        <v>0.17391304347826086</v>
      </c>
      <c r="E10" s="27" t="s">
        <v>69</v>
      </c>
      <c r="F10" s="24" t="s">
        <v>24</v>
      </c>
      <c r="G10" s="12">
        <v>5</v>
      </c>
      <c r="H10" s="88">
        <f>IF(B$20=0,0,G10/B$20)</f>
        <v>0.10204081632653061</v>
      </c>
      <c r="I10" s="58">
        <v>6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32.949999999999996</v>
      </c>
      <c r="C11" s="110">
        <v>197.7</v>
      </c>
      <c r="E11" s="27" t="s">
        <v>70</v>
      </c>
      <c r="F11" s="24" t="s">
        <v>25</v>
      </c>
      <c r="G11" s="12">
        <v>5</v>
      </c>
      <c r="H11" s="88">
        <f>IF(B$20=0,0,G11/B$20)</f>
        <v>0.10204081632653061</v>
      </c>
      <c r="I11" s="58">
        <v>5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1.5571428571428574</v>
      </c>
      <c r="Q11" s="77">
        <v>7</v>
      </c>
      <c r="R11" s="68">
        <v>10.900000000000002</v>
      </c>
    </row>
    <row r="12" spans="1:18" x14ac:dyDescent="0.4">
      <c r="A12" s="20" t="s">
        <v>185</v>
      </c>
      <c r="B12" s="109">
        <f>IF(B9=0,0,C12/B9)</f>
        <v>-1.5307692307692307</v>
      </c>
      <c r="C12" s="110">
        <v>-19.899999999999999</v>
      </c>
      <c r="E12" s="27" t="s">
        <v>86</v>
      </c>
      <c r="F12" s="24" t="s">
        <v>41</v>
      </c>
      <c r="G12" s="12">
        <v>3</v>
      </c>
      <c r="H12" s="88">
        <f>IF(B$20=0,0,G12/B$20)</f>
        <v>6.1224489795918366E-2</v>
      </c>
      <c r="I12" s="58">
        <v>5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8.514285714285716</v>
      </c>
      <c r="Q12" s="78">
        <v>7</v>
      </c>
      <c r="R12" s="69">
        <v>59.600000000000009</v>
      </c>
    </row>
    <row r="13" spans="1:18" x14ac:dyDescent="0.4">
      <c r="A13" s="20" t="s">
        <v>186</v>
      </c>
      <c r="B13" s="109">
        <f>IF(B10=0,0,C13/B10)</f>
        <v>-37.5</v>
      </c>
      <c r="C13" s="110">
        <v>-150</v>
      </c>
      <c r="E13" s="27" t="s">
        <v>79</v>
      </c>
      <c r="F13" s="24" t="s">
        <v>34</v>
      </c>
      <c r="G13" s="12">
        <v>2</v>
      </c>
      <c r="H13" s="88">
        <f>IF(B$20=0,0,G13/B$20)</f>
        <v>4.0816326530612242E-2</v>
      </c>
      <c r="I13" s="58">
        <v>1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-2.0269230769230782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4.0816326530612242E-2</v>
      </c>
      <c r="I14" s="58">
        <v>6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4.3478260869565216E-2</v>
      </c>
      <c r="E15" s="27" t="s">
        <v>71</v>
      </c>
      <c r="F15" s="24" t="s">
        <v>26</v>
      </c>
      <c r="G15" s="12">
        <v>1</v>
      </c>
      <c r="H15" s="88">
        <f>IF(B$20=0,0,G15/B$20)</f>
        <v>2.0408163265306121E-2</v>
      </c>
      <c r="I15" s="58">
        <v>8</v>
      </c>
      <c r="K15" s="74">
        <v>13</v>
      </c>
      <c r="L15" s="119">
        <v>-93.500000000000014</v>
      </c>
      <c r="M15" s="117">
        <v>1513.7987256195274</v>
      </c>
      <c r="O15" s="73" t="s">
        <v>211</v>
      </c>
      <c r="P15" s="82">
        <f>IF(Q15=0,0,R15/Q15)</f>
        <v>15.600000000000001</v>
      </c>
      <c r="Q15" s="76">
        <v>8</v>
      </c>
      <c r="R15" s="67">
        <v>124.80000000000001</v>
      </c>
    </row>
    <row r="16" spans="1:18" x14ac:dyDescent="0.4">
      <c r="A16" s="22" t="s">
        <v>121</v>
      </c>
      <c r="B16" s="15">
        <v>44</v>
      </c>
      <c r="C16" s="10">
        <f>IF(B$3=0,0,B16/B$3)</f>
        <v>0.23404255319148937</v>
      </c>
      <c r="E16" s="27" t="s">
        <v>83</v>
      </c>
      <c r="F16" s="24" t="s">
        <v>38</v>
      </c>
      <c r="G16" s="12">
        <v>1</v>
      </c>
      <c r="H16" s="88">
        <f>IF(B$20=0,0,G16/B$20)</f>
        <v>2.0408163265306121E-2</v>
      </c>
      <c r="I16" s="58">
        <v>7</v>
      </c>
      <c r="K16" s="74">
        <v>14</v>
      </c>
      <c r="L16" s="119">
        <v>-79.200000000000017</v>
      </c>
      <c r="M16" s="117">
        <v>1517.1299332658102</v>
      </c>
      <c r="O16" s="74" t="s">
        <v>192</v>
      </c>
      <c r="P16" s="83">
        <f>IF(Q16=0,0,R16/Q16)</f>
        <v>11.511111111111113</v>
      </c>
      <c r="Q16" s="77">
        <v>9</v>
      </c>
      <c r="R16" s="68">
        <v>103.60000000000001</v>
      </c>
    </row>
    <row r="17" spans="1:18" x14ac:dyDescent="0.4">
      <c r="A17" s="19" t="s">
        <v>118</v>
      </c>
      <c r="B17" s="12">
        <v>39</v>
      </c>
      <c r="C17" s="6">
        <f>IF(B$3=0,0,B17/B$3)</f>
        <v>0.20744680851063829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126</v>
      </c>
      <c r="P17" s="83">
        <f>IF(Q17=0,0,R17/Q17)</f>
        <v>1.6277777777777771</v>
      </c>
      <c r="Q17" s="77">
        <v>18</v>
      </c>
      <c r="R17" s="68">
        <v>29.299999999999986</v>
      </c>
    </row>
    <row r="18" spans="1:18" x14ac:dyDescent="0.4">
      <c r="A18" s="18" t="s">
        <v>123</v>
      </c>
      <c r="B18" s="11">
        <f>B24</f>
        <v>25</v>
      </c>
      <c r="C18" s="5">
        <f>IF(B$16=0,0,B18/B$16)</f>
        <v>0.56818181818181823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163</v>
      </c>
      <c r="P18" s="83">
        <f>IF(Q18=0,0,R18/Q18)</f>
        <v>-8.7333333333333325</v>
      </c>
      <c r="Q18" s="77">
        <v>6</v>
      </c>
      <c r="R18" s="68">
        <v>-52.4</v>
      </c>
    </row>
    <row r="19" spans="1:18" x14ac:dyDescent="0.4">
      <c r="A19" s="18" t="s">
        <v>124</v>
      </c>
      <c r="B19" s="11">
        <f>B25</f>
        <v>16</v>
      </c>
      <c r="C19" s="5">
        <f>IF(B$17=0,0,B19/B$17)</f>
        <v>0.41025641025641024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>IF(Q19=0,0,R19/Q19)</f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49</v>
      </c>
      <c r="C20" s="5">
        <f>IF(B$3=0,0,B20/B$3)</f>
        <v>0.26063829787234044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>IF(Q20=0,0,R20/Q20)</f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19</v>
      </c>
      <c r="C21" s="6">
        <f>IF(B$3=0,0,B21/B$3)</f>
        <v>0.10106382978723404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12</v>
      </c>
      <c r="C22" s="6">
        <f>IF(B$20=0,0,B22/B$20)</f>
        <v>0.24489795918367346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9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37</v>
      </c>
      <c r="C23" s="6">
        <f>IF(B$20=0,0,B23/B$20)</f>
        <v>0.75510204081632648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25</v>
      </c>
      <c r="C24" s="6">
        <f>IF(B$20=0,0,B24/B$20)</f>
        <v>0.51020408163265307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16</v>
      </c>
      <c r="C25" s="6">
        <f>IF(B$20=0,0,B25/B$20)</f>
        <v>0.32653061224489793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8</v>
      </c>
      <c r="C26" s="6">
        <f>IF(B$20=0,0,B26/B$20)</f>
        <v>0.16326530612244897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">
      <c r="A27" s="19" t="s">
        <v>5</v>
      </c>
      <c r="B27" s="16">
        <f>IF(B$20=0,0,C27/B$20)</f>
        <v>7989.7959183673465</v>
      </c>
      <c r="C27" s="8">
        <v>391500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7842.424242424242</v>
      </c>
      <c r="C28" s="96">
        <v>258800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8293.75</v>
      </c>
      <c r="C29" s="96">
        <v>132700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-5489.4736842105267</v>
      </c>
      <c r="C30" s="96">
        <v>-104300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28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2.0408163265306121E-2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9</v>
      </c>
      <c r="C38" s="6">
        <f t="shared" si="2"/>
        <v>0.18367346938775511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11</v>
      </c>
      <c r="C39" s="6">
        <f t="shared" si="2"/>
        <v>0.22448979591836735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15</v>
      </c>
      <c r="C40" s="6">
        <f t="shared" si="2"/>
        <v>0.30612244897959184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2"/>
        <v>0.10204081632653061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2"/>
        <v>8.1632653061224483E-2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2"/>
        <v>6.1224489795918366E-2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2.0408163265306121E-2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EDBD6-9010-44A7-ADB4-2926449E6B1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35</v>
      </c>
      <c r="C2" s="134"/>
      <c r="E2" s="26" t="s">
        <v>66</v>
      </c>
      <c r="F2" s="23" t="s">
        <v>22</v>
      </c>
      <c r="G2" s="11">
        <v>65</v>
      </c>
      <c r="H2" s="87">
        <f>IF(B$20=0,0,G2/B$20)</f>
        <v>0.73863636363636365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142.85714285714286</v>
      </c>
      <c r="Q2" s="76">
        <v>35</v>
      </c>
      <c r="R2" s="63">
        <v>5000</v>
      </c>
    </row>
    <row r="3" spans="1:18" x14ac:dyDescent="0.4">
      <c r="A3" s="19" t="s">
        <v>8</v>
      </c>
      <c r="B3" s="135">
        <v>288</v>
      </c>
      <c r="C3" s="136"/>
      <c r="E3" s="27" t="s">
        <v>72</v>
      </c>
      <c r="F3" s="24" t="s">
        <v>27</v>
      </c>
      <c r="G3" s="12">
        <v>50</v>
      </c>
      <c r="H3" s="88">
        <f>IF(B$20=0,0,G3/B$20)</f>
        <v>0.56818181818181823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1231.4285714285713</v>
      </c>
      <c r="Q3" s="77">
        <v>35</v>
      </c>
      <c r="R3" s="64">
        <v>43100</v>
      </c>
    </row>
    <row r="4" spans="1:18" x14ac:dyDescent="0.4">
      <c r="A4" s="19" t="s">
        <v>6</v>
      </c>
      <c r="B4" s="137">
        <v>45.499999999999979</v>
      </c>
      <c r="C4" s="138"/>
      <c r="E4" s="27" t="s">
        <v>64</v>
      </c>
      <c r="F4" s="24" t="s">
        <v>20</v>
      </c>
      <c r="G4" s="12">
        <v>35</v>
      </c>
      <c r="H4" s="88">
        <f>IF(B$20=0,0,G4/B$20)</f>
        <v>0.39772727272727271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1968.5714285714287</v>
      </c>
      <c r="Q4" s="77">
        <v>35</v>
      </c>
      <c r="R4" s="64">
        <v>68900</v>
      </c>
    </row>
    <row r="5" spans="1:18" x14ac:dyDescent="0.4">
      <c r="A5" s="19" t="s">
        <v>7</v>
      </c>
      <c r="B5" s="125">
        <f>IF(B$2=0,0,B$4/B$2)</f>
        <v>1.2999999999999994</v>
      </c>
      <c r="C5" s="126"/>
      <c r="E5" s="27" t="s">
        <v>159</v>
      </c>
      <c r="F5" s="24" t="s">
        <v>160</v>
      </c>
      <c r="G5" s="12">
        <v>24</v>
      </c>
      <c r="H5" s="88">
        <f>IF(B$20=0,0,G5/B$20)</f>
        <v>0.27272727272727271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-590.625</v>
      </c>
      <c r="Q5" s="77">
        <v>32</v>
      </c>
      <c r="R5" s="64">
        <v>-18900</v>
      </c>
    </row>
    <row r="6" spans="1:18" x14ac:dyDescent="0.4">
      <c r="A6" s="19" t="s">
        <v>196</v>
      </c>
      <c r="B6" s="129">
        <v>1512.1666769868593</v>
      </c>
      <c r="C6" s="130"/>
      <c r="E6" s="27" t="s">
        <v>67</v>
      </c>
      <c r="F6" s="24" t="s">
        <v>23</v>
      </c>
      <c r="G6" s="12">
        <v>22</v>
      </c>
      <c r="H6" s="88">
        <f>IF(B$20=0,0,G6/B$20)</f>
        <v>0.25</v>
      </c>
      <c r="I6" s="58">
        <v>4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-1417.8571428571429</v>
      </c>
      <c r="Q6" s="77">
        <v>28</v>
      </c>
      <c r="R6" s="64">
        <v>-39700</v>
      </c>
    </row>
    <row r="7" spans="1:18" x14ac:dyDescent="0.4">
      <c r="A7" s="19" t="s">
        <v>1</v>
      </c>
      <c r="B7" s="139">
        <f>IF(B$2=0,0,(B$8*1+B$9*2+B$10*3)/B$2)</f>
        <v>1.9714285714285715</v>
      </c>
      <c r="C7" s="140"/>
      <c r="E7" s="27" t="s">
        <v>68</v>
      </c>
      <c r="F7" s="24" t="s">
        <v>12</v>
      </c>
      <c r="G7" s="12">
        <v>22</v>
      </c>
      <c r="H7" s="88">
        <f>IF(B$20=0,0,G7/B$20)</f>
        <v>0.25</v>
      </c>
      <c r="I7" s="58">
        <v>9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-57.692307692307693</v>
      </c>
      <c r="Q7" s="78">
        <v>26</v>
      </c>
      <c r="R7" s="65">
        <v>-1500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0.37142857142857144</v>
      </c>
      <c r="E8" s="27" t="s">
        <v>89</v>
      </c>
      <c r="F8" s="24" t="s">
        <v>44</v>
      </c>
      <c r="G8" s="12">
        <v>17</v>
      </c>
      <c r="H8" s="88">
        <f>IF(B$20=0,0,G8/B$20)</f>
        <v>0.19318181818181818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10</v>
      </c>
      <c r="C9" s="6">
        <f t="shared" si="1"/>
        <v>0.2857142857142857</v>
      </c>
      <c r="E9" s="27" t="s">
        <v>69</v>
      </c>
      <c r="F9" s="24" t="s">
        <v>24</v>
      </c>
      <c r="G9" s="12">
        <v>11</v>
      </c>
      <c r="H9" s="88">
        <f>IF(B$20=0,0,G9/B$20)</f>
        <v>0.125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0.34285714285714286</v>
      </c>
      <c r="E10" s="27" t="s">
        <v>71</v>
      </c>
      <c r="F10" s="24" t="s">
        <v>26</v>
      </c>
      <c r="G10" s="12">
        <v>7</v>
      </c>
      <c r="H10" s="88">
        <f>IF(B$20=0,0,G10/B$20)</f>
        <v>7.9545454545454544E-2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-6.5571428571428569</v>
      </c>
      <c r="Q10" s="76">
        <v>7</v>
      </c>
      <c r="R10" s="67">
        <v>-45.9</v>
      </c>
    </row>
    <row r="11" spans="1:18" x14ac:dyDescent="0.4">
      <c r="A11" s="20" t="s">
        <v>184</v>
      </c>
      <c r="B11" s="109">
        <f>IF(B8=0,0,C11/B8)</f>
        <v>31.938461538461539</v>
      </c>
      <c r="C11" s="110">
        <v>415.2</v>
      </c>
      <c r="E11" s="27" t="s">
        <v>86</v>
      </c>
      <c r="F11" s="24" t="s">
        <v>41</v>
      </c>
      <c r="G11" s="12">
        <v>7</v>
      </c>
      <c r="H11" s="88">
        <f>IF(B$20=0,0,G11/B$20)</f>
        <v>7.9545454545454544E-2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0.78461538461538538</v>
      </c>
      <c r="Q11" s="77">
        <v>13</v>
      </c>
      <c r="R11" s="68">
        <v>10.20000000000001</v>
      </c>
    </row>
    <row r="12" spans="1:18" x14ac:dyDescent="0.4">
      <c r="A12" s="20" t="s">
        <v>185</v>
      </c>
      <c r="B12" s="109">
        <f>IF(B9=0,0,C12/B9)</f>
        <v>-1.2300000000000004</v>
      </c>
      <c r="C12" s="110">
        <v>-12.300000000000004</v>
      </c>
      <c r="E12" s="27" t="s">
        <v>83</v>
      </c>
      <c r="F12" s="24" t="s">
        <v>38</v>
      </c>
      <c r="G12" s="12">
        <v>6</v>
      </c>
      <c r="H12" s="88">
        <f>IF(B$20=0,0,G12/B$20)</f>
        <v>6.8181818181818177E-2</v>
      </c>
      <c r="I12" s="58">
        <v>2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5.4133333333333331</v>
      </c>
      <c r="Q12" s="78">
        <v>15</v>
      </c>
      <c r="R12" s="69">
        <v>81.2</v>
      </c>
    </row>
    <row r="13" spans="1:18" x14ac:dyDescent="0.4">
      <c r="A13" s="20" t="s">
        <v>186</v>
      </c>
      <c r="B13" s="109">
        <f>IF(B10=0,0,C13/B10)</f>
        <v>-29.783333333333335</v>
      </c>
      <c r="C13" s="110">
        <v>-357.40000000000003</v>
      </c>
      <c r="E13" s="27" t="s">
        <v>65</v>
      </c>
      <c r="F13" s="24" t="s">
        <v>21</v>
      </c>
      <c r="G13" s="12">
        <v>5</v>
      </c>
      <c r="H13" s="88">
        <f>IF(B$20=0,0,G13/B$20)</f>
        <v>5.6818181818181816E-2</v>
      </c>
      <c r="I13" s="58">
        <v>9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0.30837606837606774</v>
      </c>
      <c r="C14" s="126"/>
      <c r="E14" s="27" t="s">
        <v>91</v>
      </c>
      <c r="F14" s="24" t="s">
        <v>46</v>
      </c>
      <c r="G14" s="12">
        <v>5</v>
      </c>
      <c r="H14" s="88">
        <f>IF(B$20=0,0,G14/B$20)</f>
        <v>5.6818181818181816E-2</v>
      </c>
      <c r="I14" s="58">
        <v>1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5.7142857142857141E-2</v>
      </c>
      <c r="E15" s="27" t="s">
        <v>70</v>
      </c>
      <c r="F15" s="24" t="s">
        <v>25</v>
      </c>
      <c r="G15" s="12">
        <v>4</v>
      </c>
      <c r="H15" s="88">
        <f>IF(B$20=0,0,G15/B$20)</f>
        <v>4.5454545454545456E-2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59</v>
      </c>
      <c r="C16" s="10">
        <f>IF(B$3=0,0,B16/B$3)</f>
        <v>0.2048611111111111</v>
      </c>
      <c r="E16" s="27" t="s">
        <v>81</v>
      </c>
      <c r="F16" s="24" t="s">
        <v>36</v>
      </c>
      <c r="G16" s="12">
        <v>4</v>
      </c>
      <c r="H16" s="88">
        <f>IF(B$20=0,0,G16/B$20)</f>
        <v>4.5454545454545456E-2</v>
      </c>
      <c r="I16" s="58">
        <v>3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66</v>
      </c>
      <c r="C17" s="6">
        <f>IF(B$3=0,0,B17/B$3)</f>
        <v>0.22916666666666666</v>
      </c>
      <c r="E17" s="27" t="s">
        <v>78</v>
      </c>
      <c r="F17" s="24" t="s">
        <v>33</v>
      </c>
      <c r="G17" s="12">
        <v>3</v>
      </c>
      <c r="H17" s="88">
        <f>IF(B$20=0,0,G17/B$20)</f>
        <v>3.4090909090909088E-2</v>
      </c>
      <c r="I17" s="58">
        <v>3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33</v>
      </c>
      <c r="C18" s="5">
        <f>IF(B$16=0,0,B18/B$16)</f>
        <v>0.55932203389830504</v>
      </c>
      <c r="E18" s="27" t="s">
        <v>73</v>
      </c>
      <c r="F18" s="24" t="s">
        <v>28</v>
      </c>
      <c r="G18" s="12">
        <v>2</v>
      </c>
      <c r="H18" s="88">
        <f>IF(B$20=0,0,G18/B$20)</f>
        <v>2.2727272727272728E-2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3.9166666666666674</v>
      </c>
      <c r="Q18" s="77">
        <v>12</v>
      </c>
      <c r="R18" s="68">
        <v>47.000000000000007</v>
      </c>
    </row>
    <row r="19" spans="1:18" x14ac:dyDescent="0.4">
      <c r="A19" s="18" t="s">
        <v>124</v>
      </c>
      <c r="B19" s="11">
        <f>B25</f>
        <v>32</v>
      </c>
      <c r="C19" s="5">
        <f>IF(B$17=0,0,B19/B$17)</f>
        <v>0.48484848484848486</v>
      </c>
      <c r="E19" s="27" t="s">
        <v>75</v>
      </c>
      <c r="F19" s="24" t="s">
        <v>30</v>
      </c>
      <c r="G19" s="12">
        <v>1</v>
      </c>
      <c r="H19" s="88">
        <f>IF(B$20=0,0,G19/B$20)</f>
        <v>1.1363636363636364E-2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189</v>
      </c>
      <c r="P19" s="83">
        <f t="shared" si="2"/>
        <v>-3.8333333333333344</v>
      </c>
      <c r="Q19" s="77">
        <v>6</v>
      </c>
      <c r="R19" s="68">
        <v>-23.000000000000007</v>
      </c>
    </row>
    <row r="20" spans="1:18" x14ac:dyDescent="0.4">
      <c r="A20" s="18" t="s">
        <v>10</v>
      </c>
      <c r="B20" s="11">
        <f>B23+B22</f>
        <v>88</v>
      </c>
      <c r="C20" s="5">
        <f>IF(B$3=0,0,B20/B$3)</f>
        <v>0.30555555555555558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-4.1523809523809518</v>
      </c>
      <c r="Q20" s="77">
        <v>21</v>
      </c>
      <c r="R20" s="68">
        <v>-87.199999999999989</v>
      </c>
    </row>
    <row r="21" spans="1:18" x14ac:dyDescent="0.4">
      <c r="A21" s="19" t="s">
        <v>13</v>
      </c>
      <c r="B21" s="12">
        <v>39</v>
      </c>
      <c r="C21" s="6">
        <f>IF(B$3=0,0,B21/B$3)</f>
        <v>0.13541666666666666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193</v>
      </c>
      <c r="P21" s="83">
        <f t="shared" si="2"/>
        <v>-7.1999999999999993</v>
      </c>
      <c r="Q21" s="77">
        <v>2</v>
      </c>
      <c r="R21" s="68">
        <v>-14.399999999999999</v>
      </c>
    </row>
    <row r="22" spans="1:18" x14ac:dyDescent="0.4">
      <c r="A22" s="19" t="s">
        <v>12</v>
      </c>
      <c r="B22" s="12">
        <v>36</v>
      </c>
      <c r="C22" s="6">
        <f>IF(B$20=0,0,B22/B$20)</f>
        <v>0.40909090909090912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195</v>
      </c>
      <c r="P22" s="83">
        <f t="shared" si="2"/>
        <v>-8.5500000000000007</v>
      </c>
      <c r="Q22" s="77">
        <v>2</v>
      </c>
      <c r="R22" s="68">
        <v>-17.100000000000001</v>
      </c>
    </row>
    <row r="23" spans="1:18" x14ac:dyDescent="0.4">
      <c r="A23" s="19" t="s">
        <v>11</v>
      </c>
      <c r="B23" s="12">
        <v>52</v>
      </c>
      <c r="C23" s="6">
        <f>IF(B$20=0,0,B23/B$20)</f>
        <v>0.59090909090909094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190</v>
      </c>
      <c r="P23" s="83">
        <f t="shared" si="2"/>
        <v>-15.600000000000001</v>
      </c>
      <c r="Q23" s="77">
        <v>8</v>
      </c>
      <c r="R23" s="68">
        <v>-124.80000000000001</v>
      </c>
    </row>
    <row r="24" spans="1:18" x14ac:dyDescent="0.4">
      <c r="A24" s="19" t="s">
        <v>183</v>
      </c>
      <c r="B24" s="12">
        <v>33</v>
      </c>
      <c r="C24" s="6">
        <f>IF(B$20=0,0,B24/B$20)</f>
        <v>0.375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32</v>
      </c>
      <c r="C25" s="6">
        <f>IF(B$20=0,0,B25/B$20)</f>
        <v>0.36363636363636365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23</v>
      </c>
      <c r="C26" s="6">
        <f>IF(B$20=0,0,B26/B$20)</f>
        <v>0.26136363636363635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7815.909090909091</v>
      </c>
      <c r="C27" s="8">
        <v>687800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8087.5</v>
      </c>
      <c r="C28" s="96">
        <v>452900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7340.625</v>
      </c>
      <c r="C29" s="96">
        <v>234900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-6751.2820512820517</v>
      </c>
      <c r="C30" s="96">
        <v>-263300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1.0416666666666666E-2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9.0909090909090912E-2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19</v>
      </c>
      <c r="C38" s="6">
        <f t="shared" si="3"/>
        <v>0.21590909090909091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">
      <c r="A39" s="19" t="s">
        <v>168</v>
      </c>
      <c r="B39" s="124">
        <v>16</v>
      </c>
      <c r="C39" s="6">
        <f t="shared" si="3"/>
        <v>0.18181818181818182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12</v>
      </c>
      <c r="C40" s="6">
        <f t="shared" si="3"/>
        <v>0.13636363636363635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11</v>
      </c>
      <c r="C41" s="6">
        <f t="shared" si="3"/>
        <v>0.125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10</v>
      </c>
      <c r="C42" s="6">
        <f t="shared" si="3"/>
        <v>0.11363636363636363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5</v>
      </c>
      <c r="C43" s="6">
        <f t="shared" si="3"/>
        <v>5.6818181818181816E-2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3"/>
        <v>4.5454545454545456E-2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1.1363636363636364E-2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1</v>
      </c>
      <c r="C46" s="6">
        <f t="shared" si="3"/>
        <v>1.1363636363636364E-2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1</v>
      </c>
      <c r="C47" s="6">
        <f t="shared" si="3"/>
        <v>1.1363636363636364E-2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4FCBF-E9EF-4F19-96F8-904B4AA629B3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41</v>
      </c>
      <c r="C2" s="134"/>
      <c r="E2" s="26" t="s">
        <v>66</v>
      </c>
      <c r="F2" s="23" t="s">
        <v>22</v>
      </c>
      <c r="G2" s="11">
        <v>91</v>
      </c>
      <c r="H2" s="87">
        <f>IF(B$20=0,0,G2/B$20)</f>
        <v>0.76470588235294112</v>
      </c>
      <c r="I2" s="57">
        <v>6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-2.4390243902439024</v>
      </c>
      <c r="Q2" s="76">
        <v>41</v>
      </c>
      <c r="R2" s="63">
        <v>-100</v>
      </c>
    </row>
    <row r="3" spans="1:18" x14ac:dyDescent="0.4">
      <c r="A3" s="19" t="s">
        <v>8</v>
      </c>
      <c r="B3" s="135">
        <v>356</v>
      </c>
      <c r="C3" s="136"/>
      <c r="E3" s="27" t="s">
        <v>72</v>
      </c>
      <c r="F3" s="24" t="s">
        <v>27</v>
      </c>
      <c r="G3" s="12">
        <v>75</v>
      </c>
      <c r="H3" s="88">
        <f>IF(B$20=0,0,G3/B$20)</f>
        <v>0.63025210084033612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1786.8421052631579</v>
      </c>
      <c r="Q3" s="77">
        <v>38</v>
      </c>
      <c r="R3" s="64">
        <v>67900</v>
      </c>
    </row>
    <row r="4" spans="1:18" x14ac:dyDescent="0.4">
      <c r="A4" s="19" t="s">
        <v>6</v>
      </c>
      <c r="B4" s="137">
        <v>286.49999999999994</v>
      </c>
      <c r="C4" s="138"/>
      <c r="E4" s="27" t="s">
        <v>159</v>
      </c>
      <c r="F4" s="24" t="s">
        <v>160</v>
      </c>
      <c r="G4" s="12">
        <v>60</v>
      </c>
      <c r="H4" s="88">
        <f>IF(B$20=0,0,G4/B$20)</f>
        <v>0.50420168067226889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17.948717948717949</v>
      </c>
      <c r="Q4" s="77">
        <v>39</v>
      </c>
      <c r="R4" s="64">
        <v>700</v>
      </c>
    </row>
    <row r="5" spans="1:18" x14ac:dyDescent="0.4">
      <c r="A5" s="19" t="s">
        <v>7</v>
      </c>
      <c r="B5" s="125">
        <f>IF(B$2=0,0,B$4/B$2)</f>
        <v>6.9878048780487791</v>
      </c>
      <c r="C5" s="126"/>
      <c r="E5" s="27" t="s">
        <v>64</v>
      </c>
      <c r="F5" s="24" t="s">
        <v>20</v>
      </c>
      <c r="G5" s="12">
        <v>40</v>
      </c>
      <c r="H5" s="88">
        <f>IF(B$20=0,0,G5/B$20)</f>
        <v>0.33613445378151263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2318.9189189189187</v>
      </c>
      <c r="Q5" s="77">
        <v>37</v>
      </c>
      <c r="R5" s="64">
        <v>85800</v>
      </c>
    </row>
    <row r="6" spans="1:18" x14ac:dyDescent="0.4">
      <c r="A6" s="19" t="s">
        <v>196</v>
      </c>
      <c r="B6" s="129">
        <v>1582.1239906491078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0.25210084033613445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755.88235294117646</v>
      </c>
      <c r="Q6" s="77">
        <v>34</v>
      </c>
      <c r="R6" s="64">
        <v>25700</v>
      </c>
    </row>
    <row r="7" spans="1:18" x14ac:dyDescent="0.4">
      <c r="A7" s="19" t="s">
        <v>1</v>
      </c>
      <c r="B7" s="139">
        <f>IF(B$2=0,0,(B$8*1+B$9*2+B$10*3)/B$2)</f>
        <v>1.7560975609756098</v>
      </c>
      <c r="C7" s="140"/>
      <c r="E7" s="27" t="s">
        <v>70</v>
      </c>
      <c r="F7" s="24" t="s">
        <v>25</v>
      </c>
      <c r="G7" s="12">
        <v>17</v>
      </c>
      <c r="H7" s="88">
        <f>IF(B$20=0,0,G7/B$20)</f>
        <v>0.14285714285714285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310.71428571428572</v>
      </c>
      <c r="Q7" s="78">
        <v>28</v>
      </c>
      <c r="R7" s="65">
        <v>8700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0.46341463414634149</v>
      </c>
      <c r="E8" s="27" t="s">
        <v>67</v>
      </c>
      <c r="F8" s="24" t="s">
        <v>23</v>
      </c>
      <c r="G8" s="12">
        <v>16</v>
      </c>
      <c r="H8" s="88">
        <f>IF(B$20=0,0,G8/B$20)</f>
        <v>0.13445378151260504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0.31707317073170732</v>
      </c>
      <c r="E9" s="27" t="s">
        <v>89</v>
      </c>
      <c r="F9" s="24" t="s">
        <v>44</v>
      </c>
      <c r="G9" s="12">
        <v>14</v>
      </c>
      <c r="H9" s="88">
        <f>IF(B$20=0,0,G9/B$20)</f>
        <v>0.11764705882352941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</v>
      </c>
      <c r="C10" s="7">
        <f t="shared" si="1"/>
        <v>0.21951219512195122</v>
      </c>
      <c r="E10" s="27" t="s">
        <v>71</v>
      </c>
      <c r="F10" s="24" t="s">
        <v>26</v>
      </c>
      <c r="G10" s="12">
        <v>12</v>
      </c>
      <c r="H10" s="88">
        <f>IF(B$20=0,0,G10/B$20)</f>
        <v>0.10084033613445378</v>
      </c>
      <c r="I10" s="58">
        <v>1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18.22941176470588</v>
      </c>
      <c r="Q10" s="76">
        <v>17</v>
      </c>
      <c r="R10" s="67">
        <v>309.89999999999998</v>
      </c>
    </row>
    <row r="11" spans="1:18" x14ac:dyDescent="0.4">
      <c r="A11" s="20" t="s">
        <v>184</v>
      </c>
      <c r="B11" s="109">
        <f>IF(B8=0,0,C11/B8)</f>
        <v>36.057894736842108</v>
      </c>
      <c r="C11" s="110">
        <v>685.1</v>
      </c>
      <c r="E11" s="27" t="s">
        <v>69</v>
      </c>
      <c r="F11" s="24" t="s">
        <v>24</v>
      </c>
      <c r="G11" s="12">
        <v>11</v>
      </c>
      <c r="H11" s="88">
        <f>IF(B$20=0,0,G11/B$20)</f>
        <v>9.2436974789915971E-2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">
      <c r="A12" s="20" t="s">
        <v>185</v>
      </c>
      <c r="B12" s="109">
        <f>IF(B9=0,0,C12/B9)</f>
        <v>-5.1307692307692303</v>
      </c>
      <c r="C12" s="110">
        <v>-66.699999999999989</v>
      </c>
      <c r="E12" s="27" t="s">
        <v>65</v>
      </c>
      <c r="F12" s="24" t="s">
        <v>21</v>
      </c>
      <c r="G12" s="12">
        <v>5</v>
      </c>
      <c r="H12" s="88">
        <f>IF(B$20=0,0,G12/B$20)</f>
        <v>4.2016806722689079E-2</v>
      </c>
      <c r="I12" s="58">
        <v>10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-3.0700000000000007</v>
      </c>
      <c r="Q12" s="78">
        <v>10</v>
      </c>
      <c r="R12" s="69">
        <v>-30.700000000000006</v>
      </c>
    </row>
    <row r="13" spans="1:18" x14ac:dyDescent="0.4">
      <c r="A13" s="20" t="s">
        <v>186</v>
      </c>
      <c r="B13" s="109">
        <f>IF(B10=0,0,C13/B10)</f>
        <v>-36.87777777777778</v>
      </c>
      <c r="C13" s="110">
        <v>-331.90000000000003</v>
      </c>
      <c r="E13" s="27" t="s">
        <v>78</v>
      </c>
      <c r="F13" s="24" t="s">
        <v>33</v>
      </c>
      <c r="G13" s="12">
        <v>4</v>
      </c>
      <c r="H13" s="88">
        <f>IF(B$20=0,0,G13/B$20)</f>
        <v>3.3613445378151259E-2</v>
      </c>
      <c r="I13" s="58">
        <v>4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-1.983550757234968</v>
      </c>
      <c r="C14" s="126"/>
      <c r="E14" s="27" t="s">
        <v>86</v>
      </c>
      <c r="F14" s="24" t="s">
        <v>41</v>
      </c>
      <c r="G14" s="12">
        <v>4</v>
      </c>
      <c r="H14" s="88">
        <f>IF(B$20=0,0,G14/B$20)</f>
        <v>3.3613445378151259E-2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7.3170731707317069E-2</v>
      </c>
      <c r="E15" s="27" t="s">
        <v>79</v>
      </c>
      <c r="F15" s="24" t="s">
        <v>34</v>
      </c>
      <c r="G15" s="12">
        <v>3</v>
      </c>
      <c r="H15" s="88">
        <f>IF(B$20=0,0,G15/B$20)</f>
        <v>2.5210084033613446E-2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73</v>
      </c>
      <c r="C16" s="10">
        <f>IF(B$3=0,0,B16/B$3)</f>
        <v>0.2050561797752809</v>
      </c>
      <c r="E16" s="27" t="s">
        <v>81</v>
      </c>
      <c r="F16" s="24" t="s">
        <v>36</v>
      </c>
      <c r="G16" s="12">
        <v>3</v>
      </c>
      <c r="H16" s="88">
        <f>IF(B$20=0,0,G16/B$20)</f>
        <v>2.5210084033613446E-2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94</v>
      </c>
      <c r="C17" s="6">
        <f>IF(B$3=0,0,B17/B$3)</f>
        <v>0.2640449438202247</v>
      </c>
      <c r="E17" s="27" t="s">
        <v>83</v>
      </c>
      <c r="F17" s="24" t="s">
        <v>38</v>
      </c>
      <c r="G17" s="12">
        <v>2</v>
      </c>
      <c r="H17" s="88">
        <f>IF(B$20=0,0,G17/B$20)</f>
        <v>1.680672268907563E-2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23.666666666666668</v>
      </c>
      <c r="Q17" s="77">
        <v>18</v>
      </c>
      <c r="R17" s="68">
        <v>426</v>
      </c>
    </row>
    <row r="18" spans="1:18" x14ac:dyDescent="0.4">
      <c r="A18" s="18" t="s">
        <v>123</v>
      </c>
      <c r="B18" s="11">
        <f>B24</f>
        <v>39</v>
      </c>
      <c r="C18" s="5">
        <f>IF(B$16=0,0,B18/B$16)</f>
        <v>0.53424657534246578</v>
      </c>
      <c r="E18" s="27" t="s">
        <v>73</v>
      </c>
      <c r="F18" s="24" t="s">
        <v>28</v>
      </c>
      <c r="G18" s="12">
        <v>1</v>
      </c>
      <c r="H18" s="88">
        <f>IF(B$20=0,0,G18/B$20)</f>
        <v>8.4033613445378148E-3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">
      <c r="A19" s="18" t="s">
        <v>124</v>
      </c>
      <c r="B19" s="11">
        <f>B25</f>
        <v>41</v>
      </c>
      <c r="C19" s="5">
        <f>IF(B$17=0,0,B19/B$17)</f>
        <v>0.43617021276595747</v>
      </c>
      <c r="E19" s="27" t="s">
        <v>88</v>
      </c>
      <c r="F19" s="24" t="s">
        <v>43</v>
      </c>
      <c r="G19" s="12">
        <v>1</v>
      </c>
      <c r="H19" s="88">
        <f>IF(B$20=0,0,G19/B$20)</f>
        <v>8.4033613445378148E-3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14.799999999999999</v>
      </c>
      <c r="Q19" s="77">
        <v>9</v>
      </c>
      <c r="R19" s="68">
        <v>133.19999999999999</v>
      </c>
    </row>
    <row r="20" spans="1:18" x14ac:dyDescent="0.4">
      <c r="A20" s="18" t="s">
        <v>10</v>
      </c>
      <c r="B20" s="11">
        <f>B23+B22</f>
        <v>119</v>
      </c>
      <c r="C20" s="5">
        <f>IF(B$3=0,0,B20/B$3)</f>
        <v>0.3342696629213483</v>
      </c>
      <c r="E20" s="27" t="s">
        <v>92</v>
      </c>
      <c r="F20" s="24" t="s">
        <v>47</v>
      </c>
      <c r="G20" s="12">
        <v>1</v>
      </c>
      <c r="H20" s="88">
        <f>IF(B$20=0,0,G20/B$20)</f>
        <v>8.4033613445378148E-3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8.6852941176470555</v>
      </c>
      <c r="Q20" s="77">
        <v>34</v>
      </c>
      <c r="R20" s="68">
        <v>295.2999999999999</v>
      </c>
    </row>
    <row r="21" spans="1:18" x14ac:dyDescent="0.4">
      <c r="A21" s="19" t="s">
        <v>13</v>
      </c>
      <c r="B21" s="12">
        <v>44</v>
      </c>
      <c r="C21" s="6">
        <f>IF(B$3=0,0,B21/B$3)</f>
        <v>0.12359550561797752</v>
      </c>
      <c r="E21" s="27" t="s">
        <v>102</v>
      </c>
      <c r="F21" s="24" t="s">
        <v>57</v>
      </c>
      <c r="G21" s="12">
        <v>1</v>
      </c>
      <c r="H21" s="88">
        <f>IF(B$20=0,0,G21/B$20)</f>
        <v>8.4033613445378148E-3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-11.511111111111111</v>
      </c>
      <c r="Q21" s="77">
        <v>9</v>
      </c>
      <c r="R21" s="68">
        <v>-103.6</v>
      </c>
    </row>
    <row r="22" spans="1:18" x14ac:dyDescent="0.4">
      <c r="A22" s="19" t="s">
        <v>12</v>
      </c>
      <c r="B22" s="12">
        <v>48</v>
      </c>
      <c r="C22" s="6">
        <f>IF(B$20=0,0,B22/B$20)</f>
        <v>0.40336134453781514</v>
      </c>
      <c r="E22" s="27" t="s">
        <v>155</v>
      </c>
      <c r="F22" s="24" t="s">
        <v>156</v>
      </c>
      <c r="G22" s="12">
        <v>1</v>
      </c>
      <c r="H22" s="88">
        <f>IF(B$20=0,0,G22/B$20)</f>
        <v>8.4033613445378148E-3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-25.18</v>
      </c>
      <c r="Q22" s="77">
        <v>5</v>
      </c>
      <c r="R22" s="68">
        <v>-125.9</v>
      </c>
    </row>
    <row r="23" spans="1:18" x14ac:dyDescent="0.4">
      <c r="A23" s="19" t="s">
        <v>11</v>
      </c>
      <c r="B23" s="12">
        <v>71</v>
      </c>
      <c r="C23" s="6">
        <f>IF(B$20=0,0,B23/B$20)</f>
        <v>0.59663865546218486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">
      <c r="A24" s="19" t="s">
        <v>183</v>
      </c>
      <c r="B24" s="12">
        <v>39</v>
      </c>
      <c r="C24" s="6">
        <f>IF(B$20=0,0,B24/B$20)</f>
        <v>0.32773109243697479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41</v>
      </c>
      <c r="C25" s="6">
        <f>IF(B$20=0,0,B25/B$20)</f>
        <v>0.34453781512605042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39</v>
      </c>
      <c r="C26" s="6">
        <f>IF(B$20=0,0,B26/B$20)</f>
        <v>0.32773109243697479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7712.6050420168067</v>
      </c>
      <c r="C27" s="8">
        <v>917800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8835.8974358974356</v>
      </c>
      <c r="C28" s="96">
        <v>689200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5575.6097560975613</v>
      </c>
      <c r="C29" s="96">
        <v>228600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-7654.545454545455</v>
      </c>
      <c r="C30" s="96">
        <v>-336800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11</v>
      </c>
      <c r="C37" s="98">
        <f t="shared" ref="C37:C49" si="3">IF(B$20=0,0,B37/B$20)</f>
        <v>9.2436974789915971E-2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27</v>
      </c>
      <c r="C38" s="6">
        <f t="shared" si="3"/>
        <v>0.22689075630252101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26</v>
      </c>
      <c r="C39" s="6">
        <f t="shared" si="3"/>
        <v>0.21848739495798319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18</v>
      </c>
      <c r="C40" s="6">
        <f t="shared" si="3"/>
        <v>0.15126050420168066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19</v>
      </c>
      <c r="C41" s="6">
        <f t="shared" si="3"/>
        <v>0.15966386554621848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3.3613445378151259E-2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6.7226890756302518E-2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1.680672268907563E-2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8.4033613445378148E-3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1</v>
      </c>
      <c r="C46" s="6">
        <f t="shared" si="3"/>
        <v>8.4033613445378148E-3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1.680672268907563E-2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98D66-18B5-4DBB-A3DB-31489B0228C9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4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8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95A21-371B-45C3-BF00-AE696F1CF31F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61AC-7C06-42A1-83E6-B25AB9D8E714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21</v>
      </c>
      <c r="H2" s="87">
        <f>IF(B$20=0,0,G2/B$20)</f>
        <v>0.875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-5510</v>
      </c>
      <c r="Q2" s="76">
        <v>10</v>
      </c>
      <c r="R2" s="63">
        <v>-55100</v>
      </c>
    </row>
    <row r="3" spans="1:18" x14ac:dyDescent="0.4">
      <c r="A3" s="19" t="s">
        <v>8</v>
      </c>
      <c r="B3" s="135">
        <v>82</v>
      </c>
      <c r="C3" s="136"/>
      <c r="E3" s="27" t="s">
        <v>159</v>
      </c>
      <c r="F3" s="24" t="s">
        <v>160</v>
      </c>
      <c r="G3" s="12">
        <v>16</v>
      </c>
      <c r="H3" s="88">
        <f>IF(B$20=0,0,G3/B$20)</f>
        <v>0.66666666666666663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6522.2222222222226</v>
      </c>
      <c r="Q3" s="77">
        <v>9</v>
      </c>
      <c r="R3" s="64">
        <v>58700</v>
      </c>
    </row>
    <row r="4" spans="1:18" x14ac:dyDescent="0.4">
      <c r="A4" s="19" t="s">
        <v>6</v>
      </c>
      <c r="B4" s="137">
        <v>-6.3000000000000025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0.54166666666666663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-1410</v>
      </c>
      <c r="Q4" s="77">
        <v>10</v>
      </c>
      <c r="R4" s="64">
        <v>-14100</v>
      </c>
    </row>
    <row r="5" spans="1:18" x14ac:dyDescent="0.4">
      <c r="A5" s="19" t="s">
        <v>7</v>
      </c>
      <c r="B5" s="125">
        <f>IF(B$2=0,0,B$4/B$2)</f>
        <v>-0.63000000000000023</v>
      </c>
      <c r="C5" s="126"/>
      <c r="E5" s="27" t="s">
        <v>68</v>
      </c>
      <c r="F5" s="24" t="s">
        <v>12</v>
      </c>
      <c r="G5" s="12">
        <v>13</v>
      </c>
      <c r="H5" s="88">
        <f>IF(B$20=0,0,G5/B$20)</f>
        <v>0.54166666666666663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-3230</v>
      </c>
      <c r="Q5" s="77">
        <v>10</v>
      </c>
      <c r="R5" s="64">
        <v>-32300</v>
      </c>
    </row>
    <row r="6" spans="1:18" x14ac:dyDescent="0.4">
      <c r="A6" s="19" t="s">
        <v>196</v>
      </c>
      <c r="B6" s="129">
        <v>1401.5799326488498</v>
      </c>
      <c r="C6" s="130"/>
      <c r="E6" s="27" t="s">
        <v>72</v>
      </c>
      <c r="F6" s="24" t="s">
        <v>27</v>
      </c>
      <c r="G6" s="12">
        <v>11</v>
      </c>
      <c r="H6" s="88">
        <f>IF(B$20=0,0,G6/B$20)</f>
        <v>0.45833333333333331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1333.3333333333333</v>
      </c>
      <c r="Q6" s="77">
        <v>9</v>
      </c>
      <c r="R6" s="64">
        <v>12000</v>
      </c>
    </row>
    <row r="7" spans="1:18" x14ac:dyDescent="0.4">
      <c r="A7" s="19" t="s">
        <v>1</v>
      </c>
      <c r="B7" s="139">
        <f>IF(B$2=0,0,(B$8*1+B$9*2+B$10*3)/B$2)</f>
        <v>1.8</v>
      </c>
      <c r="C7" s="140"/>
      <c r="E7" s="27" t="s">
        <v>67</v>
      </c>
      <c r="F7" s="24" t="s">
        <v>23</v>
      </c>
      <c r="G7" s="12">
        <v>8</v>
      </c>
      <c r="H7" s="88">
        <f>IF(B$20=0,0,G7/B$20)</f>
        <v>0.33333333333333331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500</v>
      </c>
      <c r="Q7" s="78">
        <v>9</v>
      </c>
      <c r="R7" s="65">
        <v>4500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0.6</v>
      </c>
      <c r="E8" s="27" t="s">
        <v>69</v>
      </c>
      <c r="F8" s="24" t="s">
        <v>24</v>
      </c>
      <c r="G8" s="12">
        <v>8</v>
      </c>
      <c r="H8" s="88">
        <f>IF(B$20=0,0,G8/B$20)</f>
        <v>0.33333333333333331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3</v>
      </c>
      <c r="H9" s="88">
        <f>IF(B$20=0,0,G9/B$20)</f>
        <v>0.125</v>
      </c>
      <c r="I9" s="58">
        <v>3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1"/>
        <v>0.4</v>
      </c>
      <c r="E10" s="27" t="s">
        <v>70</v>
      </c>
      <c r="F10" s="24" t="s">
        <v>25</v>
      </c>
      <c r="G10" s="12">
        <v>1</v>
      </c>
      <c r="H10" s="88">
        <f>IF(B$20=0,0,G10/B$20)</f>
        <v>4.1666666666666664E-2</v>
      </c>
      <c r="I10" s="58">
        <v>9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4.1666666666666664E-2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78</v>
      </c>
      <c r="F12" s="24" t="s">
        <v>33</v>
      </c>
      <c r="G12" s="12">
        <v>1</v>
      </c>
      <c r="H12" s="88">
        <f>IF(B$20=0,0,G12/B$20)</f>
        <v>4.1666666666666664E-2</v>
      </c>
      <c r="I12" s="58">
        <v>2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-0.72000000000000031</v>
      </c>
      <c r="Q12" s="78">
        <v>5</v>
      </c>
      <c r="R12" s="69">
        <v>-3.6000000000000014</v>
      </c>
    </row>
    <row r="13" spans="1:18" x14ac:dyDescent="0.4">
      <c r="A13" s="20" t="s">
        <v>186</v>
      </c>
      <c r="B13" s="109">
        <f>IF(B10=0,0,C13/B10)</f>
        <v>-40.15</v>
      </c>
      <c r="C13" s="110">
        <v>-160.6</v>
      </c>
      <c r="E13" s="27" t="s">
        <v>81</v>
      </c>
      <c r="F13" s="24" t="s">
        <v>36</v>
      </c>
      <c r="G13" s="12">
        <v>1</v>
      </c>
      <c r="H13" s="88">
        <f>IF(B$20=0,0,G13/B$20)</f>
        <v>4.1666666666666664E-2</v>
      </c>
      <c r="I13" s="58">
        <v>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-4.8111111111111109</v>
      </c>
      <c r="C14" s="126"/>
      <c r="E14" s="27" t="s">
        <v>89</v>
      </c>
      <c r="F14" s="24" t="s">
        <v>44</v>
      </c>
      <c r="G14" s="12">
        <v>1</v>
      </c>
      <c r="H14" s="88">
        <f>IF(B$20=0,0,G14/B$20)</f>
        <v>4.1666666666666664E-2</v>
      </c>
      <c r="I14" s="58">
        <v>11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0.2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9</v>
      </c>
      <c r="O15" s="73" t="s">
        <v>163</v>
      </c>
      <c r="P15" s="82">
        <f t="shared" ref="P15:P20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19</v>
      </c>
      <c r="C16" s="10">
        <f>IF(B$3=0,0,B16/B$3)</f>
        <v>0.23170731707317074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10</v>
      </c>
      <c r="C17" s="6">
        <f>IF(B$3=0,0,B17/B$3)</f>
        <v>0.12195121951219512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211</v>
      </c>
      <c r="P17" s="83">
        <f t="shared" si="2"/>
        <v>8.5500000000000007</v>
      </c>
      <c r="Q17" s="77">
        <v>2</v>
      </c>
      <c r="R17" s="68">
        <v>17.100000000000001</v>
      </c>
    </row>
    <row r="18" spans="1:18" x14ac:dyDescent="0.4">
      <c r="A18" s="18" t="s">
        <v>123</v>
      </c>
      <c r="B18" s="11">
        <f>B24</f>
        <v>13</v>
      </c>
      <c r="C18" s="5">
        <f>IF(B$16=0,0,B18/B$16)</f>
        <v>0.68421052631578949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 t="shared" si="2"/>
        <v>4.8999999999999995</v>
      </c>
      <c r="Q18" s="77">
        <v>7</v>
      </c>
      <c r="R18" s="68">
        <v>34.299999999999997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  <c r="O19" s="74" t="s">
        <v>221</v>
      </c>
      <c r="P19" s="83">
        <f t="shared" si="2"/>
        <v>3.6500000000000004</v>
      </c>
      <c r="Q19" s="77">
        <v>2</v>
      </c>
      <c r="R19" s="68">
        <v>7.3000000000000007</v>
      </c>
    </row>
    <row r="20" spans="1:18" x14ac:dyDescent="0.4">
      <c r="A20" s="18" t="s">
        <v>10</v>
      </c>
      <c r="B20" s="11">
        <f>B23+B22</f>
        <v>24</v>
      </c>
      <c r="C20" s="5">
        <f>IF(B$3=0,0,B20/B$3)</f>
        <v>0.29268292682926828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12</v>
      </c>
      <c r="C21" s="6">
        <f>IF(B$3=0,0,B21/B$3)</f>
        <v>0.14634146341463414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13</v>
      </c>
      <c r="C22" s="6">
        <f>IF(B$20=0,0,B22/B$20)</f>
        <v>0.54166666666666663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11</v>
      </c>
      <c r="C23" s="6">
        <f>IF(B$20=0,0,B23/B$20)</f>
        <v>0.45833333333333331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13</v>
      </c>
      <c r="C24" s="6">
        <f>IF(B$20=0,0,B24/B$20)</f>
        <v>0.54166666666666663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0.16666666666666666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7</v>
      </c>
      <c r="C26" s="6">
        <f>IF(B$20=0,0,B26/B$20)</f>
        <v>0.29166666666666669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8720.8333333333339</v>
      </c>
      <c r="C27" s="8">
        <v>209300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8905</v>
      </c>
      <c r="C28" s="96">
        <v>178100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7800</v>
      </c>
      <c r="C29" s="96">
        <v>31200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-7225</v>
      </c>
      <c r="C30" s="96">
        <v>-86700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16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1.2195121951219513E-2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3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0.20833333333333334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4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9E13-EFF7-4DB9-B150-0B2EB2146D03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4CCF-4BB1-457F-A488-940ABA9BD1C1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B811-B280-4A67-A930-FD21C383C8A8}">
  <sheetPr codeName="Sheet24"/>
  <dimension ref="A1:Q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B5FDF-A5D2-47C4-9154-8C91BDB29F15}">
  <sheetPr codeName="Sheet2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E21E2-1825-4906-8B6A-14540D43AF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AF9BB-7B26-4C75-BC35-EF10A10D629E}">
  <sheetPr codeName="Sheet18"/>
  <dimension ref="A1:Q4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46DFE-8E04-4D45-94C4-0F937C0D109C}">
  <sheetPr codeName="Sheet16"/>
  <dimension ref="A1:Q3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3F8-0749-4314-B7CC-58443401B546}">
  <sheetPr codeName="Sheet14"/>
  <dimension ref="A1:Q2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B5797-F981-44FE-A406-1EB2FF35D456}">
  <sheetPr codeName="Sheet12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19A66-B024-42DF-B32A-B01055B9A874}">
  <sheetPr codeName="Sheet10"/>
  <dimension ref="A1:Q4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C9BAC-B66F-4047-B862-36CADDFFAE5E}">
  <sheetPr codeName="Sheet8"/>
  <dimension ref="A1:Q8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61736-1741-447E-B5DC-67C3505DD5CF}">
  <sheetPr codeName="Sheet6"/>
  <dimension ref="A1:Q10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2020-11-20T06:47:32Z</dcterms:modified>
</cp:coreProperties>
</file>