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EF942E9B-33DB-45DB-827A-6D73C59CD6EE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6" i="6998" l="1"/>
  <c r="P19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7" i="6998" l="1"/>
  <c r="P24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2" i="6984" l="1"/>
  <c r="P20" i="6992"/>
  <c r="P15" i="6990"/>
  <c r="P16" i="6992"/>
  <c r="P23" i="6992"/>
  <c r="P18" i="6994"/>
  <c r="P18" i="6990"/>
  <c r="P20" i="6994"/>
  <c r="P23" i="6984"/>
  <c r="P15" i="6984"/>
  <c r="P18" i="6996" l="1"/>
  <c r="P16" i="6994"/>
  <c r="P17" i="6982"/>
  <c r="P18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7" i="6980"/>
  <c r="P18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3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1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8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7" i="6988"/>
  <c r="H33" i="6988"/>
  <c r="C42" i="6988"/>
  <c r="H51" i="6988"/>
  <c r="H2" i="6988"/>
  <c r="H9" i="6988"/>
  <c r="H22" i="6988"/>
  <c r="H15" i="6988"/>
  <c r="C24" i="6988"/>
  <c r="B28" i="6988"/>
  <c r="H34" i="6988"/>
  <c r="H39" i="6988"/>
  <c r="H43" i="6988"/>
  <c r="H47" i="6988"/>
  <c r="H5" i="6988"/>
  <c r="H25" i="6988"/>
  <c r="H11" i="6988"/>
  <c r="H30" i="6988"/>
  <c r="H35" i="6988"/>
  <c r="C39" i="6988"/>
  <c r="C43" i="6988"/>
  <c r="C47" i="6988"/>
  <c r="H52" i="6988"/>
  <c r="H20" i="6988"/>
  <c r="H23" i="6988"/>
  <c r="C25" i="6988"/>
  <c r="H40" i="6988"/>
  <c r="H44" i="6988"/>
  <c r="H48" i="6988"/>
  <c r="H10" i="6988"/>
  <c r="C38" i="6988"/>
  <c r="C46" i="6988"/>
  <c r="H7" i="6988"/>
  <c r="H12" i="6988"/>
  <c r="H24" i="6988"/>
  <c r="H13" i="6988"/>
  <c r="H28" i="6988"/>
  <c r="H19" i="6988"/>
  <c r="H36" i="6988"/>
  <c r="C40" i="6988"/>
  <c r="C44" i="6988"/>
  <c r="C48" i="6988"/>
  <c r="H4" i="6988"/>
  <c r="H17" i="6988"/>
  <c r="C22" i="6988"/>
  <c r="C26" i="6988"/>
  <c r="H37" i="6988"/>
  <c r="H41" i="6988"/>
  <c r="H45" i="6988"/>
  <c r="H49" i="6988"/>
  <c r="H6" i="6988"/>
  <c r="H14" i="6988"/>
  <c r="H21" i="6988"/>
  <c r="H26" i="6988"/>
  <c r="H29" i="6988"/>
  <c r="H31" i="6988"/>
  <c r="C37" i="6988"/>
  <c r="C41" i="6988"/>
  <c r="C45" i="6988"/>
  <c r="C49" i="6988"/>
  <c r="H8" i="6988"/>
  <c r="H18" i="6988"/>
  <c r="H16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8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9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4" i="6982"/>
  <c r="H34" i="6982"/>
  <c r="C42" i="6982"/>
  <c r="H15" i="6982"/>
  <c r="H2" i="6982"/>
  <c r="H8" i="6982"/>
  <c r="H21" i="6982"/>
  <c r="H19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2" i="6982"/>
  <c r="H14" i="6982"/>
  <c r="H32" i="6982"/>
  <c r="H16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3" i="6982"/>
  <c r="H28" i="6982"/>
  <c r="H23" i="6982"/>
  <c r="H25" i="6982"/>
  <c r="H27" i="6982"/>
  <c r="C37" i="6982"/>
  <c r="C41" i="6982"/>
  <c r="C45" i="6982"/>
  <c r="C49" i="6982"/>
  <c r="H11" i="6982"/>
  <c r="H17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8" i="6980"/>
  <c r="C39" i="6980"/>
  <c r="C45" i="6980"/>
  <c r="H33" i="6980"/>
  <c r="H8" i="6980"/>
  <c r="H2" i="6980"/>
  <c r="H10" i="6980"/>
  <c r="H46" i="6980"/>
  <c r="H7" i="6980"/>
  <c r="H13" i="6980"/>
  <c r="H21" i="6980"/>
  <c r="H29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3" i="6980"/>
  <c r="H3" i="6980"/>
  <c r="H19" i="6980"/>
  <c r="B28" i="6980"/>
  <c r="H40" i="6980"/>
  <c r="C43" i="6980"/>
  <c r="H52" i="6980"/>
  <c r="H27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<sst xmlns="http://schemas.openxmlformats.org/spreadsheetml/2006/main" count="3506" uniqueCount="265">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</sst>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全体!$K$2:$K$392</c:f>
              <c:numCache>
                <c:formatCode>General</c:formatCode>
                <c:ptCount val="3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</c:numCache>
            </c:numRef>
          </c:xVal>
          <c:yVal>
            <c:numRef>
              <c:f>全体!$L$2:$L$392</c:f>
              <c:numCache>
                <c:formatCode>\+0.0;\-0.0;\±0</c:formatCode>
                <c:ptCount val="39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-38.46153846153846</c:v>
                </c:pt>
                <c:pt idx="1">
                  <c:v>18.372703412073491</c:v>
                </c:pt>
                <c:pt idx="2">
                  <c:v>0</c:v>
                </c:pt>
                <c:pt idx="3">
                  <c:v>-2.7777777777777777</c:v>
                </c:pt>
                <c:pt idx="4">
                  <c:v>12.121212121212121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74</c:v>
                </c:pt>
                <c:pt idx="1">
                  <c:v>185</c:v>
                </c:pt>
                <c:pt idx="2">
                  <c:v>195</c:v>
                </c:pt>
                <c:pt idx="3">
                  <c:v>191</c:v>
                </c:pt>
                <c:pt idx="4">
                  <c:v>138</c:v>
                </c:pt>
                <c:pt idx="5">
                  <c:v>90</c:v>
                </c:pt>
                <c:pt idx="6">
                  <c:v>41</c:v>
                </c:pt>
                <c:pt idx="7">
                  <c:v>30</c:v>
                </c:pt>
                <c:pt idx="8">
                  <c:v>16</c:v>
                </c:pt>
                <c:pt idx="9">
                  <c:v>11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全体!$K$2:$K$392</c:f>
              <c:numCache>
                <c:formatCode>General</c:formatCode>
                <c:ptCount val="3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</c:numCache>
            </c:numRef>
          </c:xVal>
          <c:yVal>
            <c:numRef>
              <c:f>全体!$M$2:$M$392</c:f>
              <c:numCache>
                <c:formatCode>0</c:formatCode>
                <c:ptCount val="39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だいち!$L$2:$L$108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918.86792452830184</c:v>
                </c:pt>
                <c:pt idx="1">
                  <c:v>-672.81553398058247</c:v>
                </c:pt>
                <c:pt idx="2">
                  <c:v>-884.46601941747576</c:v>
                </c:pt>
                <c:pt idx="3">
                  <c:v>1274.4897959183672</c:v>
                </c:pt>
                <c:pt idx="4">
                  <c:v>239.32584269662922</c:v>
                </c:pt>
                <c:pt idx="5">
                  <c:v>-42.857142857142854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</c:v>
                </c:pt>
                <c:pt idx="1">
                  <c:v>56</c:v>
                </c:pt>
                <c:pt idx="2">
                  <c:v>59</c:v>
                </c:pt>
                <c:pt idx="3">
                  <c:v>53</c:v>
                </c:pt>
                <c:pt idx="4">
                  <c:v>42</c:v>
                </c:pt>
                <c:pt idx="5">
                  <c:v>35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だいち!$M$2:$M$108</c:f>
              <c:numCache>
                <c:formatCode>0</c:formatCode>
                <c:ptCount val="107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958.57142857142856</c:v>
                </c:pt>
                <c:pt idx="1">
                  <c:v>117.64705882352941</c:v>
                </c:pt>
                <c:pt idx="2">
                  <c:v>-672.05882352941171</c:v>
                </c:pt>
                <c:pt idx="3">
                  <c:v>-667.69230769230774</c:v>
                </c:pt>
                <c:pt idx="4">
                  <c:v>116.94915254237289</c:v>
                </c:pt>
                <c:pt idx="5">
                  <c:v>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14</c:v>
                </c:pt>
                <c:pt idx="2">
                  <c:v>33</c:v>
                </c:pt>
                <c:pt idx="3">
                  <c:v>33</c:v>
                </c:pt>
                <c:pt idx="4">
                  <c:v>35</c:v>
                </c:pt>
                <c:pt idx="5">
                  <c:v>17</c:v>
                </c:pt>
                <c:pt idx="6">
                  <c:v>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れんたろう!$M$2:$M$72</c:f>
              <c:numCache>
                <c:formatCode>0</c:formatCode>
                <c:ptCount val="71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-548.83720930232562</c:v>
                </c:pt>
                <c:pt idx="1">
                  <c:v>-927.90697674418607</c:v>
                </c:pt>
                <c:pt idx="2">
                  <c:v>314.28571428571428</c:v>
                </c:pt>
                <c:pt idx="3">
                  <c:v>-764.28571428571433</c:v>
                </c:pt>
                <c:pt idx="4">
                  <c:v>-1129.2682926829268</c:v>
                </c:pt>
                <c:pt idx="5">
                  <c:v>-414.70588235294116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22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たかの!$M$2:$M$45</c:f>
              <c:numCache>
                <c:formatCode>0</c:formatCode>
                <c:ptCount val="4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1285.2941176470588</c:v>
                </c:pt>
                <c:pt idx="1">
                  <c:v>682.35294117647061</c:v>
                </c:pt>
                <c:pt idx="2">
                  <c:v>1012.1212121212121</c:v>
                </c:pt>
                <c:pt idx="3">
                  <c:v>-2565.5172413793102</c:v>
                </c:pt>
                <c:pt idx="4">
                  <c:v>2296.1538461538462</c:v>
                </c:pt>
                <c:pt idx="5">
                  <c:v>-890.90909090909088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18</c:v>
                </c:pt>
                <c:pt idx="3">
                  <c:v>22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まっつん!$M$2:$M$36</c:f>
              <c:numCache>
                <c:formatCode>0</c:formatCode>
                <c:ptCount val="35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-554.5454545454545</c:v>
                </c:pt>
                <c:pt idx="1">
                  <c:v>686.36363636363637</c:v>
                </c:pt>
                <c:pt idx="2">
                  <c:v>1643.1818181818182</c:v>
                </c:pt>
                <c:pt idx="3">
                  <c:v>39.024390243902438</c:v>
                </c:pt>
                <c:pt idx="4">
                  <c:v>89.189189189189193</c:v>
                </c:pt>
                <c:pt idx="5">
                  <c:v>1474.2857142857142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いちかわ!$M$2:$M$46</c:f>
              <c:numCache>
                <c:formatCode>0</c:formatCode>
                <c:ptCount val="4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-181.25</c:v>
                </c:pt>
                <c:pt idx="1">
                  <c:v>691.11111111111109</c:v>
                </c:pt>
                <c:pt idx="2">
                  <c:v>793.47826086956525</c:v>
                </c:pt>
                <c:pt idx="3">
                  <c:v>2274.4186046511627</c:v>
                </c:pt>
                <c:pt idx="4">
                  <c:v>280</c:v>
                </c:pt>
                <c:pt idx="5">
                  <c:v>-18.75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30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ただ!$M$2:$M$50</c:f>
              <c:numCache>
                <c:formatCode>0</c:formatCode>
                <c:ptCount val="4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-4.5</c:v>
                </c:pt>
                <c:pt idx="2">
                  <c:v>-3.4</c:v>
                </c:pt>
                <c:pt idx="3">
                  <c:v>-55.199999999999996</c:v>
                </c:pt>
                <c:pt idx="4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いっしー2!$C$3:$C$7</c:f>
              <c:numCache>
                <c:formatCode>\+0.0;\-0.0;\±0</c:formatCode>
                <c:ptCount val="5"/>
                <c:pt idx="1">
                  <c:v>-4.5</c:v>
                </c:pt>
                <c:pt idx="2">
                  <c:v>-1.7</c:v>
                </c:pt>
                <c:pt idx="3">
                  <c:v>-18.399999999999999</c:v>
                </c:pt>
                <c:pt idx="4">
                  <c:v>-19.424999999999997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842378929335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435897435897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897435897435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いっしー2!$G$3:$G$7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0.25</c:v>
                </c:pt>
                <c:pt idx="3">
                  <c:v>0.22222222222222221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4685168606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いっしー2!$H$3:$H$7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0.3125</c:v>
                </c:pt>
                <c:pt idx="3">
                  <c:v>0.25925925925925924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145926589077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いっしー2!$I$3:$I$7</c:f>
              <c:numCache>
                <c:formatCode>0</c:formatCode>
                <c:ptCount val="5"/>
                <c:pt idx="1">
                  <c:v>10000</c:v>
                </c:pt>
                <c:pt idx="2">
                  <c:v>10000</c:v>
                </c:pt>
                <c:pt idx="3">
                  <c:v>7800</c:v>
                </c:pt>
                <c:pt idx="4">
                  <c:v>6744.4444444444443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87.78004073319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いっしー2!$J$3:$J$7</c:f>
              <c:numCache>
                <c:formatCode>0</c:formatCode>
                <c:ptCount val="5"/>
                <c:pt idx="1">
                  <c:v>-6750</c:v>
                </c:pt>
                <c:pt idx="2">
                  <c:v>-5320</c:v>
                </c:pt>
                <c:pt idx="3">
                  <c:v>-7385.7142857142853</c:v>
                </c:pt>
                <c:pt idx="4">
                  <c:v>-7370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27.03703703703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74358974358974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いっしー2!$L$3:$L$7</c:f>
              <c:numCache>
                <c:formatCode>0.0%</c:formatCode>
                <c:ptCount val="5"/>
                <c:pt idx="1">
                  <c:v>0</c:v>
                </c:pt>
                <c:pt idx="2">
                  <c:v>0.125</c:v>
                </c:pt>
                <c:pt idx="3">
                  <c:v>0.14814814814814814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106236944195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いっしー2!$M$3:$M$7</c:f>
              <c:numCache>
                <c:formatCode>0.0%</c:formatCode>
                <c:ptCount val="5"/>
                <c:pt idx="1">
                  <c:v>0.22222222222222221</c:v>
                </c:pt>
                <c:pt idx="2">
                  <c:v>0.125</c:v>
                </c:pt>
                <c:pt idx="3">
                  <c:v>0.14814814814814814</c:v>
                </c:pt>
                <c:pt idx="4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6499552372426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いっしー2!$N$3:$N$7</c:f>
              <c:numCache>
                <c:formatCode>0.0%</c:formatCode>
                <c:ptCount val="5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955990220048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797101449275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いっしー2!$P$3:$P$7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973523421588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106</v>
      </c>
      <c r="C2" s="120">
        <v>1842.3339395535957</v>
      </c>
    </row>
    <row r="3" spans="1:3" x14ac:dyDescent="0.4">
      <c r="A3" t="s">
        <v>163</v>
      </c>
      <c r="B3" s="120">
        <v>70</v>
      </c>
      <c r="C3" s="120">
        <v>1653.1699313523677</v>
      </c>
    </row>
    <row r="4" spans="1:3" x14ac:dyDescent="0.4">
      <c r="A4" t="s">
        <v>139</v>
      </c>
      <c r="B4" s="120">
        <v>390</v>
      </c>
      <c r="C4" s="120">
        <v>1594.5463045050694</v>
      </c>
    </row>
    <row r="5" spans="1:3" x14ac:dyDescent="0.4">
      <c r="A5" t="s">
        <v>190</v>
      </c>
      <c r="B5" s="120">
        <v>34</v>
      </c>
      <c r="C5" s="120">
        <v>1524.3778689305989</v>
      </c>
    </row>
    <row r="6" spans="1:3" x14ac:dyDescent="0.4">
      <c r="A6" t="s">
        <v>192</v>
      </c>
      <c r="B6" s="120">
        <v>48</v>
      </c>
      <c r="C6" s="120">
        <v>1517.1288342047803</v>
      </c>
    </row>
    <row r="7" spans="1:3" x14ac:dyDescent="0.4">
      <c r="A7" t="s">
        <v>211</v>
      </c>
      <c r="B7" s="120">
        <v>44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43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0.93210891113478167</v>
      </c>
      <c r="C2" s="152"/>
      <c r="D2" s="151">
        <v>0.54450060216878449</v>
      </c>
      <c r="E2" s="152"/>
      <c r="F2" s="151">
        <v>0.48402330722002201</v>
      </c>
      <c r="G2" s="152"/>
      <c r="H2" s="153"/>
      <c r="I2" s="154"/>
      <c r="J2" s="151">
        <v>0.11323583128682005</v>
      </c>
      <c r="K2" s="152"/>
      <c r="L2" s="151">
        <v>-0.25030602039350985</v>
      </c>
      <c r="M2" s="152"/>
      <c r="N2" s="151">
        <v>0.40973897588802421</v>
      </c>
      <c r="O2" s="152"/>
      <c r="P2" s="151">
        <v>0.44342532045512834</v>
      </c>
      <c r="Q2" s="152"/>
      <c r="R2" s="151">
        <v>1.9937414193464013E-2</v>
      </c>
      <c r="S2" s="152"/>
      <c r="T2" s="151">
        <v>0.22825941068464189</v>
      </c>
      <c r="U2" s="152"/>
      <c r="V2" s="151">
        <v>0.21895546777036856</v>
      </c>
      <c r="W2" s="152"/>
      <c r="X2" s="151">
        <v>0.36225540025962327</v>
      </c>
      <c r="Y2" s="152"/>
      <c r="Z2" s="151">
        <v>0.26688075659308386</v>
      </c>
      <c r="AA2" s="152"/>
      <c r="AB2" s="151">
        <v>0.20241726617117581</v>
      </c>
      <c r="AC2" s="152"/>
      <c r="AD2" s="151">
        <v>-5.3553644786029524E-2</v>
      </c>
      <c r="AE2" s="152"/>
      <c r="AF2" s="151">
        <v>0.34560236483854584</v>
      </c>
      <c r="AG2" s="152"/>
      <c r="AH2" s="151">
        <v>-0.24003879440417247</v>
      </c>
      <c r="AI2" s="152"/>
      <c r="AJ2" s="151">
        <v>0.82984183300021164</v>
      </c>
      <c r="AK2" s="152"/>
    </row>
    <row r="3" spans="1:37" x14ac:dyDescent="0.4">
      <c r="A3" s="38">
        <v>1</v>
      </c>
      <c r="B3" s="41" t="s">
        <v>139</v>
      </c>
      <c r="C3" s="113">
        <v>130</v>
      </c>
      <c r="D3" s="39" t="s">
        <v>192</v>
      </c>
      <c r="E3" s="40">
        <v>261.89999999999992</v>
      </c>
      <c r="F3" s="41" t="s">
        <v>192</v>
      </c>
      <c r="G3" s="60">
        <v>5.456249999999998</v>
      </c>
      <c r="H3" s="41" t="s">
        <v>126</v>
      </c>
      <c r="I3" s="45">
        <v>1770.325722839227</v>
      </c>
      <c r="J3" s="41" t="s">
        <v>192</v>
      </c>
      <c r="K3" s="42">
        <v>1.8125</v>
      </c>
      <c r="L3" s="41" t="s">
        <v>195</v>
      </c>
      <c r="M3" s="43">
        <v>0.5</v>
      </c>
      <c r="N3" s="41" t="s">
        <v>190</v>
      </c>
      <c r="O3" s="43">
        <v>0.20588235294117646</v>
      </c>
      <c r="P3" s="41" t="s">
        <v>192</v>
      </c>
      <c r="Q3" s="44">
        <v>0.33574879227053139</v>
      </c>
      <c r="R3" s="41" t="s">
        <v>190</v>
      </c>
      <c r="S3" s="44">
        <v>9.1216216216216214E-2</v>
      </c>
      <c r="T3" s="41" t="s">
        <v>221</v>
      </c>
      <c r="U3" s="45">
        <v>10925</v>
      </c>
      <c r="V3" s="41" t="s">
        <v>190</v>
      </c>
      <c r="W3" s="45">
        <v>-6151.8518518518522</v>
      </c>
      <c r="X3" s="41" t="s">
        <v>193</v>
      </c>
      <c r="Y3" s="43">
        <v>0</v>
      </c>
      <c r="Z3" s="41" t="s">
        <v>163</v>
      </c>
      <c r="AA3" s="44">
        <v>0.28292682926829266</v>
      </c>
      <c r="AB3" s="41" t="s">
        <v>189</v>
      </c>
      <c r="AC3" s="44">
        <v>0.30026109660574413</v>
      </c>
      <c r="AD3" s="41" t="s">
        <v>195</v>
      </c>
      <c r="AE3" s="44">
        <v>0.69565217391304346</v>
      </c>
      <c r="AF3" s="41" t="s">
        <v>211</v>
      </c>
      <c r="AG3" s="44">
        <v>0.49367088607594939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106</v>
      </c>
      <c r="D4" s="47" t="s">
        <v>126</v>
      </c>
      <c r="E4" s="48">
        <v>219.09999999999991</v>
      </c>
      <c r="F4" s="49" t="s">
        <v>211</v>
      </c>
      <c r="G4" s="61">
        <v>3.2545454545454544</v>
      </c>
      <c r="H4" s="49" t="s">
        <v>163</v>
      </c>
      <c r="I4" s="53">
        <v>1624.9025722678316</v>
      </c>
      <c r="J4" s="49" t="s">
        <v>190</v>
      </c>
      <c r="K4" s="50">
        <v>1.911764705882353</v>
      </c>
      <c r="L4" s="49" t="s">
        <v>192</v>
      </c>
      <c r="M4" s="51">
        <v>0.41666666666666669</v>
      </c>
      <c r="N4" s="49" t="s">
        <v>192</v>
      </c>
      <c r="O4" s="51">
        <v>0.22916666666666666</v>
      </c>
      <c r="P4" s="49" t="s">
        <v>126</v>
      </c>
      <c r="Q4" s="52">
        <v>0.32283464566929132</v>
      </c>
      <c r="R4" s="49" t="s">
        <v>192</v>
      </c>
      <c r="S4" s="52">
        <v>0.11352657004830918</v>
      </c>
      <c r="T4" s="49" t="s">
        <v>163</v>
      </c>
      <c r="U4" s="53">
        <v>9251.8292682926822</v>
      </c>
      <c r="V4" s="49" t="s">
        <v>211</v>
      </c>
      <c r="W4" s="53">
        <v>-6609.8039215686276</v>
      </c>
      <c r="X4" s="49" t="s">
        <v>221</v>
      </c>
      <c r="Y4" s="51">
        <v>0</v>
      </c>
      <c r="Z4" s="49" t="s">
        <v>190</v>
      </c>
      <c r="AA4" s="52">
        <v>0.26351351351351349</v>
      </c>
      <c r="AB4" s="49" t="s">
        <v>221</v>
      </c>
      <c r="AC4" s="52">
        <v>0.27777777777777779</v>
      </c>
      <c r="AD4" s="49" t="s">
        <v>201</v>
      </c>
      <c r="AE4" s="52">
        <v>0.66666666666666663</v>
      </c>
      <c r="AF4" s="49" t="s">
        <v>126</v>
      </c>
      <c r="AG4" s="52">
        <v>0.44680851063829785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70</v>
      </c>
      <c r="D5" s="47" t="s">
        <v>211</v>
      </c>
      <c r="E5" s="48">
        <v>143.19999999999999</v>
      </c>
      <c r="F5" s="49" t="s">
        <v>126</v>
      </c>
      <c r="G5" s="61">
        <v>2.0669811320754707</v>
      </c>
      <c r="H5" s="49" t="s">
        <v>139</v>
      </c>
      <c r="I5" s="53">
        <v>1608.2597754422795</v>
      </c>
      <c r="J5" s="49" t="s">
        <v>195</v>
      </c>
      <c r="K5" s="50">
        <v>1.9166666666666667</v>
      </c>
      <c r="L5" s="49" t="s">
        <v>211</v>
      </c>
      <c r="M5" s="51">
        <v>0.38636363636363635</v>
      </c>
      <c r="N5" s="49" t="s">
        <v>211</v>
      </c>
      <c r="O5" s="51">
        <v>0.31818181818181818</v>
      </c>
      <c r="P5" s="49" t="s">
        <v>211</v>
      </c>
      <c r="Q5" s="52">
        <v>0.30158730158730157</v>
      </c>
      <c r="R5" s="49" t="s">
        <v>211</v>
      </c>
      <c r="S5" s="52">
        <v>0.13492063492063491</v>
      </c>
      <c r="T5" s="49" t="s">
        <v>195</v>
      </c>
      <c r="U5" s="53">
        <v>8606.8965517241377</v>
      </c>
      <c r="V5" s="49" t="s">
        <v>126</v>
      </c>
      <c r="W5" s="53">
        <v>-7314.7435897435898</v>
      </c>
      <c r="X5" s="49" t="s">
        <v>259</v>
      </c>
      <c r="Y5" s="51">
        <v>0</v>
      </c>
      <c r="Z5" s="49" t="s">
        <v>189</v>
      </c>
      <c r="AA5" s="52">
        <v>0.26109660574412535</v>
      </c>
      <c r="AB5" s="49" t="s">
        <v>192</v>
      </c>
      <c r="AC5" s="52">
        <v>0.27294685990338163</v>
      </c>
      <c r="AD5" s="49" t="s">
        <v>259</v>
      </c>
      <c r="AE5" s="52">
        <v>0.66666666666666663</v>
      </c>
      <c r="AF5" s="49" t="s">
        <v>193</v>
      </c>
      <c r="AG5" s="52">
        <v>0.41666666666666669</v>
      </c>
      <c r="AH5" s="49" t="s">
        <v>195</v>
      </c>
      <c r="AI5" s="52">
        <v>0.55172413793103448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48</v>
      </c>
      <c r="D6" s="47" t="s">
        <v>190</v>
      </c>
      <c r="E6" s="48">
        <v>59.89999999999997</v>
      </c>
      <c r="F6" s="49" t="s">
        <v>190</v>
      </c>
      <c r="G6" s="61">
        <v>1.761764705882352</v>
      </c>
      <c r="H6" s="49" t="s">
        <v>192</v>
      </c>
      <c r="I6" s="53">
        <v>1580.3102788159663</v>
      </c>
      <c r="J6" s="49" t="s">
        <v>211</v>
      </c>
      <c r="K6" s="50">
        <v>1.9318181818181819</v>
      </c>
      <c r="L6" s="49" t="s">
        <v>189</v>
      </c>
      <c r="M6" s="51">
        <v>0.34883720930232559</v>
      </c>
      <c r="N6" s="49" t="s">
        <v>139</v>
      </c>
      <c r="O6" s="51">
        <v>0.33333333333333331</v>
      </c>
      <c r="P6" s="49" t="s">
        <v>139</v>
      </c>
      <c r="Q6" s="52">
        <v>0.29304685168606387</v>
      </c>
      <c r="R6" s="49" t="s">
        <v>139</v>
      </c>
      <c r="S6" s="52">
        <v>0.16114592658907789</v>
      </c>
      <c r="T6" s="49" t="s">
        <v>126</v>
      </c>
      <c r="U6" s="53">
        <v>8179.4425087108011</v>
      </c>
      <c r="V6" s="49" t="s">
        <v>201</v>
      </c>
      <c r="W6" s="53">
        <v>-7370</v>
      </c>
      <c r="X6" s="49" t="s">
        <v>211</v>
      </c>
      <c r="Y6" s="51">
        <v>4.5454545454545456E-2</v>
      </c>
      <c r="Z6" s="49" t="s">
        <v>126</v>
      </c>
      <c r="AA6" s="52">
        <v>0.24971878515185603</v>
      </c>
      <c r="AB6" s="49" t="s">
        <v>139</v>
      </c>
      <c r="AC6" s="52">
        <v>0.22649955237242614</v>
      </c>
      <c r="AD6" s="49" t="s">
        <v>211</v>
      </c>
      <c r="AE6" s="52">
        <v>0.58750000000000002</v>
      </c>
      <c r="AF6" s="49" t="s">
        <v>192</v>
      </c>
      <c r="AG6" s="52">
        <v>0.41592920353982299</v>
      </c>
      <c r="AH6" s="49" t="s">
        <v>259</v>
      </c>
      <c r="AI6" s="52">
        <v>0.5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44</v>
      </c>
      <c r="D7" s="47" t="s">
        <v>139</v>
      </c>
      <c r="E7" s="48">
        <v>4.6185277824406512E-14</v>
      </c>
      <c r="F7" s="49" t="s">
        <v>139</v>
      </c>
      <c r="G7" s="61">
        <v>1.1842378929335003E-16</v>
      </c>
      <c r="H7" s="49" t="s">
        <v>190</v>
      </c>
      <c r="I7" s="53">
        <v>1552.0582707777592</v>
      </c>
      <c r="J7" s="49" t="s">
        <v>139</v>
      </c>
      <c r="K7" s="50">
        <v>1.9974358974358974</v>
      </c>
      <c r="L7" s="49" t="s">
        <v>126</v>
      </c>
      <c r="M7" s="51">
        <v>0.33962264150943394</v>
      </c>
      <c r="N7" s="49" t="s">
        <v>126</v>
      </c>
      <c r="O7" s="51">
        <v>0.33962264150943394</v>
      </c>
      <c r="P7" s="49" t="s">
        <v>189</v>
      </c>
      <c r="Q7" s="52">
        <v>0.28720626631853785</v>
      </c>
      <c r="R7" s="49" t="s">
        <v>195</v>
      </c>
      <c r="S7" s="52">
        <v>0.1650485436893204</v>
      </c>
      <c r="T7" s="49" t="s">
        <v>139</v>
      </c>
      <c r="U7" s="53">
        <v>8087.7800407331979</v>
      </c>
      <c r="V7" s="49" t="s">
        <v>139</v>
      </c>
      <c r="W7" s="53">
        <v>-7627.0370370370374</v>
      </c>
      <c r="X7" s="49" t="s">
        <v>190</v>
      </c>
      <c r="Y7" s="51">
        <v>5.8823529411764705E-2</v>
      </c>
      <c r="Z7" s="49" t="s">
        <v>139</v>
      </c>
      <c r="AA7" s="52">
        <v>0.24410623694419575</v>
      </c>
      <c r="AB7" s="49" t="s">
        <v>163</v>
      </c>
      <c r="AC7" s="52">
        <v>0.22601626016260162</v>
      </c>
      <c r="AD7" s="49" t="s">
        <v>126</v>
      </c>
      <c r="AE7" s="52">
        <v>0.57657657657657657</v>
      </c>
      <c r="AF7" s="49" t="s">
        <v>189</v>
      </c>
      <c r="AG7" s="52">
        <v>0.40869565217391307</v>
      </c>
      <c r="AH7" s="49" t="s">
        <v>126</v>
      </c>
      <c r="AI7" s="52">
        <v>0.47386759581881532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43</v>
      </c>
      <c r="D8" s="47" t="s">
        <v>221</v>
      </c>
      <c r="E8" s="48">
        <v>-13.5</v>
      </c>
      <c r="F8" s="49" t="s">
        <v>163</v>
      </c>
      <c r="G8" s="61">
        <v>-1.9257142857142855</v>
      </c>
      <c r="H8" s="49" t="s">
        <v>211</v>
      </c>
      <c r="I8" s="53">
        <v>1531.1784483849297</v>
      </c>
      <c r="J8" s="49" t="s">
        <v>126</v>
      </c>
      <c r="K8" s="50">
        <v>2</v>
      </c>
      <c r="L8" s="49" t="s">
        <v>139</v>
      </c>
      <c r="M8" s="51">
        <v>0.33589743589743587</v>
      </c>
      <c r="N8" s="49" t="s">
        <v>163</v>
      </c>
      <c r="O8" s="51">
        <v>0.34285714285714286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7982.0512820512822</v>
      </c>
      <c r="V8" s="49" t="s">
        <v>195</v>
      </c>
      <c r="W8" s="53">
        <v>-7629.411764705882</v>
      </c>
      <c r="X8" s="49" t="s">
        <v>126</v>
      </c>
      <c r="Y8" s="51">
        <v>7.5471698113207544E-2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0.52380952380952384</v>
      </c>
      <c r="AF8" s="49" t="s">
        <v>139</v>
      </c>
      <c r="AG8" s="52">
        <v>0.40579710144927539</v>
      </c>
      <c r="AH8" s="49" t="s">
        <v>189</v>
      </c>
      <c r="AI8" s="52">
        <v>0.47272727272727272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34</v>
      </c>
      <c r="D9" s="47" t="s">
        <v>195</v>
      </c>
      <c r="E9" s="48">
        <v>-39.5</v>
      </c>
      <c r="F9" s="49" t="s">
        <v>189</v>
      </c>
      <c r="G9" s="61">
        <v>-2.5604651162790697</v>
      </c>
      <c r="H9" s="49" t="s">
        <v>221</v>
      </c>
      <c r="I9" s="53">
        <v>1497.379788</v>
      </c>
      <c r="J9" s="49" t="s">
        <v>163</v>
      </c>
      <c r="K9" s="50">
        <v>2.0285714285714285</v>
      </c>
      <c r="L9" s="49" t="s">
        <v>163</v>
      </c>
      <c r="M9" s="51">
        <v>0.31428571428571428</v>
      </c>
      <c r="N9" s="49" t="s">
        <v>189</v>
      </c>
      <c r="O9" s="51">
        <v>0.39534883720930231</v>
      </c>
      <c r="P9" s="49" t="s">
        <v>163</v>
      </c>
      <c r="Q9" s="52">
        <v>0.26666666666666666</v>
      </c>
      <c r="R9" s="49" t="s">
        <v>189</v>
      </c>
      <c r="S9" s="52">
        <v>0.16971279373368145</v>
      </c>
      <c r="T9" s="49" t="s">
        <v>211</v>
      </c>
      <c r="U9" s="53">
        <v>7921.9298245614036</v>
      </c>
      <c r="V9" s="49" t="s">
        <v>192</v>
      </c>
      <c r="W9" s="53">
        <v>-7774.4680851063831</v>
      </c>
      <c r="X9" s="49" t="s">
        <v>192</v>
      </c>
      <c r="Y9" s="51">
        <v>8.3333333333333329E-2</v>
      </c>
      <c r="Z9" s="49" t="s">
        <v>216</v>
      </c>
      <c r="AA9" s="52">
        <v>0.22857142857142856</v>
      </c>
      <c r="AB9" s="49" t="s">
        <v>201</v>
      </c>
      <c r="AC9" s="52">
        <v>0.22222222222222221</v>
      </c>
      <c r="AD9" s="49" t="s">
        <v>139</v>
      </c>
      <c r="AE9" s="52">
        <v>0.51955990220048898</v>
      </c>
      <c r="AF9" s="49" t="s">
        <v>221</v>
      </c>
      <c r="AG9" s="52">
        <v>0.4</v>
      </c>
      <c r="AH9" s="49" t="s">
        <v>163</v>
      </c>
      <c r="AI9" s="52">
        <v>0.45121951219512196</v>
      </c>
      <c r="AJ9" s="49" t="s">
        <v>190</v>
      </c>
      <c r="AK9" s="56">
        <v>85000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259</v>
      </c>
      <c r="E10" s="48">
        <v>-50</v>
      </c>
      <c r="F10" s="49" t="s">
        <v>195</v>
      </c>
      <c r="G10" s="61">
        <v>-3.2916666666666665</v>
      </c>
      <c r="H10" s="49" t="s">
        <v>259</v>
      </c>
      <c r="I10" s="53">
        <v>1493.0891304000002</v>
      </c>
      <c r="J10" s="49" t="s">
        <v>189</v>
      </c>
      <c r="K10" s="50">
        <v>2.0465116279069768</v>
      </c>
      <c r="L10" s="49" t="s">
        <v>190</v>
      </c>
      <c r="M10" s="51">
        <v>0.29411764705882354</v>
      </c>
      <c r="N10" s="49" t="s">
        <v>195</v>
      </c>
      <c r="O10" s="51">
        <v>0.41666666666666669</v>
      </c>
      <c r="P10" s="49" t="s">
        <v>190</v>
      </c>
      <c r="Q10" s="52">
        <v>0.26351351351351349</v>
      </c>
      <c r="R10" s="49" t="s">
        <v>126</v>
      </c>
      <c r="S10" s="52">
        <v>0.17547806524184478</v>
      </c>
      <c r="T10" s="49" t="s">
        <v>193</v>
      </c>
      <c r="U10" s="53">
        <v>7866.666666666667</v>
      </c>
      <c r="V10" s="49" t="s">
        <v>216</v>
      </c>
      <c r="W10" s="53">
        <v>-7886.2068965517237</v>
      </c>
      <c r="X10" s="49" t="s">
        <v>139</v>
      </c>
      <c r="Y10" s="51">
        <v>8.9743589743589744E-2</v>
      </c>
      <c r="Z10" s="49" t="s">
        <v>195</v>
      </c>
      <c r="AA10" s="52">
        <v>0.22330097087378642</v>
      </c>
      <c r="AB10" s="49" t="s">
        <v>126</v>
      </c>
      <c r="AC10" s="52">
        <v>0.21147356580427445</v>
      </c>
      <c r="AD10" s="49" t="s">
        <v>190</v>
      </c>
      <c r="AE10" s="52">
        <v>0.51282051282051277</v>
      </c>
      <c r="AF10" s="49" t="s">
        <v>190</v>
      </c>
      <c r="AG10" s="52">
        <v>0.37931034482758619</v>
      </c>
      <c r="AH10" s="49" t="s">
        <v>139</v>
      </c>
      <c r="AI10" s="52">
        <v>0.44297352342158858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201</v>
      </c>
      <c r="Q11" s="52">
        <v>0.25</v>
      </c>
      <c r="R11" s="49" t="s">
        <v>163</v>
      </c>
      <c r="S11" s="52">
        <v>0.19186991869918699</v>
      </c>
      <c r="T11" s="49" t="s">
        <v>189</v>
      </c>
      <c r="U11" s="53">
        <v>7535.454545454545</v>
      </c>
      <c r="V11" s="49" t="s">
        <v>163</v>
      </c>
      <c r="W11" s="53">
        <v>-7953.3898305084749</v>
      </c>
      <c r="X11" s="49" t="s">
        <v>189</v>
      </c>
      <c r="Y11" s="51">
        <v>9.3023255813953487E-2</v>
      </c>
      <c r="Z11" s="49" t="s">
        <v>221</v>
      </c>
      <c r="AA11" s="52">
        <v>0.22222222222222221</v>
      </c>
      <c r="AB11" s="49" t="s">
        <v>211</v>
      </c>
      <c r="AC11" s="52">
        <v>0.20899470899470898</v>
      </c>
      <c r="AD11" s="49" t="s">
        <v>163</v>
      </c>
      <c r="AE11" s="52">
        <v>0.47126436781609193</v>
      </c>
      <c r="AF11" s="49" t="s">
        <v>195</v>
      </c>
      <c r="AG11" s="52">
        <v>0.35714285714285715</v>
      </c>
      <c r="AH11" s="49" t="s">
        <v>216</v>
      </c>
      <c r="AI11" s="52">
        <v>0.43333333333333335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216</v>
      </c>
      <c r="G12" s="61">
        <v>-10.016666666666667</v>
      </c>
      <c r="H12" s="49" t="s">
        <v>216</v>
      </c>
      <c r="I12" s="53">
        <v>1475.2783888604056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192</v>
      </c>
      <c r="U12" s="53">
        <v>7306.4748201438852</v>
      </c>
      <c r="V12" s="49" t="s">
        <v>189</v>
      </c>
      <c r="W12" s="53">
        <v>-8520</v>
      </c>
      <c r="X12" s="49" t="s">
        <v>216</v>
      </c>
      <c r="Y12" s="51">
        <v>0.1111111111111111</v>
      </c>
      <c r="Z12" s="49" t="s">
        <v>211</v>
      </c>
      <c r="AA12" s="52">
        <v>0.21164021164021163</v>
      </c>
      <c r="AB12" s="49" t="s">
        <v>190</v>
      </c>
      <c r="AC12" s="52">
        <v>0.19594594594594594</v>
      </c>
      <c r="AD12" s="49" t="s">
        <v>216</v>
      </c>
      <c r="AE12" s="52">
        <v>0.4375</v>
      </c>
      <c r="AF12" s="49" t="s">
        <v>163</v>
      </c>
      <c r="AG12" s="52">
        <v>0.33812949640287771</v>
      </c>
      <c r="AH12" s="49" t="s">
        <v>211</v>
      </c>
      <c r="AI12" s="52">
        <v>0.42982456140350878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189</v>
      </c>
      <c r="E13" s="48">
        <v>-110.1</v>
      </c>
      <c r="F13" s="49" t="s">
        <v>193</v>
      </c>
      <c r="G13" s="61">
        <v>-13.033333333333331</v>
      </c>
      <c r="H13" s="49" t="s">
        <v>189</v>
      </c>
      <c r="I13" s="53">
        <v>1448.7493412538377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193</v>
      </c>
      <c r="Q13" s="52">
        <v>0.22222222222222221</v>
      </c>
      <c r="R13" s="49" t="s">
        <v>216</v>
      </c>
      <c r="S13" s="52">
        <v>0.20714285714285716</v>
      </c>
      <c r="T13" s="49" t="s">
        <v>259</v>
      </c>
      <c r="U13" s="53">
        <v>7216.666666666667</v>
      </c>
      <c r="V13" s="49" t="s">
        <v>193</v>
      </c>
      <c r="W13" s="53">
        <v>-8875</v>
      </c>
      <c r="X13" s="49" t="s">
        <v>163</v>
      </c>
      <c r="Y13" s="51">
        <v>0.14285714285714285</v>
      </c>
      <c r="Z13" s="49" t="s">
        <v>192</v>
      </c>
      <c r="AA13" s="52">
        <v>0.20289855072463769</v>
      </c>
      <c r="AB13" s="49" t="s">
        <v>216</v>
      </c>
      <c r="AC13" s="52">
        <v>0.17142857142857143</v>
      </c>
      <c r="AD13" s="49" t="s">
        <v>189</v>
      </c>
      <c r="AE13" s="52">
        <v>0.43</v>
      </c>
      <c r="AF13" s="49" t="s">
        <v>216</v>
      </c>
      <c r="AG13" s="52">
        <v>0.29166666666666669</v>
      </c>
      <c r="AH13" s="49" t="s">
        <v>192</v>
      </c>
      <c r="AI13" s="52">
        <v>0.39568345323741005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-134.79999999999998</v>
      </c>
      <c r="F14" s="49" t="s">
        <v>259</v>
      </c>
      <c r="G14" s="61">
        <v>-16.666666666666668</v>
      </c>
      <c r="H14" s="49" t="s">
        <v>195</v>
      </c>
      <c r="I14" s="53">
        <v>1396.3170423346389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216</v>
      </c>
      <c r="U14" s="53">
        <v>7183.333333333333</v>
      </c>
      <c r="V14" s="49" t="s">
        <v>259</v>
      </c>
      <c r="W14" s="53">
        <v>-9420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0.32051282051282054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216</v>
      </c>
      <c r="E15" s="48">
        <v>-180.3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216</v>
      </c>
      <c r="Q15" s="52">
        <v>0.21428571428571427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0.13592233009708737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9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390</v>
      </c>
      <c r="C2" s="142"/>
      <c r="E2" s="26" t="s">
        <v>66</v>
      </c>
      <c r="F2" s="23" t="s">
        <v>22</v>
      </c>
      <c r="G2" s="11">
        <v>764</v>
      </c>
      <c r="H2" s="87">
        <f>IF(B$20=0,0,G2/B$20)</f>
        <v>0.77800407331975563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-38.46153846153846</v>
      </c>
      <c r="Q2" s="76">
        <v>390</v>
      </c>
      <c r="R2" s="63">
        <v>-15000</v>
      </c>
    </row>
    <row r="3" spans="1:18" x14ac:dyDescent="0.4">
      <c r="A3" s="19" t="s">
        <v>8</v>
      </c>
      <c r="B3" s="143">
        <v>3351</v>
      </c>
      <c r="C3" s="144"/>
      <c r="E3" s="27" t="s">
        <v>72</v>
      </c>
      <c r="F3" s="24" t="s">
        <v>27</v>
      </c>
      <c r="G3" s="12">
        <v>590</v>
      </c>
      <c r="H3" s="88">
        <f>IF(B$20=0,0,G3/B$20)</f>
        <v>0.60081466395112015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18.372703412073491</v>
      </c>
      <c r="Q3" s="77">
        <v>381</v>
      </c>
      <c r="R3" s="64">
        <v>7000</v>
      </c>
    </row>
    <row r="4" spans="1:18" x14ac:dyDescent="0.4">
      <c r="A4" s="19" t="s">
        <v>6</v>
      </c>
      <c r="B4" s="145">
        <v>4.6185277824406512E-14</v>
      </c>
      <c r="C4" s="146"/>
      <c r="E4" s="27" t="s">
        <v>64</v>
      </c>
      <c r="F4" s="24" t="s">
        <v>20</v>
      </c>
      <c r="G4" s="12">
        <v>410</v>
      </c>
      <c r="H4" s="88">
        <f>IF(B$20=0,0,G4/B$20)</f>
        <v>0.41751527494908353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381</v>
      </c>
      <c r="R4" s="64">
        <v>0</v>
      </c>
    </row>
    <row r="5" spans="1:18" x14ac:dyDescent="0.4">
      <c r="A5" s="19" t="s">
        <v>7</v>
      </c>
      <c r="B5" s="133">
        <f>IF(B$2=0,0,B$4/B$2)</f>
        <v>1.1842378929335003E-16</v>
      </c>
      <c r="C5" s="134"/>
      <c r="E5" s="27" t="s">
        <v>159</v>
      </c>
      <c r="F5" s="24" t="s">
        <v>160</v>
      </c>
      <c r="G5" s="12">
        <v>396</v>
      </c>
      <c r="H5" s="88">
        <f>IF(B$20=0,0,G5/B$20)</f>
        <v>0.40325865580448067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-2.7777777777777777</v>
      </c>
      <c r="Q5" s="77">
        <v>360</v>
      </c>
      <c r="R5" s="64">
        <v>-1000</v>
      </c>
    </row>
    <row r="6" spans="1:18" x14ac:dyDescent="0.4">
      <c r="A6" s="19" t="s">
        <v>196</v>
      </c>
      <c r="B6" s="137">
        <v>1608.2597754422795</v>
      </c>
      <c r="C6" s="138"/>
      <c r="E6" s="27" t="s">
        <v>68</v>
      </c>
      <c r="F6" s="24" t="s">
        <v>12</v>
      </c>
      <c r="G6" s="12">
        <v>297</v>
      </c>
      <c r="H6" s="88">
        <f>IF(B$20=0,0,G6/B$20)</f>
        <v>0.30244399185336052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12.121212121212121</v>
      </c>
      <c r="Q6" s="77">
        <v>330</v>
      </c>
      <c r="R6" s="64">
        <v>4000</v>
      </c>
    </row>
    <row r="7" spans="1:18" x14ac:dyDescent="0.4">
      <c r="A7" s="19" t="s">
        <v>1</v>
      </c>
      <c r="B7" s="147">
        <f>IF(B$2=0,0,(B$8*1+B$9*2+B$10*3)/B$2)</f>
        <v>1.9974358974358974</v>
      </c>
      <c r="C7" s="148"/>
      <c r="E7" s="27" t="s">
        <v>67</v>
      </c>
      <c r="F7" s="24" t="s">
        <v>23</v>
      </c>
      <c r="G7" s="12">
        <v>210</v>
      </c>
      <c r="H7" s="88">
        <f>IF(B$20=0,0,G7/B$20)</f>
        <v>0.21384928716904278</v>
      </c>
      <c r="I7" s="58">
        <v>9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17.543859649122808</v>
      </c>
      <c r="Q7" s="78">
        <v>285</v>
      </c>
      <c r="R7" s="65">
        <v>5000</v>
      </c>
    </row>
    <row r="8" spans="1:18" x14ac:dyDescent="0.4">
      <c r="A8" s="19" t="s">
        <v>2</v>
      </c>
      <c r="B8" s="12">
        <v>131</v>
      </c>
      <c r="C8" s="6">
        <f t="shared" ref="C8:C15" si="1">IF(B$2=0,0,B8/B$2)</f>
        <v>0.33589743589743587</v>
      </c>
      <c r="E8" s="27" t="s">
        <v>69</v>
      </c>
      <c r="F8" s="24" t="s">
        <v>24</v>
      </c>
      <c r="G8" s="12">
        <v>131</v>
      </c>
      <c r="H8" s="88">
        <f>IF(B$20=0,0,G8/B$20)</f>
        <v>0.13340122199592669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129</v>
      </c>
      <c r="C9" s="6">
        <f t="shared" si="1"/>
        <v>0.33076923076923076</v>
      </c>
      <c r="E9" s="27" t="s">
        <v>89</v>
      </c>
      <c r="F9" s="24" t="s">
        <v>44</v>
      </c>
      <c r="G9" s="12">
        <v>130</v>
      </c>
      <c r="H9" s="88">
        <f>IF(B$20=0,0,G9/B$20)</f>
        <v>0.13238289205702647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130</v>
      </c>
      <c r="C10" s="7">
        <f t="shared" si="1"/>
        <v>0.33333333333333331</v>
      </c>
      <c r="E10" s="27" t="s">
        <v>70</v>
      </c>
      <c r="F10" s="24" t="s">
        <v>25</v>
      </c>
      <c r="G10" s="12">
        <v>99</v>
      </c>
      <c r="H10" s="88">
        <f>IF(B$20=0,0,G10/B$20)</f>
        <v>0.10081466395112017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2.8392307692307694</v>
      </c>
      <c r="Q10" s="76">
        <v>130</v>
      </c>
      <c r="R10" s="67">
        <v>369.1</v>
      </c>
    </row>
    <row r="11" spans="1:18" x14ac:dyDescent="0.4">
      <c r="A11" s="20" t="s">
        <v>184</v>
      </c>
      <c r="B11" s="109">
        <f>IF(B8=0,0,C11/B8)</f>
        <v>34.524427480916017</v>
      </c>
      <c r="C11" s="110">
        <v>4522.699999999998</v>
      </c>
      <c r="E11" s="27" t="s">
        <v>65</v>
      </c>
      <c r="F11" s="24" t="s">
        <v>21</v>
      </c>
      <c r="G11" s="12">
        <v>91</v>
      </c>
      <c r="H11" s="88">
        <f>IF(B$20=0,0,G11/B$20)</f>
        <v>9.2668024439918534E-2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-2.8161538461538451</v>
      </c>
      <c r="Q11" s="77">
        <v>130</v>
      </c>
      <c r="R11" s="68">
        <v>-366.09999999999985</v>
      </c>
    </row>
    <row r="12" spans="1:18" x14ac:dyDescent="0.4">
      <c r="A12" s="20" t="s">
        <v>185</v>
      </c>
      <c r="B12" s="109">
        <f>IF(B9=0,0,C12/B9)</f>
        <v>-0.75503875968992251</v>
      </c>
      <c r="C12" s="110">
        <v>-97.4</v>
      </c>
      <c r="E12" s="27" t="s">
        <v>71</v>
      </c>
      <c r="F12" s="24" t="s">
        <v>26</v>
      </c>
      <c r="G12" s="12">
        <v>61</v>
      </c>
      <c r="H12" s="88">
        <f>IF(B$20=0,0,G12/B$20)</f>
        <v>6.2118126272912425E-2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-2.307692307692286E-2</v>
      </c>
      <c r="Q12" s="78">
        <v>130</v>
      </c>
      <c r="R12" s="69">
        <v>-2.9999999999999716</v>
      </c>
    </row>
    <row r="13" spans="1:18" x14ac:dyDescent="0.4">
      <c r="A13" s="20" t="s">
        <v>186</v>
      </c>
      <c r="B13" s="109">
        <f>IF(B10=0,0,C13/B10)</f>
        <v>-34.040769230769229</v>
      </c>
      <c r="C13" s="110">
        <v>-4425.2999999999993</v>
      </c>
      <c r="E13" s="27" t="s">
        <v>86</v>
      </c>
      <c r="F13" s="24" t="s">
        <v>41</v>
      </c>
      <c r="G13" s="12">
        <v>51</v>
      </c>
      <c r="H13" s="88">
        <f>IF(B$20=0,0,G13/B$20)</f>
        <v>5.1934826883910386E-2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-9.046016984771181E-2</v>
      </c>
      <c r="C14" s="134"/>
      <c r="E14" s="27" t="s">
        <v>83</v>
      </c>
      <c r="F14" s="24" t="s">
        <v>38</v>
      </c>
      <c r="G14" s="12">
        <v>42</v>
      </c>
      <c r="H14" s="88">
        <f>IF(B$20=0,0,G14/B$20)</f>
        <v>4.2769857433808553E-2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35</v>
      </c>
      <c r="C15" s="9">
        <f t="shared" si="1"/>
        <v>8.9743589743589744E-2</v>
      </c>
      <c r="E15" s="27" t="s">
        <v>81</v>
      </c>
      <c r="F15" s="24" t="s">
        <v>36</v>
      </c>
      <c r="G15" s="12">
        <v>30</v>
      </c>
      <c r="H15" s="88">
        <f>IF(B$20=0,0,G15/B$20)</f>
        <v>3.0549898167006109E-2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818</v>
      </c>
      <c r="C16" s="10">
        <f>IF(B$3=0,0,B16/B$3)</f>
        <v>0.24410623694419575</v>
      </c>
      <c r="E16" s="27" t="s">
        <v>78</v>
      </c>
      <c r="F16" s="24" t="s">
        <v>33</v>
      </c>
      <c r="G16" s="12">
        <v>27</v>
      </c>
      <c r="H16" s="88">
        <f>IF(B$20=0,0,G16/B$20)</f>
        <v>2.7494908350305498E-2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759</v>
      </c>
      <c r="C17" s="6">
        <f>IF(B$3=0,0,B17/B$3)</f>
        <v>0.22649955237242614</v>
      </c>
      <c r="E17" s="27" t="s">
        <v>91</v>
      </c>
      <c r="F17" s="24" t="s">
        <v>46</v>
      </c>
      <c r="G17" s="12">
        <v>18</v>
      </c>
      <c r="H17" s="88">
        <f>IF(B$20=0,0,G17/B$20)</f>
        <v>1.8329938900203666E-2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425</v>
      </c>
      <c r="C18" s="5">
        <f>IF(B$16=0,0,B18/B$16)</f>
        <v>0.51955990220048898</v>
      </c>
      <c r="E18" s="27" t="s">
        <v>155</v>
      </c>
      <c r="F18" s="24" t="s">
        <v>156</v>
      </c>
      <c r="G18" s="12">
        <v>18</v>
      </c>
      <c r="H18" s="88">
        <f>IF(B$20=0,0,G18/B$20)</f>
        <v>1.8329938900203666E-2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15.025000000000002</v>
      </c>
      <c r="Q18" s="77">
        <v>36</v>
      </c>
      <c r="R18" s="68">
        <v>540.90000000000009</v>
      </c>
    </row>
    <row r="19" spans="1:18" x14ac:dyDescent="0.4">
      <c r="A19" s="18" t="s">
        <v>124</v>
      </c>
      <c r="B19" s="11">
        <f>B25</f>
        <v>308</v>
      </c>
      <c r="C19" s="5">
        <f>IF(B$17=0,0,B19/B$17)</f>
        <v>0.40579710144927539</v>
      </c>
      <c r="E19" s="27" t="s">
        <v>79</v>
      </c>
      <c r="F19" s="24" t="s">
        <v>34</v>
      </c>
      <c r="G19" s="12">
        <v>13</v>
      </c>
      <c r="H19" s="88">
        <f>IF(B$20=0,0,G19/B$20)</f>
        <v>1.3238289205702648E-2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982</v>
      </c>
      <c r="C20" s="5">
        <f>IF(B$3=0,0,B20/B$3)</f>
        <v>0.29304685168606387</v>
      </c>
      <c r="E20" s="27" t="s">
        <v>73</v>
      </c>
      <c r="F20" s="24" t="s">
        <v>28</v>
      </c>
      <c r="G20" s="12">
        <v>9</v>
      </c>
      <c r="H20" s="88">
        <f>IF(B$20=0,0,G20/B$20)</f>
        <v>9.1649694501018328E-3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4.9375000000000036</v>
      </c>
      <c r="Q20" s="77">
        <v>24</v>
      </c>
      <c r="R20" s="68">
        <v>118.50000000000009</v>
      </c>
    </row>
    <row r="21" spans="1:18" x14ac:dyDescent="0.4">
      <c r="A21" s="19" t="s">
        <v>13</v>
      </c>
      <c r="B21" s="12">
        <v>540</v>
      </c>
      <c r="C21" s="6">
        <f>IF(B$3=0,0,B21/B$3)</f>
        <v>0.16114592658907789</v>
      </c>
      <c r="E21" s="27" t="s">
        <v>75</v>
      </c>
      <c r="F21" s="24" t="s">
        <v>30</v>
      </c>
      <c r="G21" s="12">
        <v>4</v>
      </c>
      <c r="H21" s="88">
        <f>IF(B$20=0,0,G21/B$20)</f>
        <v>4.0733197556008143E-3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3.8406976744186054</v>
      </c>
      <c r="Q21" s="77">
        <v>86</v>
      </c>
      <c r="R21" s="68">
        <v>330.30000000000007</v>
      </c>
    </row>
    <row r="22" spans="1:18" x14ac:dyDescent="0.4">
      <c r="A22" s="19" t="s">
        <v>12</v>
      </c>
      <c r="B22" s="12">
        <v>435</v>
      </c>
      <c r="C22" s="6">
        <f>IF(B$20=0,0,B22/B$20)</f>
        <v>0.44297352342158858</v>
      </c>
      <c r="E22" s="27" t="s">
        <v>77</v>
      </c>
      <c r="F22" s="24" t="s">
        <v>32</v>
      </c>
      <c r="G22" s="12">
        <v>4</v>
      </c>
      <c r="H22" s="88">
        <f>IF(B$20=0,0,G22/B$20)</f>
        <v>4.0733197556008143E-3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2.8885714285714288</v>
      </c>
      <c r="Q22" s="77">
        <v>140</v>
      </c>
      <c r="R22" s="68">
        <v>404.40000000000003</v>
      </c>
    </row>
    <row r="23" spans="1:18" x14ac:dyDescent="0.4">
      <c r="A23" s="19" t="s">
        <v>11</v>
      </c>
      <c r="B23" s="12">
        <v>547</v>
      </c>
      <c r="C23" s="6">
        <f>IF(B$20=0,0,B23/B$20)</f>
        <v>0.55702647657841142</v>
      </c>
      <c r="E23" s="27" t="s">
        <v>88</v>
      </c>
      <c r="F23" s="24" t="s">
        <v>43</v>
      </c>
      <c r="G23" s="12">
        <v>4</v>
      </c>
      <c r="H23" s="88">
        <f>IF(B$20=0,0,G23/B$20)</f>
        <v>4.0733197556008143E-3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-2.6426470588235293</v>
      </c>
      <c r="Q23" s="77">
        <v>68</v>
      </c>
      <c r="R23" s="68">
        <v>-179.7</v>
      </c>
    </row>
    <row r="24" spans="1:18" x14ac:dyDescent="0.4">
      <c r="A24" s="19" t="s">
        <v>183</v>
      </c>
      <c r="B24" s="12">
        <v>425</v>
      </c>
      <c r="C24" s="6">
        <f>IF(B$20=0,0,B24/B$20)</f>
        <v>0.43279022403258655</v>
      </c>
      <c r="E24" s="27" t="s">
        <v>85</v>
      </c>
      <c r="F24" s="24" t="s">
        <v>40</v>
      </c>
      <c r="G24" s="12">
        <v>3</v>
      </c>
      <c r="H24" s="88">
        <f>IF(B$20=0,0,G24/B$20)</f>
        <v>3.0549898167006109E-3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-3.100471698113207</v>
      </c>
      <c r="Q24" s="77">
        <v>212</v>
      </c>
      <c r="R24" s="68">
        <v>-657.29999999999984</v>
      </c>
    </row>
    <row r="25" spans="1:18" x14ac:dyDescent="0.4">
      <c r="A25" s="19" t="s">
        <v>181</v>
      </c>
      <c r="B25" s="12">
        <v>308</v>
      </c>
      <c r="C25" s="6">
        <f>IF(B$20=0,0,B25/B$20)</f>
        <v>0.31364562118126271</v>
      </c>
      <c r="E25" s="27" t="s">
        <v>92</v>
      </c>
      <c r="F25" s="24" t="s">
        <v>47</v>
      </c>
      <c r="G25" s="12">
        <v>3</v>
      </c>
      <c r="H25" s="88">
        <f>IF(B$20=0,0,G25/B$20)</f>
        <v>3.0549898167006109E-3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-4.8818181818181818</v>
      </c>
      <c r="Q25" s="77">
        <v>88</v>
      </c>
      <c r="R25" s="68">
        <v>-429.6</v>
      </c>
    </row>
    <row r="26" spans="1:18" x14ac:dyDescent="0.4">
      <c r="A26" s="19" t="s">
        <v>182</v>
      </c>
      <c r="B26" s="12">
        <v>249</v>
      </c>
      <c r="C26" s="6">
        <f>IF(B$20=0,0,B26/B$20)</f>
        <v>0.25356415478615069</v>
      </c>
      <c r="E26" s="27" t="s">
        <v>93</v>
      </c>
      <c r="F26" s="24" t="s">
        <v>48</v>
      </c>
      <c r="G26" s="12">
        <v>2</v>
      </c>
      <c r="H26" s="88">
        <f>IF(B$20=0,0,G26/B$20)</f>
        <v>2.0366598778004071E-3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-8.1843750000000046</v>
      </c>
      <c r="Q26" s="77">
        <v>96</v>
      </c>
      <c r="R26" s="68">
        <v>-785.7000000000005</v>
      </c>
    </row>
    <row r="27" spans="1:18" x14ac:dyDescent="0.4">
      <c r="A27" s="19" t="s">
        <v>5</v>
      </c>
      <c r="B27" s="16">
        <f>IF(B$20=0,0,C27/B$20)</f>
        <v>8087.7800407331979</v>
      </c>
      <c r="C27" s="8">
        <v>7942200</v>
      </c>
      <c r="E27" s="27" t="s">
        <v>80</v>
      </c>
      <c r="F27" s="24" t="s">
        <v>35</v>
      </c>
      <c r="G27" s="12">
        <v>1</v>
      </c>
      <c r="H27" s="88">
        <f>IF(B$20=0,0,G27/B$20)</f>
        <v>1.0183299389002036E-3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8653.8575667655787</v>
      </c>
      <c r="C28" s="96">
        <v>5832700</v>
      </c>
      <c r="E28" s="27" t="s">
        <v>84</v>
      </c>
      <c r="F28" s="24" t="s">
        <v>39</v>
      </c>
      <c r="G28" s="12">
        <v>1</v>
      </c>
      <c r="H28" s="88">
        <f>IF(B$20=0,0,G28/B$20)</f>
        <v>1.0183299389002036E-3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6849.0259740259744</v>
      </c>
      <c r="C29" s="96">
        <v>2109500</v>
      </c>
      <c r="E29" s="27" t="s">
        <v>90</v>
      </c>
      <c r="F29" s="24" t="s">
        <v>45</v>
      </c>
      <c r="G29" s="12">
        <v>1</v>
      </c>
      <c r="H29" s="88">
        <f>IF(B$20=0,0,G29/B$20)</f>
        <v>1.0183299389002036E-3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-7627.0370370370374</v>
      </c>
      <c r="C30" s="96">
        <v>-4118600</v>
      </c>
      <c r="E30" s="27" t="s">
        <v>102</v>
      </c>
      <c r="F30" s="24" t="s">
        <v>57</v>
      </c>
      <c r="G30" s="12">
        <v>1</v>
      </c>
      <c r="H30" s="88">
        <f>IF(B$20=0,0,G30/B$20)</f>
        <v>1.0183299389002036E-3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1.0183299389002036E-3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0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2.0889286780065653E-3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74</v>
      </c>
      <c r="C37" s="98">
        <f t="shared" ref="C37:C49" si="2">IF(B$20=0,0,B37/B$20)</f>
        <v>7.5356415478615074E-2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185</v>
      </c>
      <c r="C38" s="6">
        <f t="shared" si="2"/>
        <v>0.18839103869653767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195</v>
      </c>
      <c r="C39" s="6">
        <f t="shared" si="2"/>
        <v>0.1985743380855397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191</v>
      </c>
      <c r="C40" s="6">
        <f t="shared" si="2"/>
        <v>0.19450101832993891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138</v>
      </c>
      <c r="C41" s="6">
        <f t="shared" si="2"/>
        <v>0.14052953156822812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90</v>
      </c>
      <c r="C42" s="6">
        <f t="shared" si="2"/>
        <v>9.1649694501018328E-2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41</v>
      </c>
      <c r="C43" s="6">
        <f t="shared" si="2"/>
        <v>4.1751527494908347E-2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30</v>
      </c>
      <c r="C44" s="6">
        <f t="shared" si="2"/>
        <v>3.0549898167006109E-2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16</v>
      </c>
      <c r="C45" s="6">
        <f t="shared" si="2"/>
        <v>1.6293279022403257E-2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1.1201629327902239E-2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2.0366598778004071E-3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1.0183299389002036E-3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8.1466395112016286E-3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0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106</v>
      </c>
      <c r="C2" s="142"/>
      <c r="E2" s="26" t="s">
        <v>66</v>
      </c>
      <c r="F2" s="23" t="s">
        <v>22</v>
      </c>
      <c r="G2" s="11">
        <v>218</v>
      </c>
      <c r="H2" s="87">
        <f>IF(B$20=0,0,G2/B$20)</f>
        <v>0.75958188153310102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918.86792452830184</v>
      </c>
      <c r="Q2" s="76">
        <v>106</v>
      </c>
      <c r="R2" s="63">
        <v>97400</v>
      </c>
    </row>
    <row r="3" spans="1:18" x14ac:dyDescent="0.4">
      <c r="A3" s="19" t="s">
        <v>8</v>
      </c>
      <c r="B3" s="143">
        <v>889</v>
      </c>
      <c r="C3" s="144"/>
      <c r="E3" s="27" t="s">
        <v>72</v>
      </c>
      <c r="F3" s="24" t="s">
        <v>27</v>
      </c>
      <c r="G3" s="12">
        <v>154</v>
      </c>
      <c r="H3" s="88">
        <f>IF(B$20=0,0,G3/B$20)</f>
        <v>0.53658536585365857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-672.81553398058247</v>
      </c>
      <c r="Q3" s="77">
        <v>103</v>
      </c>
      <c r="R3" s="64">
        <v>-69300</v>
      </c>
    </row>
    <row r="4" spans="1:18" x14ac:dyDescent="0.4">
      <c r="A4" s="19" t="s">
        <v>6</v>
      </c>
      <c r="B4" s="145">
        <v>219.09999999999991</v>
      </c>
      <c r="C4" s="146"/>
      <c r="E4" s="27" t="s">
        <v>64</v>
      </c>
      <c r="F4" s="24" t="s">
        <v>20</v>
      </c>
      <c r="G4" s="12">
        <v>119</v>
      </c>
      <c r="H4" s="88">
        <f>IF(B$20=0,0,G4/B$20)</f>
        <v>0.41463414634146339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-884.46601941747576</v>
      </c>
      <c r="Q4" s="77">
        <v>103</v>
      </c>
      <c r="R4" s="64">
        <v>-91100</v>
      </c>
    </row>
    <row r="5" spans="1:18" x14ac:dyDescent="0.4">
      <c r="A5" s="19" t="s">
        <v>7</v>
      </c>
      <c r="B5" s="133">
        <f>IF(B$2=0,0,B$4/B$2)</f>
        <v>2.0669811320754707</v>
      </c>
      <c r="C5" s="134"/>
      <c r="E5" s="27" t="s">
        <v>159</v>
      </c>
      <c r="F5" s="24" t="s">
        <v>160</v>
      </c>
      <c r="G5" s="12">
        <v>108</v>
      </c>
      <c r="H5" s="88">
        <f>IF(B$20=0,0,G5/B$20)</f>
        <v>0.37630662020905925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1274.4897959183672</v>
      </c>
      <c r="Q5" s="77">
        <v>98</v>
      </c>
      <c r="R5" s="64">
        <v>124900</v>
      </c>
    </row>
    <row r="6" spans="1:18" x14ac:dyDescent="0.4">
      <c r="A6" s="19" t="s">
        <v>196</v>
      </c>
      <c r="B6" s="137">
        <v>1770.325722839227</v>
      </c>
      <c r="C6" s="138"/>
      <c r="E6" s="27" t="s">
        <v>68</v>
      </c>
      <c r="F6" s="24" t="s">
        <v>12</v>
      </c>
      <c r="G6" s="12">
        <v>91</v>
      </c>
      <c r="H6" s="88">
        <f>IF(B$20=0,0,G6/B$20)</f>
        <v>0.31707317073170732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239.32584269662922</v>
      </c>
      <c r="Q6" s="77">
        <v>89</v>
      </c>
      <c r="R6" s="64">
        <v>21300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58</v>
      </c>
      <c r="H7" s="88">
        <f>IF(B$20=0,0,G7/B$20)</f>
        <v>0.20209059233449478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-42.857142857142854</v>
      </c>
      <c r="Q7" s="78">
        <v>77</v>
      </c>
      <c r="R7" s="65">
        <v>-3300</v>
      </c>
    </row>
    <row r="8" spans="1:18" x14ac:dyDescent="0.4">
      <c r="A8" s="19" t="s">
        <v>2</v>
      </c>
      <c r="B8" s="12">
        <v>36</v>
      </c>
      <c r="C8" s="6">
        <f t="shared" ref="C8:C15" si="1">IF(B$2=0,0,B8/B$2)</f>
        <v>0.33962264150943394</v>
      </c>
      <c r="E8" s="27" t="s">
        <v>69</v>
      </c>
      <c r="F8" s="24" t="s">
        <v>24</v>
      </c>
      <c r="G8" s="12">
        <v>48</v>
      </c>
      <c r="H8" s="88">
        <f>IF(B$20=0,0,G8/B$20)</f>
        <v>0.1672473867595819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34</v>
      </c>
      <c r="C9" s="6">
        <f t="shared" si="1"/>
        <v>0.32075471698113206</v>
      </c>
      <c r="E9" s="27" t="s">
        <v>70</v>
      </c>
      <c r="F9" s="24" t="s">
        <v>25</v>
      </c>
      <c r="G9" s="12">
        <v>38</v>
      </c>
      <c r="H9" s="88">
        <f>IF(B$20=0,0,G9/B$20)</f>
        <v>0.13240418118466898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36</v>
      </c>
      <c r="C10" s="7">
        <f t="shared" si="1"/>
        <v>0.33962264150943394</v>
      </c>
      <c r="E10" s="27" t="s">
        <v>89</v>
      </c>
      <c r="F10" s="24" t="s">
        <v>44</v>
      </c>
      <c r="G10" s="12">
        <v>36</v>
      </c>
      <c r="H10" s="88">
        <f>IF(B$20=0,0,G10/B$20)</f>
        <v>0.12543554006968641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8.6054054054054046</v>
      </c>
      <c r="Q10" s="76">
        <v>37</v>
      </c>
      <c r="R10" s="67">
        <v>318.39999999999998</v>
      </c>
    </row>
    <row r="11" spans="1:18" x14ac:dyDescent="0.4">
      <c r="A11" s="20" t="s">
        <v>184</v>
      </c>
      <c r="B11" s="109">
        <f>IF(B8=0,0,C11/B8)</f>
        <v>37.866666666666674</v>
      </c>
      <c r="C11" s="110">
        <v>1363.2000000000003</v>
      </c>
      <c r="E11" s="27" t="s">
        <v>65</v>
      </c>
      <c r="F11" s="24" t="s">
        <v>21</v>
      </c>
      <c r="G11" s="12">
        <v>26</v>
      </c>
      <c r="H11" s="88">
        <f>IF(B$20=0,0,G11/B$20)</f>
        <v>9.0592334494773524E-2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-4.6388888888888893</v>
      </c>
      <c r="Q11" s="77">
        <v>36</v>
      </c>
      <c r="R11" s="68">
        <v>-167</v>
      </c>
    </row>
    <row r="12" spans="1:18" x14ac:dyDescent="0.4">
      <c r="A12" s="20" t="s">
        <v>185</v>
      </c>
      <c r="B12" s="109">
        <f>IF(B9=0,0,C12/B9)</f>
        <v>-1.3852941176470586</v>
      </c>
      <c r="C12" s="110">
        <v>-47.099999999999994</v>
      </c>
      <c r="E12" s="27" t="s">
        <v>86</v>
      </c>
      <c r="F12" s="24" t="s">
        <v>41</v>
      </c>
      <c r="G12" s="12">
        <v>18</v>
      </c>
      <c r="H12" s="88">
        <f>IF(B$20=0,0,G12/B$20)</f>
        <v>6.2717770034843204E-2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2.0515151515151526</v>
      </c>
      <c r="Q12" s="78">
        <v>33</v>
      </c>
      <c r="R12" s="69">
        <v>67.700000000000031</v>
      </c>
    </row>
    <row r="13" spans="1:18" x14ac:dyDescent="0.4">
      <c r="A13" s="20" t="s">
        <v>186</v>
      </c>
      <c r="B13" s="109">
        <f>IF(B10=0,0,C13/B10)</f>
        <v>-30.472222222222229</v>
      </c>
      <c r="C13" s="110">
        <v>-1097.0000000000002</v>
      </c>
      <c r="E13" s="27" t="s">
        <v>71</v>
      </c>
      <c r="F13" s="24" t="s">
        <v>26</v>
      </c>
      <c r="G13" s="12">
        <v>13</v>
      </c>
      <c r="H13" s="88">
        <f>IF(B$20=0,0,G13/B$20)</f>
        <v>4.5296167247386762E-2</v>
      </c>
      <c r="I13" s="58">
        <v>9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2.003050108932463</v>
      </c>
      <c r="C14" s="134"/>
      <c r="E14" s="27" t="s">
        <v>83</v>
      </c>
      <c r="F14" s="24" t="s">
        <v>38</v>
      </c>
      <c r="G14" s="12">
        <v>13</v>
      </c>
      <c r="H14" s="88">
        <f>IF(B$20=0,0,G14/B$20)</f>
        <v>4.5296167247386762E-2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7.5471698113207544E-2</v>
      </c>
      <c r="E15" s="27" t="s">
        <v>155</v>
      </c>
      <c r="F15" s="24" t="s">
        <v>156</v>
      </c>
      <c r="G15" s="12">
        <v>12</v>
      </c>
      <c r="H15" s="88">
        <f>IF(B$20=0,0,G15/B$20)</f>
        <v>4.1811846689895474E-2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222</v>
      </c>
      <c r="C16" s="10">
        <f>IF(B$3=0,0,B16/B$3)</f>
        <v>0.24971878515185603</v>
      </c>
      <c r="E16" s="27" t="s">
        <v>91</v>
      </c>
      <c r="F16" s="24" t="s">
        <v>46</v>
      </c>
      <c r="G16" s="12">
        <v>8</v>
      </c>
      <c r="H16" s="88">
        <f>IF(B$20=0,0,G16/B$20)</f>
        <v>2.7874564459930314E-2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188</v>
      </c>
      <c r="C17" s="6">
        <f>IF(B$3=0,0,B17/B$3)</f>
        <v>0.21147356580427445</v>
      </c>
      <c r="E17" s="27" t="s">
        <v>78</v>
      </c>
      <c r="F17" s="24" t="s">
        <v>33</v>
      </c>
      <c r="G17" s="12">
        <v>7</v>
      </c>
      <c r="H17" s="88">
        <f>IF(B$20=0,0,G17/B$20)</f>
        <v>2.4390243902439025E-2</v>
      </c>
      <c r="I17" s="58">
        <v>8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128</v>
      </c>
      <c r="C18" s="5">
        <f>IF(B$16=0,0,B18/B$16)</f>
        <v>0.57657657657657657</v>
      </c>
      <c r="E18" s="27" t="s">
        <v>81</v>
      </c>
      <c r="F18" s="24" t="s">
        <v>36</v>
      </c>
      <c r="G18" s="12">
        <v>5</v>
      </c>
      <c r="H18" s="88">
        <f>IF(B$20=0,0,G18/B$20)</f>
        <v>1.7421602787456445E-2</v>
      </c>
      <c r="I18" s="58">
        <v>12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">
      <c r="A19" s="18" t="s">
        <v>124</v>
      </c>
      <c r="B19" s="11">
        <f>B25</f>
        <v>84</v>
      </c>
      <c r="C19" s="5">
        <f>IF(B$17=0,0,B19/B$17)</f>
        <v>0.44680851063829785</v>
      </c>
      <c r="E19" s="27" t="s">
        <v>79</v>
      </c>
      <c r="F19" s="24" t="s">
        <v>34</v>
      </c>
      <c r="G19" s="12">
        <v>4</v>
      </c>
      <c r="H19" s="88">
        <f>IF(B$20=0,0,G19/B$20)</f>
        <v>1.3937282229965157E-2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5.5362068965517253</v>
      </c>
      <c r="Q19" s="77">
        <v>58</v>
      </c>
      <c r="R19" s="68">
        <v>321.10000000000008</v>
      </c>
    </row>
    <row r="20" spans="1:18" x14ac:dyDescent="0.4">
      <c r="A20" s="18" t="s">
        <v>10</v>
      </c>
      <c r="B20" s="11">
        <f>B23+B22</f>
        <v>287</v>
      </c>
      <c r="C20" s="5">
        <f>IF(B$3=0,0,B20/B$3)</f>
        <v>0.32283464566929132</v>
      </c>
      <c r="E20" s="27" t="s">
        <v>73</v>
      </c>
      <c r="F20" s="24" t="s">
        <v>28</v>
      </c>
      <c r="G20" s="12">
        <v>3</v>
      </c>
      <c r="H20" s="88">
        <f>IF(B$20=0,0,G20/B$20)</f>
        <v>1.0452961672473868E-2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1.813513513513513</v>
      </c>
      <c r="Q20" s="77">
        <v>37</v>
      </c>
      <c r="R20" s="68">
        <v>67.09999999999998</v>
      </c>
    </row>
    <row r="21" spans="1:18" x14ac:dyDescent="0.4">
      <c r="A21" s="19" t="s">
        <v>13</v>
      </c>
      <c r="B21" s="12">
        <v>156</v>
      </c>
      <c r="C21" s="6">
        <f>IF(B$3=0,0,B21/B$3)</f>
        <v>0.17547806524184478</v>
      </c>
      <c r="E21" s="27" t="s">
        <v>75</v>
      </c>
      <c r="F21" s="24" t="s">
        <v>30</v>
      </c>
      <c r="G21" s="12">
        <v>2</v>
      </c>
      <c r="H21" s="88">
        <f>IF(B$20=0,0,G21/B$20)</f>
        <v>6.9686411149825784E-3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1.7208333333333332</v>
      </c>
      <c r="Q21" s="77">
        <v>24</v>
      </c>
      <c r="R21" s="68">
        <v>41.3</v>
      </c>
    </row>
    <row r="22" spans="1:18" x14ac:dyDescent="0.4">
      <c r="A22" s="19" t="s">
        <v>12</v>
      </c>
      <c r="B22" s="12">
        <v>136</v>
      </c>
      <c r="C22" s="6">
        <f>IF(B$20=0,0,B22/B$20)</f>
        <v>0.47386759581881532</v>
      </c>
      <c r="E22" s="27" t="s">
        <v>80</v>
      </c>
      <c r="F22" s="24" t="s">
        <v>35</v>
      </c>
      <c r="G22" s="12">
        <v>1</v>
      </c>
      <c r="H22" s="88">
        <f>IF(B$20=0,0,G22/B$20)</f>
        <v>3.4843205574912892E-3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-0.33928571428571352</v>
      </c>
      <c r="Q22" s="77">
        <v>28</v>
      </c>
      <c r="R22" s="68">
        <v>-9.4999999999999787</v>
      </c>
    </row>
    <row r="23" spans="1:18" x14ac:dyDescent="0.4">
      <c r="A23" s="19" t="s">
        <v>11</v>
      </c>
      <c r="B23" s="12">
        <v>151</v>
      </c>
      <c r="C23" s="6">
        <f>IF(B$20=0,0,B23/B$20)</f>
        <v>0.52613240418118468</v>
      </c>
      <c r="E23" s="27" t="s">
        <v>84</v>
      </c>
      <c r="F23" s="24" t="s">
        <v>39</v>
      </c>
      <c r="G23" s="12">
        <v>1</v>
      </c>
      <c r="H23" s="88">
        <f>IF(B$20=0,0,G23/B$20)</f>
        <v>3.4843205574912892E-3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192</v>
      </c>
      <c r="P23" s="83">
        <f>IF(Q23=0,0,R23/Q23)</f>
        <v>-4.1500000000000004</v>
      </c>
      <c r="Q23" s="77">
        <v>40</v>
      </c>
      <c r="R23" s="68">
        <v>-166.00000000000003</v>
      </c>
    </row>
    <row r="24" spans="1:18" x14ac:dyDescent="0.4">
      <c r="A24" s="19" t="s">
        <v>183</v>
      </c>
      <c r="B24" s="12">
        <v>128</v>
      </c>
      <c r="C24" s="6">
        <f>IF(B$20=0,0,B24/B$20)</f>
        <v>0.44599303135888502</v>
      </c>
      <c r="E24" s="27" t="s">
        <v>85</v>
      </c>
      <c r="F24" s="24" t="s">
        <v>40</v>
      </c>
      <c r="G24" s="12">
        <v>1</v>
      </c>
      <c r="H24" s="88">
        <f>IF(B$20=0,0,G24/B$20)</f>
        <v>3.4843205574912892E-3</v>
      </c>
      <c r="I24" s="58">
        <v>3</v>
      </c>
      <c r="K24" s="74">
        <v>22</v>
      </c>
      <c r="L24" s="119">
        <v>106.3</v>
      </c>
      <c r="M24" s="117">
        <v>1829.4799049660398</v>
      </c>
      <c r="O24" s="74" t="s">
        <v>195</v>
      </c>
      <c r="P24" s="83">
        <f>IF(Q24=0,0,R24/Q24)</f>
        <v>-4.8999999999999986</v>
      </c>
      <c r="Q24" s="77">
        <v>7</v>
      </c>
      <c r="R24" s="68">
        <v>-34.29999999999999</v>
      </c>
    </row>
    <row r="25" spans="1:18" x14ac:dyDescent="0.4">
      <c r="A25" s="19" t="s">
        <v>181</v>
      </c>
      <c r="B25" s="12">
        <v>84</v>
      </c>
      <c r="C25" s="6">
        <f>IF(B$20=0,0,B25/B$20)</f>
        <v>0.29268292682926828</v>
      </c>
      <c r="E25" s="27" t="s">
        <v>88</v>
      </c>
      <c r="F25" s="24" t="s">
        <v>43</v>
      </c>
      <c r="G25" s="12">
        <v>1</v>
      </c>
      <c r="H25" s="88">
        <f>IF(B$20=0,0,G25/B$20)</f>
        <v>3.4843205574912892E-3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75</v>
      </c>
      <c r="C26" s="6">
        <f>IF(B$20=0,0,B26/B$20)</f>
        <v>0.26132404181184671</v>
      </c>
      <c r="E26" s="27" t="s">
        <v>90</v>
      </c>
      <c r="F26" s="24" t="s">
        <v>45</v>
      </c>
      <c r="G26" s="12">
        <v>1</v>
      </c>
      <c r="H26" s="88">
        <f>IF(B$20=0,0,G26/B$20)</f>
        <v>3.4843205574912892E-3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8179.4425087108011</v>
      </c>
      <c r="C27" s="8">
        <v>2347500</v>
      </c>
      <c r="E27" s="27" t="s">
        <v>92</v>
      </c>
      <c r="F27" s="24" t="s">
        <v>47</v>
      </c>
      <c r="G27" s="12">
        <v>1</v>
      </c>
      <c r="H27" s="88">
        <f>IF(B$20=0,0,G27/B$20)</f>
        <v>3.4843205574912892E-3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8448.2758620689656</v>
      </c>
      <c r="C28" s="96">
        <v>1715000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7529.7619047619046</v>
      </c>
      <c r="C29" s="96">
        <v>632500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-7314.7435897435898</v>
      </c>
      <c r="C30" s="96">
        <v>-1141100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17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1.1248593925759281E-3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17</v>
      </c>
      <c r="C37" s="98">
        <f t="shared" ref="C37:C49" si="2">IF(B$20=0,0,B37/B$20)</f>
        <v>5.9233449477351915E-2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56</v>
      </c>
      <c r="C38" s="6">
        <f t="shared" si="2"/>
        <v>0.1951219512195122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59</v>
      </c>
      <c r="C39" s="6">
        <f t="shared" si="2"/>
        <v>0.20557491289198607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53</v>
      </c>
      <c r="C40" s="6">
        <f t="shared" si="2"/>
        <v>0.18466898954703834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42</v>
      </c>
      <c r="C41" s="6">
        <f t="shared" si="2"/>
        <v>0.14634146341463414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35</v>
      </c>
      <c r="C42" s="6">
        <f t="shared" si="2"/>
        <v>0.12195121951219512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10</v>
      </c>
      <c r="C43" s="6">
        <f t="shared" si="2"/>
        <v>3.484320557491289E-2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1.7421602787456445E-2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1.7421602787456445E-2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6.9686411149825784E-3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3.4843205574912892E-3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3.4843205574912892E-3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3.4843205574912892E-3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70</v>
      </c>
      <c r="C2" s="142"/>
      <c r="E2" s="26" t="s">
        <v>66</v>
      </c>
      <c r="F2" s="23" t="s">
        <v>22</v>
      </c>
      <c r="G2" s="11">
        <v>155</v>
      </c>
      <c r="H2" s="87">
        <f>IF(B$20=0,0,G2/B$20)</f>
        <v>0.94512195121951215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958.57142857142856</v>
      </c>
      <c r="Q2" s="76">
        <v>70</v>
      </c>
      <c r="R2" s="63">
        <v>67100</v>
      </c>
    </row>
    <row r="3" spans="1:18" x14ac:dyDescent="0.4">
      <c r="A3" s="19" t="s">
        <v>8</v>
      </c>
      <c r="B3" s="143">
        <v>615</v>
      </c>
      <c r="C3" s="144"/>
      <c r="E3" s="27" t="s">
        <v>72</v>
      </c>
      <c r="F3" s="24" t="s">
        <v>27</v>
      </c>
      <c r="G3" s="12">
        <v>110</v>
      </c>
      <c r="H3" s="88">
        <f>IF(B$20=0,0,G3/B$20)</f>
        <v>0.67073170731707321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117.64705882352941</v>
      </c>
      <c r="Q3" s="77">
        <v>68</v>
      </c>
      <c r="R3" s="64">
        <v>8000</v>
      </c>
    </row>
    <row r="4" spans="1:18" x14ac:dyDescent="0.4">
      <c r="A4" s="19" t="s">
        <v>6</v>
      </c>
      <c r="B4" s="145">
        <v>-134.79999999999998</v>
      </c>
      <c r="C4" s="146"/>
      <c r="E4" s="27" t="s">
        <v>64</v>
      </c>
      <c r="F4" s="24" t="s">
        <v>20</v>
      </c>
      <c r="G4" s="12">
        <v>77</v>
      </c>
      <c r="H4" s="88">
        <f>IF(B$20=0,0,G4/B$20)</f>
        <v>0.46951219512195119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-672.05882352941171</v>
      </c>
      <c r="Q4" s="77">
        <v>68</v>
      </c>
      <c r="R4" s="64">
        <v>-45700</v>
      </c>
    </row>
    <row r="5" spans="1:18" x14ac:dyDescent="0.4">
      <c r="A5" s="19" t="s">
        <v>7</v>
      </c>
      <c r="B5" s="133">
        <f>IF(B$2=0,0,B$4/B$2)</f>
        <v>-1.9257142857142855</v>
      </c>
      <c r="C5" s="134"/>
      <c r="E5" s="27" t="s">
        <v>159</v>
      </c>
      <c r="F5" s="24" t="s">
        <v>160</v>
      </c>
      <c r="G5" s="12">
        <v>68</v>
      </c>
      <c r="H5" s="88">
        <f>IF(B$20=0,0,G5/B$20)</f>
        <v>0.41463414634146339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-667.69230769230774</v>
      </c>
      <c r="Q5" s="77">
        <v>65</v>
      </c>
      <c r="R5" s="64">
        <v>-43400</v>
      </c>
    </row>
    <row r="6" spans="1:18" x14ac:dyDescent="0.4">
      <c r="A6" s="19" t="s">
        <v>196</v>
      </c>
      <c r="B6" s="137">
        <v>1624.9025722678316</v>
      </c>
      <c r="C6" s="138"/>
      <c r="E6" s="27" t="s">
        <v>68</v>
      </c>
      <c r="F6" s="24" t="s">
        <v>12</v>
      </c>
      <c r="G6" s="12">
        <v>57</v>
      </c>
      <c r="H6" s="88">
        <f>IF(B$20=0,0,G6/B$20)</f>
        <v>0.34756097560975607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116.94915254237289</v>
      </c>
      <c r="Q6" s="77">
        <v>59</v>
      </c>
      <c r="R6" s="64">
        <v>6900</v>
      </c>
    </row>
    <row r="7" spans="1:18" x14ac:dyDescent="0.4">
      <c r="A7" s="19" t="s">
        <v>1</v>
      </c>
      <c r="B7" s="147">
        <f>IF(B$2=0,0,(B$8*1+B$9*2+B$10*3)/B$2)</f>
        <v>2.0285714285714285</v>
      </c>
      <c r="C7" s="148"/>
      <c r="E7" s="27" t="s">
        <v>67</v>
      </c>
      <c r="F7" s="24" t="s">
        <v>23</v>
      </c>
      <c r="G7" s="12">
        <v>41</v>
      </c>
      <c r="H7" s="88">
        <f>IF(B$20=0,0,G7/B$20)</f>
        <v>0.25</v>
      </c>
      <c r="I7" s="58">
        <v>6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352</v>
      </c>
      <c r="Q7" s="78">
        <v>50</v>
      </c>
      <c r="R7" s="65">
        <v>17600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0.31428571428571428</v>
      </c>
      <c r="E8" s="27" t="s">
        <v>89</v>
      </c>
      <c r="F8" s="24" t="s">
        <v>44</v>
      </c>
      <c r="G8" s="12">
        <v>26</v>
      </c>
      <c r="H8" s="88">
        <f>IF(B$20=0,0,G8/B$20)</f>
        <v>0.15853658536585366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0.34285714285714286</v>
      </c>
      <c r="E9" s="27" t="s">
        <v>69</v>
      </c>
      <c r="F9" s="24" t="s">
        <v>24</v>
      </c>
      <c r="G9" s="12">
        <v>20</v>
      </c>
      <c r="H9" s="88">
        <f>IF(B$20=0,0,G9/B$20)</f>
        <v>0.12195121951219512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24</v>
      </c>
      <c r="C10" s="7">
        <f t="shared" si="1"/>
        <v>0.34285714285714286</v>
      </c>
      <c r="E10" s="27" t="s">
        <v>65</v>
      </c>
      <c r="F10" s="24" t="s">
        <v>21</v>
      </c>
      <c r="G10" s="12">
        <v>19</v>
      </c>
      <c r="H10" s="88">
        <f>IF(B$20=0,0,G10/B$20)</f>
        <v>0.11585365853658537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-2.0466666666666664</v>
      </c>
      <c r="Q10" s="76">
        <v>30</v>
      </c>
      <c r="R10" s="67">
        <v>-61.399999999999991</v>
      </c>
    </row>
    <row r="11" spans="1:18" x14ac:dyDescent="0.4">
      <c r="A11" s="20" t="s">
        <v>184</v>
      </c>
      <c r="B11" s="109">
        <f>IF(B8=0,0,C11/B8)</f>
        <v>34.640909090909091</v>
      </c>
      <c r="C11" s="110">
        <v>762.1</v>
      </c>
      <c r="E11" s="27" t="s">
        <v>70</v>
      </c>
      <c r="F11" s="24" t="s">
        <v>25</v>
      </c>
      <c r="G11" s="12">
        <v>15</v>
      </c>
      <c r="H11" s="88">
        <f>IF(B$20=0,0,G11/B$20)</f>
        <v>9.1463414634146339E-2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2.214999999999999</v>
      </c>
      <c r="Q11" s="77">
        <v>20</v>
      </c>
      <c r="R11" s="68">
        <v>44.299999999999983</v>
      </c>
    </row>
    <row r="12" spans="1:18" x14ac:dyDescent="0.4">
      <c r="A12" s="20" t="s">
        <v>185</v>
      </c>
      <c r="B12" s="109">
        <f>IF(B9=0,0,C12/B9)</f>
        <v>1.3041666666666667</v>
      </c>
      <c r="C12" s="110">
        <v>31.3</v>
      </c>
      <c r="E12" s="27" t="s">
        <v>71</v>
      </c>
      <c r="F12" s="24" t="s">
        <v>26</v>
      </c>
      <c r="G12" s="12">
        <v>12</v>
      </c>
      <c r="H12" s="88">
        <f>IF(B$20=0,0,G12/B$20)</f>
        <v>7.3170731707317069E-2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-5.8849999999999998</v>
      </c>
      <c r="Q12" s="78">
        <v>20</v>
      </c>
      <c r="R12" s="69">
        <v>-117.7</v>
      </c>
    </row>
    <row r="13" spans="1:18" x14ac:dyDescent="0.4">
      <c r="A13" s="20" t="s">
        <v>186</v>
      </c>
      <c r="B13" s="109">
        <f>IF(B10=0,0,C13/B10)</f>
        <v>-38.675000000000004</v>
      </c>
      <c r="C13" s="110">
        <v>-928.20000000000016</v>
      </c>
      <c r="E13" s="27" t="s">
        <v>86</v>
      </c>
      <c r="F13" s="24" t="s">
        <v>41</v>
      </c>
      <c r="G13" s="12">
        <v>9</v>
      </c>
      <c r="H13" s="88">
        <f>IF(B$20=0,0,G13/B$20)</f>
        <v>5.4878048780487805E-2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-0.90997474747474882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3.6585365853658534E-2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0.14285714285714285</v>
      </c>
      <c r="E15" s="27" t="s">
        <v>81</v>
      </c>
      <c r="F15" s="24" t="s">
        <v>36</v>
      </c>
      <c r="G15" s="12">
        <v>5</v>
      </c>
      <c r="H15" s="88">
        <f>IF(B$20=0,0,G15/B$20)</f>
        <v>3.048780487804878E-2</v>
      </c>
      <c r="I15" s="58">
        <v>9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174</v>
      </c>
      <c r="C16" s="10">
        <f>IF(B$3=0,0,B16/B$3)</f>
        <v>0.28292682926829266</v>
      </c>
      <c r="E16" s="27" t="s">
        <v>155</v>
      </c>
      <c r="F16" s="24" t="s">
        <v>156</v>
      </c>
      <c r="G16" s="12">
        <v>5</v>
      </c>
      <c r="H16" s="88">
        <f>IF(B$20=0,0,G16/B$20)</f>
        <v>3.048780487804878E-2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139</v>
      </c>
      <c r="C17" s="6">
        <f>IF(B$3=0,0,B17/B$3)</f>
        <v>0.22601626016260162</v>
      </c>
      <c r="E17" s="27" t="s">
        <v>78</v>
      </c>
      <c r="F17" s="24" t="s">
        <v>33</v>
      </c>
      <c r="G17" s="12">
        <v>4</v>
      </c>
      <c r="H17" s="88">
        <f>IF(B$20=0,0,G17/B$20)</f>
        <v>2.4390243902439025E-2</v>
      </c>
      <c r="I17" s="58">
        <v>8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82</v>
      </c>
      <c r="C18" s="5">
        <f>IF(B$16=0,0,B18/B$16)</f>
        <v>0.47126436781609193</v>
      </c>
      <c r="E18" s="27" t="s">
        <v>73</v>
      </c>
      <c r="F18" s="24" t="s">
        <v>28</v>
      </c>
      <c r="G18" s="12">
        <v>3</v>
      </c>
      <c r="H18" s="88">
        <f>IF(B$20=0,0,G18/B$20)</f>
        <v>1.8292682926829267E-2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7.9</v>
      </c>
      <c r="Q18" s="77">
        <v>16</v>
      </c>
      <c r="R18" s="68">
        <v>126.4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0.33812949640287771</v>
      </c>
      <c r="E19" s="27" t="s">
        <v>91</v>
      </c>
      <c r="F19" s="24" t="s">
        <v>46</v>
      </c>
      <c r="G19" s="12">
        <v>2</v>
      </c>
      <c r="H19" s="88">
        <f>IF(B$20=0,0,G19/B$20)</f>
        <v>1.2195121951219513E-2</v>
      </c>
      <c r="I19" s="58">
        <v>6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164</v>
      </c>
      <c r="C20" s="5">
        <f>IF(B$3=0,0,B20/B$3)</f>
        <v>0.26666666666666666</v>
      </c>
      <c r="E20" s="27" t="s">
        <v>77</v>
      </c>
      <c r="F20" s="24" t="s">
        <v>32</v>
      </c>
      <c r="G20" s="12">
        <v>1</v>
      </c>
      <c r="H20" s="88">
        <f>IF(B$20=0,0,G20/B$20)</f>
        <v>6.0975609756097563E-3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-5.5362068965517235</v>
      </c>
      <c r="Q20" s="77">
        <v>58</v>
      </c>
      <c r="R20" s="68">
        <v>-321.09999999999997</v>
      </c>
    </row>
    <row r="21" spans="1:18" x14ac:dyDescent="0.4">
      <c r="A21" s="19" t="s">
        <v>13</v>
      </c>
      <c r="B21" s="12">
        <v>118</v>
      </c>
      <c r="C21" s="6">
        <f>IF(B$3=0,0,B21/B$3)</f>
        <v>0.19186991869918699</v>
      </c>
      <c r="E21" s="27" t="s">
        <v>79</v>
      </c>
      <c r="F21" s="24" t="s">
        <v>34</v>
      </c>
      <c r="G21" s="12">
        <v>1</v>
      </c>
      <c r="H21" s="88">
        <f>IF(B$20=0,0,G21/B$20)</f>
        <v>6.0975609756097563E-3</v>
      </c>
      <c r="I21" s="58">
        <v>6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74</v>
      </c>
      <c r="C22" s="6">
        <f>IF(B$20=0,0,B22/B$20)</f>
        <v>0.45121951219512196</v>
      </c>
      <c r="E22" s="27" t="s">
        <v>85</v>
      </c>
      <c r="F22" s="24" t="s">
        <v>40</v>
      </c>
      <c r="G22" s="12">
        <v>1</v>
      </c>
      <c r="H22" s="88">
        <f>IF(B$20=0,0,G22/B$20)</f>
        <v>6.0975609756097563E-3</v>
      </c>
      <c r="I22" s="58">
        <v>2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>IF(Q22=0,0,R22/Q22)</f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90</v>
      </c>
      <c r="C23" s="6">
        <f>IF(B$20=0,0,B23/B$20)</f>
        <v>0.54878048780487809</v>
      </c>
      <c r="E23" s="27" t="s">
        <v>88</v>
      </c>
      <c r="F23" s="24" t="s">
        <v>43</v>
      </c>
      <c r="G23" s="12">
        <v>1</v>
      </c>
      <c r="H23" s="88">
        <f>IF(B$20=0,0,G23/B$20)</f>
        <v>6.0975609756097563E-3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-11.568421052631582</v>
      </c>
      <c r="Q23" s="77">
        <v>19</v>
      </c>
      <c r="R23" s="68">
        <v>-219.80000000000004</v>
      </c>
    </row>
    <row r="24" spans="1:18" x14ac:dyDescent="0.4">
      <c r="A24" s="19" t="s">
        <v>183</v>
      </c>
      <c r="B24" s="12">
        <v>82</v>
      </c>
      <c r="C24" s="6">
        <f>IF(B$20=0,0,B24/B$20)</f>
        <v>0.5</v>
      </c>
      <c r="E24" s="27" t="s">
        <v>92</v>
      </c>
      <c r="F24" s="24" t="s">
        <v>47</v>
      </c>
      <c r="G24" s="12">
        <v>1</v>
      </c>
      <c r="H24" s="88">
        <f>IF(B$20=0,0,G24/B$20)</f>
        <v>6.0975609756097563E-3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47</v>
      </c>
      <c r="C25" s="6">
        <f>IF(B$20=0,0,B25/B$20)</f>
        <v>0.28658536585365851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35</v>
      </c>
      <c r="C26" s="6">
        <f>IF(B$20=0,0,B26/B$20)</f>
        <v>0.21341463414634146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9251.8292682926822</v>
      </c>
      <c r="C27" s="8">
        <v>1517300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9988.8888888888887</v>
      </c>
      <c r="C28" s="96">
        <v>1168700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7417.0212765957449</v>
      </c>
      <c r="C29" s="96">
        <v>348600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-7953.3898305084749</v>
      </c>
      <c r="C30" s="96">
        <v>-938500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1.6260162601626016E-3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6.097560975609756E-2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14</v>
      </c>
      <c r="C38" s="6">
        <f t="shared" si="2"/>
        <v>8.5365853658536592E-2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2"/>
        <v>0.20121951219512196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33</v>
      </c>
      <c r="C40" s="6">
        <f t="shared" si="2"/>
        <v>0.20121951219512196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2"/>
        <v>0.21341463414634146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17</v>
      </c>
      <c r="C42" s="6">
        <f t="shared" si="2"/>
        <v>0.10365853658536585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8</v>
      </c>
      <c r="C43" s="6">
        <f t="shared" si="2"/>
        <v>4.878048780487805E-2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7</v>
      </c>
      <c r="C44" s="6">
        <f t="shared" si="2"/>
        <v>4.2682926829268296E-2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1.8292682926829267E-2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1.2195121951219513E-2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1.2195121951219513E-2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43</v>
      </c>
      <c r="C2" s="142"/>
      <c r="E2" s="26" t="s">
        <v>72</v>
      </c>
      <c r="F2" s="23" t="s">
        <v>27</v>
      </c>
      <c r="G2" s="11">
        <v>78</v>
      </c>
      <c r="H2" s="87">
        <f>IF(B$20=0,0,G2/B$20)</f>
        <v>0.70909090909090911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-548.83720930232562</v>
      </c>
      <c r="Q2" s="76">
        <v>43</v>
      </c>
      <c r="R2" s="63">
        <v>-23600</v>
      </c>
    </row>
    <row r="3" spans="1:18" x14ac:dyDescent="0.4">
      <c r="A3" s="19" t="s">
        <v>8</v>
      </c>
      <c r="B3" s="143">
        <v>383</v>
      </c>
      <c r="C3" s="144"/>
      <c r="E3" s="27" t="s">
        <v>66</v>
      </c>
      <c r="F3" s="24" t="s">
        <v>22</v>
      </c>
      <c r="G3" s="12">
        <v>69</v>
      </c>
      <c r="H3" s="88">
        <f>IF(B$20=0,0,G3/B$20)</f>
        <v>0.62727272727272732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-927.90697674418607</v>
      </c>
      <c r="Q3" s="77">
        <v>43</v>
      </c>
      <c r="R3" s="64">
        <v>-39900</v>
      </c>
    </row>
    <row r="4" spans="1:18" x14ac:dyDescent="0.4">
      <c r="A4" s="19" t="s">
        <v>6</v>
      </c>
      <c r="B4" s="145">
        <v>-110.1</v>
      </c>
      <c r="C4" s="146"/>
      <c r="E4" s="27" t="s">
        <v>64</v>
      </c>
      <c r="F4" s="24" t="s">
        <v>20</v>
      </c>
      <c r="G4" s="12">
        <v>43</v>
      </c>
      <c r="H4" s="88">
        <f>IF(B$20=0,0,G4/B$20)</f>
        <v>0.39090909090909093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314.28571428571428</v>
      </c>
      <c r="Q4" s="77">
        <v>42</v>
      </c>
      <c r="R4" s="64">
        <v>13200</v>
      </c>
    </row>
    <row r="5" spans="1:18" x14ac:dyDescent="0.4">
      <c r="A5" s="19" t="s">
        <v>7</v>
      </c>
      <c r="B5" s="133">
        <f>IF(B$2=0,0,B$4/B$2)</f>
        <v>-2.5604651162790697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0.34545454545454546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-764.28571428571433</v>
      </c>
      <c r="Q5" s="77">
        <v>42</v>
      </c>
      <c r="R5" s="64">
        <v>-32100</v>
      </c>
    </row>
    <row r="6" spans="1:18" x14ac:dyDescent="0.4">
      <c r="A6" s="19" t="s">
        <v>196</v>
      </c>
      <c r="B6" s="137">
        <v>1448.7493412538377</v>
      </c>
      <c r="C6" s="138"/>
      <c r="E6" s="27" t="s">
        <v>68</v>
      </c>
      <c r="F6" s="24" t="s">
        <v>12</v>
      </c>
      <c r="G6" s="12">
        <v>29</v>
      </c>
      <c r="H6" s="88">
        <f>IF(B$20=0,0,G6/B$20)</f>
        <v>0.26363636363636361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-1129.2682926829268</v>
      </c>
      <c r="Q6" s="77">
        <v>41</v>
      </c>
      <c r="R6" s="64">
        <v>-46300</v>
      </c>
    </row>
    <row r="7" spans="1:18" x14ac:dyDescent="0.4">
      <c r="A7" s="19" t="s">
        <v>1</v>
      </c>
      <c r="B7" s="147">
        <f>IF(B$2=0,0,(B$8*1+B$9*2+B$10*3)/B$2)</f>
        <v>2.0465116279069768</v>
      </c>
      <c r="C7" s="148"/>
      <c r="E7" s="27" t="s">
        <v>67</v>
      </c>
      <c r="F7" s="24" t="s">
        <v>23</v>
      </c>
      <c r="G7" s="12">
        <v>28</v>
      </c>
      <c r="H7" s="88">
        <f>IF(B$20=0,0,G7/B$20)</f>
        <v>0.25454545454545452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-414.70588235294116</v>
      </c>
      <c r="Q7" s="78">
        <v>34</v>
      </c>
      <c r="R7" s="65">
        <v>-14100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0.34883720930232559</v>
      </c>
      <c r="E8" s="27" t="s">
        <v>70</v>
      </c>
      <c r="F8" s="24" t="s">
        <v>25</v>
      </c>
      <c r="G8" s="12">
        <v>11</v>
      </c>
      <c r="H8" s="88">
        <f>IF(B$20=0,0,G8/B$20)</f>
        <v>0.1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0.2558139534883721</v>
      </c>
      <c r="E9" s="27" t="s">
        <v>89</v>
      </c>
      <c r="F9" s="24" t="s">
        <v>44</v>
      </c>
      <c r="G9" s="12">
        <v>11</v>
      </c>
      <c r="H9" s="88">
        <f>IF(B$20=0,0,G9/B$20)</f>
        <v>0.1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0.39534883720930231</v>
      </c>
      <c r="E10" s="27" t="s">
        <v>65</v>
      </c>
      <c r="F10" s="24" t="s">
        <v>21</v>
      </c>
      <c r="G10" s="12">
        <v>9</v>
      </c>
      <c r="H10" s="88">
        <f>IF(B$20=0,0,G10/B$20)</f>
        <v>8.1818181818181818E-2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8.1818181818181818E-2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6.363636363636363E-2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-35.258823529411764</v>
      </c>
      <c r="C13" s="110">
        <v>-599.4</v>
      </c>
      <c r="E13" s="27" t="s">
        <v>71</v>
      </c>
      <c r="F13" s="24" t="s">
        <v>26</v>
      </c>
      <c r="G13" s="12">
        <v>5</v>
      </c>
      <c r="H13" s="88">
        <f>IF(B$20=0,0,G13/B$20)</f>
        <v>4.5454545454545456E-2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-0.44243612596553561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3.6363636363636362E-2</v>
      </c>
      <c r="I14" s="58">
        <v>3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81</v>
      </c>
      <c r="F15" s="24" t="s">
        <v>36</v>
      </c>
      <c r="G15" s="12">
        <v>4</v>
      </c>
      <c r="H15" s="88">
        <f>IF(B$20=0,0,G15/B$20)</f>
        <v>3.6363636363636362E-2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100</v>
      </c>
      <c r="C16" s="10">
        <f>IF(B$3=0,0,B16/B$3)</f>
        <v>0.26109660574412535</v>
      </c>
      <c r="E16" s="27" t="s">
        <v>79</v>
      </c>
      <c r="F16" s="24" t="s">
        <v>34</v>
      </c>
      <c r="G16" s="12">
        <v>3</v>
      </c>
      <c r="H16" s="88">
        <f>IF(B$20=0,0,G16/B$20)</f>
        <v>2.7272727272727271E-2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115</v>
      </c>
      <c r="C17" s="6">
        <f>IF(B$3=0,0,B17/B$3)</f>
        <v>0.30026109660574413</v>
      </c>
      <c r="E17" s="27" t="s">
        <v>86</v>
      </c>
      <c r="F17" s="24" t="s">
        <v>41</v>
      </c>
      <c r="G17" s="12">
        <v>2</v>
      </c>
      <c r="H17" s="88">
        <f>IF(B$20=0,0,G17/B$20)</f>
        <v>1.8181818181818181E-2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0.43</v>
      </c>
      <c r="E18" s="27" t="s">
        <v>91</v>
      </c>
      <c r="F18" s="24" t="s">
        <v>46</v>
      </c>
      <c r="G18" s="12">
        <v>2</v>
      </c>
      <c r="H18" s="88">
        <f>IF(B$20=0,0,G18/B$20)</f>
        <v>1.8181818181818181E-2</v>
      </c>
      <c r="I18" s="58">
        <v>4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0.40869565217391307</v>
      </c>
      <c r="E19" s="27" t="s">
        <v>88</v>
      </c>
      <c r="F19" s="24" t="s">
        <v>43</v>
      </c>
      <c r="G19" s="12">
        <v>1</v>
      </c>
      <c r="H19" s="88">
        <f>IF(B$20=0,0,G19/B$20)</f>
        <v>9.0909090909090905E-3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-1.8135135135135136</v>
      </c>
      <c r="Q19" s="77">
        <v>37</v>
      </c>
      <c r="R19" s="68">
        <v>-67.100000000000009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0.28720626631853785</v>
      </c>
      <c r="E20" s="27" t="s">
        <v>93</v>
      </c>
      <c r="F20" s="24" t="s">
        <v>48</v>
      </c>
      <c r="G20" s="12">
        <v>1</v>
      </c>
      <c r="H20" s="88">
        <f>IF(B$20=0,0,G20/B$20)</f>
        <v>9.0909090909090905E-3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-7.8999999999999977</v>
      </c>
      <c r="Q20" s="77">
        <v>16</v>
      </c>
      <c r="R20" s="68">
        <v>-126.39999999999996</v>
      </c>
    </row>
    <row r="21" spans="1:18" x14ac:dyDescent="0.4">
      <c r="A21" s="19" t="s">
        <v>13</v>
      </c>
      <c r="B21" s="12">
        <v>65</v>
      </c>
      <c r="C21" s="6">
        <f>IF(B$3=0,0,B21/B$3)</f>
        <v>0.16971279373368145</v>
      </c>
      <c r="E21" s="27" t="s">
        <v>106</v>
      </c>
      <c r="F21" s="24" t="s">
        <v>113</v>
      </c>
      <c r="G21" s="12">
        <v>1</v>
      </c>
      <c r="H21" s="88">
        <f>IF(B$20=0,0,G21/B$20)</f>
        <v>9.0909090909090905E-3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52</v>
      </c>
      <c r="C22" s="6">
        <f>IF(B$20=0,0,B22/B$20)</f>
        <v>0.47272727272727272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0.52727272727272723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0.39090909090909093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47</v>
      </c>
      <c r="C25" s="6">
        <f>IF(B$20=0,0,B25/B$20)</f>
        <v>0.42727272727272725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0.18181818181818182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7535.454545454545</v>
      </c>
      <c r="C27" s="8">
        <v>828900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5070.2127659574471</v>
      </c>
      <c r="C29" s="96">
        <v>238300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-8520</v>
      </c>
      <c r="C30" s="96">
        <v>-553800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2.6109660574412533E-3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0.12727272727272726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0.24545454545454545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22</v>
      </c>
      <c r="C39" s="6">
        <f t="shared" si="3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4.5454545454545456E-2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4.5454545454545456E-2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1.8181818181818181E-2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3.6363636363636362E-2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3.6363636363636362E-2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1.8181818181818181E-2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34</v>
      </c>
      <c r="C2" s="142"/>
      <c r="E2" s="26" t="s">
        <v>66</v>
      </c>
      <c r="F2" s="23" t="s">
        <v>22</v>
      </c>
      <c r="G2" s="11">
        <v>68</v>
      </c>
      <c r="H2" s="87">
        <f>IF(B$20=0,0,G2/B$20)</f>
        <v>0.87179487179487181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1285.2941176470588</v>
      </c>
      <c r="Q2" s="76">
        <v>34</v>
      </c>
      <c r="R2" s="63">
        <v>43700</v>
      </c>
    </row>
    <row r="3" spans="1:18" x14ac:dyDescent="0.4">
      <c r="A3" s="19" t="s">
        <v>8</v>
      </c>
      <c r="B3" s="143">
        <v>296</v>
      </c>
      <c r="C3" s="144"/>
      <c r="E3" s="27" t="s">
        <v>72</v>
      </c>
      <c r="F3" s="24" t="s">
        <v>27</v>
      </c>
      <c r="G3" s="12">
        <v>45</v>
      </c>
      <c r="H3" s="88">
        <f>IF(B$20=0,0,G3/B$20)</f>
        <v>0.57692307692307687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682.35294117647061</v>
      </c>
      <c r="Q3" s="77">
        <v>34</v>
      </c>
      <c r="R3" s="64">
        <v>23200</v>
      </c>
    </row>
    <row r="4" spans="1:18" x14ac:dyDescent="0.4">
      <c r="A4" s="19" t="s">
        <v>6</v>
      </c>
      <c r="B4" s="145">
        <v>59.89999999999997</v>
      </c>
      <c r="C4" s="146"/>
      <c r="E4" s="27" t="s">
        <v>64</v>
      </c>
      <c r="F4" s="24" t="s">
        <v>20</v>
      </c>
      <c r="G4" s="12">
        <v>38</v>
      </c>
      <c r="H4" s="88">
        <f>IF(B$20=0,0,G4/B$20)</f>
        <v>0.48717948717948717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1012.1212121212121</v>
      </c>
      <c r="Q4" s="77">
        <v>33</v>
      </c>
      <c r="R4" s="64">
        <v>33400</v>
      </c>
    </row>
    <row r="5" spans="1:18" x14ac:dyDescent="0.4">
      <c r="A5" s="19" t="s">
        <v>7</v>
      </c>
      <c r="B5" s="133">
        <f>IF(B$2=0,0,B$4/B$2)</f>
        <v>1.761764705882352</v>
      </c>
      <c r="C5" s="134"/>
      <c r="E5" s="27" t="s">
        <v>159</v>
      </c>
      <c r="F5" s="24" t="s">
        <v>160</v>
      </c>
      <c r="G5" s="12">
        <v>35</v>
      </c>
      <c r="H5" s="88">
        <f>IF(B$20=0,0,G5/B$20)</f>
        <v>0.44871794871794873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-2565.5172413793102</v>
      </c>
      <c r="Q5" s="77">
        <v>29</v>
      </c>
      <c r="R5" s="64">
        <v>-74400</v>
      </c>
    </row>
    <row r="6" spans="1:18" x14ac:dyDescent="0.4">
      <c r="A6" s="19" t="s">
        <v>196</v>
      </c>
      <c r="B6" s="137">
        <v>1552.0582707777592</v>
      </c>
      <c r="C6" s="138"/>
      <c r="E6" s="27" t="s">
        <v>68</v>
      </c>
      <c r="F6" s="24" t="s">
        <v>12</v>
      </c>
      <c r="G6" s="12">
        <v>20</v>
      </c>
      <c r="H6" s="88">
        <f>IF(B$20=0,0,G6/B$20)</f>
        <v>0.25641025641025639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2296.1538461538462</v>
      </c>
      <c r="Q6" s="77">
        <v>26</v>
      </c>
      <c r="R6" s="64">
        <v>59700</v>
      </c>
    </row>
    <row r="7" spans="1:18" x14ac:dyDescent="0.4">
      <c r="A7" s="19" t="s">
        <v>1</v>
      </c>
      <c r="B7" s="147">
        <f>IF(B$2=0,0,(B$8*1+B$9*2+B$10*3)/B$2)</f>
        <v>1.911764705882353</v>
      </c>
      <c r="C7" s="148"/>
      <c r="E7" s="27" t="s">
        <v>67</v>
      </c>
      <c r="F7" s="24" t="s">
        <v>23</v>
      </c>
      <c r="G7" s="12">
        <v>17</v>
      </c>
      <c r="H7" s="88">
        <f>IF(B$20=0,0,G7/B$20)</f>
        <v>0.21794871794871795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-890.90909090909088</v>
      </c>
      <c r="Q7" s="78">
        <v>22</v>
      </c>
      <c r="R7" s="65">
        <v>-19600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0.29411764705882354</v>
      </c>
      <c r="E8" s="27" t="s">
        <v>65</v>
      </c>
      <c r="F8" s="24" t="s">
        <v>21</v>
      </c>
      <c r="G8" s="12">
        <v>14</v>
      </c>
      <c r="H8" s="88">
        <f>IF(B$20=0,0,G8/B$20)</f>
        <v>0.17948717948717949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0.5</v>
      </c>
      <c r="E9" s="27" t="s">
        <v>69</v>
      </c>
      <c r="F9" s="24" t="s">
        <v>24</v>
      </c>
      <c r="G9" s="12">
        <v>13</v>
      </c>
      <c r="H9" s="88">
        <f>IF(B$20=0,0,G9/B$20)</f>
        <v>0.16666666666666666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0.20588235294117646</v>
      </c>
      <c r="E10" s="27" t="s">
        <v>89</v>
      </c>
      <c r="F10" s="24" t="s">
        <v>44</v>
      </c>
      <c r="G10" s="12">
        <v>8</v>
      </c>
      <c r="H10" s="88">
        <f>IF(B$20=0,0,G10/B$20)</f>
        <v>0.10256410256410256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34.799999999999997</v>
      </c>
      <c r="C11" s="110">
        <v>348</v>
      </c>
      <c r="E11" s="27" t="s">
        <v>86</v>
      </c>
      <c r="F11" s="24" t="s">
        <v>41</v>
      </c>
      <c r="G11" s="12">
        <v>7</v>
      </c>
      <c r="H11" s="88">
        <f>IF(B$20=0,0,G11/B$20)</f>
        <v>8.9743589743589744E-2</v>
      </c>
      <c r="I11" s="58">
        <v>2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-1.9941176470588236</v>
      </c>
      <c r="C12" s="110">
        <v>-33.9</v>
      </c>
      <c r="E12" s="27" t="s">
        <v>70</v>
      </c>
      <c r="F12" s="24" t="s">
        <v>25</v>
      </c>
      <c r="G12" s="12">
        <v>6</v>
      </c>
      <c r="H12" s="88">
        <f>IF(B$20=0,0,G12/B$20)</f>
        <v>7.6923076923076927E-2</v>
      </c>
      <c r="I12" s="58">
        <v>7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14.919999999999998</v>
      </c>
      <c r="Q12" s="78">
        <v>10</v>
      </c>
      <c r="R12" s="69">
        <v>149.19999999999999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6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-1.1694677871148471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2.564102564102564E-2</v>
      </c>
      <c r="I14" s="58">
        <v>10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5.8823529411764705E-2</v>
      </c>
      <c r="E15" s="27" t="s">
        <v>79</v>
      </c>
      <c r="F15" s="24" t="s">
        <v>34</v>
      </c>
      <c r="G15" s="12">
        <v>2</v>
      </c>
      <c r="H15" s="88">
        <f>IF(B$20=0,0,G15/B$20)</f>
        <v>2.564102564102564E-2</v>
      </c>
      <c r="I15" s="58">
        <v>2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78</v>
      </c>
      <c r="C16" s="10">
        <f>IF(B$3=0,0,B16/B$3)</f>
        <v>0.26351351351351349</v>
      </c>
      <c r="E16" s="27" t="s">
        <v>81</v>
      </c>
      <c r="F16" s="24" t="s">
        <v>36</v>
      </c>
      <c r="G16" s="12">
        <v>2</v>
      </c>
      <c r="H16" s="88">
        <f>IF(B$20=0,0,G16/B$20)</f>
        <v>2.564102564102564E-2</v>
      </c>
      <c r="I16" s="58">
        <v>10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58</v>
      </c>
      <c r="C17" s="6">
        <f>IF(B$3=0,0,B17/B$3)</f>
        <v>0.19594594594594594</v>
      </c>
      <c r="E17" s="27" t="s">
        <v>77</v>
      </c>
      <c r="F17" s="24" t="s">
        <v>32</v>
      </c>
      <c r="G17" s="12">
        <v>1</v>
      </c>
      <c r="H17" s="88">
        <f>IF(B$20=0,0,G17/B$20)</f>
        <v>1.282051282051282E-2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0.51282051282051277</v>
      </c>
      <c r="E18" s="27" t="s">
        <v>78</v>
      </c>
      <c r="F18" s="24" t="s">
        <v>33</v>
      </c>
      <c r="G18" s="12">
        <v>1</v>
      </c>
      <c r="H18" s="88">
        <f>IF(B$20=0,0,G18/B$20)</f>
        <v>1.282051282051282E-2</v>
      </c>
      <c r="I18" s="58">
        <v>10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0.33928571428571352</v>
      </c>
      <c r="Q18" s="77">
        <v>28</v>
      </c>
      <c r="R18" s="68">
        <v>9.4999999999999787</v>
      </c>
    </row>
    <row r="19" spans="1:18" x14ac:dyDescent="0.4">
      <c r="A19" s="18" t="s">
        <v>124</v>
      </c>
      <c r="B19" s="11">
        <f>B25</f>
        <v>22</v>
      </c>
      <c r="C19" s="5">
        <f>IF(B$17=0,0,B19/B$17)</f>
        <v>0.37931034482758619</v>
      </c>
      <c r="E19" s="27" t="s">
        <v>91</v>
      </c>
      <c r="F19" s="24" t="s">
        <v>46</v>
      </c>
      <c r="G19" s="12">
        <v>1</v>
      </c>
      <c r="H19" s="88">
        <f>IF(B$20=0,0,G19/B$20)</f>
        <v>1.282051282051282E-2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78</v>
      </c>
      <c r="C20" s="5">
        <f>IF(B$3=0,0,B20/B$3)</f>
        <v>0.26351351351351349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27</v>
      </c>
      <c r="C21" s="6">
        <f>IF(B$3=0,0,B21/B$3)</f>
        <v>9.1216216216216214E-2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25</v>
      </c>
      <c r="C22" s="6">
        <f>IF(B$20=0,0,B22/B$20)</f>
        <v>0.32051282051282054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5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53</v>
      </c>
      <c r="C23" s="6">
        <f>IF(B$20=0,0,B23/B$20)</f>
        <v>0.67948717948717952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40</v>
      </c>
      <c r="C24" s="6">
        <f>IF(B$20=0,0,B24/B$20)</f>
        <v>0.51282051282051277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22</v>
      </c>
      <c r="C25" s="6">
        <f>IF(B$20=0,0,B25/B$20)</f>
        <v>0.28205128205128205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16</v>
      </c>
      <c r="C26" s="6">
        <f>IF(B$20=0,0,B26/B$20)</f>
        <v>0.20512820512820512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7982.0512820512822</v>
      </c>
      <c r="C27" s="8">
        <v>622600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7742.8571428571431</v>
      </c>
      <c r="C28" s="96">
        <v>433600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8590.9090909090901</v>
      </c>
      <c r="C29" s="96">
        <v>189000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-6151.8518518518522</v>
      </c>
      <c r="C30" s="96">
        <v>-166100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2</v>
      </c>
      <c r="C37" s="98">
        <f t="shared" ref="C37:C49" si="3">IF(B$20=0,0,B37/B$20)</f>
        <v>2.564102564102564E-2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13</v>
      </c>
      <c r="C38" s="6">
        <f t="shared" si="3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18</v>
      </c>
      <c r="C39" s="6">
        <f t="shared" si="3"/>
        <v>0.23076923076923078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3"/>
        <v>0.28205128205128205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3"/>
        <v>0.11538461538461539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3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5.128205128205128E-2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1.282051282051282E-2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44</v>
      </c>
      <c r="C2" s="142"/>
      <c r="E2" s="26" t="s">
        <v>66</v>
      </c>
      <c r="F2" s="23" t="s">
        <v>22</v>
      </c>
      <c r="G2" s="11">
        <v>83</v>
      </c>
      <c r="H2" s="87">
        <f>IF(B$20=0,0,G2/B$20)</f>
        <v>0.72807017543859653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-554.5454545454545</v>
      </c>
      <c r="Q2" s="76">
        <v>44</v>
      </c>
      <c r="R2" s="63">
        <v>-24400</v>
      </c>
    </row>
    <row r="3" spans="1:18" x14ac:dyDescent="0.4">
      <c r="A3" s="19" t="s">
        <v>8</v>
      </c>
      <c r="B3" s="143">
        <v>378</v>
      </c>
      <c r="C3" s="144"/>
      <c r="E3" s="27" t="s">
        <v>72</v>
      </c>
      <c r="F3" s="24" t="s">
        <v>27</v>
      </c>
      <c r="G3" s="12">
        <v>67</v>
      </c>
      <c r="H3" s="88">
        <f>IF(B$20=0,0,G3/B$20)</f>
        <v>0.58771929824561409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686.36363636363637</v>
      </c>
      <c r="Q3" s="77">
        <v>44</v>
      </c>
      <c r="R3" s="64">
        <v>30200</v>
      </c>
    </row>
    <row r="4" spans="1:18" x14ac:dyDescent="0.4">
      <c r="A4" s="19" t="s">
        <v>6</v>
      </c>
      <c r="B4" s="145">
        <v>143.19999999999999</v>
      </c>
      <c r="C4" s="146"/>
      <c r="E4" s="27" t="s">
        <v>64</v>
      </c>
      <c r="F4" s="24" t="s">
        <v>20</v>
      </c>
      <c r="G4" s="12">
        <v>48</v>
      </c>
      <c r="H4" s="88">
        <f>IF(B$20=0,0,G4/B$20)</f>
        <v>0.42105263157894735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1643.1818181818182</v>
      </c>
      <c r="Q4" s="77">
        <v>44</v>
      </c>
      <c r="R4" s="64">
        <v>72300</v>
      </c>
    </row>
    <row r="5" spans="1:18" x14ac:dyDescent="0.4">
      <c r="A5" s="19" t="s">
        <v>7</v>
      </c>
      <c r="B5" s="133">
        <f>IF(B$2=0,0,B$4/B$2)</f>
        <v>3.2545454545454544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0.32456140350877194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39.024390243902438</v>
      </c>
      <c r="Q5" s="77">
        <v>41</v>
      </c>
      <c r="R5" s="64">
        <v>1600</v>
      </c>
    </row>
    <row r="6" spans="1:18" x14ac:dyDescent="0.4">
      <c r="A6" s="19" t="s">
        <v>196</v>
      </c>
      <c r="B6" s="137">
        <v>1531.1784483849297</v>
      </c>
      <c r="C6" s="138"/>
      <c r="E6" s="27" t="s">
        <v>68</v>
      </c>
      <c r="F6" s="24" t="s">
        <v>12</v>
      </c>
      <c r="G6" s="12">
        <v>30</v>
      </c>
      <c r="H6" s="88">
        <f>IF(B$20=0,0,G6/B$20)</f>
        <v>0.26315789473684209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89.189189189189193</v>
      </c>
      <c r="Q6" s="77">
        <v>37</v>
      </c>
      <c r="R6" s="64">
        <v>3300</v>
      </c>
    </row>
    <row r="7" spans="1:18" x14ac:dyDescent="0.4">
      <c r="A7" s="19" t="s">
        <v>1</v>
      </c>
      <c r="B7" s="147">
        <f>IF(B$2=0,0,(B$8*1+B$9*2+B$10*3)/B$2)</f>
        <v>1.9318181818181819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0.25438596491228072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1474.2857142857142</v>
      </c>
      <c r="Q7" s="78">
        <v>35</v>
      </c>
      <c r="R7" s="65">
        <v>51600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0.38636363636363635</v>
      </c>
      <c r="E8" s="27" t="s">
        <v>89</v>
      </c>
      <c r="F8" s="24" t="s">
        <v>44</v>
      </c>
      <c r="G8" s="12">
        <v>20</v>
      </c>
      <c r="H8" s="88">
        <f>IF(B$20=0,0,G8/B$20)</f>
        <v>0.17543859649122806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0.29545454545454547</v>
      </c>
      <c r="E9" s="27" t="s">
        <v>69</v>
      </c>
      <c r="F9" s="24" t="s">
        <v>24</v>
      </c>
      <c r="G9" s="12">
        <v>16</v>
      </c>
      <c r="H9" s="88">
        <f>IF(B$20=0,0,G9/B$20)</f>
        <v>0.14035087719298245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0.31818181818181818</v>
      </c>
      <c r="E10" s="27" t="s">
        <v>71</v>
      </c>
      <c r="F10" s="24" t="s">
        <v>26</v>
      </c>
      <c r="G10" s="12">
        <v>9</v>
      </c>
      <c r="H10" s="88">
        <f>IF(B$20=0,0,G10/B$20)</f>
        <v>7.8947368421052627E-2</v>
      </c>
      <c r="I10" s="58">
        <v>4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32.964705882352938</v>
      </c>
      <c r="C11" s="110">
        <v>560.4</v>
      </c>
      <c r="E11" s="27" t="s">
        <v>65</v>
      </c>
      <c r="F11" s="24" t="s">
        <v>21</v>
      </c>
      <c r="G11" s="12">
        <v>8</v>
      </c>
      <c r="H11" s="88">
        <f>IF(B$20=0,0,G11/B$20)</f>
        <v>7.0175438596491224E-2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6.1403508771929821E-2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5.2631578947368418E-2</v>
      </c>
      <c r="I13" s="58">
        <v>5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1.020103425985776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4.3859649122807015E-2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4.5454545454545456E-2</v>
      </c>
      <c r="E15" s="27" t="s">
        <v>81</v>
      </c>
      <c r="F15" s="24" t="s">
        <v>36</v>
      </c>
      <c r="G15" s="12">
        <v>5</v>
      </c>
      <c r="H15" s="88">
        <f>IF(B$20=0,0,G15/B$20)</f>
        <v>4.3859649122807015E-2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80</v>
      </c>
      <c r="C16" s="10">
        <f>IF(B$3=0,0,B16/B$3)</f>
        <v>0.21164021164021163</v>
      </c>
      <c r="E16" s="27" t="s">
        <v>91</v>
      </c>
      <c r="F16" s="24" t="s">
        <v>46</v>
      </c>
      <c r="G16" s="12">
        <v>5</v>
      </c>
      <c r="H16" s="88">
        <f>IF(B$20=0,0,G16/B$20)</f>
        <v>4.3859649122807015E-2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79</v>
      </c>
      <c r="C17" s="6">
        <f>IF(B$3=0,0,B17/B$3)</f>
        <v>0.20899470899470898</v>
      </c>
      <c r="E17" s="27" t="s">
        <v>78</v>
      </c>
      <c r="F17" s="24" t="s">
        <v>33</v>
      </c>
      <c r="G17" s="12">
        <v>4</v>
      </c>
      <c r="H17" s="88">
        <f>IF(B$20=0,0,G17/B$20)</f>
        <v>3.5087719298245612E-2</v>
      </c>
      <c r="I17" s="58">
        <v>4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0.58750000000000002</v>
      </c>
      <c r="E18" s="27" t="s">
        <v>73</v>
      </c>
      <c r="F18" s="24" t="s">
        <v>28</v>
      </c>
      <c r="G18" s="12">
        <v>2</v>
      </c>
      <c r="H18" s="88">
        <f>IF(B$20=0,0,G18/B$20)</f>
        <v>1.7543859649122806E-2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0.49367088607594939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0.30158730158730157</v>
      </c>
      <c r="E20" s="27" t="s">
        <v>93</v>
      </c>
      <c r="F20" s="24" t="s">
        <v>48</v>
      </c>
      <c r="G20" s="12">
        <v>1</v>
      </c>
      <c r="H20" s="88">
        <f>IF(B$20=0,0,G20/B$20)</f>
        <v>8.771929824561403E-3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-1.720833333333333</v>
      </c>
      <c r="Q20" s="77">
        <v>24</v>
      </c>
      <c r="R20" s="68">
        <v>-41.29999999999999</v>
      </c>
    </row>
    <row r="21" spans="1:18" x14ac:dyDescent="0.4">
      <c r="A21" s="19" t="s">
        <v>13</v>
      </c>
      <c r="B21" s="12">
        <v>51</v>
      </c>
      <c r="C21" s="6">
        <f>IF(B$3=0,0,B21/B$3)</f>
        <v>0.13492063492063491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49</v>
      </c>
      <c r="C22" s="6">
        <f>IF(B$20=0,0,B22/B$20)</f>
        <v>0.42982456140350878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65</v>
      </c>
      <c r="C23" s="6">
        <f>IF(B$20=0,0,B23/B$20)</f>
        <v>0.57017543859649122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47</v>
      </c>
      <c r="C24" s="6">
        <f>IF(B$20=0,0,B24/B$20)</f>
        <v>0.41228070175438597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39</v>
      </c>
      <c r="C25" s="6">
        <f>IF(B$20=0,0,B25/B$20)</f>
        <v>0.34210526315789475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0.24561403508771928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7921.9298245614036</v>
      </c>
      <c r="C27" s="8">
        <v>903100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8273.3333333333339</v>
      </c>
      <c r="C28" s="96">
        <v>620500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7246.1538461538457</v>
      </c>
      <c r="C29" s="96">
        <v>282600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-6609.8039215686276</v>
      </c>
      <c r="C30" s="96">
        <v>-337100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0.21929824561403508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0.18421052631578946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12</v>
      </c>
      <c r="C42" s="6">
        <f t="shared" si="3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4.3859649122807015E-2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3.5087719298245612E-2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8.771929824561403E-3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8.771929824561403E-3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8.771929824561403E-3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66</v>
      </c>
      <c r="F2" s="23" t="s">
        <v>22</v>
      </c>
      <c r="G2" s="11">
        <v>104</v>
      </c>
      <c r="H2" s="87">
        <f>IF(B$20=0,0,G2/B$20)</f>
        <v>0.74820143884892087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-181.25</v>
      </c>
      <c r="Q2" s="76">
        <v>48</v>
      </c>
      <c r="R2" s="63">
        <v>-8700</v>
      </c>
    </row>
    <row r="3" spans="1:18" x14ac:dyDescent="0.4">
      <c r="A3" s="19" t="s">
        <v>8</v>
      </c>
      <c r="B3" s="143">
        <v>414</v>
      </c>
      <c r="C3" s="144"/>
      <c r="E3" s="27" t="s">
        <v>72</v>
      </c>
      <c r="F3" s="24" t="s">
        <v>27</v>
      </c>
      <c r="G3" s="12">
        <v>88</v>
      </c>
      <c r="H3" s="88">
        <f>IF(B$20=0,0,G3/B$20)</f>
        <v>0.63309352517985606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691.11111111111109</v>
      </c>
      <c r="Q3" s="77">
        <v>45</v>
      </c>
      <c r="R3" s="64">
        <v>31100</v>
      </c>
    </row>
    <row r="4" spans="1:18" x14ac:dyDescent="0.4">
      <c r="A4" s="19" t="s">
        <v>6</v>
      </c>
      <c r="B4" s="145">
        <v>261.89999999999992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0.48201438848920863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793.47826086956525</v>
      </c>
      <c r="Q4" s="77">
        <v>46</v>
      </c>
      <c r="R4" s="64">
        <v>36500</v>
      </c>
    </row>
    <row r="5" spans="1:18" x14ac:dyDescent="0.4">
      <c r="A5" s="19" t="s">
        <v>7</v>
      </c>
      <c r="B5" s="133">
        <f>IF(B$2=0,0,B$4/B$2)</f>
        <v>5.456249999999998</v>
      </c>
      <c r="C5" s="134"/>
      <c r="E5" s="27" t="s">
        <v>64</v>
      </c>
      <c r="F5" s="24" t="s">
        <v>20</v>
      </c>
      <c r="G5" s="12">
        <v>44</v>
      </c>
      <c r="H5" s="88">
        <f>IF(B$20=0,0,G5/B$20)</f>
        <v>0.31654676258992803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2274.4186046511627</v>
      </c>
      <c r="Q5" s="77">
        <v>43</v>
      </c>
      <c r="R5" s="64">
        <v>97800</v>
      </c>
    </row>
    <row r="6" spans="1:18" x14ac:dyDescent="0.4">
      <c r="A6" s="19" t="s">
        <v>196</v>
      </c>
      <c r="B6" s="137">
        <v>1580.3102788159663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0.2446043165467626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280</v>
      </c>
      <c r="Q6" s="77">
        <v>40</v>
      </c>
      <c r="R6" s="64">
        <v>11200</v>
      </c>
    </row>
    <row r="7" spans="1:18" x14ac:dyDescent="0.4">
      <c r="A7" s="19" t="s">
        <v>1</v>
      </c>
      <c r="B7" s="147">
        <f>IF(B$2=0,0,(B$8*1+B$9*2+B$10*3)/B$2)</f>
        <v>1.8125</v>
      </c>
      <c r="C7" s="148"/>
      <c r="E7" s="27" t="s">
        <v>70</v>
      </c>
      <c r="F7" s="24" t="s">
        <v>25</v>
      </c>
      <c r="G7" s="12">
        <v>18</v>
      </c>
      <c r="H7" s="88">
        <f>IF(B$20=0,0,G7/B$20)</f>
        <v>0.12949640287769784</v>
      </c>
      <c r="I7" s="58">
        <v>3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-18.75</v>
      </c>
      <c r="Q7" s="78">
        <v>32</v>
      </c>
      <c r="R7" s="65">
        <v>-600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0.41666666666666669</v>
      </c>
      <c r="E8" s="27" t="s">
        <v>67</v>
      </c>
      <c r="F8" s="24" t="s">
        <v>23</v>
      </c>
      <c r="G8" s="12">
        <v>17</v>
      </c>
      <c r="H8" s="88">
        <f>IF(B$20=0,0,G8/B$20)</f>
        <v>0.1223021582733813</v>
      </c>
      <c r="I8" s="58">
        <v>12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0.35416666666666669</v>
      </c>
      <c r="E9" s="27" t="s">
        <v>89</v>
      </c>
      <c r="F9" s="24" t="s">
        <v>44</v>
      </c>
      <c r="G9" s="12">
        <v>17</v>
      </c>
      <c r="H9" s="88">
        <f>IF(B$20=0,0,G9/B$20)</f>
        <v>0.1223021582733813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0.22916666666666666</v>
      </c>
      <c r="E10" s="27" t="s">
        <v>71</v>
      </c>
      <c r="F10" s="24" t="s">
        <v>26</v>
      </c>
      <c r="G10" s="12">
        <v>15</v>
      </c>
      <c r="H10" s="88">
        <f>IF(B$20=0,0,G10/B$20)</f>
        <v>0.1079136690647482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9.3525179856115109E-2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3.5971223021582732E-2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1.2307692307692302</v>
      </c>
      <c r="Q12" s="78">
        <v>13</v>
      </c>
      <c r="R12" s="69">
        <v>15.999999999999993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3.5971223021582732E-2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-1.2433155080213893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2.8776978417266189E-2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79</v>
      </c>
      <c r="F15" s="24" t="s">
        <v>34</v>
      </c>
      <c r="G15" s="12">
        <v>3</v>
      </c>
      <c r="H15" s="88">
        <f>IF(B$20=0,0,G15/B$20)</f>
        <v>2.1582733812949641E-2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84</v>
      </c>
      <c r="C16" s="10">
        <f>IF(B$3=0,0,B16/B$3)</f>
        <v>0.20289855072463769</v>
      </c>
      <c r="E16" s="27" t="s">
        <v>81</v>
      </c>
      <c r="F16" s="24" t="s">
        <v>36</v>
      </c>
      <c r="G16" s="12">
        <v>3</v>
      </c>
      <c r="H16" s="88">
        <f>IF(B$20=0,0,G16/B$20)</f>
        <v>2.1582733812949641E-2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113</v>
      </c>
      <c r="C17" s="6">
        <f>IF(B$3=0,0,B17/B$3)</f>
        <v>0.27294685990338163</v>
      </c>
      <c r="E17" s="27" t="s">
        <v>83</v>
      </c>
      <c r="F17" s="24" t="s">
        <v>38</v>
      </c>
      <c r="G17" s="12">
        <v>3</v>
      </c>
      <c r="H17" s="88">
        <f>IF(B$20=0,0,G17/B$20)</f>
        <v>2.1582733812949641E-2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0.52380952380952384</v>
      </c>
      <c r="E18" s="27" t="s">
        <v>73</v>
      </c>
      <c r="F18" s="24" t="s">
        <v>28</v>
      </c>
      <c r="G18" s="12">
        <v>1</v>
      </c>
      <c r="H18" s="88">
        <f>IF(B$20=0,0,G18/B$20)</f>
        <v>7.1942446043165471E-3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0.41592920353982299</v>
      </c>
      <c r="E19" s="27" t="s">
        <v>88</v>
      </c>
      <c r="F19" s="24" t="s">
        <v>43</v>
      </c>
      <c r="G19" s="12">
        <v>1</v>
      </c>
      <c r="H19" s="88">
        <f>IF(B$20=0,0,G19/B$20)</f>
        <v>7.1942446043165471E-3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139</v>
      </c>
      <c r="C20" s="5">
        <f>IF(B$3=0,0,B20/B$3)</f>
        <v>0.33574879227053139</v>
      </c>
      <c r="E20" s="27" t="s">
        <v>92</v>
      </c>
      <c r="F20" s="24" t="s">
        <v>47</v>
      </c>
      <c r="G20" s="12">
        <v>1</v>
      </c>
      <c r="H20" s="88">
        <f>IF(B$20=0,0,G20/B$20)</f>
        <v>7.1942446043165471E-3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47</v>
      </c>
      <c r="C21" s="6">
        <f>IF(B$3=0,0,B21/B$3)</f>
        <v>0.11352657004830918</v>
      </c>
      <c r="E21" s="27" t="s">
        <v>102</v>
      </c>
      <c r="F21" s="24" t="s">
        <v>57</v>
      </c>
      <c r="G21" s="12">
        <v>1</v>
      </c>
      <c r="H21" s="88">
        <f>IF(B$20=0,0,G21/B$20)</f>
        <v>7.1942446043165471E-3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4.1499999999999968</v>
      </c>
      <c r="Q21" s="77">
        <v>40</v>
      </c>
      <c r="R21" s="68">
        <v>165.99999999999989</v>
      </c>
    </row>
    <row r="22" spans="1:18" x14ac:dyDescent="0.4">
      <c r="A22" s="19" t="s">
        <v>12</v>
      </c>
      <c r="B22" s="12">
        <v>55</v>
      </c>
      <c r="C22" s="6">
        <f>IF(B$20=0,0,B22/B$20)</f>
        <v>0.39568345323741005</v>
      </c>
      <c r="E22" s="27" t="s">
        <v>155</v>
      </c>
      <c r="F22" s="24" t="s">
        <v>156</v>
      </c>
      <c r="G22" s="12">
        <v>1</v>
      </c>
      <c r="H22" s="88">
        <f>IF(B$20=0,0,G22/B$20)</f>
        <v>7.1942446043165471E-3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84</v>
      </c>
      <c r="C23" s="6">
        <f>IF(B$20=0,0,B23/B$20)</f>
        <v>0.60431654676258995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-25.18</v>
      </c>
      <c r="Q23" s="77">
        <v>5</v>
      </c>
      <c r="R23" s="68">
        <v>-125.9</v>
      </c>
    </row>
    <row r="24" spans="1:18" x14ac:dyDescent="0.4">
      <c r="A24" s="19" t="s">
        <v>183</v>
      </c>
      <c r="B24" s="12">
        <v>44</v>
      </c>
      <c r="C24" s="6">
        <f>IF(B$20=0,0,B24/B$20)</f>
        <v>0.31654676258992803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47</v>
      </c>
      <c r="C25" s="6">
        <f>IF(B$20=0,0,B25/B$20)</f>
        <v>0.33812949640287771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0.34532374100719426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7306.4748201438852</v>
      </c>
      <c r="C27" s="8">
        <v>1015600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8179.347826086957</v>
      </c>
      <c r="C28" s="96">
        <v>752500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5597.8723404255315</v>
      </c>
      <c r="C29" s="96">
        <v>263100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-7774.4680851063831</v>
      </c>
      <c r="C30" s="96">
        <v>-365400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9.3525179856115109E-2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0.25899280575539568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30</v>
      </c>
      <c r="C39" s="6">
        <f t="shared" si="3"/>
        <v>0.21582733812949639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0.14388489208633093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3"/>
        <v>0.15107913669064749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2.8776978417266189E-2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5.7553956834532377E-2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1.4388489208633094E-2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1.4388489208633094E-2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7.1942446043165471E-3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1.4388489208633094E-2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18</v>
      </c>
      <c r="C2" s="142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140</v>
      </c>
      <c r="C3" s="144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-180.3</v>
      </c>
      <c r="C4" s="146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-10.016666666666667</v>
      </c>
      <c r="C5" s="134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1475.2783888604056</v>
      </c>
      <c r="C6" s="138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2.2222222222222223</v>
      </c>
      <c r="C7" s="148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11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10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6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-1.3125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74600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12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</v>
      </c>
      <c r="C2" s="142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43">
        <v>103</v>
      </c>
      <c r="C3" s="144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5">
        <v>-39.5</v>
      </c>
      <c r="C4" s="146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33">
        <f>IF(B$2=0,0,B$4/B$2)</f>
        <v>-3.2916666666666665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7">
        <v>1396.3170423346389</v>
      </c>
      <c r="C6" s="138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5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-6.7477777777777765</v>
      </c>
      <c r="C14" s="134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5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0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3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2020-12-09T14:39:16Z</dcterms:modified>
</cp:coreProperties>
</file>