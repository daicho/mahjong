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5C9D2ECC-7600-47E1-B58A-EF8B7BD6F941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48" r:id="rId6"/>
    <sheet name="だいち" sheetId="6850" r:id="rId7"/>
    <sheet name="れんたろう" sheetId="6852" r:id="rId8"/>
    <sheet name="たかの" sheetId="6854" r:id="rId9"/>
    <sheet name="まっつん" sheetId="6856" r:id="rId10"/>
    <sheet name="いちかわ" sheetId="6858" r:id="rId11"/>
    <sheet name="ただ" sheetId="6860" r:id="rId12"/>
    <sheet name="たか" sheetId="6862" r:id="rId13"/>
    <sheet name="のり" sheetId="6864" r:id="rId14"/>
    <sheet name="りくと" sheetId="6866" r:id="rId15"/>
    <sheet name="わさび" sheetId="6868" r:id="rId16"/>
    <sheet name="わさび2" sheetId="6869" state="hidden" r:id="rId17"/>
    <sheet name="りくと2" sheetId="6867" state="hidden" r:id="rId18"/>
    <sheet name="のり2" sheetId="6865" state="hidden" r:id="rId19"/>
    <sheet name="たか2" sheetId="6863" state="hidden" r:id="rId20"/>
    <sheet name="ただ2" sheetId="6861" state="hidden" r:id="rId21"/>
    <sheet name="いちかわ2" sheetId="6859" state="hidden" r:id="rId22"/>
    <sheet name="まっつん2" sheetId="6857" state="hidden" r:id="rId23"/>
    <sheet name="たかの2" sheetId="6855" state="hidden" r:id="rId24"/>
    <sheet name="れんたろう2" sheetId="6853" state="hidden" r:id="rId25"/>
    <sheet name="だいち2" sheetId="6851" state="hidden" r:id="rId26"/>
    <sheet name="全体2" sheetId="684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54" l="1"/>
  <c r="P18" i="6856"/>
  <c r="P21" i="6860"/>
  <c r="P15" i="6856"/>
  <c r="P19" i="6862" l="1"/>
  <c r="P15" i="6854"/>
  <c r="P16" i="6866" l="1"/>
  <c r="P15" i="6850"/>
  <c r="P21" i="6858" l="1"/>
  <c r="P19" i="6854"/>
  <c r="P15" i="6860" l="1"/>
  <c r="P18" i="6860"/>
  <c r="P17" i="6866"/>
  <c r="P17" i="6868"/>
  <c r="P18" i="6858"/>
  <c r="P15" i="6858"/>
  <c r="P15" i="6868"/>
  <c r="P16" i="6868"/>
  <c r="C35" i="6868"/>
  <c r="B30" i="6868"/>
  <c r="C21" i="6868"/>
  <c r="B20" i="6868"/>
  <c r="H9" i="6868" s="1"/>
  <c r="B19" i="6868"/>
  <c r="B29" i="6868" s="1"/>
  <c r="C18" i="6868"/>
  <c r="B18" i="6868"/>
  <c r="C17" i="6868"/>
  <c r="C16" i="6868"/>
  <c r="C15" i="6868"/>
  <c r="B13" i="6868"/>
  <c r="P12" i="6868"/>
  <c r="B12" i="6868"/>
  <c r="P11" i="6868"/>
  <c r="B11" i="6868"/>
  <c r="P10" i="6868"/>
  <c r="C10" i="6868"/>
  <c r="C9" i="6868"/>
  <c r="C8" i="6868"/>
  <c r="P7" i="6868"/>
  <c r="B7" i="6868"/>
  <c r="P6" i="6868"/>
  <c r="P5" i="6868"/>
  <c r="B5" i="6868"/>
  <c r="P4" i="6868"/>
  <c r="P3" i="6868"/>
  <c r="P2" i="6868"/>
  <c r="P15" i="6848"/>
  <c r="P18" i="6866"/>
  <c r="P15" i="6866"/>
  <c r="C35" i="6866"/>
  <c r="H34" i="6866"/>
  <c r="B30" i="6866"/>
  <c r="C21" i="6866"/>
  <c r="B20" i="6866"/>
  <c r="H52" i="6866" s="1"/>
  <c r="B19" i="6866"/>
  <c r="B29" i="6866" s="1"/>
  <c r="B18" i="6866"/>
  <c r="C18" i="6866" s="1"/>
  <c r="C17" i="6866"/>
  <c r="C16" i="6866"/>
  <c r="C15" i="6866"/>
  <c r="B13" i="6866"/>
  <c r="P12" i="6866"/>
  <c r="B12" i="6866"/>
  <c r="P11" i="6866"/>
  <c r="H12" i="6866"/>
  <c r="B11" i="6866"/>
  <c r="B14" i="6866" s="1"/>
  <c r="P10" i="6866"/>
  <c r="C10" i="6866"/>
  <c r="C9" i="6866"/>
  <c r="C8" i="6866"/>
  <c r="P7" i="6866"/>
  <c r="B7" i="6866"/>
  <c r="P6" i="6866"/>
  <c r="P5" i="6866"/>
  <c r="B5" i="6866"/>
  <c r="P4" i="6866"/>
  <c r="P3" i="6866"/>
  <c r="P2" i="6866"/>
  <c r="P18" i="6848"/>
  <c r="C19" i="6866" l="1"/>
  <c r="H25" i="6866"/>
  <c r="H31" i="6866"/>
  <c r="H15" i="6866"/>
  <c r="C24" i="6866"/>
  <c r="B14" i="6868"/>
  <c r="C19" i="6868"/>
  <c r="H5" i="6868"/>
  <c r="H6" i="6868"/>
  <c r="H35" i="6868"/>
  <c r="H44" i="6868"/>
  <c r="H22" i="6868"/>
  <c r="C45" i="6868"/>
  <c r="H12" i="6868"/>
  <c r="H36" i="6868"/>
  <c r="H15" i="6868"/>
  <c r="C44" i="6868"/>
  <c r="H10" i="6868"/>
  <c r="H29" i="6868"/>
  <c r="H3" i="6868"/>
  <c r="H23" i="6868"/>
  <c r="C39" i="6868"/>
  <c r="H11" i="6868"/>
  <c r="H20" i="6868"/>
  <c r="C22" i="6868"/>
  <c r="H30" i="6868"/>
  <c r="H40" i="6868"/>
  <c r="C48" i="6868"/>
  <c r="C43" i="6868"/>
  <c r="H27" i="6868"/>
  <c r="H13" i="6868"/>
  <c r="C47" i="6868"/>
  <c r="H2" i="6868"/>
  <c r="H17" i="6868"/>
  <c r="H24" i="6868"/>
  <c r="C40" i="6868"/>
  <c r="C49" i="6868"/>
  <c r="H18" i="6868"/>
  <c r="C25" i="6868"/>
  <c r="C20" i="6868"/>
  <c r="H4" i="6868"/>
  <c r="H28" i="6868"/>
  <c r="C37" i="6868"/>
  <c r="H14" i="6868"/>
  <c r="H26" i="6868"/>
  <c r="H31" i="6868"/>
  <c r="C41" i="6868"/>
  <c r="H52" i="6868"/>
  <c r="H48" i="6868"/>
  <c r="C26" i="6868"/>
  <c r="H37" i="6868"/>
  <c r="H41" i="6868"/>
  <c r="H45" i="6868"/>
  <c r="H49" i="6868"/>
  <c r="H7" i="6868"/>
  <c r="H21" i="6868"/>
  <c r="C23" i="6868"/>
  <c r="B27" i="6868"/>
  <c r="H32" i="6868"/>
  <c r="H38" i="6868"/>
  <c r="H42" i="6868"/>
  <c r="H46" i="6868"/>
  <c r="H50" i="6868"/>
  <c r="H25" i="6868"/>
  <c r="H8" i="6868"/>
  <c r="H33" i="6868"/>
  <c r="C38" i="6868"/>
  <c r="C42" i="6868"/>
  <c r="C46" i="6868"/>
  <c r="H51" i="6868"/>
  <c r="H16" i="6868"/>
  <c r="H19" i="6868"/>
  <c r="C24" i="6868"/>
  <c r="B28" i="6868"/>
  <c r="H34" i="6868"/>
  <c r="H39" i="6868"/>
  <c r="H43" i="6868"/>
  <c r="H47" i="6868"/>
  <c r="H41" i="6866"/>
  <c r="H43" i="6866"/>
  <c r="H35" i="6866"/>
  <c r="H44" i="6866"/>
  <c r="H45" i="6866"/>
  <c r="H21" i="6866"/>
  <c r="H10" i="6866"/>
  <c r="C25" i="6866"/>
  <c r="H4" i="6866"/>
  <c r="C26" i="6866"/>
  <c r="H3" i="6866"/>
  <c r="H13" i="6866"/>
  <c r="H27" i="6866"/>
  <c r="H37" i="6866"/>
  <c r="H18" i="6866"/>
  <c r="B28" i="6866"/>
  <c r="C37" i="6866"/>
  <c r="H48" i="6866"/>
  <c r="H47" i="6866"/>
  <c r="H9" i="6866"/>
  <c r="C22" i="6866"/>
  <c r="H29" i="6866"/>
  <c r="H39" i="6866"/>
  <c r="H49" i="6866"/>
  <c r="H5" i="6866"/>
  <c r="H16" i="6866"/>
  <c r="C20" i="6866"/>
  <c r="H11" i="6866"/>
  <c r="H7" i="6866"/>
  <c r="H2" i="6866"/>
  <c r="H8" i="6866"/>
  <c r="H14" i="6866"/>
  <c r="H23" i="6866"/>
  <c r="H40" i="6866"/>
  <c r="H6" i="6866"/>
  <c r="H19" i="6866"/>
  <c r="H22" i="6866"/>
  <c r="H26" i="6866"/>
  <c r="H30" i="6866"/>
  <c r="H36" i="6866"/>
  <c r="C40" i="6866"/>
  <c r="C44" i="6866"/>
  <c r="C48" i="6866"/>
  <c r="C41" i="6866"/>
  <c r="C45" i="6866"/>
  <c r="C49" i="6866"/>
  <c r="H17" i="6866"/>
  <c r="H20" i="6866"/>
  <c r="C23" i="6866"/>
  <c r="B27" i="6866"/>
  <c r="H32" i="6866"/>
  <c r="H38" i="6866"/>
  <c r="H42" i="6866"/>
  <c r="H46" i="6866"/>
  <c r="H50" i="6866"/>
  <c r="H24" i="6866"/>
  <c r="H28" i="6866"/>
  <c r="H33" i="6866"/>
  <c r="C38" i="6866"/>
  <c r="C42" i="6866"/>
  <c r="C46" i="6866"/>
  <c r="H51" i="6866"/>
  <c r="C39" i="6866"/>
  <c r="C43" i="6866"/>
  <c r="C47" i="6866"/>
  <c r="P18" i="6852" l="1"/>
  <c r="P20" i="6860"/>
  <c r="P16" i="6858"/>
  <c r="P16" i="6860"/>
  <c r="P22" i="6860"/>
  <c r="P18" i="6862"/>
  <c r="P20" i="6858"/>
  <c r="P20" i="6862"/>
  <c r="P16" i="6852"/>
  <c r="P15" i="6852"/>
  <c r="P17" i="6864" l="1"/>
  <c r="P16" i="6862"/>
  <c r="P16" i="6850"/>
  <c r="P18" i="6850"/>
  <c r="P16" i="6864"/>
  <c r="P15" i="6864"/>
  <c r="C35" i="6864"/>
  <c r="B30" i="6864"/>
  <c r="C21" i="6864"/>
  <c r="B20" i="6864"/>
  <c r="H52" i="6864" s="1"/>
  <c r="B19" i="6864"/>
  <c r="B29" i="6864" s="1"/>
  <c r="B18" i="6864"/>
  <c r="C18" i="6864" s="1"/>
  <c r="C17" i="6864"/>
  <c r="C16" i="6864"/>
  <c r="C15" i="6864"/>
  <c r="B13" i="6864"/>
  <c r="P12" i="6864"/>
  <c r="B12" i="6864"/>
  <c r="P11" i="6864"/>
  <c r="B11" i="6864"/>
  <c r="P10" i="6864"/>
  <c r="C10" i="6864"/>
  <c r="C9" i="6864"/>
  <c r="C8" i="6864"/>
  <c r="P7" i="6864"/>
  <c r="B7" i="6864"/>
  <c r="P6" i="6864"/>
  <c r="P5" i="6864"/>
  <c r="B5" i="6864"/>
  <c r="P4" i="6864"/>
  <c r="P3" i="6864"/>
  <c r="P2" i="6864"/>
  <c r="P17" i="6862"/>
  <c r="P15" i="6862"/>
  <c r="C35" i="6862"/>
  <c r="B30" i="6862"/>
  <c r="C21" i="6862"/>
  <c r="B20" i="6862"/>
  <c r="H52" i="6862" s="1"/>
  <c r="B19" i="6862"/>
  <c r="C19" i="6862" s="1"/>
  <c r="B18" i="6862"/>
  <c r="C18" i="6862" s="1"/>
  <c r="C17" i="6862"/>
  <c r="C16" i="6862"/>
  <c r="C15" i="6862"/>
  <c r="B13" i="6862"/>
  <c r="P12" i="6862"/>
  <c r="B12" i="6862"/>
  <c r="P11" i="6862"/>
  <c r="B11" i="6862"/>
  <c r="P10" i="6862"/>
  <c r="C10" i="6862"/>
  <c r="C9" i="6862"/>
  <c r="C8" i="6862"/>
  <c r="P7" i="6862"/>
  <c r="B7" i="6862"/>
  <c r="P6" i="6862"/>
  <c r="P5" i="6862"/>
  <c r="B5" i="6862"/>
  <c r="P4" i="6862"/>
  <c r="P3" i="6862"/>
  <c r="P2" i="6862"/>
  <c r="P23" i="6858"/>
  <c r="P17" i="6858"/>
  <c r="P16" i="6848"/>
  <c r="P17" i="6848"/>
  <c r="B14" i="6862" l="1"/>
  <c r="B14" i="6864"/>
  <c r="C19" i="6864"/>
  <c r="C20" i="6864"/>
  <c r="H33" i="6864"/>
  <c r="C42" i="6864"/>
  <c r="H51" i="6864"/>
  <c r="H15" i="6864"/>
  <c r="H18" i="6864"/>
  <c r="C25" i="6864"/>
  <c r="H40" i="6864"/>
  <c r="H44" i="6864"/>
  <c r="H48" i="6864"/>
  <c r="H2" i="6864"/>
  <c r="H4" i="6864"/>
  <c r="H13" i="6864"/>
  <c r="H10" i="6864"/>
  <c r="H30" i="6864"/>
  <c r="C40" i="6864"/>
  <c r="C44" i="6864"/>
  <c r="H19" i="6864"/>
  <c r="C26" i="6864"/>
  <c r="H37" i="6864"/>
  <c r="H41" i="6864"/>
  <c r="H45" i="6864"/>
  <c r="H49" i="6864"/>
  <c r="H7" i="6864"/>
  <c r="H14" i="6864"/>
  <c r="H16" i="6864"/>
  <c r="H24" i="6864"/>
  <c r="H28" i="6864"/>
  <c r="H31" i="6864"/>
  <c r="C37" i="6864"/>
  <c r="C41" i="6864"/>
  <c r="C45" i="6864"/>
  <c r="C49" i="6864"/>
  <c r="H11" i="6864"/>
  <c r="H22" i="6864"/>
  <c r="H27" i="6864"/>
  <c r="H36" i="6864"/>
  <c r="C48" i="6864"/>
  <c r="H6" i="6864"/>
  <c r="C22" i="6864"/>
  <c r="H8" i="6864"/>
  <c r="H20" i="6864"/>
  <c r="H9" i="6864"/>
  <c r="C23" i="6864"/>
  <c r="B27" i="6864"/>
  <c r="H32" i="6864"/>
  <c r="H38" i="6864"/>
  <c r="H42" i="6864"/>
  <c r="H46" i="6864"/>
  <c r="H50" i="6864"/>
  <c r="H25" i="6864"/>
  <c r="C38" i="6864"/>
  <c r="C46" i="6864"/>
  <c r="H3" i="6864"/>
  <c r="H12" i="6864"/>
  <c r="H17" i="6864"/>
  <c r="H21" i="6864"/>
  <c r="C24" i="6864"/>
  <c r="B28" i="6864"/>
  <c r="H34" i="6864"/>
  <c r="H39" i="6864"/>
  <c r="H43" i="6864"/>
  <c r="H47" i="6864"/>
  <c r="H5" i="6864"/>
  <c r="H23" i="6864"/>
  <c r="H26" i="6864"/>
  <c r="H29" i="6864"/>
  <c r="H35" i="6864"/>
  <c r="C39" i="6864"/>
  <c r="C43" i="6864"/>
  <c r="C47" i="6864"/>
  <c r="H10" i="6862"/>
  <c r="H19" i="6862"/>
  <c r="H9" i="6862"/>
  <c r="H4" i="6862"/>
  <c r="H3" i="6862"/>
  <c r="H14" i="6862"/>
  <c r="H31" i="6862"/>
  <c r="H34" i="6862"/>
  <c r="C37" i="6862"/>
  <c r="H25" i="6862"/>
  <c r="H43" i="6862"/>
  <c r="H12" i="6862"/>
  <c r="C41" i="6862"/>
  <c r="H2" i="6862"/>
  <c r="C22" i="6862"/>
  <c r="C25" i="6862"/>
  <c r="C49" i="6862"/>
  <c r="H5" i="6862"/>
  <c r="H20" i="6862"/>
  <c r="H23" i="6862"/>
  <c r="H26" i="6862"/>
  <c r="H44" i="6862"/>
  <c r="H17" i="6862"/>
  <c r="B28" i="6862"/>
  <c r="C24" i="6862"/>
  <c r="H37" i="6862"/>
  <c r="H45" i="6862"/>
  <c r="C45" i="6862"/>
  <c r="C26" i="6862"/>
  <c r="H39" i="6862"/>
  <c r="H47" i="6862"/>
  <c r="H6" i="6862"/>
  <c r="H13" i="6862"/>
  <c r="H18" i="6862"/>
  <c r="C20" i="6862"/>
  <c r="H28" i="6862"/>
  <c r="H40" i="6862"/>
  <c r="H48" i="6862"/>
  <c r="H8" i="6862"/>
  <c r="H22" i="6862"/>
  <c r="H41" i="6862"/>
  <c r="H49" i="6862"/>
  <c r="B29" i="6862"/>
  <c r="H27" i="6862"/>
  <c r="H30" i="6862"/>
  <c r="H36" i="6862"/>
  <c r="C40" i="6862"/>
  <c r="C44" i="6862"/>
  <c r="C48" i="6862"/>
  <c r="H21" i="6862"/>
  <c r="H15" i="6862"/>
  <c r="C23" i="6862"/>
  <c r="B27" i="6862"/>
  <c r="H32" i="6862"/>
  <c r="H38" i="6862"/>
  <c r="H42" i="6862"/>
  <c r="H46" i="6862"/>
  <c r="H50" i="6862"/>
  <c r="H16" i="6862"/>
  <c r="H7" i="6862"/>
  <c r="H33" i="6862"/>
  <c r="C38" i="6862"/>
  <c r="C42" i="6862"/>
  <c r="C46" i="6862"/>
  <c r="H51" i="6862"/>
  <c r="H24" i="6862"/>
  <c r="H11" i="6862"/>
  <c r="H29" i="6862"/>
  <c r="H35" i="6862"/>
  <c r="C39" i="6862"/>
  <c r="C43" i="6862"/>
  <c r="C47" i="6862"/>
  <c r="P20" i="6854" l="1"/>
  <c r="P19" i="6860"/>
  <c r="P17" i="6860"/>
  <c r="C35" i="6860"/>
  <c r="B30" i="6860"/>
  <c r="C21" i="6860"/>
  <c r="B20" i="6860"/>
  <c r="H22" i="6860" s="1"/>
  <c r="B19" i="6860"/>
  <c r="B29" i="6860" s="1"/>
  <c r="B18" i="6860"/>
  <c r="C18" i="6860" s="1"/>
  <c r="C17" i="6860"/>
  <c r="C16" i="6860"/>
  <c r="C15" i="6860"/>
  <c r="B13" i="6860"/>
  <c r="P12" i="6860"/>
  <c r="B12" i="6860"/>
  <c r="P11" i="6860"/>
  <c r="B11" i="6860"/>
  <c r="P10" i="6860"/>
  <c r="C10" i="6860"/>
  <c r="C9" i="6860"/>
  <c r="C8" i="6860"/>
  <c r="P7" i="6860"/>
  <c r="B7" i="6860"/>
  <c r="P6" i="6860"/>
  <c r="P5" i="6860"/>
  <c r="B5" i="6860"/>
  <c r="P4" i="6860"/>
  <c r="P3" i="6860"/>
  <c r="P2" i="6860"/>
  <c r="P22" i="6850"/>
  <c r="P24" i="6848"/>
  <c r="C24" i="6860" l="1"/>
  <c r="C39" i="6860"/>
  <c r="H46" i="6860"/>
  <c r="B14" i="6860"/>
  <c r="H23" i="6860"/>
  <c r="H11" i="6860"/>
  <c r="C19" i="6860"/>
  <c r="H6" i="6860"/>
  <c r="H12" i="6860"/>
  <c r="C47" i="6860"/>
  <c r="H13" i="6860"/>
  <c r="H42" i="6860"/>
  <c r="C40" i="6860"/>
  <c r="H14" i="6860"/>
  <c r="H49" i="6860"/>
  <c r="C45" i="6860"/>
  <c r="C48" i="6860"/>
  <c r="C20" i="6860"/>
  <c r="H2" i="6860"/>
  <c r="H28" i="6860"/>
  <c r="H37" i="6860"/>
  <c r="H21" i="6860"/>
  <c r="H19" i="6860"/>
  <c r="H25" i="6860"/>
  <c r="H17" i="6860"/>
  <c r="B28" i="6860"/>
  <c r="H38" i="6860"/>
  <c r="H44" i="6860"/>
  <c r="C49" i="6860"/>
  <c r="C25" i="6860"/>
  <c r="H31" i="6860"/>
  <c r="H10" i="6860"/>
  <c r="H18" i="6860"/>
  <c r="H8" i="6860"/>
  <c r="H7" i="6860"/>
  <c r="H27" i="6860"/>
  <c r="C22" i="6860"/>
  <c r="H32" i="6860"/>
  <c r="H39" i="6860"/>
  <c r="C43" i="6860"/>
  <c r="H4" i="6860"/>
  <c r="H20" i="6860"/>
  <c r="H3" i="6860"/>
  <c r="H36" i="6860"/>
  <c r="H24" i="6860"/>
  <c r="C26" i="6860"/>
  <c r="C41" i="6860"/>
  <c r="H5" i="6860"/>
  <c r="H26" i="6860"/>
  <c r="H29" i="6860"/>
  <c r="H33" i="6860"/>
  <c r="C37" i="6860"/>
  <c r="C44" i="6860"/>
  <c r="H52" i="6860"/>
  <c r="H48" i="6860"/>
  <c r="H16" i="6860"/>
  <c r="H41" i="6860"/>
  <c r="H45" i="6860"/>
  <c r="H50" i="6860"/>
  <c r="H15" i="6860"/>
  <c r="C23" i="6860"/>
  <c r="B27" i="6860"/>
  <c r="H34" i="6860"/>
  <c r="H40" i="6860"/>
  <c r="H43" i="6860"/>
  <c r="H47" i="6860"/>
  <c r="H51" i="6860"/>
  <c r="H30" i="6860"/>
  <c r="H9" i="6860"/>
  <c r="H35" i="6860"/>
  <c r="C38" i="6860"/>
  <c r="C42" i="6860"/>
  <c r="C46" i="6860"/>
  <c r="P20" i="6850" l="1"/>
  <c r="P17" i="6850"/>
  <c r="P19" i="6858"/>
  <c r="P22" i="6858"/>
  <c r="C35" i="6858"/>
  <c r="B30" i="6858"/>
  <c r="C21" i="6858"/>
  <c r="B20" i="6858"/>
  <c r="H51" i="6858" s="1"/>
  <c r="B19" i="6858"/>
  <c r="B29" i="6858" s="1"/>
  <c r="B18" i="6858"/>
  <c r="C18" i="6858" s="1"/>
  <c r="C17" i="6858"/>
  <c r="C16" i="6858"/>
  <c r="C15" i="6858"/>
  <c r="B13" i="6858"/>
  <c r="P12" i="6858"/>
  <c r="B12" i="6858"/>
  <c r="P11" i="6858"/>
  <c r="B11" i="6858"/>
  <c r="P10" i="6858"/>
  <c r="C10" i="6858"/>
  <c r="C9" i="6858"/>
  <c r="C8" i="6858"/>
  <c r="P7" i="6858"/>
  <c r="B7" i="6858"/>
  <c r="P6" i="6858"/>
  <c r="P5" i="6858"/>
  <c r="B5" i="6858"/>
  <c r="P4" i="6858"/>
  <c r="P3" i="6858"/>
  <c r="P2" i="6858"/>
  <c r="P19" i="6848"/>
  <c r="P17" i="6856"/>
  <c r="P16" i="6856"/>
  <c r="C35" i="6856"/>
  <c r="B30" i="6856"/>
  <c r="C21" i="6856"/>
  <c r="B20" i="6856"/>
  <c r="H51" i="6856" s="1"/>
  <c r="B19" i="6856"/>
  <c r="B29" i="6856" s="1"/>
  <c r="B18" i="6856"/>
  <c r="C18" i="6856" s="1"/>
  <c r="C17" i="6856"/>
  <c r="C16" i="6856"/>
  <c r="C15" i="6856"/>
  <c r="B13" i="6856"/>
  <c r="P12" i="6856"/>
  <c r="B12" i="6856"/>
  <c r="P11" i="6856"/>
  <c r="B11" i="6856"/>
  <c r="P10" i="6856"/>
  <c r="C10" i="6856"/>
  <c r="C9" i="6856"/>
  <c r="C8" i="6856"/>
  <c r="P7" i="6856"/>
  <c r="B7" i="6856"/>
  <c r="P6" i="6856"/>
  <c r="P5" i="6856"/>
  <c r="B5" i="6856"/>
  <c r="P4" i="6856"/>
  <c r="P3" i="6856"/>
  <c r="P2" i="6856"/>
  <c r="P23" i="6848"/>
  <c r="B14" i="6856" l="1"/>
  <c r="C19" i="6856"/>
  <c r="H7" i="6856"/>
  <c r="B14" i="6858"/>
  <c r="C19" i="6858"/>
  <c r="H4" i="6858"/>
  <c r="H15" i="6858"/>
  <c r="C39" i="6858"/>
  <c r="C45" i="6858"/>
  <c r="C24" i="6858"/>
  <c r="C20" i="6858"/>
  <c r="C25" i="6858"/>
  <c r="H34" i="6858"/>
  <c r="H41" i="6858"/>
  <c r="C47" i="6858"/>
  <c r="H20" i="6858"/>
  <c r="H47" i="6858"/>
  <c r="H23" i="6858"/>
  <c r="C41" i="6858"/>
  <c r="H48" i="6858"/>
  <c r="H10" i="6858"/>
  <c r="H40" i="6858"/>
  <c r="C26" i="6858"/>
  <c r="H8" i="6858"/>
  <c r="H19" i="6858"/>
  <c r="H29" i="6858"/>
  <c r="H43" i="6858"/>
  <c r="H49" i="6858"/>
  <c r="H21" i="6858"/>
  <c r="C22" i="6858"/>
  <c r="B27" i="6858"/>
  <c r="H37" i="6858"/>
  <c r="C43" i="6858"/>
  <c r="C49" i="6858"/>
  <c r="H11" i="6858"/>
  <c r="H25" i="6858"/>
  <c r="H26" i="6858"/>
  <c r="C37" i="6858"/>
  <c r="H44" i="6858"/>
  <c r="H6" i="6858"/>
  <c r="H7" i="6858"/>
  <c r="H18" i="6858"/>
  <c r="H31" i="6858"/>
  <c r="H13" i="6858"/>
  <c r="H3" i="6858"/>
  <c r="H35" i="6858"/>
  <c r="H2" i="6858"/>
  <c r="H17" i="6858"/>
  <c r="B28" i="6858"/>
  <c r="H5" i="6858"/>
  <c r="H14" i="6858"/>
  <c r="H22" i="6858"/>
  <c r="C23" i="6858"/>
  <c r="H30" i="6858"/>
  <c r="H39" i="6858"/>
  <c r="H45" i="6858"/>
  <c r="H52" i="6858"/>
  <c r="H24" i="6858"/>
  <c r="H16" i="6858"/>
  <c r="H28" i="6858"/>
  <c r="H12" i="6858"/>
  <c r="H36" i="6858"/>
  <c r="C40" i="6858"/>
  <c r="C44" i="6858"/>
  <c r="C48" i="6858"/>
  <c r="H32" i="6858"/>
  <c r="H38" i="6858"/>
  <c r="H42" i="6858"/>
  <c r="H46" i="6858"/>
  <c r="H50" i="6858"/>
  <c r="H27" i="6858"/>
  <c r="H9" i="6858"/>
  <c r="H33" i="6858"/>
  <c r="C38" i="6858"/>
  <c r="C42" i="6858"/>
  <c r="C46" i="6858"/>
  <c r="H47" i="6856"/>
  <c r="H29" i="6856"/>
  <c r="H30" i="6856"/>
  <c r="H2" i="6856"/>
  <c r="C48" i="6856"/>
  <c r="C24" i="6856"/>
  <c r="C20" i="6856"/>
  <c r="C47" i="6856"/>
  <c r="C37" i="6856"/>
  <c r="H20" i="6856"/>
  <c r="H27" i="6856"/>
  <c r="H31" i="6856"/>
  <c r="H38" i="6856"/>
  <c r="C43" i="6856"/>
  <c r="H49" i="6856"/>
  <c r="C41" i="6856"/>
  <c r="H9" i="6856"/>
  <c r="C49" i="6856"/>
  <c r="H43" i="6856"/>
  <c r="H23" i="6856"/>
  <c r="C26" i="6856"/>
  <c r="H39" i="6856"/>
  <c r="C44" i="6856"/>
  <c r="H6" i="6856"/>
  <c r="H15" i="6856"/>
  <c r="H21" i="6856"/>
  <c r="C22" i="6856"/>
  <c r="H28" i="6856"/>
  <c r="H34" i="6856"/>
  <c r="C39" i="6856"/>
  <c r="H45" i="6856"/>
  <c r="H50" i="6856"/>
  <c r="H36" i="6856"/>
  <c r="H11" i="6856"/>
  <c r="H37" i="6856"/>
  <c r="C25" i="6856"/>
  <c r="H13" i="6856"/>
  <c r="H3" i="6856"/>
  <c r="H25" i="6856"/>
  <c r="B27" i="6856"/>
  <c r="H35" i="6856"/>
  <c r="C40" i="6856"/>
  <c r="C45" i="6856"/>
  <c r="H5" i="6856"/>
  <c r="H4" i="6856"/>
  <c r="H14" i="6856"/>
  <c r="H42" i="6856"/>
  <c r="H19" i="6856"/>
  <c r="H24" i="6856"/>
  <c r="H17" i="6856"/>
  <c r="H32" i="6856"/>
  <c r="H8" i="6856"/>
  <c r="H16" i="6856"/>
  <c r="H18" i="6856"/>
  <c r="H22" i="6856"/>
  <c r="H12" i="6856"/>
  <c r="C23" i="6856"/>
  <c r="B28" i="6856"/>
  <c r="H41" i="6856"/>
  <c r="H46" i="6856"/>
  <c r="H52" i="6856"/>
  <c r="H40" i="6856"/>
  <c r="H44" i="6856"/>
  <c r="H48" i="6856"/>
  <c r="H26" i="6856"/>
  <c r="H10" i="6856"/>
  <c r="H33" i="6856"/>
  <c r="C38" i="6856"/>
  <c r="C42" i="6856"/>
  <c r="C46" i="6856"/>
  <c r="P16" i="6854" l="1"/>
  <c r="P18" i="6854"/>
  <c r="C35" i="6854"/>
  <c r="B30" i="6854"/>
  <c r="C21" i="6854"/>
  <c r="B20" i="6854"/>
  <c r="H51" i="6854" s="1"/>
  <c r="B19" i="6854"/>
  <c r="B29" i="6854" s="1"/>
  <c r="C18" i="6854"/>
  <c r="B18" i="6854"/>
  <c r="C17" i="6854"/>
  <c r="C16" i="6854"/>
  <c r="C15" i="6854"/>
  <c r="B13" i="6854"/>
  <c r="P12" i="6854"/>
  <c r="B12" i="6854"/>
  <c r="P11" i="6854"/>
  <c r="B11" i="6854"/>
  <c r="P10" i="6854"/>
  <c r="C10" i="6854"/>
  <c r="C9" i="6854"/>
  <c r="C8" i="6854"/>
  <c r="P7" i="6854"/>
  <c r="B7" i="6854"/>
  <c r="P6" i="6854"/>
  <c r="P5" i="6854"/>
  <c r="B5" i="6854"/>
  <c r="P4" i="6854"/>
  <c r="P3" i="6854"/>
  <c r="P2" i="6854"/>
  <c r="P17" i="6852"/>
  <c r="P19" i="6852"/>
  <c r="C35" i="6852"/>
  <c r="B30" i="6852"/>
  <c r="C21" i="6852"/>
  <c r="B20" i="6852"/>
  <c r="H17" i="6852" s="1"/>
  <c r="B19" i="6852"/>
  <c r="B29" i="6852" s="1"/>
  <c r="B18" i="6852"/>
  <c r="C18" i="6852" s="1"/>
  <c r="C17" i="6852"/>
  <c r="C16" i="6852"/>
  <c r="C15" i="6852"/>
  <c r="B13" i="6852"/>
  <c r="P12" i="6852"/>
  <c r="B12" i="6852"/>
  <c r="P11" i="6852"/>
  <c r="B11" i="6852"/>
  <c r="P10" i="6852"/>
  <c r="C10" i="6852"/>
  <c r="C9" i="6852"/>
  <c r="C8" i="6852"/>
  <c r="P7" i="6852"/>
  <c r="B7" i="6852"/>
  <c r="P6" i="6852"/>
  <c r="P5" i="6852"/>
  <c r="B5" i="6852"/>
  <c r="P4" i="6852"/>
  <c r="P3" i="6852"/>
  <c r="P2" i="6852"/>
  <c r="P21" i="6848"/>
  <c r="P21" i="6850"/>
  <c r="P19" i="6850"/>
  <c r="C35" i="6850"/>
  <c r="B30" i="6850"/>
  <c r="C21" i="6850"/>
  <c r="B20" i="6850"/>
  <c r="H13" i="6850" s="1"/>
  <c r="B19" i="6850"/>
  <c r="B29" i="6850" s="1"/>
  <c r="B18" i="6850"/>
  <c r="C18" i="6850" s="1"/>
  <c r="C17" i="6850"/>
  <c r="C16" i="6850"/>
  <c r="C15" i="6850"/>
  <c r="B13" i="6850"/>
  <c r="P12" i="6850"/>
  <c r="B12" i="6850"/>
  <c r="P11" i="6850"/>
  <c r="B11" i="6850"/>
  <c r="P10" i="6850"/>
  <c r="C10" i="6850"/>
  <c r="C9" i="6850"/>
  <c r="C8" i="6850"/>
  <c r="P7" i="6850"/>
  <c r="B7" i="6850"/>
  <c r="P6" i="6850"/>
  <c r="P5" i="6850"/>
  <c r="B5" i="6850"/>
  <c r="P4" i="6850"/>
  <c r="P3" i="6850"/>
  <c r="P2" i="6850"/>
  <c r="P22" i="6848"/>
  <c r="P20" i="6848"/>
  <c r="C35" i="6848"/>
  <c r="B30" i="6848"/>
  <c r="C21" i="6848"/>
  <c r="B20" i="6848"/>
  <c r="H51" i="6848" s="1"/>
  <c r="B19" i="6848"/>
  <c r="B29" i="6848" s="1"/>
  <c r="B18" i="6848"/>
  <c r="C18" i="6848" s="1"/>
  <c r="C17" i="6848"/>
  <c r="C16" i="6848"/>
  <c r="C15" i="6848"/>
  <c r="B13" i="6848"/>
  <c r="P12" i="6848"/>
  <c r="B12" i="6848"/>
  <c r="P11" i="6848"/>
  <c r="B11" i="6848"/>
  <c r="P10" i="6848"/>
  <c r="C10" i="6848"/>
  <c r="C9" i="6848"/>
  <c r="C8" i="6848"/>
  <c r="P7" i="6848"/>
  <c r="B7" i="6848"/>
  <c r="P6" i="6848"/>
  <c r="P5" i="6848"/>
  <c r="B5" i="6848"/>
  <c r="P4" i="6848"/>
  <c r="P3" i="6848"/>
  <c r="P2" i="6848"/>
  <c r="B14" i="6854" l="1"/>
  <c r="B14" i="6852"/>
  <c r="C19" i="6852"/>
  <c r="B14" i="6850"/>
  <c r="H24" i="6850"/>
  <c r="C19" i="6850"/>
  <c r="B14" i="6848"/>
  <c r="C19" i="6854"/>
  <c r="H31" i="6854"/>
  <c r="H6" i="6854"/>
  <c r="H10" i="6854"/>
  <c r="C20" i="6854"/>
  <c r="H17" i="6854"/>
  <c r="H18" i="6854"/>
  <c r="H37" i="6854"/>
  <c r="C41" i="6854"/>
  <c r="H46" i="6854"/>
  <c r="H52" i="6854"/>
  <c r="H27" i="6854"/>
  <c r="C25" i="6854"/>
  <c r="C37" i="6854"/>
  <c r="H42" i="6854"/>
  <c r="H47" i="6854"/>
  <c r="H21" i="6854"/>
  <c r="H24" i="6854"/>
  <c r="H30" i="6854"/>
  <c r="H32" i="6854"/>
  <c r="H38" i="6854"/>
  <c r="H43" i="6854"/>
  <c r="C47" i="6854"/>
  <c r="C24" i="6854"/>
  <c r="H41" i="6854"/>
  <c r="H23" i="6854"/>
  <c r="H7" i="6854"/>
  <c r="C26" i="6854"/>
  <c r="C43" i="6854"/>
  <c r="H4" i="6854"/>
  <c r="H25" i="6854"/>
  <c r="C22" i="6854"/>
  <c r="H19" i="6854"/>
  <c r="H34" i="6854"/>
  <c r="C39" i="6854"/>
  <c r="H44" i="6854"/>
  <c r="C48" i="6854"/>
  <c r="H3" i="6854"/>
  <c r="H36" i="6854"/>
  <c r="C45" i="6854"/>
  <c r="H2" i="6854"/>
  <c r="H14" i="6854"/>
  <c r="H8" i="6854"/>
  <c r="H26" i="6854"/>
  <c r="H13" i="6854"/>
  <c r="H20" i="6854"/>
  <c r="H39" i="6854"/>
  <c r="H48" i="6854"/>
  <c r="H5" i="6854"/>
  <c r="H12" i="6854"/>
  <c r="H22" i="6854"/>
  <c r="H28" i="6854"/>
  <c r="B27" i="6854"/>
  <c r="H35" i="6854"/>
  <c r="H40" i="6854"/>
  <c r="C44" i="6854"/>
  <c r="H49" i="6854"/>
  <c r="H11" i="6854"/>
  <c r="H16" i="6854"/>
  <c r="H15" i="6854"/>
  <c r="C23" i="6854"/>
  <c r="B28" i="6854"/>
  <c r="C40" i="6854"/>
  <c r="H45" i="6854"/>
  <c r="H50" i="6854"/>
  <c r="C49" i="6854"/>
  <c r="H29" i="6854"/>
  <c r="H9" i="6854"/>
  <c r="H33" i="6854"/>
  <c r="C38" i="6854"/>
  <c r="C42" i="6854"/>
  <c r="C46" i="6854"/>
  <c r="H11" i="6852"/>
  <c r="H37" i="6852"/>
  <c r="H42" i="6852"/>
  <c r="H48" i="6852"/>
  <c r="H18" i="6852"/>
  <c r="H10" i="6852"/>
  <c r="H23" i="6852"/>
  <c r="C25" i="6852"/>
  <c r="H44" i="6852"/>
  <c r="H49" i="6852"/>
  <c r="C20" i="6852"/>
  <c r="H38" i="6852"/>
  <c r="H9" i="6852"/>
  <c r="C37" i="6852"/>
  <c r="H24" i="6852"/>
  <c r="H29" i="6852"/>
  <c r="H32" i="6852"/>
  <c r="H39" i="6852"/>
  <c r="C43" i="6852"/>
  <c r="C48" i="6852"/>
  <c r="C47" i="6852"/>
  <c r="H21" i="6852"/>
  <c r="C26" i="6852"/>
  <c r="H50" i="6852"/>
  <c r="H30" i="6852"/>
  <c r="H26" i="6852"/>
  <c r="H33" i="6852"/>
  <c r="H7" i="6852"/>
  <c r="H15" i="6852"/>
  <c r="H25" i="6852"/>
  <c r="C22" i="6852"/>
  <c r="H20" i="6852"/>
  <c r="H35" i="6852"/>
  <c r="C39" i="6852"/>
  <c r="C44" i="6852"/>
  <c r="C49" i="6852"/>
  <c r="C24" i="6852"/>
  <c r="H31" i="6852"/>
  <c r="H27" i="6852"/>
  <c r="H40" i="6852"/>
  <c r="H4" i="6852"/>
  <c r="H28" i="6852"/>
  <c r="B27" i="6852"/>
  <c r="H36" i="6852"/>
  <c r="H41" i="6852"/>
  <c r="H46" i="6852"/>
  <c r="H5" i="6852"/>
  <c r="H3" i="6852"/>
  <c r="C41" i="6852"/>
  <c r="H2" i="6852"/>
  <c r="H14" i="6852"/>
  <c r="H45" i="6852"/>
  <c r="H6" i="6852"/>
  <c r="H16" i="6852"/>
  <c r="H22" i="6852"/>
  <c r="H13" i="6852"/>
  <c r="H12" i="6852"/>
  <c r="C23" i="6852"/>
  <c r="B28" i="6852"/>
  <c r="C40" i="6852"/>
  <c r="C45" i="6852"/>
  <c r="H52" i="6852"/>
  <c r="H43" i="6852"/>
  <c r="H47" i="6852"/>
  <c r="H51" i="6852"/>
  <c r="H19" i="6852"/>
  <c r="H8" i="6852"/>
  <c r="H34" i="6852"/>
  <c r="C38" i="6852"/>
  <c r="C42" i="6852"/>
  <c r="C46" i="6852"/>
  <c r="C19" i="6848"/>
  <c r="H14" i="6850"/>
  <c r="H6" i="6850"/>
  <c r="H46" i="6850"/>
  <c r="H11" i="6850"/>
  <c r="H23" i="6850"/>
  <c r="H21" i="6850"/>
  <c r="H48" i="6850"/>
  <c r="C25" i="6850"/>
  <c r="C40" i="6850"/>
  <c r="C26" i="6850"/>
  <c r="H36" i="6850"/>
  <c r="H42" i="6850"/>
  <c r="C47" i="6850"/>
  <c r="C20" i="6850"/>
  <c r="H50" i="6850"/>
  <c r="H30" i="6850"/>
  <c r="H8" i="6850"/>
  <c r="H31" i="6850"/>
  <c r="C41" i="6850"/>
  <c r="H19" i="6850"/>
  <c r="H27" i="6850"/>
  <c r="C22" i="6850"/>
  <c r="B28" i="6850"/>
  <c r="H37" i="6850"/>
  <c r="H44" i="6850"/>
  <c r="C49" i="6850"/>
  <c r="H12" i="6850"/>
  <c r="C45" i="6850"/>
  <c r="H28" i="6850"/>
  <c r="H20" i="6850"/>
  <c r="H25" i="6850"/>
  <c r="H7" i="6850"/>
  <c r="H9" i="6850"/>
  <c r="H29" i="6850"/>
  <c r="H32" i="6850"/>
  <c r="H38" i="6850"/>
  <c r="C43" i="6850"/>
  <c r="H5" i="6850"/>
  <c r="H40" i="6850"/>
  <c r="C39" i="6850"/>
  <c r="H3" i="6850"/>
  <c r="H35" i="6850"/>
  <c r="H2" i="6850"/>
  <c r="H15" i="6850"/>
  <c r="H4" i="6850"/>
  <c r="H26" i="6850"/>
  <c r="C24" i="6850"/>
  <c r="H17" i="6850"/>
  <c r="C37" i="6850"/>
  <c r="C44" i="6850"/>
  <c r="H52" i="6850"/>
  <c r="H41" i="6850"/>
  <c r="H45" i="6850"/>
  <c r="H49" i="6850"/>
  <c r="C48" i="6850"/>
  <c r="H18" i="6850"/>
  <c r="H16" i="6850"/>
  <c r="C23" i="6850"/>
  <c r="B27" i="6850"/>
  <c r="H33" i="6850"/>
  <c r="H39" i="6850"/>
  <c r="H43" i="6850"/>
  <c r="H47" i="6850"/>
  <c r="H51" i="6850"/>
  <c r="H22" i="6850"/>
  <c r="H10" i="6850"/>
  <c r="H34" i="6850"/>
  <c r="C38" i="6850"/>
  <c r="C42" i="6850"/>
  <c r="C46" i="6850"/>
  <c r="C20" i="6848"/>
  <c r="H3" i="6848"/>
  <c r="H21" i="6848"/>
  <c r="H35" i="6848"/>
  <c r="C42" i="6848"/>
  <c r="H18" i="6848"/>
  <c r="H9" i="6848"/>
  <c r="H23" i="6848"/>
  <c r="B28" i="6848"/>
  <c r="H36" i="6848"/>
  <c r="H41" i="6848"/>
  <c r="H44" i="6848"/>
  <c r="H48" i="6848"/>
  <c r="H5" i="6848"/>
  <c r="H31" i="6848"/>
  <c r="H13" i="6848"/>
  <c r="H34" i="6848"/>
  <c r="H37" i="6848"/>
  <c r="C39" i="6848"/>
  <c r="C43" i="6848"/>
  <c r="C47" i="6848"/>
  <c r="H52" i="6848"/>
  <c r="H20" i="6848"/>
  <c r="H29" i="6848"/>
  <c r="C25" i="6848"/>
  <c r="H42" i="6848"/>
  <c r="H45" i="6848"/>
  <c r="H49" i="6848"/>
  <c r="H8" i="6848"/>
  <c r="C38" i="6848"/>
  <c r="C46" i="6848"/>
  <c r="H2" i="6848"/>
  <c r="H19" i="6848"/>
  <c r="C24" i="6848"/>
  <c r="H7" i="6848"/>
  <c r="H10" i="6848"/>
  <c r="H30" i="6848"/>
  <c r="H15" i="6848"/>
  <c r="H33" i="6848"/>
  <c r="H17" i="6848"/>
  <c r="H38" i="6848"/>
  <c r="C40" i="6848"/>
  <c r="C44" i="6848"/>
  <c r="C48" i="6848"/>
  <c r="H4" i="6848"/>
  <c r="H24" i="6848"/>
  <c r="C22" i="6848"/>
  <c r="C26" i="6848"/>
  <c r="H39" i="6848"/>
  <c r="H27" i="6848"/>
  <c r="H46" i="6848"/>
  <c r="H50" i="6848"/>
  <c r="H6" i="6848"/>
  <c r="H12" i="6848"/>
  <c r="H28" i="6848"/>
  <c r="H32" i="6848"/>
  <c r="H22" i="6848"/>
  <c r="H25" i="6848"/>
  <c r="C37" i="6848"/>
  <c r="C41" i="6848"/>
  <c r="C45" i="6848"/>
  <c r="C49" i="6848"/>
  <c r="H11" i="6848"/>
  <c r="H16" i="6848"/>
  <c r="H14" i="6848"/>
  <c r="C23" i="6848"/>
  <c r="B27" i="6848"/>
  <c r="H26" i="6848"/>
  <c r="H40" i="6848"/>
  <c r="H43" i="6848"/>
  <c r="H47" i="68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<sst xmlns="http://schemas.openxmlformats.org/spreadsheetml/2006/main" count="2940" uniqueCount="242">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</sst>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全体!$K$2:$K$209</c:f>
              <c:numCache>
                <c:formatCode>General</c:formatCode>
                <c:ptCount val="2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</c:numCache>
            </c:numRef>
          </c:xVal>
          <c:yVal>
            <c:numRef>
              <c:f>全体!$L$2:$L$209</c:f>
              <c:numCache>
                <c:formatCode>\+0.0;\-0.0;\±0</c:formatCode>
                <c:ptCount val="208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C-4BD1-892C-8936F5321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-43.478260869565219</c:v>
                </c:pt>
                <c:pt idx="1">
                  <c:v>44.776119402985074</c:v>
                </c:pt>
                <c:pt idx="2">
                  <c:v>-29.411764705882351</c:v>
                </c:pt>
                <c:pt idx="3">
                  <c:v>10.582010582010582</c:v>
                </c:pt>
                <c:pt idx="4">
                  <c:v>5.8479532163742691</c:v>
                </c:pt>
                <c:pt idx="5">
                  <c:v>21.739130434782609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9-40D1-8A93-53C1C720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45</c:v>
                </c:pt>
                <c:pt idx="1">
                  <c:v>104</c:v>
                </c:pt>
                <c:pt idx="2">
                  <c:v>97</c:v>
                </c:pt>
                <c:pt idx="3">
                  <c:v>86</c:v>
                </c:pt>
                <c:pt idx="4">
                  <c:v>67</c:v>
                </c:pt>
                <c:pt idx="5">
                  <c:v>47</c:v>
                </c:pt>
                <c:pt idx="6">
                  <c:v>28</c:v>
                </c:pt>
                <c:pt idx="7">
                  <c:v>15</c:v>
                </c:pt>
                <c:pt idx="8">
                  <c:v>10</c:v>
                </c:pt>
                <c:pt idx="9">
                  <c:v>7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9-4A66-83D7-AB5E64D2B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全体!$K$2:$K$209</c:f>
              <c:numCache>
                <c:formatCode>General</c:formatCode>
                <c:ptCount val="2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</c:numCache>
            </c:numRef>
          </c:xVal>
          <c:yVal>
            <c:numRef>
              <c:f>全体!$M$2:$M$209</c:f>
              <c:numCache>
                <c:formatCode>0</c:formatCode>
                <c:ptCount val="208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E-40CA-95D4-CBE145ED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だいち!$L$2:$L$57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F-4879-B429-71850465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829.09090909090912</c:v>
                </c:pt>
                <c:pt idx="1">
                  <c:v>-688.67924528301887</c:v>
                </c:pt>
                <c:pt idx="2">
                  <c:v>-525.92592592592598</c:v>
                </c:pt>
                <c:pt idx="3">
                  <c:v>13.725490196078431</c:v>
                </c:pt>
                <c:pt idx="4">
                  <c:v>-226.08695652173913</c:v>
                </c:pt>
                <c:pt idx="5">
                  <c:v>-788.88888888888891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063-A52A-53E5C56F0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33</c:v>
                </c:pt>
                <c:pt idx="3">
                  <c:v>20</c:v>
                </c:pt>
                <c:pt idx="4">
                  <c:v>21</c:v>
                </c:pt>
                <c:pt idx="5">
                  <c:v>18</c:v>
                </c:pt>
                <c:pt idx="6">
                  <c:v>8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7-4D39-BBEC-1F7FA8F4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だいち!$M$2:$M$57</c:f>
              <c:numCache>
                <c:formatCode>0</c:formatCode>
                <c:ptCount val="56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0-4D56-936B-2C285DEE4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6-4EBC-B5A9-9AD008CA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2183.3333333333335</c:v>
                </c:pt>
                <c:pt idx="1">
                  <c:v>-1760.8695652173913</c:v>
                </c:pt>
                <c:pt idx="2">
                  <c:v>-1117.391304347826</c:v>
                </c:pt>
                <c:pt idx="3">
                  <c:v>1059.090909090909</c:v>
                </c:pt>
                <c:pt idx="4">
                  <c:v>273.68421052631578</c:v>
                </c:pt>
                <c:pt idx="5">
                  <c:v>-450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9D1-A647-DB756DAC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8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E-4011-855E-3183F97D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れんたろう!$M$2:$M$26</c:f>
              <c:numCache>
                <c:formatCode>0</c:formatCode>
                <c:ptCount val="25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2-40C3-A0A3-54334CBA7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429-AA40-AB72E5B4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510.71428571428572</c:v>
                </c:pt>
                <c:pt idx="1">
                  <c:v>-478.57142857142856</c:v>
                </c:pt>
                <c:pt idx="2">
                  <c:v>1278.5714285714287</c:v>
                </c:pt>
                <c:pt idx="3">
                  <c:v>214.28571428571428</c:v>
                </c:pt>
                <c:pt idx="4">
                  <c:v>-1346.4285714285713</c:v>
                </c:pt>
                <c:pt idx="5">
                  <c:v>1335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B-4AF7-8E5D-A38C49F63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21</c:v>
                </c:pt>
                <c:pt idx="2">
                  <c:v>11</c:v>
                </c:pt>
                <c:pt idx="3">
                  <c:v>16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4-441D-B8C7-895F05595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たかの!$M$2:$M$30</c:f>
              <c:numCache>
                <c:formatCode>0</c:formatCode>
                <c:ptCount val="29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0-4868-9691-0DF4BF4B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F0-AA2D-469E013D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1420</c:v>
                </c:pt>
                <c:pt idx="1">
                  <c:v>2270</c:v>
                </c:pt>
                <c:pt idx="2">
                  <c:v>1590</c:v>
                </c:pt>
                <c:pt idx="3">
                  <c:v>-4062.5</c:v>
                </c:pt>
                <c:pt idx="4">
                  <c:v>-3385.7142857142858</c:v>
                </c:pt>
                <c:pt idx="5">
                  <c:v>-3266.6666666666665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8D-8522-69EFC60B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EDE-8465-97AA3062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まっつん!$M$2:$M$12</c:f>
              <c:numCache>
                <c:formatCode>0</c:formatCode>
                <c:ptCount val="11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C-40E8-A61E-C31A6B42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いちかわ!$L$2:$L$28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E-4E27-AD21-19C0230A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-992.30769230769226</c:v>
                </c:pt>
                <c:pt idx="1">
                  <c:v>826.92307692307691</c:v>
                </c:pt>
                <c:pt idx="2">
                  <c:v>2288.4615384615386</c:v>
                </c:pt>
                <c:pt idx="3">
                  <c:v>108.69565217391305</c:v>
                </c:pt>
                <c:pt idx="4">
                  <c:v>1405.2631578947369</c:v>
                </c:pt>
                <c:pt idx="5">
                  <c:v>1672.2222222222222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12D-9000-E7E5A6BD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5</c:v>
                </c:pt>
                <c:pt idx="1">
                  <c:v>16</c:v>
                </c:pt>
                <c:pt idx="2">
                  <c:v>10</c:v>
                </c:pt>
                <c:pt idx="3">
                  <c:v>9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5-48DE-B7EE-6D3AD207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いちかわ!$M$2:$M$28</c:f>
              <c:numCache>
                <c:formatCode>0</c:formatCode>
                <c:ptCount val="27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899-9F14-58F4F9E1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ただ!$L$2:$L$36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3-4067-BDA2-6E6B9CF6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-208.8235294117647</c:v>
                </c:pt>
                <c:pt idx="1">
                  <c:v>2331.25</c:v>
                </c:pt>
                <c:pt idx="2">
                  <c:v>145.45454545454547</c:v>
                </c:pt>
                <c:pt idx="3">
                  <c:v>1220</c:v>
                </c:pt>
                <c:pt idx="4">
                  <c:v>1889.2857142857142</c:v>
                </c:pt>
                <c:pt idx="5">
                  <c:v>-59.090909090909093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6-4D6D-A4D8-5B54C3CA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23</c:v>
                </c:pt>
                <c:pt idx="2">
                  <c:v>24</c:v>
                </c:pt>
                <c:pt idx="3">
                  <c:v>15</c:v>
                </c:pt>
                <c:pt idx="4">
                  <c:v>14</c:v>
                </c:pt>
                <c:pt idx="5">
                  <c:v>3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7-48AD-B2A2-541B676F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ただ!$M$2:$M$36</c:f>
              <c:numCache>
                <c:formatCode>0</c:formatCode>
                <c:ptCount val="35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D-48F3-A31A-9AC692BBA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A-4425-8CA0-3E0548B9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A-47F8-B3D6-21ABAA80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6-4FAD-85BE-023A9BB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5-42E4-9DDF-ACA6C38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856-B97E-ED7794FB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4-4743-AA9E-72F56D89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A-4A09-B677-323045CB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4-43DF-B5A7-CCC410FF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1-4B29-91B3-8B5C371D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-7283.333333333333</c:v>
                </c:pt>
                <c:pt idx="1">
                  <c:v>3080</c:v>
                </c:pt>
                <c:pt idx="2">
                  <c:v>-2700</c:v>
                </c:pt>
                <c:pt idx="3">
                  <c:v>-5340</c:v>
                </c:pt>
                <c:pt idx="4">
                  <c:v>540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E-4834-AC95-71BA574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1-473B-B75C-232893104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りくと!$M$2:$M$8</c:f>
              <c:numCache>
                <c:formatCode>0</c:formatCode>
                <c:ptCount val="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43C-B8E7-DC7185B2B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4CF1-9044-E488B577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F-48B5-A195-29F499B3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2-4914-AE4B-6F92DF3BA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9-4A15-9587-6AE26C4F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たかの2!$B$3:$B$31</c:f>
              <c:numCache>
                <c:formatCode>\+0.0;\-0.0;\±0</c:formatCode>
                <c:ptCount val="2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86517468137026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たかの2!$C$3:$C$31</c:f>
              <c:numCache>
                <c:formatCode>\+0.0;\-0.0;\±0</c:formatCode>
                <c:ptCount val="29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  <c:pt idx="13">
                  <c:v>2.692307692307693</c:v>
                </c:pt>
                <c:pt idx="14">
                  <c:v>3.0571428571428574</c:v>
                </c:pt>
                <c:pt idx="15">
                  <c:v>4.0600000000000005</c:v>
                </c:pt>
                <c:pt idx="16">
                  <c:v>2.4125000000000005</c:v>
                </c:pt>
                <c:pt idx="17">
                  <c:v>0.44705882352941229</c:v>
                </c:pt>
                <c:pt idx="18">
                  <c:v>0.83888888888888935</c:v>
                </c:pt>
                <c:pt idx="19">
                  <c:v>2.2315789473684213</c:v>
                </c:pt>
                <c:pt idx="20">
                  <c:v>4.0750000000000002</c:v>
                </c:pt>
                <c:pt idx="21">
                  <c:v>0.71904761904761882</c:v>
                </c:pt>
                <c:pt idx="22">
                  <c:v>0.8181818181818179</c:v>
                </c:pt>
                <c:pt idx="23">
                  <c:v>2.0086956521739125</c:v>
                </c:pt>
                <c:pt idx="24">
                  <c:v>0.69999999999999962</c:v>
                </c:pt>
                <c:pt idx="25">
                  <c:v>2.4279999999999995</c:v>
                </c:pt>
                <c:pt idx="26">
                  <c:v>0.98461538461538411</c:v>
                </c:pt>
                <c:pt idx="27">
                  <c:v>0.63703703703703662</c:v>
                </c:pt>
                <c:pt idx="28">
                  <c:v>2.1857142857142855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10505707102720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たかの2!$D$3:$D$31</c:f>
              <c:numCache>
                <c:formatCode>0.00\ "位"</c:formatCode>
                <c:ptCount val="29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1.9047619047619047</c:v>
                </c:pt>
                <c:pt idx="22">
                  <c:v>1.9090909090909092</c:v>
                </c:pt>
                <c:pt idx="23">
                  <c:v>1.8695652173913044</c:v>
                </c:pt>
                <c:pt idx="24">
                  <c:v>1.9166666666666667</c:v>
                </c:pt>
                <c:pt idx="25">
                  <c:v>1.88</c:v>
                </c:pt>
                <c:pt idx="26">
                  <c:v>1.9230769230769231</c:v>
                </c:pt>
                <c:pt idx="27">
                  <c:v>1.9259259259259258</c:v>
                </c:pt>
                <c:pt idx="28">
                  <c:v>1.8928571428571428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169082125603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たかの2!$E$3:$E$31</c:f>
              <c:numCache>
                <c:formatCode>0.0%</c:formatCode>
                <c:ptCount val="2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8164251207729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たかの2!$F$3:$F$31</c:f>
              <c:numCache>
                <c:formatCode>0.0%</c:formatCode>
                <c:ptCount val="2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たかの2!$G$3:$G$31</c:f>
              <c:numCache>
                <c:formatCode>0.0%</c:formatCode>
                <c:ptCount val="29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  <c:pt idx="13">
                  <c:v>0.29661016949152541</c:v>
                </c:pt>
                <c:pt idx="14">
                  <c:v>0.30952380952380953</c:v>
                </c:pt>
                <c:pt idx="15">
                  <c:v>0.30882352941176472</c:v>
                </c:pt>
                <c:pt idx="16">
                  <c:v>0.31468531468531469</c:v>
                </c:pt>
                <c:pt idx="17">
                  <c:v>0.3</c:v>
                </c:pt>
                <c:pt idx="18">
                  <c:v>0.30188679245283018</c:v>
                </c:pt>
                <c:pt idx="19">
                  <c:v>0.30357142857142855</c:v>
                </c:pt>
                <c:pt idx="20">
                  <c:v>0.31073446327683618</c:v>
                </c:pt>
                <c:pt idx="21">
                  <c:v>0.29319371727748689</c:v>
                </c:pt>
                <c:pt idx="22">
                  <c:v>0.28999999999999998</c:v>
                </c:pt>
                <c:pt idx="23">
                  <c:v>0.29439252336448596</c:v>
                </c:pt>
                <c:pt idx="24">
                  <c:v>0.2927927927927928</c:v>
                </c:pt>
                <c:pt idx="25">
                  <c:v>0.30303030303030304</c:v>
                </c:pt>
                <c:pt idx="26">
                  <c:v>0.30543933054393307</c:v>
                </c:pt>
                <c:pt idx="27">
                  <c:v>0.30645161290322581</c:v>
                </c:pt>
                <c:pt idx="28">
                  <c:v>0.30588235294117649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241695303550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たかの2!$H$3:$H$31</c:f>
              <c:numCache>
                <c:formatCode>0.0%</c:formatCode>
                <c:ptCount val="29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  <c:pt idx="13">
                  <c:v>0.16101694915254236</c:v>
                </c:pt>
                <c:pt idx="14">
                  <c:v>0.15079365079365079</c:v>
                </c:pt>
                <c:pt idx="15">
                  <c:v>0.14705882352941177</c:v>
                </c:pt>
                <c:pt idx="16">
                  <c:v>0.15384615384615385</c:v>
                </c:pt>
                <c:pt idx="17">
                  <c:v>0.16666666666666666</c:v>
                </c:pt>
                <c:pt idx="18">
                  <c:v>0.16352201257861634</c:v>
                </c:pt>
                <c:pt idx="19">
                  <c:v>0.16071428571428573</c:v>
                </c:pt>
                <c:pt idx="20">
                  <c:v>0.15819209039548024</c:v>
                </c:pt>
                <c:pt idx="21">
                  <c:v>0.16230366492146597</c:v>
                </c:pt>
                <c:pt idx="22">
                  <c:v>0.155</c:v>
                </c:pt>
                <c:pt idx="23">
                  <c:v>0.16355140186915887</c:v>
                </c:pt>
                <c:pt idx="24">
                  <c:v>0.16216216216216217</c:v>
                </c:pt>
                <c:pt idx="25">
                  <c:v>0.16450216450216451</c:v>
                </c:pt>
                <c:pt idx="26">
                  <c:v>0.16736401673640167</c:v>
                </c:pt>
                <c:pt idx="27">
                  <c:v>0.17741935483870969</c:v>
                </c:pt>
                <c:pt idx="28">
                  <c:v>0.17254901960784313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4948453608247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たかの2!$I$3:$I$31</c:f>
              <c:numCache>
                <c:formatCode>0</c:formatCode>
                <c:ptCount val="29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  <c:pt idx="13">
                  <c:v>7780</c:v>
                </c:pt>
                <c:pt idx="14">
                  <c:v>7266.666666666667</c:v>
                </c:pt>
                <c:pt idx="15">
                  <c:v>7071.4285714285716</c:v>
                </c:pt>
                <c:pt idx="16">
                  <c:v>6704.4444444444443</c:v>
                </c:pt>
                <c:pt idx="17">
                  <c:v>6704.4444444444443</c:v>
                </c:pt>
                <c:pt idx="18">
                  <c:v>6945.833333333333</c:v>
                </c:pt>
                <c:pt idx="19">
                  <c:v>7080.3921568627447</c:v>
                </c:pt>
                <c:pt idx="20">
                  <c:v>7054.545454545455</c:v>
                </c:pt>
                <c:pt idx="21">
                  <c:v>6966.0714285714284</c:v>
                </c:pt>
                <c:pt idx="22">
                  <c:v>6862.0689655172409</c:v>
                </c:pt>
                <c:pt idx="23">
                  <c:v>6930.1587301587306</c:v>
                </c:pt>
                <c:pt idx="24">
                  <c:v>6852.3076923076924</c:v>
                </c:pt>
                <c:pt idx="25">
                  <c:v>6882.8571428571431</c:v>
                </c:pt>
                <c:pt idx="26">
                  <c:v>6920.5479452054797</c:v>
                </c:pt>
                <c:pt idx="27">
                  <c:v>7063.1578947368425</c:v>
                </c:pt>
                <c:pt idx="28">
                  <c:v>7446.1538461538457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75.58593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たかの2!$J$3:$J$31</c:f>
              <c:numCache>
                <c:formatCode>0</c:formatCode>
                <c:ptCount val="29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  <c:pt idx="13">
                  <c:v>-7157.894736842105</c:v>
                </c:pt>
                <c:pt idx="14">
                  <c:v>-7157.894736842105</c:v>
                </c:pt>
                <c:pt idx="15">
                  <c:v>-6900</c:v>
                </c:pt>
                <c:pt idx="16">
                  <c:v>-6727.272727272727</c:v>
                </c:pt>
                <c:pt idx="17">
                  <c:v>-6628</c:v>
                </c:pt>
                <c:pt idx="18">
                  <c:v>-6669.2307692307695</c:v>
                </c:pt>
                <c:pt idx="19">
                  <c:v>-6637.0370370370374</c:v>
                </c:pt>
                <c:pt idx="20">
                  <c:v>-6607.1428571428569</c:v>
                </c:pt>
                <c:pt idx="21">
                  <c:v>-7290.322580645161</c:v>
                </c:pt>
                <c:pt idx="22">
                  <c:v>-7290.322580645161</c:v>
                </c:pt>
                <c:pt idx="23">
                  <c:v>-7002.8571428571431</c:v>
                </c:pt>
                <c:pt idx="24">
                  <c:v>-7022.2222222222226</c:v>
                </c:pt>
                <c:pt idx="25">
                  <c:v>-6915.7894736842109</c:v>
                </c:pt>
                <c:pt idx="26">
                  <c:v>-7370</c:v>
                </c:pt>
                <c:pt idx="27">
                  <c:v>-7518.181818181818</c:v>
                </c:pt>
                <c:pt idx="28">
                  <c:v>-7518.181818181818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35.41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たかの2!$K$3:$K$31</c:f>
              <c:numCache>
                <c:formatCode>0.0%</c:formatCode>
                <c:ptCount val="2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212560386473430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たかの2!$L$3:$L$31</c:f>
              <c:numCache>
                <c:formatCode>0.0%</c:formatCode>
                <c:ptCount val="29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  <c:pt idx="13">
                  <c:v>0.23728813559322035</c:v>
                </c:pt>
                <c:pt idx="14">
                  <c:v>0.24603174603174602</c:v>
                </c:pt>
                <c:pt idx="15">
                  <c:v>0.25</c:v>
                </c:pt>
                <c:pt idx="16">
                  <c:v>0.25874125874125875</c:v>
                </c:pt>
                <c:pt idx="17">
                  <c:v>0.25333333333333335</c:v>
                </c:pt>
                <c:pt idx="18">
                  <c:v>0.25157232704402516</c:v>
                </c:pt>
                <c:pt idx="19">
                  <c:v>0.25595238095238093</c:v>
                </c:pt>
                <c:pt idx="20">
                  <c:v>0.25988700564971751</c:v>
                </c:pt>
                <c:pt idx="21">
                  <c:v>0.2513089005235602</c:v>
                </c:pt>
                <c:pt idx="22">
                  <c:v>0.25</c:v>
                </c:pt>
                <c:pt idx="23">
                  <c:v>0.24766355140186916</c:v>
                </c:pt>
                <c:pt idx="24">
                  <c:v>0.25675675675675674</c:v>
                </c:pt>
                <c:pt idx="25">
                  <c:v>0.25541125541125542</c:v>
                </c:pt>
                <c:pt idx="26">
                  <c:v>0.26359832635983266</c:v>
                </c:pt>
                <c:pt idx="27">
                  <c:v>0.27016129032258063</c:v>
                </c:pt>
                <c:pt idx="28">
                  <c:v>0.27450980392156865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131729667812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たかの2!$M$3:$M$31</c:f>
              <c:numCache>
                <c:formatCode>0.0%</c:formatCode>
                <c:ptCount val="29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  <c:pt idx="13">
                  <c:v>0.34745762711864409</c:v>
                </c:pt>
                <c:pt idx="14">
                  <c:v>0.34126984126984128</c:v>
                </c:pt>
                <c:pt idx="15">
                  <c:v>0.33088235294117646</c:v>
                </c:pt>
                <c:pt idx="16">
                  <c:v>0.33566433566433568</c:v>
                </c:pt>
                <c:pt idx="17">
                  <c:v>0.32</c:v>
                </c:pt>
                <c:pt idx="18">
                  <c:v>0.32075471698113206</c:v>
                </c:pt>
                <c:pt idx="19">
                  <c:v>0.30952380952380953</c:v>
                </c:pt>
                <c:pt idx="20">
                  <c:v>0.29378531073446329</c:v>
                </c:pt>
                <c:pt idx="21">
                  <c:v>0.30366492146596857</c:v>
                </c:pt>
                <c:pt idx="22">
                  <c:v>0.315</c:v>
                </c:pt>
                <c:pt idx="23">
                  <c:v>0.30373831775700932</c:v>
                </c:pt>
                <c:pt idx="24">
                  <c:v>0.29729729729729731</c:v>
                </c:pt>
                <c:pt idx="25">
                  <c:v>0.30735930735930733</c:v>
                </c:pt>
                <c:pt idx="26">
                  <c:v>0.29707112970711297</c:v>
                </c:pt>
                <c:pt idx="27">
                  <c:v>0.29435483870967744</c:v>
                </c:pt>
                <c:pt idx="28">
                  <c:v>0.29803921568627451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4822451317296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たかの2!$N$3:$N$31</c:f>
              <c:numCache>
                <c:formatCode>0.0%</c:formatCode>
                <c:ptCount val="29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  <c:pt idx="13">
                  <c:v>0.42857142857142855</c:v>
                </c:pt>
                <c:pt idx="14">
                  <c:v>0.45161290322580644</c:v>
                </c:pt>
                <c:pt idx="15">
                  <c:v>0.44117647058823528</c:v>
                </c:pt>
                <c:pt idx="16">
                  <c:v>0.45945945945945948</c:v>
                </c:pt>
                <c:pt idx="17">
                  <c:v>0.44736842105263158</c:v>
                </c:pt>
                <c:pt idx="18">
                  <c:v>0.45</c:v>
                </c:pt>
                <c:pt idx="19">
                  <c:v>0.44186046511627908</c:v>
                </c:pt>
                <c:pt idx="20">
                  <c:v>0.43478260869565216</c:v>
                </c:pt>
                <c:pt idx="21">
                  <c:v>0.41666666666666669</c:v>
                </c:pt>
                <c:pt idx="22">
                  <c:v>0.4</c:v>
                </c:pt>
                <c:pt idx="23">
                  <c:v>0.43396226415094341</c:v>
                </c:pt>
                <c:pt idx="24">
                  <c:v>0.42105263157894735</c:v>
                </c:pt>
                <c:pt idx="25">
                  <c:v>0.44067796610169491</c:v>
                </c:pt>
                <c:pt idx="26">
                  <c:v>0.46031746031746029</c:v>
                </c:pt>
                <c:pt idx="27">
                  <c:v>0.46268656716417911</c:v>
                </c:pt>
                <c:pt idx="28">
                  <c:v>0.47142857142857142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04672897196261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たかの2!$O$3:$O$31</c:f>
              <c:numCache>
                <c:formatCode>0.0%</c:formatCode>
                <c:ptCount val="29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  <c:pt idx="13">
                  <c:v>0.43902439024390244</c:v>
                </c:pt>
                <c:pt idx="14">
                  <c:v>0.44186046511627908</c:v>
                </c:pt>
                <c:pt idx="15">
                  <c:v>0.46666666666666667</c:v>
                </c:pt>
                <c:pt idx="16">
                  <c:v>0.45833333333333331</c:v>
                </c:pt>
                <c:pt idx="17">
                  <c:v>0.45833333333333331</c:v>
                </c:pt>
                <c:pt idx="18">
                  <c:v>0.47058823529411764</c:v>
                </c:pt>
                <c:pt idx="19">
                  <c:v>0.48076923076923078</c:v>
                </c:pt>
                <c:pt idx="20">
                  <c:v>0.48076923076923078</c:v>
                </c:pt>
                <c:pt idx="21">
                  <c:v>0.43103448275862066</c:v>
                </c:pt>
                <c:pt idx="22">
                  <c:v>0.42857142857142855</c:v>
                </c:pt>
                <c:pt idx="23">
                  <c:v>0.41538461538461541</c:v>
                </c:pt>
                <c:pt idx="24">
                  <c:v>0.40909090909090912</c:v>
                </c:pt>
                <c:pt idx="25">
                  <c:v>0.42253521126760563</c:v>
                </c:pt>
                <c:pt idx="26">
                  <c:v>0.42253521126760563</c:v>
                </c:pt>
                <c:pt idx="27">
                  <c:v>0.42465753424657532</c:v>
                </c:pt>
                <c:pt idx="28">
                  <c:v>0.40789473684210525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6829268292682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たかの2!$P$3:$P$31</c:f>
              <c:numCache>
                <c:formatCode>0.0%</c:formatCode>
                <c:ptCount val="29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  <c:pt idx="13">
                  <c:v>0.51428571428571423</c:v>
                </c:pt>
                <c:pt idx="14">
                  <c:v>0.53846153846153844</c:v>
                </c:pt>
                <c:pt idx="15">
                  <c:v>0.5</c:v>
                </c:pt>
                <c:pt idx="16">
                  <c:v>0.48888888888888887</c:v>
                </c:pt>
                <c:pt idx="17">
                  <c:v>0.48888888888888887</c:v>
                </c:pt>
                <c:pt idx="18">
                  <c:v>0.5</c:v>
                </c:pt>
                <c:pt idx="19">
                  <c:v>0.50980392156862742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</c:v>
                </c:pt>
                <c:pt idx="23">
                  <c:v>0.50793650793650791</c:v>
                </c:pt>
                <c:pt idx="24">
                  <c:v>0.52307692307692311</c:v>
                </c:pt>
                <c:pt idx="25">
                  <c:v>0.51428571428571423</c:v>
                </c:pt>
                <c:pt idx="26">
                  <c:v>0.49315068493150682</c:v>
                </c:pt>
                <c:pt idx="27">
                  <c:v>0.47368421052631576</c:v>
                </c:pt>
                <c:pt idx="28">
                  <c:v>0.48717948717948717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3593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27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7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7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7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7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7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7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7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7" x14ac:dyDescent="0.45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7" x14ac:dyDescent="0.45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7" x14ac:dyDescent="0.45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7" x14ac:dyDescent="0.45">
      <c r="A27" s="2" t="s">
        <v>241</v>
      </c>
      <c r="B27" s="3">
        <v>44145.582314814812</v>
      </c>
      <c r="C27" s="2" t="s">
        <v>127</v>
      </c>
      <c r="D27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55</v>
      </c>
      <c r="C2" s="120">
        <v>1842.3339395535957</v>
      </c>
    </row>
    <row r="3" spans="1:3" x14ac:dyDescent="0.45">
      <c r="A3" t="s">
        <v>163</v>
      </c>
      <c r="B3" s="120">
        <v>24</v>
      </c>
      <c r="C3" s="120">
        <v>1653.1699313523677</v>
      </c>
    </row>
    <row r="4" spans="1:3" x14ac:dyDescent="0.45">
      <c r="A4" t="s">
        <v>139</v>
      </c>
      <c r="B4" s="120">
        <v>207</v>
      </c>
      <c r="C4" s="120">
        <v>1594.5463045050694</v>
      </c>
    </row>
    <row r="5" spans="1:3" x14ac:dyDescent="0.45">
      <c r="A5" t="s">
        <v>190</v>
      </c>
      <c r="B5" s="120">
        <v>10</v>
      </c>
      <c r="C5" s="120">
        <v>1524.3778689305989</v>
      </c>
    </row>
    <row r="6" spans="1:3" x14ac:dyDescent="0.45">
      <c r="A6" t="s">
        <v>192</v>
      </c>
      <c r="B6" s="120">
        <v>34</v>
      </c>
      <c r="C6" s="120">
        <v>1517.1288342047803</v>
      </c>
    </row>
    <row r="7" spans="1:3" x14ac:dyDescent="0.45">
      <c r="A7" t="s">
        <v>211</v>
      </c>
      <c r="B7" s="120">
        <v>26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28</v>
      </c>
      <c r="C10" s="120">
        <v>1433.30445236539</v>
      </c>
    </row>
    <row r="11" spans="1:3" x14ac:dyDescent="0.45">
      <c r="A11" t="s">
        <v>195</v>
      </c>
      <c r="B11" s="120">
        <v>6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5">
      <c r="A2" s="36" t="s">
        <v>208</v>
      </c>
      <c r="B2" s="141">
        <v>0.78860180210457265</v>
      </c>
      <c r="C2" s="142"/>
      <c r="D2" s="141">
        <v>6.3188246928222072E-2</v>
      </c>
      <c r="E2" s="142"/>
      <c r="F2" s="141">
        <v>0.16445283670845753</v>
      </c>
      <c r="G2" s="142"/>
      <c r="H2" s="147"/>
      <c r="I2" s="148"/>
      <c r="J2" s="141">
        <v>2.0905945130486759E-2</v>
      </c>
      <c r="K2" s="142"/>
      <c r="L2" s="141">
        <v>3.0789080117654861E-2</v>
      </c>
      <c r="M2" s="142"/>
      <c r="N2" s="141">
        <v>-3.3965382207145232E-3</v>
      </c>
      <c r="O2" s="142"/>
      <c r="P2" s="141">
        <v>0.26982371906666197</v>
      </c>
      <c r="Q2" s="142"/>
      <c r="R2" s="141">
        <v>-0.15558162186328164</v>
      </c>
      <c r="S2" s="142"/>
      <c r="T2" s="141">
        <v>0.70022110759919864</v>
      </c>
      <c r="U2" s="142"/>
      <c r="V2" s="141">
        <v>-6.7170523074147573E-2</v>
      </c>
      <c r="W2" s="142"/>
      <c r="X2" s="141">
        <v>-0.2815245321751087</v>
      </c>
      <c r="Y2" s="142"/>
      <c r="Z2" s="141">
        <v>6.1445800084373413E-2</v>
      </c>
      <c r="AA2" s="142"/>
      <c r="AB2" s="141">
        <v>-8.8381614759798208E-2</v>
      </c>
      <c r="AC2" s="142"/>
      <c r="AD2" s="141">
        <v>0.3183218840153178</v>
      </c>
      <c r="AE2" s="142"/>
      <c r="AF2" s="141">
        <v>0.12378537611157858</v>
      </c>
      <c r="AG2" s="142"/>
      <c r="AH2" s="141">
        <v>0.17048258367368252</v>
      </c>
      <c r="AI2" s="142"/>
      <c r="AJ2" s="141">
        <v>0.9055691281736864</v>
      </c>
      <c r="AK2" s="142"/>
    </row>
    <row r="3" spans="1:37" x14ac:dyDescent="0.45">
      <c r="A3" s="38">
        <v>1</v>
      </c>
      <c r="B3" s="41" t="s">
        <v>139</v>
      </c>
      <c r="C3" s="113">
        <v>69</v>
      </c>
      <c r="D3" s="39" t="s">
        <v>192</v>
      </c>
      <c r="E3" s="40">
        <v>320.7</v>
      </c>
      <c r="F3" s="41" t="s">
        <v>192</v>
      </c>
      <c r="G3" s="60">
        <v>9.4323529411764699</v>
      </c>
      <c r="H3" s="41" t="s">
        <v>126</v>
      </c>
      <c r="I3" s="45">
        <v>1770.9792716441759</v>
      </c>
      <c r="J3" s="41" t="s">
        <v>192</v>
      </c>
      <c r="K3" s="42">
        <v>1.7058823529411764</v>
      </c>
      <c r="L3" s="41" t="s">
        <v>192</v>
      </c>
      <c r="M3" s="43">
        <v>0.5</v>
      </c>
      <c r="N3" s="41" t="s">
        <v>192</v>
      </c>
      <c r="O3" s="43">
        <v>0.20588235294117646</v>
      </c>
      <c r="P3" s="41" t="s">
        <v>192</v>
      </c>
      <c r="Q3" s="44">
        <v>0.34448160535117056</v>
      </c>
      <c r="R3" s="41" t="s">
        <v>190</v>
      </c>
      <c r="S3" s="44">
        <v>6.4935064935064929E-2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190</v>
      </c>
      <c r="Y3" s="43">
        <v>0</v>
      </c>
      <c r="Z3" s="41" t="s">
        <v>189</v>
      </c>
      <c r="AA3" s="44">
        <v>0.27450980392156865</v>
      </c>
      <c r="AB3" s="41" t="s">
        <v>189</v>
      </c>
      <c r="AC3" s="44">
        <v>0.29803921568627451</v>
      </c>
      <c r="AD3" s="41" t="s">
        <v>195</v>
      </c>
      <c r="AE3" s="44">
        <v>0.7</v>
      </c>
      <c r="AF3" s="41" t="s">
        <v>195</v>
      </c>
      <c r="AG3" s="44">
        <v>0.66666666666666663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55</v>
      </c>
      <c r="D4" s="47" t="s">
        <v>211</v>
      </c>
      <c r="E4" s="48">
        <v>123.09999999999998</v>
      </c>
      <c r="F4" s="49" t="s">
        <v>211</v>
      </c>
      <c r="G4" s="61">
        <v>4.7346153846153838</v>
      </c>
      <c r="H4" s="49" t="s">
        <v>163</v>
      </c>
      <c r="I4" s="53">
        <v>1637.2144623174072</v>
      </c>
      <c r="J4" s="49" t="s">
        <v>211</v>
      </c>
      <c r="K4" s="50">
        <v>1.8846153846153846</v>
      </c>
      <c r="L4" s="49" t="s">
        <v>211</v>
      </c>
      <c r="M4" s="51">
        <v>0.42307692307692307</v>
      </c>
      <c r="N4" s="49" t="s">
        <v>189</v>
      </c>
      <c r="O4" s="51">
        <v>0.2857142857142857</v>
      </c>
      <c r="P4" s="49" t="s">
        <v>211</v>
      </c>
      <c r="Q4" s="52">
        <v>0.31862745098039214</v>
      </c>
      <c r="R4" s="49" t="s">
        <v>192</v>
      </c>
      <c r="S4" s="52">
        <v>0.13043478260869565</v>
      </c>
      <c r="T4" s="49" t="s">
        <v>163</v>
      </c>
      <c r="U4" s="53">
        <v>8941.0714285714294</v>
      </c>
      <c r="V4" s="49" t="s">
        <v>126</v>
      </c>
      <c r="W4" s="53">
        <v>-6725.3012048192768</v>
      </c>
      <c r="X4" s="49" t="s">
        <v>193</v>
      </c>
      <c r="Y4" s="51">
        <v>0</v>
      </c>
      <c r="Z4" s="49" t="s">
        <v>190</v>
      </c>
      <c r="AA4" s="52">
        <v>0.27272727272727271</v>
      </c>
      <c r="AB4" s="49" t="s">
        <v>193</v>
      </c>
      <c r="AC4" s="52">
        <v>0.2857142857142857</v>
      </c>
      <c r="AD4" s="49" t="s">
        <v>211</v>
      </c>
      <c r="AE4" s="52">
        <v>0.56818181818181823</v>
      </c>
      <c r="AF4" s="49" t="s">
        <v>211</v>
      </c>
      <c r="AG4" s="52">
        <v>0.51020408163265307</v>
      </c>
      <c r="AH4" s="49" t="s">
        <v>195</v>
      </c>
      <c r="AI4" s="52">
        <v>0.72727272727272729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34</v>
      </c>
      <c r="D5" s="47" t="s">
        <v>189</v>
      </c>
      <c r="E5" s="48">
        <v>61.199999999999989</v>
      </c>
      <c r="F5" s="49" t="s">
        <v>189</v>
      </c>
      <c r="G5" s="61">
        <v>2.1857142857142855</v>
      </c>
      <c r="H5" s="49" t="s">
        <v>139</v>
      </c>
      <c r="I5" s="53">
        <v>1599.6017819282877</v>
      </c>
      <c r="J5" s="49" t="s">
        <v>189</v>
      </c>
      <c r="K5" s="50">
        <v>1.8928571428571428</v>
      </c>
      <c r="L5" s="49" t="s">
        <v>189</v>
      </c>
      <c r="M5" s="51">
        <v>0.39285714285714285</v>
      </c>
      <c r="N5" s="49" t="s">
        <v>190</v>
      </c>
      <c r="O5" s="51">
        <v>0.3</v>
      </c>
      <c r="P5" s="49" t="s">
        <v>189</v>
      </c>
      <c r="Q5" s="52">
        <v>0.30588235294117649</v>
      </c>
      <c r="R5" s="49" t="s">
        <v>211</v>
      </c>
      <c r="S5" s="52">
        <v>0.14705882352941177</v>
      </c>
      <c r="T5" s="49" t="s">
        <v>126</v>
      </c>
      <c r="U5" s="53">
        <v>8533.3333333333339</v>
      </c>
      <c r="V5" s="49" t="s">
        <v>211</v>
      </c>
      <c r="W5" s="53">
        <v>-6940</v>
      </c>
      <c r="X5" s="49" t="s">
        <v>221</v>
      </c>
      <c r="Y5" s="51">
        <v>0</v>
      </c>
      <c r="Z5" s="49" t="s">
        <v>163</v>
      </c>
      <c r="AA5" s="52">
        <v>0.25961538461538464</v>
      </c>
      <c r="AB5" s="49" t="s">
        <v>221</v>
      </c>
      <c r="AC5" s="52">
        <v>0.27777777777777779</v>
      </c>
      <c r="AD5" s="49" t="s">
        <v>126</v>
      </c>
      <c r="AE5" s="52">
        <v>0.54700854700854706</v>
      </c>
      <c r="AF5" s="49" t="s">
        <v>192</v>
      </c>
      <c r="AG5" s="52">
        <v>0.47435897435897434</v>
      </c>
      <c r="AH5" s="49" t="s">
        <v>189</v>
      </c>
      <c r="AI5" s="52">
        <v>0.48717948717948717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189</v>
      </c>
      <c r="C6" s="114">
        <v>28</v>
      </c>
      <c r="D6" s="47" t="s">
        <v>139</v>
      </c>
      <c r="E6" s="48">
        <v>1.865174681370263E-14</v>
      </c>
      <c r="F6" s="49" t="s">
        <v>139</v>
      </c>
      <c r="G6" s="61">
        <v>9.0105057071027203E-17</v>
      </c>
      <c r="H6" s="49" t="s">
        <v>192</v>
      </c>
      <c r="I6" s="53">
        <v>1587.2015837819306</v>
      </c>
      <c r="J6" s="49" t="s">
        <v>139</v>
      </c>
      <c r="K6" s="50">
        <v>1.9951690821256038</v>
      </c>
      <c r="L6" s="49" t="s">
        <v>139</v>
      </c>
      <c r="M6" s="51">
        <v>0.33816425120772947</v>
      </c>
      <c r="N6" s="49" t="s">
        <v>211</v>
      </c>
      <c r="O6" s="51">
        <v>0.30769230769230771</v>
      </c>
      <c r="P6" s="49" t="s">
        <v>126</v>
      </c>
      <c r="Q6" s="52">
        <v>0.29934924078091107</v>
      </c>
      <c r="R6" s="49" t="s">
        <v>139</v>
      </c>
      <c r="S6" s="52">
        <v>0.16494845360824742</v>
      </c>
      <c r="T6" s="49" t="s">
        <v>195</v>
      </c>
      <c r="U6" s="53">
        <v>8272.7272727272721</v>
      </c>
      <c r="V6" s="49" t="s">
        <v>139</v>
      </c>
      <c r="W6" s="53">
        <v>-7335.416666666667</v>
      </c>
      <c r="X6" s="49" t="s">
        <v>189</v>
      </c>
      <c r="Y6" s="51">
        <v>3.5714285714285712E-2</v>
      </c>
      <c r="Z6" s="49" t="s">
        <v>193</v>
      </c>
      <c r="AA6" s="52">
        <v>0.25714285714285712</v>
      </c>
      <c r="AB6" s="49" t="s">
        <v>192</v>
      </c>
      <c r="AC6" s="52">
        <v>0.2608695652173913</v>
      </c>
      <c r="AD6" s="49" t="s">
        <v>190</v>
      </c>
      <c r="AE6" s="52">
        <v>0.52380952380952384</v>
      </c>
      <c r="AF6" s="49" t="s">
        <v>190</v>
      </c>
      <c r="AG6" s="52">
        <v>0.4375</v>
      </c>
      <c r="AH6" s="49" t="s">
        <v>163</v>
      </c>
      <c r="AI6" s="52">
        <v>0.44642857142857145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211</v>
      </c>
      <c r="C7" s="114">
        <v>26</v>
      </c>
      <c r="D7" s="47" t="s">
        <v>126</v>
      </c>
      <c r="E7" s="48">
        <v>-8.8000000000000362</v>
      </c>
      <c r="F7" s="49" t="s">
        <v>126</v>
      </c>
      <c r="G7" s="61">
        <v>-0.16000000000000067</v>
      </c>
      <c r="H7" s="49" t="s">
        <v>211</v>
      </c>
      <c r="I7" s="53">
        <v>1522.6913378373931</v>
      </c>
      <c r="J7" s="49" t="s">
        <v>163</v>
      </c>
      <c r="K7" s="50">
        <v>2.0416666666666665</v>
      </c>
      <c r="L7" s="49" t="s">
        <v>163</v>
      </c>
      <c r="M7" s="51">
        <v>0.33333333333333331</v>
      </c>
      <c r="N7" s="49" t="s">
        <v>139</v>
      </c>
      <c r="O7" s="51">
        <v>0.33333333333333331</v>
      </c>
      <c r="P7" s="49" t="s">
        <v>139</v>
      </c>
      <c r="Q7" s="52">
        <v>0.29324169530355099</v>
      </c>
      <c r="R7" s="49" t="s">
        <v>221</v>
      </c>
      <c r="S7" s="52">
        <v>0.16666666666666666</v>
      </c>
      <c r="T7" s="49" t="s">
        <v>193</v>
      </c>
      <c r="U7" s="53">
        <v>8212.5</v>
      </c>
      <c r="V7" s="49" t="s">
        <v>192</v>
      </c>
      <c r="W7" s="53">
        <v>-7448.7179487179483</v>
      </c>
      <c r="X7" s="49" t="s">
        <v>192</v>
      </c>
      <c r="Y7" s="51">
        <v>5.8823529411764705E-2</v>
      </c>
      <c r="Z7" s="49" t="s">
        <v>126</v>
      </c>
      <c r="AA7" s="52">
        <v>0.25379609544468545</v>
      </c>
      <c r="AB7" s="49" t="s">
        <v>211</v>
      </c>
      <c r="AC7" s="52">
        <v>0.24019607843137256</v>
      </c>
      <c r="AD7" s="49" t="s">
        <v>192</v>
      </c>
      <c r="AE7" s="52">
        <v>0.52238805970149249</v>
      </c>
      <c r="AF7" s="49" t="s">
        <v>139</v>
      </c>
      <c r="AG7" s="52">
        <v>0.42682926829268292</v>
      </c>
      <c r="AH7" s="49" t="s">
        <v>126</v>
      </c>
      <c r="AI7" s="52">
        <v>0.4420289855072464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163</v>
      </c>
      <c r="C8" s="114">
        <v>24</v>
      </c>
      <c r="D8" s="47" t="s">
        <v>221</v>
      </c>
      <c r="E8" s="48">
        <v>-13.5</v>
      </c>
      <c r="F8" s="49" t="s">
        <v>163</v>
      </c>
      <c r="G8" s="61">
        <v>-3.2250000000000001</v>
      </c>
      <c r="H8" s="49" t="s">
        <v>190</v>
      </c>
      <c r="I8" s="53">
        <v>1519.2183815819624</v>
      </c>
      <c r="J8" s="49" t="s">
        <v>126</v>
      </c>
      <c r="K8" s="50">
        <v>2.0727272727272728</v>
      </c>
      <c r="L8" s="49" t="s">
        <v>195</v>
      </c>
      <c r="M8" s="51">
        <v>0.33333333333333331</v>
      </c>
      <c r="N8" s="49" t="s">
        <v>126</v>
      </c>
      <c r="O8" s="51">
        <v>0.34545454545454546</v>
      </c>
      <c r="P8" s="49" t="s">
        <v>163</v>
      </c>
      <c r="Q8" s="52">
        <v>0.26923076923076922</v>
      </c>
      <c r="R8" s="49" t="s">
        <v>189</v>
      </c>
      <c r="S8" s="52">
        <v>0.17254901960784313</v>
      </c>
      <c r="T8" s="49" t="s">
        <v>139</v>
      </c>
      <c r="U8" s="53">
        <v>8075.5859375</v>
      </c>
      <c r="V8" s="49" t="s">
        <v>189</v>
      </c>
      <c r="W8" s="53">
        <v>-7518.181818181818</v>
      </c>
      <c r="X8" s="49" t="s">
        <v>126</v>
      </c>
      <c r="Y8" s="51">
        <v>7.2727272727272724E-2</v>
      </c>
      <c r="Z8" s="49" t="s">
        <v>139</v>
      </c>
      <c r="AA8" s="52">
        <v>0.24513172966781213</v>
      </c>
      <c r="AB8" s="49" t="s">
        <v>139</v>
      </c>
      <c r="AC8" s="52">
        <v>0.23482245131729668</v>
      </c>
      <c r="AD8" s="49" t="s">
        <v>139</v>
      </c>
      <c r="AE8" s="52">
        <v>0.50467289719626163</v>
      </c>
      <c r="AF8" s="49" t="s">
        <v>126</v>
      </c>
      <c r="AG8" s="52">
        <v>0.42574257425742573</v>
      </c>
      <c r="AH8" s="49" t="s">
        <v>139</v>
      </c>
      <c r="AI8" s="52">
        <v>0.43359375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216</v>
      </c>
      <c r="C9" s="114">
        <v>18</v>
      </c>
      <c r="D9" s="47" t="s">
        <v>193</v>
      </c>
      <c r="E9" s="48">
        <v>-51.699999999999996</v>
      </c>
      <c r="F9" s="49" t="s">
        <v>190</v>
      </c>
      <c r="G9" s="61">
        <v>-5.5</v>
      </c>
      <c r="H9" s="49" t="s">
        <v>221</v>
      </c>
      <c r="I9" s="53">
        <v>1497.379788</v>
      </c>
      <c r="J9" s="49" t="s">
        <v>190</v>
      </c>
      <c r="K9" s="50">
        <v>2.2000000000000002</v>
      </c>
      <c r="L9" s="49" t="s">
        <v>126</v>
      </c>
      <c r="M9" s="51">
        <v>0.27272727272727271</v>
      </c>
      <c r="N9" s="49" t="s">
        <v>163</v>
      </c>
      <c r="O9" s="51">
        <v>0.375</v>
      </c>
      <c r="P9" s="49" t="s">
        <v>190</v>
      </c>
      <c r="Q9" s="52">
        <v>0.24675324675324675</v>
      </c>
      <c r="R9" s="49" t="s">
        <v>126</v>
      </c>
      <c r="S9" s="52">
        <v>0.18004338394793926</v>
      </c>
      <c r="T9" s="49" t="s">
        <v>211</v>
      </c>
      <c r="U9" s="53">
        <v>8015.3846153846152</v>
      </c>
      <c r="V9" s="49" t="s">
        <v>195</v>
      </c>
      <c r="W9" s="53">
        <v>-7666.666666666667</v>
      </c>
      <c r="X9" s="49" t="s">
        <v>211</v>
      </c>
      <c r="Y9" s="51">
        <v>7.6923076923076927E-2</v>
      </c>
      <c r="Z9" s="49" t="s">
        <v>216</v>
      </c>
      <c r="AA9" s="52">
        <v>0.22857142857142856</v>
      </c>
      <c r="AB9" s="49" t="s">
        <v>163</v>
      </c>
      <c r="AC9" s="52">
        <v>0.23076923076923078</v>
      </c>
      <c r="AD9" s="49" t="s">
        <v>189</v>
      </c>
      <c r="AE9" s="52">
        <v>0.47142857142857142</v>
      </c>
      <c r="AF9" s="49" t="s">
        <v>189</v>
      </c>
      <c r="AG9" s="52">
        <v>0.40789473684210525</v>
      </c>
      <c r="AH9" s="49" t="s">
        <v>216</v>
      </c>
      <c r="AI9" s="52">
        <v>0.43333333333333335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10</v>
      </c>
      <c r="D10" s="47" t="s">
        <v>190</v>
      </c>
      <c r="E10" s="48">
        <v>-55</v>
      </c>
      <c r="F10" s="49" t="s">
        <v>221</v>
      </c>
      <c r="G10" s="61">
        <v>-6.75</v>
      </c>
      <c r="H10" s="49" t="s">
        <v>216</v>
      </c>
      <c r="I10" s="53">
        <v>1475.2783888604056</v>
      </c>
      <c r="J10" s="49" t="s">
        <v>216</v>
      </c>
      <c r="K10" s="50">
        <v>2.2222222222222223</v>
      </c>
      <c r="L10" s="49" t="s">
        <v>193</v>
      </c>
      <c r="M10" s="51">
        <v>0.25</v>
      </c>
      <c r="N10" s="49" t="s">
        <v>216</v>
      </c>
      <c r="O10" s="51">
        <v>0.44444444444444442</v>
      </c>
      <c r="P10" s="49" t="s">
        <v>193</v>
      </c>
      <c r="Q10" s="52">
        <v>0.22857142857142856</v>
      </c>
      <c r="R10" s="49" t="s">
        <v>163</v>
      </c>
      <c r="S10" s="52">
        <v>0.18269230769230768</v>
      </c>
      <c r="T10" s="49" t="s">
        <v>192</v>
      </c>
      <c r="U10" s="53">
        <v>7923.3009708737864</v>
      </c>
      <c r="V10" s="49" t="s">
        <v>216</v>
      </c>
      <c r="W10" s="53">
        <v>-7886.2068965517237</v>
      </c>
      <c r="X10" s="49" t="s">
        <v>139</v>
      </c>
      <c r="Y10" s="51">
        <v>8.2125603864734303E-2</v>
      </c>
      <c r="Z10" s="49" t="s">
        <v>192</v>
      </c>
      <c r="AA10" s="52">
        <v>0.22408026755852842</v>
      </c>
      <c r="AB10" s="49" t="s">
        <v>126</v>
      </c>
      <c r="AC10" s="52">
        <v>0.21908893709327548</v>
      </c>
      <c r="AD10" s="49" t="s">
        <v>163</v>
      </c>
      <c r="AE10" s="52">
        <v>0.44444444444444442</v>
      </c>
      <c r="AF10" s="49" t="s">
        <v>193</v>
      </c>
      <c r="AG10" s="52">
        <v>0.4</v>
      </c>
      <c r="AH10" s="49" t="s">
        <v>192</v>
      </c>
      <c r="AI10" s="52">
        <v>0.40776699029126212</v>
      </c>
      <c r="AJ10" s="49" t="s">
        <v>189</v>
      </c>
      <c r="AK10" s="56">
        <v>69000</v>
      </c>
    </row>
    <row r="11" spans="1:37" x14ac:dyDescent="0.45">
      <c r="A11" s="46">
        <v>9</v>
      </c>
      <c r="B11" s="49" t="s">
        <v>195</v>
      </c>
      <c r="C11" s="114">
        <v>6</v>
      </c>
      <c r="D11" s="47" t="s">
        <v>163</v>
      </c>
      <c r="E11" s="48">
        <v>-77.400000000000006</v>
      </c>
      <c r="F11" s="49" t="s">
        <v>216</v>
      </c>
      <c r="G11" s="61">
        <v>-10.016666666666667</v>
      </c>
      <c r="H11" s="49" t="s">
        <v>189</v>
      </c>
      <c r="I11" s="53">
        <v>1468.6685579009436</v>
      </c>
      <c r="J11" s="49" t="s">
        <v>193</v>
      </c>
      <c r="K11" s="50">
        <v>2.25</v>
      </c>
      <c r="L11" s="49" t="s">
        <v>216</v>
      </c>
      <c r="M11" s="51">
        <v>0.22222222222222221</v>
      </c>
      <c r="N11" s="49" t="s">
        <v>193</v>
      </c>
      <c r="O11" s="51">
        <v>0.5</v>
      </c>
      <c r="P11" s="49" t="s">
        <v>195</v>
      </c>
      <c r="Q11" s="52">
        <v>0.22448979591836735</v>
      </c>
      <c r="R11" s="49" t="s">
        <v>195</v>
      </c>
      <c r="S11" s="52">
        <v>0.18367346938775511</v>
      </c>
      <c r="T11" s="49" t="s">
        <v>189</v>
      </c>
      <c r="U11" s="53">
        <v>7446.1538461538457</v>
      </c>
      <c r="V11" s="49" t="s">
        <v>163</v>
      </c>
      <c r="W11" s="53">
        <v>-8007.894736842105</v>
      </c>
      <c r="X11" s="49" t="s">
        <v>216</v>
      </c>
      <c r="Y11" s="51">
        <v>0.1111111111111111</v>
      </c>
      <c r="Z11" s="49" t="s">
        <v>221</v>
      </c>
      <c r="AA11" s="52">
        <v>0.22222222222222221</v>
      </c>
      <c r="AB11" s="49" t="s">
        <v>190</v>
      </c>
      <c r="AC11" s="52">
        <v>0.20779220779220781</v>
      </c>
      <c r="AD11" s="49" t="s">
        <v>216</v>
      </c>
      <c r="AE11" s="52">
        <v>0.4375</v>
      </c>
      <c r="AF11" s="49" t="s">
        <v>221</v>
      </c>
      <c r="AG11" s="52">
        <v>0.4</v>
      </c>
      <c r="AH11" s="49" t="s">
        <v>211</v>
      </c>
      <c r="AI11" s="52">
        <v>0.4</v>
      </c>
      <c r="AJ11" s="49" t="s">
        <v>195</v>
      </c>
      <c r="AK11" s="56">
        <v>49300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195</v>
      </c>
      <c r="E12" s="48">
        <v>-118.3</v>
      </c>
      <c r="F12" s="49" t="s">
        <v>193</v>
      </c>
      <c r="G12" s="61">
        <v>-12.924999999999999</v>
      </c>
      <c r="H12" s="49" t="s">
        <v>195</v>
      </c>
      <c r="I12" s="53">
        <v>1377.2761788230373</v>
      </c>
      <c r="J12" s="49" t="s">
        <v>195</v>
      </c>
      <c r="K12" s="50">
        <v>2.3333333333333335</v>
      </c>
      <c r="L12" s="49" t="s">
        <v>190</v>
      </c>
      <c r="M12" s="51">
        <v>0.1</v>
      </c>
      <c r="N12" s="49" t="s">
        <v>221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216</v>
      </c>
      <c r="U12" s="53">
        <v>7183.333333333333</v>
      </c>
      <c r="V12" s="49" t="s">
        <v>193</v>
      </c>
      <c r="W12" s="53">
        <v>-9387.5</v>
      </c>
      <c r="X12" s="49" t="s">
        <v>163</v>
      </c>
      <c r="Y12" s="51">
        <v>0.16666666666666666</v>
      </c>
      <c r="Z12" s="49" t="s">
        <v>211</v>
      </c>
      <c r="AA12" s="52">
        <v>0.21568627450980393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0.35416666666666669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195</v>
      </c>
      <c r="G13" s="61">
        <v>-19.716666666666665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195</v>
      </c>
      <c r="O13" s="51">
        <v>0.66666666666666663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190</v>
      </c>
      <c r="U13" s="53">
        <v>6452.6315789473683</v>
      </c>
      <c r="V13" s="49" t="s">
        <v>221</v>
      </c>
      <c r="W13" s="53">
        <v>-10300</v>
      </c>
      <c r="X13" s="49" t="s">
        <v>195</v>
      </c>
      <c r="Y13" s="51">
        <v>0.33333333333333331</v>
      </c>
      <c r="Z13" s="49" t="s">
        <v>195</v>
      </c>
      <c r="AA13" s="52">
        <v>0.20408163265306123</v>
      </c>
      <c r="AB13" s="49" t="s">
        <v>195</v>
      </c>
      <c r="AC13" s="52">
        <v>6.1224489795918366E-2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190</v>
      </c>
      <c r="AI13" s="52">
        <v>0.15789473684210525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309-CAFA-4228-8F2C-7CE1BF196150}">
  <sheetPr codeName="Sheet4"/>
  <dimension ref="A1:R209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207</v>
      </c>
      <c r="C2" s="134"/>
      <c r="E2" s="26" t="s">
        <v>66</v>
      </c>
      <c r="F2" s="23" t="s">
        <v>22</v>
      </c>
      <c r="G2" s="11">
        <v>400</v>
      </c>
      <c r="H2" s="87">
        <f>IF(B$20=0,0,G2/B$20)</f>
        <v>0.78125</v>
      </c>
      <c r="I2" s="57">
        <v>4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-43.478260869565219</v>
      </c>
      <c r="Q2" s="76">
        <v>207</v>
      </c>
      <c r="R2" s="63">
        <v>-9000</v>
      </c>
    </row>
    <row r="3" spans="1:18" x14ac:dyDescent="0.45">
      <c r="A3" s="19" t="s">
        <v>8</v>
      </c>
      <c r="B3" s="135">
        <v>1746</v>
      </c>
      <c r="C3" s="136"/>
      <c r="E3" s="27" t="s">
        <v>72</v>
      </c>
      <c r="F3" s="24" t="s">
        <v>27</v>
      </c>
      <c r="G3" s="12">
        <v>314</v>
      </c>
      <c r="H3" s="88">
        <f>IF(B$20=0,0,G3/B$20)</f>
        <v>0.61328125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44.776119402985074</v>
      </c>
      <c r="Q3" s="77">
        <v>201</v>
      </c>
      <c r="R3" s="64">
        <v>9000</v>
      </c>
    </row>
    <row r="4" spans="1:18" x14ac:dyDescent="0.45">
      <c r="A4" s="19" t="s">
        <v>6</v>
      </c>
      <c r="B4" s="137">
        <v>1.865174681370263E-14</v>
      </c>
      <c r="C4" s="138"/>
      <c r="E4" s="27" t="s">
        <v>64</v>
      </c>
      <c r="F4" s="24" t="s">
        <v>20</v>
      </c>
      <c r="G4" s="12">
        <v>206</v>
      </c>
      <c r="H4" s="88">
        <f>IF(B$20=0,0,G4/B$20)</f>
        <v>0.40234375</v>
      </c>
      <c r="I4" s="58">
        <v>7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-29.411764705882351</v>
      </c>
      <c r="Q4" s="77">
        <v>204</v>
      </c>
      <c r="R4" s="64">
        <v>-6000</v>
      </c>
    </row>
    <row r="5" spans="1:18" x14ac:dyDescent="0.45">
      <c r="A5" s="19" t="s">
        <v>7</v>
      </c>
      <c r="B5" s="125">
        <f>IF(B$2=0,0,B$4/B$2)</f>
        <v>9.0105057071027203E-17</v>
      </c>
      <c r="C5" s="126"/>
      <c r="E5" s="27" t="s">
        <v>159</v>
      </c>
      <c r="F5" s="24" t="s">
        <v>160</v>
      </c>
      <c r="G5" s="12">
        <v>191</v>
      </c>
      <c r="H5" s="88">
        <f>IF(B$20=0,0,G5/B$20)</f>
        <v>0.373046875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10.582010582010582</v>
      </c>
      <c r="Q5" s="77">
        <v>189</v>
      </c>
      <c r="R5" s="64">
        <v>2000</v>
      </c>
    </row>
    <row r="6" spans="1:18" x14ac:dyDescent="0.45">
      <c r="A6" s="19" t="s">
        <v>196</v>
      </c>
      <c r="B6" s="129">
        <v>1599.6017819282877</v>
      </c>
      <c r="C6" s="130"/>
      <c r="E6" s="27" t="s">
        <v>68</v>
      </c>
      <c r="F6" s="24" t="s">
        <v>12</v>
      </c>
      <c r="G6" s="12">
        <v>151</v>
      </c>
      <c r="H6" s="88">
        <f>IF(B$20=0,0,G6/B$20)</f>
        <v>0.294921875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5.8479532163742691</v>
      </c>
      <c r="Q6" s="77">
        <v>171</v>
      </c>
      <c r="R6" s="64">
        <v>1000</v>
      </c>
    </row>
    <row r="7" spans="1:18" x14ac:dyDescent="0.45">
      <c r="A7" s="19" t="s">
        <v>1</v>
      </c>
      <c r="B7" s="139">
        <f>IF(B$2=0,0,(B$8*1+B$9*2+B$10*3)/B$2)</f>
        <v>1.9951690821256038</v>
      </c>
      <c r="C7" s="140"/>
      <c r="E7" s="27" t="s">
        <v>67</v>
      </c>
      <c r="F7" s="24" t="s">
        <v>23</v>
      </c>
      <c r="G7" s="12">
        <v>107</v>
      </c>
      <c r="H7" s="88">
        <f>IF(B$20=0,0,G7/B$20)</f>
        <v>0.208984375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21.739130434782609</v>
      </c>
      <c r="Q7" s="78">
        <v>138</v>
      </c>
      <c r="R7" s="65">
        <v>3000</v>
      </c>
    </row>
    <row r="8" spans="1:18" x14ac:dyDescent="0.45">
      <c r="A8" s="19" t="s">
        <v>2</v>
      </c>
      <c r="B8" s="12">
        <v>70</v>
      </c>
      <c r="C8" s="6">
        <f t="shared" ref="C8:C15" si="1">IF(B$2=0,0,B8/B$2)</f>
        <v>0.33816425120772947</v>
      </c>
      <c r="E8" s="27" t="s">
        <v>89</v>
      </c>
      <c r="F8" s="24" t="s">
        <v>44</v>
      </c>
      <c r="G8" s="12">
        <v>72</v>
      </c>
      <c r="H8" s="88">
        <f>IF(B$20=0,0,G8/B$20)</f>
        <v>0.140625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68</v>
      </c>
      <c r="C9" s="6">
        <f t="shared" si="1"/>
        <v>0.32850241545893721</v>
      </c>
      <c r="E9" s="27" t="s">
        <v>69</v>
      </c>
      <c r="F9" s="24" t="s">
        <v>24</v>
      </c>
      <c r="G9" s="12">
        <v>63</v>
      </c>
      <c r="H9" s="88">
        <f>IF(B$20=0,0,G9/B$20)</f>
        <v>0.123046875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69</v>
      </c>
      <c r="C10" s="7">
        <f t="shared" si="1"/>
        <v>0.33333333333333331</v>
      </c>
      <c r="E10" s="27" t="s">
        <v>70</v>
      </c>
      <c r="F10" s="24" t="s">
        <v>25</v>
      </c>
      <c r="G10" s="12">
        <v>56</v>
      </c>
      <c r="H10" s="88">
        <f>IF(B$20=0,0,G10/B$20)</f>
        <v>0.109375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3.3086956521739133</v>
      </c>
      <c r="Q10" s="76">
        <v>69</v>
      </c>
      <c r="R10" s="67">
        <v>228.3</v>
      </c>
    </row>
    <row r="11" spans="1:18" x14ac:dyDescent="0.45">
      <c r="A11" s="20" t="s">
        <v>184</v>
      </c>
      <c r="B11" s="109">
        <f>IF(B8=0,0,C11/B8)</f>
        <v>34.705714285714272</v>
      </c>
      <c r="C11" s="110">
        <v>2429.3999999999992</v>
      </c>
      <c r="E11" s="27" t="s">
        <v>65</v>
      </c>
      <c r="F11" s="24" t="s">
        <v>21</v>
      </c>
      <c r="G11" s="12">
        <v>42</v>
      </c>
      <c r="H11" s="88">
        <f>IF(B$20=0,0,G11/B$20)</f>
        <v>8.203125E-2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-6.4971014492753616</v>
      </c>
      <c r="Q11" s="77">
        <v>69</v>
      </c>
      <c r="R11" s="68">
        <v>-448.29999999999995</v>
      </c>
    </row>
    <row r="12" spans="1:18" x14ac:dyDescent="0.45">
      <c r="A12" s="20" t="s">
        <v>185</v>
      </c>
      <c r="B12" s="109">
        <f>IF(B9=0,0,C12/B9)</f>
        <v>-0.9691176470588232</v>
      </c>
      <c r="C12" s="110">
        <v>-65.899999999999977</v>
      </c>
      <c r="E12" s="27" t="s">
        <v>71</v>
      </c>
      <c r="F12" s="24" t="s">
        <v>26</v>
      </c>
      <c r="G12" s="12">
        <v>28</v>
      </c>
      <c r="H12" s="88">
        <f>IF(B$20=0,0,G12/B$20)</f>
        <v>5.46875E-2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3.1884057971014497</v>
      </c>
      <c r="Q12" s="78">
        <v>69</v>
      </c>
      <c r="R12" s="69">
        <v>220.00000000000003</v>
      </c>
    </row>
    <row r="13" spans="1:18" x14ac:dyDescent="0.45">
      <c r="A13" s="20" t="s">
        <v>186</v>
      </c>
      <c r="B13" s="109">
        <f>IF(B10=0,0,C13/B10)</f>
        <v>-34.253623188405797</v>
      </c>
      <c r="C13" s="110">
        <v>-2363.5</v>
      </c>
      <c r="E13" s="27" t="s">
        <v>86</v>
      </c>
      <c r="F13" s="24" t="s">
        <v>41</v>
      </c>
      <c r="G13" s="12">
        <v>28</v>
      </c>
      <c r="H13" s="88">
        <f>IF(B$20=0,0,G13/B$20)</f>
        <v>5.46875E-2</v>
      </c>
      <c r="I13" s="58">
        <v>5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-0.17234218325011597</v>
      </c>
      <c r="C14" s="126"/>
      <c r="E14" s="27" t="s">
        <v>81</v>
      </c>
      <c r="F14" s="24" t="s">
        <v>36</v>
      </c>
      <c r="G14" s="12">
        <v>20</v>
      </c>
      <c r="H14" s="88">
        <f>IF(B$20=0,0,G14/B$20)</f>
        <v>3.90625E-2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17</v>
      </c>
      <c r="C15" s="9">
        <f t="shared" si="1"/>
        <v>8.2125603864734303E-2</v>
      </c>
      <c r="E15" s="27" t="s">
        <v>83</v>
      </c>
      <c r="F15" s="24" t="s">
        <v>38</v>
      </c>
      <c r="G15" s="12">
        <v>20</v>
      </c>
      <c r="H15" s="88">
        <f>IF(B$20=0,0,G15/B$20)</f>
        <v>3.90625E-2</v>
      </c>
      <c r="I15" s="58">
        <v>7</v>
      </c>
      <c r="K15" s="74">
        <v>13</v>
      </c>
      <c r="L15" s="119">
        <v>48.999999999999993</v>
      </c>
      <c r="M15" s="117">
        <v>1603.6953056015411</v>
      </c>
      <c r="O15" s="73" t="s">
        <v>195</v>
      </c>
      <c r="P15" s="82">
        <f>IF(Q15=0,0,R15/Q15)</f>
        <v>29.574999999999999</v>
      </c>
      <c r="Q15" s="76">
        <v>12</v>
      </c>
      <c r="R15" s="67">
        <v>354.9</v>
      </c>
    </row>
    <row r="16" spans="1:18" x14ac:dyDescent="0.45">
      <c r="A16" s="22" t="s">
        <v>121</v>
      </c>
      <c r="B16" s="15">
        <v>428</v>
      </c>
      <c r="C16" s="10">
        <f>IF(B$3=0,0,B16/B$3)</f>
        <v>0.24513172966781213</v>
      </c>
      <c r="E16" s="27" t="s">
        <v>78</v>
      </c>
      <c r="F16" s="24" t="s">
        <v>33</v>
      </c>
      <c r="G16" s="12">
        <v>15</v>
      </c>
      <c r="H16" s="88">
        <f>IF(B$20=0,0,G16/B$20)</f>
        <v>2.9296875E-2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19.387500000000003</v>
      </c>
      <c r="Q16" s="77">
        <v>8</v>
      </c>
      <c r="R16" s="68">
        <v>155.10000000000002</v>
      </c>
    </row>
    <row r="17" spans="1:18" x14ac:dyDescent="0.45">
      <c r="A17" s="19" t="s">
        <v>118</v>
      </c>
      <c r="B17" s="12">
        <v>410</v>
      </c>
      <c r="C17" s="6">
        <f>IF(B$3=0,0,B17/B$3)</f>
        <v>0.23482245131729668</v>
      </c>
      <c r="E17" s="27" t="s">
        <v>91</v>
      </c>
      <c r="F17" s="24" t="s">
        <v>46</v>
      </c>
      <c r="G17" s="12">
        <v>11</v>
      </c>
      <c r="H17" s="88">
        <f>IF(B$20=0,0,G17/B$20)</f>
        <v>2.1484375E-2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216</v>
      </c>
      <c r="P17" s="83">
        <f>IF(Q17=0,0,R17/Q17)</f>
        <v>15.025000000000002</v>
      </c>
      <c r="Q17" s="77">
        <v>36</v>
      </c>
      <c r="R17" s="68">
        <v>540.90000000000009</v>
      </c>
    </row>
    <row r="18" spans="1:18" x14ac:dyDescent="0.45">
      <c r="A18" s="18" t="s">
        <v>123</v>
      </c>
      <c r="B18" s="11">
        <f>B24</f>
        <v>216</v>
      </c>
      <c r="C18" s="5">
        <f>IF(B$16=0,0,B18/B$16)</f>
        <v>0.50467289719626163</v>
      </c>
      <c r="E18" s="27" t="s">
        <v>155</v>
      </c>
      <c r="F18" s="24" t="s">
        <v>156</v>
      </c>
      <c r="G18" s="12">
        <v>10</v>
      </c>
      <c r="H18" s="88">
        <f>IF(B$20=0,0,G18/B$20)</f>
        <v>1.953125E-2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5">
      <c r="A19" s="18" t="s">
        <v>124</v>
      </c>
      <c r="B19" s="11">
        <f>B25</f>
        <v>175</v>
      </c>
      <c r="C19" s="5">
        <f>IF(B$17=0,0,B19/B$17)</f>
        <v>0.42682926829268292</v>
      </c>
      <c r="E19" s="27" t="s">
        <v>79</v>
      </c>
      <c r="F19" s="24" t="s">
        <v>34</v>
      </c>
      <c r="G19" s="12">
        <v>9</v>
      </c>
      <c r="H19" s="88">
        <f>IF(B$20=0,0,G19/B$20)</f>
        <v>1.7578125E-2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190</v>
      </c>
      <c r="P19" s="83">
        <f>IF(Q19=0,0,R19/Q19)</f>
        <v>8.2500000000000036</v>
      </c>
      <c r="Q19" s="77">
        <v>20</v>
      </c>
      <c r="R19" s="68">
        <v>165.00000000000009</v>
      </c>
    </row>
    <row r="20" spans="1:18" x14ac:dyDescent="0.45">
      <c r="A20" s="18" t="s">
        <v>10</v>
      </c>
      <c r="B20" s="11">
        <f>B23+B22</f>
        <v>512</v>
      </c>
      <c r="C20" s="5">
        <f>IF(B$3=0,0,B20/B$3)</f>
        <v>0.29324169530355099</v>
      </c>
      <c r="E20" s="27" t="s">
        <v>73</v>
      </c>
      <c r="F20" s="24" t="s">
        <v>28</v>
      </c>
      <c r="G20" s="12">
        <v>4</v>
      </c>
      <c r="H20" s="88">
        <f>IF(B$20=0,0,G20/B$20)</f>
        <v>7.8125E-3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163</v>
      </c>
      <c r="P20" s="83">
        <f>IF(Q20=0,0,R20/Q20)</f>
        <v>4.8375000000000039</v>
      </c>
      <c r="Q20" s="77">
        <v>48</v>
      </c>
      <c r="R20" s="68">
        <v>232.20000000000019</v>
      </c>
    </row>
    <row r="21" spans="1:18" x14ac:dyDescent="0.45">
      <c r="A21" s="19" t="s">
        <v>13</v>
      </c>
      <c r="B21" s="12">
        <v>288</v>
      </c>
      <c r="C21" s="6">
        <f>IF(B$3=0,0,B21/B$3)</f>
        <v>0.16494845360824742</v>
      </c>
      <c r="E21" s="27" t="s">
        <v>85</v>
      </c>
      <c r="F21" s="24" t="s">
        <v>40</v>
      </c>
      <c r="G21" s="12">
        <v>3</v>
      </c>
      <c r="H21" s="88">
        <f>IF(B$20=0,0,G21/B$20)</f>
        <v>5.859375E-3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126</v>
      </c>
      <c r="P21" s="83">
        <f>IF(Q21=0,0,R21/Q21)</f>
        <v>0.24000000000000352</v>
      </c>
      <c r="Q21" s="77">
        <v>110</v>
      </c>
      <c r="R21" s="68">
        <v>26.400000000000386</v>
      </c>
    </row>
    <row r="22" spans="1:18" x14ac:dyDescent="0.45">
      <c r="A22" s="19" t="s">
        <v>12</v>
      </c>
      <c r="B22" s="12">
        <v>222</v>
      </c>
      <c r="C22" s="6">
        <f>IF(B$20=0,0,B22/B$20)</f>
        <v>0.43359375</v>
      </c>
      <c r="E22" s="27" t="s">
        <v>88</v>
      </c>
      <c r="F22" s="24" t="s">
        <v>43</v>
      </c>
      <c r="G22" s="12">
        <v>3</v>
      </c>
      <c r="H22" s="88">
        <f>IF(B$20=0,0,G22/B$20)</f>
        <v>5.859375E-3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-3.2785714285714276</v>
      </c>
      <c r="Q22" s="77">
        <v>56</v>
      </c>
      <c r="R22" s="68">
        <v>-183.59999999999994</v>
      </c>
    </row>
    <row r="23" spans="1:18" x14ac:dyDescent="0.45">
      <c r="A23" s="19" t="s">
        <v>11</v>
      </c>
      <c r="B23" s="12">
        <v>290</v>
      </c>
      <c r="C23" s="6">
        <f>IF(B$20=0,0,B23/B$20)</f>
        <v>0.56640625</v>
      </c>
      <c r="E23" s="27" t="s">
        <v>75</v>
      </c>
      <c r="F23" s="24" t="s">
        <v>30</v>
      </c>
      <c r="G23" s="12">
        <v>2</v>
      </c>
      <c r="H23" s="88">
        <f>IF(B$20=0,0,G23/B$20)</f>
        <v>3.90625E-3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-7.1019230769230779</v>
      </c>
      <c r="Q23" s="77">
        <v>52</v>
      </c>
      <c r="R23" s="68">
        <v>-369.30000000000007</v>
      </c>
    </row>
    <row r="24" spans="1:18" x14ac:dyDescent="0.45">
      <c r="A24" s="19" t="s">
        <v>183</v>
      </c>
      <c r="B24" s="12">
        <v>216</v>
      </c>
      <c r="C24" s="6">
        <f>IF(B$20=0,0,B24/B$20)</f>
        <v>0.421875</v>
      </c>
      <c r="E24" s="27" t="s">
        <v>77</v>
      </c>
      <c r="F24" s="24" t="s">
        <v>32</v>
      </c>
      <c r="G24" s="12">
        <v>2</v>
      </c>
      <c r="H24" s="88">
        <f>IF(B$20=0,0,G24/B$20)</f>
        <v>3.90625E-3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-14.148529411764711</v>
      </c>
      <c r="Q24" s="77">
        <v>68</v>
      </c>
      <c r="R24" s="68">
        <v>-962.10000000000036</v>
      </c>
    </row>
    <row r="25" spans="1:18" x14ac:dyDescent="0.45">
      <c r="A25" s="19" t="s">
        <v>181</v>
      </c>
      <c r="B25" s="12">
        <v>175</v>
      </c>
      <c r="C25" s="6">
        <f>IF(B$20=0,0,B25/B$20)</f>
        <v>0.341796875</v>
      </c>
      <c r="E25" s="27" t="s">
        <v>92</v>
      </c>
      <c r="F25" s="24" t="s">
        <v>47</v>
      </c>
      <c r="G25" s="12">
        <v>2</v>
      </c>
      <c r="H25" s="88">
        <f>IF(B$20=0,0,G25/B$20)</f>
        <v>3.90625E-3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121</v>
      </c>
      <c r="C26" s="6">
        <f>IF(B$20=0,0,B26/B$20)</f>
        <v>0.236328125</v>
      </c>
      <c r="E26" s="27" t="s">
        <v>93</v>
      </c>
      <c r="F26" s="24" t="s">
        <v>48</v>
      </c>
      <c r="G26" s="12">
        <v>1</v>
      </c>
      <c r="H26" s="88">
        <f>IF(B$20=0,0,G26/B$20)</f>
        <v>1.953125E-3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8075.5859375</v>
      </c>
      <c r="C27" s="8">
        <v>4134700</v>
      </c>
      <c r="E27" s="27" t="s">
        <v>102</v>
      </c>
      <c r="F27" s="24" t="s">
        <v>57</v>
      </c>
      <c r="G27" s="12">
        <v>1</v>
      </c>
      <c r="H27" s="88">
        <f>IF(B$20=0,0,G27/B$20)</f>
        <v>1.953125E-3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8827.8931750741831</v>
      </c>
      <c r="C28" s="96">
        <v>2975000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6626.8571428571431</v>
      </c>
      <c r="C29" s="96">
        <v>1159700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-7335.416666666667</v>
      </c>
      <c r="C30" s="96">
        <v>-2112600</v>
      </c>
      <c r="E30" s="27" t="s">
        <v>80</v>
      </c>
      <c r="F30" s="24" t="s">
        <v>35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9</v>
      </c>
      <c r="E32" s="27" t="s">
        <v>84</v>
      </c>
      <c r="F32" s="24" t="s">
        <v>39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87</v>
      </c>
      <c r="F33" s="24" t="s">
        <v>42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5</v>
      </c>
      <c r="C35" s="9">
        <f>IF(B$3=0,0,B35/B$3)</f>
        <v>2.8636884306987398E-3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45</v>
      </c>
      <c r="C37" s="98">
        <f t="shared" ref="C37:C49" si="2">IF(B$20=0,0,B37/B$20)</f>
        <v>8.7890625E-2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104</v>
      </c>
      <c r="C38" s="6">
        <f t="shared" si="2"/>
        <v>0.203125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97</v>
      </c>
      <c r="C39" s="6">
        <f t="shared" si="2"/>
        <v>0.189453125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86</v>
      </c>
      <c r="C40" s="6">
        <f t="shared" si="2"/>
        <v>0.16796875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67</v>
      </c>
      <c r="C41" s="6">
        <f t="shared" si="2"/>
        <v>0.130859375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47</v>
      </c>
      <c r="C42" s="6">
        <f t="shared" si="2"/>
        <v>9.1796875E-2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28</v>
      </c>
      <c r="C43" s="6">
        <f t="shared" si="2"/>
        <v>5.46875E-2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15</v>
      </c>
      <c r="C44" s="6">
        <f t="shared" si="2"/>
        <v>2.9296875E-2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10</v>
      </c>
      <c r="C45" s="6">
        <f t="shared" si="2"/>
        <v>1.953125E-2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7</v>
      </c>
      <c r="C46" s="6">
        <f t="shared" si="2"/>
        <v>1.3671875E-2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3.90625E-3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4</v>
      </c>
      <c r="C49" s="9">
        <f t="shared" si="2"/>
        <v>7.8125E-3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  <row r="174" spans="11:13" x14ac:dyDescent="0.45">
      <c r="K174" s="74">
        <v>172</v>
      </c>
      <c r="L174" s="119">
        <v>2.1316282072803006E-14</v>
      </c>
      <c r="M174" s="117">
        <v>1598.2005209309111</v>
      </c>
    </row>
    <row r="175" spans="11:13" x14ac:dyDescent="0.45">
      <c r="K175" s="74">
        <v>173</v>
      </c>
      <c r="L175" s="119">
        <v>27.300000000000022</v>
      </c>
      <c r="M175" s="117">
        <v>1603.3173178053257</v>
      </c>
    </row>
    <row r="176" spans="11:13" x14ac:dyDescent="0.45">
      <c r="K176" s="74">
        <v>174</v>
      </c>
      <c r="L176" s="119">
        <v>2.1316282072803006E-14</v>
      </c>
      <c r="M176" s="117">
        <v>1598.5754138984937</v>
      </c>
    </row>
    <row r="177" spans="11:13" x14ac:dyDescent="0.45">
      <c r="K177" s="74">
        <v>175</v>
      </c>
      <c r="L177" s="119">
        <v>-52.399999999999977</v>
      </c>
      <c r="M177" s="117">
        <v>1589.3439614151027</v>
      </c>
    </row>
    <row r="178" spans="11:13" x14ac:dyDescent="0.45">
      <c r="K178" s="74">
        <v>176</v>
      </c>
      <c r="L178" s="119">
        <v>-13.299999999999976</v>
      </c>
      <c r="M178" s="117">
        <v>1596.6378976466121</v>
      </c>
    </row>
    <row r="179" spans="11:13" x14ac:dyDescent="0.45">
      <c r="K179" s="74">
        <v>177</v>
      </c>
      <c r="L179" s="119">
        <v>2.4868995751603507E-14</v>
      </c>
      <c r="M179" s="117">
        <v>1599.2440702607325</v>
      </c>
    </row>
    <row r="180" spans="11:13" x14ac:dyDescent="0.45">
      <c r="K180" s="74">
        <v>178</v>
      </c>
      <c r="L180" s="119">
        <v>50.800000000000026</v>
      </c>
      <c r="M180" s="117">
        <v>1608.4646058391681</v>
      </c>
    </row>
    <row r="181" spans="11:13" x14ac:dyDescent="0.45">
      <c r="K181" s="74">
        <v>179</v>
      </c>
      <c r="L181" s="119">
        <v>66.40000000000002</v>
      </c>
      <c r="M181" s="117">
        <v>1611.2938182041332</v>
      </c>
    </row>
    <row r="182" spans="11:13" x14ac:dyDescent="0.45">
      <c r="K182" s="74">
        <v>180</v>
      </c>
      <c r="L182" s="119">
        <v>1.4210854715202004E-14</v>
      </c>
      <c r="M182" s="117">
        <v>1599.3460552949084</v>
      </c>
    </row>
    <row r="183" spans="11:13" x14ac:dyDescent="0.45">
      <c r="K183" s="74">
        <v>181</v>
      </c>
      <c r="L183" s="119">
        <v>44.600000000000016</v>
      </c>
      <c r="M183" s="117">
        <v>1607.4499789631391</v>
      </c>
    </row>
    <row r="184" spans="11:13" x14ac:dyDescent="0.45">
      <c r="K184" s="74">
        <v>182</v>
      </c>
      <c r="L184" s="119">
        <v>-2.8999999999999844</v>
      </c>
      <c r="M184" s="117">
        <v>1598.9272790893601</v>
      </c>
    </row>
    <row r="185" spans="11:13" x14ac:dyDescent="0.45">
      <c r="K185" s="74">
        <v>183</v>
      </c>
      <c r="L185" s="119">
        <v>1.5543122344752192E-14</v>
      </c>
      <c r="M185" s="117">
        <v>1599.5277154148239</v>
      </c>
    </row>
    <row r="186" spans="11:13" x14ac:dyDescent="0.45">
      <c r="K186" s="74">
        <v>184</v>
      </c>
      <c r="L186" s="119">
        <v>-24.899999999999984</v>
      </c>
      <c r="M186" s="117">
        <v>1595.120549122335</v>
      </c>
    </row>
    <row r="187" spans="11:13" x14ac:dyDescent="0.45">
      <c r="K187" s="74">
        <v>185</v>
      </c>
      <c r="L187" s="119">
        <v>-28.199999999999985</v>
      </c>
      <c r="M187" s="117">
        <v>1594.6278258276009</v>
      </c>
    </row>
    <row r="188" spans="11:13" x14ac:dyDescent="0.45">
      <c r="K188" s="74">
        <v>186</v>
      </c>
      <c r="L188" s="119">
        <v>1.4210854715202004E-14</v>
      </c>
      <c r="M188" s="117">
        <v>1599.8080588726352</v>
      </c>
    </row>
    <row r="189" spans="11:13" x14ac:dyDescent="0.45">
      <c r="K189" s="74">
        <v>187</v>
      </c>
      <c r="L189" s="119">
        <v>-12.799999999999986</v>
      </c>
      <c r="M189" s="117">
        <v>1597.6672105193993</v>
      </c>
    </row>
    <row r="190" spans="11:13" x14ac:dyDescent="0.45">
      <c r="K190" s="74">
        <v>188</v>
      </c>
      <c r="L190" s="119">
        <v>29.400000000000016</v>
      </c>
      <c r="M190" s="117">
        <v>1605.439207256283</v>
      </c>
    </row>
    <row r="191" spans="11:13" x14ac:dyDescent="0.45">
      <c r="K191" s="74">
        <v>189</v>
      </c>
      <c r="L191" s="119">
        <v>1.7763568394002505E-14</v>
      </c>
      <c r="M191" s="117">
        <v>1600.2765720127452</v>
      </c>
    </row>
    <row r="192" spans="11:13" x14ac:dyDescent="0.45">
      <c r="K192" s="74">
        <v>190</v>
      </c>
      <c r="L192" s="119">
        <v>43.90000000000002</v>
      </c>
      <c r="M192" s="117">
        <v>1608.3389125806686</v>
      </c>
    </row>
    <row r="193" spans="11:13" x14ac:dyDescent="0.45">
      <c r="K193" s="74">
        <v>191</v>
      </c>
      <c r="L193" s="119">
        <v>-1.8999999999999773</v>
      </c>
      <c r="M193" s="117">
        <v>1600.2068791051847</v>
      </c>
    </row>
    <row r="194" spans="11:13" x14ac:dyDescent="0.45">
      <c r="K194" s="74">
        <v>192</v>
      </c>
      <c r="L194" s="119">
        <v>2.2648549702353193E-14</v>
      </c>
      <c r="M194" s="117">
        <v>1600.7096378305537</v>
      </c>
    </row>
    <row r="195" spans="11:13" x14ac:dyDescent="0.45">
      <c r="K195" s="74">
        <v>193</v>
      </c>
      <c r="L195" s="119">
        <v>4.1000000000000227</v>
      </c>
      <c r="M195" s="117">
        <v>1601.6053800035704</v>
      </c>
    </row>
    <row r="196" spans="11:13" x14ac:dyDescent="0.45">
      <c r="K196" s="74">
        <v>194</v>
      </c>
      <c r="L196" s="119">
        <v>-30.999999999999979</v>
      </c>
      <c r="M196" s="117">
        <v>1595.4397477235491</v>
      </c>
    </row>
    <row r="197" spans="11:13" x14ac:dyDescent="0.45">
      <c r="K197" s="74">
        <v>195</v>
      </c>
      <c r="L197" s="119">
        <v>2.1316282072803006E-14</v>
      </c>
      <c r="M197" s="117">
        <v>1601.2091092372077</v>
      </c>
    </row>
    <row r="198" spans="11:13" x14ac:dyDescent="0.45">
      <c r="K198" s="74">
        <v>196</v>
      </c>
      <c r="L198" s="119">
        <v>-18.399999999999977</v>
      </c>
      <c r="M198" s="117">
        <v>1597.5598545817845</v>
      </c>
    </row>
    <row r="199" spans="11:13" x14ac:dyDescent="0.45">
      <c r="K199" s="74">
        <v>197</v>
      </c>
      <c r="L199" s="119">
        <v>-20.199999999999978</v>
      </c>
      <c r="M199" s="117">
        <v>1596.9204954542938</v>
      </c>
    </row>
    <row r="200" spans="11:13" x14ac:dyDescent="0.45">
      <c r="K200" s="74">
        <v>198</v>
      </c>
      <c r="L200" s="119">
        <v>2.1316282072803006E-14</v>
      </c>
      <c r="M200" s="117">
        <v>1600.2449724815681</v>
      </c>
    </row>
    <row r="201" spans="11:13" x14ac:dyDescent="0.45">
      <c r="K201" s="74">
        <v>199</v>
      </c>
      <c r="L201" s="119">
        <v>-2.3999999999999786</v>
      </c>
      <c r="M201" s="117">
        <v>1599.4815026466786</v>
      </c>
    </row>
    <row r="202" spans="11:13" x14ac:dyDescent="0.45">
      <c r="K202" s="74">
        <v>200</v>
      </c>
      <c r="L202" s="119">
        <v>-32.699999999999982</v>
      </c>
      <c r="M202" s="117">
        <v>1593.7006136307984</v>
      </c>
    </row>
    <row r="203" spans="11:13" x14ac:dyDescent="0.45">
      <c r="K203" s="74">
        <v>201</v>
      </c>
      <c r="L203" s="119">
        <v>2.1316282072803006E-14</v>
      </c>
      <c r="M203" s="117">
        <v>1599.2944099490137</v>
      </c>
    </row>
    <row r="204" spans="11:13" x14ac:dyDescent="0.45">
      <c r="K204" s="74">
        <v>202</v>
      </c>
      <c r="L204" s="119">
        <v>-21.699999999999978</v>
      </c>
      <c r="M204" s="117">
        <v>1595.4466434893195</v>
      </c>
    </row>
    <row r="205" spans="11:13" x14ac:dyDescent="0.45">
      <c r="K205" s="74">
        <v>203</v>
      </c>
      <c r="L205" s="119">
        <v>8.4000000000000234</v>
      </c>
      <c r="M205" s="117">
        <v>1600.9459636283837</v>
      </c>
    </row>
    <row r="206" spans="11:13" x14ac:dyDescent="0.45">
      <c r="K206" s="74">
        <v>204</v>
      </c>
      <c r="L206" s="119">
        <v>2.3092638912203256E-14</v>
      </c>
      <c r="M206" s="117">
        <v>1599.4822878466134</v>
      </c>
    </row>
    <row r="207" spans="11:13" x14ac:dyDescent="0.45">
      <c r="K207" s="74">
        <v>205</v>
      </c>
      <c r="L207" s="119">
        <v>44.000000000000021</v>
      </c>
      <c r="M207" s="117">
        <v>1607.4593941195337</v>
      </c>
    </row>
    <row r="208" spans="11:13" x14ac:dyDescent="0.45">
      <c r="K208" s="74">
        <v>206</v>
      </c>
      <c r="L208" s="119">
        <v>3.3000000000000185</v>
      </c>
      <c r="M208" s="117">
        <v>1600.1426377548166</v>
      </c>
    </row>
    <row r="209" spans="11:13" x14ac:dyDescent="0.45">
      <c r="K209" s="74">
        <v>207</v>
      </c>
      <c r="L209" s="119">
        <v>1.865174681370263E-14</v>
      </c>
      <c r="M209" s="117">
        <v>1599.6017819282877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4E7F-FA9C-4E27-97F8-F221A20F4388}">
  <sheetPr codeName="Sheet7"/>
  <dimension ref="A1:R57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55</v>
      </c>
      <c r="C2" s="134"/>
      <c r="E2" s="26" t="s">
        <v>66</v>
      </c>
      <c r="F2" s="23" t="s">
        <v>22</v>
      </c>
      <c r="G2" s="11">
        <v>107</v>
      </c>
      <c r="H2" s="87">
        <f>IF(B$20=0,0,G2/B$20)</f>
        <v>0.77536231884057971</v>
      </c>
      <c r="I2" s="57">
        <v>5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829.09090909090912</v>
      </c>
      <c r="Q2" s="76">
        <v>55</v>
      </c>
      <c r="R2" s="63">
        <v>45600</v>
      </c>
    </row>
    <row r="3" spans="1:18" x14ac:dyDescent="0.45">
      <c r="A3" s="19" t="s">
        <v>8</v>
      </c>
      <c r="B3" s="135">
        <v>461</v>
      </c>
      <c r="C3" s="136"/>
      <c r="E3" s="27" t="s">
        <v>72</v>
      </c>
      <c r="F3" s="24" t="s">
        <v>27</v>
      </c>
      <c r="G3" s="12">
        <v>86</v>
      </c>
      <c r="H3" s="88">
        <f>IF(B$20=0,0,G3/B$20)</f>
        <v>0.62318840579710144</v>
      </c>
      <c r="I3" s="58">
        <v>6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-688.67924528301887</v>
      </c>
      <c r="Q3" s="77">
        <v>53</v>
      </c>
      <c r="R3" s="64">
        <v>-36500</v>
      </c>
    </row>
    <row r="4" spans="1:18" x14ac:dyDescent="0.45">
      <c r="A4" s="19" t="s">
        <v>6</v>
      </c>
      <c r="B4" s="137">
        <v>-8.8000000000000362</v>
      </c>
      <c r="C4" s="138"/>
      <c r="E4" s="27" t="s">
        <v>64</v>
      </c>
      <c r="F4" s="24" t="s">
        <v>20</v>
      </c>
      <c r="G4" s="12">
        <v>58</v>
      </c>
      <c r="H4" s="88">
        <f>IF(B$20=0,0,G4/B$20)</f>
        <v>0.42028985507246375</v>
      </c>
      <c r="I4" s="58">
        <v>4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-525.92592592592598</v>
      </c>
      <c r="Q4" s="77">
        <v>54</v>
      </c>
      <c r="R4" s="64">
        <v>-28400</v>
      </c>
    </row>
    <row r="5" spans="1:18" x14ac:dyDescent="0.45">
      <c r="A5" s="19" t="s">
        <v>7</v>
      </c>
      <c r="B5" s="125">
        <f>IF(B$2=0,0,B$4/B$2)</f>
        <v>-0.16000000000000067</v>
      </c>
      <c r="C5" s="126"/>
      <c r="E5" s="27" t="s">
        <v>159</v>
      </c>
      <c r="F5" s="24" t="s">
        <v>160</v>
      </c>
      <c r="G5" s="12">
        <v>50</v>
      </c>
      <c r="H5" s="88">
        <f>IF(B$20=0,0,G5/B$20)</f>
        <v>0.36231884057971014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13.725490196078431</v>
      </c>
      <c r="Q5" s="77">
        <v>51</v>
      </c>
      <c r="R5" s="64">
        <v>700</v>
      </c>
    </row>
    <row r="6" spans="1:18" x14ac:dyDescent="0.45">
      <c r="A6" s="19" t="s">
        <v>196</v>
      </c>
      <c r="B6" s="129">
        <v>1770.9792716441759</v>
      </c>
      <c r="C6" s="130"/>
      <c r="E6" s="27" t="s">
        <v>68</v>
      </c>
      <c r="F6" s="24" t="s">
        <v>12</v>
      </c>
      <c r="G6" s="12">
        <v>41</v>
      </c>
      <c r="H6" s="88">
        <f>IF(B$20=0,0,G6/B$20)</f>
        <v>0.29710144927536231</v>
      </c>
      <c r="I6" s="58">
        <v>6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-226.08695652173913</v>
      </c>
      <c r="Q6" s="77">
        <v>46</v>
      </c>
      <c r="R6" s="64">
        <v>-10400</v>
      </c>
    </row>
    <row r="7" spans="1:18" x14ac:dyDescent="0.45">
      <c r="A7" s="19" t="s">
        <v>1</v>
      </c>
      <c r="B7" s="139">
        <f>IF(B$2=0,0,(B$8*1+B$9*2+B$10*3)/B$2)</f>
        <v>2.0727272727272728</v>
      </c>
      <c r="C7" s="140"/>
      <c r="E7" s="27" t="s">
        <v>67</v>
      </c>
      <c r="F7" s="24" t="s">
        <v>23</v>
      </c>
      <c r="G7" s="12">
        <v>28</v>
      </c>
      <c r="H7" s="88">
        <f>IF(B$20=0,0,G7/B$20)</f>
        <v>0.20289855072463769</v>
      </c>
      <c r="I7" s="58">
        <v>7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-788.88888888888891</v>
      </c>
      <c r="Q7" s="78">
        <v>36</v>
      </c>
      <c r="R7" s="65">
        <v>-28400</v>
      </c>
    </row>
    <row r="8" spans="1:18" x14ac:dyDescent="0.45">
      <c r="A8" s="19" t="s">
        <v>2</v>
      </c>
      <c r="B8" s="12">
        <v>15</v>
      </c>
      <c r="C8" s="6">
        <f t="shared" ref="C8:C15" si="1">IF(B$2=0,0,B8/B$2)</f>
        <v>0.27272727272727271</v>
      </c>
      <c r="E8" s="27" t="s">
        <v>69</v>
      </c>
      <c r="F8" s="24" t="s">
        <v>24</v>
      </c>
      <c r="G8" s="12">
        <v>25</v>
      </c>
      <c r="H8" s="88">
        <f>IF(B$20=0,0,G8/B$20)</f>
        <v>0.18115942028985507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21</v>
      </c>
      <c r="C9" s="6">
        <f t="shared" si="1"/>
        <v>0.38181818181818183</v>
      </c>
      <c r="E9" s="27" t="s">
        <v>70</v>
      </c>
      <c r="F9" s="24" t="s">
        <v>25</v>
      </c>
      <c r="G9" s="12">
        <v>22</v>
      </c>
      <c r="H9" s="88">
        <f>IF(B$20=0,0,G9/B$20)</f>
        <v>0.15942028985507245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19</v>
      </c>
      <c r="C10" s="7">
        <f t="shared" si="1"/>
        <v>0.34545454545454546</v>
      </c>
      <c r="E10" s="27" t="s">
        <v>89</v>
      </c>
      <c r="F10" s="24" t="s">
        <v>44</v>
      </c>
      <c r="G10" s="12">
        <v>20</v>
      </c>
      <c r="H10" s="88">
        <f>IF(B$20=0,0,G10/B$20)</f>
        <v>0.14492753623188406</v>
      </c>
      <c r="I10" s="58">
        <v>6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6.1052631578947345</v>
      </c>
      <c r="Q10" s="76">
        <v>19</v>
      </c>
      <c r="R10" s="67">
        <v>115.99999999999996</v>
      </c>
    </row>
    <row r="11" spans="1:18" x14ac:dyDescent="0.45">
      <c r="A11" s="20" t="s">
        <v>184</v>
      </c>
      <c r="B11" s="109">
        <f>IF(B8=0,0,C11/B8)</f>
        <v>40.006666666666668</v>
      </c>
      <c r="C11" s="110">
        <v>600.1</v>
      </c>
      <c r="E11" s="27" t="s">
        <v>65</v>
      </c>
      <c r="F11" s="24" t="s">
        <v>21</v>
      </c>
      <c r="G11" s="12">
        <v>13</v>
      </c>
      <c r="H11" s="88">
        <f>IF(B$20=0,0,G11/B$20)</f>
        <v>9.420289855072464E-2</v>
      </c>
      <c r="I11" s="58">
        <v>5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-10.176190476190476</v>
      </c>
      <c r="Q11" s="77">
        <v>21</v>
      </c>
      <c r="R11" s="68">
        <v>-213.7</v>
      </c>
    </row>
    <row r="12" spans="1:18" x14ac:dyDescent="0.45">
      <c r="A12" s="20" t="s">
        <v>185</v>
      </c>
      <c r="B12" s="109">
        <f>IF(B9=0,0,C12/B9)</f>
        <v>-2.7047619047619045</v>
      </c>
      <c r="C12" s="110">
        <v>-56.8</v>
      </c>
      <c r="E12" s="27" t="s">
        <v>86</v>
      </c>
      <c r="F12" s="24" t="s">
        <v>41</v>
      </c>
      <c r="G12" s="12">
        <v>8</v>
      </c>
      <c r="H12" s="88">
        <f>IF(B$20=0,0,G12/B$20)</f>
        <v>5.7971014492753624E-2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5.9266666666666667</v>
      </c>
      <c r="Q12" s="78">
        <v>15</v>
      </c>
      <c r="R12" s="69">
        <v>88.9</v>
      </c>
    </row>
    <row r="13" spans="1:18" x14ac:dyDescent="0.45">
      <c r="A13" s="20" t="s">
        <v>186</v>
      </c>
      <c r="B13" s="109">
        <f>IF(B10=0,0,C13/B10)</f>
        <v>-29.057894736842105</v>
      </c>
      <c r="C13" s="110">
        <v>-552.1</v>
      </c>
      <c r="E13" s="27" t="s">
        <v>155</v>
      </c>
      <c r="F13" s="24" t="s">
        <v>156</v>
      </c>
      <c r="G13" s="12">
        <v>7</v>
      </c>
      <c r="H13" s="88">
        <f>IF(B$20=0,0,G13/B$20)</f>
        <v>5.0724637681159424E-2</v>
      </c>
      <c r="I13" s="58">
        <v>1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2.7480033416875536</v>
      </c>
      <c r="C14" s="126"/>
      <c r="E14" s="27" t="s">
        <v>71</v>
      </c>
      <c r="F14" s="24" t="s">
        <v>26</v>
      </c>
      <c r="G14" s="12">
        <v>6</v>
      </c>
      <c r="H14" s="88">
        <f>IF(B$20=0,0,G14/B$20)</f>
        <v>4.3478260869565216E-2</v>
      </c>
      <c r="I14" s="58">
        <v>6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7.2727272727272724E-2</v>
      </c>
      <c r="E15" s="27" t="s">
        <v>83</v>
      </c>
      <c r="F15" s="24" t="s">
        <v>38</v>
      </c>
      <c r="G15" s="12">
        <v>6</v>
      </c>
      <c r="H15" s="88">
        <f>IF(B$20=0,0,G15/B$20)</f>
        <v>4.3478260869565216E-2</v>
      </c>
      <c r="I15" s="58">
        <v>6</v>
      </c>
      <c r="K15" s="74">
        <v>13</v>
      </c>
      <c r="L15" s="119">
        <v>236</v>
      </c>
      <c r="M15" s="117">
        <v>1865.6935040107483</v>
      </c>
      <c r="O15" s="73" t="s">
        <v>195</v>
      </c>
      <c r="P15" s="82">
        <f>IF(Q15=0,0,R15/Q15)</f>
        <v>33.85</v>
      </c>
      <c r="Q15" s="76">
        <v>4</v>
      </c>
      <c r="R15" s="67">
        <v>135.4</v>
      </c>
    </row>
    <row r="16" spans="1:18" x14ac:dyDescent="0.45">
      <c r="A16" s="22" t="s">
        <v>121</v>
      </c>
      <c r="B16" s="15">
        <v>117</v>
      </c>
      <c r="C16" s="10">
        <f>IF(B$3=0,0,B16/B$3)</f>
        <v>0.25379609544468545</v>
      </c>
      <c r="E16" s="27" t="s">
        <v>81</v>
      </c>
      <c r="F16" s="24" t="s">
        <v>36</v>
      </c>
      <c r="G16" s="12">
        <v>4</v>
      </c>
      <c r="H16" s="88">
        <f>IF(B$20=0,0,G16/B$20)</f>
        <v>2.8985507246376812E-2</v>
      </c>
      <c r="I16" s="58">
        <v>9</v>
      </c>
      <c r="K16" s="74">
        <v>14</v>
      </c>
      <c r="L16" s="119">
        <v>222</v>
      </c>
      <c r="M16" s="117">
        <v>1861.6993429866839</v>
      </c>
      <c r="O16" s="74" t="s">
        <v>193</v>
      </c>
      <c r="P16" s="83">
        <f>IF(Q16=0,0,R16/Q16)</f>
        <v>28.9</v>
      </c>
      <c r="Q16" s="77">
        <v>2</v>
      </c>
      <c r="R16" s="68">
        <v>57.8</v>
      </c>
    </row>
    <row r="17" spans="1:18" x14ac:dyDescent="0.45">
      <c r="A17" s="19" t="s">
        <v>118</v>
      </c>
      <c r="B17" s="12">
        <v>101</v>
      </c>
      <c r="C17" s="6">
        <f>IF(B$3=0,0,B17/B$3)</f>
        <v>0.21908893709327548</v>
      </c>
      <c r="E17" s="27" t="s">
        <v>91</v>
      </c>
      <c r="F17" s="24" t="s">
        <v>46</v>
      </c>
      <c r="G17" s="12">
        <v>4</v>
      </c>
      <c r="H17" s="88">
        <f>IF(B$20=0,0,G17/B$20)</f>
        <v>2.8985507246376812E-2</v>
      </c>
      <c r="I17" s="58">
        <v>2</v>
      </c>
      <c r="K17" s="74">
        <v>15</v>
      </c>
      <c r="L17" s="119">
        <v>190.9</v>
      </c>
      <c r="M17" s="117">
        <v>1854.6511469287639</v>
      </c>
      <c r="O17" s="74" t="s">
        <v>190</v>
      </c>
      <c r="P17" s="83">
        <f>IF(Q17=0,0,R17/Q17)</f>
        <v>12.162499999999998</v>
      </c>
      <c r="Q17" s="77">
        <v>8</v>
      </c>
      <c r="R17" s="68">
        <v>97.299999999999983</v>
      </c>
    </row>
    <row r="18" spans="1:18" x14ac:dyDescent="0.45">
      <c r="A18" s="18" t="s">
        <v>123</v>
      </c>
      <c r="B18" s="11">
        <f>B24</f>
        <v>64</v>
      </c>
      <c r="C18" s="5">
        <f>IF(B$16=0,0,B18/B$16)</f>
        <v>0.54700854700854706</v>
      </c>
      <c r="E18" s="27" t="s">
        <v>78</v>
      </c>
      <c r="F18" s="24" t="s">
        <v>33</v>
      </c>
      <c r="G18" s="12">
        <v>3</v>
      </c>
      <c r="H18" s="88">
        <f>IF(B$20=0,0,G18/B$20)</f>
        <v>2.1739130434782608E-2</v>
      </c>
      <c r="I18" s="58">
        <v>7</v>
      </c>
      <c r="K18" s="74">
        <v>16</v>
      </c>
      <c r="L18" s="119">
        <v>164.20000000000002</v>
      </c>
      <c r="M18" s="117">
        <v>1848.4372400471914</v>
      </c>
      <c r="O18" s="74" t="s">
        <v>216</v>
      </c>
      <c r="P18" s="83">
        <f>IF(Q18=0,0,R18/Q18)</f>
        <v>11.879999999999999</v>
      </c>
      <c r="Q18" s="77">
        <v>10</v>
      </c>
      <c r="R18" s="68">
        <v>118.79999999999998</v>
      </c>
    </row>
    <row r="19" spans="1:18" x14ac:dyDescent="0.45">
      <c r="A19" s="18" t="s">
        <v>124</v>
      </c>
      <c r="B19" s="11">
        <f>B25</f>
        <v>43</v>
      </c>
      <c r="C19" s="5">
        <f>IF(B$17=0,0,B19/B$17)</f>
        <v>0.42574257425742573</v>
      </c>
      <c r="E19" s="27" t="s">
        <v>73</v>
      </c>
      <c r="F19" s="24" t="s">
        <v>28</v>
      </c>
      <c r="G19" s="12">
        <v>1</v>
      </c>
      <c r="H19" s="88">
        <f>IF(B$20=0,0,G19/B$20)</f>
        <v>7.246376811594203E-3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10.516666666666667</v>
      </c>
      <c r="Q19" s="77">
        <v>18</v>
      </c>
      <c r="R19" s="68">
        <v>189.3</v>
      </c>
    </row>
    <row r="20" spans="1:18" x14ac:dyDescent="0.45">
      <c r="A20" s="18" t="s">
        <v>10</v>
      </c>
      <c r="B20" s="11">
        <f>B23+B22</f>
        <v>138</v>
      </c>
      <c r="C20" s="5">
        <f>IF(B$3=0,0,B20/B$3)</f>
        <v>0.29934924078091107</v>
      </c>
      <c r="E20" s="27" t="s">
        <v>75</v>
      </c>
      <c r="F20" s="24" t="s">
        <v>30</v>
      </c>
      <c r="G20" s="12">
        <v>1</v>
      </c>
      <c r="H20" s="88">
        <f>IF(B$20=0,0,G20/B$20)</f>
        <v>7.246376811594203E-3</v>
      </c>
      <c r="I20" s="58">
        <v>2</v>
      </c>
      <c r="K20" s="74">
        <v>18</v>
      </c>
      <c r="L20" s="119">
        <v>188.9</v>
      </c>
      <c r="M20" s="117">
        <v>1849.7792249072668</v>
      </c>
      <c r="O20" s="74" t="s">
        <v>211</v>
      </c>
      <c r="P20" s="83">
        <f>IF(Q20=0,0,R20/Q20)</f>
        <v>4.7666666666666666</v>
      </c>
      <c r="Q20" s="77">
        <v>15</v>
      </c>
      <c r="R20" s="68">
        <v>71.5</v>
      </c>
    </row>
    <row r="21" spans="1:18" x14ac:dyDescent="0.45">
      <c r="A21" s="19" t="s">
        <v>13</v>
      </c>
      <c r="B21" s="12">
        <v>83</v>
      </c>
      <c r="C21" s="6">
        <f>IF(B$3=0,0,B21/B$3)</f>
        <v>0.18004338394793926</v>
      </c>
      <c r="E21" s="27" t="s">
        <v>79</v>
      </c>
      <c r="F21" s="24" t="s">
        <v>34</v>
      </c>
      <c r="G21" s="12">
        <v>1</v>
      </c>
      <c r="H21" s="88">
        <f>IF(B$20=0,0,G21/B$20)</f>
        <v>7.246376811594203E-3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-9.9</v>
      </c>
      <c r="Q21" s="77">
        <v>25</v>
      </c>
      <c r="R21" s="68">
        <v>-247.5</v>
      </c>
    </row>
    <row r="22" spans="1:18" x14ac:dyDescent="0.45">
      <c r="A22" s="19" t="s">
        <v>12</v>
      </c>
      <c r="B22" s="12">
        <v>61</v>
      </c>
      <c r="C22" s="6">
        <f>IF(B$20=0,0,B22/B$20)</f>
        <v>0.4420289855072464</v>
      </c>
      <c r="E22" s="27" t="s">
        <v>85</v>
      </c>
      <c r="F22" s="24" t="s">
        <v>40</v>
      </c>
      <c r="G22" s="12">
        <v>1</v>
      </c>
      <c r="H22" s="88">
        <f>IF(B$20=0,0,G22/B$20)</f>
        <v>7.246376811594203E-3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-16.035714285714288</v>
      </c>
      <c r="Q22" s="77">
        <v>28</v>
      </c>
      <c r="R22" s="68">
        <v>-449.00000000000006</v>
      </c>
    </row>
    <row r="23" spans="1:18" x14ac:dyDescent="0.45">
      <c r="A23" s="19" t="s">
        <v>11</v>
      </c>
      <c r="B23" s="12">
        <v>77</v>
      </c>
      <c r="C23" s="6">
        <f>IF(B$20=0,0,B23/B$20)</f>
        <v>0.55797101449275366</v>
      </c>
      <c r="E23" s="27" t="s">
        <v>92</v>
      </c>
      <c r="F23" s="24" t="s">
        <v>47</v>
      </c>
      <c r="G23" s="12">
        <v>1</v>
      </c>
      <c r="H23" s="88">
        <f>IF(B$20=0,0,G23/B$20)</f>
        <v>7.246376811594203E-3</v>
      </c>
      <c r="I23" s="58">
        <v>2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64</v>
      </c>
      <c r="C24" s="6">
        <f>IF(B$20=0,0,B24/B$20)</f>
        <v>0.46376811594202899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43</v>
      </c>
      <c r="C25" s="6">
        <f>IF(B$20=0,0,B25/B$20)</f>
        <v>0.31159420289855072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31</v>
      </c>
      <c r="C26" s="6">
        <f>IF(B$20=0,0,B26/B$20)</f>
        <v>0.22463768115942029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8533.3333333333339</v>
      </c>
      <c r="C27" s="8">
        <v>1177600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8996.8421052631584</v>
      </c>
      <c r="C28" s="96">
        <v>854700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7509.3023255813951</v>
      </c>
      <c r="C29" s="96">
        <v>322900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-6725.3012048192768</v>
      </c>
      <c r="C30" s="96">
        <v>-558200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2.1691973969631237E-3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7</v>
      </c>
      <c r="C37" s="98">
        <f t="shared" ref="C37:C49" si="2">IF(B$20=0,0,B37/B$20)</f>
        <v>5.0724637681159424E-2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23</v>
      </c>
      <c r="C38" s="6">
        <f t="shared" si="2"/>
        <v>0.16666666666666666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33</v>
      </c>
      <c r="C39" s="6">
        <f t="shared" si="2"/>
        <v>0.2391304347826087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20</v>
      </c>
      <c r="C40" s="6">
        <f t="shared" si="2"/>
        <v>0.14492753623188406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21</v>
      </c>
      <c r="C41" s="6">
        <f t="shared" si="2"/>
        <v>0.15217391304347827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18</v>
      </c>
      <c r="C42" s="6">
        <f t="shared" si="2"/>
        <v>0.13043478260869565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8</v>
      </c>
      <c r="C43" s="6">
        <f t="shared" si="2"/>
        <v>5.7971014492753624E-2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1</v>
      </c>
      <c r="C44" s="6">
        <f t="shared" si="2"/>
        <v>7.246376811594203E-3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4</v>
      </c>
      <c r="C45" s="6">
        <f t="shared" si="2"/>
        <v>2.8985507246376812E-2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1</v>
      </c>
      <c r="C46" s="6">
        <f t="shared" si="2"/>
        <v>7.246376811594203E-3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7.246376811594203E-3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5">
      <c r="A49" s="21" t="s">
        <v>179</v>
      </c>
      <c r="B49" s="97">
        <v>1</v>
      </c>
      <c r="C49" s="9">
        <f t="shared" si="2"/>
        <v>7.246376811594203E-3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5">
      <c r="K53" s="74">
        <v>51</v>
      </c>
      <c r="L53" s="119">
        <v>68.399999999999963</v>
      </c>
      <c r="M53" s="117">
        <v>1788.8356828322449</v>
      </c>
    </row>
    <row r="54" spans="1:13" x14ac:dyDescent="0.45">
      <c r="K54" s="74">
        <v>52</v>
      </c>
      <c r="L54" s="119">
        <v>22.599999999999966</v>
      </c>
      <c r="M54" s="117">
        <v>1779.6206687352515</v>
      </c>
    </row>
    <row r="55" spans="1:13" x14ac:dyDescent="0.45">
      <c r="K55" s="74">
        <v>53</v>
      </c>
      <c r="L55" s="119">
        <v>53.599999999999966</v>
      </c>
      <c r="M55" s="117">
        <v>1784.28494472284</v>
      </c>
    </row>
    <row r="56" spans="1:13" x14ac:dyDescent="0.45">
      <c r="K56" s="74">
        <v>54</v>
      </c>
      <c r="L56" s="119">
        <v>31.899999999999967</v>
      </c>
      <c r="M56" s="117">
        <v>1779.327235054503</v>
      </c>
    </row>
    <row r="57" spans="1:13" x14ac:dyDescent="0.45">
      <c r="K57" s="74">
        <v>55</v>
      </c>
      <c r="L57" s="119">
        <v>-8.8000000000000362</v>
      </c>
      <c r="M57" s="117">
        <v>1770.9792716441759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57C2-DBCF-4F24-8F8C-26919C3789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24</v>
      </c>
      <c r="C2" s="134"/>
      <c r="E2" s="26" t="s">
        <v>66</v>
      </c>
      <c r="F2" s="23" t="s">
        <v>22</v>
      </c>
      <c r="G2" s="11">
        <v>57</v>
      </c>
      <c r="H2" s="87">
        <f>IF(B$20=0,0,G2/B$20)</f>
        <v>1.0178571428571428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2183.3333333333335</v>
      </c>
      <c r="Q2" s="76">
        <v>24</v>
      </c>
      <c r="R2" s="63">
        <v>52400</v>
      </c>
    </row>
    <row r="3" spans="1:18" x14ac:dyDescent="0.45">
      <c r="A3" s="19" t="s">
        <v>8</v>
      </c>
      <c r="B3" s="135">
        <v>208</v>
      </c>
      <c r="C3" s="136"/>
      <c r="E3" s="27" t="s">
        <v>72</v>
      </c>
      <c r="F3" s="24" t="s">
        <v>27</v>
      </c>
      <c r="G3" s="12">
        <v>31</v>
      </c>
      <c r="H3" s="88">
        <f>IF(B$20=0,0,G3/B$20)</f>
        <v>0.5535714285714286</v>
      </c>
      <c r="I3" s="58">
        <v>8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-1760.8695652173913</v>
      </c>
      <c r="Q3" s="77">
        <v>23</v>
      </c>
      <c r="R3" s="64">
        <v>-40500</v>
      </c>
    </row>
    <row r="4" spans="1:18" x14ac:dyDescent="0.45">
      <c r="A4" s="19" t="s">
        <v>6</v>
      </c>
      <c r="B4" s="137">
        <v>-77.400000000000006</v>
      </c>
      <c r="C4" s="138"/>
      <c r="E4" s="27" t="s">
        <v>64</v>
      </c>
      <c r="F4" s="24" t="s">
        <v>20</v>
      </c>
      <c r="G4" s="12">
        <v>23</v>
      </c>
      <c r="H4" s="88">
        <f>IF(B$20=0,0,G4/B$20)</f>
        <v>0.4107142857142857</v>
      </c>
      <c r="I4" s="58">
        <v>5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-1117.391304347826</v>
      </c>
      <c r="Q4" s="77">
        <v>23</v>
      </c>
      <c r="R4" s="64">
        <v>-25700</v>
      </c>
    </row>
    <row r="5" spans="1:18" x14ac:dyDescent="0.45">
      <c r="A5" s="19" t="s">
        <v>7</v>
      </c>
      <c r="B5" s="125">
        <f>IF(B$2=0,0,B$4/B$2)</f>
        <v>-3.2250000000000001</v>
      </c>
      <c r="C5" s="126"/>
      <c r="E5" s="27" t="s">
        <v>159</v>
      </c>
      <c r="F5" s="24" t="s">
        <v>160</v>
      </c>
      <c r="G5" s="12">
        <v>23</v>
      </c>
      <c r="H5" s="88">
        <f>IF(B$20=0,0,G5/B$20)</f>
        <v>0.4107142857142857</v>
      </c>
      <c r="I5" s="58">
        <v>3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1059.090909090909</v>
      </c>
      <c r="Q5" s="77">
        <v>22</v>
      </c>
      <c r="R5" s="64">
        <v>23300</v>
      </c>
    </row>
    <row r="6" spans="1:18" x14ac:dyDescent="0.45">
      <c r="A6" s="19" t="s">
        <v>196</v>
      </c>
      <c r="B6" s="129">
        <v>1637.2144623174072</v>
      </c>
      <c r="C6" s="130"/>
      <c r="E6" s="27" t="s">
        <v>68</v>
      </c>
      <c r="F6" s="24" t="s">
        <v>12</v>
      </c>
      <c r="G6" s="12">
        <v>19</v>
      </c>
      <c r="H6" s="88">
        <f>IF(B$20=0,0,G6/B$20)</f>
        <v>0.3392857142857143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273.68421052631578</v>
      </c>
      <c r="Q6" s="77">
        <v>19</v>
      </c>
      <c r="R6" s="64">
        <v>5200</v>
      </c>
    </row>
    <row r="7" spans="1:18" x14ac:dyDescent="0.45">
      <c r="A7" s="19" t="s">
        <v>1</v>
      </c>
      <c r="B7" s="139">
        <f>IF(B$2=0,0,(B$8*1+B$9*2+B$10*3)/B$2)</f>
        <v>2.0416666666666665</v>
      </c>
      <c r="C7" s="140"/>
      <c r="E7" s="27" t="s">
        <v>67</v>
      </c>
      <c r="F7" s="24" t="s">
        <v>23</v>
      </c>
      <c r="G7" s="12">
        <v>11</v>
      </c>
      <c r="H7" s="88">
        <f>IF(B$20=0,0,G7/B$20)</f>
        <v>0.19642857142857142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-450</v>
      </c>
      <c r="Q7" s="78">
        <v>14</v>
      </c>
      <c r="R7" s="65">
        <v>-6300</v>
      </c>
    </row>
    <row r="8" spans="1:18" x14ac:dyDescent="0.45">
      <c r="A8" s="19" t="s">
        <v>2</v>
      </c>
      <c r="B8" s="12">
        <v>8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10</v>
      </c>
      <c r="H8" s="88">
        <f>IF(B$20=0,0,G8/B$20)</f>
        <v>0.17857142857142858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0.29166666666666669</v>
      </c>
      <c r="E9" s="27" t="s">
        <v>69</v>
      </c>
      <c r="F9" s="24" t="s">
        <v>24</v>
      </c>
      <c r="G9" s="12">
        <v>5</v>
      </c>
      <c r="H9" s="88">
        <f>IF(B$20=0,0,G9/B$20)</f>
        <v>8.9285714285714288E-2</v>
      </c>
      <c r="I9" s="58">
        <v>7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9</v>
      </c>
      <c r="C10" s="7">
        <f t="shared" si="1"/>
        <v>0.375</v>
      </c>
      <c r="E10" s="27" t="s">
        <v>86</v>
      </c>
      <c r="F10" s="24" t="s">
        <v>41</v>
      </c>
      <c r="G10" s="12">
        <v>5</v>
      </c>
      <c r="H10" s="88">
        <f>IF(B$20=0,0,G10/B$20)</f>
        <v>8.9285714285714288E-2</v>
      </c>
      <c r="I10" s="58">
        <v>3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-5.79</v>
      </c>
      <c r="Q10" s="76">
        <v>10</v>
      </c>
      <c r="R10" s="67">
        <v>-57.9</v>
      </c>
    </row>
    <row r="11" spans="1:18" x14ac:dyDescent="0.45">
      <c r="A11" s="20" t="s">
        <v>184</v>
      </c>
      <c r="B11" s="109">
        <f>IF(B8=0,0,C11/B8)</f>
        <v>35.949999999999996</v>
      </c>
      <c r="C11" s="110">
        <v>287.59999999999997</v>
      </c>
      <c r="E11" s="27" t="s">
        <v>65</v>
      </c>
      <c r="F11" s="24" t="s">
        <v>21</v>
      </c>
      <c r="G11" s="12">
        <v>4</v>
      </c>
      <c r="H11" s="88">
        <f>IF(B$20=0,0,G11/B$20)</f>
        <v>7.1428571428571425E-2</v>
      </c>
      <c r="I11" s="58">
        <v>8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-5.7285714285714322</v>
      </c>
      <c r="Q11" s="77">
        <v>7</v>
      </c>
      <c r="R11" s="68">
        <v>-40.100000000000023</v>
      </c>
    </row>
    <row r="12" spans="1:18" x14ac:dyDescent="0.45">
      <c r="A12" s="20" t="s">
        <v>185</v>
      </c>
      <c r="B12" s="109">
        <f>IF(B9=0,0,C12/B9)</f>
        <v>3.1999999999999997</v>
      </c>
      <c r="C12" s="110">
        <v>22.4</v>
      </c>
      <c r="E12" s="27" t="s">
        <v>81</v>
      </c>
      <c r="F12" s="24" t="s">
        <v>36</v>
      </c>
      <c r="G12" s="12">
        <v>4</v>
      </c>
      <c r="H12" s="88">
        <f>IF(B$20=0,0,G12/B$20)</f>
        <v>7.1428571428571425E-2</v>
      </c>
      <c r="I12" s="58">
        <v>2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2.9428571428571426</v>
      </c>
      <c r="Q12" s="78">
        <v>7</v>
      </c>
      <c r="R12" s="69">
        <v>20.599999999999998</v>
      </c>
    </row>
    <row r="13" spans="1:18" x14ac:dyDescent="0.45">
      <c r="A13" s="20" t="s">
        <v>186</v>
      </c>
      <c r="B13" s="109">
        <f>IF(B10=0,0,C13/B10)</f>
        <v>-43.044444444444444</v>
      </c>
      <c r="C13" s="110">
        <v>-387.4</v>
      </c>
      <c r="E13" s="27" t="s">
        <v>78</v>
      </c>
      <c r="F13" s="24" t="s">
        <v>33</v>
      </c>
      <c r="G13" s="12">
        <v>3</v>
      </c>
      <c r="H13" s="88">
        <f>IF(B$20=0,0,G13/B$20)</f>
        <v>5.3571428571428568E-2</v>
      </c>
      <c r="I13" s="58">
        <v>2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-1.2981481481481485</v>
      </c>
      <c r="C14" s="126"/>
      <c r="E14" s="27" t="s">
        <v>83</v>
      </c>
      <c r="F14" s="24" t="s">
        <v>38</v>
      </c>
      <c r="G14" s="12">
        <v>3</v>
      </c>
      <c r="H14" s="88">
        <f>IF(B$20=0,0,G14/B$20)</f>
        <v>5.3571428571428568E-2</v>
      </c>
      <c r="I14" s="58">
        <v>2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0.16666666666666666</v>
      </c>
      <c r="E15" s="27" t="s">
        <v>70</v>
      </c>
      <c r="F15" s="24" t="s">
        <v>25</v>
      </c>
      <c r="G15" s="12">
        <v>2</v>
      </c>
      <c r="H15" s="88">
        <f>IF(B$20=0,0,G15/B$20)</f>
        <v>3.5714285714285712E-2</v>
      </c>
      <c r="I15" s="58">
        <v>8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5">
      <c r="A16" s="22" t="s">
        <v>121</v>
      </c>
      <c r="B16" s="15">
        <v>54</v>
      </c>
      <c r="C16" s="10">
        <f>IF(B$3=0,0,B16/B$3)</f>
        <v>0.25961538461538464</v>
      </c>
      <c r="E16" s="27" t="s">
        <v>71</v>
      </c>
      <c r="F16" s="24" t="s">
        <v>26</v>
      </c>
      <c r="G16" s="12">
        <v>2</v>
      </c>
      <c r="H16" s="88">
        <f>IF(B$20=0,0,G16/B$20)</f>
        <v>3.5714285714285712E-2</v>
      </c>
      <c r="I16" s="58">
        <v>7</v>
      </c>
      <c r="K16" s="74">
        <v>14</v>
      </c>
      <c r="L16" s="119">
        <v>-125.80000000000004</v>
      </c>
      <c r="M16" s="117">
        <v>1630.1668189337324</v>
      </c>
      <c r="O16" s="74" t="s">
        <v>211</v>
      </c>
      <c r="P16" s="83">
        <f>IF(Q16=0,0,R16/Q16)</f>
        <v>-6.5750000000000011</v>
      </c>
      <c r="Q16" s="77">
        <v>8</v>
      </c>
      <c r="R16" s="68">
        <v>-52.600000000000009</v>
      </c>
    </row>
    <row r="17" spans="1:18" x14ac:dyDescent="0.45">
      <c r="A17" s="19" t="s">
        <v>118</v>
      </c>
      <c r="B17" s="12">
        <v>48</v>
      </c>
      <c r="C17" s="6">
        <f>IF(B$3=0,0,B17/B$3)</f>
        <v>0.23076923076923078</v>
      </c>
      <c r="E17" s="27" t="s">
        <v>155</v>
      </c>
      <c r="F17" s="24" t="s">
        <v>156</v>
      </c>
      <c r="G17" s="12">
        <v>2</v>
      </c>
      <c r="H17" s="88">
        <f>IF(B$20=0,0,G17/B$20)</f>
        <v>3.5714285714285712E-2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126</v>
      </c>
      <c r="P17" s="83">
        <f>IF(Q17=0,0,R17/Q17)</f>
        <v>-10.516666666666673</v>
      </c>
      <c r="Q17" s="77">
        <v>18</v>
      </c>
      <c r="R17" s="68">
        <v>-189.3000000000001</v>
      </c>
    </row>
    <row r="18" spans="1:18" x14ac:dyDescent="0.45">
      <c r="A18" s="18" t="s">
        <v>123</v>
      </c>
      <c r="B18" s="11">
        <f>B24</f>
        <v>24</v>
      </c>
      <c r="C18" s="5">
        <f>IF(B$16=0,0,B18/B$16)</f>
        <v>0.44444444444444442</v>
      </c>
      <c r="E18" s="27" t="s">
        <v>79</v>
      </c>
      <c r="F18" s="24" t="s">
        <v>34</v>
      </c>
      <c r="G18" s="12">
        <v>1</v>
      </c>
      <c r="H18" s="88">
        <f>IF(B$20=0,0,G18/B$20)</f>
        <v>1.7857142857142856E-2</v>
      </c>
      <c r="I18" s="58">
        <v>4</v>
      </c>
      <c r="K18" s="74">
        <v>16</v>
      </c>
      <c r="L18" s="119">
        <v>-95.40000000000002</v>
      </c>
      <c r="M18" s="117">
        <v>1635.5699351120093</v>
      </c>
      <c r="O18" s="74" t="s">
        <v>192</v>
      </c>
      <c r="P18" s="83">
        <f>IF(Q18=0,0,R18/Q18)</f>
        <v>-14.78571428571429</v>
      </c>
      <c r="Q18" s="77">
        <v>7</v>
      </c>
      <c r="R18" s="68">
        <v>-103.50000000000003</v>
      </c>
    </row>
    <row r="19" spans="1:18" x14ac:dyDescent="0.45">
      <c r="A19" s="18" t="s">
        <v>124</v>
      </c>
      <c r="B19" s="11">
        <f>B25</f>
        <v>17</v>
      </c>
      <c r="C19" s="5">
        <f>IF(B$17=0,0,B19/B$17)</f>
        <v>0.35416666666666669</v>
      </c>
      <c r="E19" s="27" t="s">
        <v>85</v>
      </c>
      <c r="F19" s="24" t="s">
        <v>40</v>
      </c>
      <c r="G19" s="12">
        <v>1</v>
      </c>
      <c r="H19" s="88">
        <f>IF(B$20=0,0,G19/B$20)</f>
        <v>1.7857142857142856E-2</v>
      </c>
      <c r="I19" s="58">
        <v>2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-17.012499999999999</v>
      </c>
      <c r="Q19" s="77">
        <v>8</v>
      </c>
      <c r="R19" s="68">
        <v>-136.1</v>
      </c>
    </row>
    <row r="20" spans="1:18" x14ac:dyDescent="0.45">
      <c r="A20" s="18" t="s">
        <v>10</v>
      </c>
      <c r="B20" s="11">
        <f>B23+B22</f>
        <v>56</v>
      </c>
      <c r="C20" s="5">
        <f>IF(B$3=0,0,B20/B$3)</f>
        <v>0.26923076923076922</v>
      </c>
      <c r="E20" s="27" t="s">
        <v>88</v>
      </c>
      <c r="F20" s="24" t="s">
        <v>43</v>
      </c>
      <c r="G20" s="12">
        <v>1</v>
      </c>
      <c r="H20" s="88">
        <f>IF(B$20=0,0,G20/B$20)</f>
        <v>1.7857142857142856E-2</v>
      </c>
      <c r="I20" s="58">
        <v>1</v>
      </c>
      <c r="K20" s="74">
        <v>18</v>
      </c>
      <c r="L20" s="119">
        <v>-91.000000000000014</v>
      </c>
      <c r="M20" s="117">
        <v>1635.974524408329</v>
      </c>
    </row>
    <row r="21" spans="1:18" x14ac:dyDescent="0.45">
      <c r="A21" s="19" t="s">
        <v>13</v>
      </c>
      <c r="B21" s="12">
        <v>38</v>
      </c>
      <c r="C21" s="6">
        <f>IF(B$3=0,0,B21/B$3)</f>
        <v>0.18269230769230768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5</v>
      </c>
      <c r="K21" s="74">
        <v>19</v>
      </c>
      <c r="L21" s="119">
        <v>-143.4</v>
      </c>
      <c r="M21" s="117">
        <v>1626.518677261879</v>
      </c>
    </row>
    <row r="22" spans="1:18" x14ac:dyDescent="0.45">
      <c r="A22" s="19" t="s">
        <v>12</v>
      </c>
      <c r="B22" s="12">
        <v>25</v>
      </c>
      <c r="C22" s="6">
        <f>IF(B$20=0,0,B22/B$20)</f>
        <v>0.44642857142857145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-101.2</v>
      </c>
      <c r="M22" s="117">
        <v>1634.1175651983078</v>
      </c>
    </row>
    <row r="23" spans="1:18" x14ac:dyDescent="0.45">
      <c r="A23" s="19" t="s">
        <v>11</v>
      </c>
      <c r="B23" s="12">
        <v>31</v>
      </c>
      <c r="C23" s="6">
        <f>IF(B$20=0,0,B23/B$20)</f>
        <v>0.5535714285714286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-99.3</v>
      </c>
      <c r="M23" s="117">
        <v>1634.416859807118</v>
      </c>
    </row>
    <row r="24" spans="1:18" x14ac:dyDescent="0.45">
      <c r="A24" s="19" t="s">
        <v>183</v>
      </c>
      <c r="B24" s="12">
        <v>24</v>
      </c>
      <c r="C24" s="6">
        <f>IF(B$20=0,0,B24/B$20)</f>
        <v>0.42857142857142855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-95.2</v>
      </c>
      <c r="M24" s="117">
        <v>1635.1103586482752</v>
      </c>
    </row>
    <row r="25" spans="1:18" x14ac:dyDescent="0.45">
      <c r="A25" s="19" t="s">
        <v>181</v>
      </c>
      <c r="B25" s="12">
        <v>17</v>
      </c>
      <c r="C25" s="6">
        <f>IF(B$20=0,0,B25/B$20)</f>
        <v>0.30357142857142855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-75</v>
      </c>
      <c r="M25" s="117">
        <v>1638.2056964963856</v>
      </c>
    </row>
    <row r="26" spans="1:18" x14ac:dyDescent="0.45">
      <c r="A26" s="19" t="s">
        <v>182</v>
      </c>
      <c r="B26" s="12">
        <v>15</v>
      </c>
      <c r="C26" s="6">
        <f>IF(B$20=0,0,B26/B$20)</f>
        <v>0.26785714285714285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-77.400000000000006</v>
      </c>
      <c r="M26" s="117">
        <v>1637.2144623174072</v>
      </c>
    </row>
    <row r="27" spans="1:18" x14ac:dyDescent="0.45">
      <c r="A27" s="19" t="s">
        <v>5</v>
      </c>
      <c r="B27" s="16">
        <f>IF(B$20=0,0,C27/B$20)</f>
        <v>8941.0714285714294</v>
      </c>
      <c r="C27" s="8">
        <v>500700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9120.5128205128203</v>
      </c>
      <c r="C28" s="96">
        <v>355700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8529.4117647058829</v>
      </c>
      <c r="C29" s="96">
        <v>145000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-8007.894736842105</v>
      </c>
      <c r="C30" s="96">
        <v>-304300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19</v>
      </c>
      <c r="C32" s="90">
        <v>5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</row>
    <row r="34" spans="1:9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4.807692307692308E-3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5</v>
      </c>
      <c r="C37" s="98">
        <f t="shared" ref="C37:C49" si="2">IF(B$20=0,0,B37/B$20)</f>
        <v>8.9285714285714288E-2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2"/>
        <v>8.9285714285714288E-2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9</v>
      </c>
      <c r="C39" s="6">
        <f t="shared" si="2"/>
        <v>0.16071428571428573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11</v>
      </c>
      <c r="C40" s="6">
        <f t="shared" si="2"/>
        <v>0.19642857142857142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13</v>
      </c>
      <c r="C41" s="6">
        <f t="shared" si="2"/>
        <v>0.23214285714285715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8</v>
      </c>
      <c r="C42" s="6">
        <f t="shared" si="2"/>
        <v>0.14285714285714285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9" x14ac:dyDescent="0.45">
      <c r="A43" s="19" t="s">
        <v>173</v>
      </c>
      <c r="B43" s="124">
        <v>2</v>
      </c>
      <c r="C43" s="6">
        <f t="shared" si="2"/>
        <v>3.5714285714285712E-2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3.5714285714285712E-2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1.7857142857142856E-2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857-7CF9-4DAA-9CBD-A76C7B1FBCB0}">
  <sheetPr codeName="Sheet11"/>
  <dimension ref="A1:R52"/>
  <sheetViews>
    <sheetView showGridLines="0" topLeftCell="A24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28</v>
      </c>
      <c r="C2" s="134"/>
      <c r="E2" s="26" t="s">
        <v>66</v>
      </c>
      <c r="F2" s="23" t="s">
        <v>22</v>
      </c>
      <c r="G2" s="11">
        <v>54</v>
      </c>
      <c r="H2" s="87">
        <f>IF(B$20=0,0,G2/B$20)</f>
        <v>0.69230769230769229</v>
      </c>
      <c r="I2" s="57">
        <v>10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510.71428571428572</v>
      </c>
      <c r="Q2" s="76">
        <v>28</v>
      </c>
      <c r="R2" s="63">
        <v>14300</v>
      </c>
    </row>
    <row r="3" spans="1:18" x14ac:dyDescent="0.45">
      <c r="A3" s="19" t="s">
        <v>8</v>
      </c>
      <c r="B3" s="135">
        <v>255</v>
      </c>
      <c r="C3" s="136"/>
      <c r="E3" s="27" t="s">
        <v>72</v>
      </c>
      <c r="F3" s="24" t="s">
        <v>27</v>
      </c>
      <c r="G3" s="12">
        <v>50</v>
      </c>
      <c r="H3" s="88">
        <f>IF(B$20=0,0,G3/B$20)</f>
        <v>0.64102564102564108</v>
      </c>
      <c r="I3" s="58">
        <v>4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-478.57142857142856</v>
      </c>
      <c r="Q3" s="77">
        <v>28</v>
      </c>
      <c r="R3" s="64">
        <v>-13400</v>
      </c>
    </row>
    <row r="4" spans="1:18" x14ac:dyDescent="0.45">
      <c r="A4" s="19" t="s">
        <v>6</v>
      </c>
      <c r="B4" s="137">
        <v>61.199999999999989</v>
      </c>
      <c r="C4" s="138"/>
      <c r="E4" s="27" t="s">
        <v>64</v>
      </c>
      <c r="F4" s="24" t="s">
        <v>20</v>
      </c>
      <c r="G4" s="12">
        <v>32</v>
      </c>
      <c r="H4" s="88">
        <f>IF(B$20=0,0,G4/B$20)</f>
        <v>0.41025641025641024</v>
      </c>
      <c r="I4" s="58">
        <v>6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1278.5714285714287</v>
      </c>
      <c r="Q4" s="77">
        <v>28</v>
      </c>
      <c r="R4" s="64">
        <v>35800</v>
      </c>
    </row>
    <row r="5" spans="1:18" x14ac:dyDescent="0.45">
      <c r="A5" s="19" t="s">
        <v>7</v>
      </c>
      <c r="B5" s="125">
        <f>IF(B$2=0,0,B$4/B$2)</f>
        <v>2.1857142857142855</v>
      </c>
      <c r="C5" s="126"/>
      <c r="E5" s="27" t="s">
        <v>68</v>
      </c>
      <c r="F5" s="24" t="s">
        <v>12</v>
      </c>
      <c r="G5" s="12">
        <v>24</v>
      </c>
      <c r="H5" s="88">
        <f>IF(B$20=0,0,G5/B$20)</f>
        <v>0.30769230769230771</v>
      </c>
      <c r="I5" s="58">
        <v>4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214.28571428571428</v>
      </c>
      <c r="Q5" s="77">
        <v>28</v>
      </c>
      <c r="R5" s="64">
        <v>6000</v>
      </c>
    </row>
    <row r="6" spans="1:18" x14ac:dyDescent="0.45">
      <c r="A6" s="19" t="s">
        <v>196</v>
      </c>
      <c r="B6" s="129">
        <v>1468.6685579009436</v>
      </c>
      <c r="C6" s="130"/>
      <c r="E6" s="27" t="s">
        <v>159</v>
      </c>
      <c r="F6" s="24" t="s">
        <v>160</v>
      </c>
      <c r="G6" s="12">
        <v>23</v>
      </c>
      <c r="H6" s="88">
        <f>IF(B$20=0,0,G6/B$20)</f>
        <v>0.29487179487179488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-1346.4285714285713</v>
      </c>
      <c r="Q6" s="77">
        <v>28</v>
      </c>
      <c r="R6" s="64">
        <v>-37700</v>
      </c>
    </row>
    <row r="7" spans="1:18" x14ac:dyDescent="0.45">
      <c r="A7" s="19" t="s">
        <v>1</v>
      </c>
      <c r="B7" s="139">
        <f>IF(B$2=0,0,(B$8*1+B$9*2+B$10*3)/B$2)</f>
        <v>1.8928571428571428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0.25641025641025639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1335</v>
      </c>
      <c r="Q7" s="78">
        <v>20</v>
      </c>
      <c r="R7" s="65">
        <v>26700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0.39285714285714285</v>
      </c>
      <c r="E8" s="27" t="s">
        <v>70</v>
      </c>
      <c r="F8" s="24" t="s">
        <v>25</v>
      </c>
      <c r="G8" s="12">
        <v>9</v>
      </c>
      <c r="H8" s="88">
        <f>IF(B$20=0,0,G8/B$20)</f>
        <v>0.11538461538461539</v>
      </c>
      <c r="I8" s="58">
        <v>4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0.32142857142857145</v>
      </c>
      <c r="E9" s="27" t="s">
        <v>89</v>
      </c>
      <c r="F9" s="24" t="s">
        <v>44</v>
      </c>
      <c r="G9" s="12">
        <v>9</v>
      </c>
      <c r="H9" s="88">
        <f>IF(B$20=0,0,G9/B$20)</f>
        <v>0.11538461538461539</v>
      </c>
      <c r="I9" s="58">
        <v>8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0.2857142857142857</v>
      </c>
      <c r="E10" s="27" t="s">
        <v>69</v>
      </c>
      <c r="F10" s="24" t="s">
        <v>24</v>
      </c>
      <c r="G10" s="12">
        <v>8</v>
      </c>
      <c r="H10" s="88">
        <f>IF(B$20=0,0,G10/B$20)</f>
        <v>0.10256410256410256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12.775</v>
      </c>
      <c r="Q10" s="76">
        <v>8</v>
      </c>
      <c r="R10" s="67">
        <v>102.2</v>
      </c>
    </row>
    <row r="11" spans="1:18" x14ac:dyDescent="0.45">
      <c r="A11" s="20" t="s">
        <v>184</v>
      </c>
      <c r="B11" s="109">
        <f>IF(B8=0,0,C11/B8)</f>
        <v>26.454545454545453</v>
      </c>
      <c r="C11" s="110">
        <v>291</v>
      </c>
      <c r="E11" s="27" t="s">
        <v>65</v>
      </c>
      <c r="F11" s="24" t="s">
        <v>21</v>
      </c>
      <c r="G11" s="12">
        <v>6</v>
      </c>
      <c r="H11" s="88">
        <f>IF(B$20=0,0,G11/B$20)</f>
        <v>7.6923076923076927E-2</v>
      </c>
      <c r="I11" s="58">
        <v>7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-0.32500000000000018</v>
      </c>
      <c r="Q11" s="77">
        <v>8</v>
      </c>
      <c r="R11" s="68">
        <v>-2.6000000000000014</v>
      </c>
    </row>
    <row r="12" spans="1:18" x14ac:dyDescent="0.45">
      <c r="A12" s="20" t="s">
        <v>185</v>
      </c>
      <c r="B12" s="109">
        <f>IF(B9=0,0,C12/B9)</f>
        <v>4.7777777777777777</v>
      </c>
      <c r="C12" s="110">
        <v>43</v>
      </c>
      <c r="E12" s="27" t="s">
        <v>71</v>
      </c>
      <c r="F12" s="24" t="s">
        <v>26</v>
      </c>
      <c r="G12" s="12">
        <v>4</v>
      </c>
      <c r="H12" s="88">
        <f>IF(B$20=0,0,G12/B$20)</f>
        <v>5.128205128205128E-2</v>
      </c>
      <c r="I12" s="58">
        <v>5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-3.2000000000000015</v>
      </c>
      <c r="Q12" s="78">
        <v>12</v>
      </c>
      <c r="R12" s="69">
        <v>-38.40000000000002</v>
      </c>
    </row>
    <row r="13" spans="1:18" x14ac:dyDescent="0.45">
      <c r="A13" s="20" t="s">
        <v>186</v>
      </c>
      <c r="B13" s="109">
        <f>IF(B10=0,0,C13/B10)</f>
        <v>-34.1</v>
      </c>
      <c r="C13" s="110">
        <v>-272.8</v>
      </c>
      <c r="E13" s="27" t="s">
        <v>83</v>
      </c>
      <c r="F13" s="24" t="s">
        <v>38</v>
      </c>
      <c r="G13" s="12">
        <v>4</v>
      </c>
      <c r="H13" s="88">
        <f>IF(B$20=0,0,G13/B$20)</f>
        <v>5.128205128205128E-2</v>
      </c>
      <c r="I13" s="58">
        <v>4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-0.95589225589225657</v>
      </c>
      <c r="C14" s="126"/>
      <c r="E14" s="27" t="s">
        <v>79</v>
      </c>
      <c r="F14" s="24" t="s">
        <v>34</v>
      </c>
      <c r="G14" s="12">
        <v>3</v>
      </c>
      <c r="H14" s="88">
        <f>IF(B$20=0,0,G14/B$20)</f>
        <v>3.8461538461538464E-2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3.5714285714285712E-2</v>
      </c>
      <c r="E15" s="27" t="s">
        <v>81</v>
      </c>
      <c r="F15" s="24" t="s">
        <v>36</v>
      </c>
      <c r="G15" s="12">
        <v>3</v>
      </c>
      <c r="H15" s="88">
        <f>IF(B$20=0,0,G15/B$20)</f>
        <v>3.8461538461538464E-2</v>
      </c>
      <c r="I15" s="58">
        <v>6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70</v>
      </c>
      <c r="C16" s="10">
        <f>IF(B$3=0,0,B16/B$3)</f>
        <v>0.27450980392156865</v>
      </c>
      <c r="E16" s="27" t="s">
        <v>78</v>
      </c>
      <c r="F16" s="24" t="s">
        <v>33</v>
      </c>
      <c r="G16" s="12">
        <v>2</v>
      </c>
      <c r="H16" s="88">
        <f>IF(B$20=0,0,G16/B$20)</f>
        <v>2.564102564102564E-2</v>
      </c>
      <c r="I16" s="58">
        <v>6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>IF(Q16=0,0,R16/Q16)</f>
        <v>17.012500000000003</v>
      </c>
      <c r="Q16" s="77">
        <v>8</v>
      </c>
      <c r="R16" s="68">
        <v>136.10000000000002</v>
      </c>
    </row>
    <row r="17" spans="1:18" x14ac:dyDescent="0.45">
      <c r="A17" s="19" t="s">
        <v>118</v>
      </c>
      <c r="B17" s="12">
        <v>76</v>
      </c>
      <c r="C17" s="6">
        <f>IF(B$3=0,0,B17/B$3)</f>
        <v>0.29803921568627451</v>
      </c>
      <c r="E17" s="27" t="s">
        <v>86</v>
      </c>
      <c r="F17" s="24" t="s">
        <v>41</v>
      </c>
      <c r="G17" s="12">
        <v>2</v>
      </c>
      <c r="H17" s="88">
        <f>IF(B$20=0,0,G17/B$20)</f>
        <v>2.564102564102564E-2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33</v>
      </c>
      <c r="C18" s="5">
        <f>IF(B$16=0,0,B18/B$16)</f>
        <v>0.47142857142857142</v>
      </c>
      <c r="E18" s="27" t="s">
        <v>91</v>
      </c>
      <c r="F18" s="24" t="s">
        <v>46</v>
      </c>
      <c r="G18" s="12">
        <v>2</v>
      </c>
      <c r="H18" s="88">
        <f>IF(B$20=0,0,G18/B$20)</f>
        <v>2.564102564102564E-2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>IF(Q18=0,0,R18/Q18)</f>
        <v>9.8999999999999986</v>
      </c>
      <c r="Q18" s="77">
        <v>25</v>
      </c>
      <c r="R18" s="68">
        <v>247.49999999999994</v>
      </c>
    </row>
    <row r="19" spans="1:18" x14ac:dyDescent="0.45">
      <c r="A19" s="18" t="s">
        <v>124</v>
      </c>
      <c r="B19" s="11">
        <f>B25</f>
        <v>31</v>
      </c>
      <c r="C19" s="5">
        <f>IF(B$17=0,0,B19/B$17)</f>
        <v>0.40789473684210525</v>
      </c>
      <c r="E19" s="27" t="s">
        <v>88</v>
      </c>
      <c r="F19" s="24" t="s">
        <v>43</v>
      </c>
      <c r="G19" s="12">
        <v>1</v>
      </c>
      <c r="H19" s="88">
        <f>IF(B$20=0,0,G19/B$20)</f>
        <v>1.282051282051282E-2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>IF(Q19=0,0,R19/Q19)</f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78</v>
      </c>
      <c r="C20" s="5">
        <f>IF(B$3=0,0,B20/B$3)</f>
        <v>0.30588235294117649</v>
      </c>
      <c r="E20" s="27" t="s">
        <v>93</v>
      </c>
      <c r="F20" s="24" t="s">
        <v>48</v>
      </c>
      <c r="G20" s="12">
        <v>1</v>
      </c>
      <c r="H20" s="88">
        <f>IF(B$20=0,0,G20/B$20)</f>
        <v>1.282051282051282E-2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>IF(Q20=0,0,R20/Q20)</f>
        <v>-17.920000000000005</v>
      </c>
      <c r="Q20" s="77">
        <v>15</v>
      </c>
      <c r="R20" s="68">
        <v>-268.80000000000007</v>
      </c>
    </row>
    <row r="21" spans="1:18" x14ac:dyDescent="0.45">
      <c r="A21" s="19" t="s">
        <v>13</v>
      </c>
      <c r="B21" s="12">
        <v>44</v>
      </c>
      <c r="C21" s="6">
        <f>IF(B$3=0,0,B21/B$3)</f>
        <v>0.17254901960784313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5</v>
      </c>
      <c r="K21" s="74">
        <v>19</v>
      </c>
      <c r="L21" s="119">
        <v>42.400000000000006</v>
      </c>
      <c r="M21" s="117">
        <v>1456.6902885878533</v>
      </c>
    </row>
    <row r="22" spans="1:18" x14ac:dyDescent="0.45">
      <c r="A22" s="19" t="s">
        <v>12</v>
      </c>
      <c r="B22" s="12">
        <v>38</v>
      </c>
      <c r="C22" s="6">
        <f>IF(B$20=0,0,B22/B$20)</f>
        <v>0.48717948717948717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81.5</v>
      </c>
      <c r="M22" s="117">
        <v>1464.7801468563262</v>
      </c>
    </row>
    <row r="23" spans="1:18" x14ac:dyDescent="0.45">
      <c r="A23" s="19" t="s">
        <v>11</v>
      </c>
      <c r="B23" s="12">
        <v>40</v>
      </c>
      <c r="C23" s="6">
        <f>IF(B$20=0,0,B23/B$20)</f>
        <v>0.51282051282051277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15.099999999999994</v>
      </c>
      <c r="M23" s="117">
        <v>1453.7114659751883</v>
      </c>
    </row>
    <row r="24" spans="1:18" x14ac:dyDescent="0.45">
      <c r="A24" s="19" t="s">
        <v>183</v>
      </c>
      <c r="B24" s="12">
        <v>33</v>
      </c>
      <c r="C24" s="6">
        <f>IF(B$20=0,0,B24/B$20)</f>
        <v>0.42307692307692307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17.999999999999993</v>
      </c>
      <c r="M24" s="117">
        <v>1455.1831971793372</v>
      </c>
    </row>
    <row r="25" spans="1:18" x14ac:dyDescent="0.45">
      <c r="A25" s="19" t="s">
        <v>181</v>
      </c>
      <c r="B25" s="12">
        <v>31</v>
      </c>
      <c r="C25" s="6">
        <f>IF(B$20=0,0,B25/B$20)</f>
        <v>0.39743589743589741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46.199999999999989</v>
      </c>
      <c r="M25" s="117">
        <v>1461.2000979962611</v>
      </c>
    </row>
    <row r="26" spans="1:18" x14ac:dyDescent="0.45">
      <c r="A26" s="19" t="s">
        <v>182</v>
      </c>
      <c r="B26" s="12">
        <v>14</v>
      </c>
      <c r="C26" s="6">
        <f>IF(B$20=0,0,B26/B$20)</f>
        <v>0.17948717948717949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16.79999999999999</v>
      </c>
      <c r="M26" s="117">
        <v>1456.9028974082835</v>
      </c>
    </row>
    <row r="27" spans="1:18" x14ac:dyDescent="0.45">
      <c r="A27" s="19" t="s">
        <v>5</v>
      </c>
      <c r="B27" s="16">
        <f>IF(B$20=0,0,C27/B$20)</f>
        <v>7446.1538461538457</v>
      </c>
      <c r="C27" s="8">
        <v>580800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60.699999999999989</v>
      </c>
      <c r="M27" s="117">
        <v>1465.8254800238337</v>
      </c>
    </row>
    <row r="28" spans="1:18" x14ac:dyDescent="0.45">
      <c r="A28" s="20" t="s">
        <v>165</v>
      </c>
      <c r="B28" s="95">
        <f>IF($B$20-B$19=0,0,C28/($B$20-B$19))</f>
        <v>8787.2340425531911</v>
      </c>
      <c r="C28" s="96">
        <v>413000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5">
      <c r="A29" s="20" t="s">
        <v>166</v>
      </c>
      <c r="B29" s="95">
        <f>IF(B$19=0,0,C29/B$19)</f>
        <v>5412.9032258064517</v>
      </c>
      <c r="C29" s="96">
        <v>167800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17.199999999999989</v>
      </c>
      <c r="M29" s="117">
        <v>1459.8536799808285</v>
      </c>
    </row>
    <row r="30" spans="1:18" x14ac:dyDescent="0.45">
      <c r="A30" s="20" t="s">
        <v>164</v>
      </c>
      <c r="B30" s="95">
        <f>IF(B$21=0,0,C30/B$21)</f>
        <v>-7518.181818181818</v>
      </c>
      <c r="C30" s="96">
        <v>-330800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61.199999999999989</v>
      </c>
      <c r="M30" s="117">
        <v>1468.6685579009436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</row>
    <row r="32" spans="1:18" x14ac:dyDescent="0.45">
      <c r="A32" s="19" t="s">
        <v>158</v>
      </c>
      <c r="B32" s="12">
        <v>21</v>
      </c>
      <c r="C32" s="90">
        <v>7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3.9215686274509803E-3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10</v>
      </c>
      <c r="C37" s="98">
        <f t="shared" ref="C37:C49" si="2">IF(B$20=0,0,B37/B$20)</f>
        <v>0.12820512820512819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21</v>
      </c>
      <c r="C38" s="6">
        <f t="shared" si="2"/>
        <v>0.26923076923076922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11</v>
      </c>
      <c r="C39" s="6">
        <f t="shared" si="2"/>
        <v>0.14102564102564102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16</v>
      </c>
      <c r="C40" s="6">
        <f t="shared" si="2"/>
        <v>0.20512820512820512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4</v>
      </c>
      <c r="C41" s="6">
        <f t="shared" si="2"/>
        <v>5.128205128205128E-2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3.8461538461538464E-2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2"/>
        <v>3.8461538461538464E-2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2.564102564102564E-2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4</v>
      </c>
      <c r="C45" s="6">
        <f t="shared" si="2"/>
        <v>5.128205128205128E-2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3</v>
      </c>
      <c r="C46" s="6">
        <f t="shared" si="2"/>
        <v>3.8461538461538464E-2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1.282051282051282E-2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D4CE-3B68-45F7-969C-D17C8E0B87DB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14</v>
      </c>
      <c r="H2" s="87">
        <f>IF(B$20=0,0,G2/B$20)</f>
        <v>0.73684210526315785</v>
      </c>
      <c r="I2" s="57">
        <v>8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1420</v>
      </c>
      <c r="Q2" s="76">
        <v>10</v>
      </c>
      <c r="R2" s="63">
        <v>14200</v>
      </c>
    </row>
    <row r="3" spans="1:18" x14ac:dyDescent="0.45">
      <c r="A3" s="19" t="s">
        <v>8</v>
      </c>
      <c r="B3" s="135">
        <v>77</v>
      </c>
      <c r="C3" s="136"/>
      <c r="E3" s="27" t="s">
        <v>64</v>
      </c>
      <c r="F3" s="24" t="s">
        <v>20</v>
      </c>
      <c r="G3" s="12">
        <v>11</v>
      </c>
      <c r="H3" s="88">
        <f>IF(B$20=0,0,G3/B$20)</f>
        <v>0.57894736842105265</v>
      </c>
      <c r="I3" s="58">
        <v>2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2270</v>
      </c>
      <c r="Q3" s="77">
        <v>10</v>
      </c>
      <c r="R3" s="64">
        <v>22700</v>
      </c>
    </row>
    <row r="4" spans="1:18" x14ac:dyDescent="0.45">
      <c r="A4" s="19" t="s">
        <v>6</v>
      </c>
      <c r="B4" s="137">
        <v>-55</v>
      </c>
      <c r="C4" s="138"/>
      <c r="E4" s="27" t="s">
        <v>72</v>
      </c>
      <c r="F4" s="24" t="s">
        <v>27</v>
      </c>
      <c r="G4" s="12">
        <v>9</v>
      </c>
      <c r="H4" s="88">
        <f>IF(B$20=0,0,G4/B$20)</f>
        <v>0.47368421052631576</v>
      </c>
      <c r="I4" s="58">
        <v>10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1590</v>
      </c>
      <c r="Q4" s="77">
        <v>10</v>
      </c>
      <c r="R4" s="64">
        <v>15900</v>
      </c>
    </row>
    <row r="5" spans="1:18" x14ac:dyDescent="0.45">
      <c r="A5" s="19" t="s">
        <v>7</v>
      </c>
      <c r="B5" s="125">
        <f>IF(B$2=0,0,B$4/B$2)</f>
        <v>-5.5</v>
      </c>
      <c r="C5" s="126"/>
      <c r="E5" s="27" t="s">
        <v>159</v>
      </c>
      <c r="F5" s="24" t="s">
        <v>160</v>
      </c>
      <c r="G5" s="12">
        <v>7</v>
      </c>
      <c r="H5" s="88">
        <f>IF(B$20=0,0,G5/B$20)</f>
        <v>0.36842105263157893</v>
      </c>
      <c r="I5" s="58">
        <v>7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-4062.5</v>
      </c>
      <c r="Q5" s="77">
        <v>8</v>
      </c>
      <c r="R5" s="64">
        <v>-32500</v>
      </c>
    </row>
    <row r="6" spans="1:18" x14ac:dyDescent="0.45">
      <c r="A6" s="19" t="s">
        <v>196</v>
      </c>
      <c r="B6" s="129">
        <v>1519.2183815819624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0.26315789473684209</v>
      </c>
      <c r="I6" s="58">
        <v>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-3385.7142857142858</v>
      </c>
      <c r="Q6" s="77">
        <v>7</v>
      </c>
      <c r="R6" s="64">
        <v>-23700</v>
      </c>
    </row>
    <row r="7" spans="1:18" x14ac:dyDescent="0.45">
      <c r="A7" s="19" t="s">
        <v>1</v>
      </c>
      <c r="B7" s="139">
        <f>IF(B$2=0,0,(B$8*1+B$9*2+B$10*3)/B$2)</f>
        <v>2.2000000000000002</v>
      </c>
      <c r="C7" s="140"/>
      <c r="E7" s="27" t="s">
        <v>65</v>
      </c>
      <c r="F7" s="24" t="s">
        <v>21</v>
      </c>
      <c r="G7" s="12">
        <v>3</v>
      </c>
      <c r="H7" s="88">
        <f>IF(B$20=0,0,G7/B$20)</f>
        <v>0.15789473684210525</v>
      </c>
      <c r="I7" s="58">
        <v>3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-3266.6666666666665</v>
      </c>
      <c r="Q7" s="78">
        <v>6</v>
      </c>
      <c r="R7" s="65">
        <v>-19600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</v>
      </c>
      <c r="E8" s="27" t="s">
        <v>68</v>
      </c>
      <c r="F8" s="24" t="s">
        <v>12</v>
      </c>
      <c r="G8" s="12">
        <v>3</v>
      </c>
      <c r="H8" s="88">
        <f>IF(B$20=0,0,G8/B$20)</f>
        <v>0.15789473684210525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0.6</v>
      </c>
      <c r="E9" s="27" t="s">
        <v>69</v>
      </c>
      <c r="F9" s="24" t="s">
        <v>24</v>
      </c>
      <c r="G9" s="12">
        <v>2</v>
      </c>
      <c r="H9" s="88">
        <f>IF(B$20=0,0,G9/B$20)</f>
        <v>0.10526315789473684</v>
      </c>
      <c r="I9" s="58">
        <v>5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0.3</v>
      </c>
      <c r="E10" s="27" t="s">
        <v>89</v>
      </c>
      <c r="F10" s="24" t="s">
        <v>44</v>
      </c>
      <c r="G10" s="12">
        <v>2</v>
      </c>
      <c r="H10" s="88">
        <f>IF(B$20=0,0,G10/B$20)</f>
        <v>0.10526315789473684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-18.466666666666665</v>
      </c>
      <c r="Q10" s="76">
        <v>3</v>
      </c>
      <c r="R10" s="67">
        <v>-55.4</v>
      </c>
    </row>
    <row r="11" spans="1:18" x14ac:dyDescent="0.45">
      <c r="A11" s="20" t="s">
        <v>184</v>
      </c>
      <c r="B11" s="109">
        <f>IF(B8=0,0,C11/B8)</f>
        <v>55</v>
      </c>
      <c r="C11" s="110">
        <v>55</v>
      </c>
      <c r="E11" s="27" t="s">
        <v>79</v>
      </c>
      <c r="F11" s="24" t="s">
        <v>34</v>
      </c>
      <c r="G11" s="12">
        <v>1</v>
      </c>
      <c r="H11" s="88">
        <f>IF(B$20=0,0,G11/B$20)</f>
        <v>5.2631578947368418E-2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-2.3166666666666664</v>
      </c>
      <c r="C12" s="110">
        <v>-13.899999999999999</v>
      </c>
      <c r="E12" s="27" t="s">
        <v>81</v>
      </c>
      <c r="F12" s="24" t="s">
        <v>36</v>
      </c>
      <c r="G12" s="12">
        <v>1</v>
      </c>
      <c r="H12" s="88">
        <f>IF(B$20=0,0,G12/B$20)</f>
        <v>5.2631578947368418E-2</v>
      </c>
      <c r="I12" s="58">
        <v>3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8.16</v>
      </c>
      <c r="Q12" s="78">
        <v>5</v>
      </c>
      <c r="R12" s="69">
        <v>40.800000000000004</v>
      </c>
    </row>
    <row r="13" spans="1:18" x14ac:dyDescent="0.45">
      <c r="A13" s="20" t="s">
        <v>186</v>
      </c>
      <c r="B13" s="109">
        <f>IF(B10=0,0,C13/B10)</f>
        <v>-32.033333333333331</v>
      </c>
      <c r="C13" s="110">
        <v>-96.1</v>
      </c>
      <c r="E13" s="27" t="s">
        <v>83</v>
      </c>
      <c r="F13" s="24" t="s">
        <v>38</v>
      </c>
      <c r="G13" s="12">
        <v>1</v>
      </c>
      <c r="H13" s="88">
        <f>IF(B$20=0,0,G13/B$20)</f>
        <v>5.2631578947368418E-2</v>
      </c>
      <c r="I13" s="58">
        <v>3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6.8833333333333355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5.2631578947368418E-2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9</v>
      </c>
      <c r="O15" s="73" t="s">
        <v>192</v>
      </c>
      <c r="P15" s="82">
        <f>IF(Q15=0,0,R15/Q15)</f>
        <v>-3.0714285714285707</v>
      </c>
      <c r="Q15" s="76">
        <v>7</v>
      </c>
      <c r="R15" s="67">
        <v>-21.499999999999996</v>
      </c>
    </row>
    <row r="16" spans="1:18" x14ac:dyDescent="0.45">
      <c r="A16" s="22" t="s">
        <v>121</v>
      </c>
      <c r="B16" s="15">
        <v>21</v>
      </c>
      <c r="C16" s="10">
        <f>IF(B$3=0,0,B16/B$3)</f>
        <v>0.27272727272727271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-6.5999999999999988</v>
      </c>
      <c r="Q16" s="77">
        <v>3</v>
      </c>
      <c r="R16" s="68">
        <v>-19.799999999999997</v>
      </c>
    </row>
    <row r="17" spans="1:18" x14ac:dyDescent="0.45">
      <c r="A17" s="19" t="s">
        <v>118</v>
      </c>
      <c r="B17" s="12">
        <v>16</v>
      </c>
      <c r="C17" s="6">
        <f>IF(B$3=0,0,B17/B$3)</f>
        <v>0.20779220779220781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-12.162500000000001</v>
      </c>
      <c r="Q17" s="77">
        <v>8</v>
      </c>
      <c r="R17" s="68">
        <v>-97.300000000000011</v>
      </c>
    </row>
    <row r="18" spans="1:18" x14ac:dyDescent="0.45">
      <c r="A18" s="18" t="s">
        <v>123</v>
      </c>
      <c r="B18" s="11">
        <f>B24</f>
        <v>11</v>
      </c>
      <c r="C18" s="5">
        <f>IF(B$16=0,0,B18/B$16)</f>
        <v>0.52380952380952384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-13.200000000000003</v>
      </c>
      <c r="Q18" s="77">
        <v>2</v>
      </c>
      <c r="R18" s="68">
        <v>-26.400000000000006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0.24675324675324675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5</v>
      </c>
      <c r="C21" s="6">
        <f>IF(B$3=0,0,B21/B$3)</f>
        <v>6.4935064935064929E-2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0.15789473684210525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16</v>
      </c>
      <c r="C23" s="6">
        <f>IF(B$20=0,0,B23/B$20)</f>
        <v>0.84210526315789469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11</v>
      </c>
      <c r="C24" s="6">
        <f>IF(B$20=0,0,B24/B$20)</f>
        <v>0.57894736842105265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0.36842105263157893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5.2631578947368418E-2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6452.6315789473683</v>
      </c>
      <c r="C27" s="8">
        <v>122600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6283.333333333333</v>
      </c>
      <c r="C28" s="96">
        <v>75400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6742.8571428571431</v>
      </c>
      <c r="C29" s="96">
        <v>47200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27</v>
      </c>
      <c r="C32" s="90">
        <v>27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5.2631578947368418E-2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0.31578947368421051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0.26315789473684209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0.21052631578947367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5.2631578947368418E-2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0.10526315789473684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8A01-4BF0-4459-806B-DD777DF002A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26</v>
      </c>
      <c r="C2" s="134"/>
      <c r="E2" s="26" t="s">
        <v>66</v>
      </c>
      <c r="F2" s="23" t="s">
        <v>22</v>
      </c>
      <c r="G2" s="11">
        <v>53</v>
      </c>
      <c r="H2" s="87">
        <f>IF(B$20=0,0,G2/B$20)</f>
        <v>0.81538461538461537</v>
      </c>
      <c r="I2" s="57">
        <v>3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-992.30769230769226</v>
      </c>
      <c r="Q2" s="76">
        <v>26</v>
      </c>
      <c r="R2" s="63">
        <v>-25800</v>
      </c>
    </row>
    <row r="3" spans="1:18" x14ac:dyDescent="0.45">
      <c r="A3" s="19" t="s">
        <v>8</v>
      </c>
      <c r="B3" s="135">
        <v>204</v>
      </c>
      <c r="C3" s="136"/>
      <c r="E3" s="27" t="s">
        <v>72</v>
      </c>
      <c r="F3" s="24" t="s">
        <v>27</v>
      </c>
      <c r="G3" s="12">
        <v>41</v>
      </c>
      <c r="H3" s="88">
        <f>IF(B$20=0,0,G3/B$20)</f>
        <v>0.63076923076923075</v>
      </c>
      <c r="I3" s="58">
        <v>5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826.92307692307691</v>
      </c>
      <c r="Q3" s="77">
        <v>26</v>
      </c>
      <c r="R3" s="64">
        <v>21500</v>
      </c>
    </row>
    <row r="4" spans="1:18" x14ac:dyDescent="0.45">
      <c r="A4" s="19" t="s">
        <v>6</v>
      </c>
      <c r="B4" s="137">
        <v>123.09999999999998</v>
      </c>
      <c r="C4" s="138"/>
      <c r="E4" s="27" t="s">
        <v>64</v>
      </c>
      <c r="F4" s="24" t="s">
        <v>20</v>
      </c>
      <c r="G4" s="12">
        <v>25</v>
      </c>
      <c r="H4" s="88">
        <f>IF(B$20=0,0,G4/B$20)</f>
        <v>0.38461538461538464</v>
      </c>
      <c r="I4" s="58">
        <v>8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2288.4615384615386</v>
      </c>
      <c r="Q4" s="77">
        <v>26</v>
      </c>
      <c r="R4" s="64">
        <v>59500</v>
      </c>
    </row>
    <row r="5" spans="1:18" x14ac:dyDescent="0.45">
      <c r="A5" s="19" t="s">
        <v>7</v>
      </c>
      <c r="B5" s="125">
        <f>IF(B$2=0,0,B$4/B$2)</f>
        <v>4.7346153846153838</v>
      </c>
      <c r="C5" s="126"/>
      <c r="E5" s="27" t="s">
        <v>67</v>
      </c>
      <c r="F5" s="24" t="s">
        <v>23</v>
      </c>
      <c r="G5" s="12">
        <v>17</v>
      </c>
      <c r="H5" s="88">
        <f>IF(B$20=0,0,G5/B$20)</f>
        <v>0.26153846153846155</v>
      </c>
      <c r="I5" s="58">
        <v>3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108.69565217391305</v>
      </c>
      <c r="Q5" s="77">
        <v>23</v>
      </c>
      <c r="R5" s="64">
        <v>2500</v>
      </c>
    </row>
    <row r="6" spans="1:18" x14ac:dyDescent="0.45">
      <c r="A6" s="19" t="s">
        <v>196</v>
      </c>
      <c r="B6" s="129">
        <v>1522.6913378373931</v>
      </c>
      <c r="C6" s="130"/>
      <c r="E6" s="27" t="s">
        <v>159</v>
      </c>
      <c r="F6" s="24" t="s">
        <v>160</v>
      </c>
      <c r="G6" s="12">
        <v>16</v>
      </c>
      <c r="H6" s="88">
        <f>IF(B$20=0,0,G6/B$20)</f>
        <v>0.24615384615384617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1405.2631578947369</v>
      </c>
      <c r="Q6" s="77">
        <v>19</v>
      </c>
      <c r="R6" s="64">
        <v>26700</v>
      </c>
    </row>
    <row r="7" spans="1:18" x14ac:dyDescent="0.45">
      <c r="A7" s="19" t="s">
        <v>1</v>
      </c>
      <c r="B7" s="139">
        <f>IF(B$2=0,0,(B$8*1+B$9*2+B$10*3)/B$2)</f>
        <v>1.8846153846153846</v>
      </c>
      <c r="C7" s="140"/>
      <c r="E7" s="27" t="s">
        <v>68</v>
      </c>
      <c r="F7" s="24" t="s">
        <v>12</v>
      </c>
      <c r="G7" s="12">
        <v>15</v>
      </c>
      <c r="H7" s="88">
        <f>IF(B$20=0,0,G7/B$20)</f>
        <v>0.23076923076923078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1672.2222222222222</v>
      </c>
      <c r="Q7" s="78">
        <v>18</v>
      </c>
      <c r="R7" s="65">
        <v>30100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0.42307692307692307</v>
      </c>
      <c r="E8" s="27" t="s">
        <v>69</v>
      </c>
      <c r="F8" s="24" t="s">
        <v>24</v>
      </c>
      <c r="G8" s="12">
        <v>10</v>
      </c>
      <c r="H8" s="88">
        <f>IF(B$20=0,0,G8/B$20)</f>
        <v>0.15384615384615385</v>
      </c>
      <c r="I8" s="58">
        <v>3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0.26923076923076922</v>
      </c>
      <c r="E9" s="27" t="s">
        <v>89</v>
      </c>
      <c r="F9" s="24" t="s">
        <v>44</v>
      </c>
      <c r="G9" s="12">
        <v>10</v>
      </c>
      <c r="H9" s="88">
        <f>IF(B$20=0,0,G9/B$20)</f>
        <v>0.15384615384615385</v>
      </c>
      <c r="I9" s="58">
        <v>5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0.30769230769230771</v>
      </c>
      <c r="E10" s="27" t="s">
        <v>71</v>
      </c>
      <c r="F10" s="24" t="s">
        <v>26</v>
      </c>
      <c r="G10" s="12">
        <v>6</v>
      </c>
      <c r="H10" s="88">
        <f>IF(B$20=0,0,G10/B$20)</f>
        <v>9.2307692307692313E-2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-4.583333333333333</v>
      </c>
      <c r="Q10" s="76">
        <v>6</v>
      </c>
      <c r="R10" s="67">
        <v>-27.5</v>
      </c>
    </row>
    <row r="11" spans="1:18" x14ac:dyDescent="0.45">
      <c r="A11" s="20" t="s">
        <v>184</v>
      </c>
      <c r="B11" s="109">
        <f>IF(B8=0,0,C11/B8)</f>
        <v>32.472727272727269</v>
      </c>
      <c r="C11" s="110">
        <v>357.2</v>
      </c>
      <c r="E11" s="27" t="s">
        <v>86</v>
      </c>
      <c r="F11" s="24" t="s">
        <v>41</v>
      </c>
      <c r="G11" s="12">
        <v>6</v>
      </c>
      <c r="H11" s="88">
        <f>IF(B$20=0,0,G11/B$20)</f>
        <v>9.2307692307692313E-2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0.96250000000000124</v>
      </c>
      <c r="Q11" s="77">
        <v>8</v>
      </c>
      <c r="R11" s="68">
        <v>7.7000000000000099</v>
      </c>
    </row>
    <row r="12" spans="1:18" x14ac:dyDescent="0.45">
      <c r="A12" s="20" t="s">
        <v>185</v>
      </c>
      <c r="B12" s="109">
        <f>IF(B9=0,0,C12/B9)</f>
        <v>0.64285714285714246</v>
      </c>
      <c r="C12" s="110">
        <v>4.4999999999999973</v>
      </c>
      <c r="E12" s="27" t="s">
        <v>91</v>
      </c>
      <c r="F12" s="24" t="s">
        <v>46</v>
      </c>
      <c r="G12" s="12">
        <v>5</v>
      </c>
      <c r="H12" s="88">
        <f>IF(B$20=0,0,G12/B$20)</f>
        <v>7.6923076923076927E-2</v>
      </c>
      <c r="I12" s="58">
        <v>1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11.908333333333333</v>
      </c>
      <c r="Q12" s="78">
        <v>12</v>
      </c>
      <c r="R12" s="69">
        <v>142.9</v>
      </c>
    </row>
    <row r="13" spans="1:18" x14ac:dyDescent="0.45">
      <c r="A13" s="20" t="s">
        <v>186</v>
      </c>
      <c r="B13" s="109">
        <f>IF(B10=0,0,C13/B10)</f>
        <v>-29.825000000000003</v>
      </c>
      <c r="C13" s="110">
        <v>-238.60000000000002</v>
      </c>
      <c r="E13" s="27" t="s">
        <v>65</v>
      </c>
      <c r="F13" s="24" t="s">
        <v>21</v>
      </c>
      <c r="G13" s="12">
        <v>3</v>
      </c>
      <c r="H13" s="88">
        <f>IF(B$20=0,0,G13/B$20)</f>
        <v>4.6153846153846156E-2</v>
      </c>
      <c r="I13" s="58">
        <v>10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1.0968614718614706</v>
      </c>
      <c r="C14" s="126"/>
      <c r="E14" s="27" t="s">
        <v>70</v>
      </c>
      <c r="F14" s="24" t="s">
        <v>25</v>
      </c>
      <c r="G14" s="12">
        <v>3</v>
      </c>
      <c r="H14" s="88">
        <f>IF(B$20=0,0,G14/B$20)</f>
        <v>4.6153846153846156E-2</v>
      </c>
      <c r="I14" s="58">
        <v>7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7.6923076923076927E-2</v>
      </c>
      <c r="E15" s="27" t="s">
        <v>81</v>
      </c>
      <c r="F15" s="24" t="s">
        <v>36</v>
      </c>
      <c r="G15" s="12">
        <v>3</v>
      </c>
      <c r="H15" s="88">
        <f>IF(B$20=0,0,G15/B$20)</f>
        <v>4.6153846153846156E-2</v>
      </c>
      <c r="I15" s="58">
        <v>4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2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44</v>
      </c>
      <c r="C16" s="10">
        <f>IF(B$3=0,0,B16/B$3)</f>
        <v>0.21568627450980393</v>
      </c>
      <c r="E16" s="27" t="s">
        <v>83</v>
      </c>
      <c r="F16" s="24" t="s">
        <v>38</v>
      </c>
      <c r="G16" s="12">
        <v>3</v>
      </c>
      <c r="H16" s="88">
        <f>IF(B$20=0,0,G16/B$20)</f>
        <v>4.6153846153846156E-2</v>
      </c>
      <c r="I16" s="58">
        <v>5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 t="shared" si="2"/>
        <v>28.800000000000004</v>
      </c>
      <c r="Q16" s="77">
        <v>4</v>
      </c>
      <c r="R16" s="68">
        <v>115.20000000000002</v>
      </c>
    </row>
    <row r="17" spans="1:18" x14ac:dyDescent="0.45">
      <c r="A17" s="19" t="s">
        <v>118</v>
      </c>
      <c r="B17" s="12">
        <v>49</v>
      </c>
      <c r="C17" s="6">
        <f>IF(B$3=0,0,B17/B$3)</f>
        <v>0.24019607843137256</v>
      </c>
      <c r="E17" s="27" t="s">
        <v>73</v>
      </c>
      <c r="F17" s="24" t="s">
        <v>28</v>
      </c>
      <c r="G17" s="12">
        <v>2</v>
      </c>
      <c r="H17" s="88">
        <f>IF(B$20=0,0,G17/B$20)</f>
        <v>3.0769230769230771E-2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216</v>
      </c>
      <c r="P17" s="83">
        <f t="shared" si="2"/>
        <v>16.453846153846158</v>
      </c>
      <c r="Q17" s="77">
        <v>13</v>
      </c>
      <c r="R17" s="68">
        <v>213.90000000000003</v>
      </c>
    </row>
    <row r="18" spans="1:18" x14ac:dyDescent="0.45">
      <c r="A18" s="18" t="s">
        <v>123</v>
      </c>
      <c r="B18" s="11">
        <f>B24</f>
        <v>25</v>
      </c>
      <c r="C18" s="5">
        <f>IF(B$16=0,0,B18/B$16)</f>
        <v>0.56818181818181823</v>
      </c>
      <c r="E18" s="27" t="s">
        <v>78</v>
      </c>
      <c r="F18" s="24" t="s">
        <v>33</v>
      </c>
      <c r="G18" s="12">
        <v>2</v>
      </c>
      <c r="H18" s="88">
        <f>IF(B$20=0,0,G18/B$20)</f>
        <v>3.0769230769230771E-2</v>
      </c>
      <c r="I18" s="58">
        <v>4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 t="shared" si="2"/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25</v>
      </c>
      <c r="C19" s="5">
        <f>IF(B$17=0,0,B19/B$17)</f>
        <v>0.51020408163265307</v>
      </c>
      <c r="E19" s="27" t="s">
        <v>75</v>
      </c>
      <c r="F19" s="24" t="s">
        <v>30</v>
      </c>
      <c r="G19" s="12">
        <v>1</v>
      </c>
      <c r="H19" s="88">
        <f>IF(B$20=0,0,G19/B$20)</f>
        <v>1.5384615384615385E-2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190</v>
      </c>
      <c r="P19" s="83">
        <f t="shared" si="2"/>
        <v>6.5999999999999988</v>
      </c>
      <c r="Q19" s="77">
        <v>3</v>
      </c>
      <c r="R19" s="68">
        <v>19.799999999999997</v>
      </c>
    </row>
    <row r="20" spans="1:18" x14ac:dyDescent="0.45">
      <c r="A20" s="18" t="s">
        <v>10</v>
      </c>
      <c r="B20" s="11">
        <f>B23+B22</f>
        <v>65</v>
      </c>
      <c r="C20" s="5">
        <f>IF(B$3=0,0,B20/B$3)</f>
        <v>0.31862745098039214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163</v>
      </c>
      <c r="P20" s="83">
        <f t="shared" si="2"/>
        <v>6.5750000000000002</v>
      </c>
      <c r="Q20" s="77">
        <v>8</v>
      </c>
      <c r="R20" s="68">
        <v>52.6</v>
      </c>
    </row>
    <row r="21" spans="1:18" x14ac:dyDescent="0.45">
      <c r="A21" s="19" t="s">
        <v>13</v>
      </c>
      <c r="B21" s="12">
        <v>30</v>
      </c>
      <c r="C21" s="6">
        <f>IF(B$3=0,0,B21/B$3)</f>
        <v>0.14705882352941177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189</v>
      </c>
      <c r="P21" s="83">
        <f t="shared" si="2"/>
        <v>-1.3800000000000014</v>
      </c>
      <c r="Q21" s="77">
        <v>5</v>
      </c>
      <c r="R21" s="68">
        <v>-6.9000000000000075</v>
      </c>
    </row>
    <row r="22" spans="1:18" x14ac:dyDescent="0.45">
      <c r="A22" s="19" t="s">
        <v>12</v>
      </c>
      <c r="B22" s="12">
        <v>26</v>
      </c>
      <c r="C22" s="6">
        <f>IF(B$20=0,0,B22/B$20)</f>
        <v>0.4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126</v>
      </c>
      <c r="P22" s="83">
        <f t="shared" si="2"/>
        <v>-4.7666666666666666</v>
      </c>
      <c r="Q22" s="77">
        <v>15</v>
      </c>
      <c r="R22" s="68">
        <v>-71.5</v>
      </c>
    </row>
    <row r="23" spans="1:18" x14ac:dyDescent="0.45">
      <c r="A23" s="19" t="s">
        <v>11</v>
      </c>
      <c r="B23" s="12">
        <v>39</v>
      </c>
      <c r="C23" s="6">
        <f>IF(B$20=0,0,B23/B$20)</f>
        <v>0.6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25</v>
      </c>
      <c r="C24" s="6">
        <f>IF(B$20=0,0,B24/B$20)</f>
        <v>0.38461538461538464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25</v>
      </c>
      <c r="C25" s="6">
        <f>IF(B$20=0,0,B25/B$20)</f>
        <v>0.38461538461538464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15</v>
      </c>
      <c r="C26" s="6">
        <f>IF(B$20=0,0,B26/B$20)</f>
        <v>0.23076923076923078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8015.3846153846152</v>
      </c>
      <c r="C27" s="8">
        <v>521000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5">
      <c r="A28" s="20" t="s">
        <v>165</v>
      </c>
      <c r="B28" s="95">
        <f>IF($B$20-B$19=0,0,C28/($B$20-B$19))</f>
        <v>8512.5</v>
      </c>
      <c r="C28" s="96">
        <v>340500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5">
      <c r="A29" s="20" t="s">
        <v>166</v>
      </c>
      <c r="B29" s="95">
        <f>IF(B$19=0,0,C29/B$19)</f>
        <v>7220</v>
      </c>
      <c r="C29" s="96">
        <v>180500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</row>
    <row r="30" spans="1:18" x14ac:dyDescent="0.45">
      <c r="A30" s="20" t="s">
        <v>164</v>
      </c>
      <c r="B30" s="95">
        <f>IF(B$21=0,0,C30/B$21)</f>
        <v>-6940</v>
      </c>
      <c r="C30" s="96">
        <v>-208200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30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4.9019607843137254E-3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5</v>
      </c>
      <c r="C37" s="98">
        <f t="shared" ref="C37:C49" si="3">IF(B$20=0,0,B37/B$20)</f>
        <v>7.6923076923076927E-2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16</v>
      </c>
      <c r="C38" s="6">
        <f t="shared" si="3"/>
        <v>0.24615384615384617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10</v>
      </c>
      <c r="C39" s="6">
        <f t="shared" si="3"/>
        <v>0.15384615384615385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9</v>
      </c>
      <c r="C40" s="6">
        <f t="shared" si="3"/>
        <v>0.13846153846153847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7</v>
      </c>
      <c r="C41" s="6">
        <f t="shared" si="3"/>
        <v>0.1076923076923077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7</v>
      </c>
      <c r="C42" s="6">
        <f t="shared" si="3"/>
        <v>0.1076923076923077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3"/>
        <v>7.6923076923076927E-2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3"/>
        <v>4.6153846153846156E-2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3"/>
        <v>1.5384615384615385E-2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3"/>
        <v>1.5384615384615385E-2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3"/>
        <v>1.5384615384615385E-2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F6E-1B51-4CC6-B000-E82FF9DCEBD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34</v>
      </c>
      <c r="C2" s="134"/>
      <c r="E2" s="26" t="s">
        <v>66</v>
      </c>
      <c r="F2" s="23" t="s">
        <v>22</v>
      </c>
      <c r="G2" s="11">
        <v>79</v>
      </c>
      <c r="H2" s="87">
        <f>IF(B$20=0,0,G2/B$20)</f>
        <v>0.76699029126213591</v>
      </c>
      <c r="I2" s="57">
        <v>6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-208.8235294117647</v>
      </c>
      <c r="Q2" s="76">
        <v>34</v>
      </c>
      <c r="R2" s="63">
        <v>-7100</v>
      </c>
    </row>
    <row r="3" spans="1:18" x14ac:dyDescent="0.45">
      <c r="A3" s="19" t="s">
        <v>8</v>
      </c>
      <c r="B3" s="135">
        <v>299</v>
      </c>
      <c r="C3" s="136"/>
      <c r="E3" s="27" t="s">
        <v>72</v>
      </c>
      <c r="F3" s="24" t="s">
        <v>27</v>
      </c>
      <c r="G3" s="12">
        <v>67</v>
      </c>
      <c r="H3" s="88">
        <f>IF(B$20=0,0,G3/B$20)</f>
        <v>0.65048543689320393</v>
      </c>
      <c r="I3" s="58">
        <v>3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2331.25</v>
      </c>
      <c r="Q3" s="77">
        <v>32</v>
      </c>
      <c r="R3" s="64">
        <v>74600</v>
      </c>
    </row>
    <row r="4" spans="1:18" x14ac:dyDescent="0.45">
      <c r="A4" s="19" t="s">
        <v>6</v>
      </c>
      <c r="B4" s="137">
        <v>320.7</v>
      </c>
      <c r="C4" s="138"/>
      <c r="E4" s="27" t="s">
        <v>159</v>
      </c>
      <c r="F4" s="24" t="s">
        <v>160</v>
      </c>
      <c r="G4" s="12">
        <v>51</v>
      </c>
      <c r="H4" s="88">
        <f>IF(B$20=0,0,G4/B$20)</f>
        <v>0.49514563106796117</v>
      </c>
      <c r="I4" s="58">
        <v>1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145.45454545454547</v>
      </c>
      <c r="Q4" s="77">
        <v>33</v>
      </c>
      <c r="R4" s="64">
        <v>4800</v>
      </c>
    </row>
    <row r="5" spans="1:18" x14ac:dyDescent="0.45">
      <c r="A5" s="19" t="s">
        <v>7</v>
      </c>
      <c r="B5" s="125">
        <f>IF(B$2=0,0,B$4/B$2)</f>
        <v>9.4323529411764699</v>
      </c>
      <c r="C5" s="126"/>
      <c r="E5" s="27" t="s">
        <v>64</v>
      </c>
      <c r="F5" s="24" t="s">
        <v>20</v>
      </c>
      <c r="G5" s="12">
        <v>34</v>
      </c>
      <c r="H5" s="88">
        <f>IF(B$20=0,0,G5/B$20)</f>
        <v>0.3300970873786408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1220</v>
      </c>
      <c r="Q5" s="77">
        <v>30</v>
      </c>
      <c r="R5" s="64">
        <v>36600</v>
      </c>
    </row>
    <row r="6" spans="1:18" x14ac:dyDescent="0.45">
      <c r="A6" s="19" t="s">
        <v>196</v>
      </c>
      <c r="B6" s="129">
        <v>1587.2015837819306</v>
      </c>
      <c r="C6" s="130"/>
      <c r="E6" s="27" t="s">
        <v>68</v>
      </c>
      <c r="F6" s="24" t="s">
        <v>12</v>
      </c>
      <c r="G6" s="12">
        <v>28</v>
      </c>
      <c r="H6" s="88">
        <f>IF(B$20=0,0,G6/B$20)</f>
        <v>0.27184466019417475</v>
      </c>
      <c r="I6" s="58">
        <v>8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1889.2857142857142</v>
      </c>
      <c r="Q6" s="77">
        <v>28</v>
      </c>
      <c r="R6" s="64">
        <v>52900</v>
      </c>
    </row>
    <row r="7" spans="1:18" x14ac:dyDescent="0.45">
      <c r="A7" s="19" t="s">
        <v>1</v>
      </c>
      <c r="B7" s="139">
        <f>IF(B$2=0,0,(B$8*1+B$9*2+B$10*3)/B$2)</f>
        <v>1.7058823529411764</v>
      </c>
      <c r="C7" s="140"/>
      <c r="E7" s="27" t="s">
        <v>70</v>
      </c>
      <c r="F7" s="24" t="s">
        <v>25</v>
      </c>
      <c r="G7" s="12">
        <v>15</v>
      </c>
      <c r="H7" s="88">
        <f>IF(B$20=0,0,G7/B$20)</f>
        <v>0.14563106796116504</v>
      </c>
      <c r="I7" s="58">
        <v>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-59.090909090909093</v>
      </c>
      <c r="Q7" s="78">
        <v>22</v>
      </c>
      <c r="R7" s="65">
        <v>-1300</v>
      </c>
    </row>
    <row r="8" spans="1:18" x14ac:dyDescent="0.45">
      <c r="A8" s="19" t="s">
        <v>2</v>
      </c>
      <c r="B8" s="12">
        <v>17</v>
      </c>
      <c r="C8" s="6">
        <f t="shared" ref="C8:C15" si="1">IF(B$2=0,0,B8/B$2)</f>
        <v>0.5</v>
      </c>
      <c r="E8" s="27" t="s">
        <v>67</v>
      </c>
      <c r="F8" s="24" t="s">
        <v>23</v>
      </c>
      <c r="G8" s="12">
        <v>14</v>
      </c>
      <c r="H8" s="88">
        <f>IF(B$20=0,0,G8/B$20)</f>
        <v>0.13592233009708737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10</v>
      </c>
      <c r="C9" s="6">
        <f t="shared" si="1"/>
        <v>0.29411764705882354</v>
      </c>
      <c r="E9" s="27" t="s">
        <v>89</v>
      </c>
      <c r="F9" s="24" t="s">
        <v>44</v>
      </c>
      <c r="G9" s="12">
        <v>11</v>
      </c>
      <c r="H9" s="88">
        <f>IF(B$20=0,0,G9/B$20)</f>
        <v>0.10679611650485436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0.20588235294117646</v>
      </c>
      <c r="E10" s="27" t="s">
        <v>69</v>
      </c>
      <c r="F10" s="24" t="s">
        <v>24</v>
      </c>
      <c r="G10" s="12">
        <v>8</v>
      </c>
      <c r="H10" s="88">
        <f>IF(B$20=0,0,G10/B$20)</f>
        <v>7.7669902912621352E-2</v>
      </c>
      <c r="I10" s="58">
        <v>8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18.3</v>
      </c>
      <c r="Q10" s="76">
        <v>15</v>
      </c>
      <c r="R10" s="67">
        <v>274.5</v>
      </c>
    </row>
    <row r="11" spans="1:18" x14ac:dyDescent="0.45">
      <c r="A11" s="20" t="s">
        <v>184</v>
      </c>
      <c r="B11" s="109">
        <f>IF(B8=0,0,C11/B8)</f>
        <v>36.511764705882356</v>
      </c>
      <c r="C11" s="110">
        <v>620.70000000000005</v>
      </c>
      <c r="E11" s="27" t="s">
        <v>71</v>
      </c>
      <c r="F11" s="24" t="s">
        <v>26</v>
      </c>
      <c r="G11" s="12">
        <v>8</v>
      </c>
      <c r="H11" s="88">
        <f>IF(B$20=0,0,G11/B$20)</f>
        <v>7.7669902912621352E-2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-1.2769230769230764</v>
      </c>
      <c r="Q11" s="77">
        <v>13</v>
      </c>
      <c r="R11" s="68">
        <v>-16.599999999999994</v>
      </c>
    </row>
    <row r="12" spans="1:18" x14ac:dyDescent="0.45">
      <c r="A12" s="20" t="s">
        <v>185</v>
      </c>
      <c r="B12" s="109">
        <f>IF(B9=0,0,C12/B9)</f>
        <v>-5.2099999999999991</v>
      </c>
      <c r="C12" s="110">
        <v>-52.099999999999994</v>
      </c>
      <c r="E12" s="27" t="s">
        <v>65</v>
      </c>
      <c r="F12" s="24" t="s">
        <v>21</v>
      </c>
      <c r="G12" s="12">
        <v>5</v>
      </c>
      <c r="H12" s="88">
        <f>IF(B$20=0,0,G12/B$20)</f>
        <v>4.8543689320388349E-2</v>
      </c>
      <c r="I12" s="58">
        <v>9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10.466666666666667</v>
      </c>
      <c r="Q12" s="78">
        <v>6</v>
      </c>
      <c r="R12" s="69">
        <v>62.8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78</v>
      </c>
      <c r="F13" s="24" t="s">
        <v>33</v>
      </c>
      <c r="G13" s="12">
        <v>4</v>
      </c>
      <c r="H13" s="88">
        <f>IF(B$20=0,0,G13/B$20)</f>
        <v>3.8834951456310676E-2</v>
      </c>
      <c r="I13" s="58">
        <v>3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-1.3708403361344541</v>
      </c>
      <c r="C14" s="126"/>
      <c r="E14" s="27" t="s">
        <v>79</v>
      </c>
      <c r="F14" s="24" t="s">
        <v>34</v>
      </c>
      <c r="G14" s="12">
        <v>3</v>
      </c>
      <c r="H14" s="88">
        <f>IF(B$20=0,0,G14/B$20)</f>
        <v>2.9126213592233011E-2</v>
      </c>
      <c r="I14" s="58">
        <v>3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5.8823529411764705E-2</v>
      </c>
      <c r="E15" s="27" t="s">
        <v>81</v>
      </c>
      <c r="F15" s="24" t="s">
        <v>36</v>
      </c>
      <c r="G15" s="12">
        <v>3</v>
      </c>
      <c r="H15" s="88">
        <f>IF(B$20=0,0,G15/B$20)</f>
        <v>2.9126213592233011E-2</v>
      </c>
      <c r="I15" s="58">
        <v>8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67</v>
      </c>
      <c r="C16" s="10">
        <f>IF(B$3=0,0,B16/B$3)</f>
        <v>0.22408026755852842</v>
      </c>
      <c r="E16" s="27" t="s">
        <v>86</v>
      </c>
      <c r="F16" s="24" t="s">
        <v>41</v>
      </c>
      <c r="G16" s="12">
        <v>3</v>
      </c>
      <c r="H16" s="88">
        <f>IF(B$20=0,0,G16/B$20)</f>
        <v>2.9126213592233011E-2</v>
      </c>
      <c r="I16" s="58">
        <v>7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78</v>
      </c>
      <c r="C17" s="6">
        <f>IF(B$3=0,0,B17/B$3)</f>
        <v>0.2608695652173913</v>
      </c>
      <c r="E17" s="27" t="s">
        <v>83</v>
      </c>
      <c r="F17" s="24" t="s">
        <v>38</v>
      </c>
      <c r="G17" s="12">
        <v>2</v>
      </c>
      <c r="H17" s="88">
        <f>IF(B$20=0,0,G17/B$20)</f>
        <v>1.9417475728155338E-2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>IF(Q17=0,0,R17/Q17)</f>
        <v>17.920000000000002</v>
      </c>
      <c r="Q17" s="77">
        <v>15</v>
      </c>
      <c r="R17" s="68">
        <v>268.8</v>
      </c>
    </row>
    <row r="18" spans="1:18" x14ac:dyDescent="0.45">
      <c r="A18" s="18" t="s">
        <v>123</v>
      </c>
      <c r="B18" s="11">
        <f>B24</f>
        <v>35</v>
      </c>
      <c r="C18" s="5">
        <f>IF(B$16=0,0,B18/B$16)</f>
        <v>0.52238805970149249</v>
      </c>
      <c r="E18" s="27" t="s">
        <v>73</v>
      </c>
      <c r="F18" s="24" t="s">
        <v>28</v>
      </c>
      <c r="G18" s="12">
        <v>1</v>
      </c>
      <c r="H18" s="88">
        <f>IF(B$20=0,0,G18/B$20)</f>
        <v>9.7087378640776691E-3</v>
      </c>
      <c r="I18" s="58">
        <v>2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>IF(Q18=0,0,R18/Q18)</f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37</v>
      </c>
      <c r="C19" s="5">
        <f>IF(B$17=0,0,B19/B$17)</f>
        <v>0.47435897435897434</v>
      </c>
      <c r="E19" s="27" t="s">
        <v>88</v>
      </c>
      <c r="F19" s="24" t="s">
        <v>43</v>
      </c>
      <c r="G19" s="12">
        <v>1</v>
      </c>
      <c r="H19" s="88">
        <f>IF(B$20=0,0,G19/B$20)</f>
        <v>9.7087378640776691E-3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126</v>
      </c>
      <c r="P19" s="83">
        <f>IF(Q19=0,0,R19/Q19)</f>
        <v>16.035714285714285</v>
      </c>
      <c r="Q19" s="77">
        <v>28</v>
      </c>
      <c r="R19" s="68">
        <v>448.99999999999994</v>
      </c>
    </row>
    <row r="20" spans="1:18" x14ac:dyDescent="0.45">
      <c r="A20" s="18" t="s">
        <v>10</v>
      </c>
      <c r="B20" s="11">
        <f>B23+B22</f>
        <v>103</v>
      </c>
      <c r="C20" s="5">
        <f>IF(B$3=0,0,B20/B$3)</f>
        <v>0.34448160535117056</v>
      </c>
      <c r="E20" s="27" t="s">
        <v>92</v>
      </c>
      <c r="F20" s="24" t="s">
        <v>47</v>
      </c>
      <c r="G20" s="12">
        <v>1</v>
      </c>
      <c r="H20" s="88">
        <f>IF(B$20=0,0,G20/B$20)</f>
        <v>9.7087378640776691E-3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>IF(Q20=0,0,R20/Q20)</f>
        <v>14.785714285714286</v>
      </c>
      <c r="Q20" s="77">
        <v>7</v>
      </c>
      <c r="R20" s="68">
        <v>103.5</v>
      </c>
    </row>
    <row r="21" spans="1:18" x14ac:dyDescent="0.45">
      <c r="A21" s="19" t="s">
        <v>13</v>
      </c>
      <c r="B21" s="12">
        <v>39</v>
      </c>
      <c r="C21" s="6">
        <f>IF(B$3=0,0,B21/B$3)</f>
        <v>0.13043478260869565</v>
      </c>
      <c r="E21" s="27" t="s">
        <v>102</v>
      </c>
      <c r="F21" s="24" t="s">
        <v>57</v>
      </c>
      <c r="G21" s="12">
        <v>1</v>
      </c>
      <c r="H21" s="88">
        <f>IF(B$20=0,0,G21/B$20)</f>
        <v>9.7087378640776691E-3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>IF(Q21=0,0,R21/Q21)</f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42</v>
      </c>
      <c r="C22" s="6">
        <f>IF(B$20=0,0,B22/B$20)</f>
        <v>0.40776699029126212</v>
      </c>
      <c r="E22" s="27" t="s">
        <v>155</v>
      </c>
      <c r="F22" s="24" t="s">
        <v>156</v>
      </c>
      <c r="G22" s="12">
        <v>1</v>
      </c>
      <c r="H22" s="88">
        <f>IF(B$20=0,0,G22/B$20)</f>
        <v>9.7087378640776691E-3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>IF(Q22=0,0,R22/Q22)</f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61</v>
      </c>
      <c r="C23" s="6">
        <f>IF(B$20=0,0,B23/B$20)</f>
        <v>0.59223300970873782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35</v>
      </c>
      <c r="C24" s="6">
        <f>IF(B$20=0,0,B24/B$20)</f>
        <v>0.33980582524271846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37</v>
      </c>
      <c r="C25" s="6">
        <f>IF(B$20=0,0,B25/B$20)</f>
        <v>0.35922330097087379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31</v>
      </c>
      <c r="C26" s="6">
        <f>IF(B$20=0,0,B26/B$20)</f>
        <v>0.30097087378640774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7923.3009708737864</v>
      </c>
      <c r="C27" s="8">
        <v>816100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9462.121212121212</v>
      </c>
      <c r="C28" s="96">
        <v>624500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5178.3783783783783</v>
      </c>
      <c r="C29" s="96">
        <v>191600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-7448.7179487179483</v>
      </c>
      <c r="C30" s="96">
        <v>-290500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38</v>
      </c>
      <c r="C32" s="90">
        <v>38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252.59999999999997</v>
      </c>
      <c r="M32" s="117">
        <v>1574.2506528365298</v>
      </c>
    </row>
    <row r="33" spans="1:13" x14ac:dyDescent="0.45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297.2</v>
      </c>
      <c r="M33" s="117">
        <v>1582.5051489195105</v>
      </c>
    </row>
    <row r="34" spans="1:13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5">
      <c r="A37" s="54" t="s">
        <v>171</v>
      </c>
      <c r="B37" s="123">
        <v>10</v>
      </c>
      <c r="C37" s="98">
        <f t="shared" ref="C37:C49" si="2">IF(B$20=0,0,B37/B$20)</f>
        <v>9.7087378640776698E-2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</row>
    <row r="38" spans="1:13" x14ac:dyDescent="0.45">
      <c r="A38" s="19" t="s">
        <v>167</v>
      </c>
      <c r="B38" s="12">
        <v>23</v>
      </c>
      <c r="C38" s="6">
        <f t="shared" si="2"/>
        <v>0.22330097087378642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24</v>
      </c>
      <c r="C39" s="6">
        <f t="shared" si="2"/>
        <v>0.23300970873786409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15</v>
      </c>
      <c r="C40" s="6">
        <f t="shared" si="2"/>
        <v>0.14563106796116504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14</v>
      </c>
      <c r="C41" s="6">
        <f t="shared" si="2"/>
        <v>0.13592233009708737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3</v>
      </c>
      <c r="C42" s="6">
        <f t="shared" si="2"/>
        <v>2.9126213592233011E-2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8</v>
      </c>
      <c r="C43" s="6">
        <f t="shared" si="2"/>
        <v>7.7669902912621352E-2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2"/>
        <v>1.9417475728155338E-2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2"/>
        <v>9.7087378640776691E-3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9.7087378640776691E-3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2</v>
      </c>
      <c r="C49" s="9">
        <f t="shared" si="2"/>
        <v>1.9417475728155338E-2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3932-1757-4D90-9AFE-BC2EB9350461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5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9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5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5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4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5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5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5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5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B3BB-0E90-4935-8404-B50392BE42B2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7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5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5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4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8DB-9B7B-4D79-A163-CE0BCBD5527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8</v>
      </c>
      <c r="H2" s="87">
        <f>IF(B$20=0,0,G2/B$20)</f>
        <v>0.72727272727272729</v>
      </c>
      <c r="I2" s="57">
        <v>9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-7283.333333333333</v>
      </c>
      <c r="Q2" s="76">
        <v>6</v>
      </c>
      <c r="R2" s="63">
        <v>-43700</v>
      </c>
    </row>
    <row r="3" spans="1:18" x14ac:dyDescent="0.45">
      <c r="A3" s="19" t="s">
        <v>8</v>
      </c>
      <c r="B3" s="135">
        <v>49</v>
      </c>
      <c r="C3" s="136"/>
      <c r="E3" s="27" t="s">
        <v>68</v>
      </c>
      <c r="F3" s="24" t="s">
        <v>12</v>
      </c>
      <c r="G3" s="12">
        <v>8</v>
      </c>
      <c r="H3" s="88">
        <f>IF(B$20=0,0,G3/B$20)</f>
        <v>0.72727272727272729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3080</v>
      </c>
      <c r="Q3" s="77">
        <v>5</v>
      </c>
      <c r="R3" s="64">
        <v>15400</v>
      </c>
    </row>
    <row r="4" spans="1:18" x14ac:dyDescent="0.45">
      <c r="A4" s="19" t="s">
        <v>6</v>
      </c>
      <c r="B4" s="137">
        <v>-118.3</v>
      </c>
      <c r="C4" s="138"/>
      <c r="E4" s="27" t="s">
        <v>64</v>
      </c>
      <c r="F4" s="24" t="s">
        <v>20</v>
      </c>
      <c r="G4" s="12">
        <v>7</v>
      </c>
      <c r="H4" s="88">
        <f>IF(B$20=0,0,G4/B$20)</f>
        <v>0.63636363636363635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-2700</v>
      </c>
      <c r="Q4" s="77">
        <v>6</v>
      </c>
      <c r="R4" s="64">
        <v>-16200</v>
      </c>
    </row>
    <row r="5" spans="1:18" x14ac:dyDescent="0.45">
      <c r="A5" s="19" t="s">
        <v>7</v>
      </c>
      <c r="B5" s="125">
        <f>IF(B$2=0,0,B$4/B$2)</f>
        <v>-19.716666666666665</v>
      </c>
      <c r="C5" s="126"/>
      <c r="E5" s="27" t="s">
        <v>67</v>
      </c>
      <c r="F5" s="24" t="s">
        <v>23</v>
      </c>
      <c r="G5" s="12">
        <v>7</v>
      </c>
      <c r="H5" s="88">
        <f>IF(B$20=0,0,G5/B$20)</f>
        <v>0.63636363636363635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-5340</v>
      </c>
      <c r="Q5" s="77">
        <v>5</v>
      </c>
      <c r="R5" s="64">
        <v>-26700</v>
      </c>
    </row>
    <row r="6" spans="1:18" x14ac:dyDescent="0.45">
      <c r="A6" s="19" t="s">
        <v>196</v>
      </c>
      <c r="B6" s="129">
        <v>1377.2761788230373</v>
      </c>
      <c r="C6" s="130"/>
      <c r="E6" s="27" t="s">
        <v>159</v>
      </c>
      <c r="F6" s="24" t="s">
        <v>160</v>
      </c>
      <c r="G6" s="12">
        <v>5</v>
      </c>
      <c r="H6" s="88">
        <f>IF(B$20=0,0,G6/B$20)</f>
        <v>0.45454545454545453</v>
      </c>
      <c r="I6" s="58">
        <v>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540</v>
      </c>
      <c r="Q6" s="77">
        <v>5</v>
      </c>
      <c r="R6" s="64">
        <v>2700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72</v>
      </c>
      <c r="F7" s="24" t="s">
        <v>27</v>
      </c>
      <c r="G7" s="12">
        <v>4</v>
      </c>
      <c r="H7" s="88">
        <f>IF(B$20=0,0,G7/B$20)</f>
        <v>0.36363636363636365</v>
      </c>
      <c r="I7" s="58">
        <v>11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100</v>
      </c>
      <c r="Q7" s="78">
        <v>5</v>
      </c>
      <c r="R7" s="65">
        <v>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3</v>
      </c>
      <c r="H8" s="88">
        <f>IF(B$20=0,0,G8/B$20)</f>
        <v>0.27272727272727271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0.18181818181818182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0.66666666666666663</v>
      </c>
      <c r="E10" s="27" t="s">
        <v>70</v>
      </c>
      <c r="F10" s="24" t="s">
        <v>25</v>
      </c>
      <c r="G10" s="12">
        <v>1</v>
      </c>
      <c r="H10" s="88">
        <f>IF(B$20=0,0,G10/B$20)</f>
        <v>9.0909090909090912E-2</v>
      </c>
      <c r="I10" s="58">
        <v>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-17.05</v>
      </c>
      <c r="Q11" s="77">
        <v>2</v>
      </c>
      <c r="R11" s="68">
        <v>-34.1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5</v>
      </c>
      <c r="O12" s="75" t="s">
        <v>153</v>
      </c>
      <c r="P12" s="84">
        <f>IF(Q12=0,0,R12/Q12)</f>
        <v>-20</v>
      </c>
      <c r="Q12" s="78">
        <v>3</v>
      </c>
      <c r="R12" s="69">
        <v>-60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-6.333333333333333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0.33333333333333331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221</v>
      </c>
      <c r="P15" s="82">
        <f>IF(Q15=0,0,R15/Q15)</f>
        <v>3.6500000000000004</v>
      </c>
      <c r="Q15" s="76">
        <v>2</v>
      </c>
      <c r="R15" s="67">
        <v>7.3000000000000007</v>
      </c>
    </row>
    <row r="16" spans="1:18" x14ac:dyDescent="0.45">
      <c r="A16" s="22" t="s">
        <v>121</v>
      </c>
      <c r="B16" s="15">
        <v>10</v>
      </c>
      <c r="C16" s="10">
        <f>IF(B$3=0,0,B16/B$3)</f>
        <v>0.20408163265306123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-33.85</v>
      </c>
      <c r="Q16" s="77">
        <v>4</v>
      </c>
      <c r="R16" s="68">
        <v>-135.4</v>
      </c>
    </row>
    <row r="17" spans="1:18" x14ac:dyDescent="0.45">
      <c r="A17" s="19" t="s">
        <v>118</v>
      </c>
      <c r="B17" s="12">
        <v>3</v>
      </c>
      <c r="C17" s="6">
        <f>IF(B$3=0,0,B17/B$3)</f>
        <v>6.1224489795918366E-2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8</v>
      </c>
      <c r="O17" s="74" t="s">
        <v>192</v>
      </c>
      <c r="P17" s="83">
        <f>IF(Q17=0,0,R17/Q17)</f>
        <v>-36.479999999999997</v>
      </c>
      <c r="Q17" s="77">
        <v>5</v>
      </c>
      <c r="R17" s="68">
        <v>-182.39999999999998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7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0.66666666666666663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11</v>
      </c>
      <c r="C20" s="5">
        <f>IF(B$3=0,0,B20/B$3)</f>
        <v>0.22448979591836735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10</v>
      </c>
    </row>
    <row r="21" spans="1:18" x14ac:dyDescent="0.45">
      <c r="A21" s="19" t="s">
        <v>13</v>
      </c>
      <c r="B21" s="12">
        <v>9</v>
      </c>
      <c r="C21" s="6">
        <f>IF(B$3=0,0,B21/B$3)</f>
        <v>0.18367346938775511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8</v>
      </c>
      <c r="C22" s="6">
        <f>IF(B$20=0,0,B22/B$20)</f>
        <v>0.72727272727272729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9</v>
      </c>
    </row>
    <row r="23" spans="1:18" x14ac:dyDescent="0.45">
      <c r="A23" s="19" t="s">
        <v>11</v>
      </c>
      <c r="B23" s="12">
        <v>3</v>
      </c>
      <c r="C23" s="6">
        <f>IF(B$20=0,0,B23/B$20)</f>
        <v>0.27272727272727271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0.63636363636363635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5">
      <c r="A25" s="19" t="s">
        <v>181</v>
      </c>
      <c r="B25" s="12">
        <v>2</v>
      </c>
      <c r="C25" s="6">
        <f>IF(B$20=0,0,B25/B$20)</f>
        <v>0.18181818181818182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2</v>
      </c>
      <c r="C26" s="6">
        <f>IF(B$20=0,0,B26/B$20)</f>
        <v>0.18181818181818182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8272.7272727272721</v>
      </c>
      <c r="C27" s="8">
        <v>91000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8822.2222222222226</v>
      </c>
      <c r="C28" s="96">
        <v>79400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5800</v>
      </c>
      <c r="C29" s="96">
        <v>11600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-7666.666666666667</v>
      </c>
      <c r="C30" s="96">
        <v>-69000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15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2.0408163265306121E-2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0.18181818181818182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0.27272727272727271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0.18181818181818182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0.18181818181818182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1</v>
      </c>
      <c r="C42" s="6">
        <f t="shared" si="2"/>
        <v>9.0909090909090912E-2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9.0909090909090912E-2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A7DE-DB73-4373-94A4-5221EAA383F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10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D52-816F-490F-96CA-82AAB86153E1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3C86-77D7-4C79-B4C9-9BAFDB655C8B}">
  <sheetPr codeName="Sheet24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A7C-8328-4D99-ABE9-F9F6880A75EE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8FCE-C98F-48B2-B7A7-D69D1B8AF486}">
  <sheetPr codeName="Sheet20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5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5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783D5-B4E2-4583-AD25-72CA202ACB3F}">
  <sheetPr codeName="Sheet18"/>
  <dimension ref="A1:Q3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5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5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5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5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5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370D-2606-4D49-A722-84B46D015DED}">
  <sheetPr codeName="Sheet16"/>
  <dimension ref="A1:Q2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5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5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8B6E-A762-4A06-8278-0902BD877EF4}">
  <sheetPr codeName="Sheet14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7C99-293E-4A3B-A36B-7F855B545B70}">
  <sheetPr codeName="Sheet12"/>
  <dimension ref="A1:Q3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5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5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5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5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5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5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5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5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5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5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E192-D1BC-4BCE-A65B-1B7B311C1AC6}">
  <sheetPr codeName="Sheet10"/>
  <dimension ref="A1:Q2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5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5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5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5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5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5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5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93A5-F60B-4D48-9692-6BE0A77DFDDB}">
  <sheetPr codeName="Sheet8"/>
  <dimension ref="A1:Q5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5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5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5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5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5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5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5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5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5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5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F574-7687-4D17-95BF-14186DDFC98C}">
  <sheetPr codeName="Sheet6"/>
  <dimension ref="A1:Q7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5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5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5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5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5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5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5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5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5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5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5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5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2020-11-10T04:59:21Z</dcterms:modified>
</cp:coreProperties>
</file>