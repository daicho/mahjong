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E1D234F9-4B09-4B18-B644-494780C5A4E8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54" l="1"/>
  <c r="P18" i="6856"/>
  <c r="P20" i="6860"/>
  <c r="P15" i="6856"/>
  <c r="P19" i="6862" l="1"/>
  <c r="P15" i="6854"/>
  <c r="P17" i="6866" l="1"/>
  <c r="P17" i="6850"/>
  <c r="P22" i="6858" l="1"/>
  <c r="P19" i="6854"/>
  <c r="P21" i="6860" l="1"/>
  <c r="P17" i="6860"/>
  <c r="P15" i="6866"/>
  <c r="P17" i="6868"/>
  <c r="P18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20" i="6848"/>
  <c r="P18" i="6866"/>
  <c r="P16" i="6866"/>
  <c r="C35" i="6866"/>
  <c r="H34" i="6866"/>
  <c r="B30" i="6866"/>
  <c r="C21" i="6866"/>
  <c r="B20" i="6866"/>
  <c r="H52" i="6866" s="1"/>
  <c r="C19" i="6866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2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8" i="6848"/>
  <c r="H25" i="6866" l="1"/>
  <c r="H31" i="6866"/>
  <c r="H15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1" i="6866"/>
  <c r="H10" i="6866"/>
  <c r="C25" i="6866"/>
  <c r="H2" i="6866"/>
  <c r="C26" i="6866"/>
  <c r="H4" i="6866"/>
  <c r="H13" i="6866"/>
  <c r="H27" i="6866"/>
  <c r="H37" i="6866"/>
  <c r="H18" i="6866"/>
  <c r="B28" i="6866"/>
  <c r="C37" i="6866"/>
  <c r="H48" i="6866"/>
  <c r="H47" i="6866"/>
  <c r="H9" i="6866"/>
  <c r="C22" i="6866"/>
  <c r="H29" i="6866"/>
  <c r="H39" i="6866"/>
  <c r="H49" i="6866"/>
  <c r="H3" i="6866"/>
  <c r="H16" i="6866"/>
  <c r="C20" i="6866"/>
  <c r="H11" i="6866"/>
  <c r="H8" i="6866"/>
  <c r="H5" i="6866"/>
  <c r="H7" i="6866"/>
  <c r="H14" i="6866"/>
  <c r="H23" i="6866"/>
  <c r="H40" i="6866"/>
  <c r="H6" i="6866"/>
  <c r="H19" i="6866"/>
  <c r="H22" i="6866"/>
  <c r="H26" i="6866"/>
  <c r="H30" i="6866"/>
  <c r="H36" i="6866"/>
  <c r="C40" i="6866"/>
  <c r="C44" i="6866"/>
  <c r="C48" i="6866"/>
  <c r="C41" i="6866"/>
  <c r="C45" i="6866"/>
  <c r="C49" i="6866"/>
  <c r="H17" i="6866"/>
  <c r="H20" i="6866"/>
  <c r="C23" i="6866"/>
  <c r="B27" i="6866"/>
  <c r="H32" i="6866"/>
  <c r="H38" i="6866"/>
  <c r="H42" i="6866"/>
  <c r="H46" i="6866"/>
  <c r="H50" i="6866"/>
  <c r="H24" i="6866"/>
  <c r="H28" i="6866"/>
  <c r="H33" i="6866"/>
  <c r="C38" i="6866"/>
  <c r="C42" i="6866"/>
  <c r="C46" i="6866"/>
  <c r="H51" i="6866"/>
  <c r="C39" i="6866"/>
  <c r="C43" i="6866"/>
  <c r="C47" i="6866"/>
  <c r="P18" i="6852" l="1"/>
  <c r="P16" i="6860"/>
  <c r="P17" i="6858"/>
  <c r="P15" i="6860"/>
  <c r="P22" i="6860"/>
  <c r="P18" i="6862"/>
  <c r="P16" i="6858"/>
  <c r="P20" i="6862"/>
  <c r="P19" i="6852"/>
  <c r="P15" i="6852"/>
  <c r="P17" i="6864" l="1"/>
  <c r="P16" i="6862"/>
  <c r="P15" i="6850"/>
  <c r="P20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B14" i="6862" s="1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9" i="6858"/>
  <c r="P15" i="6848"/>
  <c r="P17" i="6848"/>
  <c r="B14" i="6864" l="1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19" i="6860"/>
  <c r="P18" i="6860"/>
  <c r="C39" i="6860"/>
  <c r="C35" i="6860"/>
  <c r="B30" i="6860"/>
  <c r="C24" i="6860"/>
  <c r="C21" i="6860"/>
  <c r="B20" i="6860"/>
  <c r="H20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3" i="6848"/>
  <c r="H46" i="6860" l="1"/>
  <c r="B14" i="6860"/>
  <c r="H21" i="6860"/>
  <c r="H10" i="6860"/>
  <c r="C19" i="6860"/>
  <c r="H6" i="6860"/>
  <c r="H15" i="6860"/>
  <c r="C47" i="6860"/>
  <c r="H12" i="6860"/>
  <c r="H41" i="6860"/>
  <c r="C40" i="6860"/>
  <c r="H17" i="6860"/>
  <c r="H49" i="6860"/>
  <c r="C45" i="6860"/>
  <c r="C48" i="6860"/>
  <c r="C20" i="6860"/>
  <c r="H2" i="6860"/>
  <c r="H26" i="6860"/>
  <c r="H36" i="6860"/>
  <c r="H42" i="6860"/>
  <c r="H19" i="6860"/>
  <c r="H23" i="6860"/>
  <c r="H13" i="6860"/>
  <c r="B28" i="6860"/>
  <c r="H37" i="6860"/>
  <c r="H44" i="6860"/>
  <c r="C49" i="6860"/>
  <c r="C25" i="6860"/>
  <c r="H29" i="6860"/>
  <c r="H11" i="6860"/>
  <c r="H16" i="6860"/>
  <c r="H8" i="6860"/>
  <c r="H7" i="6860"/>
  <c r="H25" i="6860"/>
  <c r="C22" i="6860"/>
  <c r="H30" i="6860"/>
  <c r="H38" i="6860"/>
  <c r="C43" i="6860"/>
  <c r="H4" i="6860"/>
  <c r="H32" i="6860"/>
  <c r="H3" i="6860"/>
  <c r="H35" i="6860"/>
  <c r="H22" i="6860"/>
  <c r="C26" i="6860"/>
  <c r="C41" i="6860"/>
  <c r="H5" i="6860"/>
  <c r="H24" i="6860"/>
  <c r="H27" i="6860"/>
  <c r="H31" i="6860"/>
  <c r="C37" i="6860"/>
  <c r="C44" i="6860"/>
  <c r="H52" i="6860"/>
  <c r="H48" i="6860"/>
  <c r="H14" i="6860"/>
  <c r="H40" i="6860"/>
  <c r="H45" i="6860"/>
  <c r="H50" i="6860"/>
  <c r="H18" i="6860"/>
  <c r="C23" i="6860"/>
  <c r="B27" i="6860"/>
  <c r="H33" i="6860"/>
  <c r="H39" i="6860"/>
  <c r="H43" i="6860"/>
  <c r="H47" i="6860"/>
  <c r="H51" i="6860"/>
  <c r="H28" i="6860"/>
  <c r="H9" i="6860"/>
  <c r="H34" i="6860"/>
  <c r="C38" i="6860"/>
  <c r="C42" i="6860"/>
  <c r="C46" i="6860"/>
  <c r="P19" i="6850" l="1"/>
  <c r="P18" i="6850"/>
  <c r="P20" i="6858"/>
  <c r="P21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9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4" i="6848"/>
  <c r="B14" i="6856" l="1"/>
  <c r="C19" i="6856"/>
  <c r="H7" i="6856"/>
  <c r="B14" i="6858"/>
  <c r="C19" i="6858"/>
  <c r="H4" i="6858"/>
  <c r="H12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4" i="6858"/>
  <c r="H25" i="6858"/>
  <c r="H26" i="6858"/>
  <c r="C37" i="6858"/>
  <c r="H44" i="6858"/>
  <c r="H6" i="6858"/>
  <c r="H7" i="6858"/>
  <c r="H18" i="6858"/>
  <c r="H31" i="6858"/>
  <c r="H15" i="6858"/>
  <c r="H3" i="6858"/>
  <c r="H35" i="6858"/>
  <c r="H2" i="6858"/>
  <c r="H17" i="6858"/>
  <c r="B28" i="6858"/>
  <c r="H5" i="6858"/>
  <c r="H16" i="6858"/>
  <c r="H22" i="6858"/>
  <c r="C23" i="6858"/>
  <c r="H30" i="6858"/>
  <c r="H39" i="6858"/>
  <c r="H45" i="6858"/>
  <c r="H52" i="6858"/>
  <c r="H24" i="6858"/>
  <c r="H13" i="6858"/>
  <c r="H28" i="6858"/>
  <c r="H11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6" i="6852"/>
  <c r="P17" i="6852"/>
  <c r="C35" i="6852"/>
  <c r="B30" i="6852"/>
  <c r="C21" i="6852"/>
  <c r="B20" i="6852"/>
  <c r="H51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2" i="6848"/>
  <c r="P21" i="6850"/>
  <c r="P16" i="6850"/>
  <c r="C35" i="6850"/>
  <c r="B30" i="6850"/>
  <c r="C21" i="6850"/>
  <c r="B20" i="6850"/>
  <c r="H13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1" i="6848"/>
  <c r="P16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3" i="6850"/>
  <c r="C19" i="6850"/>
  <c r="B14" i="6848"/>
  <c r="C19" i="6854"/>
  <c r="H30" i="6854"/>
  <c r="H7" i="6854"/>
  <c r="H11" i="6854"/>
  <c r="C20" i="6854"/>
  <c r="H16" i="6854"/>
  <c r="H14" i="6854"/>
  <c r="H37" i="6854"/>
  <c r="C41" i="6854"/>
  <c r="H46" i="6854"/>
  <c r="H52" i="6854"/>
  <c r="H26" i="6854"/>
  <c r="C25" i="6854"/>
  <c r="C37" i="6854"/>
  <c r="H42" i="6854"/>
  <c r="H47" i="6854"/>
  <c r="H18" i="6854"/>
  <c r="H21" i="6854"/>
  <c r="H29" i="6854"/>
  <c r="H31" i="6854"/>
  <c r="H38" i="6854"/>
  <c r="H43" i="6854"/>
  <c r="C47" i="6854"/>
  <c r="C24" i="6854"/>
  <c r="H41" i="6854"/>
  <c r="H20" i="6854"/>
  <c r="H6" i="6854"/>
  <c r="C26" i="6854"/>
  <c r="C43" i="6854"/>
  <c r="H4" i="6854"/>
  <c r="H22" i="6854"/>
  <c r="C22" i="6854"/>
  <c r="H17" i="6854"/>
  <c r="H34" i="6854"/>
  <c r="C39" i="6854"/>
  <c r="H44" i="6854"/>
  <c r="C48" i="6854"/>
  <c r="H2" i="6854"/>
  <c r="H36" i="6854"/>
  <c r="C45" i="6854"/>
  <c r="H3" i="6854"/>
  <c r="H12" i="6854"/>
  <c r="H10" i="6854"/>
  <c r="H24" i="6854"/>
  <c r="H13" i="6854"/>
  <c r="H32" i="6854"/>
  <c r="H39" i="6854"/>
  <c r="H48" i="6854"/>
  <c r="H5" i="6854"/>
  <c r="H15" i="6854"/>
  <c r="H19" i="6854"/>
  <c r="H27" i="6854"/>
  <c r="B27" i="6854"/>
  <c r="H35" i="6854"/>
  <c r="H40" i="6854"/>
  <c r="C44" i="6854"/>
  <c r="H49" i="6854"/>
  <c r="H9" i="6854"/>
  <c r="H23" i="6854"/>
  <c r="H25" i="6854"/>
  <c r="C23" i="6854"/>
  <c r="B28" i="6854"/>
  <c r="C40" i="6854"/>
  <c r="H45" i="6854"/>
  <c r="H50" i="6854"/>
  <c r="C49" i="6854"/>
  <c r="H28" i="6854"/>
  <c r="H8" i="6854"/>
  <c r="H33" i="6854"/>
  <c r="C38" i="6854"/>
  <c r="C42" i="6854"/>
  <c r="C46" i="6854"/>
  <c r="H12" i="6852"/>
  <c r="H36" i="6852"/>
  <c r="H41" i="6852"/>
  <c r="H47" i="6852"/>
  <c r="H17" i="6852"/>
  <c r="H14" i="6852"/>
  <c r="H21" i="6852"/>
  <c r="C25" i="6852"/>
  <c r="H43" i="6852"/>
  <c r="H48" i="6852"/>
  <c r="C20" i="6852"/>
  <c r="H37" i="6852"/>
  <c r="H9" i="6852"/>
  <c r="C37" i="6852"/>
  <c r="H22" i="6852"/>
  <c r="H27" i="6852"/>
  <c r="H31" i="6852"/>
  <c r="H38" i="6852"/>
  <c r="C43" i="6852"/>
  <c r="C48" i="6852"/>
  <c r="C47" i="6852"/>
  <c r="H19" i="6852"/>
  <c r="C26" i="6852"/>
  <c r="H49" i="6852"/>
  <c r="H29" i="6852"/>
  <c r="H24" i="6852"/>
  <c r="H32" i="6852"/>
  <c r="H7" i="6852"/>
  <c r="H15" i="6852"/>
  <c r="H23" i="6852"/>
  <c r="C22" i="6852"/>
  <c r="H28" i="6852"/>
  <c r="H34" i="6852"/>
  <c r="C39" i="6852"/>
  <c r="C44" i="6852"/>
  <c r="C49" i="6852"/>
  <c r="C24" i="6852"/>
  <c r="H30" i="6852"/>
  <c r="H25" i="6852"/>
  <c r="H39" i="6852"/>
  <c r="H4" i="6852"/>
  <c r="H26" i="6852"/>
  <c r="B27" i="6852"/>
  <c r="H35" i="6852"/>
  <c r="H40" i="6852"/>
  <c r="H45" i="6852"/>
  <c r="H5" i="6852"/>
  <c r="H3" i="6852"/>
  <c r="C41" i="6852"/>
  <c r="H2" i="6852"/>
  <c r="H13" i="6852"/>
  <c r="H44" i="6852"/>
  <c r="H6" i="6852"/>
  <c r="H16" i="6852"/>
  <c r="H20" i="6852"/>
  <c r="H10" i="6852"/>
  <c r="H11" i="6852"/>
  <c r="C23" i="6852"/>
  <c r="B28" i="6852"/>
  <c r="C40" i="6852"/>
  <c r="C45" i="6852"/>
  <c r="H52" i="6852"/>
  <c r="H42" i="6852"/>
  <c r="H46" i="6852"/>
  <c r="H50" i="6852"/>
  <c r="H18" i="6852"/>
  <c r="H8" i="6852"/>
  <c r="H33" i="6852"/>
  <c r="C38" i="6852"/>
  <c r="C42" i="6852"/>
  <c r="C46" i="6852"/>
  <c r="C19" i="6848"/>
  <c r="H14" i="6850"/>
  <c r="H6" i="6850"/>
  <c r="H46" i="6850"/>
  <c r="H11" i="6850"/>
  <c r="H22" i="6850"/>
  <c r="H20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6" i="6850"/>
  <c r="C45" i="6850"/>
  <c r="H28" i="6850"/>
  <c r="H24" i="6850"/>
  <c r="H25" i="6850"/>
  <c r="H7" i="6850"/>
  <c r="H10" i="6850"/>
  <c r="H29" i="6850"/>
  <c r="H32" i="6850"/>
  <c r="H38" i="6850"/>
  <c r="C43" i="6850"/>
  <c r="H5" i="6850"/>
  <c r="H40" i="6850"/>
  <c r="C39" i="6850"/>
  <c r="H2" i="6850"/>
  <c r="H35" i="6850"/>
  <c r="H3" i="6850"/>
  <c r="H12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5" i="6850"/>
  <c r="C23" i="6850"/>
  <c r="B27" i="6850"/>
  <c r="H33" i="6850"/>
  <c r="H39" i="6850"/>
  <c r="H43" i="6850"/>
  <c r="H47" i="6850"/>
  <c r="H51" i="6850"/>
  <c r="H21" i="6850"/>
  <c r="H9" i="6850"/>
  <c r="H34" i="6850"/>
  <c r="C38" i="6850"/>
  <c r="C42" i="6850"/>
  <c r="C46" i="6850"/>
  <c r="C20" i="6848"/>
  <c r="H3" i="6848"/>
  <c r="H21" i="6848"/>
  <c r="H34" i="6848"/>
  <c r="C42" i="6848"/>
  <c r="H18" i="6848"/>
  <c r="H9" i="6848"/>
  <c r="H23" i="6848"/>
  <c r="B28" i="6848"/>
  <c r="H35" i="6848"/>
  <c r="H40" i="6848"/>
  <c r="H44" i="6848"/>
  <c r="H48" i="6848"/>
  <c r="H5" i="6848"/>
  <c r="H29" i="6848"/>
  <c r="H14" i="6848"/>
  <c r="H32" i="6848"/>
  <c r="H36" i="6848"/>
  <c r="C39" i="6848"/>
  <c r="C43" i="6848"/>
  <c r="C47" i="6848"/>
  <c r="H52" i="6848"/>
  <c r="H20" i="6848"/>
  <c r="H27" i="6848"/>
  <c r="C25" i="6848"/>
  <c r="H41" i="6848"/>
  <c r="H45" i="6848"/>
  <c r="H49" i="6848"/>
  <c r="H8" i="6848"/>
  <c r="C38" i="6848"/>
  <c r="C46" i="6848"/>
  <c r="H2" i="6848"/>
  <c r="H19" i="6848"/>
  <c r="C24" i="6848"/>
  <c r="H7" i="6848"/>
  <c r="H10" i="6848"/>
  <c r="H28" i="6848"/>
  <c r="H13" i="6848"/>
  <c r="H31" i="6848"/>
  <c r="H17" i="6848"/>
  <c r="H37" i="6848"/>
  <c r="C40" i="6848"/>
  <c r="C44" i="6848"/>
  <c r="C48" i="6848"/>
  <c r="H4" i="6848"/>
  <c r="H24" i="6848"/>
  <c r="C22" i="6848"/>
  <c r="C26" i="6848"/>
  <c r="H38" i="6848"/>
  <c r="H42" i="6848"/>
  <c r="H46" i="6848"/>
  <c r="H50" i="6848"/>
  <c r="H6" i="6848"/>
  <c r="H12" i="6848"/>
  <c r="H26" i="6848"/>
  <c r="H30" i="6848"/>
  <c r="H22" i="6848"/>
  <c r="H25" i="6848"/>
  <c r="C37" i="6848"/>
  <c r="C41" i="6848"/>
  <c r="C45" i="6848"/>
  <c r="C49" i="6848"/>
  <c r="H11" i="6848"/>
  <c r="H16" i="6848"/>
  <c r="H15" i="6848"/>
  <c r="C23" i="6848"/>
  <c r="B27" i="6848"/>
  <c r="H33" i="6848"/>
  <c r="H39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<sst xmlns="http://schemas.openxmlformats.org/spreadsheetml/2006/main" count="2913" uniqueCount="234">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</sst>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全体!$L$2:$L$149</c:f>
              <c:numCache>
                <c:formatCode>\+0.0;\-0.0;\±0</c:formatCode>
                <c:ptCount val="14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-40.816326530612244</c:v>
                </c:pt>
                <c:pt idx="1">
                  <c:v>41.666666666666664</c:v>
                </c:pt>
                <c:pt idx="2">
                  <c:v>-20.833333333333332</c:v>
                </c:pt>
                <c:pt idx="3">
                  <c:v>22.222222222222221</c:v>
                </c:pt>
                <c:pt idx="4">
                  <c:v>-25</c:v>
                </c:pt>
                <c:pt idx="5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29</c:v>
                </c:pt>
                <c:pt idx="1">
                  <c:v>77</c:v>
                </c:pt>
                <c:pt idx="2">
                  <c:v>69</c:v>
                </c:pt>
                <c:pt idx="3">
                  <c:v>61</c:v>
                </c:pt>
                <c:pt idx="4">
                  <c:v>45</c:v>
                </c:pt>
                <c:pt idx="5">
                  <c:v>33</c:v>
                </c:pt>
                <c:pt idx="6">
                  <c:v>22</c:v>
                </c:pt>
                <c:pt idx="7">
                  <c:v>11</c:v>
                </c:pt>
                <c:pt idx="8">
                  <c:v>7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全体!$M$2:$M$149</c:f>
              <c:numCache>
                <c:formatCode>0</c:formatCode>
                <c:ptCount val="148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だいち!$L$2:$L$41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2197.4358974358975</c:v>
                </c:pt>
                <c:pt idx="1">
                  <c:v>-1357.8947368421052</c:v>
                </c:pt>
                <c:pt idx="2">
                  <c:v>-1181.578947368421</c:v>
                </c:pt>
                <c:pt idx="3">
                  <c:v>1636.1111111111111</c:v>
                </c:pt>
                <c:pt idx="4">
                  <c:v>-778.125</c:v>
                </c:pt>
                <c:pt idx="5">
                  <c:v>-1207.1428571428571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</c:v>
                </c:pt>
                <c:pt idx="1">
                  <c:v>17</c:v>
                </c:pt>
                <c:pt idx="2">
                  <c:v>24</c:v>
                </c:pt>
                <c:pt idx="3">
                  <c:v>14</c:v>
                </c:pt>
                <c:pt idx="4">
                  <c:v>15</c:v>
                </c:pt>
                <c:pt idx="5">
                  <c:v>13</c:v>
                </c:pt>
                <c:pt idx="6">
                  <c:v>7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だいち!$M$2:$M$41</c:f>
              <c:numCache>
                <c:formatCode>0</c:formatCode>
                <c:ptCount val="40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-157.14285714285714</c:v>
                </c:pt>
                <c:pt idx="1">
                  <c:v>1723.0769230769231</c:v>
                </c:pt>
                <c:pt idx="2">
                  <c:v>-2100</c:v>
                </c:pt>
                <c:pt idx="3">
                  <c:v>-169.23076923076923</c:v>
                </c:pt>
                <c:pt idx="4">
                  <c:v>-1260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9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れんたろう!$M$2:$M$16</c:f>
              <c:numCache>
                <c:formatCode>0</c:formatCode>
                <c:ptCount val="15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-527.77777777777783</c:v>
                </c:pt>
                <c:pt idx="2">
                  <c:v>1511.1111111111111</c:v>
                </c:pt>
                <c:pt idx="3">
                  <c:v>211.11111111111111</c:v>
                </c:pt>
                <c:pt idx="4">
                  <c:v>-83.333333333333329</c:v>
                </c:pt>
                <c:pt idx="5">
                  <c:v>2053.3333333333335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たかの!$M$2:$M$20</c:f>
              <c:numCache>
                <c:formatCode>0</c:formatCode>
                <c:ptCount val="1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189.47368421052633</c:v>
                </c:pt>
                <c:pt idx="1">
                  <c:v>452.63157894736844</c:v>
                </c:pt>
                <c:pt idx="2">
                  <c:v>3657.8947368421054</c:v>
                </c:pt>
                <c:pt idx="3">
                  <c:v>-1035.2941176470588</c:v>
                </c:pt>
                <c:pt idx="4">
                  <c:v>2328.5714285714284</c:v>
                </c:pt>
                <c:pt idx="5">
                  <c:v>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9</c:v>
                </c:pt>
                <c:pt idx="3">
                  <c:v>9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いちかわ!$M$2:$M$21</c:f>
              <c:numCache>
                <c:formatCode>0</c:formatCode>
                <c:ptCount val="20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4.3478260869565215</c:v>
                </c:pt>
                <c:pt idx="1">
                  <c:v>1118.1818181818182</c:v>
                </c:pt>
                <c:pt idx="2">
                  <c:v>290.90909090909093</c:v>
                </c:pt>
                <c:pt idx="3">
                  <c:v>33.333333333333336</c:v>
                </c:pt>
                <c:pt idx="4">
                  <c:v>1926.3157894736842</c:v>
                </c:pt>
                <c:pt idx="5">
                  <c:v>-556.25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7</c:v>
                </c:pt>
                <c:pt idx="1">
                  <c:v>14</c:v>
                </c:pt>
                <c:pt idx="2">
                  <c:v>14</c:v>
                </c:pt>
                <c:pt idx="3">
                  <c:v>11</c:v>
                </c:pt>
                <c:pt idx="4">
                  <c:v>10</c:v>
                </c:pt>
                <c:pt idx="5">
                  <c:v>1</c:v>
                </c:pt>
                <c:pt idx="6">
                  <c:v>6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ただ!$M$2:$M$25</c:f>
              <c:numCache>
                <c:formatCode>0</c:formatCode>
                <c:ptCount val="24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ただ2!$B$3:$B$26</c:f>
              <c:numCache>
                <c:formatCode>\+0.0;\-0.0;\±0</c:formatCode>
                <c:ptCount val="24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ただ2!$C$3:$C$26</c:f>
              <c:numCache>
                <c:formatCode>\+0.0;\-0.0;\±0</c:formatCode>
                <c:ptCount val="24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  <c:pt idx="5">
                  <c:v>9.5599999999999987</c:v>
                </c:pt>
                <c:pt idx="6">
                  <c:v>4.3999999999999995</c:v>
                </c:pt>
                <c:pt idx="7">
                  <c:v>3.6999999999999997</c:v>
                </c:pt>
                <c:pt idx="8">
                  <c:v>0.1875</c:v>
                </c:pt>
                <c:pt idx="9">
                  <c:v>1.0777777777777777</c:v>
                </c:pt>
                <c:pt idx="10">
                  <c:v>0.91999999999999993</c:v>
                </c:pt>
                <c:pt idx="11">
                  <c:v>0.20909090909090899</c:v>
                </c:pt>
                <c:pt idx="12">
                  <c:v>0.13333333333333325</c:v>
                </c:pt>
                <c:pt idx="13">
                  <c:v>-3.7307692307692308</c:v>
                </c:pt>
                <c:pt idx="14">
                  <c:v>-1.4428571428571428</c:v>
                </c:pt>
                <c:pt idx="15">
                  <c:v>1.5000000000000002</c:v>
                </c:pt>
                <c:pt idx="16">
                  <c:v>4.03125</c:v>
                </c:pt>
                <c:pt idx="17">
                  <c:v>0.61764705882352944</c:v>
                </c:pt>
                <c:pt idx="18">
                  <c:v>-1.2388888888888887</c:v>
                </c:pt>
                <c:pt idx="19">
                  <c:v>0.44736842105263175</c:v>
                </c:pt>
                <c:pt idx="20">
                  <c:v>1.8400000000000003</c:v>
                </c:pt>
                <c:pt idx="21">
                  <c:v>3.1523809523809527</c:v>
                </c:pt>
                <c:pt idx="22">
                  <c:v>4.6818181818181817</c:v>
                </c:pt>
                <c:pt idx="23">
                  <c:v>5.4391304347826086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50087215836939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ただ2!$D$3:$D$26</c:f>
              <c:numCache>
                <c:formatCode>0.00\ "位"</c:formatCode>
                <c:ptCount val="24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  <c:pt idx="5">
                  <c:v>1.4</c:v>
                </c:pt>
                <c:pt idx="6">
                  <c:v>1.6666666666666667</c:v>
                </c:pt>
                <c:pt idx="7">
                  <c:v>1.7142857142857142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1.8125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1.8095238095238095</c:v>
                </c:pt>
                <c:pt idx="22">
                  <c:v>1.7727272727272727</c:v>
                </c:pt>
                <c:pt idx="23">
                  <c:v>1.7391304347826086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31972789115646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ただ2!$E$3:$E$26</c:f>
              <c:numCache>
                <c:formatCode>0.0%</c:formatCode>
                <c:ptCount val="2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0.47826086956521741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013605442176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ただ2!$F$3:$F$26</c:f>
              <c:numCache>
                <c:formatCode>0.0%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ただ2!$G$3:$G$26</c:f>
              <c:numCache>
                <c:formatCode>0.0%</c:formatCode>
                <c:ptCount val="24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  <c:pt idx="5">
                  <c:v>0.32608695652173914</c:v>
                </c:pt>
                <c:pt idx="6">
                  <c:v>0.30357142857142855</c:v>
                </c:pt>
                <c:pt idx="7">
                  <c:v>0.3125</c:v>
                </c:pt>
                <c:pt idx="8">
                  <c:v>0.31428571428571428</c:v>
                </c:pt>
                <c:pt idx="9">
                  <c:v>0.32926829268292684</c:v>
                </c:pt>
                <c:pt idx="10">
                  <c:v>0.32258064516129031</c:v>
                </c:pt>
                <c:pt idx="11">
                  <c:v>0.32323232323232326</c:v>
                </c:pt>
                <c:pt idx="12">
                  <c:v>0.31775700934579437</c:v>
                </c:pt>
                <c:pt idx="13">
                  <c:v>0.30973451327433627</c:v>
                </c:pt>
                <c:pt idx="14">
                  <c:v>0.30952380952380953</c:v>
                </c:pt>
                <c:pt idx="15">
                  <c:v>0.31617647058823528</c:v>
                </c:pt>
                <c:pt idx="16">
                  <c:v>0.32167832167832167</c:v>
                </c:pt>
                <c:pt idx="17">
                  <c:v>0.31292517006802723</c:v>
                </c:pt>
                <c:pt idx="18">
                  <c:v>0.30573248407643311</c:v>
                </c:pt>
                <c:pt idx="19">
                  <c:v>0.31288343558282211</c:v>
                </c:pt>
                <c:pt idx="20">
                  <c:v>0.31764705882352939</c:v>
                </c:pt>
                <c:pt idx="21">
                  <c:v>0.32960893854748602</c:v>
                </c:pt>
                <c:pt idx="22">
                  <c:v>0.33689839572192515</c:v>
                </c:pt>
                <c:pt idx="23">
                  <c:v>0.34183673469387754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478296478296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ただ2!$H$3:$H$26</c:f>
              <c:numCache>
                <c:formatCode>0.0%</c:formatCode>
                <c:ptCount val="24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  <c:pt idx="5">
                  <c:v>0.10869565217391304</c:v>
                </c:pt>
                <c:pt idx="6">
                  <c:v>0.10714285714285714</c:v>
                </c:pt>
                <c:pt idx="7">
                  <c:v>0.109375</c:v>
                </c:pt>
                <c:pt idx="8">
                  <c:v>0.11428571428571428</c:v>
                </c:pt>
                <c:pt idx="9">
                  <c:v>0.10975609756097561</c:v>
                </c:pt>
                <c:pt idx="10">
                  <c:v>0.11827956989247312</c:v>
                </c:pt>
                <c:pt idx="11">
                  <c:v>0.12121212121212122</c:v>
                </c:pt>
                <c:pt idx="12">
                  <c:v>0.12149532710280374</c:v>
                </c:pt>
                <c:pt idx="13">
                  <c:v>0.15044247787610621</c:v>
                </c:pt>
                <c:pt idx="14">
                  <c:v>0.15873015873015872</c:v>
                </c:pt>
                <c:pt idx="15">
                  <c:v>0.15441176470588236</c:v>
                </c:pt>
                <c:pt idx="16">
                  <c:v>0.14685314685314685</c:v>
                </c:pt>
                <c:pt idx="17">
                  <c:v>0.15646258503401361</c:v>
                </c:pt>
                <c:pt idx="18">
                  <c:v>0.15923566878980891</c:v>
                </c:pt>
                <c:pt idx="19">
                  <c:v>0.15950920245398773</c:v>
                </c:pt>
                <c:pt idx="20">
                  <c:v>0.1588235294117647</c:v>
                </c:pt>
                <c:pt idx="21">
                  <c:v>0.16201117318435754</c:v>
                </c:pt>
                <c:pt idx="22">
                  <c:v>0.15508021390374332</c:v>
                </c:pt>
                <c:pt idx="23">
                  <c:v>0.15816326530612246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076167076167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ただ2!$I$3:$I$26</c:f>
              <c:numCache>
                <c:formatCode>0</c:formatCode>
                <c:ptCount val="24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  <c:pt idx="5">
                  <c:v>6126.666666666667</c:v>
                </c:pt>
                <c:pt idx="6">
                  <c:v>6288.2352941176468</c:v>
                </c:pt>
                <c:pt idx="7">
                  <c:v>6405</c:v>
                </c:pt>
                <c:pt idx="8">
                  <c:v>6031.818181818182</c:v>
                </c:pt>
                <c:pt idx="9">
                  <c:v>6414.8148148148148</c:v>
                </c:pt>
                <c:pt idx="10">
                  <c:v>6493.333333333333</c:v>
                </c:pt>
                <c:pt idx="11">
                  <c:v>6315.625</c:v>
                </c:pt>
                <c:pt idx="12">
                  <c:v>6532.3529411764703</c:v>
                </c:pt>
                <c:pt idx="13">
                  <c:v>6460</c:v>
                </c:pt>
                <c:pt idx="14">
                  <c:v>6669.2307692307695</c:v>
                </c:pt>
                <c:pt idx="15">
                  <c:v>6951.1627906976746</c:v>
                </c:pt>
                <c:pt idx="16">
                  <c:v>7095.652173913043</c:v>
                </c:pt>
                <c:pt idx="17">
                  <c:v>7095.652173913043</c:v>
                </c:pt>
                <c:pt idx="18">
                  <c:v>7087.5</c:v>
                </c:pt>
                <c:pt idx="19">
                  <c:v>7294.1176470588234</c:v>
                </c:pt>
                <c:pt idx="20">
                  <c:v>7277.7777777777774</c:v>
                </c:pt>
                <c:pt idx="21">
                  <c:v>7345.7627118644068</c:v>
                </c:pt>
                <c:pt idx="22">
                  <c:v>7447.6190476190477</c:v>
                </c:pt>
                <c:pt idx="23">
                  <c:v>7525.373134328358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08.56353591160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ただ2!$J$3:$J$26</c:f>
              <c:numCache>
                <c:formatCode>0</c:formatCode>
                <c:ptCount val="24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  <c:pt idx="5">
                  <c:v>-8500</c:v>
                </c:pt>
                <c:pt idx="6">
                  <c:v>-7733.333333333333</c:v>
                </c:pt>
                <c:pt idx="7">
                  <c:v>-7371.4285714285716</c:v>
                </c:pt>
                <c:pt idx="8">
                  <c:v>-7450</c:v>
                </c:pt>
                <c:pt idx="9">
                  <c:v>-7955.5555555555557</c:v>
                </c:pt>
                <c:pt idx="10">
                  <c:v>-7327.272727272727</c:v>
                </c:pt>
                <c:pt idx="11">
                  <c:v>-7150</c:v>
                </c:pt>
                <c:pt idx="12">
                  <c:v>-7830.7692307692305</c:v>
                </c:pt>
                <c:pt idx="13">
                  <c:v>-7641.1764705882351</c:v>
                </c:pt>
                <c:pt idx="14">
                  <c:v>-6980</c:v>
                </c:pt>
                <c:pt idx="15">
                  <c:v>-6771.4285714285716</c:v>
                </c:pt>
                <c:pt idx="16">
                  <c:v>-6771.4285714285716</c:v>
                </c:pt>
                <c:pt idx="17">
                  <c:v>-7226.086956521739</c:v>
                </c:pt>
                <c:pt idx="18">
                  <c:v>-7180</c:v>
                </c:pt>
                <c:pt idx="19">
                  <c:v>-7211.5384615384619</c:v>
                </c:pt>
                <c:pt idx="20">
                  <c:v>-7051.8518518518522</c:v>
                </c:pt>
                <c:pt idx="21">
                  <c:v>-7089.6551724137935</c:v>
                </c:pt>
                <c:pt idx="22">
                  <c:v>-7089.6551724137935</c:v>
                </c:pt>
                <c:pt idx="23">
                  <c:v>-7277.4193548387093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235.7843137254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ただ2!$K$3:$K$26</c:f>
              <c:numCache>
                <c:formatCode>0.0%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122448979591836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ただ2!$L$3:$L$26</c:f>
              <c:numCache>
                <c:formatCode>0.0%</c:formatCode>
                <c:ptCount val="24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  <c:pt idx="5">
                  <c:v>0.21739130434782608</c:v>
                </c:pt>
                <c:pt idx="6">
                  <c:v>0.25</c:v>
                </c:pt>
                <c:pt idx="7">
                  <c:v>0.25</c:v>
                </c:pt>
                <c:pt idx="8">
                  <c:v>0.25714285714285712</c:v>
                </c:pt>
                <c:pt idx="9">
                  <c:v>0.24390243902439024</c:v>
                </c:pt>
                <c:pt idx="10">
                  <c:v>0.22580645161290322</c:v>
                </c:pt>
                <c:pt idx="11">
                  <c:v>0.23232323232323232</c:v>
                </c:pt>
                <c:pt idx="12">
                  <c:v>0.23364485981308411</c:v>
                </c:pt>
                <c:pt idx="13">
                  <c:v>0.23008849557522124</c:v>
                </c:pt>
                <c:pt idx="14">
                  <c:v>0.23015873015873015</c:v>
                </c:pt>
                <c:pt idx="15">
                  <c:v>0.22058823529411764</c:v>
                </c:pt>
                <c:pt idx="16">
                  <c:v>0.21678321678321677</c:v>
                </c:pt>
                <c:pt idx="17">
                  <c:v>0.21768707482993196</c:v>
                </c:pt>
                <c:pt idx="18">
                  <c:v>0.22292993630573249</c:v>
                </c:pt>
                <c:pt idx="19">
                  <c:v>0.23312883435582821</c:v>
                </c:pt>
                <c:pt idx="20">
                  <c:v>0.23529411764705882</c:v>
                </c:pt>
                <c:pt idx="21">
                  <c:v>0.22905027932960895</c:v>
                </c:pt>
                <c:pt idx="22">
                  <c:v>0.22459893048128343</c:v>
                </c:pt>
                <c:pt idx="23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329238329238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ただ2!$M$3:$M$26</c:f>
              <c:numCache>
                <c:formatCode>0.0%</c:formatCode>
                <c:ptCount val="24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  <c:pt idx="5">
                  <c:v>0.17391304347826086</c:v>
                </c:pt>
                <c:pt idx="6">
                  <c:v>0.21428571428571427</c:v>
                </c:pt>
                <c:pt idx="7">
                  <c:v>0.203125</c:v>
                </c:pt>
                <c:pt idx="8">
                  <c:v>0.2</c:v>
                </c:pt>
                <c:pt idx="9">
                  <c:v>0.1951219512195122</c:v>
                </c:pt>
                <c:pt idx="10">
                  <c:v>0.21505376344086022</c:v>
                </c:pt>
                <c:pt idx="11">
                  <c:v>0.21212121212121213</c:v>
                </c:pt>
                <c:pt idx="12">
                  <c:v>0.21495327102803738</c:v>
                </c:pt>
                <c:pt idx="13">
                  <c:v>0.24778761061946902</c:v>
                </c:pt>
                <c:pt idx="14">
                  <c:v>0.24603174603174602</c:v>
                </c:pt>
                <c:pt idx="15">
                  <c:v>0.26470588235294118</c:v>
                </c:pt>
                <c:pt idx="16">
                  <c:v>0.28671328671328672</c:v>
                </c:pt>
                <c:pt idx="17">
                  <c:v>0.2857142857142857</c:v>
                </c:pt>
                <c:pt idx="18">
                  <c:v>0.27388535031847133</c:v>
                </c:pt>
                <c:pt idx="19">
                  <c:v>0.26993865030674846</c:v>
                </c:pt>
                <c:pt idx="20">
                  <c:v>0.26470588235294118</c:v>
                </c:pt>
                <c:pt idx="21">
                  <c:v>0.26256983240223464</c:v>
                </c:pt>
                <c:pt idx="22">
                  <c:v>0.26203208556149732</c:v>
                </c:pt>
                <c:pt idx="23">
                  <c:v>0.25510204081632654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2424242424242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ただ2!$N$3:$N$26</c:f>
              <c:numCache>
                <c:formatCode>0.0%</c:formatCode>
                <c:ptCount val="24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  <c:pt idx="5">
                  <c:v>0.8</c:v>
                </c:pt>
                <c:pt idx="6">
                  <c:v>0.6428571428571429</c:v>
                </c:pt>
                <c:pt idx="7">
                  <c:v>0.625</c:v>
                </c:pt>
                <c:pt idx="8">
                  <c:v>0.61111111111111116</c:v>
                </c:pt>
                <c:pt idx="9">
                  <c:v>0.6</c:v>
                </c:pt>
                <c:pt idx="10">
                  <c:v>0.5714285714285714</c:v>
                </c:pt>
                <c:pt idx="11">
                  <c:v>0.56521739130434778</c:v>
                </c:pt>
                <c:pt idx="12">
                  <c:v>0.52</c:v>
                </c:pt>
                <c:pt idx="13">
                  <c:v>0.5</c:v>
                </c:pt>
                <c:pt idx="14">
                  <c:v>0.48275862068965519</c:v>
                </c:pt>
                <c:pt idx="15">
                  <c:v>0.5</c:v>
                </c:pt>
                <c:pt idx="16">
                  <c:v>0.4838709677419355</c:v>
                </c:pt>
                <c:pt idx="17">
                  <c:v>0.46875</c:v>
                </c:pt>
                <c:pt idx="18">
                  <c:v>0.42857142857142855</c:v>
                </c:pt>
                <c:pt idx="19">
                  <c:v>0.47368421052631576</c:v>
                </c:pt>
                <c:pt idx="20">
                  <c:v>0.47499999999999998</c:v>
                </c:pt>
                <c:pt idx="21">
                  <c:v>0.48780487804878048</c:v>
                </c:pt>
                <c:pt idx="22">
                  <c:v>0.5</c:v>
                </c:pt>
                <c:pt idx="23">
                  <c:v>0.52272727272727271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5463917525773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ただ2!$O$3:$O$26</c:f>
              <c:numCache>
                <c:formatCode>0.0%</c:formatCode>
                <c:ptCount val="24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  <c:pt idx="5">
                  <c:v>0.5</c:v>
                </c:pt>
                <c:pt idx="6">
                  <c:v>0.41666666666666669</c:v>
                </c:pt>
                <c:pt idx="7">
                  <c:v>0.46153846153846156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0.47619047619047616</c:v>
                </c:pt>
                <c:pt idx="12">
                  <c:v>0.43478260869565216</c:v>
                </c:pt>
                <c:pt idx="13">
                  <c:v>0.39285714285714285</c:v>
                </c:pt>
                <c:pt idx="14">
                  <c:v>0.41935483870967744</c:v>
                </c:pt>
                <c:pt idx="15">
                  <c:v>0.41666666666666669</c:v>
                </c:pt>
                <c:pt idx="16">
                  <c:v>0.43902439024390244</c:v>
                </c:pt>
                <c:pt idx="17">
                  <c:v>0.42857142857142855</c:v>
                </c:pt>
                <c:pt idx="18">
                  <c:v>0.44186046511627908</c:v>
                </c:pt>
                <c:pt idx="19">
                  <c:v>0.43181818181818182</c:v>
                </c:pt>
                <c:pt idx="20">
                  <c:v>0.44444444444444442</c:v>
                </c:pt>
                <c:pt idx="21">
                  <c:v>0.44680851063829785</c:v>
                </c:pt>
                <c:pt idx="22">
                  <c:v>0.46938775510204084</c:v>
                </c:pt>
                <c:pt idx="23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7027027027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ただ2!$P$3:$P$26</c:f>
              <c:numCache>
                <c:formatCode>0.0%</c:formatCode>
                <c:ptCount val="24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  <c:pt idx="6">
                  <c:v>0.41176470588235292</c:v>
                </c:pt>
                <c:pt idx="7">
                  <c:v>0.35</c:v>
                </c:pt>
                <c:pt idx="8">
                  <c:v>0.31818181818181818</c:v>
                </c:pt>
                <c:pt idx="9">
                  <c:v>0.40740740740740738</c:v>
                </c:pt>
                <c:pt idx="10">
                  <c:v>0.4</c:v>
                </c:pt>
                <c:pt idx="11">
                  <c:v>0.40625</c:v>
                </c:pt>
                <c:pt idx="12">
                  <c:v>0.41176470588235292</c:v>
                </c:pt>
                <c:pt idx="13">
                  <c:v>0.42857142857142855</c:v>
                </c:pt>
                <c:pt idx="14">
                  <c:v>0.41025641025641024</c:v>
                </c:pt>
                <c:pt idx="15">
                  <c:v>0.39534883720930231</c:v>
                </c:pt>
                <c:pt idx="16">
                  <c:v>0.39130434782608697</c:v>
                </c:pt>
                <c:pt idx="17">
                  <c:v>0.39130434782608697</c:v>
                </c:pt>
                <c:pt idx="18">
                  <c:v>0.39583333333333331</c:v>
                </c:pt>
                <c:pt idx="19">
                  <c:v>0.39215686274509803</c:v>
                </c:pt>
                <c:pt idx="20">
                  <c:v>0.37037037037037035</c:v>
                </c:pt>
                <c:pt idx="21">
                  <c:v>0.3559322033898305</c:v>
                </c:pt>
                <c:pt idx="22">
                  <c:v>0.36507936507936506</c:v>
                </c:pt>
                <c:pt idx="23">
                  <c:v>0.37313432835820898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701657458563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20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6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6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6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6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39</v>
      </c>
      <c r="C2" s="120">
        <v>1842.3339395535957</v>
      </c>
    </row>
    <row r="3" spans="1:3" x14ac:dyDescent="0.45">
      <c r="A3" t="s">
        <v>163</v>
      </c>
      <c r="B3" s="120">
        <v>14</v>
      </c>
      <c r="C3" s="120">
        <v>1653.1699313523677</v>
      </c>
    </row>
    <row r="4" spans="1:3" x14ac:dyDescent="0.45">
      <c r="A4" t="s">
        <v>139</v>
      </c>
      <c r="B4" s="120">
        <v>147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23</v>
      </c>
      <c r="C6" s="120">
        <v>1517.1288342047803</v>
      </c>
    </row>
    <row r="7" spans="1:3" x14ac:dyDescent="0.45">
      <c r="A7" t="s">
        <v>211</v>
      </c>
      <c r="B7" s="120">
        <v>19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18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0.78115063936505258</v>
      </c>
      <c r="C2" s="144"/>
      <c r="D2" s="143">
        <v>0.18253345045379959</v>
      </c>
      <c r="E2" s="144"/>
      <c r="F2" s="143">
        <v>6.2002251383655164E-2</v>
      </c>
      <c r="G2" s="144"/>
      <c r="H2" s="145"/>
      <c r="I2" s="146"/>
      <c r="J2" s="143">
        <v>-0.10256438652571961</v>
      </c>
      <c r="K2" s="144"/>
      <c r="L2" s="143">
        <v>4.2963915338047443E-2</v>
      </c>
      <c r="M2" s="144"/>
      <c r="N2" s="143">
        <v>-0.22902342362116582</v>
      </c>
      <c r="O2" s="144"/>
      <c r="P2" s="143">
        <v>0.19581526587477907</v>
      </c>
      <c r="Q2" s="144"/>
      <c r="R2" s="143">
        <v>-0.1733392557890768</v>
      </c>
      <c r="S2" s="144"/>
      <c r="T2" s="143">
        <v>0.64804525399086399</v>
      </c>
      <c r="U2" s="144"/>
      <c r="V2" s="143">
        <v>-0.10336610769948465</v>
      </c>
      <c r="W2" s="144"/>
      <c r="X2" s="143">
        <v>-0.3180376908168791</v>
      </c>
      <c r="Y2" s="144"/>
      <c r="Z2" s="143">
        <v>-5.0917606609288853E-2</v>
      </c>
      <c r="AA2" s="144"/>
      <c r="AB2" s="143">
        <v>-0.3476201437879145</v>
      </c>
      <c r="AC2" s="144"/>
      <c r="AD2" s="143">
        <v>0.62620796417998303</v>
      </c>
      <c r="AE2" s="144"/>
      <c r="AF2" s="143">
        <v>-6.1848863579746095E-2</v>
      </c>
      <c r="AG2" s="144"/>
      <c r="AH2" s="143">
        <v>0.22264786337600989</v>
      </c>
      <c r="AI2" s="144"/>
      <c r="AJ2" s="143">
        <v>0.84016348049160283</v>
      </c>
      <c r="AK2" s="144"/>
    </row>
    <row r="3" spans="1:37" x14ac:dyDescent="0.45">
      <c r="A3" s="38">
        <v>1</v>
      </c>
      <c r="B3" s="41" t="s">
        <v>139</v>
      </c>
      <c r="C3" s="113">
        <v>49</v>
      </c>
      <c r="D3" s="39" t="s">
        <v>211</v>
      </c>
      <c r="E3" s="40">
        <v>126.80000000000001</v>
      </c>
      <c r="F3" s="41" t="s">
        <v>211</v>
      </c>
      <c r="G3" s="60">
        <v>6.6736842105263161</v>
      </c>
      <c r="H3" s="41" t="s">
        <v>126</v>
      </c>
      <c r="I3" s="45">
        <v>1805.9777591809166</v>
      </c>
      <c r="J3" s="41" t="s">
        <v>192</v>
      </c>
      <c r="K3" s="42">
        <v>1.7391304347826086</v>
      </c>
      <c r="L3" s="41" t="s">
        <v>195</v>
      </c>
      <c r="M3" s="43">
        <v>0.5</v>
      </c>
      <c r="N3" s="41" t="s">
        <v>192</v>
      </c>
      <c r="O3" s="43">
        <v>0.21739130434782608</v>
      </c>
      <c r="P3" s="41" t="s">
        <v>192</v>
      </c>
      <c r="Q3" s="44">
        <v>0.34183673469387754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190</v>
      </c>
      <c r="AA3" s="44">
        <v>0.27272727272727271</v>
      </c>
      <c r="AB3" s="41" t="s">
        <v>189</v>
      </c>
      <c r="AC3" s="44">
        <v>0.32075471698113206</v>
      </c>
      <c r="AD3" s="41" t="s">
        <v>195</v>
      </c>
      <c r="AE3" s="44">
        <v>0.77777777777777779</v>
      </c>
      <c r="AF3" s="41" t="s">
        <v>211</v>
      </c>
      <c r="AG3" s="44">
        <v>0.58974358974358976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39</v>
      </c>
      <c r="D4" s="47" t="s">
        <v>192</v>
      </c>
      <c r="E4" s="48">
        <v>125.1</v>
      </c>
      <c r="F4" s="49" t="s">
        <v>192</v>
      </c>
      <c r="G4" s="61">
        <v>5.4391304347826086</v>
      </c>
      <c r="H4" s="49" t="s">
        <v>163</v>
      </c>
      <c r="I4" s="53">
        <v>1630.1668189337324</v>
      </c>
      <c r="J4" s="49" t="s">
        <v>211</v>
      </c>
      <c r="K4" s="50">
        <v>1.8421052631578947</v>
      </c>
      <c r="L4" s="49" t="s">
        <v>192</v>
      </c>
      <c r="M4" s="51">
        <v>0.47826086956521741</v>
      </c>
      <c r="N4" s="49" t="s">
        <v>211</v>
      </c>
      <c r="O4" s="51">
        <v>0.26315789473684209</v>
      </c>
      <c r="P4" s="49" t="s">
        <v>211</v>
      </c>
      <c r="Q4" s="52">
        <v>0.33774834437086093</v>
      </c>
      <c r="R4" s="49" t="s">
        <v>195</v>
      </c>
      <c r="S4" s="52">
        <v>0.1388888888888889</v>
      </c>
      <c r="T4" s="49" t="s">
        <v>163</v>
      </c>
      <c r="U4" s="53">
        <v>9070.967741935483</v>
      </c>
      <c r="V4" s="49" t="s">
        <v>195</v>
      </c>
      <c r="W4" s="53">
        <v>-6380</v>
      </c>
      <c r="X4" s="49" t="s">
        <v>189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126</v>
      </c>
      <c r="AE4" s="52">
        <v>0.58227848101265822</v>
      </c>
      <c r="AF4" s="49" t="s">
        <v>195</v>
      </c>
      <c r="AG4" s="52">
        <v>0.5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23</v>
      </c>
      <c r="D5" s="47" t="s">
        <v>126</v>
      </c>
      <c r="E5" s="48">
        <v>89.299999999999983</v>
      </c>
      <c r="F5" s="49" t="s">
        <v>126</v>
      </c>
      <c r="G5" s="61">
        <v>2.2897435897435892</v>
      </c>
      <c r="H5" s="49" t="s">
        <v>139</v>
      </c>
      <c r="I5" s="53">
        <v>1597.5925947845499</v>
      </c>
      <c r="J5" s="49" t="s">
        <v>189</v>
      </c>
      <c r="K5" s="50">
        <v>1.9444444444444444</v>
      </c>
      <c r="L5" s="49" t="s">
        <v>211</v>
      </c>
      <c r="M5" s="51">
        <v>0.42105263157894735</v>
      </c>
      <c r="N5" s="49" t="s">
        <v>189</v>
      </c>
      <c r="O5" s="51">
        <v>0.27777777777777779</v>
      </c>
      <c r="P5" s="49" t="s">
        <v>126</v>
      </c>
      <c r="Q5" s="52">
        <v>0.31347962382445144</v>
      </c>
      <c r="R5" s="49" t="s">
        <v>211</v>
      </c>
      <c r="S5" s="52">
        <v>0.15231788079470199</v>
      </c>
      <c r="T5" s="49" t="s">
        <v>195</v>
      </c>
      <c r="U5" s="53">
        <v>9022.2222222222226</v>
      </c>
      <c r="V5" s="49" t="s">
        <v>126</v>
      </c>
      <c r="W5" s="53">
        <v>-6398.2142857142853</v>
      </c>
      <c r="X5" s="49" t="s">
        <v>195</v>
      </c>
      <c r="Y5" s="51">
        <v>0</v>
      </c>
      <c r="Z5" s="49" t="s">
        <v>189</v>
      </c>
      <c r="AA5" s="52">
        <v>0.25157232704402516</v>
      </c>
      <c r="AB5" s="49" t="s">
        <v>221</v>
      </c>
      <c r="AC5" s="52">
        <v>0.27777777777777779</v>
      </c>
      <c r="AD5" s="49" t="s">
        <v>211</v>
      </c>
      <c r="AE5" s="52">
        <v>0.54545454545454541</v>
      </c>
      <c r="AF5" s="49" t="s">
        <v>192</v>
      </c>
      <c r="AG5" s="52">
        <v>0.48</v>
      </c>
      <c r="AH5" s="49" t="s">
        <v>189</v>
      </c>
      <c r="AI5" s="52">
        <v>0.5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211</v>
      </c>
      <c r="C6" s="114">
        <v>19</v>
      </c>
      <c r="D6" s="47" t="s">
        <v>189</v>
      </c>
      <c r="E6" s="48">
        <v>15.100000000000009</v>
      </c>
      <c r="F6" s="49" t="s">
        <v>189</v>
      </c>
      <c r="G6" s="61">
        <v>0.83888888888888935</v>
      </c>
      <c r="H6" s="49" t="s">
        <v>192</v>
      </c>
      <c r="I6" s="53">
        <v>1549.7522919810183</v>
      </c>
      <c r="J6" s="49" t="s">
        <v>139</v>
      </c>
      <c r="K6" s="50">
        <v>1.9931972789115646</v>
      </c>
      <c r="L6" s="49" t="s">
        <v>163</v>
      </c>
      <c r="M6" s="51">
        <v>0.35714285714285715</v>
      </c>
      <c r="N6" s="49" t="s">
        <v>190</v>
      </c>
      <c r="O6" s="51">
        <v>0.3</v>
      </c>
      <c r="P6" s="49" t="s">
        <v>189</v>
      </c>
      <c r="Q6" s="52">
        <v>0.30188679245283018</v>
      </c>
      <c r="R6" s="49" t="s">
        <v>192</v>
      </c>
      <c r="S6" s="52">
        <v>0.15816326530612246</v>
      </c>
      <c r="T6" s="49" t="s">
        <v>126</v>
      </c>
      <c r="U6" s="53">
        <v>8583</v>
      </c>
      <c r="V6" s="49" t="s">
        <v>189</v>
      </c>
      <c r="W6" s="53">
        <v>-6669.2307692307695</v>
      </c>
      <c r="X6" s="49" t="s">
        <v>193</v>
      </c>
      <c r="Y6" s="51">
        <v>0</v>
      </c>
      <c r="Z6" s="49" t="s">
        <v>195</v>
      </c>
      <c r="AA6" s="52">
        <v>0.25</v>
      </c>
      <c r="AB6" s="49" t="s">
        <v>211</v>
      </c>
      <c r="AC6" s="52">
        <v>0.25827814569536423</v>
      </c>
      <c r="AD6" s="49" t="s">
        <v>190</v>
      </c>
      <c r="AE6" s="52">
        <v>0.52380952380952384</v>
      </c>
      <c r="AF6" s="49" t="s">
        <v>189</v>
      </c>
      <c r="AG6" s="52">
        <v>0.47058823529411764</v>
      </c>
      <c r="AH6" s="49" t="s">
        <v>126</v>
      </c>
      <c r="AI6" s="52">
        <v>0.49</v>
      </c>
      <c r="AJ6" s="49" t="s">
        <v>190</v>
      </c>
      <c r="AK6" s="56">
        <v>80000</v>
      </c>
    </row>
    <row r="7" spans="1:37" x14ac:dyDescent="0.45">
      <c r="A7" s="46">
        <v>5</v>
      </c>
      <c r="B7" s="49" t="s">
        <v>189</v>
      </c>
      <c r="C7" s="114">
        <v>18</v>
      </c>
      <c r="D7" s="47" t="s">
        <v>139</v>
      </c>
      <c r="E7" s="48">
        <v>2.1316282072803006E-14</v>
      </c>
      <c r="F7" s="49" t="s">
        <v>139</v>
      </c>
      <c r="G7" s="61">
        <v>1.450087215836939E-16</v>
      </c>
      <c r="H7" s="49" t="s">
        <v>211</v>
      </c>
      <c r="I7" s="53">
        <v>1520.8008041195092</v>
      </c>
      <c r="J7" s="49" t="s">
        <v>195</v>
      </c>
      <c r="K7" s="50">
        <v>2</v>
      </c>
      <c r="L7" s="49" t="s">
        <v>139</v>
      </c>
      <c r="M7" s="51">
        <v>0.3401360544217687</v>
      </c>
      <c r="N7" s="49" t="s">
        <v>126</v>
      </c>
      <c r="O7" s="51">
        <v>0.33333333333333331</v>
      </c>
      <c r="P7" s="49" t="s">
        <v>139</v>
      </c>
      <c r="Q7" s="52">
        <v>0.29647829647829649</v>
      </c>
      <c r="R7" s="49" t="s">
        <v>189</v>
      </c>
      <c r="S7" s="52">
        <v>0.16352201257861634</v>
      </c>
      <c r="T7" s="49" t="s">
        <v>193</v>
      </c>
      <c r="U7" s="53">
        <v>8212.5</v>
      </c>
      <c r="V7" s="49" t="s">
        <v>139</v>
      </c>
      <c r="W7" s="53">
        <v>-7235.7843137254904</v>
      </c>
      <c r="X7" s="49" t="s">
        <v>221</v>
      </c>
      <c r="Y7" s="51">
        <v>0</v>
      </c>
      <c r="Z7" s="49" t="s">
        <v>126</v>
      </c>
      <c r="AA7" s="52">
        <v>0.2476489028213166</v>
      </c>
      <c r="AB7" s="49" t="s">
        <v>192</v>
      </c>
      <c r="AC7" s="52">
        <v>0.25510204081632654</v>
      </c>
      <c r="AD7" s="49" t="s">
        <v>192</v>
      </c>
      <c r="AE7" s="52">
        <v>0.52272727272727271</v>
      </c>
      <c r="AF7" s="49" t="s">
        <v>139</v>
      </c>
      <c r="AG7" s="52">
        <v>0.45270270270270269</v>
      </c>
      <c r="AH7" s="49" t="s">
        <v>216</v>
      </c>
      <c r="AI7" s="52">
        <v>0.44</v>
      </c>
      <c r="AJ7" s="49" t="s">
        <v>163</v>
      </c>
      <c r="AK7" s="56">
        <v>74600</v>
      </c>
    </row>
    <row r="8" spans="1:37" x14ac:dyDescent="0.45">
      <c r="A8" s="46">
        <v>6</v>
      </c>
      <c r="B8" s="49" t="s">
        <v>163</v>
      </c>
      <c r="C8" s="114">
        <v>14</v>
      </c>
      <c r="D8" s="47" t="s">
        <v>221</v>
      </c>
      <c r="E8" s="48">
        <v>-13.5</v>
      </c>
      <c r="F8" s="49" t="s">
        <v>195</v>
      </c>
      <c r="G8" s="61">
        <v>-3.6749999999999989</v>
      </c>
      <c r="H8" s="49" t="s">
        <v>190</v>
      </c>
      <c r="I8" s="53">
        <v>1519.2183815819624</v>
      </c>
      <c r="J8" s="49" t="s">
        <v>126</v>
      </c>
      <c r="K8" s="50">
        <v>2.0256410256410255</v>
      </c>
      <c r="L8" s="49" t="s">
        <v>189</v>
      </c>
      <c r="M8" s="51">
        <v>0.33333333333333331</v>
      </c>
      <c r="N8" s="49" t="s">
        <v>139</v>
      </c>
      <c r="O8" s="51">
        <v>0.33333333333333331</v>
      </c>
      <c r="P8" s="49" t="s">
        <v>163</v>
      </c>
      <c r="Q8" s="52">
        <v>0.26050420168067229</v>
      </c>
      <c r="R8" s="49" t="s">
        <v>221</v>
      </c>
      <c r="S8" s="52">
        <v>0.16666666666666666</v>
      </c>
      <c r="T8" s="49" t="s">
        <v>211</v>
      </c>
      <c r="U8" s="53">
        <v>8115.6862745098042</v>
      </c>
      <c r="V8" s="49" t="s">
        <v>192</v>
      </c>
      <c r="W8" s="53">
        <v>-7277.4193548387093</v>
      </c>
      <c r="X8" s="49" t="s">
        <v>126</v>
      </c>
      <c r="Y8" s="51">
        <v>5.128205128205128E-2</v>
      </c>
      <c r="Z8" s="49" t="s">
        <v>139</v>
      </c>
      <c r="AA8" s="52">
        <v>0.23832923832923833</v>
      </c>
      <c r="AB8" s="49" t="s">
        <v>139</v>
      </c>
      <c r="AC8" s="52">
        <v>0.24242424242424243</v>
      </c>
      <c r="AD8" s="49" t="s">
        <v>139</v>
      </c>
      <c r="AE8" s="52">
        <v>0.51546391752577314</v>
      </c>
      <c r="AF8" s="49" t="s">
        <v>126</v>
      </c>
      <c r="AG8" s="52">
        <v>0.45205479452054792</v>
      </c>
      <c r="AH8" s="49" t="s">
        <v>139</v>
      </c>
      <c r="AI8" s="52">
        <v>0.43370165745856354</v>
      </c>
      <c r="AJ8" s="49" t="s">
        <v>216</v>
      </c>
      <c r="AK8" s="56">
        <v>74600</v>
      </c>
    </row>
    <row r="9" spans="1:37" x14ac:dyDescent="0.45">
      <c r="A9" s="46">
        <v>7</v>
      </c>
      <c r="B9" s="49" t="s">
        <v>216</v>
      </c>
      <c r="C9" s="114">
        <v>14</v>
      </c>
      <c r="D9" s="47" t="s">
        <v>195</v>
      </c>
      <c r="E9" s="48">
        <v>-14.699999999999996</v>
      </c>
      <c r="F9" s="49" t="s">
        <v>190</v>
      </c>
      <c r="G9" s="61">
        <v>-5.5</v>
      </c>
      <c r="H9" s="49" t="s">
        <v>221</v>
      </c>
      <c r="I9" s="53">
        <v>1497.379788</v>
      </c>
      <c r="J9" s="49" t="s">
        <v>163</v>
      </c>
      <c r="K9" s="50">
        <v>2.1428571428571428</v>
      </c>
      <c r="L9" s="49" t="s">
        <v>126</v>
      </c>
      <c r="M9" s="51">
        <v>0.30769230769230771</v>
      </c>
      <c r="N9" s="49" t="s">
        <v>216</v>
      </c>
      <c r="O9" s="51">
        <v>0.42857142857142855</v>
      </c>
      <c r="P9" s="49" t="s">
        <v>195</v>
      </c>
      <c r="Q9" s="52">
        <v>0.25</v>
      </c>
      <c r="R9" s="49" t="s">
        <v>139</v>
      </c>
      <c r="S9" s="52">
        <v>0.16707616707616707</v>
      </c>
      <c r="T9" s="49" t="s">
        <v>139</v>
      </c>
      <c r="U9" s="53">
        <v>8008.5635359116022</v>
      </c>
      <c r="V9" s="49" t="s">
        <v>211</v>
      </c>
      <c r="W9" s="53">
        <v>-7365.217391304348</v>
      </c>
      <c r="X9" s="49" t="s">
        <v>211</v>
      </c>
      <c r="Y9" s="51">
        <v>5.2631578947368418E-2</v>
      </c>
      <c r="Z9" s="49" t="s">
        <v>216</v>
      </c>
      <c r="AA9" s="52">
        <v>0.23423423423423423</v>
      </c>
      <c r="AB9" s="49" t="s">
        <v>126</v>
      </c>
      <c r="AC9" s="52">
        <v>0.22884012539184953</v>
      </c>
      <c r="AD9" s="49" t="s">
        <v>163</v>
      </c>
      <c r="AE9" s="52">
        <v>0.46153846153846156</v>
      </c>
      <c r="AF9" s="49" t="s">
        <v>190</v>
      </c>
      <c r="AG9" s="52">
        <v>0.4375</v>
      </c>
      <c r="AH9" s="49" t="s">
        <v>211</v>
      </c>
      <c r="AI9" s="52">
        <v>0.39215686274509803</v>
      </c>
      <c r="AJ9" s="49" t="s">
        <v>192</v>
      </c>
      <c r="AK9" s="56">
        <v>67700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193</v>
      </c>
      <c r="E10" s="48">
        <v>-51.699999999999996</v>
      </c>
      <c r="F10" s="49" t="s">
        <v>221</v>
      </c>
      <c r="G10" s="61">
        <v>-6.75</v>
      </c>
      <c r="H10" s="49" t="s">
        <v>216</v>
      </c>
      <c r="I10" s="53">
        <v>1488.317150804671</v>
      </c>
      <c r="J10" s="49" t="s">
        <v>216</v>
      </c>
      <c r="K10" s="50">
        <v>2.1428571428571428</v>
      </c>
      <c r="L10" s="49" t="s">
        <v>216</v>
      </c>
      <c r="M10" s="51">
        <v>0.2857142857142857</v>
      </c>
      <c r="N10" s="49" t="s">
        <v>163</v>
      </c>
      <c r="O10" s="51">
        <v>0.5</v>
      </c>
      <c r="P10" s="49" t="s">
        <v>190</v>
      </c>
      <c r="Q10" s="52">
        <v>0.24675324675324675</v>
      </c>
      <c r="R10" s="49" t="s">
        <v>126</v>
      </c>
      <c r="S10" s="52">
        <v>0.17554858934169279</v>
      </c>
      <c r="T10" s="49" t="s">
        <v>216</v>
      </c>
      <c r="U10" s="53">
        <v>7796</v>
      </c>
      <c r="V10" s="49" t="s">
        <v>216</v>
      </c>
      <c r="W10" s="53">
        <v>-7654.166666666667</v>
      </c>
      <c r="X10" s="49" t="s">
        <v>139</v>
      </c>
      <c r="Y10" s="51">
        <v>6.1224489795918366E-2</v>
      </c>
      <c r="Z10" s="49" t="s">
        <v>192</v>
      </c>
      <c r="AA10" s="52">
        <v>0.22448979591836735</v>
      </c>
      <c r="AB10" s="49" t="s">
        <v>163</v>
      </c>
      <c r="AC10" s="52">
        <v>0.22689075630252101</v>
      </c>
      <c r="AD10" s="49" t="s">
        <v>216</v>
      </c>
      <c r="AE10" s="52">
        <v>0.46153846153846156</v>
      </c>
      <c r="AF10" s="49" t="s">
        <v>193</v>
      </c>
      <c r="AG10" s="52">
        <v>0.4</v>
      </c>
      <c r="AH10" s="49" t="s">
        <v>163</v>
      </c>
      <c r="AI10" s="52">
        <v>0.38709677419354838</v>
      </c>
      <c r="AJ10" s="49" t="s">
        <v>189</v>
      </c>
      <c r="AK10" s="56">
        <v>61300</v>
      </c>
    </row>
    <row r="11" spans="1:37" x14ac:dyDescent="0.45">
      <c r="A11" s="46">
        <v>9</v>
      </c>
      <c r="B11" s="49" t="s">
        <v>195</v>
      </c>
      <c r="C11" s="114">
        <v>4</v>
      </c>
      <c r="D11" s="47" t="s">
        <v>190</v>
      </c>
      <c r="E11" s="48">
        <v>-55</v>
      </c>
      <c r="F11" s="49" t="s">
        <v>216</v>
      </c>
      <c r="G11" s="61">
        <v>-6.8285714285714283</v>
      </c>
      <c r="H11" s="49" t="s">
        <v>189</v>
      </c>
      <c r="I11" s="53">
        <v>1450.6884191024681</v>
      </c>
      <c r="J11" s="49" t="s">
        <v>190</v>
      </c>
      <c r="K11" s="50">
        <v>2.2000000000000002</v>
      </c>
      <c r="L11" s="49" t="s">
        <v>193</v>
      </c>
      <c r="M11" s="51">
        <v>0.25</v>
      </c>
      <c r="N11" s="49" t="s">
        <v>195</v>
      </c>
      <c r="O11" s="51">
        <v>0.5</v>
      </c>
      <c r="P11" s="49" t="s">
        <v>193</v>
      </c>
      <c r="Q11" s="52">
        <v>0.22857142857142856</v>
      </c>
      <c r="R11" s="49" t="s">
        <v>163</v>
      </c>
      <c r="S11" s="52">
        <v>0.19327731092436976</v>
      </c>
      <c r="T11" s="49" t="s">
        <v>192</v>
      </c>
      <c r="U11" s="53">
        <v>7525.373134328358</v>
      </c>
      <c r="V11" s="49" t="s">
        <v>163</v>
      </c>
      <c r="W11" s="53">
        <v>-9169.565217391304</v>
      </c>
      <c r="X11" s="49" t="s">
        <v>216</v>
      </c>
      <c r="Y11" s="51">
        <v>7.1428571428571425E-2</v>
      </c>
      <c r="Z11" s="49" t="s">
        <v>221</v>
      </c>
      <c r="AA11" s="52">
        <v>0.22222222222222221</v>
      </c>
      <c r="AB11" s="49" t="s">
        <v>190</v>
      </c>
      <c r="AC11" s="52">
        <v>0.20779220779220781</v>
      </c>
      <c r="AD11" s="49" t="s">
        <v>189</v>
      </c>
      <c r="AE11" s="52">
        <v>0.45</v>
      </c>
      <c r="AF11" s="49" t="s">
        <v>221</v>
      </c>
      <c r="AG11" s="52">
        <v>0.4</v>
      </c>
      <c r="AH11" s="49" t="s">
        <v>192</v>
      </c>
      <c r="AI11" s="52">
        <v>0.37313432835820898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216</v>
      </c>
      <c r="E12" s="48">
        <v>-95.6</v>
      </c>
      <c r="F12" s="49" t="s">
        <v>163</v>
      </c>
      <c r="G12" s="61">
        <v>-8.9857142857142893</v>
      </c>
      <c r="H12" s="49" t="s">
        <v>195</v>
      </c>
      <c r="I12" s="53">
        <v>1393.6019525837494</v>
      </c>
      <c r="J12" s="49" t="s">
        <v>193</v>
      </c>
      <c r="K12" s="50">
        <v>2.25</v>
      </c>
      <c r="L12" s="49" t="s">
        <v>190</v>
      </c>
      <c r="M12" s="51">
        <v>0.1</v>
      </c>
      <c r="N12" s="49" t="s">
        <v>193</v>
      </c>
      <c r="O12" s="51">
        <v>0.5</v>
      </c>
      <c r="P12" s="49" t="s">
        <v>216</v>
      </c>
      <c r="Q12" s="52">
        <v>0.22522522522522523</v>
      </c>
      <c r="R12" s="49" t="s">
        <v>216</v>
      </c>
      <c r="S12" s="52">
        <v>0.21621621621621623</v>
      </c>
      <c r="T12" s="49" t="s">
        <v>189</v>
      </c>
      <c r="U12" s="53">
        <v>6945.833333333333</v>
      </c>
      <c r="V12" s="49" t="s">
        <v>193</v>
      </c>
      <c r="W12" s="53">
        <v>-9387.5</v>
      </c>
      <c r="X12" s="49" t="s">
        <v>192</v>
      </c>
      <c r="Y12" s="51">
        <v>8.6956521739130432E-2</v>
      </c>
      <c r="Z12" s="49" t="s">
        <v>211</v>
      </c>
      <c r="AA12" s="52">
        <v>0.2185430463576159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163</v>
      </c>
      <c r="AG12" s="52">
        <v>0.33333333333333331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163</v>
      </c>
      <c r="E13" s="48">
        <v>-125.80000000000004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221</v>
      </c>
      <c r="Q13" s="52">
        <v>0.22222222222222221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163</v>
      </c>
      <c r="Y13" s="51">
        <v>0.21428571428571427</v>
      </c>
      <c r="Z13" s="49" t="s">
        <v>163</v>
      </c>
      <c r="AA13" s="52">
        <v>0.21848739495798319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149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147</v>
      </c>
      <c r="C2" s="134"/>
      <c r="E2" s="26" t="s">
        <v>66</v>
      </c>
      <c r="F2" s="23" t="s">
        <v>22</v>
      </c>
      <c r="G2" s="11">
        <v>286</v>
      </c>
      <c r="H2" s="87">
        <f>IF(B$20=0,0,G2/B$20)</f>
        <v>0.79005524861878451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-40.816326530612244</v>
      </c>
      <c r="Q2" s="76">
        <v>147</v>
      </c>
      <c r="R2" s="63">
        <v>-6000</v>
      </c>
    </row>
    <row r="3" spans="1:18" x14ac:dyDescent="0.45">
      <c r="A3" s="19" t="s">
        <v>8</v>
      </c>
      <c r="B3" s="135">
        <v>1221</v>
      </c>
      <c r="C3" s="136"/>
      <c r="E3" s="27" t="s">
        <v>72</v>
      </c>
      <c r="F3" s="24" t="s">
        <v>27</v>
      </c>
      <c r="G3" s="12">
        <v>238</v>
      </c>
      <c r="H3" s="88">
        <f>IF(B$20=0,0,G3/B$20)</f>
        <v>0.65745856353591159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41.666666666666664</v>
      </c>
      <c r="Q3" s="77">
        <v>144</v>
      </c>
      <c r="R3" s="64">
        <v>6000</v>
      </c>
    </row>
    <row r="4" spans="1:18" x14ac:dyDescent="0.45">
      <c r="A4" s="19" t="s">
        <v>6</v>
      </c>
      <c r="B4" s="137">
        <v>2.1316282072803006E-14</v>
      </c>
      <c r="C4" s="138"/>
      <c r="E4" s="27" t="s">
        <v>64</v>
      </c>
      <c r="F4" s="24" t="s">
        <v>20</v>
      </c>
      <c r="G4" s="12">
        <v>141</v>
      </c>
      <c r="H4" s="88">
        <f>IF(B$20=0,0,G4/B$20)</f>
        <v>0.38950276243093923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-20.833333333333332</v>
      </c>
      <c r="Q4" s="77">
        <v>144</v>
      </c>
      <c r="R4" s="64">
        <v>-3000</v>
      </c>
    </row>
    <row r="5" spans="1:18" x14ac:dyDescent="0.45">
      <c r="A5" s="19" t="s">
        <v>7</v>
      </c>
      <c r="B5" s="125">
        <f>IF(B$2=0,0,B$4/B$2)</f>
        <v>1.450087215836939E-16</v>
      </c>
      <c r="C5" s="126"/>
      <c r="E5" s="27" t="s">
        <v>159</v>
      </c>
      <c r="F5" s="24" t="s">
        <v>160</v>
      </c>
      <c r="G5" s="12">
        <v>131</v>
      </c>
      <c r="H5" s="88">
        <f>IF(B$20=0,0,G5/B$20)</f>
        <v>0.36187845303867405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22.222222222222221</v>
      </c>
      <c r="Q5" s="77">
        <v>135</v>
      </c>
      <c r="R5" s="64">
        <v>3000</v>
      </c>
    </row>
    <row r="6" spans="1:18" x14ac:dyDescent="0.45">
      <c r="A6" s="19" t="s">
        <v>196</v>
      </c>
      <c r="B6" s="129">
        <v>1597.5925947845499</v>
      </c>
      <c r="C6" s="130"/>
      <c r="E6" s="27" t="s">
        <v>68</v>
      </c>
      <c r="F6" s="24" t="s">
        <v>12</v>
      </c>
      <c r="G6" s="12">
        <v>108</v>
      </c>
      <c r="H6" s="88">
        <f>IF(B$20=0,0,G6/B$20)</f>
        <v>0.2983425414364641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-25</v>
      </c>
      <c r="Q6" s="77">
        <v>120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1.9931972789115646</v>
      </c>
      <c r="C7" s="140"/>
      <c r="E7" s="27" t="s">
        <v>67</v>
      </c>
      <c r="F7" s="24" t="s">
        <v>23</v>
      </c>
      <c r="G7" s="12">
        <v>76</v>
      </c>
      <c r="H7" s="88">
        <f>IF(B$20=0,0,G7/B$20)</f>
        <v>0.20994475138121546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27.777777777777779</v>
      </c>
      <c r="Q7" s="78">
        <v>108</v>
      </c>
      <c r="R7" s="65">
        <v>3000</v>
      </c>
    </row>
    <row r="8" spans="1:18" x14ac:dyDescent="0.45">
      <c r="A8" s="19" t="s">
        <v>2</v>
      </c>
      <c r="B8" s="12">
        <v>50</v>
      </c>
      <c r="C8" s="6">
        <f t="shared" ref="C8:C15" si="1">IF(B$2=0,0,B8/B$2)</f>
        <v>0.3401360544217687</v>
      </c>
      <c r="E8" s="27" t="s">
        <v>89</v>
      </c>
      <c r="F8" s="24" t="s">
        <v>44</v>
      </c>
      <c r="G8" s="12">
        <v>58</v>
      </c>
      <c r="H8" s="88">
        <f>IF(B$20=0,0,G8/B$20)</f>
        <v>0.16022099447513813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48</v>
      </c>
      <c r="C9" s="6">
        <f t="shared" si="1"/>
        <v>0.32653061224489793</v>
      </c>
      <c r="E9" s="27" t="s">
        <v>69</v>
      </c>
      <c r="F9" s="24" t="s">
        <v>24</v>
      </c>
      <c r="G9" s="12">
        <v>41</v>
      </c>
      <c r="H9" s="88">
        <f>IF(B$20=0,0,G9/B$20)</f>
        <v>0.1132596685082873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49</v>
      </c>
      <c r="C10" s="7">
        <f t="shared" si="1"/>
        <v>0.33333333333333331</v>
      </c>
      <c r="E10" s="27" t="s">
        <v>70</v>
      </c>
      <c r="F10" s="24" t="s">
        <v>25</v>
      </c>
      <c r="G10" s="12">
        <v>34</v>
      </c>
      <c r="H10" s="88">
        <f>IF(B$20=0,0,G10/B$20)</f>
        <v>9.3922651933701654E-2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-0.61020408163265294</v>
      </c>
      <c r="Q10" s="76">
        <v>49</v>
      </c>
      <c r="R10" s="67">
        <v>-29.899999999999991</v>
      </c>
    </row>
    <row r="11" spans="1:18" x14ac:dyDescent="0.45">
      <c r="A11" s="20" t="s">
        <v>184</v>
      </c>
      <c r="B11" s="109">
        <f>IF(B8=0,0,C11/B8)</f>
        <v>32.451999999999998</v>
      </c>
      <c r="C11" s="110">
        <v>1622.6</v>
      </c>
      <c r="E11" s="27" t="s">
        <v>65</v>
      </c>
      <c r="F11" s="24" t="s">
        <v>21</v>
      </c>
      <c r="G11" s="12">
        <v>27</v>
      </c>
      <c r="H11" s="88">
        <f>IF(B$20=0,0,G11/B$20)</f>
        <v>7.4585635359116026E-2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-5.8755102040816318</v>
      </c>
      <c r="Q11" s="77">
        <v>49</v>
      </c>
      <c r="R11" s="68">
        <v>-287.89999999999998</v>
      </c>
    </row>
    <row r="12" spans="1:18" x14ac:dyDescent="0.45">
      <c r="A12" s="20" t="s">
        <v>185</v>
      </c>
      <c r="B12" s="109">
        <f>IF(B9=0,0,C12/B9)</f>
        <v>-0.68333333333333324</v>
      </c>
      <c r="C12" s="110">
        <v>-32.799999999999997</v>
      </c>
      <c r="E12" s="27" t="s">
        <v>71</v>
      </c>
      <c r="F12" s="24" t="s">
        <v>26</v>
      </c>
      <c r="G12" s="12">
        <v>22</v>
      </c>
      <c r="H12" s="88">
        <f>IF(B$20=0,0,G12/B$20)</f>
        <v>6.0773480662983423E-2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6.4857142857142875</v>
      </c>
      <c r="Q12" s="78">
        <v>49</v>
      </c>
      <c r="R12" s="69">
        <v>317.80000000000007</v>
      </c>
    </row>
    <row r="13" spans="1:18" x14ac:dyDescent="0.45">
      <c r="A13" s="20" t="s">
        <v>186</v>
      </c>
      <c r="B13" s="109">
        <f>IF(B10=0,0,C13/B10)</f>
        <v>-32.44489795918367</v>
      </c>
      <c r="C13" s="110">
        <v>-1589.8</v>
      </c>
      <c r="E13" s="27" t="s">
        <v>83</v>
      </c>
      <c r="F13" s="24" t="s">
        <v>38</v>
      </c>
      <c r="G13" s="12">
        <v>17</v>
      </c>
      <c r="H13" s="88">
        <f>IF(B$20=0,0,G13/B$20)</f>
        <v>4.6961325966850827E-2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-0.22541043083900192</v>
      </c>
      <c r="C14" s="126"/>
      <c r="E14" s="27" t="s">
        <v>86</v>
      </c>
      <c r="F14" s="24" t="s">
        <v>41</v>
      </c>
      <c r="G14" s="12">
        <v>15</v>
      </c>
      <c r="H14" s="88">
        <f>IF(B$20=0,0,G14/B$20)</f>
        <v>4.1436464088397788E-2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9</v>
      </c>
      <c r="C15" s="9">
        <f t="shared" si="1"/>
        <v>6.1224489795918366E-2</v>
      </c>
      <c r="E15" s="27" t="s">
        <v>81</v>
      </c>
      <c r="F15" s="24" t="s">
        <v>36</v>
      </c>
      <c r="G15" s="12">
        <v>13</v>
      </c>
      <c r="H15" s="88">
        <f>IF(B$20=0,0,G15/B$20)</f>
        <v>3.591160220994475E-2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291</v>
      </c>
      <c r="C16" s="10">
        <f>IF(B$3=0,0,B16/B$3)</f>
        <v>0.23832923832923833</v>
      </c>
      <c r="E16" s="27" t="s">
        <v>78</v>
      </c>
      <c r="F16" s="24" t="s">
        <v>33</v>
      </c>
      <c r="G16" s="12">
        <v>10</v>
      </c>
      <c r="H16" s="88">
        <f>IF(B$20=0,0,G16/B$20)</f>
        <v>2.7624309392265192E-2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163</v>
      </c>
      <c r="P16" s="83">
        <f>IF(Q16=0,0,R16/Q16)</f>
        <v>13.47857142857143</v>
      </c>
      <c r="Q16" s="77">
        <v>28</v>
      </c>
      <c r="R16" s="68">
        <v>377.40000000000003</v>
      </c>
    </row>
    <row r="17" spans="1:18" x14ac:dyDescent="0.45">
      <c r="A17" s="19" t="s">
        <v>118</v>
      </c>
      <c r="B17" s="12">
        <v>296</v>
      </c>
      <c r="C17" s="6">
        <f>IF(B$3=0,0,B17/B$3)</f>
        <v>0.24242424242424243</v>
      </c>
      <c r="E17" s="27" t="s">
        <v>91</v>
      </c>
      <c r="F17" s="24" t="s">
        <v>46</v>
      </c>
      <c r="G17" s="12">
        <v>9</v>
      </c>
      <c r="H17" s="88">
        <f>IF(B$20=0,0,G17/B$20)</f>
        <v>2.4861878453038673E-2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10.242857142857144</v>
      </c>
      <c r="Q17" s="77">
        <v>28</v>
      </c>
      <c r="R17" s="68">
        <v>286.8</v>
      </c>
    </row>
    <row r="18" spans="1:18" x14ac:dyDescent="0.45">
      <c r="A18" s="18" t="s">
        <v>123</v>
      </c>
      <c r="B18" s="11">
        <f>B24</f>
        <v>150</v>
      </c>
      <c r="C18" s="5">
        <f>IF(B$16=0,0,B18/B$16)</f>
        <v>0.51546391752577314</v>
      </c>
      <c r="E18" s="27" t="s">
        <v>155</v>
      </c>
      <c r="F18" s="24" t="s">
        <v>156</v>
      </c>
      <c r="G18" s="12">
        <v>7</v>
      </c>
      <c r="H18" s="88">
        <f>IF(B$20=0,0,G18/B$20)</f>
        <v>1.9337016574585635E-2</v>
      </c>
      <c r="I18" s="58">
        <v>2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134</v>
      </c>
      <c r="C19" s="5">
        <f>IF(B$17=0,0,B19/B$17)</f>
        <v>0.45270270270270269</v>
      </c>
      <c r="E19" s="27" t="s">
        <v>79</v>
      </c>
      <c r="F19" s="24" t="s">
        <v>34</v>
      </c>
      <c r="G19" s="12">
        <v>6</v>
      </c>
      <c r="H19" s="88">
        <f>IF(B$20=0,0,G19/B$20)</f>
        <v>1.6574585635359115E-2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8.2500000000000036</v>
      </c>
      <c r="Q19" s="77">
        <v>20</v>
      </c>
      <c r="R19" s="68">
        <v>165.00000000000009</v>
      </c>
    </row>
    <row r="20" spans="1:18" x14ac:dyDescent="0.45">
      <c r="A20" s="18" t="s">
        <v>10</v>
      </c>
      <c r="B20" s="11">
        <f>B23+B22</f>
        <v>362</v>
      </c>
      <c r="C20" s="5">
        <f>IF(B$3=0,0,B20/B$3)</f>
        <v>0.29647829647829649</v>
      </c>
      <c r="E20" s="27" t="s">
        <v>73</v>
      </c>
      <c r="F20" s="24" t="s">
        <v>28</v>
      </c>
      <c r="G20" s="12">
        <v>4</v>
      </c>
      <c r="H20" s="88">
        <f>IF(B$20=0,0,G20/B$20)</f>
        <v>1.1049723756906077E-2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5.5124999999999984</v>
      </c>
      <c r="Q20" s="77">
        <v>8</v>
      </c>
      <c r="R20" s="68">
        <v>44.099999999999987</v>
      </c>
    </row>
    <row r="21" spans="1:18" x14ac:dyDescent="0.45">
      <c r="A21" s="19" t="s">
        <v>13</v>
      </c>
      <c r="B21" s="12">
        <v>204</v>
      </c>
      <c r="C21" s="6">
        <f>IF(B$3=0,0,B21/B$3)</f>
        <v>0.16707616707616707</v>
      </c>
      <c r="E21" s="27" t="s">
        <v>85</v>
      </c>
      <c r="F21" s="24" t="s">
        <v>40</v>
      </c>
      <c r="G21" s="12">
        <v>3</v>
      </c>
      <c r="H21" s="88">
        <f>IF(B$20=0,0,G21/B$20)</f>
        <v>8.2872928176795577E-3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-1.2583333333333322</v>
      </c>
      <c r="Q21" s="77">
        <v>36</v>
      </c>
      <c r="R21" s="68">
        <v>-45.299999999999962</v>
      </c>
    </row>
    <row r="22" spans="1:18" x14ac:dyDescent="0.45">
      <c r="A22" s="19" t="s">
        <v>12</v>
      </c>
      <c r="B22" s="12">
        <v>157</v>
      </c>
      <c r="C22" s="6">
        <f>IF(B$20=0,0,B22/B$20)</f>
        <v>0.43370165745856354</v>
      </c>
      <c r="E22" s="27" t="s">
        <v>88</v>
      </c>
      <c r="F22" s="24" t="s">
        <v>43</v>
      </c>
      <c r="G22" s="12">
        <v>2</v>
      </c>
      <c r="H22" s="88">
        <f>IF(B$20=0,0,G22/B$20)</f>
        <v>5.5248618784530384E-3</v>
      </c>
      <c r="I22" s="58">
        <v>3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-3.4346153846153809</v>
      </c>
      <c r="Q22" s="77">
        <v>78</v>
      </c>
      <c r="R22" s="68">
        <v>-267.89999999999969</v>
      </c>
    </row>
    <row r="23" spans="1:18" x14ac:dyDescent="0.45">
      <c r="A23" s="19" t="s">
        <v>11</v>
      </c>
      <c r="B23" s="12">
        <v>205</v>
      </c>
      <c r="C23" s="6">
        <f>IF(B$20=0,0,B23/B$20)</f>
        <v>0.56629834254143652</v>
      </c>
      <c r="E23" s="27" t="s">
        <v>75</v>
      </c>
      <c r="F23" s="24" t="s">
        <v>30</v>
      </c>
      <c r="G23" s="12">
        <v>1</v>
      </c>
      <c r="H23" s="88">
        <f>IF(B$20=0,0,G23/B$20)</f>
        <v>2.7624309392265192E-3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192</v>
      </c>
      <c r="P23" s="83">
        <f>IF(Q23=0,0,R23/Q23)</f>
        <v>-8.1586956521739165</v>
      </c>
      <c r="Q23" s="77">
        <v>46</v>
      </c>
      <c r="R23" s="68">
        <v>-375.30000000000013</v>
      </c>
    </row>
    <row r="24" spans="1:18" x14ac:dyDescent="0.45">
      <c r="A24" s="19" t="s">
        <v>183</v>
      </c>
      <c r="B24" s="12">
        <v>150</v>
      </c>
      <c r="C24" s="6">
        <f>IF(B$20=0,0,B24/B$20)</f>
        <v>0.4143646408839779</v>
      </c>
      <c r="E24" s="27" t="s">
        <v>77</v>
      </c>
      <c r="F24" s="24" t="s">
        <v>32</v>
      </c>
      <c r="G24" s="12">
        <v>1</v>
      </c>
      <c r="H24" s="88">
        <f>IF(B$20=0,0,G24/B$20)</f>
        <v>2.7624309392265192E-3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211</v>
      </c>
      <c r="P24" s="83">
        <f>IF(Q24=0,0,R24/Q24)</f>
        <v>-10.010526315789475</v>
      </c>
      <c r="Q24" s="77">
        <v>38</v>
      </c>
      <c r="R24" s="68">
        <v>-380.40000000000003</v>
      </c>
    </row>
    <row r="25" spans="1:18" x14ac:dyDescent="0.45">
      <c r="A25" s="19" t="s">
        <v>181</v>
      </c>
      <c r="B25" s="12">
        <v>134</v>
      </c>
      <c r="C25" s="6">
        <f>IF(B$20=0,0,B25/B$20)</f>
        <v>0.37016574585635359</v>
      </c>
      <c r="E25" s="27" t="s">
        <v>92</v>
      </c>
      <c r="F25" s="24" t="s">
        <v>47</v>
      </c>
      <c r="G25" s="12">
        <v>1</v>
      </c>
      <c r="H25" s="88">
        <f>IF(B$20=0,0,G25/B$20)</f>
        <v>2.7624309392265192E-3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78</v>
      </c>
      <c r="C26" s="6">
        <f>IF(B$20=0,0,B26/B$20)</f>
        <v>0.21546961325966851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8008.5635359116022</v>
      </c>
      <c r="C27" s="8">
        <v>2899100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8607.4561403508778</v>
      </c>
      <c r="C28" s="96">
        <v>1962500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6989.5522388059699</v>
      </c>
      <c r="C29" s="96">
        <v>936600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-7235.7843137254904</v>
      </c>
      <c r="C30" s="96">
        <v>-1476100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12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4</v>
      </c>
      <c r="C35" s="9">
        <f>IF(B$3=0,0,B35/B$3)</f>
        <v>3.2760032760032762E-3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29</v>
      </c>
      <c r="C37" s="98">
        <f t="shared" ref="C37:C49" si="2">IF(B$20=0,0,B37/B$20)</f>
        <v>8.0110497237569064E-2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77</v>
      </c>
      <c r="C38" s="6">
        <f t="shared" si="2"/>
        <v>0.212707182320442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69</v>
      </c>
      <c r="C39" s="6">
        <f t="shared" si="2"/>
        <v>0.19060773480662985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61</v>
      </c>
      <c r="C40" s="6">
        <f t="shared" si="2"/>
        <v>0.16850828729281769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45</v>
      </c>
      <c r="C41" s="6">
        <f t="shared" si="2"/>
        <v>0.12430939226519337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33</v>
      </c>
      <c r="C42" s="6">
        <f t="shared" si="2"/>
        <v>9.1160220994475141E-2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22</v>
      </c>
      <c r="C43" s="6">
        <f t="shared" si="2"/>
        <v>6.0773480662983423E-2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11</v>
      </c>
      <c r="C44" s="6">
        <f t="shared" si="2"/>
        <v>3.0386740331491711E-2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7</v>
      </c>
      <c r="C45" s="6">
        <f t="shared" si="2"/>
        <v>1.9337016574585635E-2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5</v>
      </c>
      <c r="C46" s="6">
        <f t="shared" si="2"/>
        <v>1.3812154696132596E-2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5.5248618784530384E-3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2.7624309392265192E-3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39</v>
      </c>
      <c r="C2" s="134"/>
      <c r="E2" s="26" t="s">
        <v>72</v>
      </c>
      <c r="F2" s="23" t="s">
        <v>27</v>
      </c>
      <c r="G2" s="11">
        <v>71</v>
      </c>
      <c r="H2" s="87">
        <f>IF(B$20=0,0,G2/B$20)</f>
        <v>0.71</v>
      </c>
      <c r="I2" s="57">
        <v>4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2197.4358974358975</v>
      </c>
      <c r="Q2" s="76">
        <v>39</v>
      </c>
      <c r="R2" s="63">
        <v>85700</v>
      </c>
    </row>
    <row r="3" spans="1:18" x14ac:dyDescent="0.45">
      <c r="A3" s="19" t="s">
        <v>8</v>
      </c>
      <c r="B3" s="135">
        <v>319</v>
      </c>
      <c r="C3" s="136"/>
      <c r="E3" s="27" t="s">
        <v>66</v>
      </c>
      <c r="F3" s="24" t="s">
        <v>22</v>
      </c>
      <c r="G3" s="12">
        <v>69</v>
      </c>
      <c r="H3" s="88">
        <f>IF(B$20=0,0,G3/B$20)</f>
        <v>0.69</v>
      </c>
      <c r="I3" s="58">
        <v>8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-1357.8947368421052</v>
      </c>
      <c r="Q3" s="77">
        <v>38</v>
      </c>
      <c r="R3" s="64">
        <v>-51600</v>
      </c>
    </row>
    <row r="4" spans="1:18" x14ac:dyDescent="0.45">
      <c r="A4" s="19" t="s">
        <v>6</v>
      </c>
      <c r="B4" s="137">
        <v>89.299999999999983</v>
      </c>
      <c r="C4" s="138"/>
      <c r="E4" s="27" t="s">
        <v>64</v>
      </c>
      <c r="F4" s="24" t="s">
        <v>20</v>
      </c>
      <c r="G4" s="12">
        <v>40</v>
      </c>
      <c r="H4" s="88">
        <f>IF(B$20=0,0,G4/B$20)</f>
        <v>0.4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-1181.578947368421</v>
      </c>
      <c r="Q4" s="77">
        <v>38</v>
      </c>
      <c r="R4" s="64">
        <v>-44900</v>
      </c>
    </row>
    <row r="5" spans="1:18" x14ac:dyDescent="0.45">
      <c r="A5" s="19" t="s">
        <v>7</v>
      </c>
      <c r="B5" s="125">
        <f>IF(B$2=0,0,B$4/B$2)</f>
        <v>2.2897435897435892</v>
      </c>
      <c r="C5" s="126"/>
      <c r="E5" s="27" t="s">
        <v>159</v>
      </c>
      <c r="F5" s="24" t="s">
        <v>160</v>
      </c>
      <c r="G5" s="12">
        <v>36</v>
      </c>
      <c r="H5" s="88">
        <f>IF(B$20=0,0,G5/B$20)</f>
        <v>0.36</v>
      </c>
      <c r="I5" s="58">
        <v>7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1636.1111111111111</v>
      </c>
      <c r="Q5" s="77">
        <v>36</v>
      </c>
      <c r="R5" s="64">
        <v>58900</v>
      </c>
    </row>
    <row r="6" spans="1:18" x14ac:dyDescent="0.45">
      <c r="A6" s="19" t="s">
        <v>196</v>
      </c>
      <c r="B6" s="129">
        <v>1805.9777591809166</v>
      </c>
      <c r="C6" s="130"/>
      <c r="E6" s="27" t="s">
        <v>68</v>
      </c>
      <c r="F6" s="24" t="s">
        <v>12</v>
      </c>
      <c r="G6" s="12">
        <v>34</v>
      </c>
      <c r="H6" s="88">
        <f>IF(B$20=0,0,G6/B$20)</f>
        <v>0.34</v>
      </c>
      <c r="I6" s="58">
        <v>3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-778.125</v>
      </c>
      <c r="Q6" s="77">
        <v>32</v>
      </c>
      <c r="R6" s="64">
        <v>-24900</v>
      </c>
    </row>
    <row r="7" spans="1:18" x14ac:dyDescent="0.45">
      <c r="A7" s="19" t="s">
        <v>1</v>
      </c>
      <c r="B7" s="139">
        <f>IF(B$2=0,0,(B$8*1+B$9*2+B$10*3)/B$2)</f>
        <v>2.0256410256410255</v>
      </c>
      <c r="C7" s="140"/>
      <c r="E7" s="27" t="s">
        <v>67</v>
      </c>
      <c r="F7" s="24" t="s">
        <v>23</v>
      </c>
      <c r="G7" s="12">
        <v>18</v>
      </c>
      <c r="H7" s="88">
        <f>IF(B$20=0,0,G7/B$20)</f>
        <v>0.18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-1207.1428571428571</v>
      </c>
      <c r="Q7" s="78">
        <v>28</v>
      </c>
      <c r="R7" s="65">
        <v>-33800</v>
      </c>
    </row>
    <row r="8" spans="1:18" x14ac:dyDescent="0.45">
      <c r="A8" s="19" t="s">
        <v>2</v>
      </c>
      <c r="B8" s="12">
        <v>12</v>
      </c>
      <c r="C8" s="6">
        <f t="shared" ref="C8:C15" si="1">IF(B$2=0,0,B8/B$2)</f>
        <v>0.30769230769230771</v>
      </c>
      <c r="E8" s="27" t="s">
        <v>69</v>
      </c>
      <c r="F8" s="24" t="s">
        <v>24</v>
      </c>
      <c r="G8" s="12">
        <v>16</v>
      </c>
      <c r="H8" s="88">
        <f>IF(B$20=0,0,G8/B$20)</f>
        <v>0.16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14</v>
      </c>
      <c r="C9" s="6">
        <f t="shared" si="1"/>
        <v>0.35897435897435898</v>
      </c>
      <c r="E9" s="27" t="s">
        <v>89</v>
      </c>
      <c r="F9" s="24" t="s">
        <v>44</v>
      </c>
      <c r="G9" s="12">
        <v>16</v>
      </c>
      <c r="H9" s="88">
        <f>IF(B$20=0,0,G9/B$20)</f>
        <v>0.16</v>
      </c>
      <c r="I9" s="58">
        <v>6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13</v>
      </c>
      <c r="C10" s="7">
        <f t="shared" si="1"/>
        <v>0.33333333333333331</v>
      </c>
      <c r="E10" s="27" t="s">
        <v>70</v>
      </c>
      <c r="F10" s="24" t="s">
        <v>25</v>
      </c>
      <c r="G10" s="12">
        <v>12</v>
      </c>
      <c r="H10" s="88">
        <f>IF(B$20=0,0,G10/B$20)</f>
        <v>0.12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8.8785714285714281</v>
      </c>
      <c r="Q10" s="76">
        <v>14</v>
      </c>
      <c r="R10" s="67">
        <v>124.29999999999998</v>
      </c>
    </row>
    <row r="11" spans="1:18" x14ac:dyDescent="0.45">
      <c r="A11" s="20" t="s">
        <v>184</v>
      </c>
      <c r="B11" s="109">
        <f>IF(B8=0,0,C11/B8)</f>
        <v>40.675000000000004</v>
      </c>
      <c r="C11" s="110">
        <v>488.1</v>
      </c>
      <c r="E11" s="27" t="s">
        <v>65</v>
      </c>
      <c r="F11" s="24" t="s">
        <v>21</v>
      </c>
      <c r="G11" s="12">
        <v>8</v>
      </c>
      <c r="H11" s="88">
        <f>IF(B$20=0,0,G11/B$20)</f>
        <v>0.08</v>
      </c>
      <c r="I11" s="58">
        <v>6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-7.2249999999999996</v>
      </c>
      <c r="Q11" s="77">
        <v>16</v>
      </c>
      <c r="R11" s="68">
        <v>-115.6</v>
      </c>
    </row>
    <row r="12" spans="1:18" x14ac:dyDescent="0.45">
      <c r="A12" s="20" t="s">
        <v>185</v>
      </c>
      <c r="B12" s="109">
        <f>IF(B9=0,0,C12/B9)</f>
        <v>-3.899999999999999</v>
      </c>
      <c r="C12" s="110">
        <v>-54.599999999999987</v>
      </c>
      <c r="E12" s="27" t="s">
        <v>83</v>
      </c>
      <c r="F12" s="24" t="s">
        <v>38</v>
      </c>
      <c r="G12" s="12">
        <v>6</v>
      </c>
      <c r="H12" s="88">
        <f>IF(B$20=0,0,G12/B$20)</f>
        <v>0.06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8.9555555555555557</v>
      </c>
      <c r="Q12" s="78">
        <v>9</v>
      </c>
      <c r="R12" s="69">
        <v>80.600000000000009</v>
      </c>
    </row>
    <row r="13" spans="1:18" x14ac:dyDescent="0.45">
      <c r="A13" s="20" t="s">
        <v>186</v>
      </c>
      <c r="B13" s="109">
        <f>IF(B10=0,0,C13/B10)</f>
        <v>-26.476923076923075</v>
      </c>
      <c r="C13" s="110">
        <v>-344.2</v>
      </c>
      <c r="E13" s="27" t="s">
        <v>155</v>
      </c>
      <c r="F13" s="24" t="s">
        <v>156</v>
      </c>
      <c r="G13" s="12">
        <v>6</v>
      </c>
      <c r="H13" s="88">
        <f>IF(B$20=0,0,G13/B$20)</f>
        <v>0.06</v>
      </c>
      <c r="I13" s="58">
        <v>1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3.4326923076923102</v>
      </c>
      <c r="C14" s="126"/>
      <c r="E14" s="27" t="s">
        <v>71</v>
      </c>
      <c r="F14" s="24" t="s">
        <v>26</v>
      </c>
      <c r="G14" s="12">
        <v>5</v>
      </c>
      <c r="H14" s="88">
        <f>IF(B$20=0,0,G14/B$20)</f>
        <v>0.05</v>
      </c>
      <c r="I14" s="58">
        <v>5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5.128205128205128E-2</v>
      </c>
      <c r="E15" s="27" t="s">
        <v>81</v>
      </c>
      <c r="F15" s="24" t="s">
        <v>36</v>
      </c>
      <c r="G15" s="12">
        <v>3</v>
      </c>
      <c r="H15" s="88">
        <f>IF(B$20=0,0,G15/B$20)</f>
        <v>0.03</v>
      </c>
      <c r="I15" s="58">
        <v>7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79</v>
      </c>
      <c r="C16" s="10">
        <f>IF(B$3=0,0,B16/B$3)</f>
        <v>0.2476489028213166</v>
      </c>
      <c r="E16" s="27" t="s">
        <v>86</v>
      </c>
      <c r="F16" s="24" t="s">
        <v>41</v>
      </c>
      <c r="G16" s="12">
        <v>3</v>
      </c>
      <c r="H16" s="88">
        <f>IF(B$20=0,0,G16/B$20)</f>
        <v>0.03</v>
      </c>
      <c r="I16" s="58">
        <v>6</v>
      </c>
      <c r="K16" s="74">
        <v>14</v>
      </c>
      <c r="L16" s="119">
        <v>222</v>
      </c>
      <c r="M16" s="117">
        <v>1861.6993429866839</v>
      </c>
      <c r="O16" s="74" t="s">
        <v>163</v>
      </c>
      <c r="P16" s="83">
        <f>IF(Q16=0,0,R16/Q16)</f>
        <v>17.366666666666671</v>
      </c>
      <c r="Q16" s="77">
        <v>12</v>
      </c>
      <c r="R16" s="68">
        <v>208.40000000000003</v>
      </c>
    </row>
    <row r="17" spans="1:18" x14ac:dyDescent="0.45">
      <c r="A17" s="19" t="s">
        <v>118</v>
      </c>
      <c r="B17" s="12">
        <v>73</v>
      </c>
      <c r="C17" s="6">
        <f>IF(B$3=0,0,B17/B$3)</f>
        <v>0.22884012539184953</v>
      </c>
      <c r="E17" s="27" t="s">
        <v>91</v>
      </c>
      <c r="F17" s="24" t="s">
        <v>46</v>
      </c>
      <c r="G17" s="12">
        <v>3</v>
      </c>
      <c r="H17" s="88">
        <f>IF(B$20=0,0,G17/B$20)</f>
        <v>0.03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195</v>
      </c>
      <c r="P17" s="83">
        <f>IF(Q17=0,0,R17/Q17)</f>
        <v>16.600000000000001</v>
      </c>
      <c r="Q17" s="77">
        <v>2</v>
      </c>
      <c r="R17" s="68">
        <v>33.200000000000003</v>
      </c>
    </row>
    <row r="18" spans="1:18" x14ac:dyDescent="0.45">
      <c r="A18" s="18" t="s">
        <v>123</v>
      </c>
      <c r="B18" s="11">
        <f>B24</f>
        <v>46</v>
      </c>
      <c r="C18" s="5">
        <f>IF(B$16=0,0,B18/B$16)</f>
        <v>0.58227848101265822</v>
      </c>
      <c r="E18" s="27" t="s">
        <v>78</v>
      </c>
      <c r="F18" s="24" t="s">
        <v>33</v>
      </c>
      <c r="G18" s="12">
        <v>2</v>
      </c>
      <c r="H18" s="88">
        <f>IF(B$20=0,0,G18/B$20)</f>
        <v>0.02</v>
      </c>
      <c r="I18" s="58">
        <v>6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12.162499999999998</v>
      </c>
      <c r="Q18" s="77">
        <v>8</v>
      </c>
      <c r="R18" s="68">
        <v>97.299999999999983</v>
      </c>
    </row>
    <row r="19" spans="1:18" x14ac:dyDescent="0.45">
      <c r="A19" s="18" t="s">
        <v>124</v>
      </c>
      <c r="B19" s="11">
        <f>B25</f>
        <v>33</v>
      </c>
      <c r="C19" s="5">
        <f>IF(B$17=0,0,B19/B$17)</f>
        <v>0.45205479452054792</v>
      </c>
      <c r="E19" s="27" t="s">
        <v>73</v>
      </c>
      <c r="F19" s="24" t="s">
        <v>28</v>
      </c>
      <c r="G19" s="12">
        <v>1</v>
      </c>
      <c r="H19" s="88">
        <f>IF(B$20=0,0,G19/B$20)</f>
        <v>0.01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-0.4833333333333325</v>
      </c>
      <c r="Q19" s="77">
        <v>12</v>
      </c>
      <c r="R19" s="68">
        <v>-5.7999999999999901</v>
      </c>
    </row>
    <row r="20" spans="1:18" x14ac:dyDescent="0.45">
      <c r="A20" s="18" t="s">
        <v>10</v>
      </c>
      <c r="B20" s="11">
        <f>B23+B22</f>
        <v>100</v>
      </c>
      <c r="C20" s="5">
        <f>IF(B$3=0,0,B20/B$3)</f>
        <v>0.31347962382445144</v>
      </c>
      <c r="E20" s="27" t="s">
        <v>79</v>
      </c>
      <c r="F20" s="24" t="s">
        <v>34</v>
      </c>
      <c r="G20" s="12">
        <v>1</v>
      </c>
      <c r="H20" s="88">
        <f>IF(B$20=0,0,G20/B$20)</f>
        <v>0.01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-1.8500000000000005</v>
      </c>
      <c r="Q20" s="77">
        <v>8</v>
      </c>
      <c r="R20" s="68">
        <v>-14.800000000000004</v>
      </c>
    </row>
    <row r="21" spans="1:18" x14ac:dyDescent="0.45">
      <c r="A21" s="19" t="s">
        <v>13</v>
      </c>
      <c r="B21" s="12">
        <v>56</v>
      </c>
      <c r="C21" s="6">
        <f>IF(B$3=0,0,B21/B$3)</f>
        <v>0.17554858934169279</v>
      </c>
      <c r="E21" s="27" t="s">
        <v>85</v>
      </c>
      <c r="F21" s="24" t="s">
        <v>40</v>
      </c>
      <c r="G21" s="12">
        <v>1</v>
      </c>
      <c r="H21" s="88">
        <f>IF(B$20=0,0,G21/B$20)</f>
        <v>0.01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-2.7066666666666661</v>
      </c>
      <c r="Q21" s="77">
        <v>15</v>
      </c>
      <c r="R21" s="68">
        <v>-40.599999999999994</v>
      </c>
    </row>
    <row r="22" spans="1:18" x14ac:dyDescent="0.45">
      <c r="A22" s="19" t="s">
        <v>12</v>
      </c>
      <c r="B22" s="12">
        <v>49</v>
      </c>
      <c r="C22" s="6">
        <f>IF(B$20=0,0,B22/B$20)</f>
        <v>0.49</v>
      </c>
      <c r="E22" s="27" t="s">
        <v>92</v>
      </c>
      <c r="F22" s="24" t="s">
        <v>47</v>
      </c>
      <c r="G22" s="12">
        <v>1</v>
      </c>
      <c r="H22" s="88">
        <f>IF(B$20=0,0,G22/B$20)</f>
        <v>0.01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-3.5578947368421088</v>
      </c>
      <c r="Q22" s="77">
        <v>19</v>
      </c>
      <c r="R22" s="68">
        <v>-67.600000000000065</v>
      </c>
    </row>
    <row r="23" spans="1:18" x14ac:dyDescent="0.45">
      <c r="A23" s="19" t="s">
        <v>11</v>
      </c>
      <c r="B23" s="12">
        <v>51</v>
      </c>
      <c r="C23" s="6">
        <f>IF(B$20=0,0,B23/B$20)</f>
        <v>0.51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46</v>
      </c>
      <c r="C24" s="6">
        <f>IF(B$20=0,0,B24/B$20)</f>
        <v>0.46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33</v>
      </c>
      <c r="C25" s="6">
        <f>IF(B$20=0,0,B25/B$20)</f>
        <v>0.33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21</v>
      </c>
      <c r="C26" s="6">
        <f>IF(B$20=0,0,B26/B$20)</f>
        <v>0.21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8583</v>
      </c>
      <c r="C27" s="8">
        <v>858300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8861.194029850747</v>
      </c>
      <c r="C28" s="96">
        <v>593700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8018.181818181818</v>
      </c>
      <c r="C29" s="96">
        <v>264600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-6398.2142857142853</v>
      </c>
      <c r="C30" s="96">
        <v>-358300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3.134796238244514E-3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5</v>
      </c>
      <c r="C37" s="98">
        <f t="shared" ref="C37:C49" si="2">IF(B$20=0,0,B37/B$20)</f>
        <v>0.05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17</v>
      </c>
      <c r="C38" s="6">
        <f t="shared" si="2"/>
        <v>0.17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24</v>
      </c>
      <c r="C39" s="6">
        <f t="shared" si="2"/>
        <v>0.24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14</v>
      </c>
      <c r="C40" s="6">
        <f t="shared" si="2"/>
        <v>0.14000000000000001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15</v>
      </c>
      <c r="C41" s="6">
        <f t="shared" si="2"/>
        <v>0.15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13</v>
      </c>
      <c r="C42" s="6">
        <f t="shared" si="2"/>
        <v>0.13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7</v>
      </c>
      <c r="C43" s="6">
        <f t="shared" si="2"/>
        <v>7.0000000000000007E-2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2</v>
      </c>
      <c r="C45" s="6">
        <f t="shared" si="2"/>
        <v>0.02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0.01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2"/>
        <v>0.01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0.01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27</v>
      </c>
      <c r="H2" s="87">
        <f>IF(B$20=0,0,G2/B$20)</f>
        <v>0.87096774193548387</v>
      </c>
      <c r="I2" s="57">
        <v>4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-157.14285714285714</v>
      </c>
      <c r="Q2" s="76">
        <v>14</v>
      </c>
      <c r="R2" s="63">
        <v>-2200</v>
      </c>
    </row>
    <row r="3" spans="1:18" x14ac:dyDescent="0.45">
      <c r="A3" s="19" t="s">
        <v>8</v>
      </c>
      <c r="B3" s="135">
        <v>119</v>
      </c>
      <c r="C3" s="136"/>
      <c r="E3" s="27" t="s">
        <v>72</v>
      </c>
      <c r="F3" s="24" t="s">
        <v>27</v>
      </c>
      <c r="G3" s="12">
        <v>19</v>
      </c>
      <c r="H3" s="88">
        <f>IF(B$20=0,0,G3/B$20)</f>
        <v>0.61290322580645162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1723.0769230769231</v>
      </c>
      <c r="Q3" s="77">
        <v>13</v>
      </c>
      <c r="R3" s="64">
        <v>22400</v>
      </c>
    </row>
    <row r="4" spans="1:18" x14ac:dyDescent="0.45">
      <c r="A4" s="19" t="s">
        <v>6</v>
      </c>
      <c r="B4" s="137">
        <v>-125.80000000000004</v>
      </c>
      <c r="C4" s="138"/>
      <c r="E4" s="27" t="s">
        <v>64</v>
      </c>
      <c r="F4" s="24" t="s">
        <v>20</v>
      </c>
      <c r="G4" s="12">
        <v>12</v>
      </c>
      <c r="H4" s="88">
        <f>IF(B$20=0,0,G4/B$20)</f>
        <v>0.38709677419354838</v>
      </c>
      <c r="I4" s="58">
        <v>6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-2100</v>
      </c>
      <c r="Q4" s="77">
        <v>13</v>
      </c>
      <c r="R4" s="64">
        <v>-27300</v>
      </c>
    </row>
    <row r="5" spans="1:18" x14ac:dyDescent="0.45">
      <c r="A5" s="19" t="s">
        <v>7</v>
      </c>
      <c r="B5" s="125">
        <f>IF(B$2=0,0,B$4/B$2)</f>
        <v>-8.9857142857142893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0.38709677419354838</v>
      </c>
      <c r="I5" s="58">
        <v>3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-169.23076923076923</v>
      </c>
      <c r="Q5" s="77">
        <v>13</v>
      </c>
      <c r="R5" s="64">
        <v>-2200</v>
      </c>
    </row>
    <row r="6" spans="1:18" x14ac:dyDescent="0.45">
      <c r="A6" s="19" t="s">
        <v>196</v>
      </c>
      <c r="B6" s="129">
        <v>1630.1668189337324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0.29032258064516131</v>
      </c>
      <c r="I6" s="58">
        <v>7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-1260</v>
      </c>
      <c r="Q6" s="77">
        <v>10</v>
      </c>
      <c r="R6" s="64">
        <v>-12600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67</v>
      </c>
      <c r="F7" s="24" t="s">
        <v>23</v>
      </c>
      <c r="G7" s="12">
        <v>6</v>
      </c>
      <c r="H7" s="88">
        <f>IF(B$20=0,0,G7/B$20)</f>
        <v>0.19354838709677419</v>
      </c>
      <c r="I7" s="58">
        <v>7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-1175</v>
      </c>
      <c r="Q7" s="78">
        <v>8</v>
      </c>
      <c r="R7" s="65">
        <v>-9400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0.35714285714285715</v>
      </c>
      <c r="E8" s="27" t="s">
        <v>89</v>
      </c>
      <c r="F8" s="24" t="s">
        <v>44</v>
      </c>
      <c r="G8" s="12">
        <v>6</v>
      </c>
      <c r="H8" s="88">
        <f>IF(B$20=0,0,G8/B$20)</f>
        <v>0.19354838709677419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2</v>
      </c>
      <c r="C9" s="6">
        <f t="shared" si="1"/>
        <v>0.14285714285714285</v>
      </c>
      <c r="E9" s="27" t="s">
        <v>69</v>
      </c>
      <c r="F9" s="24" t="s">
        <v>24</v>
      </c>
      <c r="G9" s="12">
        <v>3</v>
      </c>
      <c r="H9" s="88">
        <f>IF(B$20=0,0,G9/B$20)</f>
        <v>9.6774193548387094E-2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0.5</v>
      </c>
      <c r="E10" s="27" t="s">
        <v>78</v>
      </c>
      <c r="F10" s="24" t="s">
        <v>33</v>
      </c>
      <c r="G10" s="12">
        <v>3</v>
      </c>
      <c r="H10" s="88">
        <f>IF(B$20=0,0,G10/B$20)</f>
        <v>9.6774193548387094E-2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-9.4</v>
      </c>
      <c r="Q10" s="76">
        <v>4</v>
      </c>
      <c r="R10" s="67">
        <v>-37.6</v>
      </c>
    </row>
    <row r="11" spans="1:18" x14ac:dyDescent="0.45">
      <c r="A11" s="20" t="s">
        <v>184</v>
      </c>
      <c r="B11" s="109">
        <f>IF(B8=0,0,C11/B8)</f>
        <v>31.1</v>
      </c>
      <c r="C11" s="110">
        <v>155.5</v>
      </c>
      <c r="E11" s="27" t="s">
        <v>81</v>
      </c>
      <c r="F11" s="24" t="s">
        <v>36</v>
      </c>
      <c r="G11" s="12">
        <v>3</v>
      </c>
      <c r="H11" s="88">
        <f>IF(B$20=0,0,G11/B$20)</f>
        <v>9.6774193548387094E-2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-17.340000000000007</v>
      </c>
      <c r="Q11" s="77">
        <v>5</v>
      </c>
      <c r="R11" s="68">
        <v>-86.700000000000031</v>
      </c>
    </row>
    <row r="12" spans="1:18" x14ac:dyDescent="0.45">
      <c r="A12" s="20" t="s">
        <v>185</v>
      </c>
      <c r="B12" s="109">
        <f>IF(B9=0,0,C12/B9)</f>
        <v>7.2</v>
      </c>
      <c r="C12" s="110">
        <v>14.4</v>
      </c>
      <c r="E12" s="27" t="s">
        <v>65</v>
      </c>
      <c r="F12" s="24" t="s">
        <v>21</v>
      </c>
      <c r="G12" s="12">
        <v>2</v>
      </c>
      <c r="H12" s="88">
        <f>IF(B$20=0,0,G12/B$20)</f>
        <v>6.4516129032258063E-2</v>
      </c>
      <c r="I12" s="58">
        <v>8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-0.3</v>
      </c>
      <c r="Q12" s="78">
        <v>5</v>
      </c>
      <c r="R12" s="69">
        <v>-1.5</v>
      </c>
    </row>
    <row r="13" spans="1:18" x14ac:dyDescent="0.45">
      <c r="A13" s="20" t="s">
        <v>186</v>
      </c>
      <c r="B13" s="109">
        <f>IF(B10=0,0,C13/B10)</f>
        <v>-42.24285714285714</v>
      </c>
      <c r="C13" s="110">
        <v>-295.7</v>
      </c>
      <c r="E13" s="27" t="s">
        <v>83</v>
      </c>
      <c r="F13" s="24" t="s">
        <v>38</v>
      </c>
      <c r="G13" s="12">
        <v>2</v>
      </c>
      <c r="H13" s="88">
        <f>IF(B$20=0,0,G13/B$20)</f>
        <v>6.4516129032258063E-2</v>
      </c>
      <c r="I13" s="58">
        <v>2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-1.3142857142857121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6.4516129032258063E-2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3</v>
      </c>
      <c r="C15" s="9">
        <f t="shared" si="1"/>
        <v>0.21428571428571427</v>
      </c>
      <c r="E15" s="27" t="s">
        <v>70</v>
      </c>
      <c r="F15" s="24" t="s">
        <v>25</v>
      </c>
      <c r="G15" s="12">
        <v>1</v>
      </c>
      <c r="H15" s="88">
        <f>IF(B$20=0,0,G15/B$20)</f>
        <v>3.2258064516129031E-2</v>
      </c>
      <c r="I15" s="58">
        <v>8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26</v>
      </c>
      <c r="C16" s="10">
        <f>IF(B$3=0,0,B16/B$3)</f>
        <v>0.21848739495798319</v>
      </c>
      <c r="E16" s="27" t="s">
        <v>71</v>
      </c>
      <c r="F16" s="24" t="s">
        <v>26</v>
      </c>
      <c r="G16" s="12">
        <v>1</v>
      </c>
      <c r="H16" s="88">
        <f>IF(B$20=0,0,G16/B$20)</f>
        <v>3.2258064516129031E-2</v>
      </c>
      <c r="I16" s="58">
        <v>6</v>
      </c>
      <c r="K16" s="74">
        <v>14</v>
      </c>
      <c r="L16" s="119">
        <v>-125.80000000000004</v>
      </c>
      <c r="M16" s="117">
        <v>1630.1668189337324</v>
      </c>
      <c r="O16" s="74" t="s">
        <v>126</v>
      </c>
      <c r="P16" s="83">
        <f>IF(Q16=0,0,R16/Q16)</f>
        <v>-17.366666666666678</v>
      </c>
      <c r="Q16" s="77">
        <v>12</v>
      </c>
      <c r="R16" s="68">
        <v>-208.40000000000012</v>
      </c>
    </row>
    <row r="17" spans="1:18" x14ac:dyDescent="0.45">
      <c r="A17" s="19" t="s">
        <v>118</v>
      </c>
      <c r="B17" s="12">
        <v>27</v>
      </c>
      <c r="C17" s="6">
        <f>IF(B$3=0,0,B17/B$3)</f>
        <v>0.22689075630252101</v>
      </c>
      <c r="E17" s="27" t="s">
        <v>79</v>
      </c>
      <c r="F17" s="24" t="s">
        <v>34</v>
      </c>
      <c r="G17" s="12">
        <v>1</v>
      </c>
      <c r="H17" s="88">
        <f>IF(B$20=0,0,G17/B$20)</f>
        <v>3.2258064516129031E-2</v>
      </c>
      <c r="I17" s="58">
        <v>3</v>
      </c>
      <c r="O17" s="74" t="s">
        <v>189</v>
      </c>
      <c r="P17" s="83">
        <f>IF(Q17=0,0,R17/Q17)</f>
        <v>-28.700000000000003</v>
      </c>
      <c r="Q17" s="77">
        <v>3</v>
      </c>
      <c r="R17" s="68">
        <v>-86.100000000000009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85</v>
      </c>
      <c r="F18" s="24" t="s">
        <v>40</v>
      </c>
      <c r="G18" s="12">
        <v>1</v>
      </c>
      <c r="H18" s="88">
        <f>IF(B$20=0,0,G18/B$20)</f>
        <v>3.2258064516129031E-2</v>
      </c>
      <c r="I18" s="58">
        <v>2</v>
      </c>
      <c r="O18" s="74" t="s">
        <v>192</v>
      </c>
      <c r="P18" s="83">
        <f>IF(Q18=0,0,R18/Q18)</f>
        <v>-31.575000000000003</v>
      </c>
      <c r="Q18" s="77">
        <v>4</v>
      </c>
      <c r="R18" s="68">
        <v>-126.30000000000001</v>
      </c>
    </row>
    <row r="19" spans="1:18" x14ac:dyDescent="0.45">
      <c r="A19" s="18" t="s">
        <v>124</v>
      </c>
      <c r="B19" s="11">
        <f>B25</f>
        <v>9</v>
      </c>
      <c r="C19" s="5">
        <f>IF(B$17=0,0,B19/B$17)</f>
        <v>0.33333333333333331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5</v>
      </c>
      <c r="O19" s="74" t="s">
        <v>211</v>
      </c>
      <c r="P19" s="83">
        <f>IF(Q19=0,0,R19/Q19)</f>
        <v>-39</v>
      </c>
      <c r="Q19" s="77">
        <v>4</v>
      </c>
      <c r="R19" s="68">
        <v>-156</v>
      </c>
    </row>
    <row r="20" spans="1:18" x14ac:dyDescent="0.45">
      <c r="A20" s="18" t="s">
        <v>10</v>
      </c>
      <c r="B20" s="11">
        <f>B23+B22</f>
        <v>31</v>
      </c>
      <c r="C20" s="5">
        <f>IF(B$3=0,0,B20/B$3)</f>
        <v>0.26050420168067229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23</v>
      </c>
      <c r="C21" s="6">
        <f>IF(B$3=0,0,B21/B$3)</f>
        <v>0.19327731092436976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12</v>
      </c>
      <c r="C22" s="6">
        <f>IF(B$20=0,0,B22/B$20)</f>
        <v>0.38709677419354838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19</v>
      </c>
      <c r="C23" s="6">
        <f>IF(B$20=0,0,B23/B$20)</f>
        <v>0.61290322580645162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12</v>
      </c>
      <c r="C24" s="6">
        <f>IF(B$20=0,0,B24/B$20)</f>
        <v>0.38709677419354838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9</v>
      </c>
      <c r="C25" s="6">
        <f>IF(B$20=0,0,B25/B$20)</f>
        <v>0.29032258064516131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10</v>
      </c>
      <c r="C26" s="6">
        <f>IF(B$20=0,0,B26/B$20)</f>
        <v>0.32258064516129031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9070.967741935483</v>
      </c>
      <c r="C27" s="8">
        <v>281200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9163.636363636364</v>
      </c>
      <c r="C28" s="96">
        <v>201600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8844.4444444444453</v>
      </c>
      <c r="C29" s="96">
        <v>79600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-9169.565217391304</v>
      </c>
      <c r="C30" s="96">
        <v>-210900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14</v>
      </c>
      <c r="C32" s="90">
        <v>14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8.4033613445378148E-3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2</v>
      </c>
      <c r="C37" s="98">
        <f t="shared" ref="C37:C49" si="2">IF(B$20=0,0,B37/B$20)</f>
        <v>6.4516129032258063E-2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0.12903225806451613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0.16129032258064516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0.16129032258064516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9</v>
      </c>
      <c r="C41" s="6">
        <f t="shared" si="2"/>
        <v>0.29032258064516131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4</v>
      </c>
      <c r="C42" s="6">
        <f t="shared" si="2"/>
        <v>0.12903225806451613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6.4516129032258063E-2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72</v>
      </c>
      <c r="F2" s="23" t="s">
        <v>27</v>
      </c>
      <c r="G2" s="11">
        <v>40</v>
      </c>
      <c r="H2" s="87">
        <f>IF(B$20=0,0,G2/B$20)</f>
        <v>0.83333333333333337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-1650</v>
      </c>
      <c r="Q2" s="76">
        <v>18</v>
      </c>
      <c r="R2" s="63">
        <v>-29700</v>
      </c>
    </row>
    <row r="3" spans="1:18" x14ac:dyDescent="0.45">
      <c r="A3" s="19" t="s">
        <v>8</v>
      </c>
      <c r="B3" s="135">
        <v>159</v>
      </c>
      <c r="C3" s="136"/>
      <c r="E3" s="27" t="s">
        <v>66</v>
      </c>
      <c r="F3" s="24" t="s">
        <v>22</v>
      </c>
      <c r="G3" s="12">
        <v>30</v>
      </c>
      <c r="H3" s="88">
        <f>IF(B$20=0,0,G3/B$20)</f>
        <v>0.625</v>
      </c>
      <c r="I3" s="58">
        <v>9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-527.77777777777783</v>
      </c>
      <c r="Q3" s="77">
        <v>18</v>
      </c>
      <c r="R3" s="64">
        <v>-9500</v>
      </c>
    </row>
    <row r="4" spans="1:18" x14ac:dyDescent="0.45">
      <c r="A4" s="19" t="s">
        <v>6</v>
      </c>
      <c r="B4" s="137">
        <v>15.100000000000009</v>
      </c>
      <c r="C4" s="138"/>
      <c r="E4" s="27" t="s">
        <v>64</v>
      </c>
      <c r="F4" s="24" t="s">
        <v>20</v>
      </c>
      <c r="G4" s="12">
        <v>17</v>
      </c>
      <c r="H4" s="88">
        <f>IF(B$20=0,0,G4/B$20)</f>
        <v>0.35416666666666669</v>
      </c>
      <c r="I4" s="58">
        <v>7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1511.1111111111111</v>
      </c>
      <c r="Q4" s="77">
        <v>18</v>
      </c>
      <c r="R4" s="64">
        <v>27200</v>
      </c>
    </row>
    <row r="5" spans="1:18" x14ac:dyDescent="0.45">
      <c r="A5" s="19" t="s">
        <v>7</v>
      </c>
      <c r="B5" s="125">
        <f>IF(B$2=0,0,B$4/B$2)</f>
        <v>0.83888888888888935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0.3125</v>
      </c>
      <c r="I5" s="58">
        <v>5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211.11111111111111</v>
      </c>
      <c r="Q5" s="77">
        <v>18</v>
      </c>
      <c r="R5" s="64">
        <v>3800</v>
      </c>
    </row>
    <row r="6" spans="1:18" x14ac:dyDescent="0.45">
      <c r="A6" s="19" t="s">
        <v>196</v>
      </c>
      <c r="B6" s="129">
        <v>1450.6884191024681</v>
      </c>
      <c r="C6" s="130"/>
      <c r="E6" s="27" t="s">
        <v>67</v>
      </c>
      <c r="F6" s="24" t="s">
        <v>23</v>
      </c>
      <c r="G6" s="12">
        <v>14</v>
      </c>
      <c r="H6" s="88">
        <f>IF(B$20=0,0,G6/B$20)</f>
        <v>0.29166666666666669</v>
      </c>
      <c r="I6" s="58">
        <v>2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-83.333333333333329</v>
      </c>
      <c r="Q6" s="77">
        <v>18</v>
      </c>
      <c r="R6" s="64">
        <v>-1500</v>
      </c>
    </row>
    <row r="7" spans="1:18" x14ac:dyDescent="0.45">
      <c r="A7" s="19" t="s">
        <v>1</v>
      </c>
      <c r="B7" s="139">
        <f>IF(B$2=0,0,(B$8*1+B$9*2+B$10*3)/B$2)</f>
        <v>1.9444444444444444</v>
      </c>
      <c r="C7" s="140"/>
      <c r="E7" s="27" t="s">
        <v>159</v>
      </c>
      <c r="F7" s="24" t="s">
        <v>160</v>
      </c>
      <c r="G7" s="12">
        <v>14</v>
      </c>
      <c r="H7" s="88">
        <f>IF(B$20=0,0,G7/B$20)</f>
        <v>0.29166666666666669</v>
      </c>
      <c r="I7" s="58">
        <v>9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2053.3333333333335</v>
      </c>
      <c r="Q7" s="78">
        <v>15</v>
      </c>
      <c r="R7" s="65">
        <v>30800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7</v>
      </c>
      <c r="H8" s="88">
        <f>IF(B$20=0,0,G8/B$20)</f>
        <v>0.14583333333333334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0.3888888888888889</v>
      </c>
      <c r="E9" s="27" t="s">
        <v>65</v>
      </c>
      <c r="F9" s="24" t="s">
        <v>21</v>
      </c>
      <c r="G9" s="12">
        <v>4</v>
      </c>
      <c r="H9" s="88">
        <f>IF(B$20=0,0,G9/B$20)</f>
        <v>8.3333333333333329E-2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0.27777777777777779</v>
      </c>
      <c r="E10" s="27" t="s">
        <v>70</v>
      </c>
      <c r="F10" s="24" t="s">
        <v>25</v>
      </c>
      <c r="G10" s="12">
        <v>4</v>
      </c>
      <c r="H10" s="88">
        <f>IF(B$20=0,0,G10/B$20)</f>
        <v>8.3333333333333329E-2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2.3833333333333333</v>
      </c>
      <c r="Q10" s="76">
        <v>6</v>
      </c>
      <c r="R10" s="67">
        <v>14.3</v>
      </c>
    </row>
    <row r="11" spans="1:18" x14ac:dyDescent="0.45">
      <c r="A11" s="20" t="s">
        <v>184</v>
      </c>
      <c r="B11" s="109">
        <f>IF(B8=0,0,C11/B8)</f>
        <v>18.083333333333332</v>
      </c>
      <c r="C11" s="110">
        <v>108.5</v>
      </c>
      <c r="E11" s="27" t="s">
        <v>69</v>
      </c>
      <c r="F11" s="24" t="s">
        <v>24</v>
      </c>
      <c r="G11" s="12">
        <v>2</v>
      </c>
      <c r="H11" s="88">
        <f>IF(B$20=0,0,G11/B$20)</f>
        <v>4.1666666666666664E-2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-6.7799999999999994</v>
      </c>
      <c r="Q11" s="77">
        <v>5</v>
      </c>
      <c r="R11" s="68">
        <v>-33.9</v>
      </c>
    </row>
    <row r="12" spans="1:18" x14ac:dyDescent="0.45">
      <c r="A12" s="20" t="s">
        <v>185</v>
      </c>
      <c r="B12" s="109">
        <f>IF(B9=0,0,C12/B9)</f>
        <v>6.9285714285714288</v>
      </c>
      <c r="C12" s="110">
        <v>48.5</v>
      </c>
      <c r="E12" s="27" t="s">
        <v>79</v>
      </c>
      <c r="F12" s="24" t="s">
        <v>34</v>
      </c>
      <c r="G12" s="12">
        <v>2</v>
      </c>
      <c r="H12" s="88">
        <f>IF(B$20=0,0,G12/B$20)</f>
        <v>4.1666666666666664E-2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4.9571428571428555</v>
      </c>
      <c r="Q12" s="78">
        <v>7</v>
      </c>
      <c r="R12" s="69">
        <v>34.699999999999989</v>
      </c>
    </row>
    <row r="13" spans="1:18" x14ac:dyDescent="0.45">
      <c r="A13" s="20" t="s">
        <v>186</v>
      </c>
      <c r="B13" s="109">
        <f>IF(B10=0,0,C13/B10)</f>
        <v>-28.379999999999995</v>
      </c>
      <c r="C13" s="110">
        <v>-141.89999999999998</v>
      </c>
      <c r="E13" s="27" t="s">
        <v>83</v>
      </c>
      <c r="F13" s="24" t="s">
        <v>38</v>
      </c>
      <c r="G13" s="12">
        <v>2</v>
      </c>
      <c r="H13" s="88">
        <f>IF(B$20=0,0,G13/B$20)</f>
        <v>4.1666666666666664E-2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-1.1226984126984121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4.1666666666666664E-2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71</v>
      </c>
      <c r="F15" s="24" t="s">
        <v>26</v>
      </c>
      <c r="G15" s="12">
        <v>1</v>
      </c>
      <c r="H15" s="88">
        <f>IF(B$20=0,0,G15/B$20)</f>
        <v>2.0833333333333332E-2</v>
      </c>
      <c r="I15" s="58">
        <v>7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 t="shared" ref="P15:P20" si="2"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40</v>
      </c>
      <c r="C16" s="10">
        <f>IF(B$3=0,0,B16/B$3)</f>
        <v>0.25157232704402516</v>
      </c>
      <c r="E16" s="27" t="s">
        <v>86</v>
      </c>
      <c r="F16" s="24" t="s">
        <v>41</v>
      </c>
      <c r="G16" s="12">
        <v>1</v>
      </c>
      <c r="H16" s="88">
        <f>IF(B$20=0,0,G16/B$20)</f>
        <v>2.0833333333333332E-2</v>
      </c>
      <c r="I16" s="58">
        <v>8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 t="shared" si="2"/>
        <v>28.700000000000006</v>
      </c>
      <c r="Q16" s="77">
        <v>3</v>
      </c>
      <c r="R16" s="68">
        <v>86.100000000000023</v>
      </c>
    </row>
    <row r="17" spans="1:18" x14ac:dyDescent="0.45">
      <c r="A17" s="19" t="s">
        <v>118</v>
      </c>
      <c r="B17" s="12">
        <v>51</v>
      </c>
      <c r="C17" s="6">
        <f>IF(B$3=0,0,B17/B$3)</f>
        <v>0.32075471698113206</v>
      </c>
      <c r="E17" s="27" t="s">
        <v>88</v>
      </c>
      <c r="F17" s="24" t="s">
        <v>43</v>
      </c>
      <c r="G17" s="12">
        <v>1</v>
      </c>
      <c r="H17" s="88">
        <f>IF(B$20=0,0,G17/B$20)</f>
        <v>2.0833333333333332E-2</v>
      </c>
      <c r="I17" s="58">
        <v>1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0.45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 t="shared" si="2"/>
        <v>2.7066666666666657</v>
      </c>
      <c r="Q18" s="77">
        <v>15</v>
      </c>
      <c r="R18" s="68">
        <v>40.599999999999987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0.47058823529411764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48</v>
      </c>
      <c r="C20" s="5">
        <f>IF(B$3=0,0,B20/B$3)</f>
        <v>0.30188679245283018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 t="shared" si="2"/>
        <v>-15.020000000000001</v>
      </c>
      <c r="Q20" s="77">
        <v>10</v>
      </c>
      <c r="R20" s="68">
        <v>-150.20000000000002</v>
      </c>
    </row>
    <row r="21" spans="1:18" x14ac:dyDescent="0.45">
      <c r="A21" s="19" t="s">
        <v>13</v>
      </c>
      <c r="B21" s="12">
        <v>26</v>
      </c>
      <c r="C21" s="6">
        <f>IF(B$3=0,0,B21/B$3)</f>
        <v>0.16352201257861634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24</v>
      </c>
      <c r="C22" s="6">
        <f>IF(B$20=0,0,B22/B$20)</f>
        <v>0.5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24</v>
      </c>
      <c r="C23" s="6">
        <f>IF(B$20=0,0,B23/B$20)</f>
        <v>0.5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18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24</v>
      </c>
      <c r="C25" s="6">
        <f>IF(B$20=0,0,B25/B$20)</f>
        <v>0.5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0.125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6945.833333333333</v>
      </c>
      <c r="C27" s="8">
        <v>333400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8095.833333333333</v>
      </c>
      <c r="C28" s="96">
        <v>194300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5795.833333333333</v>
      </c>
      <c r="C29" s="96">
        <v>139100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-6669.2307692307695</v>
      </c>
      <c r="C30" s="96">
        <v>-173400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21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6.2893081761006293E-3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15</v>
      </c>
      <c r="C38" s="6">
        <f t="shared" si="3"/>
        <v>0.3125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3"/>
        <v>0.14583333333333334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3"/>
        <v>4.1666666666666664E-2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3"/>
        <v>4.1666666666666664E-2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4.1666666666666664E-2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2.0833333333333332E-2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3"/>
        <v>6.25E-2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3"/>
        <v>4.1666666666666664E-2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7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3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5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4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48</v>
      </c>
      <c r="H2" s="87">
        <f>IF(B$20=0,0,G2/B$20)</f>
        <v>0.94117647058823528</v>
      </c>
      <c r="I2" s="57">
        <v>3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189.47368421052633</v>
      </c>
      <c r="Q2" s="76">
        <v>19</v>
      </c>
      <c r="R2" s="63">
        <v>3600</v>
      </c>
    </row>
    <row r="3" spans="1:18" x14ac:dyDescent="0.45">
      <c r="A3" s="19" t="s">
        <v>8</v>
      </c>
      <c r="B3" s="135">
        <v>151</v>
      </c>
      <c r="C3" s="136"/>
      <c r="E3" s="27" t="s">
        <v>72</v>
      </c>
      <c r="F3" s="24" t="s">
        <v>27</v>
      </c>
      <c r="G3" s="12">
        <v>34</v>
      </c>
      <c r="H3" s="88">
        <f>IF(B$20=0,0,G3/B$20)</f>
        <v>0.66666666666666663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452.63157894736844</v>
      </c>
      <c r="Q3" s="77">
        <v>19</v>
      </c>
      <c r="R3" s="64">
        <v>8600</v>
      </c>
    </row>
    <row r="4" spans="1:18" x14ac:dyDescent="0.45">
      <c r="A4" s="19" t="s">
        <v>6</v>
      </c>
      <c r="B4" s="137">
        <v>126.80000000000001</v>
      </c>
      <c r="C4" s="138"/>
      <c r="E4" s="27" t="s">
        <v>64</v>
      </c>
      <c r="F4" s="24" t="s">
        <v>20</v>
      </c>
      <c r="G4" s="12">
        <v>18</v>
      </c>
      <c r="H4" s="88">
        <f>IF(B$20=0,0,G4/B$20)</f>
        <v>0.35294117647058826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3657.8947368421054</v>
      </c>
      <c r="Q4" s="77">
        <v>19</v>
      </c>
      <c r="R4" s="64">
        <v>69500</v>
      </c>
    </row>
    <row r="5" spans="1:18" x14ac:dyDescent="0.45">
      <c r="A5" s="19" t="s">
        <v>7</v>
      </c>
      <c r="B5" s="125">
        <f>IF(B$2=0,0,B$4/B$2)</f>
        <v>6.6736842105263161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0.23529411764705882</v>
      </c>
      <c r="I5" s="58">
        <v>5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-1035.2941176470588</v>
      </c>
      <c r="Q5" s="77">
        <v>17</v>
      </c>
      <c r="R5" s="64">
        <v>-17600</v>
      </c>
    </row>
    <row r="6" spans="1:18" x14ac:dyDescent="0.45">
      <c r="A6" s="19" t="s">
        <v>196</v>
      </c>
      <c r="B6" s="129">
        <v>1520.8008041195092</v>
      </c>
      <c r="C6" s="130"/>
      <c r="E6" s="27" t="s">
        <v>159</v>
      </c>
      <c r="F6" s="24" t="s">
        <v>160</v>
      </c>
      <c r="G6" s="12">
        <v>11</v>
      </c>
      <c r="H6" s="88">
        <f>IF(B$20=0,0,G6/B$20)</f>
        <v>0.21568627450980393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2328.5714285714284</v>
      </c>
      <c r="Q6" s="77">
        <v>14</v>
      </c>
      <c r="R6" s="64">
        <v>32600</v>
      </c>
    </row>
    <row r="7" spans="1:18" x14ac:dyDescent="0.45">
      <c r="A7" s="19" t="s">
        <v>1</v>
      </c>
      <c r="B7" s="139">
        <f>IF(B$2=0,0,(B$8*1+B$9*2+B$10*3)/B$2)</f>
        <v>1.8421052631578947</v>
      </c>
      <c r="C7" s="140"/>
      <c r="E7" s="27" t="s">
        <v>68</v>
      </c>
      <c r="F7" s="24" t="s">
        <v>12</v>
      </c>
      <c r="G7" s="12">
        <v>9</v>
      </c>
      <c r="H7" s="88">
        <f>IF(B$20=0,0,G7/B$20)</f>
        <v>0.17647058823529413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940</v>
      </c>
      <c r="Q7" s="78">
        <v>15</v>
      </c>
      <c r="R7" s="65">
        <v>14100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0.42105263157894735</v>
      </c>
      <c r="E8" s="27" t="s">
        <v>89</v>
      </c>
      <c r="F8" s="24" t="s">
        <v>44</v>
      </c>
      <c r="G8" s="12">
        <v>8</v>
      </c>
      <c r="H8" s="88">
        <f>IF(B$20=0,0,G8/B$20)</f>
        <v>0.15686274509803921</v>
      </c>
      <c r="I8" s="58">
        <v>7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0.31578947368421051</v>
      </c>
      <c r="E9" s="27" t="s">
        <v>69</v>
      </c>
      <c r="F9" s="24" t="s">
        <v>24</v>
      </c>
      <c r="G9" s="12">
        <v>7</v>
      </c>
      <c r="H9" s="88">
        <f>IF(B$20=0,0,G9/B$20)</f>
        <v>0.13725490196078433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0.26315789473684209</v>
      </c>
      <c r="E10" s="27" t="s">
        <v>71</v>
      </c>
      <c r="F10" s="24" t="s">
        <v>26</v>
      </c>
      <c r="G10" s="12">
        <v>6</v>
      </c>
      <c r="H10" s="88">
        <f>IF(B$20=0,0,G10/B$20)</f>
        <v>0.11764705882352941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33.475000000000001</v>
      </c>
      <c r="C11" s="110">
        <v>267.8</v>
      </c>
      <c r="E11" s="27" t="s">
        <v>91</v>
      </c>
      <c r="F11" s="24" t="s">
        <v>46</v>
      </c>
      <c r="G11" s="12">
        <v>4</v>
      </c>
      <c r="H11" s="88">
        <f>IF(B$20=0,0,G11/B$20)</f>
        <v>7.8431372549019607E-2</v>
      </c>
      <c r="I11" s="58">
        <v>1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5.4428571428571439</v>
      </c>
      <c r="Q11" s="77">
        <v>7</v>
      </c>
      <c r="R11" s="68">
        <v>38.100000000000009</v>
      </c>
    </row>
    <row r="12" spans="1:18" x14ac:dyDescent="0.45">
      <c r="A12" s="20" t="s">
        <v>185</v>
      </c>
      <c r="B12" s="109">
        <f>IF(B9=0,0,C12/B9)</f>
        <v>0.41666666666666624</v>
      </c>
      <c r="C12" s="110">
        <v>2.4999999999999973</v>
      </c>
      <c r="E12" s="27" t="s">
        <v>81</v>
      </c>
      <c r="F12" s="24" t="s">
        <v>36</v>
      </c>
      <c r="G12" s="12">
        <v>3</v>
      </c>
      <c r="H12" s="88">
        <f>IF(B$20=0,0,G12/B$20)</f>
        <v>5.8823529411764705E-2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14.787499999999998</v>
      </c>
      <c r="Q12" s="78">
        <v>8</v>
      </c>
      <c r="R12" s="69">
        <v>118.29999999999998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83</v>
      </c>
      <c r="F13" s="24" t="s">
        <v>38</v>
      </c>
      <c r="G13" s="12">
        <v>3</v>
      </c>
      <c r="H13" s="88">
        <f>IF(B$20=0,0,G13/B$20)</f>
        <v>5.8823529411764705E-2</v>
      </c>
      <c r="I13" s="58">
        <v>4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1.7305555555555554</v>
      </c>
      <c r="C14" s="126"/>
      <c r="E14" s="27" t="s">
        <v>86</v>
      </c>
      <c r="F14" s="24" t="s">
        <v>41</v>
      </c>
      <c r="G14" s="12">
        <v>3</v>
      </c>
      <c r="H14" s="88">
        <f>IF(B$20=0,0,G14/B$20)</f>
        <v>5.8823529411764705E-2</v>
      </c>
      <c r="I14" s="58">
        <v>3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5.2631578947368418E-2</v>
      </c>
      <c r="E15" s="27" t="s">
        <v>65</v>
      </c>
      <c r="F15" s="24" t="s">
        <v>21</v>
      </c>
      <c r="G15" s="12">
        <v>2</v>
      </c>
      <c r="H15" s="88">
        <f>IF(B$20=0,0,G15/B$20)</f>
        <v>3.9215686274509803E-2</v>
      </c>
      <c r="I15" s="58">
        <v>9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33</v>
      </c>
      <c r="C16" s="10">
        <f>IF(B$3=0,0,B16/B$3)</f>
        <v>0.2185430463576159</v>
      </c>
      <c r="E16" s="27" t="s">
        <v>70</v>
      </c>
      <c r="F16" s="24" t="s">
        <v>25</v>
      </c>
      <c r="G16" s="12">
        <v>2</v>
      </c>
      <c r="H16" s="88">
        <f>IF(B$20=0,0,G16/B$20)</f>
        <v>3.9215686274509803E-2</v>
      </c>
      <c r="I16" s="58">
        <v>7</v>
      </c>
      <c r="K16" s="74">
        <v>14</v>
      </c>
      <c r="L16" s="119">
        <v>99.300000000000011</v>
      </c>
      <c r="M16" s="117">
        <v>1512.415829547685</v>
      </c>
      <c r="O16" s="74" t="s">
        <v>163</v>
      </c>
      <c r="P16" s="83">
        <f t="shared" si="2"/>
        <v>39</v>
      </c>
      <c r="Q16" s="77">
        <v>4</v>
      </c>
      <c r="R16" s="68">
        <v>156</v>
      </c>
    </row>
    <row r="17" spans="1:18" x14ac:dyDescent="0.45">
      <c r="A17" s="19" t="s">
        <v>118</v>
      </c>
      <c r="B17" s="12">
        <v>39</v>
      </c>
      <c r="C17" s="6">
        <f>IF(B$3=0,0,B17/B$3)</f>
        <v>0.25827814569536423</v>
      </c>
      <c r="E17" s="27" t="s">
        <v>73</v>
      </c>
      <c r="F17" s="24" t="s">
        <v>28</v>
      </c>
      <c r="G17" s="12">
        <v>2</v>
      </c>
      <c r="H17" s="88">
        <f>IF(B$20=0,0,G17/B$20)</f>
        <v>3.9215686274509803E-2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192</v>
      </c>
      <c r="P17" s="83">
        <f t="shared" si="2"/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0.54545454545454541</v>
      </c>
      <c r="E18" s="27" t="s">
        <v>78</v>
      </c>
      <c r="F18" s="24" t="s">
        <v>33</v>
      </c>
      <c r="G18" s="12">
        <v>2</v>
      </c>
      <c r="H18" s="88">
        <f>IF(B$20=0,0,G18/B$20)</f>
        <v>3.9215686274509803E-2</v>
      </c>
      <c r="I18" s="58">
        <v>3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 t="shared" si="2"/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23</v>
      </c>
      <c r="C19" s="5">
        <f>IF(B$17=0,0,B19/B$17)</f>
        <v>0.58974358974358976</v>
      </c>
      <c r="E19" s="27" t="s">
        <v>75</v>
      </c>
      <c r="F19" s="24" t="s">
        <v>30</v>
      </c>
      <c r="G19" s="12">
        <v>1</v>
      </c>
      <c r="H19" s="88">
        <f>IF(B$20=0,0,G19/B$20)</f>
        <v>1.9607843137254902E-2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216</v>
      </c>
      <c r="P19" s="83">
        <f t="shared" si="2"/>
        <v>15.922222222222224</v>
      </c>
      <c r="Q19" s="77">
        <v>9</v>
      </c>
      <c r="R19" s="68">
        <v>143.30000000000001</v>
      </c>
    </row>
    <row r="20" spans="1:18" x14ac:dyDescent="0.45">
      <c r="A20" s="18" t="s">
        <v>10</v>
      </c>
      <c r="B20" s="11">
        <f>B23+B22</f>
        <v>51</v>
      </c>
      <c r="C20" s="5">
        <f>IF(B$3=0,0,B20/B$3)</f>
        <v>0.33774834437086093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190</v>
      </c>
      <c r="P20" s="83">
        <f t="shared" si="2"/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23</v>
      </c>
      <c r="C21" s="6">
        <f>IF(B$3=0,0,B21/B$3)</f>
        <v>0.15231788079470199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126</v>
      </c>
      <c r="P21" s="83">
        <f t="shared" si="2"/>
        <v>0.48333333333333323</v>
      </c>
      <c r="Q21" s="77">
        <v>12</v>
      </c>
      <c r="R21" s="68">
        <v>5.7999999999999989</v>
      </c>
    </row>
    <row r="22" spans="1:18" x14ac:dyDescent="0.45">
      <c r="A22" s="19" t="s">
        <v>12</v>
      </c>
      <c r="B22" s="12">
        <v>20</v>
      </c>
      <c r="C22" s="6">
        <f>IF(B$20=0,0,B22/B$20)</f>
        <v>0.39215686274509803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 t="shared" si="2"/>
        <v>-1.3800000000000014</v>
      </c>
      <c r="Q22" s="77">
        <v>5</v>
      </c>
      <c r="R22" s="68">
        <v>-6.9000000000000075</v>
      </c>
    </row>
    <row r="23" spans="1:18" x14ac:dyDescent="0.45">
      <c r="A23" s="19" t="s">
        <v>11</v>
      </c>
      <c r="B23" s="12">
        <v>31</v>
      </c>
      <c r="C23" s="6">
        <f>IF(B$20=0,0,B23/B$20)</f>
        <v>0.60784313725490191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18</v>
      </c>
      <c r="C24" s="6">
        <f>IF(B$20=0,0,B24/B$20)</f>
        <v>0.35294117647058826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23</v>
      </c>
      <c r="C25" s="6">
        <f>IF(B$20=0,0,B25/B$20)</f>
        <v>0.45098039215686275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10</v>
      </c>
      <c r="C26" s="6">
        <f>IF(B$20=0,0,B26/B$20)</f>
        <v>0.19607843137254902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8115.6862745098042</v>
      </c>
      <c r="C27" s="8">
        <v>413900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8725</v>
      </c>
      <c r="C28" s="96">
        <v>244300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7373.913043478261</v>
      </c>
      <c r="C29" s="96">
        <v>169600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4</v>
      </c>
    </row>
    <row r="30" spans="1:18" x14ac:dyDescent="0.45">
      <c r="A30" s="20" t="s">
        <v>164</v>
      </c>
      <c r="B30" s="95">
        <f>IF(B$21=0,0,C30/B$21)</f>
        <v>-7365.217391304348</v>
      </c>
      <c r="C30" s="96">
        <v>-169400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6.6225165562913907E-3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3">IF(B$20=0,0,B37/B$20)</f>
        <v>5.8823529411764705E-2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13</v>
      </c>
      <c r="C38" s="6">
        <f t="shared" si="3"/>
        <v>0.25490196078431371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3"/>
        <v>0.17647058823529413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3"/>
        <v>0.17647058823529413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5.8823529411764705E-2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3"/>
        <v>9.8039215686274508E-2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1.9607843137254902E-2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1.9607843137254902E-2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1.9607843137254902E-2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23</v>
      </c>
      <c r="C2" s="134"/>
      <c r="E2" s="26" t="s">
        <v>66</v>
      </c>
      <c r="F2" s="23" t="s">
        <v>22</v>
      </c>
      <c r="G2" s="11">
        <v>65</v>
      </c>
      <c r="H2" s="87">
        <f>IF(B$20=0,0,G2/B$20)</f>
        <v>0.97014925373134331</v>
      </c>
      <c r="I2" s="57">
        <v>2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4.3478260869565215</v>
      </c>
      <c r="Q2" s="76">
        <v>23</v>
      </c>
      <c r="R2" s="63">
        <v>100</v>
      </c>
    </row>
    <row r="3" spans="1:18" x14ac:dyDescent="0.45">
      <c r="A3" s="19" t="s">
        <v>8</v>
      </c>
      <c r="B3" s="135">
        <v>196</v>
      </c>
      <c r="C3" s="136"/>
      <c r="E3" s="27" t="s">
        <v>72</v>
      </c>
      <c r="F3" s="24" t="s">
        <v>27</v>
      </c>
      <c r="G3" s="12">
        <v>37</v>
      </c>
      <c r="H3" s="88">
        <f>IF(B$20=0,0,G3/B$20)</f>
        <v>0.55223880597014929</v>
      </c>
      <c r="I3" s="58">
        <v>9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1118.1818181818182</v>
      </c>
      <c r="Q3" s="77">
        <v>22</v>
      </c>
      <c r="R3" s="64">
        <v>24600</v>
      </c>
    </row>
    <row r="4" spans="1:18" x14ac:dyDescent="0.45">
      <c r="A4" s="19" t="s">
        <v>6</v>
      </c>
      <c r="B4" s="137">
        <v>125.1</v>
      </c>
      <c r="C4" s="138"/>
      <c r="E4" s="27" t="s">
        <v>159</v>
      </c>
      <c r="F4" s="24" t="s">
        <v>160</v>
      </c>
      <c r="G4" s="12">
        <v>34</v>
      </c>
      <c r="H4" s="88">
        <f>IF(B$20=0,0,G4/B$20)</f>
        <v>0.5074626865671642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290.90909090909093</v>
      </c>
      <c r="Q4" s="77">
        <v>22</v>
      </c>
      <c r="R4" s="64">
        <v>6400</v>
      </c>
    </row>
    <row r="5" spans="1:18" x14ac:dyDescent="0.45">
      <c r="A5" s="19" t="s">
        <v>7</v>
      </c>
      <c r="B5" s="125">
        <f>IF(B$2=0,0,B$4/B$2)</f>
        <v>5.4391304347826086</v>
      </c>
      <c r="C5" s="126"/>
      <c r="E5" s="27" t="s">
        <v>64</v>
      </c>
      <c r="F5" s="24" t="s">
        <v>20</v>
      </c>
      <c r="G5" s="12">
        <v>22</v>
      </c>
      <c r="H5" s="88">
        <f>IF(B$20=0,0,G5/B$20)</f>
        <v>0.32835820895522388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33.333333333333336</v>
      </c>
      <c r="Q5" s="77">
        <v>21</v>
      </c>
      <c r="R5" s="64">
        <v>700</v>
      </c>
    </row>
    <row r="6" spans="1:18" x14ac:dyDescent="0.45">
      <c r="A6" s="19" t="s">
        <v>196</v>
      </c>
      <c r="B6" s="129">
        <v>1549.7522919810183</v>
      </c>
      <c r="C6" s="130"/>
      <c r="E6" s="27" t="s">
        <v>68</v>
      </c>
      <c r="F6" s="24" t="s">
        <v>12</v>
      </c>
      <c r="G6" s="12">
        <v>21</v>
      </c>
      <c r="H6" s="88">
        <f>IF(B$20=0,0,G6/B$20)</f>
        <v>0.31343283582089554</v>
      </c>
      <c r="I6" s="58">
        <v>4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1926.3157894736842</v>
      </c>
      <c r="Q6" s="77">
        <v>19</v>
      </c>
      <c r="R6" s="64">
        <v>36600</v>
      </c>
    </row>
    <row r="7" spans="1:18" x14ac:dyDescent="0.45">
      <c r="A7" s="19" t="s">
        <v>1</v>
      </c>
      <c r="B7" s="139">
        <f>IF(B$2=0,0,(B$8*1+B$9*2+B$10*3)/B$2)</f>
        <v>1.7391304347826086</v>
      </c>
      <c r="C7" s="140"/>
      <c r="E7" s="27" t="s">
        <v>70</v>
      </c>
      <c r="F7" s="24" t="s">
        <v>25</v>
      </c>
      <c r="G7" s="12">
        <v>11</v>
      </c>
      <c r="H7" s="88">
        <f>IF(B$20=0,0,G7/B$20)</f>
        <v>0.16417910447761194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-556.25</v>
      </c>
      <c r="Q7" s="78">
        <v>16</v>
      </c>
      <c r="R7" s="65">
        <v>-8900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0.47826086956521741</v>
      </c>
      <c r="E8" s="27" t="s">
        <v>67</v>
      </c>
      <c r="F8" s="24" t="s">
        <v>23</v>
      </c>
      <c r="G8" s="12">
        <v>10</v>
      </c>
      <c r="H8" s="88">
        <f>IF(B$20=0,0,G8/B$20)</f>
        <v>0.14925373134328357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0.30434782608695654</v>
      </c>
      <c r="E9" s="27" t="s">
        <v>89</v>
      </c>
      <c r="F9" s="24" t="s">
        <v>44</v>
      </c>
      <c r="G9" s="12">
        <v>9</v>
      </c>
      <c r="H9" s="88">
        <f>IF(B$20=0,0,G9/B$20)</f>
        <v>0.13432835820895522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0.21739130434782608</v>
      </c>
      <c r="E10" s="27" t="s">
        <v>71</v>
      </c>
      <c r="F10" s="24" t="s">
        <v>26</v>
      </c>
      <c r="G10" s="12">
        <v>7</v>
      </c>
      <c r="H10" s="88">
        <f>IF(B$20=0,0,G10/B$20)</f>
        <v>0.1044776119402985</v>
      </c>
      <c r="I10" s="58">
        <v>2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6.7363636363636354</v>
      </c>
      <c r="Q10" s="76">
        <v>11</v>
      </c>
      <c r="R10" s="67">
        <v>74.099999999999994</v>
      </c>
    </row>
    <row r="11" spans="1:18" x14ac:dyDescent="0.45">
      <c r="A11" s="20" t="s">
        <v>184</v>
      </c>
      <c r="B11" s="109">
        <f>IF(B8=0,0,C11/B8)</f>
        <v>29.990909090909096</v>
      </c>
      <c r="C11" s="110">
        <v>329.90000000000003</v>
      </c>
      <c r="E11" s="27" t="s">
        <v>69</v>
      </c>
      <c r="F11" s="24" t="s">
        <v>24</v>
      </c>
      <c r="G11" s="12">
        <v>6</v>
      </c>
      <c r="H11" s="88">
        <f>IF(B$20=0,0,G11/B$20)</f>
        <v>8.9552238805970144E-2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-5</v>
      </c>
      <c r="Q11" s="77">
        <v>8</v>
      </c>
      <c r="R11" s="68">
        <v>-40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78</v>
      </c>
      <c r="F12" s="24" t="s">
        <v>33</v>
      </c>
      <c r="G12" s="12">
        <v>2</v>
      </c>
      <c r="H12" s="88">
        <f>IF(B$20=0,0,G12/B$20)</f>
        <v>2.9850746268656716E-2</v>
      </c>
      <c r="I12" s="58">
        <v>4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22.75</v>
      </c>
      <c r="Q12" s="78">
        <v>4</v>
      </c>
      <c r="R12" s="69">
        <v>91</v>
      </c>
    </row>
    <row r="13" spans="1:18" x14ac:dyDescent="0.45">
      <c r="A13" s="20" t="s">
        <v>186</v>
      </c>
      <c r="B13" s="109">
        <f>IF(B10=0,0,C13/B10)</f>
        <v>-36.54</v>
      </c>
      <c r="C13" s="110">
        <v>-182.7</v>
      </c>
      <c r="E13" s="27" t="s">
        <v>83</v>
      </c>
      <c r="F13" s="24" t="s">
        <v>38</v>
      </c>
      <c r="G13" s="12">
        <v>2</v>
      </c>
      <c r="H13" s="88">
        <f>IF(B$20=0,0,G13/B$20)</f>
        <v>2.9850746268656716E-2</v>
      </c>
      <c r="I13" s="58">
        <v>8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-3.235411255411254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2.9850746268656716E-2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8.6956521739130432E-2</v>
      </c>
      <c r="E15" s="27" t="s">
        <v>65</v>
      </c>
      <c r="F15" s="24" t="s">
        <v>21</v>
      </c>
      <c r="G15" s="12">
        <v>1</v>
      </c>
      <c r="H15" s="88">
        <f>IF(B$20=0,0,G15/B$20)</f>
        <v>1.4925373134328358E-2</v>
      </c>
      <c r="I15" s="58">
        <v>10</v>
      </c>
      <c r="K15" s="74">
        <v>13</v>
      </c>
      <c r="L15" s="119">
        <v>-48.5</v>
      </c>
      <c r="M15" s="117">
        <v>1514.0489698444221</v>
      </c>
      <c r="O15" s="73" t="s">
        <v>216</v>
      </c>
      <c r="P15" s="82">
        <f>IF(Q15=0,0,R15/Q15)</f>
        <v>35.1</v>
      </c>
      <c r="Q15" s="76">
        <v>1</v>
      </c>
      <c r="R15" s="67">
        <v>35.1</v>
      </c>
    </row>
    <row r="16" spans="1:18" x14ac:dyDescent="0.45">
      <c r="A16" s="22" t="s">
        <v>121</v>
      </c>
      <c r="B16" s="15">
        <v>44</v>
      </c>
      <c r="C16" s="10">
        <f>IF(B$3=0,0,B16/B$3)</f>
        <v>0.22448979591836735</v>
      </c>
      <c r="E16" s="27" t="s">
        <v>73</v>
      </c>
      <c r="F16" s="24" t="s">
        <v>28</v>
      </c>
      <c r="G16" s="12">
        <v>1</v>
      </c>
      <c r="H16" s="88">
        <f>IF(B$20=0,0,G16/B$20)</f>
        <v>1.4925373134328358E-2</v>
      </c>
      <c r="I16" s="58">
        <v>2</v>
      </c>
      <c r="K16" s="74">
        <v>14</v>
      </c>
      <c r="L16" s="119">
        <v>-20.2</v>
      </c>
      <c r="M16" s="117">
        <v>1519.0406760253557</v>
      </c>
      <c r="O16" s="74" t="s">
        <v>163</v>
      </c>
      <c r="P16" s="83">
        <f>IF(Q16=0,0,R16/Q16)</f>
        <v>31.575000000000003</v>
      </c>
      <c r="Q16" s="77">
        <v>4</v>
      </c>
      <c r="R16" s="68">
        <v>126.30000000000001</v>
      </c>
    </row>
    <row r="17" spans="1:18" x14ac:dyDescent="0.45">
      <c r="A17" s="19" t="s">
        <v>118</v>
      </c>
      <c r="B17" s="12">
        <v>50</v>
      </c>
      <c r="C17" s="6">
        <f>IF(B$3=0,0,B17/B$3)</f>
        <v>0.25510204081632654</v>
      </c>
      <c r="E17" s="27" t="s">
        <v>79</v>
      </c>
      <c r="F17" s="24" t="s">
        <v>34</v>
      </c>
      <c r="G17" s="12">
        <v>1</v>
      </c>
      <c r="H17" s="88">
        <f>IF(B$20=0,0,G17/B$20)</f>
        <v>1.4925373134328358E-2</v>
      </c>
      <c r="I17" s="58">
        <v>5</v>
      </c>
      <c r="K17" s="74">
        <v>15</v>
      </c>
      <c r="L17" s="119">
        <v>22.500000000000004</v>
      </c>
      <c r="M17" s="117">
        <v>1526.5944319692035</v>
      </c>
      <c r="O17" s="74" t="s">
        <v>221</v>
      </c>
      <c r="P17" s="83">
        <f>IF(Q17=0,0,R17/Q17)</f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23</v>
      </c>
      <c r="C18" s="5">
        <f>IF(B$16=0,0,B18/B$16)</f>
        <v>0.52272727272727271</v>
      </c>
      <c r="E18" s="27" t="s">
        <v>81</v>
      </c>
      <c r="F18" s="24" t="s">
        <v>36</v>
      </c>
      <c r="G18" s="12">
        <v>1</v>
      </c>
      <c r="H18" s="88">
        <f>IF(B$20=0,0,G18/B$20)</f>
        <v>1.4925373134328358E-2</v>
      </c>
      <c r="I18" s="58">
        <v>8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15.020000000000001</v>
      </c>
      <c r="Q18" s="77">
        <v>10</v>
      </c>
      <c r="R18" s="68">
        <v>150.20000000000002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0.48</v>
      </c>
      <c r="E19" s="27" t="s">
        <v>88</v>
      </c>
      <c r="F19" s="24" t="s">
        <v>43</v>
      </c>
      <c r="G19" s="12">
        <v>1</v>
      </c>
      <c r="H19" s="88">
        <f>IF(B$20=0,0,G19/B$20)</f>
        <v>1.4925373134328358E-2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126</v>
      </c>
      <c r="P19" s="83">
        <f>IF(Q19=0,0,R19/Q19)</f>
        <v>3.5578947368421088</v>
      </c>
      <c r="Q19" s="77">
        <v>19</v>
      </c>
      <c r="R19" s="68">
        <v>67.600000000000065</v>
      </c>
    </row>
    <row r="20" spans="1:18" x14ac:dyDescent="0.45">
      <c r="A20" s="18" t="s">
        <v>10</v>
      </c>
      <c r="B20" s="11">
        <f>B23+B22</f>
        <v>67</v>
      </c>
      <c r="C20" s="5">
        <f>IF(B$3=0,0,B20/B$3)</f>
        <v>0.34183673469387754</v>
      </c>
      <c r="E20" s="27" t="s">
        <v>155</v>
      </c>
      <c r="F20" s="24" t="s">
        <v>156</v>
      </c>
      <c r="G20" s="12">
        <v>1</v>
      </c>
      <c r="H20" s="88">
        <f>IF(B$20=0,0,G20/B$20)</f>
        <v>1.4925373134328358E-2</v>
      </c>
      <c r="I20" s="58">
        <v>3</v>
      </c>
      <c r="K20" s="74">
        <v>18</v>
      </c>
      <c r="L20" s="119">
        <v>-22.299999999999997</v>
      </c>
      <c r="M20" s="117">
        <v>1520.2589978080132</v>
      </c>
      <c r="O20" s="74" t="s">
        <v>190</v>
      </c>
      <c r="P20" s="83">
        <f>IF(Q20=0,0,R20/Q20)</f>
        <v>3.0714285714285707</v>
      </c>
      <c r="Q20" s="77">
        <v>7</v>
      </c>
      <c r="R20" s="68">
        <v>21.499999999999996</v>
      </c>
    </row>
    <row r="21" spans="1:18" x14ac:dyDescent="0.45">
      <c r="A21" s="19" t="s">
        <v>13</v>
      </c>
      <c r="B21" s="12">
        <v>31</v>
      </c>
      <c r="C21" s="6">
        <f>IF(B$3=0,0,B21/B$3)</f>
        <v>0.15816326530612246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195</v>
      </c>
      <c r="P21" s="83">
        <f>IF(Q21=0,0,R21/Q21)</f>
        <v>-8.7333333333333343</v>
      </c>
      <c r="Q21" s="77">
        <v>3</v>
      </c>
      <c r="R21" s="68">
        <v>-26.200000000000003</v>
      </c>
    </row>
    <row r="22" spans="1:18" x14ac:dyDescent="0.45">
      <c r="A22" s="19" t="s">
        <v>12</v>
      </c>
      <c r="B22" s="12">
        <v>25</v>
      </c>
      <c r="C22" s="6">
        <f>IF(B$20=0,0,B22/B$20)</f>
        <v>0.37313432835820898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-16.2</v>
      </c>
      <c r="Q22" s="77">
        <v>1</v>
      </c>
      <c r="R22" s="68">
        <v>-16.2</v>
      </c>
    </row>
    <row r="23" spans="1:18" x14ac:dyDescent="0.45">
      <c r="A23" s="19" t="s">
        <v>11</v>
      </c>
      <c r="B23" s="12">
        <v>42</v>
      </c>
      <c r="C23" s="6">
        <f>IF(B$20=0,0,B23/B$20)</f>
        <v>0.62686567164179108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23</v>
      </c>
      <c r="C24" s="6">
        <f>IF(B$20=0,0,B24/B$20)</f>
        <v>0.34328358208955223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24</v>
      </c>
      <c r="C25" s="6">
        <f>IF(B$20=0,0,B25/B$20)</f>
        <v>0.35820895522388058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20</v>
      </c>
      <c r="C26" s="6">
        <f>IF(B$20=0,0,B26/B$20)</f>
        <v>0.29850746268656714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7525.373134328358</v>
      </c>
      <c r="C27" s="8">
        <v>504200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8481.3953488372099</v>
      </c>
      <c r="C28" s="96">
        <v>364700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5812.5</v>
      </c>
      <c r="C29" s="96">
        <v>139500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-7277.4193548387093</v>
      </c>
      <c r="C30" s="96">
        <v>-225600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16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67700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7</v>
      </c>
      <c r="C37" s="98">
        <f t="shared" ref="C37:C49" si="2">IF(B$20=0,0,B37/B$20)</f>
        <v>0.1044776119402985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14</v>
      </c>
      <c r="C38" s="6">
        <f t="shared" si="2"/>
        <v>0.20895522388059701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14</v>
      </c>
      <c r="C39" s="6">
        <f t="shared" si="2"/>
        <v>0.20895522388059701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11</v>
      </c>
      <c r="C40" s="6">
        <f t="shared" si="2"/>
        <v>0.16417910447761194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10</v>
      </c>
      <c r="C41" s="6">
        <f t="shared" si="2"/>
        <v>0.14925373134328357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1.4925373134328358E-2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6</v>
      </c>
      <c r="C43" s="6">
        <f t="shared" si="2"/>
        <v>8.9552238805970144E-2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2.9850746268656716E-2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1.4925373134328358E-2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1.4925373134328358E-2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10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8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7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9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5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211</v>
      </c>
      <c r="P17" s="83">
        <f t="shared" si="2"/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 t="shared" si="2"/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3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6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4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8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1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11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4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9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4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9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2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4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5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2020-10-23T12:00:52Z</dcterms:modified>
</cp:coreProperties>
</file>