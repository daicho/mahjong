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5CF5862C-8A57-410C-B2E2-6B87190F896C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9" i="6998" l="1"/>
  <c r="P18" i="6988"/>
  <c r="P21" i="6984" l="1"/>
  <c r="P16" i="6988"/>
  <c r="P15" i="6998" l="1"/>
  <c r="P24" i="6984"/>
  <c r="P16" i="6986" l="1"/>
  <c r="P20" i="6988"/>
  <c r="P22" i="6992"/>
  <c r="P15" i="6988"/>
  <c r="P19" i="6994" l="1"/>
  <c r="P17" i="6986"/>
  <c r="P18" i="6998" l="1"/>
  <c r="P19" i="6982"/>
  <c r="P23" i="6990" l="1"/>
  <c r="P18" i="6986"/>
  <c r="P15" i="6992" l="1"/>
  <c r="P19" i="6992"/>
  <c r="P20" i="6998"/>
  <c r="P17" i="7000"/>
  <c r="P16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20" i="6980"/>
  <c r="P17" i="6998"/>
  <c r="P16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8" i="6980"/>
  <c r="C41" i="6998" l="1"/>
  <c r="C23" i="6998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2" i="6998"/>
  <c r="H17" i="6998"/>
  <c r="H15" i="6998"/>
  <c r="C24" i="6998"/>
  <c r="H38" i="6998"/>
  <c r="C43" i="6998"/>
  <c r="C49" i="6998"/>
  <c r="H26" i="6998"/>
  <c r="H39" i="6998"/>
  <c r="H44" i="6998"/>
  <c r="H50" i="6998"/>
  <c r="H14" i="6998"/>
  <c r="C20" i="6998"/>
  <c r="C25" i="6998"/>
  <c r="H32" i="6998"/>
  <c r="C39" i="6998"/>
  <c r="H45" i="6998"/>
  <c r="H3" i="6998"/>
  <c r="H31" i="6998"/>
  <c r="H6" i="6998"/>
  <c r="H2" i="6998"/>
  <c r="H8" i="6998"/>
  <c r="H13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1" i="6998"/>
  <c r="H33" i="6998"/>
  <c r="C38" i="6998"/>
  <c r="C42" i="6998"/>
  <c r="C46" i="6998"/>
  <c r="P22" i="6984" l="1"/>
  <c r="P20" i="6992"/>
  <c r="P15" i="6990"/>
  <c r="P16" i="6992"/>
  <c r="P23" i="6992"/>
  <c r="P18" i="6994"/>
  <c r="P17" i="6990"/>
  <c r="P20" i="6994"/>
  <c r="P23" i="6984"/>
  <c r="P15" i="6984"/>
  <c r="P18" i="6996" l="1"/>
  <c r="P16" i="6994"/>
  <c r="P17" i="6982"/>
  <c r="P21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8" i="6990"/>
  <c r="P17" i="6980"/>
  <c r="P19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3" i="6994"/>
  <c r="H19" i="6994"/>
  <c r="H22" i="6994"/>
  <c r="C24" i="6994"/>
  <c r="B28" i="6994"/>
  <c r="H34" i="6994"/>
  <c r="H39" i="6994"/>
  <c r="H43" i="6994"/>
  <c r="H47" i="6994"/>
  <c r="H5" i="6994"/>
  <c r="H24" i="6994"/>
  <c r="H12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1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4" i="6982"/>
  <c r="P26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2" i="6982" l="1"/>
  <c r="P23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4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6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1" i="6990"/>
  <c r="H22" i="6990"/>
  <c r="H27" i="6990"/>
  <c r="H30" i="6990"/>
  <c r="H32" i="6990"/>
  <c r="C37" i="6990"/>
  <c r="C41" i="6990"/>
  <c r="C45" i="6990"/>
  <c r="C49" i="6990"/>
  <c r="H10" i="6990"/>
  <c r="H17" i="6990"/>
  <c r="H15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9" i="6988"/>
  <c r="H23" i="6988"/>
  <c r="H17" i="6988"/>
  <c r="C24" i="6988"/>
  <c r="B28" i="6988"/>
  <c r="H34" i="6988"/>
  <c r="H39" i="6988"/>
  <c r="H43" i="6988"/>
  <c r="H47" i="6988"/>
  <c r="H5" i="6988"/>
  <c r="H26" i="6988"/>
  <c r="H11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0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6" i="6988"/>
  <c r="H22" i="6988"/>
  <c r="H27" i="6988"/>
  <c r="H30" i="6988"/>
  <c r="H31" i="6988"/>
  <c r="C37" i="6988"/>
  <c r="C41" i="6988"/>
  <c r="C45" i="6988"/>
  <c r="C49" i="6988"/>
  <c r="H8" i="6988"/>
  <c r="H14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0" i="6982"/>
  <c r="P18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22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1" i="6984"/>
  <c r="C22" i="6984"/>
  <c r="H2" i="6984"/>
  <c r="H20" i="6984"/>
  <c r="H4" i="6984"/>
  <c r="H30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9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10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1" i="6986"/>
  <c r="H15" i="6986"/>
  <c r="H14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6" i="6984"/>
  <c r="H37" i="6984"/>
  <c r="C40" i="6984"/>
  <c r="C44" i="6984"/>
  <c r="C48" i="6984"/>
  <c r="H38" i="6984"/>
  <c r="H42" i="6984"/>
  <c r="H46" i="6984"/>
  <c r="H50" i="6984"/>
  <c r="H18" i="6984"/>
  <c r="H15" i="6984"/>
  <c r="C23" i="6984"/>
  <c r="B27" i="6984"/>
  <c r="H33" i="6984"/>
  <c r="H39" i="6984"/>
  <c r="H43" i="6984"/>
  <c r="H47" i="6984"/>
  <c r="H51" i="6984"/>
  <c r="H22" i="6984"/>
  <c r="H8" i="6984"/>
  <c r="H34" i="6984"/>
  <c r="C38" i="6984"/>
  <c r="C42" i="6984"/>
  <c r="C46" i="6984"/>
  <c r="H17" i="6984"/>
  <c r="C24" i="6984"/>
  <c r="B28" i="6984"/>
  <c r="H35" i="6984"/>
  <c r="H40" i="6984"/>
  <c r="H44" i="6984"/>
  <c r="H48" i="6984"/>
  <c r="C19" i="6980"/>
  <c r="C20" i="6982"/>
  <c r="H3" i="6982"/>
  <c r="H22" i="6982"/>
  <c r="H34" i="6982"/>
  <c r="C42" i="6982"/>
  <c r="H15" i="6982"/>
  <c r="H2" i="6982"/>
  <c r="H8" i="6982"/>
  <c r="H21" i="6982"/>
  <c r="H18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3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4" i="6982"/>
  <c r="H25" i="6982"/>
  <c r="H27" i="6982"/>
  <c r="C37" i="6982"/>
  <c r="C41" i="6982"/>
  <c r="C45" i="6982"/>
  <c r="C49" i="6982"/>
  <c r="H11" i="6982"/>
  <c r="H16" i="6982"/>
  <c r="H19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3" i="6980"/>
  <c r="H9" i="6980"/>
  <c r="H2" i="6980"/>
  <c r="H10" i="6980"/>
  <c r="H46" i="6980"/>
  <c r="H7" i="6980"/>
  <c r="H13" i="6980"/>
  <c r="H21" i="6980"/>
  <c r="H26" i="6980"/>
  <c r="H48" i="6980"/>
  <c r="H25" i="6980"/>
  <c r="H43" i="6980"/>
  <c r="C47" i="6980"/>
  <c r="H49" i="6980"/>
  <c r="H22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8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7" i="6980"/>
  <c r="H41" i="6980"/>
  <c r="H44" i="6980"/>
  <c r="H47" i="6980"/>
  <c r="H51" i="6980"/>
  <c r="H23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<sst xmlns="http://schemas.openxmlformats.org/spreadsheetml/2006/main" count="3521" uniqueCount="271">
  <si>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</si>
  <si>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</si>
  <si>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</si>
  <si>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</si>
  <si>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</si>
  <si>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</si>
  <si>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</si>
  <si>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</si>
  <si>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</si>
  <si>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</si>
  <si>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</si>
  <si>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</si>
  <si>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</si>
  <si>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</si>
  <si>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</si>
  <si>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</si>
  <si>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</si>
  <si>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</si>
  <si>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</si>
  <si>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</si>
  <si>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</si>
  <si>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</si>
  <si>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</si>
  <si>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</si>
  <si>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</si>
  <si>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</si>
  <si>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</si>
  <si>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</si>
  <si>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</si>
  <si>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</si>
  <si>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</si>
  <si>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</si>
  <si>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</si>
  <si>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</si>
  <si>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</si>
  <si>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</si>
  <si>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</si>
  <si>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</si>
  <si>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</si>
  <si>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</si>
  <si>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</si>
  <si>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</si>
  <si>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</si>
  <si>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</si>
  <si>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</si>
  <si>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</si>
  <si>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</si>
  <si>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</si>
  <si>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</si>
  <si>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</si>
  <si>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</si>
  <si>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</si>
  <si>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</si>
  <si>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</si>
  <si>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</si>
  <si>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</si>
  <si>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</si>
  <si>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</si>
  <si>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</si>
  <si>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</si>
  <si>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</si>
  <si>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</si>
  <si>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</si>
  <si>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</si>
  <si>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</si>
  <si>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</si>
  <si>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</si>
  <si>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</si>
  <si>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</si>
  <si>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</si>
  <si>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</si>
  <si>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</si>
  <si>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</si>
  <si>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</si>
  <si>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</si>
  <si>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</si>
  <si>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</si>
  <si>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</si>
  <si>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</si>
  <si>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</si>
  <si>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</si>
  <si>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</si>
  <si>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</si>
  <si>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</si>
  <si>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</si>
  <si>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</si>
  <si>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</si>
  <si>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</si>
  <si>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</si>
  <si>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</si>
  <si>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</si>
  <si>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</si>
  <si>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</si>
  <si>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</si>
  <si>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</si>
  <si>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</si>
  <si>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</si>
  <si>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</si>
  <si>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</si>
  <si>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</si>
  <si>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</si>
  <si>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</si>
  <si>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</si>
  <si>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</si>
  <si>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</si>
  <si>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</si>
  <si>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</si>
  <si>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</si>
  <si>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</si>
  <si>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</si>
  <si>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</si>
  <si>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</si>
  <si>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</si>
  <si>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</si>
  <si>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</si>
  <si>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</si>
  <si>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</si>
  <si>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</si>
  <si>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</si>
  <si>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</si>
  <si>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</si>
  <si>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</si>
  <si>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</si>
  <si>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</si>
  <si>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</si>
  <si>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</si>
  <si>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</si>
  <si>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</si>
  <si>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</si>
  <si>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</si>
  <si>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</si>
  <si>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</si>
  <si>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</si>
  <si>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</si>
  <si>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</si>
  <si>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</si>
  <si>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</si>
  <si>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</si>
  <si>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</si>
  <si>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</si>
  <si>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</si>
  <si>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</si>
  <si>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</si>
  <si>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</si>
  <si>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</si>
  <si>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</si>
  <si>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</si>
  <si>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</si>
  <si>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</si>
  <si>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</si>
  <si>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</si>
  <si>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</si>
  <si>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</si>
  <si>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</si>
  <si>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</si>
  <si>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</si>
  <si>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</si>
  <si>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</si>
  <si>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</si>
  <si>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</si>
  <si>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</si>
  <si>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</si>
  <si>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</si>
  <si>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</si>
  <si>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</si>
  <si>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</si>
  <si>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</si>
  <si>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</si>
  <si>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</si>
  <si>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</si>
  <si>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</si>
  <si>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</si>
  <si>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</si>
  <si>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</si>
  <si>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</si>
  <si>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</si>
  <si>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</si>
  <si>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</si>
  <si>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</si>
  <si>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</si>
  <si>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</si>
  <si>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</si>
  <si>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</si>
  <si>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</si>
  <si>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</si>
  <si>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</si>
  <si>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</si>
  <si>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</si>
  <si>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</si>
  <si>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</si>
  <si>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</si>
  <si>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</si>
  <si>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</si>
  <si>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</si>
  <si>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</si>
  <si>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</si>
  <si>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</si>
  <si>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</si>
  <si>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</si>
  <si>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</si>
  <si>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</si>
  <si>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</si>
  <si>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</si>
  <si>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</si>
  <si>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</si>
  <si>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</si>
  <si>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</si>
  <si>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</si>
  <si>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</si>
  <si>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</si>
  <si>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</si>
  <si>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</si>
  <si>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</si>
  <si>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</si>
  <si>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</si>
  <si>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</si>
  <si>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</si>
  <si>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</si>
  <si>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</si>
  <si>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</si>
  <si>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</si>
  <si>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</si>
  <si>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</si>
  <si>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</si>
  <si>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</si>
  <si>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</si>
  <si>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</si>
  <si>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</si>
  <si>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</si>
  <si>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</si>
  <si>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</si>
  <si>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</si>
  <si>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</si>
  <si>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</si>
  <si>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</si>
  <si>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</si>
  <si>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</si>
  <si>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</si>
  <si>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</si>
  <si>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</si>
  <si>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</si>
  <si>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</si>
  <si>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</si>
  <si>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</si>
  <si>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</si>
  <si>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</si>
  <si>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</si>
  <si>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</si>
  <si>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</si>
  <si>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</si>
  <si>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</si>
  <si>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</si>
  <si>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</si>
  <si>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</si>
  <si>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</si>
  <si>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</si>
  <si>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</si>
  <si>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</si>
  <si>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</si>
  <si>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</si>
  <si>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</si>
  <si>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</si>
  <si>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</si>
  <si>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</si>
  <si>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</si>
  <si>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</si>
  <si>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</si>
  <si>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</si>
  <si>
    <t>2020-12-14@0.xlsm</t>
  </si>
  <si>
    <t>2020-12-23@0.xlsm</t>
  </si>
  <si>
    <t>2021-01-06@0.xlsm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</si>
</sst>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全体!$K$2:$K$419</c:f>
              <c:numCache>
                <c:formatCode>General</c:formatCode>
                <c:ptCount val="4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</c:numCache>
            </c:numRef>
          </c:xVal>
          <c:yVal>
            <c:numRef>
              <c:f>全体!$L$2:$L$419</c:f>
              <c:numCache>
                <c:formatCode>\+0.0;\-0.0;\±0</c:formatCode>
                <c:ptCount val="418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  <c:pt idx="406">
                  <c:v>9.9000000000000465</c:v>
                </c:pt>
                <c:pt idx="407">
                  <c:v>-23.599999999999952</c:v>
                </c:pt>
                <c:pt idx="408">
                  <c:v>4.9737991503207013E-14</c:v>
                </c:pt>
                <c:pt idx="409">
                  <c:v>-2.8999999999999502</c:v>
                </c:pt>
                <c:pt idx="410">
                  <c:v>-24.899999999999949</c:v>
                </c:pt>
                <c:pt idx="411">
                  <c:v>4.9737991503207013E-14</c:v>
                </c:pt>
                <c:pt idx="412">
                  <c:v>72.000000000000057</c:v>
                </c:pt>
                <c:pt idx="413">
                  <c:v>48.000000000000057</c:v>
                </c:pt>
                <c:pt idx="414">
                  <c:v>5.6843418860808015E-14</c:v>
                </c:pt>
                <c:pt idx="415">
                  <c:v>-42.899999999999942</c:v>
                </c:pt>
                <c:pt idx="416">
                  <c:v>-52.099999999999937</c:v>
                </c:pt>
                <c:pt idx="417">
                  <c:v>6.3948846218409017E-14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-36.231884057971016</c:v>
                </c:pt>
                <c:pt idx="1">
                  <c:v>17.283950617283949</c:v>
                </c:pt>
                <c:pt idx="2">
                  <c:v>0</c:v>
                </c:pt>
                <c:pt idx="3">
                  <c:v>-5.208333333333333</c:v>
                </c:pt>
                <c:pt idx="4">
                  <c:v>14.124293785310735</c:v>
                </c:pt>
                <c:pt idx="5">
                  <c:v>16.501650165016503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78</c:v>
                </c:pt>
                <c:pt idx="1">
                  <c:v>190</c:v>
                </c:pt>
                <c:pt idx="2">
                  <c:v>214</c:v>
                </c:pt>
                <c:pt idx="3">
                  <c:v>205</c:v>
                </c:pt>
                <c:pt idx="4">
                  <c:v>148</c:v>
                </c:pt>
                <c:pt idx="5">
                  <c:v>97</c:v>
                </c:pt>
                <c:pt idx="6">
                  <c:v>44</c:v>
                </c:pt>
                <c:pt idx="7">
                  <c:v>35</c:v>
                </c:pt>
                <c:pt idx="8">
                  <c:v>17</c:v>
                </c:pt>
                <c:pt idx="9">
                  <c:v>11</c:v>
                </c:pt>
                <c:pt idx="10">
                  <c:v>3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全体!$K$2:$K$419</c:f>
              <c:numCache>
                <c:formatCode>General</c:formatCode>
                <c:ptCount val="4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</c:numCache>
            </c:numRef>
          </c:xVal>
          <c:yVal>
            <c:numRef>
              <c:f>全体!$M$2:$M$419</c:f>
              <c:numCache>
                <c:formatCode>0</c:formatCode>
                <c:ptCount val="418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  <c:pt idx="406">
                  <c:v>1609.43367516071</c:v>
                </c:pt>
                <c:pt idx="407">
                  <c:v>1603.6170731097457</c:v>
                </c:pt>
                <c:pt idx="408">
                  <c:v>1608.1133706710873</c:v>
                </c:pt>
                <c:pt idx="409">
                  <c:v>1607.8126904470607</c:v>
                </c:pt>
                <c:pt idx="410">
                  <c:v>1604.0758143043784</c:v>
                </c:pt>
                <c:pt idx="411">
                  <c:v>1608.8033594185522</c:v>
                </c:pt>
                <c:pt idx="412">
                  <c:v>1621.6685392620409</c:v>
                </c:pt>
                <c:pt idx="413">
                  <c:v>1617.1765280264688</c:v>
                </c:pt>
                <c:pt idx="414">
                  <c:v>1608.39146885831</c:v>
                </c:pt>
                <c:pt idx="415">
                  <c:v>1600.5291200451602</c:v>
                </c:pt>
                <c:pt idx="416">
                  <c:v>1598.7799453248892</c:v>
                </c:pt>
                <c:pt idx="417">
                  <c:v>1608.0752656529398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だいち!$L$2:$L$117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  <c:pt idx="112">
                  <c:v>256.69999999999987</c:v>
                </c:pt>
                <c:pt idx="113">
                  <c:v>234.69999999999987</c:v>
                </c:pt>
                <c:pt idx="114">
                  <c:v>186.69999999999987</c:v>
                </c:pt>
                <c:pt idx="115">
                  <c:v>143.79999999999987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743.85964912280701</c:v>
                </c:pt>
                <c:pt idx="1">
                  <c:v>-630.63063063063066</c:v>
                </c:pt>
                <c:pt idx="2">
                  <c:v>-1326.1261261261261</c:v>
                </c:pt>
                <c:pt idx="3">
                  <c:v>1321.6981132075471</c:v>
                </c:pt>
                <c:pt idx="4">
                  <c:v>525.7731958762887</c:v>
                </c:pt>
                <c:pt idx="5">
                  <c:v>139.75903614457832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19</c:v>
                </c:pt>
                <c:pt idx="1">
                  <c:v>59</c:v>
                </c:pt>
                <c:pt idx="2">
                  <c:v>63</c:v>
                </c:pt>
                <c:pt idx="3">
                  <c:v>61</c:v>
                </c:pt>
                <c:pt idx="4">
                  <c:v>45</c:v>
                </c:pt>
                <c:pt idx="5">
                  <c:v>36</c:v>
                </c:pt>
                <c:pt idx="6">
                  <c:v>11</c:v>
                </c:pt>
                <c:pt idx="7">
                  <c:v>6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だいち!$M$2:$M$117</c:f>
              <c:numCache>
                <c:formatCode>0</c:formatCode>
                <c:ptCount val="116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  <c:pt idx="112">
                  <c:v>1771.2664830310223</c:v>
                </c:pt>
                <c:pt idx="113">
                  <c:v>1766.5488841328361</c:v>
                </c:pt>
                <c:pt idx="114">
                  <c:v>1756.8675908280391</c:v>
                </c:pt>
                <c:pt idx="115">
                  <c:v>1748.1143852830708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れんたろう!$L$2:$L$76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  <c:pt idx="73">
                  <c:v>-121.19999999999999</c:v>
                </c:pt>
                <c:pt idx="74">
                  <c:v>-96.299999999999983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1222.9729729729729</c:v>
                </c:pt>
                <c:pt idx="1">
                  <c:v>-151.38888888888889</c:v>
                </c:pt>
                <c:pt idx="2">
                  <c:v>-762.5</c:v>
                </c:pt>
                <c:pt idx="3">
                  <c:v>-2.8985507246376812</c:v>
                </c:pt>
                <c:pt idx="4">
                  <c:v>17.460317460317459</c:v>
                </c:pt>
                <c:pt idx="5">
                  <c:v>62.962962962962962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15</c:v>
                </c:pt>
                <c:pt idx="2">
                  <c:v>33</c:v>
                </c:pt>
                <c:pt idx="3">
                  <c:v>35</c:v>
                </c:pt>
                <c:pt idx="4">
                  <c:v>35</c:v>
                </c:pt>
                <c:pt idx="5">
                  <c:v>18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れんたろう!$M$2:$M$76</c:f>
              <c:numCache>
                <c:formatCode>0</c:formatCode>
                <c:ptCount val="75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  <c:pt idx="73">
                  <c:v>1627.2556363378599</c:v>
                </c:pt>
                <c:pt idx="74">
                  <c:v>1631.8441025198326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-456.52173913043481</c:v>
                </c:pt>
                <c:pt idx="1">
                  <c:v>-691.304347826087</c:v>
                </c:pt>
                <c:pt idx="2">
                  <c:v>937.77777777777783</c:v>
                </c:pt>
                <c:pt idx="3">
                  <c:v>-937.77777777777783</c:v>
                </c:pt>
                <c:pt idx="4">
                  <c:v>-1172.7272727272727</c:v>
                </c:pt>
                <c:pt idx="5">
                  <c:v>-572.22222222222217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15</c:v>
                </c:pt>
                <c:pt idx="1">
                  <c:v>27</c:v>
                </c:pt>
                <c:pt idx="2">
                  <c:v>28</c:v>
                </c:pt>
                <c:pt idx="3">
                  <c:v>23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たかの!$M$2:$M$48</c:f>
              <c:numCache>
                <c:formatCode>0</c:formatCode>
                <c:ptCount val="47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  <c:pt idx="46">
                  <c:v>1454.3872268622663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  <c:pt idx="37">
                  <c:v>58.499999999999957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816.21621621621625</c:v>
                </c:pt>
                <c:pt idx="1">
                  <c:v>418.91891891891891</c:v>
                </c:pt>
                <c:pt idx="2">
                  <c:v>1277.7777777777778</c:v>
                </c:pt>
                <c:pt idx="3">
                  <c:v>-2562.5</c:v>
                </c:pt>
                <c:pt idx="4">
                  <c:v>1982.7586206896551</c:v>
                </c:pt>
                <c:pt idx="5">
                  <c:v>-1069.5652173913043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22</c:v>
                </c:pt>
                <c:pt idx="4">
                  <c:v>12</c:v>
                </c:pt>
                <c:pt idx="5">
                  <c:v>7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まっつん!$M$2:$M$39</c:f>
              <c:numCache>
                <c:formatCode>0</c:formatCode>
                <c:ptCount val="3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  <c:pt idx="37">
                  <c:v>1552.235570864417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いちかわ!$L$2:$L$50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-587.23404255319144</c:v>
                </c:pt>
                <c:pt idx="1">
                  <c:v>1051.063829787234</c:v>
                </c:pt>
                <c:pt idx="2">
                  <c:v>1812.7659574468084</c:v>
                </c:pt>
                <c:pt idx="3">
                  <c:v>-690.90909090909088</c:v>
                </c:pt>
                <c:pt idx="4">
                  <c:v>70</c:v>
                </c:pt>
                <c:pt idx="5">
                  <c:v>1755.2631578947369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26</c:v>
                </c:pt>
                <c:pt idx="2">
                  <c:v>26</c:v>
                </c:pt>
                <c:pt idx="3">
                  <c:v>19</c:v>
                </c:pt>
                <c:pt idx="4">
                  <c:v>16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いちかわ!$M$2:$M$50</c:f>
              <c:numCache>
                <c:formatCode>0</c:formatCode>
                <c:ptCount val="49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  <c:pt idx="46">
                  <c:v>1536.8091974284523</c:v>
                </c:pt>
                <c:pt idx="47">
                  <c:v>1536.9363422438817</c:v>
                </c:pt>
                <c:pt idx="48">
                  <c:v>1532.9527241904184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-334.69387755102042</c:v>
                </c:pt>
                <c:pt idx="1">
                  <c:v>676.08695652173913</c:v>
                </c:pt>
                <c:pt idx="2">
                  <c:v>985.10638297872345</c:v>
                </c:pt>
                <c:pt idx="3">
                  <c:v>2222.7272727272725</c:v>
                </c:pt>
                <c:pt idx="4">
                  <c:v>163.41463414634146</c:v>
                </c:pt>
                <c:pt idx="5">
                  <c:v>-57.575757575757578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32</c:v>
                </c:pt>
                <c:pt idx="3">
                  <c:v>20</c:v>
                </c:pt>
                <c:pt idx="4">
                  <c:v>21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ただ!$M$2:$M$51</c:f>
              <c:numCache>
                <c:formatCode>0</c:formatCode>
                <c:ptCount val="50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たか!$M$2:$M$21</c:f>
              <c:numCache>
                <c:formatCode>0</c:formatCode>
                <c:ptCount val="20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  <c:pt idx="1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-2878.5714285714284</c:v>
                </c:pt>
                <c:pt idx="1">
                  <c:v>4084.6153846153848</c:v>
                </c:pt>
                <c:pt idx="2">
                  <c:v>642.85714285714289</c:v>
                </c:pt>
                <c:pt idx="3">
                  <c:v>-3464.2857142857142</c:v>
                </c:pt>
                <c:pt idx="4">
                  <c:v>-1953.8461538461538</c:v>
                </c:pt>
                <c:pt idx="5">
                  <c:v>-708.33333333333337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りくと!$M$2:$M$16</c:f>
              <c:numCache>
                <c:formatCode>0</c:formatCode>
                <c:ptCount val="1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たかの2!$B$3:$B$49</c:f>
              <c:numCache>
                <c:formatCode>\+0.0;\-0.0;\±0</c:formatCode>
                <c:ptCount val="4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394884621840901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たかの2!$C$3:$C$49</c:f>
              <c:numCache>
                <c:formatCode>\+0.0;\-0.0;\±0</c:formatCode>
                <c:ptCount val="47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  <c:pt idx="16">
                  <c:v>2.4125000000000005</c:v>
                </c:pt>
                <c:pt idx="17">
                  <c:v>0.44705882352941229</c:v>
                </c:pt>
                <c:pt idx="18">
                  <c:v>0.83888888888888935</c:v>
                </c:pt>
                <c:pt idx="19">
                  <c:v>2.2315789473684213</c:v>
                </c:pt>
                <c:pt idx="20">
                  <c:v>4.0750000000000002</c:v>
                </c:pt>
                <c:pt idx="21">
                  <c:v>0.71904761904761882</c:v>
                </c:pt>
                <c:pt idx="22">
                  <c:v>0.8181818181818179</c:v>
                </c:pt>
                <c:pt idx="23">
                  <c:v>2.0086956521739125</c:v>
                </c:pt>
                <c:pt idx="24">
                  <c:v>0.69999999999999962</c:v>
                </c:pt>
                <c:pt idx="25">
                  <c:v>2.4279999999999995</c:v>
                </c:pt>
                <c:pt idx="26">
                  <c:v>0.98461538461538411</c:v>
                </c:pt>
                <c:pt idx="27">
                  <c:v>0.63703703703703662</c:v>
                </c:pt>
                <c:pt idx="28">
                  <c:v>2.1857142857142855</c:v>
                </c:pt>
                <c:pt idx="29">
                  <c:v>1.2655172413793099</c:v>
                </c:pt>
                <c:pt idx="30">
                  <c:v>0.37333333333333296</c:v>
                </c:pt>
                <c:pt idx="31">
                  <c:v>0.43870967741935446</c:v>
                </c:pt>
                <c:pt idx="32">
                  <c:v>-0.2906250000000003</c:v>
                </c:pt>
                <c:pt idx="33">
                  <c:v>0.25454545454545424</c:v>
                </c:pt>
                <c:pt idx="34">
                  <c:v>-0.84117647058823553</c:v>
                </c:pt>
                <c:pt idx="35">
                  <c:v>-0.56857142857142884</c:v>
                </c:pt>
                <c:pt idx="36">
                  <c:v>-2.0194444444444444</c:v>
                </c:pt>
                <c:pt idx="37">
                  <c:v>-0.21081081081081074</c:v>
                </c:pt>
                <c:pt idx="38">
                  <c:v>0.55789473684210533</c:v>
                </c:pt>
                <c:pt idx="39">
                  <c:v>1.3794871794871797</c:v>
                </c:pt>
                <c:pt idx="40">
                  <c:v>0.64250000000000007</c:v>
                </c:pt>
                <c:pt idx="41">
                  <c:v>-0.34878048780487797</c:v>
                </c:pt>
                <c:pt idx="42">
                  <c:v>-1.538095238095238</c:v>
                </c:pt>
                <c:pt idx="43">
                  <c:v>-2.5604651162790697</c:v>
                </c:pt>
                <c:pt idx="44">
                  <c:v>-3.0454545454545454</c:v>
                </c:pt>
                <c:pt idx="45">
                  <c:v>-3.26</c:v>
                </c:pt>
                <c:pt idx="46">
                  <c:v>-2.0565217391304347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533545472863525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たかの2!$D$3:$D$49</c:f>
              <c:numCache>
                <c:formatCode>0.00\ "位"</c:formatCode>
                <c:ptCount val="47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1.9047619047619047</c:v>
                </c:pt>
                <c:pt idx="22">
                  <c:v>1.9090909090909092</c:v>
                </c:pt>
                <c:pt idx="23">
                  <c:v>1.8695652173913044</c:v>
                </c:pt>
                <c:pt idx="24">
                  <c:v>1.9166666666666667</c:v>
                </c:pt>
                <c:pt idx="25">
                  <c:v>1.88</c:v>
                </c:pt>
                <c:pt idx="26">
                  <c:v>1.9230769230769231</c:v>
                </c:pt>
                <c:pt idx="27">
                  <c:v>1.9259259259259258</c:v>
                </c:pt>
                <c:pt idx="28">
                  <c:v>1.8928571428571428</c:v>
                </c:pt>
                <c:pt idx="29">
                  <c:v>1.9310344827586208</c:v>
                </c:pt>
                <c:pt idx="30">
                  <c:v>1.9666666666666666</c:v>
                </c:pt>
                <c:pt idx="31">
                  <c:v>1.967741935483871</c:v>
                </c:pt>
                <c:pt idx="32">
                  <c:v>2</c:v>
                </c:pt>
                <c:pt idx="33">
                  <c:v>1.9696969696969697</c:v>
                </c:pt>
                <c:pt idx="34">
                  <c:v>2</c:v>
                </c:pt>
                <c:pt idx="35">
                  <c:v>2</c:v>
                </c:pt>
                <c:pt idx="36">
                  <c:v>2.0277777777777777</c:v>
                </c:pt>
                <c:pt idx="37">
                  <c:v>2</c:v>
                </c:pt>
                <c:pt idx="38">
                  <c:v>1.9736842105263157</c:v>
                </c:pt>
                <c:pt idx="39">
                  <c:v>1.9487179487179487</c:v>
                </c:pt>
                <c:pt idx="40">
                  <c:v>1.9750000000000001</c:v>
                </c:pt>
                <c:pt idx="41">
                  <c:v>2</c:v>
                </c:pt>
                <c:pt idx="42">
                  <c:v>2.0238095238095237</c:v>
                </c:pt>
                <c:pt idx="43">
                  <c:v>2.0465116279069768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2.0652173913043477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601918465227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たかの2!$E$3:$E$49</c:f>
              <c:numCache>
                <c:formatCode>0.0%</c:formatCode>
                <c:ptCount val="4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0.38461538461538464</c:v>
                </c:pt>
                <c:pt idx="40">
                  <c:v>0.375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0.34883720930232559</c:v>
                </c:pt>
                <c:pt idx="44">
                  <c:v>0.34090909090909088</c:v>
                </c:pt>
                <c:pt idx="45">
                  <c:v>0.33333333333333331</c:v>
                </c:pt>
                <c:pt idx="46">
                  <c:v>0.34782608695652173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731414868105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たかの2!$F$3:$F$49</c:f>
              <c:numCache>
                <c:formatCode>0.0%</c:formatCode>
                <c:ptCount val="4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0.38095238095238093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0.42222222222222222</c:v>
                </c:pt>
                <c:pt idx="46">
                  <c:v>0.41304347826086957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たかの2!$G$3:$G$49</c:f>
              <c:numCache>
                <c:formatCode>0.0%</c:formatCode>
                <c:ptCount val="47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  <c:pt idx="16">
                  <c:v>0.31468531468531469</c:v>
                </c:pt>
                <c:pt idx="17">
                  <c:v>0.3</c:v>
                </c:pt>
                <c:pt idx="18">
                  <c:v>0.30188679245283018</c:v>
                </c:pt>
                <c:pt idx="19">
                  <c:v>0.30357142857142855</c:v>
                </c:pt>
                <c:pt idx="20">
                  <c:v>0.31073446327683618</c:v>
                </c:pt>
                <c:pt idx="21">
                  <c:v>0.29319371727748689</c:v>
                </c:pt>
                <c:pt idx="22">
                  <c:v>0.28999999999999998</c:v>
                </c:pt>
                <c:pt idx="23">
                  <c:v>0.29439252336448596</c:v>
                </c:pt>
                <c:pt idx="24">
                  <c:v>0.2927927927927928</c:v>
                </c:pt>
                <c:pt idx="25">
                  <c:v>0.30303030303030304</c:v>
                </c:pt>
                <c:pt idx="26">
                  <c:v>0.30543933054393307</c:v>
                </c:pt>
                <c:pt idx="27">
                  <c:v>0.30645161290322581</c:v>
                </c:pt>
                <c:pt idx="28">
                  <c:v>0.30588235294117649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0.30072463768115942</c:v>
                </c:pt>
                <c:pt idx="32">
                  <c:v>0.29577464788732394</c:v>
                </c:pt>
                <c:pt idx="33">
                  <c:v>0.29209621993127149</c:v>
                </c:pt>
                <c:pt idx="34">
                  <c:v>0.29194630872483224</c:v>
                </c:pt>
                <c:pt idx="35">
                  <c:v>0.29738562091503268</c:v>
                </c:pt>
                <c:pt idx="36">
                  <c:v>0.28888888888888886</c:v>
                </c:pt>
                <c:pt idx="37">
                  <c:v>0.29467084639498431</c:v>
                </c:pt>
                <c:pt idx="38">
                  <c:v>0.29969418960244648</c:v>
                </c:pt>
                <c:pt idx="39">
                  <c:v>0.30294117647058821</c:v>
                </c:pt>
                <c:pt idx="40">
                  <c:v>0.30571428571428572</c:v>
                </c:pt>
                <c:pt idx="41">
                  <c:v>0.29945054945054944</c:v>
                </c:pt>
                <c:pt idx="42">
                  <c:v>0.29301075268817206</c:v>
                </c:pt>
                <c:pt idx="43">
                  <c:v>0.28720626631853785</c:v>
                </c:pt>
                <c:pt idx="44">
                  <c:v>0.28826530612244899</c:v>
                </c:pt>
                <c:pt idx="45">
                  <c:v>0.28999999999999998</c:v>
                </c:pt>
                <c:pt idx="46">
                  <c:v>0.29975429975429974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903803131991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たかの2!$H$3:$H$49</c:f>
              <c:numCache>
                <c:formatCode>0.0%</c:formatCode>
                <c:ptCount val="47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  <c:pt idx="16">
                  <c:v>0.15384615384615385</c:v>
                </c:pt>
                <c:pt idx="17">
                  <c:v>0.16666666666666666</c:v>
                </c:pt>
                <c:pt idx="18">
                  <c:v>0.16352201257861634</c:v>
                </c:pt>
                <c:pt idx="19">
                  <c:v>0.16071428571428573</c:v>
                </c:pt>
                <c:pt idx="20">
                  <c:v>0.15819209039548024</c:v>
                </c:pt>
                <c:pt idx="21">
                  <c:v>0.16230366492146597</c:v>
                </c:pt>
                <c:pt idx="22">
                  <c:v>0.155</c:v>
                </c:pt>
                <c:pt idx="23">
                  <c:v>0.16355140186915887</c:v>
                </c:pt>
                <c:pt idx="24">
                  <c:v>0.16216216216216217</c:v>
                </c:pt>
                <c:pt idx="25">
                  <c:v>0.16450216450216451</c:v>
                </c:pt>
                <c:pt idx="26">
                  <c:v>0.16736401673640167</c:v>
                </c:pt>
                <c:pt idx="27">
                  <c:v>0.17741935483870969</c:v>
                </c:pt>
                <c:pt idx="28">
                  <c:v>0.17254901960784313</c:v>
                </c:pt>
                <c:pt idx="29">
                  <c:v>0.16793893129770993</c:v>
                </c:pt>
                <c:pt idx="30">
                  <c:v>0.17164179104477612</c:v>
                </c:pt>
                <c:pt idx="31">
                  <c:v>0.17753623188405798</c:v>
                </c:pt>
                <c:pt idx="32">
                  <c:v>0.176056338028169</c:v>
                </c:pt>
                <c:pt idx="33">
                  <c:v>0.17525773195876287</c:v>
                </c:pt>
                <c:pt idx="34">
                  <c:v>0.18120805369127516</c:v>
                </c:pt>
                <c:pt idx="35">
                  <c:v>0.17647058823529413</c:v>
                </c:pt>
                <c:pt idx="36">
                  <c:v>0.18412698412698414</c:v>
                </c:pt>
                <c:pt idx="37">
                  <c:v>0.18181818181818182</c:v>
                </c:pt>
                <c:pt idx="38">
                  <c:v>0.18042813455657492</c:v>
                </c:pt>
                <c:pt idx="39">
                  <c:v>0.17352941176470588</c:v>
                </c:pt>
                <c:pt idx="40">
                  <c:v>0.17428571428571429</c:v>
                </c:pt>
                <c:pt idx="41">
                  <c:v>0.17307692307692307</c:v>
                </c:pt>
                <c:pt idx="42">
                  <c:v>0.17204301075268819</c:v>
                </c:pt>
                <c:pt idx="43">
                  <c:v>0.16971279373368145</c:v>
                </c:pt>
                <c:pt idx="44">
                  <c:v>0.1683673469387755</c:v>
                </c:pt>
                <c:pt idx="45">
                  <c:v>0.16500000000000001</c:v>
                </c:pt>
                <c:pt idx="46">
                  <c:v>0.16216216216216217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75167785234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たかの2!$I$3:$I$49</c:f>
              <c:numCache>
                <c:formatCode>0</c:formatCode>
                <c:ptCount val="47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  <c:pt idx="16">
                  <c:v>6704.4444444444443</c:v>
                </c:pt>
                <c:pt idx="17">
                  <c:v>6704.4444444444443</c:v>
                </c:pt>
                <c:pt idx="18">
                  <c:v>6945.833333333333</c:v>
                </c:pt>
                <c:pt idx="19">
                  <c:v>7080.3921568627447</c:v>
                </c:pt>
                <c:pt idx="20">
                  <c:v>7054.545454545455</c:v>
                </c:pt>
                <c:pt idx="21">
                  <c:v>6966.0714285714284</c:v>
                </c:pt>
                <c:pt idx="22">
                  <c:v>6862.0689655172409</c:v>
                </c:pt>
                <c:pt idx="23">
                  <c:v>6930.1587301587306</c:v>
                </c:pt>
                <c:pt idx="24">
                  <c:v>6852.3076923076924</c:v>
                </c:pt>
                <c:pt idx="25">
                  <c:v>6882.8571428571431</c:v>
                </c:pt>
                <c:pt idx="26">
                  <c:v>6920.5479452054797</c:v>
                </c:pt>
                <c:pt idx="27">
                  <c:v>7063.1578947368425</c:v>
                </c:pt>
                <c:pt idx="28">
                  <c:v>7446.1538461538457</c:v>
                </c:pt>
                <c:pt idx="29">
                  <c:v>7446.1538461538457</c:v>
                </c:pt>
                <c:pt idx="30">
                  <c:v>7453.164556962025</c:v>
                </c:pt>
                <c:pt idx="31">
                  <c:v>7419.2771084337346</c:v>
                </c:pt>
                <c:pt idx="32">
                  <c:v>7473.8095238095239</c:v>
                </c:pt>
                <c:pt idx="33">
                  <c:v>7522.3529411764703</c:v>
                </c:pt>
                <c:pt idx="34">
                  <c:v>7455.1724137931033</c:v>
                </c:pt>
                <c:pt idx="35">
                  <c:v>7334.065934065934</c:v>
                </c:pt>
                <c:pt idx="36">
                  <c:v>7334.065934065934</c:v>
                </c:pt>
                <c:pt idx="37">
                  <c:v>7705.3191489361698</c:v>
                </c:pt>
                <c:pt idx="38">
                  <c:v>7673.4693877551017</c:v>
                </c:pt>
                <c:pt idx="39">
                  <c:v>7652.4271844660198</c:v>
                </c:pt>
                <c:pt idx="40">
                  <c:v>7552.336448598131</c:v>
                </c:pt>
                <c:pt idx="41">
                  <c:v>7549.54128440367</c:v>
                </c:pt>
                <c:pt idx="42">
                  <c:v>7549.54128440367</c:v>
                </c:pt>
                <c:pt idx="43">
                  <c:v>7535.454545454545</c:v>
                </c:pt>
                <c:pt idx="44">
                  <c:v>7492.0353982300885</c:v>
                </c:pt>
                <c:pt idx="45">
                  <c:v>7512.0689655172409</c:v>
                </c:pt>
                <c:pt idx="46">
                  <c:v>7454.9180327868853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35.39486203615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たかの2!$J$3:$J$49</c:f>
              <c:numCache>
                <c:formatCode>0</c:formatCode>
                <c:ptCount val="47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  <c:pt idx="16">
                  <c:v>-6727.272727272727</c:v>
                </c:pt>
                <c:pt idx="17">
                  <c:v>-6628</c:v>
                </c:pt>
                <c:pt idx="18">
                  <c:v>-6669.2307692307695</c:v>
                </c:pt>
                <c:pt idx="19">
                  <c:v>-6637.0370370370374</c:v>
                </c:pt>
                <c:pt idx="20">
                  <c:v>-6607.1428571428569</c:v>
                </c:pt>
                <c:pt idx="21">
                  <c:v>-7290.322580645161</c:v>
                </c:pt>
                <c:pt idx="22">
                  <c:v>-7290.322580645161</c:v>
                </c:pt>
                <c:pt idx="23">
                  <c:v>-7002.8571428571431</c:v>
                </c:pt>
                <c:pt idx="24">
                  <c:v>-7022.2222222222226</c:v>
                </c:pt>
                <c:pt idx="25">
                  <c:v>-6915.7894736842109</c:v>
                </c:pt>
                <c:pt idx="26">
                  <c:v>-7370</c:v>
                </c:pt>
                <c:pt idx="27">
                  <c:v>-7518.181818181818</c:v>
                </c:pt>
                <c:pt idx="28">
                  <c:v>-7518.181818181818</c:v>
                </c:pt>
                <c:pt idx="29">
                  <c:v>-7518.181818181818</c:v>
                </c:pt>
                <c:pt idx="30">
                  <c:v>-7539.130434782609</c:v>
                </c:pt>
                <c:pt idx="31">
                  <c:v>-7620.408163265306</c:v>
                </c:pt>
                <c:pt idx="32">
                  <c:v>-7708</c:v>
                </c:pt>
                <c:pt idx="33">
                  <c:v>-7582.3529411764703</c:v>
                </c:pt>
                <c:pt idx="34">
                  <c:v>-7775.9259259259261</c:v>
                </c:pt>
                <c:pt idx="35">
                  <c:v>-7775.9259259259261</c:v>
                </c:pt>
                <c:pt idx="36">
                  <c:v>-7800</c:v>
                </c:pt>
                <c:pt idx="37">
                  <c:v>-7800</c:v>
                </c:pt>
                <c:pt idx="38">
                  <c:v>-7798.3050847457625</c:v>
                </c:pt>
                <c:pt idx="39">
                  <c:v>-7798.3050847457625</c:v>
                </c:pt>
                <c:pt idx="40">
                  <c:v>-8100</c:v>
                </c:pt>
                <c:pt idx="41">
                  <c:v>-8092.063492063492</c:v>
                </c:pt>
                <c:pt idx="42">
                  <c:v>-8153.125</c:v>
                </c:pt>
                <c:pt idx="43">
                  <c:v>-8520</c:v>
                </c:pt>
                <c:pt idx="44">
                  <c:v>-8572.7272727272721</c:v>
                </c:pt>
                <c:pt idx="45">
                  <c:v>-8572.7272727272721</c:v>
                </c:pt>
                <c:pt idx="46">
                  <c:v>-8572.7272727272721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77.66323024054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たかの2!$K$3:$K$49</c:f>
              <c:numCache>
                <c:formatCode>0.0%</c:formatCode>
                <c:ptCount val="4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7.1428571428571425E-2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633093525179856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たかの2!$L$3:$L$49</c:f>
              <c:numCache>
                <c:formatCode>0.0%</c:formatCode>
                <c:ptCount val="47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  <c:pt idx="16">
                  <c:v>0.25874125874125875</c:v>
                </c:pt>
                <c:pt idx="17">
                  <c:v>0.25333333333333335</c:v>
                </c:pt>
                <c:pt idx="18">
                  <c:v>0.25157232704402516</c:v>
                </c:pt>
                <c:pt idx="19">
                  <c:v>0.25595238095238093</c:v>
                </c:pt>
                <c:pt idx="20">
                  <c:v>0.25988700564971751</c:v>
                </c:pt>
                <c:pt idx="21">
                  <c:v>0.2513089005235602</c:v>
                </c:pt>
                <c:pt idx="22">
                  <c:v>0.25</c:v>
                </c:pt>
                <c:pt idx="23">
                  <c:v>0.24766355140186916</c:v>
                </c:pt>
                <c:pt idx="24">
                  <c:v>0.25675675675675674</c:v>
                </c:pt>
                <c:pt idx="25">
                  <c:v>0.25541125541125542</c:v>
                </c:pt>
                <c:pt idx="26">
                  <c:v>0.26359832635983266</c:v>
                </c:pt>
                <c:pt idx="27">
                  <c:v>0.27016129032258063</c:v>
                </c:pt>
                <c:pt idx="28">
                  <c:v>0.27450980392156865</c:v>
                </c:pt>
                <c:pt idx="29">
                  <c:v>0.26717557251908397</c:v>
                </c:pt>
                <c:pt idx="30">
                  <c:v>0.27238805970149255</c:v>
                </c:pt>
                <c:pt idx="31">
                  <c:v>0.27898550724637683</c:v>
                </c:pt>
                <c:pt idx="32">
                  <c:v>0.27464788732394368</c:v>
                </c:pt>
                <c:pt idx="33">
                  <c:v>0.27491408934707906</c:v>
                </c:pt>
                <c:pt idx="34">
                  <c:v>0.27181208053691275</c:v>
                </c:pt>
                <c:pt idx="35">
                  <c:v>0.27450980392156865</c:v>
                </c:pt>
                <c:pt idx="36">
                  <c:v>0.26984126984126983</c:v>
                </c:pt>
                <c:pt idx="37">
                  <c:v>0.2664576802507837</c:v>
                </c:pt>
                <c:pt idx="38">
                  <c:v>0.26605504587155965</c:v>
                </c:pt>
                <c:pt idx="39">
                  <c:v>0.26470588235294118</c:v>
                </c:pt>
                <c:pt idx="40">
                  <c:v>0.26</c:v>
                </c:pt>
                <c:pt idx="41">
                  <c:v>0.26098901098901101</c:v>
                </c:pt>
                <c:pt idx="42">
                  <c:v>0.260752688172043</c:v>
                </c:pt>
                <c:pt idx="43">
                  <c:v>0.26109660574412535</c:v>
                </c:pt>
                <c:pt idx="44">
                  <c:v>0.25765306122448978</c:v>
                </c:pt>
                <c:pt idx="45">
                  <c:v>0.26250000000000001</c:v>
                </c:pt>
                <c:pt idx="46">
                  <c:v>0.26044226044226043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300894854586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たかの2!$M$3:$M$49</c:f>
              <c:numCache>
                <c:formatCode>0.0%</c:formatCode>
                <c:ptCount val="47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  <c:pt idx="16">
                  <c:v>0.33566433566433568</c:v>
                </c:pt>
                <c:pt idx="17">
                  <c:v>0.32</c:v>
                </c:pt>
                <c:pt idx="18">
                  <c:v>0.32075471698113206</c:v>
                </c:pt>
                <c:pt idx="19">
                  <c:v>0.30952380952380953</c:v>
                </c:pt>
                <c:pt idx="20">
                  <c:v>0.29378531073446329</c:v>
                </c:pt>
                <c:pt idx="21">
                  <c:v>0.30366492146596857</c:v>
                </c:pt>
                <c:pt idx="22">
                  <c:v>0.315</c:v>
                </c:pt>
                <c:pt idx="23">
                  <c:v>0.30373831775700932</c:v>
                </c:pt>
                <c:pt idx="24">
                  <c:v>0.29729729729729731</c:v>
                </c:pt>
                <c:pt idx="25">
                  <c:v>0.30735930735930733</c:v>
                </c:pt>
                <c:pt idx="26">
                  <c:v>0.29707112970711297</c:v>
                </c:pt>
                <c:pt idx="27">
                  <c:v>0.29435483870967744</c:v>
                </c:pt>
                <c:pt idx="28">
                  <c:v>0.29803921568627451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0.29347826086956524</c:v>
                </c:pt>
                <c:pt idx="32">
                  <c:v>0.29577464788732394</c:v>
                </c:pt>
                <c:pt idx="33">
                  <c:v>0.29553264604810997</c:v>
                </c:pt>
                <c:pt idx="34">
                  <c:v>0.29194630872483224</c:v>
                </c:pt>
                <c:pt idx="35">
                  <c:v>0.29738562091503268</c:v>
                </c:pt>
                <c:pt idx="36">
                  <c:v>0.29841269841269841</c:v>
                </c:pt>
                <c:pt idx="37">
                  <c:v>0.30094043887147337</c:v>
                </c:pt>
                <c:pt idx="38">
                  <c:v>0.29969418960244648</c:v>
                </c:pt>
                <c:pt idx="39">
                  <c:v>0.30294117647058821</c:v>
                </c:pt>
                <c:pt idx="40">
                  <c:v>0.30857142857142855</c:v>
                </c:pt>
                <c:pt idx="41">
                  <c:v>0.30769230769230771</c:v>
                </c:pt>
                <c:pt idx="42">
                  <c:v>0.30376344086021506</c:v>
                </c:pt>
                <c:pt idx="43">
                  <c:v>0.30026109660574413</c:v>
                </c:pt>
                <c:pt idx="44">
                  <c:v>0.29846938775510207</c:v>
                </c:pt>
                <c:pt idx="45">
                  <c:v>0.29749999999999999</c:v>
                </c:pt>
                <c:pt idx="46">
                  <c:v>0.29975429975429974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6789709172259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たかの2!$N$3:$N$49</c:f>
              <c:numCache>
                <c:formatCode>0.0%</c:formatCode>
                <c:ptCount val="47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  <c:pt idx="16">
                  <c:v>0.45945945945945948</c:v>
                </c:pt>
                <c:pt idx="17">
                  <c:v>0.44736842105263158</c:v>
                </c:pt>
                <c:pt idx="18">
                  <c:v>0.45</c:v>
                </c:pt>
                <c:pt idx="19">
                  <c:v>0.44186046511627908</c:v>
                </c:pt>
                <c:pt idx="20">
                  <c:v>0.43478260869565216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0.43396226415094341</c:v>
                </c:pt>
                <c:pt idx="24">
                  <c:v>0.42105263157894735</c:v>
                </c:pt>
                <c:pt idx="25">
                  <c:v>0.44067796610169491</c:v>
                </c:pt>
                <c:pt idx="26">
                  <c:v>0.46031746031746029</c:v>
                </c:pt>
                <c:pt idx="27">
                  <c:v>0.46268656716417911</c:v>
                </c:pt>
                <c:pt idx="28">
                  <c:v>0.47142857142857142</c:v>
                </c:pt>
                <c:pt idx="29">
                  <c:v>0.47142857142857142</c:v>
                </c:pt>
                <c:pt idx="30">
                  <c:v>0.46575342465753422</c:v>
                </c:pt>
                <c:pt idx="31">
                  <c:v>0.48051948051948051</c:v>
                </c:pt>
                <c:pt idx="32">
                  <c:v>0.47435897435897434</c:v>
                </c:pt>
                <c:pt idx="33">
                  <c:v>0.46250000000000002</c:v>
                </c:pt>
                <c:pt idx="34">
                  <c:v>0.46913580246913578</c:v>
                </c:pt>
                <c:pt idx="35">
                  <c:v>0.47619047619047616</c:v>
                </c:pt>
                <c:pt idx="36">
                  <c:v>0.47058823529411764</c:v>
                </c:pt>
                <c:pt idx="37">
                  <c:v>0.47058823529411764</c:v>
                </c:pt>
                <c:pt idx="38">
                  <c:v>0.47126436781609193</c:v>
                </c:pt>
                <c:pt idx="39">
                  <c:v>0.46666666666666667</c:v>
                </c:pt>
                <c:pt idx="40">
                  <c:v>0.46153846153846156</c:v>
                </c:pt>
                <c:pt idx="41">
                  <c:v>0.45263157894736844</c:v>
                </c:pt>
                <c:pt idx="42">
                  <c:v>0.44329896907216493</c:v>
                </c:pt>
                <c:pt idx="43">
                  <c:v>0.43</c:v>
                </c:pt>
                <c:pt idx="44">
                  <c:v>0.43564356435643564</c:v>
                </c:pt>
                <c:pt idx="45">
                  <c:v>0.43809523809523809</c:v>
                </c:pt>
                <c:pt idx="46">
                  <c:v>0.44339622641509435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2439585730725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たかの2!$O$3:$O$49</c:f>
              <c:numCache>
                <c:formatCode>0.0%</c:formatCode>
                <c:ptCount val="47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  <c:pt idx="16">
                  <c:v>0.45833333333333331</c:v>
                </c:pt>
                <c:pt idx="17">
                  <c:v>0.45833333333333331</c:v>
                </c:pt>
                <c:pt idx="18">
                  <c:v>0.47058823529411764</c:v>
                </c:pt>
                <c:pt idx="19">
                  <c:v>0.48076923076923078</c:v>
                </c:pt>
                <c:pt idx="20">
                  <c:v>0.48076923076923078</c:v>
                </c:pt>
                <c:pt idx="21">
                  <c:v>0.43103448275862066</c:v>
                </c:pt>
                <c:pt idx="22">
                  <c:v>0.42857142857142855</c:v>
                </c:pt>
                <c:pt idx="23">
                  <c:v>0.41538461538461541</c:v>
                </c:pt>
                <c:pt idx="24">
                  <c:v>0.40909090909090912</c:v>
                </c:pt>
                <c:pt idx="25">
                  <c:v>0.42253521126760563</c:v>
                </c:pt>
                <c:pt idx="26">
                  <c:v>0.42253521126760563</c:v>
                </c:pt>
                <c:pt idx="27">
                  <c:v>0.42465753424657532</c:v>
                </c:pt>
                <c:pt idx="28">
                  <c:v>0.40789473684210525</c:v>
                </c:pt>
                <c:pt idx="29">
                  <c:v>0.39743589743589741</c:v>
                </c:pt>
                <c:pt idx="30">
                  <c:v>0.39240506329113922</c:v>
                </c:pt>
                <c:pt idx="31">
                  <c:v>0.39506172839506171</c:v>
                </c:pt>
                <c:pt idx="32">
                  <c:v>0.38095238095238093</c:v>
                </c:pt>
                <c:pt idx="33">
                  <c:v>0.38372093023255816</c:v>
                </c:pt>
                <c:pt idx="34">
                  <c:v>0.39080459770114945</c:v>
                </c:pt>
                <c:pt idx="35">
                  <c:v>0.39560439560439559</c:v>
                </c:pt>
                <c:pt idx="36">
                  <c:v>0.38297872340425532</c:v>
                </c:pt>
                <c:pt idx="37">
                  <c:v>0.39583333333333331</c:v>
                </c:pt>
                <c:pt idx="38">
                  <c:v>0.40816326530612246</c:v>
                </c:pt>
                <c:pt idx="39">
                  <c:v>0.40776699029126212</c:v>
                </c:pt>
                <c:pt idx="40">
                  <c:v>0.41666666666666669</c:v>
                </c:pt>
                <c:pt idx="41">
                  <c:v>0.4107142857142857</c:v>
                </c:pt>
                <c:pt idx="42">
                  <c:v>0.40707964601769914</c:v>
                </c:pt>
                <c:pt idx="43">
                  <c:v>0.40869565217391307</c:v>
                </c:pt>
                <c:pt idx="44">
                  <c:v>0.40170940170940173</c:v>
                </c:pt>
                <c:pt idx="45">
                  <c:v>0.40336134453781514</c:v>
                </c:pt>
                <c:pt idx="46">
                  <c:v>0.41803278688524592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5672009864364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たかの2!$A$3:$A$49</c:f>
              <c:numCache>
                <c:formatCode>0\ "回"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たかの2!$P$3:$P$49</c:f>
              <c:numCache>
                <c:formatCode>0.0%</c:formatCode>
                <c:ptCount val="47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  <c:pt idx="16">
                  <c:v>0.48888888888888887</c:v>
                </c:pt>
                <c:pt idx="17">
                  <c:v>0.48888888888888887</c:v>
                </c:pt>
                <c:pt idx="18">
                  <c:v>0.5</c:v>
                </c:pt>
                <c:pt idx="19">
                  <c:v>0.50980392156862742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</c:v>
                </c:pt>
                <c:pt idx="23">
                  <c:v>0.50793650793650791</c:v>
                </c:pt>
                <c:pt idx="24">
                  <c:v>0.52307692307692311</c:v>
                </c:pt>
                <c:pt idx="25">
                  <c:v>0.51428571428571423</c:v>
                </c:pt>
                <c:pt idx="26">
                  <c:v>0.49315068493150682</c:v>
                </c:pt>
                <c:pt idx="27">
                  <c:v>0.47368421052631576</c:v>
                </c:pt>
                <c:pt idx="28">
                  <c:v>0.48717948717948717</c:v>
                </c:pt>
                <c:pt idx="29">
                  <c:v>0.48717948717948717</c:v>
                </c:pt>
                <c:pt idx="30">
                  <c:v>0.49367088607594939</c:v>
                </c:pt>
                <c:pt idx="31">
                  <c:v>0.48192771084337349</c:v>
                </c:pt>
                <c:pt idx="32">
                  <c:v>0.48809523809523808</c:v>
                </c:pt>
                <c:pt idx="33">
                  <c:v>0.49411764705882355</c:v>
                </c:pt>
                <c:pt idx="34">
                  <c:v>0.4942528735632184</c:v>
                </c:pt>
                <c:pt idx="35">
                  <c:v>0.48351648351648352</c:v>
                </c:pt>
                <c:pt idx="36">
                  <c:v>0.48351648351648352</c:v>
                </c:pt>
                <c:pt idx="37">
                  <c:v>0.47872340425531917</c:v>
                </c:pt>
                <c:pt idx="38">
                  <c:v>0.48979591836734693</c:v>
                </c:pt>
                <c:pt idx="39">
                  <c:v>0.46601941747572817</c:v>
                </c:pt>
                <c:pt idx="40">
                  <c:v>0.46728971962616822</c:v>
                </c:pt>
                <c:pt idx="41">
                  <c:v>0.46788990825688076</c:v>
                </c:pt>
                <c:pt idx="42">
                  <c:v>0.46788990825688076</c:v>
                </c:pt>
                <c:pt idx="43">
                  <c:v>0.47272727272727272</c:v>
                </c:pt>
                <c:pt idx="44">
                  <c:v>0.46017699115044247</c:v>
                </c:pt>
                <c:pt idx="45">
                  <c:v>0.46551724137931033</c:v>
                </c:pt>
                <c:pt idx="46">
                  <c:v>0.46721311475409838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581351094195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53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4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4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  <row r="51" spans="1:4" x14ac:dyDescent="0.4">
      <c r="A51" s="2" t="s">
        <v>268</v>
      </c>
      <c r="B51" s="3">
        <v>44179.770092592589</v>
      </c>
      <c r="C51" s="2" t="s">
        <v>127</v>
      </c>
      <c r="D51" s="2" t="s">
        <v>188</v>
      </c>
    </row>
    <row r="52" spans="1:4" x14ac:dyDescent="0.4">
      <c r="A52" s="2" t="s">
        <v>269</v>
      </c>
      <c r="B52" s="3">
        <v>44188.877129629633</v>
      </c>
      <c r="C52" s="2" t="s">
        <v>127</v>
      </c>
    </row>
    <row r="53" spans="1:4" x14ac:dyDescent="0.4">
      <c r="A53" s="2" t="s">
        <v>270</v>
      </c>
      <c r="B53" s="3">
        <v>44202.692986111113</v>
      </c>
      <c r="C53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115</v>
      </c>
      <c r="C2" s="120">
        <v>1842.3339395535957</v>
      </c>
    </row>
    <row r="3" spans="1:3" x14ac:dyDescent="0.4">
      <c r="A3" t="s">
        <v>163</v>
      </c>
      <c r="B3" s="120">
        <v>74</v>
      </c>
      <c r="C3" s="120">
        <v>1653.1699313523677</v>
      </c>
    </row>
    <row r="4" spans="1:3" x14ac:dyDescent="0.4">
      <c r="A4" t="s">
        <v>139</v>
      </c>
      <c r="B4" s="120">
        <v>417</v>
      </c>
      <c r="C4" s="120">
        <v>1594.5463045050694</v>
      </c>
    </row>
    <row r="5" spans="1:3" x14ac:dyDescent="0.4">
      <c r="A5" t="s">
        <v>190</v>
      </c>
      <c r="B5" s="120">
        <v>37</v>
      </c>
      <c r="C5" s="120">
        <v>1524.3778689305989</v>
      </c>
    </row>
    <row r="6" spans="1:3" x14ac:dyDescent="0.4">
      <c r="A6" t="s">
        <v>192</v>
      </c>
      <c r="B6" s="120">
        <v>49</v>
      </c>
      <c r="C6" s="120">
        <v>1517.1288342047803</v>
      </c>
    </row>
    <row r="7" spans="1:3" x14ac:dyDescent="0.4">
      <c r="A7" t="s">
        <v>211</v>
      </c>
      <c r="B7" s="120">
        <v>48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46</v>
      </c>
      <c r="C10" s="120">
        <v>1433.30445236539</v>
      </c>
    </row>
    <row r="11" spans="1:3" x14ac:dyDescent="0.4">
      <c r="A11" t="s">
        <v>195</v>
      </c>
      <c r="B11" s="120">
        <v>14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19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5" t="s">
        <v>9</v>
      </c>
      <c r="C1" s="156"/>
      <c r="D1" s="149" t="s">
        <v>6</v>
      </c>
      <c r="E1" s="150"/>
      <c r="F1" s="149" t="s">
        <v>7</v>
      </c>
      <c r="G1" s="150"/>
      <c r="H1" s="155" t="s">
        <v>196</v>
      </c>
      <c r="I1" s="156"/>
      <c r="J1" s="149" t="s">
        <v>15</v>
      </c>
      <c r="K1" s="150"/>
      <c r="L1" s="149" t="s">
        <v>14</v>
      </c>
      <c r="M1" s="150"/>
      <c r="N1" s="149" t="s">
        <v>149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180</v>
      </c>
      <c r="AK1" s="150"/>
    </row>
    <row r="2" spans="1:37" x14ac:dyDescent="0.4">
      <c r="A2" s="36" t="s">
        <v>208</v>
      </c>
      <c r="B2" s="151">
        <v>0.91922248760851188</v>
      </c>
      <c r="C2" s="152"/>
      <c r="D2" s="151">
        <v>0.49617027942287695</v>
      </c>
      <c r="E2" s="152"/>
      <c r="F2" s="151">
        <v>0.54057968006654433</v>
      </c>
      <c r="G2" s="152"/>
      <c r="H2" s="153"/>
      <c r="I2" s="154"/>
      <c r="J2" s="151">
        <v>0.20512819296171589</v>
      </c>
      <c r="K2" s="152"/>
      <c r="L2" s="151">
        <v>-0.25309179461364195</v>
      </c>
      <c r="M2" s="152"/>
      <c r="N2" s="151">
        <v>0.3978296926842077</v>
      </c>
      <c r="O2" s="152"/>
      <c r="P2" s="151">
        <v>0.4821609814288218</v>
      </c>
      <c r="Q2" s="152"/>
      <c r="R2" s="151">
        <v>-1.0527176875098484E-2</v>
      </c>
      <c r="S2" s="152"/>
      <c r="T2" s="151">
        <v>7.3614832357231E-2</v>
      </c>
      <c r="U2" s="152"/>
      <c r="V2" s="151">
        <v>0.32974875509081208</v>
      </c>
      <c r="W2" s="152"/>
      <c r="X2" s="151">
        <v>0.25766247709894802</v>
      </c>
      <c r="Y2" s="152"/>
      <c r="Z2" s="151">
        <v>0.2739629412821209</v>
      </c>
      <c r="AA2" s="152"/>
      <c r="AB2" s="151">
        <v>0.1776334725237024</v>
      </c>
      <c r="AC2" s="152"/>
      <c r="AD2" s="151">
        <v>-8.6816270792288916E-2</v>
      </c>
      <c r="AE2" s="152"/>
      <c r="AF2" s="151">
        <v>0.53489460343987372</v>
      </c>
      <c r="AG2" s="152"/>
      <c r="AH2" s="151">
        <v>-0.22919650190534815</v>
      </c>
      <c r="AI2" s="152"/>
      <c r="AJ2" s="151">
        <v>0.74556128148967327</v>
      </c>
      <c r="AK2" s="152"/>
    </row>
    <row r="3" spans="1:37" x14ac:dyDescent="0.4">
      <c r="A3" s="38">
        <v>1</v>
      </c>
      <c r="B3" s="41" t="s">
        <v>139</v>
      </c>
      <c r="C3" s="113">
        <v>139</v>
      </c>
      <c r="D3" s="39" t="s">
        <v>192</v>
      </c>
      <c r="E3" s="40">
        <v>248.19999999999993</v>
      </c>
      <c r="F3" s="41" t="s">
        <v>192</v>
      </c>
      <c r="G3" s="60">
        <v>5.0653061224489786</v>
      </c>
      <c r="H3" s="41" t="s">
        <v>126</v>
      </c>
      <c r="I3" s="45">
        <v>1748.1143852830708</v>
      </c>
      <c r="J3" s="41" t="s">
        <v>192</v>
      </c>
      <c r="K3" s="42">
        <v>1.8367346938775511</v>
      </c>
      <c r="L3" s="41" t="s">
        <v>195</v>
      </c>
      <c r="M3" s="43">
        <v>0.42857142857142855</v>
      </c>
      <c r="N3" s="41" t="s">
        <v>190</v>
      </c>
      <c r="O3" s="43">
        <v>0.1891891891891892</v>
      </c>
      <c r="P3" s="41" t="s">
        <v>192</v>
      </c>
      <c r="Q3" s="44">
        <v>0.33412322274881517</v>
      </c>
      <c r="R3" s="41" t="s">
        <v>190</v>
      </c>
      <c r="S3" s="44">
        <v>0.1059190031152648</v>
      </c>
      <c r="T3" s="41" t="s">
        <v>221</v>
      </c>
      <c r="U3" s="45">
        <v>10925</v>
      </c>
      <c r="V3" s="41" t="s">
        <v>190</v>
      </c>
      <c r="W3" s="45">
        <v>-6517.6470588235297</v>
      </c>
      <c r="X3" s="41" t="s">
        <v>193</v>
      </c>
      <c r="Y3" s="43">
        <v>0</v>
      </c>
      <c r="Z3" s="41" t="s">
        <v>163</v>
      </c>
      <c r="AA3" s="44">
        <v>0.28330781010719758</v>
      </c>
      <c r="AB3" s="41" t="s">
        <v>189</v>
      </c>
      <c r="AC3" s="44">
        <v>0.29975429975429974</v>
      </c>
      <c r="AD3" s="41" t="s">
        <v>201</v>
      </c>
      <c r="AE3" s="44">
        <v>0.66666666666666663</v>
      </c>
      <c r="AF3" s="41" t="s">
        <v>126</v>
      </c>
      <c r="AG3" s="44">
        <v>0.46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115</v>
      </c>
      <c r="D4" s="47" t="s">
        <v>126</v>
      </c>
      <c r="E4" s="48">
        <v>143.79999999999987</v>
      </c>
      <c r="F4" s="49" t="s">
        <v>211</v>
      </c>
      <c r="G4" s="61">
        <v>2.9312499999999999</v>
      </c>
      <c r="H4" s="49" t="s">
        <v>163</v>
      </c>
      <c r="I4" s="53">
        <v>1631.8441025198326</v>
      </c>
      <c r="J4" s="49" t="s">
        <v>190</v>
      </c>
      <c r="K4" s="50">
        <v>1.8918918918918919</v>
      </c>
      <c r="L4" s="49" t="s">
        <v>192</v>
      </c>
      <c r="M4" s="51">
        <v>0.40816326530612246</v>
      </c>
      <c r="N4" s="49" t="s">
        <v>192</v>
      </c>
      <c r="O4" s="51">
        <v>0.24489795918367346</v>
      </c>
      <c r="P4" s="49" t="s">
        <v>126</v>
      </c>
      <c r="Q4" s="52">
        <v>0.3215767634854772</v>
      </c>
      <c r="R4" s="49" t="s">
        <v>192</v>
      </c>
      <c r="S4" s="52">
        <v>0.11611374407582939</v>
      </c>
      <c r="T4" s="49" t="s">
        <v>163</v>
      </c>
      <c r="U4" s="53">
        <v>9475.7225433526019</v>
      </c>
      <c r="V4" s="49" t="s">
        <v>211</v>
      </c>
      <c r="W4" s="53">
        <v>-6833.9285714285716</v>
      </c>
      <c r="X4" s="49" t="s">
        <v>221</v>
      </c>
      <c r="Y4" s="51">
        <v>0</v>
      </c>
      <c r="Z4" s="49" t="s">
        <v>190</v>
      </c>
      <c r="AA4" s="52">
        <v>0.26168224299065418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211</v>
      </c>
      <c r="AG4" s="52">
        <v>0.45652173913043476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74</v>
      </c>
      <c r="D5" s="47" t="s">
        <v>211</v>
      </c>
      <c r="E5" s="48">
        <v>140.69999999999999</v>
      </c>
      <c r="F5" s="49" t="s">
        <v>190</v>
      </c>
      <c r="G5" s="61">
        <v>1.58108108108108</v>
      </c>
      <c r="H5" s="49" t="s">
        <v>139</v>
      </c>
      <c r="I5" s="53">
        <v>1608.0752656529398</v>
      </c>
      <c r="J5" s="49" t="s">
        <v>211</v>
      </c>
      <c r="K5" s="50">
        <v>1.9166666666666667</v>
      </c>
      <c r="L5" s="49" t="s">
        <v>211</v>
      </c>
      <c r="M5" s="51">
        <v>0.375</v>
      </c>
      <c r="N5" s="49" t="s">
        <v>211</v>
      </c>
      <c r="O5" s="51">
        <v>0.29166666666666669</v>
      </c>
      <c r="P5" s="49" t="s">
        <v>211</v>
      </c>
      <c r="Q5" s="52">
        <v>0.30170316301703165</v>
      </c>
      <c r="R5" s="49" t="s">
        <v>211</v>
      </c>
      <c r="S5" s="52">
        <v>0.13625304136253041</v>
      </c>
      <c r="T5" s="49" t="s">
        <v>195</v>
      </c>
      <c r="U5" s="53">
        <v>8954.8387096774186</v>
      </c>
      <c r="V5" s="49" t="s">
        <v>201</v>
      </c>
      <c r="W5" s="53">
        <v>-7370</v>
      </c>
      <c r="X5" s="49" t="s">
        <v>259</v>
      </c>
      <c r="Y5" s="51">
        <v>0</v>
      </c>
      <c r="Z5" s="49" t="s">
        <v>189</v>
      </c>
      <c r="AA5" s="52">
        <v>0.26044226044226043</v>
      </c>
      <c r="AB5" s="49" t="s">
        <v>192</v>
      </c>
      <c r="AC5" s="52">
        <v>0.27488151658767773</v>
      </c>
      <c r="AD5" s="49" t="s">
        <v>195</v>
      </c>
      <c r="AE5" s="52">
        <v>0.65384615384615385</v>
      </c>
      <c r="AF5" s="49" t="s">
        <v>189</v>
      </c>
      <c r="AG5" s="52">
        <v>0.41803278688524592</v>
      </c>
      <c r="AH5" s="49" t="s">
        <v>195</v>
      </c>
      <c r="AI5" s="52">
        <v>0.5161290322580645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49</v>
      </c>
      <c r="D6" s="47" t="s">
        <v>190</v>
      </c>
      <c r="E6" s="48">
        <v>58.499999999999957</v>
      </c>
      <c r="F6" s="49" t="s">
        <v>126</v>
      </c>
      <c r="G6" s="61">
        <v>1.2504347826086946</v>
      </c>
      <c r="H6" s="49" t="s">
        <v>192</v>
      </c>
      <c r="I6" s="53">
        <v>1578.1244171430706</v>
      </c>
      <c r="J6" s="49" t="s">
        <v>139</v>
      </c>
      <c r="K6" s="50">
        <v>1.9976019184652278</v>
      </c>
      <c r="L6" s="49" t="s">
        <v>189</v>
      </c>
      <c r="M6" s="51">
        <v>0.34782608695652173</v>
      </c>
      <c r="N6" s="49" t="s">
        <v>139</v>
      </c>
      <c r="O6" s="51">
        <v>0.33333333333333331</v>
      </c>
      <c r="P6" s="49" t="s">
        <v>189</v>
      </c>
      <c r="Q6" s="52">
        <v>0.29975429975429974</v>
      </c>
      <c r="R6" s="49" t="s">
        <v>189</v>
      </c>
      <c r="S6" s="52">
        <v>0.16216216216216217</v>
      </c>
      <c r="T6" s="49" t="s">
        <v>126</v>
      </c>
      <c r="U6" s="53">
        <v>8141.9354838709678</v>
      </c>
      <c r="V6" s="49" t="s">
        <v>126</v>
      </c>
      <c r="W6" s="53">
        <v>-7415.2046783625728</v>
      </c>
      <c r="X6" s="49" t="s">
        <v>211</v>
      </c>
      <c r="Y6" s="51">
        <v>4.1666666666666664E-2</v>
      </c>
      <c r="Z6" s="49" t="s">
        <v>126</v>
      </c>
      <c r="AA6" s="52">
        <v>0.2437759336099585</v>
      </c>
      <c r="AB6" s="49" t="s">
        <v>139</v>
      </c>
      <c r="AC6" s="52">
        <v>0.22678970917225952</v>
      </c>
      <c r="AD6" s="49" t="s">
        <v>211</v>
      </c>
      <c r="AE6" s="52">
        <v>0.5955056179775281</v>
      </c>
      <c r="AF6" s="49" t="s">
        <v>193</v>
      </c>
      <c r="AG6" s="52">
        <v>0.41666666666666669</v>
      </c>
      <c r="AH6" s="49" t="s">
        <v>259</v>
      </c>
      <c r="AI6" s="52">
        <v>0.5</v>
      </c>
      <c r="AJ6" s="49" t="s">
        <v>216</v>
      </c>
      <c r="AK6" s="56">
        <v>97000</v>
      </c>
    </row>
    <row r="7" spans="1:37" x14ac:dyDescent="0.4">
      <c r="A7" s="46">
        <v>5</v>
      </c>
      <c r="B7" s="49" t="s">
        <v>211</v>
      </c>
      <c r="C7" s="114">
        <v>48</v>
      </c>
      <c r="D7" s="47" t="s">
        <v>139</v>
      </c>
      <c r="E7" s="48">
        <v>6.3948846218409017E-14</v>
      </c>
      <c r="F7" s="49" t="s">
        <v>139</v>
      </c>
      <c r="G7" s="61">
        <v>1.5335454728635257E-16</v>
      </c>
      <c r="H7" s="49" t="s">
        <v>190</v>
      </c>
      <c r="I7" s="53">
        <v>1552.235570864417</v>
      </c>
      <c r="J7" s="49" t="s">
        <v>163</v>
      </c>
      <c r="K7" s="50">
        <v>2</v>
      </c>
      <c r="L7" s="49" t="s">
        <v>163</v>
      </c>
      <c r="M7" s="51">
        <v>0.33783783783783783</v>
      </c>
      <c r="N7" s="49" t="s">
        <v>163</v>
      </c>
      <c r="O7" s="51">
        <v>0.33783783783783783</v>
      </c>
      <c r="P7" s="49" t="s">
        <v>139</v>
      </c>
      <c r="Q7" s="52">
        <v>0.29390380313199105</v>
      </c>
      <c r="R7" s="49" t="s">
        <v>139</v>
      </c>
      <c r="S7" s="52">
        <v>0.16275167785234898</v>
      </c>
      <c r="T7" s="49" t="s">
        <v>139</v>
      </c>
      <c r="U7" s="53">
        <v>8135.3948620361562</v>
      </c>
      <c r="V7" s="49" t="s">
        <v>139</v>
      </c>
      <c r="W7" s="53">
        <v>-7677.6632302405496</v>
      </c>
      <c r="X7" s="49" t="s">
        <v>190</v>
      </c>
      <c r="Y7" s="51">
        <v>5.4054054054054057E-2</v>
      </c>
      <c r="Z7" s="49" t="s">
        <v>139</v>
      </c>
      <c r="AA7" s="52">
        <v>0.2430089485458613</v>
      </c>
      <c r="AB7" s="49" t="s">
        <v>163</v>
      </c>
      <c r="AC7" s="52">
        <v>0.22511485451761101</v>
      </c>
      <c r="AD7" s="49" t="s">
        <v>126</v>
      </c>
      <c r="AE7" s="52">
        <v>0.57446808510638303</v>
      </c>
      <c r="AF7" s="49" t="s">
        <v>192</v>
      </c>
      <c r="AG7" s="52">
        <v>0.41379310344827586</v>
      </c>
      <c r="AH7" s="49" t="s">
        <v>216</v>
      </c>
      <c r="AI7" s="52">
        <v>0.47058823529411764</v>
      </c>
      <c r="AJ7" s="49" t="s">
        <v>163</v>
      </c>
      <c r="AK7" s="56">
        <v>94700</v>
      </c>
    </row>
    <row r="8" spans="1:37" x14ac:dyDescent="0.4">
      <c r="A8" s="46">
        <v>6</v>
      </c>
      <c r="B8" s="49" t="s">
        <v>189</v>
      </c>
      <c r="C8" s="114">
        <v>46</v>
      </c>
      <c r="D8" s="47" t="s">
        <v>221</v>
      </c>
      <c r="E8" s="48">
        <v>-13.5</v>
      </c>
      <c r="F8" s="49" t="s">
        <v>163</v>
      </c>
      <c r="G8" s="61">
        <v>-1.301351351351351</v>
      </c>
      <c r="H8" s="49" t="s">
        <v>211</v>
      </c>
      <c r="I8" s="53">
        <v>1532.9527241904184</v>
      </c>
      <c r="J8" s="49" t="s">
        <v>195</v>
      </c>
      <c r="K8" s="50">
        <v>2</v>
      </c>
      <c r="L8" s="49" t="s">
        <v>139</v>
      </c>
      <c r="M8" s="51">
        <v>0.33573141486810554</v>
      </c>
      <c r="N8" s="49" t="s">
        <v>126</v>
      </c>
      <c r="O8" s="51">
        <v>0.34782608695652173</v>
      </c>
      <c r="P8" s="49" t="s">
        <v>163</v>
      </c>
      <c r="Q8" s="52">
        <v>0.26493108728943338</v>
      </c>
      <c r="R8" s="49" t="s">
        <v>221</v>
      </c>
      <c r="S8" s="52">
        <v>0.16666666666666666</v>
      </c>
      <c r="T8" s="49" t="s">
        <v>190</v>
      </c>
      <c r="U8" s="53">
        <v>8091.7647058823532</v>
      </c>
      <c r="V8" s="49" t="s">
        <v>192</v>
      </c>
      <c r="W8" s="53">
        <v>-7693.8775510204077</v>
      </c>
      <c r="X8" s="49" t="s">
        <v>126</v>
      </c>
      <c r="Y8" s="51">
        <v>7.8260869565217397E-2</v>
      </c>
      <c r="Z8" s="49" t="s">
        <v>259</v>
      </c>
      <c r="AA8" s="52">
        <v>0.24</v>
      </c>
      <c r="AB8" s="49" t="s">
        <v>211</v>
      </c>
      <c r="AC8" s="52">
        <v>0.22384428223844283</v>
      </c>
      <c r="AD8" s="49" t="s">
        <v>192</v>
      </c>
      <c r="AE8" s="52">
        <v>0.52941176470588236</v>
      </c>
      <c r="AF8" s="49" t="s">
        <v>139</v>
      </c>
      <c r="AG8" s="52">
        <v>0.40567200986436497</v>
      </c>
      <c r="AH8" s="49" t="s">
        <v>189</v>
      </c>
      <c r="AI8" s="52">
        <v>0.46721311475409838</v>
      </c>
      <c r="AJ8" s="49" t="s">
        <v>189</v>
      </c>
      <c r="AK8" s="56">
        <v>89900</v>
      </c>
    </row>
    <row r="9" spans="1:37" x14ac:dyDescent="0.4">
      <c r="A9" s="46">
        <v>7</v>
      </c>
      <c r="B9" s="49" t="s">
        <v>190</v>
      </c>
      <c r="C9" s="114">
        <v>37</v>
      </c>
      <c r="D9" s="47" t="s">
        <v>259</v>
      </c>
      <c r="E9" s="48">
        <v>-50</v>
      </c>
      <c r="F9" s="49" t="s">
        <v>189</v>
      </c>
      <c r="G9" s="61">
        <v>-2.0565217391304347</v>
      </c>
      <c r="H9" s="49" t="s">
        <v>221</v>
      </c>
      <c r="I9" s="53">
        <v>1497.379788</v>
      </c>
      <c r="J9" s="49" t="s">
        <v>126</v>
      </c>
      <c r="K9" s="50">
        <v>2.017391304347826</v>
      </c>
      <c r="L9" s="49" t="s">
        <v>126</v>
      </c>
      <c r="M9" s="51">
        <v>0.33043478260869563</v>
      </c>
      <c r="N9" s="49" t="s">
        <v>189</v>
      </c>
      <c r="O9" s="51">
        <v>0.41304347826086957</v>
      </c>
      <c r="P9" s="49" t="s">
        <v>190</v>
      </c>
      <c r="Q9" s="52">
        <v>0.26479750778816197</v>
      </c>
      <c r="R9" s="49" t="s">
        <v>195</v>
      </c>
      <c r="S9" s="52">
        <v>0.17355371900826447</v>
      </c>
      <c r="T9" s="49" t="s">
        <v>216</v>
      </c>
      <c r="U9" s="53">
        <v>7926.4705882352937</v>
      </c>
      <c r="V9" s="49" t="s">
        <v>216</v>
      </c>
      <c r="W9" s="53">
        <v>-7886.2068965517237</v>
      </c>
      <c r="X9" s="49" t="s">
        <v>192</v>
      </c>
      <c r="Y9" s="51">
        <v>8.1632653061224483E-2</v>
      </c>
      <c r="Z9" s="49" t="s">
        <v>216</v>
      </c>
      <c r="AA9" s="52">
        <v>0.2361111111111111</v>
      </c>
      <c r="AB9" s="49" t="s">
        <v>193</v>
      </c>
      <c r="AC9" s="52">
        <v>0.22222222222222221</v>
      </c>
      <c r="AD9" s="49" t="s">
        <v>139</v>
      </c>
      <c r="AE9" s="52">
        <v>0.52243958573072502</v>
      </c>
      <c r="AF9" s="49" t="s">
        <v>221</v>
      </c>
      <c r="AG9" s="52">
        <v>0.4</v>
      </c>
      <c r="AH9" s="49" t="s">
        <v>126</v>
      </c>
      <c r="AI9" s="52">
        <v>0.46451612903225808</v>
      </c>
      <c r="AJ9" s="49" t="s">
        <v>211</v>
      </c>
      <c r="AK9" s="56">
        <v>86700</v>
      </c>
    </row>
    <row r="10" spans="1:37" x14ac:dyDescent="0.4">
      <c r="A10" s="46">
        <v>8</v>
      </c>
      <c r="B10" s="49" t="s">
        <v>216</v>
      </c>
      <c r="C10" s="114">
        <v>19</v>
      </c>
      <c r="D10" s="47" t="s">
        <v>195</v>
      </c>
      <c r="E10" s="48">
        <v>-72.599999999999994</v>
      </c>
      <c r="F10" s="49" t="s">
        <v>195</v>
      </c>
      <c r="G10" s="61">
        <v>-5.1857142857142851</v>
      </c>
      <c r="H10" s="49" t="s">
        <v>259</v>
      </c>
      <c r="I10" s="53">
        <v>1493.0891304000002</v>
      </c>
      <c r="J10" s="49" t="s">
        <v>189</v>
      </c>
      <c r="K10" s="50">
        <v>2.0652173913043477</v>
      </c>
      <c r="L10" s="49" t="s">
        <v>190</v>
      </c>
      <c r="M10" s="51">
        <v>0.29729729729729731</v>
      </c>
      <c r="N10" s="49" t="s">
        <v>216</v>
      </c>
      <c r="O10" s="51">
        <v>0.42105263157894735</v>
      </c>
      <c r="P10" s="49" t="s">
        <v>195</v>
      </c>
      <c r="Q10" s="52">
        <v>0.256198347107438</v>
      </c>
      <c r="R10" s="49" t="s">
        <v>126</v>
      </c>
      <c r="S10" s="52">
        <v>0.17738589211618258</v>
      </c>
      <c r="T10" s="49" t="s">
        <v>193</v>
      </c>
      <c r="U10" s="53">
        <v>7866.666666666667</v>
      </c>
      <c r="V10" s="49" t="s">
        <v>163</v>
      </c>
      <c r="W10" s="53">
        <v>-7925.3968253968251</v>
      </c>
      <c r="X10" s="49" t="s">
        <v>139</v>
      </c>
      <c r="Y10" s="51">
        <v>8.6330935251798566E-2</v>
      </c>
      <c r="Z10" s="49" t="s">
        <v>221</v>
      </c>
      <c r="AA10" s="52">
        <v>0.22222222222222221</v>
      </c>
      <c r="AB10" s="49" t="s">
        <v>201</v>
      </c>
      <c r="AC10" s="52">
        <v>0.22222222222222221</v>
      </c>
      <c r="AD10" s="49" t="s">
        <v>190</v>
      </c>
      <c r="AE10" s="52">
        <v>0.51190476190476186</v>
      </c>
      <c r="AF10" s="49" t="s">
        <v>190</v>
      </c>
      <c r="AG10" s="52">
        <v>0.36507936507936506</v>
      </c>
      <c r="AH10" s="49" t="s">
        <v>163</v>
      </c>
      <c r="AI10" s="52">
        <v>0.46242774566473988</v>
      </c>
      <c r="AJ10" s="49" t="s">
        <v>190</v>
      </c>
      <c r="AK10" s="56">
        <v>85000</v>
      </c>
    </row>
    <row r="11" spans="1:37" x14ac:dyDescent="0.4">
      <c r="A11" s="46">
        <v>9</v>
      </c>
      <c r="B11" s="49" t="s">
        <v>195</v>
      </c>
      <c r="C11" s="114">
        <v>14</v>
      </c>
      <c r="D11" s="47" t="s">
        <v>201</v>
      </c>
      <c r="E11" s="48">
        <v>-77.699999999999989</v>
      </c>
      <c r="F11" s="49" t="s">
        <v>216</v>
      </c>
      <c r="G11" s="61">
        <v>-5.7</v>
      </c>
      <c r="H11" s="49" t="s">
        <v>201</v>
      </c>
      <c r="I11" s="53">
        <v>1489.5540953611471</v>
      </c>
      <c r="J11" s="49" t="s">
        <v>216</v>
      </c>
      <c r="K11" s="50">
        <v>2.1578947368421053</v>
      </c>
      <c r="L11" s="49" t="s">
        <v>216</v>
      </c>
      <c r="M11" s="51">
        <v>0.26315789473684209</v>
      </c>
      <c r="N11" s="49" t="s">
        <v>195</v>
      </c>
      <c r="O11" s="51">
        <v>0.42857142857142855</v>
      </c>
      <c r="P11" s="49" t="s">
        <v>201</v>
      </c>
      <c r="Q11" s="52">
        <v>0.25</v>
      </c>
      <c r="R11" s="49" t="s">
        <v>163</v>
      </c>
      <c r="S11" s="52">
        <v>0.19295558958652373</v>
      </c>
      <c r="T11" s="49" t="s">
        <v>211</v>
      </c>
      <c r="U11" s="53">
        <v>7832.2580645161288</v>
      </c>
      <c r="V11" s="49" t="s">
        <v>195</v>
      </c>
      <c r="W11" s="53">
        <v>-7990.4761904761908</v>
      </c>
      <c r="X11" s="49" t="s">
        <v>189</v>
      </c>
      <c r="Y11" s="51">
        <v>8.6956521739130432E-2</v>
      </c>
      <c r="Z11" s="49" t="s">
        <v>211</v>
      </c>
      <c r="AA11" s="52">
        <v>0.21654501216545013</v>
      </c>
      <c r="AB11" s="49" t="s">
        <v>126</v>
      </c>
      <c r="AC11" s="52">
        <v>0.2074688796680498</v>
      </c>
      <c r="AD11" s="49" t="s">
        <v>216</v>
      </c>
      <c r="AE11" s="52">
        <v>0.47058823529411764</v>
      </c>
      <c r="AF11" s="49" t="s">
        <v>163</v>
      </c>
      <c r="AG11" s="52">
        <v>0.3401360544217687</v>
      </c>
      <c r="AH11" s="49" t="s">
        <v>139</v>
      </c>
      <c r="AI11" s="52">
        <v>0.43958135109419599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221</v>
      </c>
      <c r="G12" s="61">
        <v>-6.75</v>
      </c>
      <c r="H12" s="49" t="s">
        <v>216</v>
      </c>
      <c r="I12" s="53">
        <v>1488.9447185272431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259</v>
      </c>
      <c r="Q12" s="52">
        <v>0.24</v>
      </c>
      <c r="R12" s="49" t="s">
        <v>259</v>
      </c>
      <c r="S12" s="52">
        <v>0.2</v>
      </c>
      <c r="T12" s="49" t="s">
        <v>189</v>
      </c>
      <c r="U12" s="53">
        <v>7454.9180327868853</v>
      </c>
      <c r="V12" s="49" t="s">
        <v>189</v>
      </c>
      <c r="W12" s="53">
        <v>-8572.7272727272721</v>
      </c>
      <c r="X12" s="49" t="s">
        <v>216</v>
      </c>
      <c r="Y12" s="51">
        <v>0.10526315789473684</v>
      </c>
      <c r="Z12" s="49" t="s">
        <v>195</v>
      </c>
      <c r="AA12" s="52">
        <v>0.21487603305785125</v>
      </c>
      <c r="AB12" s="49" t="s">
        <v>190</v>
      </c>
      <c r="AC12" s="52">
        <v>0.19626168224299065</v>
      </c>
      <c r="AD12" s="49" t="s">
        <v>163</v>
      </c>
      <c r="AE12" s="52">
        <v>0.4702702702702703</v>
      </c>
      <c r="AF12" s="49" t="s">
        <v>216</v>
      </c>
      <c r="AG12" s="52">
        <v>0.32</v>
      </c>
      <c r="AH12" s="49" t="s">
        <v>211</v>
      </c>
      <c r="AI12" s="52">
        <v>0.41129032258064518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189</v>
      </c>
      <c r="E13" s="48">
        <v>-94.6</v>
      </c>
      <c r="F13" s="49" t="s">
        <v>193</v>
      </c>
      <c r="G13" s="61">
        <v>-13.033333333333331</v>
      </c>
      <c r="H13" s="49" t="s">
        <v>189</v>
      </c>
      <c r="I13" s="53">
        <v>1454.3872268622663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216</v>
      </c>
      <c r="Q13" s="52">
        <v>0.2361111111111111</v>
      </c>
      <c r="R13" s="49" t="s">
        <v>216</v>
      </c>
      <c r="S13" s="52">
        <v>0.2013888888888889</v>
      </c>
      <c r="T13" s="49" t="s">
        <v>192</v>
      </c>
      <c r="U13" s="53">
        <v>7300</v>
      </c>
      <c r="V13" s="49" t="s">
        <v>193</v>
      </c>
      <c r="W13" s="53">
        <v>-8875</v>
      </c>
      <c r="X13" s="49" t="s">
        <v>163</v>
      </c>
      <c r="Y13" s="51">
        <v>0.13513513513513514</v>
      </c>
      <c r="Z13" s="49" t="s">
        <v>192</v>
      </c>
      <c r="AA13" s="52">
        <v>0.2014218009478673</v>
      </c>
      <c r="AB13" s="49" t="s">
        <v>216</v>
      </c>
      <c r="AC13" s="52">
        <v>0.1736111111111111</v>
      </c>
      <c r="AD13" s="49" t="s">
        <v>189</v>
      </c>
      <c r="AE13" s="52">
        <v>0.44339622641509435</v>
      </c>
      <c r="AF13" s="49" t="s">
        <v>195</v>
      </c>
      <c r="AG13" s="52">
        <v>0.29411764705882354</v>
      </c>
      <c r="AH13" s="49" t="s">
        <v>192</v>
      </c>
      <c r="AI13" s="52">
        <v>0.3971631205673759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163</v>
      </c>
      <c r="E14" s="48">
        <v>-96.299999999999983</v>
      </c>
      <c r="F14" s="49" t="s">
        <v>259</v>
      </c>
      <c r="G14" s="61">
        <v>-16.666666666666668</v>
      </c>
      <c r="H14" s="49" t="s">
        <v>195</v>
      </c>
      <c r="I14" s="53">
        <v>1392.4879372401474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193</v>
      </c>
      <c r="Q14" s="52">
        <v>0.22222222222222221</v>
      </c>
      <c r="R14" s="49" t="s">
        <v>193</v>
      </c>
      <c r="S14" s="52">
        <v>0.22222222222222221</v>
      </c>
      <c r="T14" s="49" t="s">
        <v>259</v>
      </c>
      <c r="U14" s="53">
        <v>7216.666666666667</v>
      </c>
      <c r="V14" s="49" t="s">
        <v>259</v>
      </c>
      <c r="W14" s="53">
        <v>-9420</v>
      </c>
      <c r="X14" s="49" t="s">
        <v>195</v>
      </c>
      <c r="Y14" s="51">
        <v>0.14285714285714285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201</v>
      </c>
      <c r="AG14" s="52">
        <v>0.25</v>
      </c>
      <c r="AH14" s="49" t="s">
        <v>190</v>
      </c>
      <c r="AI14" s="52">
        <v>0.31764705882352939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216</v>
      </c>
      <c r="E15" s="48">
        <v>-108.30000000000001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221</v>
      </c>
      <c r="Q15" s="52">
        <v>0.22222222222222221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0.14049586776859505</v>
      </c>
      <c r="AD15" s="49" t="s">
        <v>193</v>
      </c>
      <c r="AE15" s="52">
        <v>0.22222222222222221</v>
      </c>
      <c r="AF15" s="49" t="s">
        <v>259</v>
      </c>
      <c r="AG15" s="52">
        <v>0.25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41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417</v>
      </c>
      <c r="C2" s="142"/>
      <c r="E2" s="26" t="s">
        <v>66</v>
      </c>
      <c r="F2" s="23" t="s">
        <v>22</v>
      </c>
      <c r="G2" s="11">
        <v>824</v>
      </c>
      <c r="H2" s="87">
        <f>IF(B$20=0,0,G2/B$20)</f>
        <v>0.78401522359657472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-36.231884057971016</v>
      </c>
      <c r="Q2" s="76">
        <v>414</v>
      </c>
      <c r="R2" s="63">
        <v>-15000</v>
      </c>
    </row>
    <row r="3" spans="1:18" x14ac:dyDescent="0.4">
      <c r="A3" s="19" t="s">
        <v>8</v>
      </c>
      <c r="B3" s="143">
        <v>3576</v>
      </c>
      <c r="C3" s="144"/>
      <c r="E3" s="27" t="s">
        <v>72</v>
      </c>
      <c r="F3" s="24" t="s">
        <v>27</v>
      </c>
      <c r="G3" s="12">
        <v>626</v>
      </c>
      <c r="H3" s="88">
        <f>IF(B$20=0,0,G3/B$20)</f>
        <v>0.59562321598477641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17.283950617283949</v>
      </c>
      <c r="Q3" s="77">
        <v>405</v>
      </c>
      <c r="R3" s="64">
        <v>7000</v>
      </c>
    </row>
    <row r="4" spans="1:18" x14ac:dyDescent="0.4">
      <c r="A4" s="19" t="s">
        <v>6</v>
      </c>
      <c r="B4" s="145">
        <v>6.3948846218409017E-14</v>
      </c>
      <c r="C4" s="146"/>
      <c r="E4" s="27" t="s">
        <v>64</v>
      </c>
      <c r="F4" s="24" t="s">
        <v>20</v>
      </c>
      <c r="G4" s="12">
        <v>439</v>
      </c>
      <c r="H4" s="88">
        <f>IF(B$20=0,0,G4/B$20)</f>
        <v>0.41769743101807805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0</v>
      </c>
      <c r="Q4" s="77">
        <v>405</v>
      </c>
      <c r="R4" s="64">
        <v>0</v>
      </c>
    </row>
    <row r="5" spans="1:18" x14ac:dyDescent="0.4">
      <c r="A5" s="19" t="s">
        <v>7</v>
      </c>
      <c r="B5" s="133">
        <f>IF(B$2=0,0,B$4/B$2)</f>
        <v>1.5335454728635257E-16</v>
      </c>
      <c r="C5" s="134"/>
      <c r="E5" s="27" t="s">
        <v>159</v>
      </c>
      <c r="F5" s="24" t="s">
        <v>160</v>
      </c>
      <c r="G5" s="12">
        <v>423</v>
      </c>
      <c r="H5" s="88">
        <f>IF(B$20=0,0,G5/B$20)</f>
        <v>0.40247383444338725</v>
      </c>
      <c r="I5" s="58">
        <v>8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-5.208333333333333</v>
      </c>
      <c r="Q5" s="77">
        <v>384</v>
      </c>
      <c r="R5" s="64">
        <v>-2000</v>
      </c>
    </row>
    <row r="6" spans="1:18" x14ac:dyDescent="0.4">
      <c r="A6" s="19" t="s">
        <v>196</v>
      </c>
      <c r="B6" s="137">
        <v>1608.0752656529398</v>
      </c>
      <c r="C6" s="138"/>
      <c r="E6" s="27" t="s">
        <v>68</v>
      </c>
      <c r="F6" s="24" t="s">
        <v>12</v>
      </c>
      <c r="G6" s="12">
        <v>314</v>
      </c>
      <c r="H6" s="88">
        <f>IF(B$20=0,0,G6/B$20)</f>
        <v>0.29876308277830638</v>
      </c>
      <c r="I6" s="58">
        <v>8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14.124293785310735</v>
      </c>
      <c r="Q6" s="77">
        <v>354</v>
      </c>
      <c r="R6" s="64">
        <v>5000</v>
      </c>
    </row>
    <row r="7" spans="1:18" x14ac:dyDescent="0.4">
      <c r="A7" s="19" t="s">
        <v>1</v>
      </c>
      <c r="B7" s="147">
        <f>IF(B$2=0,0,(B$8*1+B$9*2+B$10*3)/B$2)</f>
        <v>1.9976019184652278</v>
      </c>
      <c r="C7" s="148"/>
      <c r="E7" s="27" t="s">
        <v>67</v>
      </c>
      <c r="F7" s="24" t="s">
        <v>23</v>
      </c>
      <c r="G7" s="12">
        <v>228</v>
      </c>
      <c r="H7" s="88">
        <f>IF(B$20=0,0,G7/B$20)</f>
        <v>0.21693625118934348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16.501650165016503</v>
      </c>
      <c r="Q7" s="78">
        <v>303</v>
      </c>
      <c r="R7" s="65">
        <v>5000</v>
      </c>
    </row>
    <row r="8" spans="1:18" x14ac:dyDescent="0.4">
      <c r="A8" s="19" t="s">
        <v>2</v>
      </c>
      <c r="B8" s="12">
        <v>140</v>
      </c>
      <c r="C8" s="6">
        <f t="shared" ref="C8:C15" si="1">IF(B$2=0,0,B8/B$2)</f>
        <v>0.33573141486810554</v>
      </c>
      <c r="E8" s="27" t="s">
        <v>89</v>
      </c>
      <c r="F8" s="24" t="s">
        <v>44</v>
      </c>
      <c r="G8" s="12">
        <v>142</v>
      </c>
      <c r="H8" s="88">
        <f>IF(B$20=0,0,G8/B$20)</f>
        <v>0.13510941960038059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138</v>
      </c>
      <c r="C9" s="6">
        <f t="shared" si="1"/>
        <v>0.33093525179856115</v>
      </c>
      <c r="E9" s="27" t="s">
        <v>69</v>
      </c>
      <c r="F9" s="24" t="s">
        <v>24</v>
      </c>
      <c r="G9" s="12">
        <v>139</v>
      </c>
      <c r="H9" s="88">
        <f>IF(B$20=0,0,G9/B$20)</f>
        <v>0.13225499524262607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139</v>
      </c>
      <c r="C10" s="7">
        <f t="shared" si="1"/>
        <v>0.33333333333333331</v>
      </c>
      <c r="E10" s="27" t="s">
        <v>70</v>
      </c>
      <c r="F10" s="24" t="s">
        <v>25</v>
      </c>
      <c r="G10" s="12">
        <v>105</v>
      </c>
      <c r="H10" s="88">
        <f>IF(B$20=0,0,G10/B$20)</f>
        <v>9.9904852521408183E-2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3.2431654676258992</v>
      </c>
      <c r="Q10" s="76">
        <v>139</v>
      </c>
      <c r="R10" s="67">
        <v>450.8</v>
      </c>
    </row>
    <row r="11" spans="1:18" x14ac:dyDescent="0.4">
      <c r="A11" s="20" t="s">
        <v>184</v>
      </c>
      <c r="B11" s="109">
        <f>IF(B8=0,0,C11/B8)</f>
        <v>34.488571428571419</v>
      </c>
      <c r="C11" s="110">
        <v>4828.3999999999987</v>
      </c>
      <c r="E11" s="27" t="s">
        <v>65</v>
      </c>
      <c r="F11" s="24" t="s">
        <v>21</v>
      </c>
      <c r="G11" s="12">
        <v>96</v>
      </c>
      <c r="H11" s="88">
        <f>IF(B$20=0,0,G11/B$20)</f>
        <v>9.1341579448144625E-2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-3.7791366906474817</v>
      </c>
      <c r="Q11" s="77">
        <v>139</v>
      </c>
      <c r="R11" s="68">
        <v>-525.29999999999995</v>
      </c>
    </row>
    <row r="12" spans="1:18" x14ac:dyDescent="0.4">
      <c r="A12" s="20" t="s">
        <v>185</v>
      </c>
      <c r="B12" s="109">
        <f>IF(B9=0,0,C12/B9)</f>
        <v>-1.0557971014492753</v>
      </c>
      <c r="C12" s="110">
        <v>-145.69999999999999</v>
      </c>
      <c r="E12" s="27" t="s">
        <v>71</v>
      </c>
      <c r="F12" s="24" t="s">
        <v>26</v>
      </c>
      <c r="G12" s="12">
        <v>66</v>
      </c>
      <c r="H12" s="88">
        <f>IF(B$20=0,0,G12/B$20)</f>
        <v>6.2797335870599436E-2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0.53597122302158295</v>
      </c>
      <c r="Q12" s="78">
        <v>139</v>
      </c>
      <c r="R12" s="69">
        <v>74.500000000000028</v>
      </c>
    </row>
    <row r="13" spans="1:18" x14ac:dyDescent="0.4">
      <c r="A13" s="20" t="s">
        <v>186</v>
      </c>
      <c r="B13" s="109">
        <f>IF(B10=0,0,C13/B10)</f>
        <v>-33.688489208633086</v>
      </c>
      <c r="C13" s="110">
        <v>-4682.6999999999989</v>
      </c>
      <c r="E13" s="27" t="s">
        <v>86</v>
      </c>
      <c r="F13" s="24" t="s">
        <v>41</v>
      </c>
      <c r="G13" s="12">
        <v>59</v>
      </c>
      <c r="H13" s="88">
        <f>IF(B$20=0,0,G13/B$20)</f>
        <v>5.6137012369172214E-2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-8.5238293836980006E-2</v>
      </c>
      <c r="C14" s="134"/>
      <c r="E14" s="27" t="s">
        <v>83</v>
      </c>
      <c r="F14" s="24" t="s">
        <v>38</v>
      </c>
      <c r="G14" s="12">
        <v>45</v>
      </c>
      <c r="H14" s="88">
        <f>IF(B$20=0,0,G14/B$20)</f>
        <v>4.2816365366317791E-2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36</v>
      </c>
      <c r="C15" s="9">
        <f t="shared" si="1"/>
        <v>8.6330935251798566E-2</v>
      </c>
      <c r="E15" s="27" t="s">
        <v>81</v>
      </c>
      <c r="F15" s="24" t="s">
        <v>36</v>
      </c>
      <c r="G15" s="12">
        <v>33</v>
      </c>
      <c r="H15" s="88">
        <f>IF(B$20=0,0,G15/B$20)</f>
        <v>3.1398667935299718E-2</v>
      </c>
      <c r="I15" s="58">
        <v>9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869</v>
      </c>
      <c r="C16" s="10">
        <f>IF(B$3=0,0,B16/B$3)</f>
        <v>0.2430089485458613</v>
      </c>
      <c r="E16" s="27" t="s">
        <v>78</v>
      </c>
      <c r="F16" s="24" t="s">
        <v>33</v>
      </c>
      <c r="G16" s="12">
        <v>30</v>
      </c>
      <c r="H16" s="88">
        <f>IF(B$20=0,0,G16/B$20)</f>
        <v>2.8544243577545196E-2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811</v>
      </c>
      <c r="C17" s="6">
        <f>IF(B$3=0,0,B17/B$3)</f>
        <v>0.22678970917225952</v>
      </c>
      <c r="E17" s="27" t="s">
        <v>91</v>
      </c>
      <c r="F17" s="24" t="s">
        <v>46</v>
      </c>
      <c r="G17" s="12">
        <v>21</v>
      </c>
      <c r="H17" s="88">
        <f>IF(B$20=0,0,G17/B$20)</f>
        <v>1.9980970504281638E-2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454</v>
      </c>
      <c r="C18" s="5">
        <f>IF(B$16=0,0,B18/B$16)</f>
        <v>0.52243958573072502</v>
      </c>
      <c r="E18" s="27" t="s">
        <v>155</v>
      </c>
      <c r="F18" s="24" t="s">
        <v>156</v>
      </c>
      <c r="G18" s="12">
        <v>18</v>
      </c>
      <c r="H18" s="88">
        <f>IF(B$20=0,0,G18/B$20)</f>
        <v>1.7126546146527116E-2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">
      <c r="A19" s="18" t="s">
        <v>124</v>
      </c>
      <c r="B19" s="11">
        <f>B25</f>
        <v>329</v>
      </c>
      <c r="C19" s="5">
        <f>IF(B$17=0,0,B19/B$17)</f>
        <v>0.40567200986436497</v>
      </c>
      <c r="E19" s="27" t="s">
        <v>79</v>
      </c>
      <c r="F19" s="24" t="s">
        <v>34</v>
      </c>
      <c r="G19" s="12">
        <v>15</v>
      </c>
      <c r="H19" s="88">
        <f>IF(B$20=0,0,G19/B$20)</f>
        <v>1.4272121788772598E-2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216</v>
      </c>
      <c r="P19" s="83">
        <f>IF(Q19=0,0,R19/Q19)</f>
        <v>8.5500000000000025</v>
      </c>
      <c r="Q19" s="77">
        <v>38</v>
      </c>
      <c r="R19" s="68">
        <v>324.90000000000009</v>
      </c>
    </row>
    <row r="20" spans="1:18" x14ac:dyDescent="0.4">
      <c r="A20" s="18" t="s">
        <v>10</v>
      </c>
      <c r="B20" s="11">
        <f>B23+B22</f>
        <v>1051</v>
      </c>
      <c r="C20" s="5">
        <f>IF(B$3=0,0,B20/B$3)</f>
        <v>0.29390380313199105</v>
      </c>
      <c r="E20" s="27" t="s">
        <v>73</v>
      </c>
      <c r="F20" s="24" t="s">
        <v>28</v>
      </c>
      <c r="G20" s="12">
        <v>9</v>
      </c>
      <c r="H20" s="88">
        <f>IF(B$20=0,0,G20/B$20)</f>
        <v>8.5632730732635581E-3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7.7785714285714311</v>
      </c>
      <c r="Q20" s="77">
        <v>28</v>
      </c>
      <c r="R20" s="68">
        <v>217.80000000000007</v>
      </c>
    </row>
    <row r="21" spans="1:18" x14ac:dyDescent="0.4">
      <c r="A21" s="19" t="s">
        <v>13</v>
      </c>
      <c r="B21" s="12">
        <v>582</v>
      </c>
      <c r="C21" s="6">
        <f>IF(B$3=0,0,B21/B$3)</f>
        <v>0.16275167785234898</v>
      </c>
      <c r="E21" s="27" t="s">
        <v>75</v>
      </c>
      <c r="F21" s="24" t="s">
        <v>30</v>
      </c>
      <c r="G21" s="12">
        <v>4</v>
      </c>
      <c r="H21" s="88">
        <f>IF(B$20=0,0,G21/B$20)</f>
        <v>3.8058991436726928E-3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3.0847826086956522</v>
      </c>
      <c r="Q21" s="77">
        <v>92</v>
      </c>
      <c r="R21" s="68">
        <v>283.8</v>
      </c>
    </row>
    <row r="22" spans="1:18" x14ac:dyDescent="0.4">
      <c r="A22" s="19" t="s">
        <v>12</v>
      </c>
      <c r="B22" s="12">
        <v>462</v>
      </c>
      <c r="C22" s="6">
        <f>IF(B$20=0,0,B22/B$20)</f>
        <v>0.43958135109419599</v>
      </c>
      <c r="E22" s="27" t="s">
        <v>77</v>
      </c>
      <c r="F22" s="24" t="s">
        <v>32</v>
      </c>
      <c r="G22" s="12">
        <v>4</v>
      </c>
      <c r="H22" s="88">
        <f>IF(B$20=0,0,G22/B$20)</f>
        <v>3.8058991436726928E-3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163</v>
      </c>
      <c r="P22" s="83">
        <f>IF(Q22=0,0,R22/Q22)</f>
        <v>1.9520270270270277</v>
      </c>
      <c r="Q22" s="77">
        <v>148</v>
      </c>
      <c r="R22" s="68">
        <v>288.90000000000009</v>
      </c>
    </row>
    <row r="23" spans="1:18" x14ac:dyDescent="0.4">
      <c r="A23" s="19" t="s">
        <v>11</v>
      </c>
      <c r="B23" s="12">
        <v>589</v>
      </c>
      <c r="C23" s="6">
        <f>IF(B$20=0,0,B23/B$20)</f>
        <v>0.56041864890580395</v>
      </c>
      <c r="E23" s="27" t="s">
        <v>85</v>
      </c>
      <c r="F23" s="24" t="s">
        <v>40</v>
      </c>
      <c r="G23" s="12">
        <v>4</v>
      </c>
      <c r="H23" s="88">
        <f>IF(B$20=0,0,G23/B$20)</f>
        <v>3.8058991436726928E-3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-1.8756521739130434</v>
      </c>
      <c r="Q23" s="77">
        <v>230</v>
      </c>
      <c r="R23" s="68">
        <v>-431.4</v>
      </c>
    </row>
    <row r="24" spans="1:18" x14ac:dyDescent="0.4">
      <c r="A24" s="19" t="s">
        <v>183</v>
      </c>
      <c r="B24" s="12">
        <v>454</v>
      </c>
      <c r="C24" s="6">
        <f>IF(B$20=0,0,B24/B$20)</f>
        <v>0.43196955280685062</v>
      </c>
      <c r="E24" s="27" t="s">
        <v>88</v>
      </c>
      <c r="F24" s="24" t="s">
        <v>43</v>
      </c>
      <c r="G24" s="12">
        <v>4</v>
      </c>
      <c r="H24" s="88">
        <f>IF(B$20=0,0,G24/B$20)</f>
        <v>3.8058991436726928E-3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190</v>
      </c>
      <c r="P24" s="83">
        <f>IF(Q24=0,0,R24/Q24)</f>
        <v>-2.3716216216216215</v>
      </c>
      <c r="Q24" s="77">
        <v>74</v>
      </c>
      <c r="R24" s="68">
        <v>-175.5</v>
      </c>
    </row>
    <row r="25" spans="1:18" x14ac:dyDescent="0.4">
      <c r="A25" s="19" t="s">
        <v>181</v>
      </c>
      <c r="B25" s="12">
        <v>329</v>
      </c>
      <c r="C25" s="6">
        <f>IF(B$20=0,0,B25/B$20)</f>
        <v>0.31303520456707895</v>
      </c>
      <c r="E25" s="27" t="s">
        <v>92</v>
      </c>
      <c r="F25" s="24" t="s">
        <v>47</v>
      </c>
      <c r="G25" s="12">
        <v>3</v>
      </c>
      <c r="H25" s="88">
        <f>IF(B$20=0,0,G25/B$20)</f>
        <v>2.8544243577545195E-3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-4.3968750000000005</v>
      </c>
      <c r="Q25" s="77">
        <v>96</v>
      </c>
      <c r="R25" s="68">
        <v>-422.1</v>
      </c>
    </row>
    <row r="26" spans="1:18" x14ac:dyDescent="0.4">
      <c r="A26" s="19" t="s">
        <v>182</v>
      </c>
      <c r="B26" s="12">
        <v>268</v>
      </c>
      <c r="C26" s="6">
        <f>IF(B$20=0,0,B26/B$20)</f>
        <v>0.25499524262607043</v>
      </c>
      <c r="E26" s="27" t="s">
        <v>90</v>
      </c>
      <c r="F26" s="24" t="s">
        <v>45</v>
      </c>
      <c r="G26" s="12">
        <v>2</v>
      </c>
      <c r="H26" s="88">
        <f>IF(B$20=0,0,G26/B$20)</f>
        <v>1.9029495718363464E-3</v>
      </c>
      <c r="I26" s="58">
        <v>3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-7.5979591836734732</v>
      </c>
      <c r="Q26" s="77">
        <v>98</v>
      </c>
      <c r="R26" s="68">
        <v>-744.60000000000036</v>
      </c>
    </row>
    <row r="27" spans="1:18" x14ac:dyDescent="0.4">
      <c r="A27" s="19" t="s">
        <v>5</v>
      </c>
      <c r="B27" s="16">
        <f>IF(B$20=0,0,C27/B$20)</f>
        <v>8135.3948620361562</v>
      </c>
      <c r="C27" s="8">
        <v>8550300</v>
      </c>
      <c r="E27" s="27" t="s">
        <v>93</v>
      </c>
      <c r="F27" s="24" t="s">
        <v>48</v>
      </c>
      <c r="G27" s="12">
        <v>2</v>
      </c>
      <c r="H27" s="88">
        <f>IF(B$20=0,0,G27/B$20)</f>
        <v>1.9029495718363464E-3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8721.3296398891962</v>
      </c>
      <c r="C28" s="96">
        <v>6296800</v>
      </c>
      <c r="E28" s="27" t="s">
        <v>80</v>
      </c>
      <c r="F28" s="24" t="s">
        <v>35</v>
      </c>
      <c r="G28" s="12">
        <v>1</v>
      </c>
      <c r="H28" s="88">
        <f>IF(B$20=0,0,G28/B$20)</f>
        <v>9.5147478591817321E-4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6849.544072948328</v>
      </c>
      <c r="C29" s="96">
        <v>2253500</v>
      </c>
      <c r="E29" s="27" t="s">
        <v>84</v>
      </c>
      <c r="F29" s="24" t="s">
        <v>39</v>
      </c>
      <c r="G29" s="12">
        <v>1</v>
      </c>
      <c r="H29" s="88">
        <f>IF(B$20=0,0,G29/B$20)</f>
        <v>9.5147478591817321E-4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-7677.6632302405496</v>
      </c>
      <c r="C30" s="96">
        <v>-4468400</v>
      </c>
      <c r="E30" s="27" t="s">
        <v>102</v>
      </c>
      <c r="F30" s="24" t="s">
        <v>57</v>
      </c>
      <c r="G30" s="12">
        <v>1</v>
      </c>
      <c r="H30" s="88">
        <f>IF(B$20=0,0,G30/B$20)</f>
        <v>9.5147478591817321E-4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3</v>
      </c>
      <c r="E31" s="27" t="s">
        <v>106</v>
      </c>
      <c r="F31" s="24" t="s">
        <v>113</v>
      </c>
      <c r="G31" s="12">
        <v>1</v>
      </c>
      <c r="H31" s="88">
        <f>IF(B$20=0,0,G31/B$20)</f>
        <v>9.5147478591817321E-4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12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1.9574944071588368E-3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78</v>
      </c>
      <c r="C37" s="98">
        <f t="shared" ref="C37:C49" si="2">IF(B$20=0,0,B37/B$20)</f>
        <v>7.4215033301617508E-2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190</v>
      </c>
      <c r="C38" s="6">
        <f t="shared" si="2"/>
        <v>0.18078020932445291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214</v>
      </c>
      <c r="C39" s="6">
        <f t="shared" si="2"/>
        <v>0.20361560418648905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205</v>
      </c>
      <c r="C40" s="6">
        <f t="shared" si="2"/>
        <v>0.19505233111322551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148</v>
      </c>
      <c r="C41" s="6">
        <f t="shared" si="2"/>
        <v>0.14081826831588962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97</v>
      </c>
      <c r="C42" s="6">
        <f t="shared" si="2"/>
        <v>9.2293054234062796E-2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44</v>
      </c>
      <c r="C43" s="6">
        <f t="shared" si="2"/>
        <v>4.1864890580399619E-2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35</v>
      </c>
      <c r="C44" s="6">
        <f t="shared" si="2"/>
        <v>3.3301617507136061E-2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17</v>
      </c>
      <c r="C45" s="6">
        <f t="shared" si="2"/>
        <v>1.6175071360608945E-2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11</v>
      </c>
      <c r="C46" s="6">
        <f t="shared" si="2"/>
        <v>1.0466222645099905E-2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3</v>
      </c>
      <c r="C47" s="6">
        <f t="shared" si="2"/>
        <v>2.8544243577545195E-3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9.5147478591817321E-4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7.6117982873453857E-3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  <row r="408" spans="11:13" x14ac:dyDescent="0.4">
      <c r="K408" s="74">
        <v>406</v>
      </c>
      <c r="L408" s="119">
        <v>9.9000000000000465</v>
      </c>
      <c r="M408" s="117">
        <v>1609.43367516071</v>
      </c>
    </row>
    <row r="409" spans="11:13" x14ac:dyDescent="0.4">
      <c r="K409" s="74">
        <v>407</v>
      </c>
      <c r="L409" s="119">
        <v>-23.599999999999952</v>
      </c>
      <c r="M409" s="117">
        <v>1603.6170731097457</v>
      </c>
    </row>
    <row r="410" spans="11:13" x14ac:dyDescent="0.4">
      <c r="K410" s="74">
        <v>408</v>
      </c>
      <c r="L410" s="119">
        <v>4.9737991503207013E-14</v>
      </c>
      <c r="M410" s="117">
        <v>1608.1133706710873</v>
      </c>
    </row>
    <row r="411" spans="11:13" x14ac:dyDescent="0.4">
      <c r="K411" s="74">
        <v>409</v>
      </c>
      <c r="L411" s="119">
        <v>-2.8999999999999502</v>
      </c>
      <c r="M411" s="117">
        <v>1607.8126904470607</v>
      </c>
    </row>
    <row r="412" spans="11:13" x14ac:dyDescent="0.4">
      <c r="K412" s="74">
        <v>410</v>
      </c>
      <c r="L412" s="119">
        <v>-24.899999999999949</v>
      </c>
      <c r="M412" s="117">
        <v>1604.0758143043784</v>
      </c>
    </row>
    <row r="413" spans="11:13" x14ac:dyDescent="0.4">
      <c r="K413" s="74">
        <v>411</v>
      </c>
      <c r="L413" s="119">
        <v>4.9737991503207013E-14</v>
      </c>
      <c r="M413" s="117">
        <v>1608.8033594185522</v>
      </c>
    </row>
    <row r="414" spans="11:13" x14ac:dyDescent="0.4">
      <c r="K414" s="74">
        <v>412</v>
      </c>
      <c r="L414" s="119">
        <v>72.000000000000057</v>
      </c>
      <c r="M414" s="117">
        <v>1621.6685392620409</v>
      </c>
    </row>
    <row r="415" spans="11:13" x14ac:dyDescent="0.4">
      <c r="K415" s="74">
        <v>413</v>
      </c>
      <c r="L415" s="119">
        <v>48.000000000000057</v>
      </c>
      <c r="M415" s="117">
        <v>1617.1765280264688</v>
      </c>
    </row>
    <row r="416" spans="11:13" x14ac:dyDescent="0.4">
      <c r="K416" s="74">
        <v>414</v>
      </c>
      <c r="L416" s="119">
        <v>5.6843418860808015E-14</v>
      </c>
      <c r="M416" s="117">
        <v>1608.39146885831</v>
      </c>
    </row>
    <row r="417" spans="11:13" x14ac:dyDescent="0.4">
      <c r="K417" s="74">
        <v>415</v>
      </c>
      <c r="L417" s="119">
        <v>-42.899999999999942</v>
      </c>
      <c r="M417" s="117">
        <v>1600.5291200451602</v>
      </c>
    </row>
    <row r="418" spans="11:13" x14ac:dyDescent="0.4">
      <c r="K418" s="74">
        <v>416</v>
      </c>
      <c r="L418" s="119">
        <v>-52.099999999999937</v>
      </c>
      <c r="M418" s="117">
        <v>1598.7799453248892</v>
      </c>
    </row>
    <row r="419" spans="11:13" x14ac:dyDescent="0.4">
      <c r="K419" s="74">
        <v>417</v>
      </c>
      <c r="L419" s="119">
        <v>6.3948846218409017E-14</v>
      </c>
      <c r="M419" s="117">
        <v>1608.0752656529398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1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115</v>
      </c>
      <c r="C2" s="142"/>
      <c r="E2" s="26" t="s">
        <v>66</v>
      </c>
      <c r="F2" s="23" t="s">
        <v>22</v>
      </c>
      <c r="G2" s="11">
        <v>238</v>
      </c>
      <c r="H2" s="87">
        <f>IF(B$20=0,0,G2/B$20)</f>
        <v>0.76774193548387093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743.85964912280701</v>
      </c>
      <c r="Q2" s="76">
        <v>114</v>
      </c>
      <c r="R2" s="63">
        <v>84800</v>
      </c>
    </row>
    <row r="3" spans="1:18" x14ac:dyDescent="0.4">
      <c r="A3" s="19" t="s">
        <v>8</v>
      </c>
      <c r="B3" s="143">
        <v>964</v>
      </c>
      <c r="C3" s="144"/>
      <c r="E3" s="27" t="s">
        <v>72</v>
      </c>
      <c r="F3" s="24" t="s">
        <v>27</v>
      </c>
      <c r="G3" s="12">
        <v>165</v>
      </c>
      <c r="H3" s="88">
        <f>IF(B$20=0,0,G3/B$20)</f>
        <v>0.532258064516129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-630.63063063063066</v>
      </c>
      <c r="Q3" s="77">
        <v>111</v>
      </c>
      <c r="R3" s="64">
        <v>-70000</v>
      </c>
    </row>
    <row r="4" spans="1:18" x14ac:dyDescent="0.4">
      <c r="A4" s="19" t="s">
        <v>6</v>
      </c>
      <c r="B4" s="145">
        <v>143.79999999999987</v>
      </c>
      <c r="C4" s="146"/>
      <c r="E4" s="27" t="s">
        <v>64</v>
      </c>
      <c r="F4" s="24" t="s">
        <v>20</v>
      </c>
      <c r="G4" s="12">
        <v>126</v>
      </c>
      <c r="H4" s="88">
        <f>IF(B$20=0,0,G4/B$20)</f>
        <v>0.40645161290322579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-1326.1261261261261</v>
      </c>
      <c r="Q4" s="77">
        <v>111</v>
      </c>
      <c r="R4" s="64">
        <v>-147200</v>
      </c>
    </row>
    <row r="5" spans="1:18" x14ac:dyDescent="0.4">
      <c r="A5" s="19" t="s">
        <v>7</v>
      </c>
      <c r="B5" s="133">
        <f>IF(B$2=0,0,B$4/B$2)</f>
        <v>1.2504347826086946</v>
      </c>
      <c r="C5" s="134"/>
      <c r="E5" s="27" t="s">
        <v>159</v>
      </c>
      <c r="F5" s="24" t="s">
        <v>160</v>
      </c>
      <c r="G5" s="12">
        <v>116</v>
      </c>
      <c r="H5" s="88">
        <f>IF(B$20=0,0,G5/B$20)</f>
        <v>0.37419354838709679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1321.6981132075471</v>
      </c>
      <c r="Q5" s="77">
        <v>106</v>
      </c>
      <c r="R5" s="64">
        <v>140100</v>
      </c>
    </row>
    <row r="6" spans="1:18" x14ac:dyDescent="0.4">
      <c r="A6" s="19" t="s">
        <v>196</v>
      </c>
      <c r="B6" s="137">
        <v>1748.1143852830708</v>
      </c>
      <c r="C6" s="138"/>
      <c r="E6" s="27" t="s">
        <v>68</v>
      </c>
      <c r="F6" s="24" t="s">
        <v>12</v>
      </c>
      <c r="G6" s="12">
        <v>98</v>
      </c>
      <c r="H6" s="88">
        <f>IF(B$20=0,0,G6/B$20)</f>
        <v>0.31612903225806449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525.7731958762887</v>
      </c>
      <c r="Q6" s="77">
        <v>97</v>
      </c>
      <c r="R6" s="64">
        <v>51000</v>
      </c>
    </row>
    <row r="7" spans="1:18" x14ac:dyDescent="0.4">
      <c r="A7" s="19" t="s">
        <v>1</v>
      </c>
      <c r="B7" s="147">
        <f>IF(B$2=0,0,(B$8*1+B$9*2+B$10*3)/B$2)</f>
        <v>2.017391304347826</v>
      </c>
      <c r="C7" s="148"/>
      <c r="E7" s="27" t="s">
        <v>67</v>
      </c>
      <c r="F7" s="24" t="s">
        <v>23</v>
      </c>
      <c r="G7" s="12">
        <v>63</v>
      </c>
      <c r="H7" s="88">
        <f>IF(B$20=0,0,G7/B$20)</f>
        <v>0.20322580645161289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139.75903614457832</v>
      </c>
      <c r="Q7" s="78">
        <v>83</v>
      </c>
      <c r="R7" s="65">
        <v>11600</v>
      </c>
    </row>
    <row r="8" spans="1:18" x14ac:dyDescent="0.4">
      <c r="A8" s="19" t="s">
        <v>2</v>
      </c>
      <c r="B8" s="12">
        <v>38</v>
      </c>
      <c r="C8" s="6">
        <f t="shared" ref="C8:C15" si="1">IF(B$2=0,0,B8/B$2)</f>
        <v>0.33043478260869563</v>
      </c>
      <c r="E8" s="27" t="s">
        <v>69</v>
      </c>
      <c r="F8" s="24" t="s">
        <v>24</v>
      </c>
      <c r="G8" s="12">
        <v>50</v>
      </c>
      <c r="H8" s="88">
        <f>IF(B$20=0,0,G8/B$20)</f>
        <v>0.16129032258064516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37</v>
      </c>
      <c r="C9" s="6">
        <f t="shared" si="1"/>
        <v>0.32173913043478258</v>
      </c>
      <c r="E9" s="27" t="s">
        <v>70</v>
      </c>
      <c r="F9" s="24" t="s">
        <v>25</v>
      </c>
      <c r="G9" s="12">
        <v>43</v>
      </c>
      <c r="H9" s="88">
        <f>IF(B$20=0,0,G9/B$20)</f>
        <v>0.13870967741935483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40</v>
      </c>
      <c r="C10" s="7">
        <f t="shared" si="1"/>
        <v>0.34782608695652173</v>
      </c>
      <c r="E10" s="27" t="s">
        <v>89</v>
      </c>
      <c r="F10" s="24" t="s">
        <v>44</v>
      </c>
      <c r="G10" s="12">
        <v>39</v>
      </c>
      <c r="H10" s="88">
        <f>IF(B$20=0,0,G10/B$20)</f>
        <v>0.12580645161290321</v>
      </c>
      <c r="I10" s="58">
        <v>8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7.1243902439024378</v>
      </c>
      <c r="Q10" s="76">
        <v>41</v>
      </c>
      <c r="R10" s="67">
        <v>292.09999999999997</v>
      </c>
    </row>
    <row r="11" spans="1:18" x14ac:dyDescent="0.4">
      <c r="A11" s="20" t="s">
        <v>184</v>
      </c>
      <c r="B11" s="109">
        <f>IF(B8=0,0,C11/B8)</f>
        <v>37.807894736842115</v>
      </c>
      <c r="C11" s="110">
        <v>1436.7000000000003</v>
      </c>
      <c r="E11" s="27" t="s">
        <v>65</v>
      </c>
      <c r="F11" s="24" t="s">
        <v>21</v>
      </c>
      <c r="G11" s="12">
        <v>27</v>
      </c>
      <c r="H11" s="88">
        <f>IF(B$20=0,0,G11/B$20)</f>
        <v>8.7096774193548387E-2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-4.9947368421052634</v>
      </c>
      <c r="Q11" s="77">
        <v>38</v>
      </c>
      <c r="R11" s="68">
        <v>-189.8</v>
      </c>
    </row>
    <row r="12" spans="1:18" x14ac:dyDescent="0.4">
      <c r="A12" s="20" t="s">
        <v>185</v>
      </c>
      <c r="B12" s="109">
        <f>IF(B9=0,0,C12/B9)</f>
        <v>-1.5783783783783782</v>
      </c>
      <c r="C12" s="110">
        <v>-58.399999999999991</v>
      </c>
      <c r="E12" s="27" t="s">
        <v>86</v>
      </c>
      <c r="F12" s="24" t="s">
        <v>41</v>
      </c>
      <c r="G12" s="12">
        <v>22</v>
      </c>
      <c r="H12" s="88">
        <f>IF(B$20=0,0,G12/B$20)</f>
        <v>7.0967741935483872E-2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1.1527777777777786</v>
      </c>
      <c r="Q12" s="78">
        <v>36</v>
      </c>
      <c r="R12" s="69">
        <v>41.500000000000028</v>
      </c>
    </row>
    <row r="13" spans="1:18" x14ac:dyDescent="0.4">
      <c r="A13" s="20" t="s">
        <v>186</v>
      </c>
      <c r="B13" s="109">
        <f>IF(B10=0,0,C13/B10)</f>
        <v>-30.862500000000004</v>
      </c>
      <c r="C13" s="110">
        <v>-1234.5000000000002</v>
      </c>
      <c r="E13" s="27" t="s">
        <v>83</v>
      </c>
      <c r="F13" s="24" t="s">
        <v>38</v>
      </c>
      <c r="G13" s="12">
        <v>14</v>
      </c>
      <c r="H13" s="88">
        <f>IF(B$20=0,0,G13/B$20)</f>
        <v>4.5161290322580643E-2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1.7890054528212456</v>
      </c>
      <c r="C14" s="134"/>
      <c r="E14" s="27" t="s">
        <v>71</v>
      </c>
      <c r="F14" s="24" t="s">
        <v>26</v>
      </c>
      <c r="G14" s="12">
        <v>13</v>
      </c>
      <c r="H14" s="88">
        <f>IF(B$20=0,0,G14/B$20)</f>
        <v>4.1935483870967745E-2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9</v>
      </c>
      <c r="C15" s="9">
        <f t="shared" si="1"/>
        <v>7.8260869565217397E-2</v>
      </c>
      <c r="E15" s="27" t="s">
        <v>155</v>
      </c>
      <c r="F15" s="24" t="s">
        <v>156</v>
      </c>
      <c r="G15" s="12">
        <v>12</v>
      </c>
      <c r="H15" s="88">
        <f>IF(B$20=0,0,G15/B$20)</f>
        <v>3.870967741935484E-2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235</v>
      </c>
      <c r="C16" s="10">
        <f>IF(B$3=0,0,B16/B$3)</f>
        <v>0.2437759336099585</v>
      </c>
      <c r="E16" s="27" t="s">
        <v>78</v>
      </c>
      <c r="F16" s="24" t="s">
        <v>33</v>
      </c>
      <c r="G16" s="12">
        <v>8</v>
      </c>
      <c r="H16" s="88">
        <f>IF(B$20=0,0,G16/B$20)</f>
        <v>2.5806451612903226E-2</v>
      </c>
      <c r="I16" s="58">
        <v>9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200</v>
      </c>
      <c r="C17" s="6">
        <f>IF(B$3=0,0,B17/B$3)</f>
        <v>0.2074688796680498</v>
      </c>
      <c r="E17" s="27" t="s">
        <v>91</v>
      </c>
      <c r="F17" s="24" t="s">
        <v>46</v>
      </c>
      <c r="G17" s="12">
        <v>8</v>
      </c>
      <c r="H17" s="88">
        <f>IF(B$20=0,0,G17/B$20)</f>
        <v>2.5806451612903226E-2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135</v>
      </c>
      <c r="C18" s="5">
        <f>IF(B$16=0,0,B18/B$16)</f>
        <v>0.57446808510638303</v>
      </c>
      <c r="E18" s="27" t="s">
        <v>79</v>
      </c>
      <c r="F18" s="24" t="s">
        <v>34</v>
      </c>
      <c r="G18" s="12">
        <v>5</v>
      </c>
      <c r="H18" s="88">
        <f>IF(B$20=0,0,G18/B$20)</f>
        <v>1.6129032258064516E-2</v>
      </c>
      <c r="I18" s="58">
        <v>4</v>
      </c>
      <c r="K18" s="74">
        <v>16</v>
      </c>
      <c r="L18" s="119">
        <v>164.20000000000002</v>
      </c>
      <c r="M18" s="117">
        <v>1848.4372400471914</v>
      </c>
      <c r="O18" s="74" t="s">
        <v>163</v>
      </c>
      <c r="P18" s="83">
        <f>IF(Q18=0,0,R18/Q18)</f>
        <v>4.4145161290322594</v>
      </c>
      <c r="Q18" s="77">
        <v>62</v>
      </c>
      <c r="R18" s="68">
        <v>273.7000000000001</v>
      </c>
    </row>
    <row r="19" spans="1:18" x14ac:dyDescent="0.4">
      <c r="A19" s="18" t="s">
        <v>124</v>
      </c>
      <c r="B19" s="11">
        <f>B25</f>
        <v>92</v>
      </c>
      <c r="C19" s="5">
        <f>IF(B$17=0,0,B19/B$17)</f>
        <v>0.46</v>
      </c>
      <c r="E19" s="27" t="s">
        <v>81</v>
      </c>
      <c r="F19" s="24" t="s">
        <v>36</v>
      </c>
      <c r="G19" s="12">
        <v>5</v>
      </c>
      <c r="H19" s="88">
        <f>IF(B$20=0,0,G19/B$20)</f>
        <v>1.6129032258064516E-2</v>
      </c>
      <c r="I19" s="58">
        <v>12</v>
      </c>
      <c r="K19" s="74">
        <v>17</v>
      </c>
      <c r="L19" s="119">
        <v>164.3</v>
      </c>
      <c r="M19" s="117">
        <v>1846.8986166069083</v>
      </c>
      <c r="O19" s="74" t="s">
        <v>195</v>
      </c>
      <c r="P19" s="83">
        <f>IF(Q19=0,0,R19/Q19)</f>
        <v>2.6777777777777789</v>
      </c>
      <c r="Q19" s="77">
        <v>9</v>
      </c>
      <c r="R19" s="68">
        <v>24.100000000000009</v>
      </c>
    </row>
    <row r="20" spans="1:18" x14ac:dyDescent="0.4">
      <c r="A20" s="18" t="s">
        <v>10</v>
      </c>
      <c r="B20" s="11">
        <f>B23+B22</f>
        <v>310</v>
      </c>
      <c r="C20" s="5">
        <f>IF(B$3=0,0,B20/B$3)</f>
        <v>0.3215767634854772</v>
      </c>
      <c r="E20" s="27" t="s">
        <v>73</v>
      </c>
      <c r="F20" s="24" t="s">
        <v>28</v>
      </c>
      <c r="G20" s="12">
        <v>3</v>
      </c>
      <c r="H20" s="88">
        <f>IF(B$20=0,0,G20/B$20)</f>
        <v>9.6774193548387101E-3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-4.5000000000000283E-2</v>
      </c>
      <c r="Q20" s="77">
        <v>40</v>
      </c>
      <c r="R20" s="68">
        <v>-1.8000000000000114</v>
      </c>
    </row>
    <row r="21" spans="1:18" x14ac:dyDescent="0.4">
      <c r="A21" s="19" t="s">
        <v>13</v>
      </c>
      <c r="B21" s="12">
        <v>171</v>
      </c>
      <c r="C21" s="6">
        <f>IF(B$3=0,0,B21/B$3)</f>
        <v>0.17738589211618258</v>
      </c>
      <c r="E21" s="27" t="s">
        <v>75</v>
      </c>
      <c r="F21" s="24" t="s">
        <v>30</v>
      </c>
      <c r="G21" s="12">
        <v>2</v>
      </c>
      <c r="H21" s="88">
        <f>IF(B$20=0,0,G21/B$20)</f>
        <v>6.4516129032258064E-3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216</v>
      </c>
      <c r="P21" s="83">
        <f>IF(Q21=0,0,R21/Q21)</f>
        <v>-0.10909090909091064</v>
      </c>
      <c r="Q21" s="77">
        <v>11</v>
      </c>
      <c r="R21" s="68">
        <v>-1.2000000000000171</v>
      </c>
    </row>
    <row r="22" spans="1:18" x14ac:dyDescent="0.4">
      <c r="A22" s="19" t="s">
        <v>12</v>
      </c>
      <c r="B22" s="12">
        <v>144</v>
      </c>
      <c r="C22" s="6">
        <f>IF(B$20=0,0,B22/B$20)</f>
        <v>0.46451612903225808</v>
      </c>
      <c r="E22" s="27" t="s">
        <v>85</v>
      </c>
      <c r="F22" s="24" t="s">
        <v>40</v>
      </c>
      <c r="G22" s="12">
        <v>2</v>
      </c>
      <c r="H22" s="88">
        <f>IF(B$20=0,0,G22/B$20)</f>
        <v>6.4516129032258064E-3</v>
      </c>
      <c r="I22" s="58">
        <v>2</v>
      </c>
      <c r="K22" s="74">
        <v>20</v>
      </c>
      <c r="L22" s="119">
        <v>154.5</v>
      </c>
      <c r="M22" s="117">
        <v>1840.6741302604762</v>
      </c>
      <c r="O22" s="74" t="s">
        <v>211</v>
      </c>
      <c r="P22" s="83">
        <f>IF(Q22=0,0,R22/Q22)</f>
        <v>-0.12142857142857137</v>
      </c>
      <c r="Q22" s="77">
        <v>28</v>
      </c>
      <c r="R22" s="68">
        <v>-3.3999999999999986</v>
      </c>
    </row>
    <row r="23" spans="1:18" x14ac:dyDescent="0.4">
      <c r="A23" s="19" t="s">
        <v>11</v>
      </c>
      <c r="B23" s="12">
        <v>166</v>
      </c>
      <c r="C23" s="6">
        <f>IF(B$20=0,0,B23/B$20)</f>
        <v>0.53548387096774197</v>
      </c>
      <c r="E23" s="27" t="s">
        <v>80</v>
      </c>
      <c r="F23" s="24" t="s">
        <v>35</v>
      </c>
      <c r="G23" s="12">
        <v>1</v>
      </c>
      <c r="H23" s="88">
        <f>IF(B$20=0,0,G23/B$20)</f>
        <v>3.2258064516129032E-3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190</v>
      </c>
      <c r="P23" s="83">
        <f>IF(Q23=0,0,R23/Q23)</f>
        <v>-0.82903225806451564</v>
      </c>
      <c r="Q23" s="77">
        <v>31</v>
      </c>
      <c r="R23" s="68">
        <v>-25.699999999999985</v>
      </c>
    </row>
    <row r="24" spans="1:18" x14ac:dyDescent="0.4">
      <c r="A24" s="19" t="s">
        <v>183</v>
      </c>
      <c r="B24" s="12">
        <v>135</v>
      </c>
      <c r="C24" s="6">
        <f>IF(B$20=0,0,B24/B$20)</f>
        <v>0.43548387096774194</v>
      </c>
      <c r="E24" s="27" t="s">
        <v>84</v>
      </c>
      <c r="F24" s="24" t="s">
        <v>39</v>
      </c>
      <c r="G24" s="12">
        <v>1</v>
      </c>
      <c r="H24" s="88">
        <f>IF(B$20=0,0,G24/B$20)</f>
        <v>3.2258064516129032E-3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192</v>
      </c>
      <c r="P24" s="83">
        <f>IF(Q24=0,0,R24/Q24)</f>
        <v>-3.7341463414634157</v>
      </c>
      <c r="Q24" s="77">
        <v>41</v>
      </c>
      <c r="R24" s="68">
        <v>-153.10000000000005</v>
      </c>
    </row>
    <row r="25" spans="1:18" x14ac:dyDescent="0.4">
      <c r="A25" s="19" t="s">
        <v>181</v>
      </c>
      <c r="B25" s="12">
        <v>92</v>
      </c>
      <c r="C25" s="6">
        <f>IF(B$20=0,0,B25/B$20)</f>
        <v>0.29677419354838708</v>
      </c>
      <c r="E25" s="27" t="s">
        <v>88</v>
      </c>
      <c r="F25" s="24" t="s">
        <v>43</v>
      </c>
      <c r="G25" s="12">
        <v>1</v>
      </c>
      <c r="H25" s="88">
        <f>IF(B$20=0,0,G25/B$20)</f>
        <v>3.2258064516129032E-3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83</v>
      </c>
      <c r="C26" s="6">
        <f>IF(B$20=0,0,B26/B$20)</f>
        <v>0.26774193548387099</v>
      </c>
      <c r="E26" s="27" t="s">
        <v>90</v>
      </c>
      <c r="F26" s="24" t="s">
        <v>45</v>
      </c>
      <c r="G26" s="12">
        <v>1</v>
      </c>
      <c r="H26" s="88">
        <f>IF(B$20=0,0,G26/B$20)</f>
        <v>3.2258064516129032E-3</v>
      </c>
      <c r="I26" s="58">
        <v>2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8141.9354838709678</v>
      </c>
      <c r="C27" s="8">
        <v>2524000</v>
      </c>
      <c r="E27" s="27" t="s">
        <v>92</v>
      </c>
      <c r="F27" s="24" t="s">
        <v>47</v>
      </c>
      <c r="G27" s="12">
        <v>1</v>
      </c>
      <c r="H27" s="88">
        <f>IF(B$20=0,0,G27/B$20)</f>
        <v>3.2258064516129032E-3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8427.9816513761471</v>
      </c>
      <c r="C28" s="96">
        <v>1837300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7464.130434782609</v>
      </c>
      <c r="C29" s="96">
        <v>686700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-7415.2046783625728</v>
      </c>
      <c r="C30" s="96">
        <v>-1268000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0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1.037344398340249E-3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19</v>
      </c>
      <c r="C37" s="98">
        <f t="shared" ref="C37:C49" si="2">IF(B$20=0,0,B37/B$20)</f>
        <v>6.1290322580645158E-2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59</v>
      </c>
      <c r="C38" s="6">
        <f t="shared" si="2"/>
        <v>0.19032258064516128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63</v>
      </c>
      <c r="C39" s="6">
        <f t="shared" si="2"/>
        <v>0.20322580645161289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61</v>
      </c>
      <c r="C40" s="6">
        <f t="shared" si="2"/>
        <v>0.1967741935483871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45</v>
      </c>
      <c r="C41" s="6">
        <f t="shared" si="2"/>
        <v>0.14516129032258066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36</v>
      </c>
      <c r="C42" s="6">
        <f t="shared" si="2"/>
        <v>0.11612903225806452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11</v>
      </c>
      <c r="C43" s="6">
        <f t="shared" si="2"/>
        <v>3.5483870967741936E-2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6</v>
      </c>
      <c r="C44" s="6">
        <f t="shared" si="2"/>
        <v>1.935483870967742E-2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1.6129032258064516E-2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6.4516129032258064E-3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3.2258064516129032E-3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3.2258064516129032E-3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3.2258064516129032E-3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  <row r="114" spans="11:13" x14ac:dyDescent="0.4">
      <c r="K114" s="74">
        <v>112</v>
      </c>
      <c r="L114" s="119">
        <v>256.69999999999987</v>
      </c>
      <c r="M114" s="117">
        <v>1771.2664830310223</v>
      </c>
    </row>
    <row r="115" spans="11:13" x14ac:dyDescent="0.4">
      <c r="K115" s="74">
        <v>113</v>
      </c>
      <c r="L115" s="119">
        <v>234.69999999999987</v>
      </c>
      <c r="M115" s="117">
        <v>1766.5488841328361</v>
      </c>
    </row>
    <row r="116" spans="11:13" x14ac:dyDescent="0.4">
      <c r="K116" s="74">
        <v>114</v>
      </c>
      <c r="L116" s="119">
        <v>186.69999999999987</v>
      </c>
      <c r="M116" s="117">
        <v>1756.8675908280391</v>
      </c>
    </row>
    <row r="117" spans="11:13" x14ac:dyDescent="0.4">
      <c r="K117" s="74">
        <v>115</v>
      </c>
      <c r="L117" s="119">
        <v>143.79999999999987</v>
      </c>
      <c r="M117" s="117">
        <v>1748.1143852830708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7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74</v>
      </c>
      <c r="C2" s="142"/>
      <c r="E2" s="26" t="s">
        <v>66</v>
      </c>
      <c r="F2" s="23" t="s">
        <v>22</v>
      </c>
      <c r="G2" s="11">
        <v>169</v>
      </c>
      <c r="H2" s="87">
        <f>IF(B$20=0,0,G2/B$20)</f>
        <v>0.97687861271676302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1222.9729729729729</v>
      </c>
      <c r="Q2" s="76">
        <v>74</v>
      </c>
      <c r="R2" s="63">
        <v>90500</v>
      </c>
    </row>
    <row r="3" spans="1:18" x14ac:dyDescent="0.4">
      <c r="A3" s="19" t="s">
        <v>8</v>
      </c>
      <c r="B3" s="143">
        <v>653</v>
      </c>
      <c r="C3" s="144"/>
      <c r="E3" s="27" t="s">
        <v>72</v>
      </c>
      <c r="F3" s="24" t="s">
        <v>27</v>
      </c>
      <c r="G3" s="12">
        <v>112</v>
      </c>
      <c r="H3" s="88">
        <f>IF(B$20=0,0,G3/B$20)</f>
        <v>0.64739884393063585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-151.38888888888889</v>
      </c>
      <c r="Q3" s="77">
        <v>72</v>
      </c>
      <c r="R3" s="64">
        <v>-10900</v>
      </c>
    </row>
    <row r="4" spans="1:18" x14ac:dyDescent="0.4">
      <c r="A4" s="19" t="s">
        <v>6</v>
      </c>
      <c r="B4" s="145">
        <v>-96.299999999999983</v>
      </c>
      <c r="C4" s="146"/>
      <c r="E4" s="27" t="s">
        <v>64</v>
      </c>
      <c r="F4" s="24" t="s">
        <v>20</v>
      </c>
      <c r="G4" s="12">
        <v>82</v>
      </c>
      <c r="H4" s="88">
        <f>IF(B$20=0,0,G4/B$20)</f>
        <v>0.47398843930635837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-762.5</v>
      </c>
      <c r="Q4" s="77">
        <v>72</v>
      </c>
      <c r="R4" s="64">
        <v>-54900</v>
      </c>
    </row>
    <row r="5" spans="1:18" x14ac:dyDescent="0.4">
      <c r="A5" s="19" t="s">
        <v>7</v>
      </c>
      <c r="B5" s="133">
        <f>IF(B$2=0,0,B$4/B$2)</f>
        <v>-1.301351351351351</v>
      </c>
      <c r="C5" s="134"/>
      <c r="E5" s="27" t="s">
        <v>159</v>
      </c>
      <c r="F5" s="24" t="s">
        <v>160</v>
      </c>
      <c r="G5" s="12">
        <v>71</v>
      </c>
      <c r="H5" s="88">
        <f>IF(B$20=0,0,G5/B$20)</f>
        <v>0.41040462427745666</v>
      </c>
      <c r="I5" s="58">
        <v>7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-2.8985507246376812</v>
      </c>
      <c r="Q5" s="77">
        <v>69</v>
      </c>
      <c r="R5" s="64">
        <v>-200</v>
      </c>
    </row>
    <row r="6" spans="1:18" x14ac:dyDescent="0.4">
      <c r="A6" s="19" t="s">
        <v>196</v>
      </c>
      <c r="B6" s="137">
        <v>1631.8441025198326</v>
      </c>
      <c r="C6" s="138"/>
      <c r="E6" s="27" t="s">
        <v>68</v>
      </c>
      <c r="F6" s="24" t="s">
        <v>12</v>
      </c>
      <c r="G6" s="12">
        <v>60</v>
      </c>
      <c r="H6" s="88">
        <f>IF(B$20=0,0,G6/B$20)</f>
        <v>0.34682080924855491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17.460317460317459</v>
      </c>
      <c r="Q6" s="77">
        <v>63</v>
      </c>
      <c r="R6" s="64">
        <v>1100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49</v>
      </c>
      <c r="H7" s="88">
        <f>IF(B$20=0,0,G7/B$20)</f>
        <v>0.2832369942196532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62.962962962962962</v>
      </c>
      <c r="Q7" s="78">
        <v>54</v>
      </c>
      <c r="R7" s="65">
        <v>3400</v>
      </c>
    </row>
    <row r="8" spans="1:18" x14ac:dyDescent="0.4">
      <c r="A8" s="19" t="s">
        <v>2</v>
      </c>
      <c r="B8" s="12">
        <v>25</v>
      </c>
      <c r="C8" s="6">
        <f t="shared" ref="C8:C15" si="1">IF(B$2=0,0,B8/B$2)</f>
        <v>0.33783783783783783</v>
      </c>
      <c r="E8" s="27" t="s">
        <v>89</v>
      </c>
      <c r="F8" s="24" t="s">
        <v>44</v>
      </c>
      <c r="G8" s="12">
        <v>27</v>
      </c>
      <c r="H8" s="88">
        <f>IF(B$20=0,0,G8/B$20)</f>
        <v>0.15606936416184972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24</v>
      </c>
      <c r="C9" s="6">
        <f t="shared" si="1"/>
        <v>0.32432432432432434</v>
      </c>
      <c r="E9" s="27" t="s">
        <v>69</v>
      </c>
      <c r="F9" s="24" t="s">
        <v>24</v>
      </c>
      <c r="G9" s="12">
        <v>21</v>
      </c>
      <c r="H9" s="88">
        <f>IF(B$20=0,0,G9/B$20)</f>
        <v>0.12138728323699421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25</v>
      </c>
      <c r="C10" s="7">
        <f t="shared" si="1"/>
        <v>0.33783783783783783</v>
      </c>
      <c r="E10" s="27" t="s">
        <v>65</v>
      </c>
      <c r="F10" s="24" t="s">
        <v>21</v>
      </c>
      <c r="G10" s="12">
        <v>19</v>
      </c>
      <c r="H10" s="88">
        <f>IF(B$20=0,0,G10/B$20)</f>
        <v>0.10982658959537572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-1.5129032258064514</v>
      </c>
      <c r="Q10" s="76">
        <v>31</v>
      </c>
      <c r="R10" s="67">
        <v>-46.899999999999991</v>
      </c>
    </row>
    <row r="11" spans="1:18" x14ac:dyDescent="0.4">
      <c r="A11" s="20" t="s">
        <v>184</v>
      </c>
      <c r="B11" s="109">
        <f>IF(B8=0,0,C11/B8)</f>
        <v>33.364000000000004</v>
      </c>
      <c r="C11" s="110">
        <v>834.1</v>
      </c>
      <c r="E11" s="27" t="s">
        <v>70</v>
      </c>
      <c r="F11" s="24" t="s">
        <v>25</v>
      </c>
      <c r="G11" s="12">
        <v>15</v>
      </c>
      <c r="H11" s="88">
        <f>IF(B$20=0,0,G11/B$20)</f>
        <v>8.6705202312138727E-2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0.51428571428571346</v>
      </c>
      <c r="Q11" s="77">
        <v>21</v>
      </c>
      <c r="R11" s="68">
        <v>10.799999999999983</v>
      </c>
    </row>
    <row r="12" spans="1:18" x14ac:dyDescent="0.4">
      <c r="A12" s="20" t="s">
        <v>185</v>
      </c>
      <c r="B12" s="109">
        <f>IF(B9=0,0,C12/B9)</f>
        <v>1.3041666666666667</v>
      </c>
      <c r="C12" s="110">
        <v>31.3</v>
      </c>
      <c r="E12" s="27" t="s">
        <v>71</v>
      </c>
      <c r="F12" s="24" t="s">
        <v>26</v>
      </c>
      <c r="G12" s="12">
        <v>13</v>
      </c>
      <c r="H12" s="88">
        <f>IF(B$20=0,0,G12/B$20)</f>
        <v>7.5144508670520235E-2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-2.7363636363636363</v>
      </c>
      <c r="Q12" s="78">
        <v>22</v>
      </c>
      <c r="R12" s="69">
        <v>-60.199999999999996</v>
      </c>
    </row>
    <row r="13" spans="1:18" x14ac:dyDescent="0.4">
      <c r="A13" s="20" t="s">
        <v>186</v>
      </c>
      <c r="B13" s="109">
        <f>IF(B10=0,0,C13/B10)</f>
        <v>-38.468000000000004</v>
      </c>
      <c r="C13" s="110">
        <v>-961.70000000000016</v>
      </c>
      <c r="E13" s="27" t="s">
        <v>86</v>
      </c>
      <c r="F13" s="24" t="s">
        <v>41</v>
      </c>
      <c r="G13" s="12">
        <v>10</v>
      </c>
      <c r="H13" s="88">
        <f>IF(B$20=0,0,G13/B$20)</f>
        <v>5.7803468208092484E-2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-1.2666111111111107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3.4682080924855488E-2</v>
      </c>
      <c r="I14" s="58">
        <v>9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0.13513513513513514</v>
      </c>
      <c r="E15" s="27" t="s">
        <v>81</v>
      </c>
      <c r="F15" s="24" t="s">
        <v>36</v>
      </c>
      <c r="G15" s="12">
        <v>5</v>
      </c>
      <c r="H15" s="88">
        <f>IF(B$20=0,0,G15/B$20)</f>
        <v>2.8901734104046242E-2</v>
      </c>
      <c r="I15" s="58">
        <v>10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 t="shared" ref="P15:P24" si="2"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185</v>
      </c>
      <c r="C16" s="10">
        <f>IF(B$3=0,0,B16/B$3)</f>
        <v>0.28330781010719758</v>
      </c>
      <c r="E16" s="27" t="s">
        <v>91</v>
      </c>
      <c r="F16" s="24" t="s">
        <v>46</v>
      </c>
      <c r="G16" s="12">
        <v>5</v>
      </c>
      <c r="H16" s="88">
        <f>IF(B$20=0,0,G16/B$20)</f>
        <v>2.8901734104046242E-2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 t="shared" si="2"/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147</v>
      </c>
      <c r="C17" s="6">
        <f>IF(B$3=0,0,B17/B$3)</f>
        <v>0.22511485451761101</v>
      </c>
      <c r="E17" s="27" t="s">
        <v>155</v>
      </c>
      <c r="F17" s="24" t="s">
        <v>156</v>
      </c>
      <c r="G17" s="12">
        <v>5</v>
      </c>
      <c r="H17" s="88">
        <f>IF(B$20=0,0,G17/B$20)</f>
        <v>2.8901734104046242E-2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 t="shared" si="2"/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87</v>
      </c>
      <c r="C18" s="5">
        <f>IF(B$16=0,0,B18/B$16)</f>
        <v>0.4702702702702703</v>
      </c>
      <c r="E18" s="27" t="s">
        <v>78</v>
      </c>
      <c r="F18" s="24" t="s">
        <v>33</v>
      </c>
      <c r="G18" s="12">
        <v>4</v>
      </c>
      <c r="H18" s="88">
        <f>IF(B$20=0,0,G18/B$20)</f>
        <v>2.3121387283236993E-2</v>
      </c>
      <c r="I18" s="58">
        <v>10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 t="shared" si="2"/>
        <v>11.672222222222222</v>
      </c>
      <c r="Q18" s="77">
        <v>18</v>
      </c>
      <c r="R18" s="68">
        <v>210.1</v>
      </c>
    </row>
    <row r="19" spans="1:18" x14ac:dyDescent="0.4">
      <c r="A19" s="18" t="s">
        <v>124</v>
      </c>
      <c r="B19" s="11">
        <f>B25</f>
        <v>50</v>
      </c>
      <c r="C19" s="5">
        <f>IF(B$17=0,0,B19/B$17)</f>
        <v>0.3401360544217687</v>
      </c>
      <c r="E19" s="27" t="s">
        <v>73</v>
      </c>
      <c r="F19" s="24" t="s">
        <v>28</v>
      </c>
      <c r="G19" s="12">
        <v>3</v>
      </c>
      <c r="H19" s="88">
        <f>IF(B$20=0,0,G19/B$20)</f>
        <v>1.7341040462427744E-2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 t="shared" si="2"/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173</v>
      </c>
      <c r="C20" s="5">
        <f>IF(B$3=0,0,B20/B$3)</f>
        <v>0.26493108728943338</v>
      </c>
      <c r="E20" s="27" t="s">
        <v>77</v>
      </c>
      <c r="F20" s="24" t="s">
        <v>32</v>
      </c>
      <c r="G20" s="12">
        <v>1</v>
      </c>
      <c r="H20" s="88">
        <f>IF(B$20=0,0,G20/B$20)</f>
        <v>5.7803468208092483E-3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 t="shared" si="2"/>
        <v>-4.4145161290322577</v>
      </c>
      <c r="Q20" s="77">
        <v>62</v>
      </c>
      <c r="R20" s="68">
        <v>-273.7</v>
      </c>
    </row>
    <row r="21" spans="1:18" x14ac:dyDescent="0.4">
      <c r="A21" s="19" t="s">
        <v>13</v>
      </c>
      <c r="B21" s="12">
        <v>126</v>
      </c>
      <c r="C21" s="6">
        <f>IF(B$3=0,0,B21/B$3)</f>
        <v>0.19295558958652373</v>
      </c>
      <c r="E21" s="27" t="s">
        <v>79</v>
      </c>
      <c r="F21" s="24" t="s">
        <v>34</v>
      </c>
      <c r="G21" s="12">
        <v>1</v>
      </c>
      <c r="H21" s="88">
        <f>IF(B$20=0,0,G21/B$20)</f>
        <v>5.7803468208092483E-3</v>
      </c>
      <c r="I21" s="58">
        <v>7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 t="shared" si="2"/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80</v>
      </c>
      <c r="C22" s="6">
        <f>IF(B$20=0,0,B22/B$20)</f>
        <v>0.46242774566473988</v>
      </c>
      <c r="E22" s="27" t="s">
        <v>85</v>
      </c>
      <c r="F22" s="24" t="s">
        <v>40</v>
      </c>
      <c r="G22" s="12">
        <v>1</v>
      </c>
      <c r="H22" s="88">
        <f>IF(B$20=0,0,G22/B$20)</f>
        <v>5.7803468208092483E-3</v>
      </c>
      <c r="I22" s="58">
        <v>3</v>
      </c>
      <c r="K22" s="74">
        <v>20</v>
      </c>
      <c r="L22" s="119">
        <v>-101.2</v>
      </c>
      <c r="M22" s="117">
        <v>1634.1175651983078</v>
      </c>
      <c r="O22" s="74" t="s">
        <v>192</v>
      </c>
      <c r="P22" s="83">
        <f t="shared" si="2"/>
        <v>-11.021428571428572</v>
      </c>
      <c r="Q22" s="77">
        <v>14</v>
      </c>
      <c r="R22" s="68">
        <v>-154.30000000000001</v>
      </c>
    </row>
    <row r="23" spans="1:18" x14ac:dyDescent="0.4">
      <c r="A23" s="19" t="s">
        <v>11</v>
      </c>
      <c r="B23" s="12">
        <v>93</v>
      </c>
      <c r="C23" s="6">
        <f>IF(B$20=0,0,B23/B$20)</f>
        <v>0.53757225433526012</v>
      </c>
      <c r="E23" s="27" t="s">
        <v>88</v>
      </c>
      <c r="F23" s="24" t="s">
        <v>43</v>
      </c>
      <c r="G23" s="12">
        <v>1</v>
      </c>
      <c r="H23" s="88">
        <f>IF(B$20=0,0,G23/B$20)</f>
        <v>5.7803468208092483E-3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 t="shared" si="2"/>
        <v>-11.209523809523811</v>
      </c>
      <c r="Q23" s="77">
        <v>21</v>
      </c>
      <c r="R23" s="68">
        <v>-235.40000000000003</v>
      </c>
    </row>
    <row r="24" spans="1:18" x14ac:dyDescent="0.4">
      <c r="A24" s="19" t="s">
        <v>183</v>
      </c>
      <c r="B24" s="12">
        <v>87</v>
      </c>
      <c r="C24" s="6">
        <f>IF(B$20=0,0,B24/B$20)</f>
        <v>0.50289017341040465</v>
      </c>
      <c r="E24" s="27" t="s">
        <v>92</v>
      </c>
      <c r="F24" s="24" t="s">
        <v>47</v>
      </c>
      <c r="G24" s="12">
        <v>1</v>
      </c>
      <c r="H24" s="88">
        <f>IF(B$20=0,0,G24/B$20)</f>
        <v>5.7803468208092483E-3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 t="shared" si="2"/>
        <v>-39.85</v>
      </c>
      <c r="Q24" s="77">
        <v>2</v>
      </c>
      <c r="R24" s="68">
        <v>-79.7</v>
      </c>
    </row>
    <row r="25" spans="1:18" x14ac:dyDescent="0.4">
      <c r="A25" s="19" t="s">
        <v>181</v>
      </c>
      <c r="B25" s="12">
        <v>50</v>
      </c>
      <c r="C25" s="6">
        <f>IF(B$20=0,0,B25/B$20)</f>
        <v>0.28901734104046245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36</v>
      </c>
      <c r="C26" s="6">
        <f>IF(B$20=0,0,B26/B$20)</f>
        <v>0.20809248554913296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9475.7225433526019</v>
      </c>
      <c r="C27" s="8">
        <v>1639300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10276.422764227642</v>
      </c>
      <c r="C28" s="96">
        <v>1264000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7506</v>
      </c>
      <c r="C29" s="96">
        <v>375300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-7925.3968253968251</v>
      </c>
      <c r="C30" s="96">
        <v>-998600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1.5313935681470138E-3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3">IF(B$20=0,0,B37/B$20)</f>
        <v>5.7803468208092484E-2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15</v>
      </c>
      <c r="C38" s="6">
        <f t="shared" si="3"/>
        <v>8.6705202312138727E-2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33</v>
      </c>
      <c r="C39" s="6">
        <f t="shared" si="3"/>
        <v>0.19075144508670519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35</v>
      </c>
      <c r="C40" s="6">
        <f t="shared" si="3"/>
        <v>0.20231213872832371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35</v>
      </c>
      <c r="C41" s="6">
        <f t="shared" si="3"/>
        <v>0.20231213872832371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18</v>
      </c>
      <c r="C42" s="6">
        <f t="shared" si="3"/>
        <v>0.10404624277456648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10</v>
      </c>
      <c r="C43" s="6">
        <f t="shared" si="3"/>
        <v>5.7803468208092484E-2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8</v>
      </c>
      <c r="C44" s="6">
        <f t="shared" si="3"/>
        <v>4.6242774566473986E-2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4</v>
      </c>
      <c r="C45" s="6">
        <f t="shared" si="3"/>
        <v>2.3121387283236993E-2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3"/>
        <v>1.1560693641618497E-2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1</v>
      </c>
      <c r="C47" s="6">
        <f t="shared" si="3"/>
        <v>5.7803468208092483E-3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3"/>
        <v>1.1560693641618497E-2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  <row r="75" spans="11:13" x14ac:dyDescent="0.4">
      <c r="K75" s="74">
        <v>73</v>
      </c>
      <c r="L75" s="119">
        <v>-121.19999999999999</v>
      </c>
      <c r="M75" s="117">
        <v>1627.2556363378599</v>
      </c>
    </row>
    <row r="76" spans="11:13" x14ac:dyDescent="0.4">
      <c r="K76" s="74">
        <v>74</v>
      </c>
      <c r="L76" s="119">
        <v>-96.299999999999983</v>
      </c>
      <c r="M76" s="117">
        <v>1631.8441025198326</v>
      </c>
    </row>
  </sheetData>
  <sortState xmlns:xlrd2="http://schemas.microsoft.com/office/spreadsheetml/2017/richdata2" ref="E2:I77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46</v>
      </c>
      <c r="C2" s="142"/>
      <c r="E2" s="26" t="s">
        <v>72</v>
      </c>
      <c r="F2" s="23" t="s">
        <v>27</v>
      </c>
      <c r="G2" s="11">
        <v>86</v>
      </c>
      <c r="H2" s="87">
        <f>IF(B$20=0,0,G2/B$20)</f>
        <v>0.70491803278688525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-456.52173913043481</v>
      </c>
      <c r="Q2" s="76">
        <v>46</v>
      </c>
      <c r="R2" s="63">
        <v>-21000</v>
      </c>
    </row>
    <row r="3" spans="1:18" x14ac:dyDescent="0.4">
      <c r="A3" s="19" t="s">
        <v>8</v>
      </c>
      <c r="B3" s="143">
        <v>407</v>
      </c>
      <c r="C3" s="144"/>
      <c r="E3" s="27" t="s">
        <v>66</v>
      </c>
      <c r="F3" s="24" t="s">
        <v>22</v>
      </c>
      <c r="G3" s="12">
        <v>79</v>
      </c>
      <c r="H3" s="88">
        <f>IF(B$20=0,0,G3/B$20)</f>
        <v>0.64754098360655743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-691.304347826087</v>
      </c>
      <c r="Q3" s="77">
        <v>46</v>
      </c>
      <c r="R3" s="64">
        <v>-31800</v>
      </c>
    </row>
    <row r="4" spans="1:18" x14ac:dyDescent="0.4">
      <c r="A4" s="19" t="s">
        <v>6</v>
      </c>
      <c r="B4" s="145">
        <v>-94.6</v>
      </c>
      <c r="C4" s="146"/>
      <c r="E4" s="27" t="s">
        <v>64</v>
      </c>
      <c r="F4" s="24" t="s">
        <v>20</v>
      </c>
      <c r="G4" s="12">
        <v>47</v>
      </c>
      <c r="H4" s="88">
        <f>IF(B$20=0,0,G4/B$20)</f>
        <v>0.38524590163934425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937.77777777777783</v>
      </c>
      <c r="Q4" s="77">
        <v>45</v>
      </c>
      <c r="R4" s="64">
        <v>42200</v>
      </c>
    </row>
    <row r="5" spans="1:18" x14ac:dyDescent="0.4">
      <c r="A5" s="19" t="s">
        <v>7</v>
      </c>
      <c r="B5" s="133">
        <f>IF(B$2=0,0,B$4/B$2)</f>
        <v>-2.0565217391304347</v>
      </c>
      <c r="C5" s="134"/>
      <c r="E5" s="27" t="s">
        <v>159</v>
      </c>
      <c r="F5" s="24" t="s">
        <v>160</v>
      </c>
      <c r="G5" s="12">
        <v>43</v>
      </c>
      <c r="H5" s="88">
        <f>IF(B$20=0,0,G5/B$20)</f>
        <v>0.35245901639344263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-937.77777777777783</v>
      </c>
      <c r="Q5" s="77">
        <v>45</v>
      </c>
      <c r="R5" s="64">
        <v>-42200</v>
      </c>
    </row>
    <row r="6" spans="1:18" x14ac:dyDescent="0.4">
      <c r="A6" s="19" t="s">
        <v>196</v>
      </c>
      <c r="B6" s="137">
        <v>1454.3872268622663</v>
      </c>
      <c r="C6" s="138"/>
      <c r="E6" s="27" t="s">
        <v>68</v>
      </c>
      <c r="F6" s="24" t="s">
        <v>12</v>
      </c>
      <c r="G6" s="12">
        <v>32</v>
      </c>
      <c r="H6" s="88">
        <f>IF(B$20=0,0,G6/B$20)</f>
        <v>0.26229508196721313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-1172.7272727272727</v>
      </c>
      <c r="Q6" s="77">
        <v>44</v>
      </c>
      <c r="R6" s="64">
        <v>-51600</v>
      </c>
    </row>
    <row r="7" spans="1:18" x14ac:dyDescent="0.4">
      <c r="A7" s="19" t="s">
        <v>1</v>
      </c>
      <c r="B7" s="147">
        <f>IF(B$2=0,0,(B$8*1+B$9*2+B$10*3)/B$2)</f>
        <v>2.0652173913043477</v>
      </c>
      <c r="C7" s="148"/>
      <c r="E7" s="27" t="s">
        <v>67</v>
      </c>
      <c r="F7" s="24" t="s">
        <v>23</v>
      </c>
      <c r="G7" s="12">
        <v>29</v>
      </c>
      <c r="H7" s="88">
        <f>IF(B$20=0,0,G7/B$20)</f>
        <v>0.23770491803278687</v>
      </c>
      <c r="I7" s="58">
        <v>7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-572.22222222222217</v>
      </c>
      <c r="Q7" s="78">
        <v>36</v>
      </c>
      <c r="R7" s="65">
        <v>-20600</v>
      </c>
    </row>
    <row r="8" spans="1:18" x14ac:dyDescent="0.4">
      <c r="A8" s="19" t="s">
        <v>2</v>
      </c>
      <c r="B8" s="12">
        <v>16</v>
      </c>
      <c r="C8" s="6">
        <f t="shared" ref="C8:C15" si="1">IF(B$2=0,0,B8/B$2)</f>
        <v>0.34782608695652173</v>
      </c>
      <c r="E8" s="27" t="s">
        <v>89</v>
      </c>
      <c r="F8" s="24" t="s">
        <v>44</v>
      </c>
      <c r="G8" s="12">
        <v>12</v>
      </c>
      <c r="H8" s="88">
        <f>IF(B$20=0,0,G8/B$20)</f>
        <v>9.8360655737704916E-2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0.2391304347826087</v>
      </c>
      <c r="E9" s="27" t="s">
        <v>69</v>
      </c>
      <c r="F9" s="24" t="s">
        <v>24</v>
      </c>
      <c r="G9" s="12">
        <v>11</v>
      </c>
      <c r="H9" s="88">
        <f>IF(B$20=0,0,G9/B$20)</f>
        <v>9.0163934426229511E-2</v>
      </c>
      <c r="I9" s="58">
        <v>9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0.41304347826086957</v>
      </c>
      <c r="E10" s="27" t="s">
        <v>70</v>
      </c>
      <c r="F10" s="24" t="s">
        <v>25</v>
      </c>
      <c r="G10" s="12">
        <v>11</v>
      </c>
      <c r="H10" s="88">
        <f>IF(B$20=0,0,G10/B$20)</f>
        <v>9.0163934426229511E-2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30.456250000000004</v>
      </c>
      <c r="C11" s="110">
        <v>487.30000000000007</v>
      </c>
      <c r="E11" s="27" t="s">
        <v>65</v>
      </c>
      <c r="F11" s="24" t="s">
        <v>21</v>
      </c>
      <c r="G11" s="12">
        <v>9</v>
      </c>
      <c r="H11" s="88">
        <f>IF(B$20=0,0,G11/B$20)</f>
        <v>7.3770491803278687E-2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-7.6764705882352944</v>
      </c>
      <c r="Q11" s="77">
        <v>17</v>
      </c>
      <c r="R11" s="68">
        <v>-130.5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8</v>
      </c>
      <c r="H12" s="88">
        <f>IF(B$20=0,0,G12/B$20)</f>
        <v>6.5573770491803282E-2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-1.2444444444444451</v>
      </c>
      <c r="Q12" s="78">
        <v>18</v>
      </c>
      <c r="R12" s="69">
        <v>-22.400000000000013</v>
      </c>
    </row>
    <row r="13" spans="1:18" x14ac:dyDescent="0.4">
      <c r="A13" s="20" t="s">
        <v>186</v>
      </c>
      <c r="B13" s="109">
        <f>IF(B10=0,0,C13/B10)</f>
        <v>-33.473684210526315</v>
      </c>
      <c r="C13" s="110">
        <v>-636</v>
      </c>
      <c r="E13" s="27" t="s">
        <v>71</v>
      </c>
      <c r="F13" s="24" t="s">
        <v>26</v>
      </c>
      <c r="G13" s="12">
        <v>7</v>
      </c>
      <c r="H13" s="88">
        <f>IF(B$20=0,0,G13/B$20)</f>
        <v>5.737704918032787E-2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0.63358253588516789</v>
      </c>
      <c r="C14" s="134"/>
      <c r="E14" s="27" t="s">
        <v>81</v>
      </c>
      <c r="F14" s="24" t="s">
        <v>36</v>
      </c>
      <c r="G14" s="12">
        <v>5</v>
      </c>
      <c r="H14" s="88">
        <f>IF(B$20=0,0,G14/B$20)</f>
        <v>4.0983606557377046E-2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8.6956521739130432E-2</v>
      </c>
      <c r="E15" s="27" t="s">
        <v>78</v>
      </c>
      <c r="F15" s="24" t="s">
        <v>33</v>
      </c>
      <c r="G15" s="12">
        <v>4</v>
      </c>
      <c r="H15" s="88">
        <f>IF(B$20=0,0,G15/B$20)</f>
        <v>3.2786885245901641E-2</v>
      </c>
      <c r="I15" s="58">
        <v>4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106</v>
      </c>
      <c r="C16" s="10">
        <f>IF(B$3=0,0,B16/B$3)</f>
        <v>0.26044226044226043</v>
      </c>
      <c r="E16" s="27" t="s">
        <v>79</v>
      </c>
      <c r="F16" s="24" t="s">
        <v>34</v>
      </c>
      <c r="G16" s="12">
        <v>3</v>
      </c>
      <c r="H16" s="88">
        <f>IF(B$20=0,0,G16/B$20)</f>
        <v>2.4590163934426229E-2</v>
      </c>
      <c r="I16" s="58">
        <v>1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>IF(Q16=0,0,R16/Q16)</f>
        <v>39.524999999999999</v>
      </c>
      <c r="Q16" s="77">
        <v>4</v>
      </c>
      <c r="R16" s="68">
        <v>158.1</v>
      </c>
    </row>
    <row r="17" spans="1:18" x14ac:dyDescent="0.4">
      <c r="A17" s="19" t="s">
        <v>118</v>
      </c>
      <c r="B17" s="12">
        <v>122</v>
      </c>
      <c r="C17" s="6">
        <f>IF(B$3=0,0,B17/B$3)</f>
        <v>0.29975429975429974</v>
      </c>
      <c r="E17" s="27" t="s">
        <v>86</v>
      </c>
      <c r="F17" s="24" t="s">
        <v>41</v>
      </c>
      <c r="G17" s="12">
        <v>2</v>
      </c>
      <c r="H17" s="88">
        <f>IF(B$20=0,0,G17/B$20)</f>
        <v>1.6393442622950821E-2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216</v>
      </c>
      <c r="P17" s="83">
        <f>IF(Q17=0,0,R17/Q17)</f>
        <v>35.5</v>
      </c>
      <c r="Q17" s="77">
        <v>1</v>
      </c>
      <c r="R17" s="68">
        <v>35.5</v>
      </c>
    </row>
    <row r="18" spans="1:18" x14ac:dyDescent="0.4">
      <c r="A18" s="18" t="s">
        <v>123</v>
      </c>
      <c r="B18" s="11">
        <f>B24</f>
        <v>47</v>
      </c>
      <c r="C18" s="5">
        <f>IF(B$16=0,0,B18/B$16)</f>
        <v>0.44339622641509435</v>
      </c>
      <c r="E18" s="27" t="s">
        <v>91</v>
      </c>
      <c r="F18" s="24" t="s">
        <v>46</v>
      </c>
      <c r="G18" s="12">
        <v>2</v>
      </c>
      <c r="H18" s="88">
        <f>IF(B$20=0,0,G18/B$20)</f>
        <v>1.6393442622950821E-2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>IF(Q18=0,0,R18/Q18)</f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51</v>
      </c>
      <c r="C19" s="5">
        <f>IF(B$17=0,0,B19/B$17)</f>
        <v>0.41803278688524592</v>
      </c>
      <c r="E19" s="27" t="s">
        <v>88</v>
      </c>
      <c r="F19" s="24" t="s">
        <v>43</v>
      </c>
      <c r="G19" s="12">
        <v>1</v>
      </c>
      <c r="H19" s="88">
        <f>IF(B$20=0,0,G19/B$20)</f>
        <v>8.1967213114754103E-3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>IF(Q19=0,0,R19/Q19)</f>
        <v>4.4999999999999929E-2</v>
      </c>
      <c r="Q19" s="77">
        <v>40</v>
      </c>
      <c r="R19" s="68">
        <v>1.7999999999999972</v>
      </c>
    </row>
    <row r="20" spans="1:18" x14ac:dyDescent="0.4">
      <c r="A20" s="18" t="s">
        <v>10</v>
      </c>
      <c r="B20" s="11">
        <f>B23+B22</f>
        <v>122</v>
      </c>
      <c r="C20" s="5">
        <f>IF(B$3=0,0,B20/B$3)</f>
        <v>0.29975429975429974</v>
      </c>
      <c r="E20" s="27" t="s">
        <v>93</v>
      </c>
      <c r="F20" s="24" t="s">
        <v>48</v>
      </c>
      <c r="G20" s="12">
        <v>1</v>
      </c>
      <c r="H20" s="88">
        <f>IF(B$20=0,0,G20/B$20)</f>
        <v>8.1967213114754103E-3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>IF(Q20=0,0,R20/Q20)</f>
        <v>-11.672222222222219</v>
      </c>
      <c r="Q20" s="77">
        <v>18</v>
      </c>
      <c r="R20" s="68">
        <v>-210.09999999999994</v>
      </c>
    </row>
    <row r="21" spans="1:18" x14ac:dyDescent="0.4">
      <c r="A21" s="19" t="s">
        <v>13</v>
      </c>
      <c r="B21" s="12">
        <v>66</v>
      </c>
      <c r="C21" s="6">
        <f>IF(B$3=0,0,B21/B$3)</f>
        <v>0.16216216216216217</v>
      </c>
      <c r="E21" s="27" t="s">
        <v>106</v>
      </c>
      <c r="F21" s="24" t="s">
        <v>113</v>
      </c>
      <c r="G21" s="12">
        <v>1</v>
      </c>
      <c r="H21" s="88">
        <f>IF(B$20=0,0,G21/B$20)</f>
        <v>8.1967213114754103E-3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>IF(Q21=0,0,R21/Q21)</f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57</v>
      </c>
      <c r="C22" s="6">
        <f>IF(B$20=0,0,B22/B$20)</f>
        <v>0.46721311475409838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65</v>
      </c>
      <c r="C23" s="6">
        <f>IF(B$20=0,0,B23/B$20)</f>
        <v>0.53278688524590168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47</v>
      </c>
      <c r="C24" s="6">
        <f>IF(B$20=0,0,B24/B$20)</f>
        <v>0.38524590163934425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51</v>
      </c>
      <c r="C25" s="6">
        <f>IF(B$20=0,0,B25/B$20)</f>
        <v>0.41803278688524592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24</v>
      </c>
      <c r="C26" s="6">
        <f>IF(B$20=0,0,B26/B$20)</f>
        <v>0.19672131147540983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7454.9180327868853</v>
      </c>
      <c r="C27" s="8">
        <v>909500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8954.929577464789</v>
      </c>
      <c r="C28" s="96">
        <v>635800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5366.666666666667</v>
      </c>
      <c r="C29" s="96">
        <v>273700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-8572.7272727272721</v>
      </c>
      <c r="C30" s="96">
        <v>-565800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3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16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2.4570024570024569E-3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15</v>
      </c>
      <c r="C37" s="98">
        <f t="shared" ref="C37:C49" si="2">IF(B$20=0,0,B37/B$20)</f>
        <v>0.12295081967213115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2"/>
        <v>0.22131147540983606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28</v>
      </c>
      <c r="C39" s="6">
        <f t="shared" si="2"/>
        <v>0.22950819672131148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23</v>
      </c>
      <c r="C40" s="6">
        <f t="shared" si="2"/>
        <v>0.18852459016393441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7</v>
      </c>
      <c r="C41" s="6">
        <f t="shared" si="2"/>
        <v>5.737704918032787E-2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2"/>
        <v>4.0983606557377046E-2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2"/>
        <v>4.0983606557377046E-2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2"/>
        <v>1.6393442622950821E-2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2"/>
        <v>3.2786885245901641E-2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2"/>
        <v>3.2786885245901641E-2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-94.6</v>
      </c>
      <c r="M48" s="117">
        <v>1454.3872268622663</v>
      </c>
    </row>
    <row r="49" spans="1:9" x14ac:dyDescent="0.4">
      <c r="A49" s="21" t="s">
        <v>179</v>
      </c>
      <c r="B49" s="97">
        <v>2</v>
      </c>
      <c r="C49" s="9">
        <f t="shared" si="2"/>
        <v>1.6393442622950821E-2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37</v>
      </c>
      <c r="C2" s="142"/>
      <c r="E2" s="26" t="s">
        <v>66</v>
      </c>
      <c r="F2" s="23" t="s">
        <v>22</v>
      </c>
      <c r="G2" s="11">
        <v>70</v>
      </c>
      <c r="H2" s="87">
        <f>IF(B$20=0,0,G2/B$20)</f>
        <v>0.82352941176470584</v>
      </c>
      <c r="I2" s="57">
        <v>5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816.21621621621625</v>
      </c>
      <c r="Q2" s="76">
        <v>37</v>
      </c>
      <c r="R2" s="63">
        <v>30200</v>
      </c>
    </row>
    <row r="3" spans="1:18" x14ac:dyDescent="0.4">
      <c r="A3" s="19" t="s">
        <v>8</v>
      </c>
      <c r="B3" s="143">
        <v>321</v>
      </c>
      <c r="C3" s="144"/>
      <c r="E3" s="27" t="s">
        <v>72</v>
      </c>
      <c r="F3" s="24" t="s">
        <v>27</v>
      </c>
      <c r="G3" s="12">
        <v>49</v>
      </c>
      <c r="H3" s="88">
        <f>IF(B$20=0,0,G3/B$20)</f>
        <v>0.57647058823529407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418.91891891891891</v>
      </c>
      <c r="Q3" s="77">
        <v>37</v>
      </c>
      <c r="R3" s="64">
        <v>15500</v>
      </c>
    </row>
    <row r="4" spans="1:18" x14ac:dyDescent="0.4">
      <c r="A4" s="19" t="s">
        <v>6</v>
      </c>
      <c r="B4" s="145">
        <v>58.499999999999957</v>
      </c>
      <c r="C4" s="146"/>
      <c r="E4" s="27" t="s">
        <v>64</v>
      </c>
      <c r="F4" s="24" t="s">
        <v>20</v>
      </c>
      <c r="G4" s="12">
        <v>41</v>
      </c>
      <c r="H4" s="88">
        <f>IF(B$20=0,0,G4/B$20)</f>
        <v>0.4823529411764706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1277.7777777777778</v>
      </c>
      <c r="Q4" s="77">
        <v>36</v>
      </c>
      <c r="R4" s="64">
        <v>46000</v>
      </c>
    </row>
    <row r="5" spans="1:18" x14ac:dyDescent="0.4">
      <c r="A5" s="19" t="s">
        <v>7</v>
      </c>
      <c r="B5" s="133">
        <f>IF(B$2=0,0,B$4/B$2)</f>
        <v>1.58108108108108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0.43529411764705883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-2562.5</v>
      </c>
      <c r="Q5" s="77">
        <v>32</v>
      </c>
      <c r="R5" s="64">
        <v>-82000</v>
      </c>
    </row>
    <row r="6" spans="1:18" x14ac:dyDescent="0.4">
      <c r="A6" s="19" t="s">
        <v>196</v>
      </c>
      <c r="B6" s="137">
        <v>1552.235570864417</v>
      </c>
      <c r="C6" s="138"/>
      <c r="E6" s="27" t="s">
        <v>68</v>
      </c>
      <c r="F6" s="24" t="s">
        <v>12</v>
      </c>
      <c r="G6" s="12">
        <v>21</v>
      </c>
      <c r="H6" s="88">
        <f>IF(B$20=0,0,G6/B$20)</f>
        <v>0.24705882352941178</v>
      </c>
      <c r="I6" s="58">
        <v>12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1982.7586206896551</v>
      </c>
      <c r="Q6" s="77">
        <v>29</v>
      </c>
      <c r="R6" s="64">
        <v>57500</v>
      </c>
    </row>
    <row r="7" spans="1:18" x14ac:dyDescent="0.4">
      <c r="A7" s="19" t="s">
        <v>1</v>
      </c>
      <c r="B7" s="147">
        <f>IF(B$2=0,0,(B$8*1+B$9*2+B$10*3)/B$2)</f>
        <v>1.8918918918918919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0.21176470588235294</v>
      </c>
      <c r="I7" s="58">
        <v>9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-1069.5652173913043</v>
      </c>
      <c r="Q7" s="78">
        <v>23</v>
      </c>
      <c r="R7" s="65">
        <v>-24600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0.29729729729729731</v>
      </c>
      <c r="E8" s="27" t="s">
        <v>65</v>
      </c>
      <c r="F8" s="24" t="s">
        <v>21</v>
      </c>
      <c r="G8" s="12">
        <v>15</v>
      </c>
      <c r="H8" s="88">
        <f>IF(B$20=0,0,G8/B$20)</f>
        <v>0.17647058823529413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0.51351351351351349</v>
      </c>
      <c r="E9" s="27" t="s">
        <v>69</v>
      </c>
      <c r="F9" s="24" t="s">
        <v>24</v>
      </c>
      <c r="G9" s="12">
        <v>14</v>
      </c>
      <c r="H9" s="88">
        <f>IF(B$20=0,0,G9/B$20)</f>
        <v>0.16470588235294117</v>
      </c>
      <c r="I9" s="58">
        <v>2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0.1891891891891892</v>
      </c>
      <c r="E10" s="27" t="s">
        <v>89</v>
      </c>
      <c r="F10" s="24" t="s">
        <v>44</v>
      </c>
      <c r="G10" s="12">
        <v>9</v>
      </c>
      <c r="H10" s="88">
        <f>IF(B$20=0,0,G10/B$20)</f>
        <v>0.10588235294117647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33.6</v>
      </c>
      <c r="C11" s="110">
        <v>369.6</v>
      </c>
      <c r="E11" s="27" t="s">
        <v>86</v>
      </c>
      <c r="F11" s="24" t="s">
        <v>41</v>
      </c>
      <c r="G11" s="12">
        <v>8</v>
      </c>
      <c r="H11" s="88">
        <f>IF(B$20=0,0,G11/B$20)</f>
        <v>9.4117647058823528E-2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-3.7399999999999998</v>
      </c>
      <c r="Q11" s="77">
        <v>15</v>
      </c>
      <c r="R11" s="68">
        <v>-56.099999999999994</v>
      </c>
    </row>
    <row r="12" spans="1:18" x14ac:dyDescent="0.4">
      <c r="A12" s="20" t="s">
        <v>185</v>
      </c>
      <c r="B12" s="109">
        <f>IF(B9=0,0,C12/B9)</f>
        <v>-2.9947368421052634</v>
      </c>
      <c r="C12" s="110">
        <v>-56.900000000000006</v>
      </c>
      <c r="E12" s="27" t="s">
        <v>70</v>
      </c>
      <c r="F12" s="24" t="s">
        <v>25</v>
      </c>
      <c r="G12" s="12">
        <v>6</v>
      </c>
      <c r="H12" s="88">
        <f>IF(B$20=0,0,G12/B$20)</f>
        <v>7.0588235294117646E-2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13.08333333333333</v>
      </c>
      <c r="Q12" s="78">
        <v>12</v>
      </c>
      <c r="R12" s="69">
        <v>156.99999999999997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5</v>
      </c>
      <c r="H13" s="88">
        <f>IF(B$20=0,0,G13/B$20)</f>
        <v>5.8823529411764705E-2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-1.9030075187969924</v>
      </c>
      <c r="C14" s="134"/>
      <c r="E14" s="27" t="s">
        <v>78</v>
      </c>
      <c r="F14" s="24" t="s">
        <v>33</v>
      </c>
      <c r="G14" s="12">
        <v>3</v>
      </c>
      <c r="H14" s="88">
        <f>IF(B$20=0,0,G14/B$20)</f>
        <v>3.5294117647058823E-2</v>
      </c>
      <c r="I14" s="58">
        <v>3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81</v>
      </c>
      <c r="F15" s="24" t="s">
        <v>36</v>
      </c>
      <c r="G15" s="12">
        <v>3</v>
      </c>
      <c r="H15" s="88">
        <f>IF(B$20=0,0,G15/B$20)</f>
        <v>3.5294117647058823E-2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84</v>
      </c>
      <c r="C16" s="10">
        <f>IF(B$3=0,0,B16/B$3)</f>
        <v>0.26168224299065418</v>
      </c>
      <c r="E16" s="27" t="s">
        <v>71</v>
      </c>
      <c r="F16" s="24" t="s">
        <v>26</v>
      </c>
      <c r="G16" s="12">
        <v>2</v>
      </c>
      <c r="H16" s="88">
        <f>IF(B$20=0,0,G16/B$20)</f>
        <v>2.3529411764705882E-2</v>
      </c>
      <c r="I16" s="58">
        <v>11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>IF(Q16=0,0,R16/Q16)</f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63</v>
      </c>
      <c r="C17" s="6">
        <f>IF(B$3=0,0,B17/B$3)</f>
        <v>0.19626168224299065</v>
      </c>
      <c r="E17" s="27" t="s">
        <v>79</v>
      </c>
      <c r="F17" s="24" t="s">
        <v>34</v>
      </c>
      <c r="G17" s="12">
        <v>2</v>
      </c>
      <c r="H17" s="88">
        <f>IF(B$20=0,0,G17/B$20)</f>
        <v>2.3529411764705882E-2</v>
      </c>
      <c r="I17" s="58">
        <v>2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>IF(Q17=0,0,R17/Q17)</f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0.51190476190476186</v>
      </c>
      <c r="E18" s="27" t="s">
        <v>77</v>
      </c>
      <c r="F18" s="24" t="s">
        <v>32</v>
      </c>
      <c r="G18" s="12">
        <v>1</v>
      </c>
      <c r="H18" s="88">
        <f>IF(B$20=0,0,G18/B$20)</f>
        <v>1.1764705882352941E-2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>IF(Q18=0,0,R18/Q18)</f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0.36507936507936506</v>
      </c>
      <c r="E19" s="27" t="s">
        <v>90</v>
      </c>
      <c r="F19" s="24" t="s">
        <v>45</v>
      </c>
      <c r="G19" s="12">
        <v>1</v>
      </c>
      <c r="H19" s="88">
        <f>IF(B$20=0,0,G19/B$20)</f>
        <v>1.1764705882352941E-2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>IF(Q19=0,0,R19/Q19)</f>
        <v>0.82903225806451564</v>
      </c>
      <c r="Q19" s="77">
        <v>31</v>
      </c>
      <c r="R19" s="68">
        <v>25.699999999999985</v>
      </c>
    </row>
    <row r="20" spans="1:18" x14ac:dyDescent="0.4">
      <c r="A20" s="18" t="s">
        <v>10</v>
      </c>
      <c r="B20" s="11">
        <f>B23+B22</f>
        <v>85</v>
      </c>
      <c r="C20" s="5">
        <f>IF(B$3=0,0,B20/B$3)</f>
        <v>0.26479750778816197</v>
      </c>
      <c r="E20" s="27" t="s">
        <v>91</v>
      </c>
      <c r="F20" s="24" t="s">
        <v>46</v>
      </c>
      <c r="G20" s="12">
        <v>1</v>
      </c>
      <c r="H20" s="88">
        <f>IF(B$20=0,0,G20/B$20)</f>
        <v>1.1764705882352941E-2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>IF(Q20=0,0,R20/Q20)</f>
        <v>-39.525000000000006</v>
      </c>
      <c r="Q20" s="77">
        <v>4</v>
      </c>
      <c r="R20" s="68">
        <v>-158.10000000000002</v>
      </c>
    </row>
    <row r="21" spans="1:18" x14ac:dyDescent="0.4">
      <c r="A21" s="19" t="s">
        <v>13</v>
      </c>
      <c r="B21" s="12">
        <v>34</v>
      </c>
      <c r="C21" s="6">
        <f>IF(B$3=0,0,B21/B$3)</f>
        <v>0.1059190031152648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27</v>
      </c>
      <c r="C22" s="6">
        <f>IF(B$20=0,0,B22/B$20)</f>
        <v>0.31764705882352939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58</v>
      </c>
      <c r="C23" s="6">
        <f>IF(B$20=0,0,B23/B$20)</f>
        <v>0.68235294117647061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43</v>
      </c>
      <c r="C24" s="6">
        <f>IF(B$20=0,0,B24/B$20)</f>
        <v>0.50588235294117645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23</v>
      </c>
      <c r="C25" s="6">
        <f>IF(B$20=0,0,B25/B$20)</f>
        <v>0.27058823529411763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19</v>
      </c>
      <c r="C26" s="6">
        <f>IF(B$20=0,0,B26/B$20)</f>
        <v>0.22352941176470589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8091.7647058823532</v>
      </c>
      <c r="C27" s="8">
        <v>687800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7982.2580645161288</v>
      </c>
      <c r="C28" s="96">
        <v>494900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8386.95652173913</v>
      </c>
      <c r="C29" s="96">
        <v>192900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-6517.6470588235297</v>
      </c>
      <c r="C30" s="96">
        <v>-221600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2">IF(B$20=0,0,B37/B$20)</f>
        <v>3.5294117647058823E-2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2"/>
        <v>0.15294117647058825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19</v>
      </c>
      <c r="C39" s="6">
        <f t="shared" si="2"/>
        <v>0.22352941176470589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58.499999999999957</v>
      </c>
      <c r="M39" s="117">
        <v>1552.235570864417</v>
      </c>
    </row>
    <row r="40" spans="1:13" x14ac:dyDescent="0.4">
      <c r="A40" s="19" t="s">
        <v>169</v>
      </c>
      <c r="B40" s="124">
        <v>22</v>
      </c>
      <c r="C40" s="6">
        <f t="shared" si="2"/>
        <v>0.25882352941176473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12</v>
      </c>
      <c r="C41" s="6">
        <f t="shared" si="2"/>
        <v>0.14117647058823529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7</v>
      </c>
      <c r="C42" s="6">
        <f t="shared" si="2"/>
        <v>8.2352941176470587E-2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2"/>
        <v>3.5294117647058823E-2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2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2"/>
        <v>1.1764705882352941E-2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48</v>
      </c>
      <c r="C2" s="142"/>
      <c r="E2" s="26" t="s">
        <v>66</v>
      </c>
      <c r="F2" s="23" t="s">
        <v>22</v>
      </c>
      <c r="G2" s="11">
        <v>87</v>
      </c>
      <c r="H2" s="87">
        <f>IF(B$20=0,0,G2/B$20)</f>
        <v>0.70161290322580649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-587.23404255319144</v>
      </c>
      <c r="Q2" s="76">
        <v>47</v>
      </c>
      <c r="R2" s="63">
        <v>-27600</v>
      </c>
    </row>
    <row r="3" spans="1:18" x14ac:dyDescent="0.4">
      <c r="A3" s="19" t="s">
        <v>8</v>
      </c>
      <c r="B3" s="143">
        <v>411</v>
      </c>
      <c r="C3" s="144"/>
      <c r="E3" s="27" t="s">
        <v>72</v>
      </c>
      <c r="F3" s="24" t="s">
        <v>27</v>
      </c>
      <c r="G3" s="12">
        <v>74</v>
      </c>
      <c r="H3" s="88">
        <f>IF(B$20=0,0,G3/B$20)</f>
        <v>0.59677419354838712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1051.063829787234</v>
      </c>
      <c r="Q3" s="77">
        <v>47</v>
      </c>
      <c r="R3" s="64">
        <v>49400</v>
      </c>
    </row>
    <row r="4" spans="1:18" x14ac:dyDescent="0.4">
      <c r="A4" s="19" t="s">
        <v>6</v>
      </c>
      <c r="B4" s="145">
        <v>140.69999999999999</v>
      </c>
      <c r="C4" s="146"/>
      <c r="E4" s="27" t="s">
        <v>64</v>
      </c>
      <c r="F4" s="24" t="s">
        <v>20</v>
      </c>
      <c r="G4" s="12">
        <v>54</v>
      </c>
      <c r="H4" s="88">
        <f>IF(B$20=0,0,G4/B$20)</f>
        <v>0.43548387096774194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1812.7659574468084</v>
      </c>
      <c r="Q4" s="77">
        <v>47</v>
      </c>
      <c r="R4" s="64">
        <v>85200</v>
      </c>
    </row>
    <row r="5" spans="1:18" x14ac:dyDescent="0.4">
      <c r="A5" s="19" t="s">
        <v>7</v>
      </c>
      <c r="B5" s="133">
        <f>IF(B$2=0,0,B$4/B$2)</f>
        <v>2.9312499999999999</v>
      </c>
      <c r="C5" s="134"/>
      <c r="E5" s="27" t="s">
        <v>159</v>
      </c>
      <c r="F5" s="24" t="s">
        <v>160</v>
      </c>
      <c r="G5" s="12">
        <v>41</v>
      </c>
      <c r="H5" s="88">
        <f>IF(B$20=0,0,G5/B$20)</f>
        <v>0.33064516129032256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-690.90909090909088</v>
      </c>
      <c r="Q5" s="77">
        <v>44</v>
      </c>
      <c r="R5" s="64">
        <v>-30400</v>
      </c>
    </row>
    <row r="6" spans="1:18" x14ac:dyDescent="0.4">
      <c r="A6" s="19" t="s">
        <v>196</v>
      </c>
      <c r="B6" s="137">
        <v>1532.9527241904184</v>
      </c>
      <c r="C6" s="138"/>
      <c r="E6" s="27" t="s">
        <v>67</v>
      </c>
      <c r="F6" s="24" t="s">
        <v>23</v>
      </c>
      <c r="G6" s="12">
        <v>31</v>
      </c>
      <c r="H6" s="88">
        <f>IF(B$20=0,0,G6/B$20)</f>
        <v>0.25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70</v>
      </c>
      <c r="Q6" s="77">
        <v>40</v>
      </c>
      <c r="R6" s="64">
        <v>2800</v>
      </c>
    </row>
    <row r="7" spans="1:18" x14ac:dyDescent="0.4">
      <c r="A7" s="19" t="s">
        <v>1</v>
      </c>
      <c r="B7" s="147">
        <f>IF(B$2=0,0,(B$8*1+B$9*2+B$10*3)/B$2)</f>
        <v>1.9166666666666667</v>
      </c>
      <c r="C7" s="148"/>
      <c r="E7" s="27" t="s">
        <v>68</v>
      </c>
      <c r="F7" s="24" t="s">
        <v>12</v>
      </c>
      <c r="G7" s="12">
        <v>31</v>
      </c>
      <c r="H7" s="88">
        <f>IF(B$20=0,0,G7/B$20)</f>
        <v>0.25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1755.2631578947369</v>
      </c>
      <c r="Q7" s="78">
        <v>38</v>
      </c>
      <c r="R7" s="65">
        <v>66700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23</v>
      </c>
      <c r="H8" s="88">
        <f>IF(B$20=0,0,G8/B$20)</f>
        <v>0.18548387096774194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0.33333333333333331</v>
      </c>
      <c r="E9" s="27" t="s">
        <v>69</v>
      </c>
      <c r="F9" s="24" t="s">
        <v>24</v>
      </c>
      <c r="G9" s="12">
        <v>18</v>
      </c>
      <c r="H9" s="88">
        <f>IF(B$20=0,0,G9/B$20)</f>
        <v>0.14516129032258066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0.29166666666666669</v>
      </c>
      <c r="E10" s="27" t="s">
        <v>65</v>
      </c>
      <c r="F10" s="24" t="s">
        <v>21</v>
      </c>
      <c r="G10" s="12">
        <v>9</v>
      </c>
      <c r="H10" s="88">
        <f>IF(B$20=0,0,G10/B$20)</f>
        <v>7.2580645161290328E-2</v>
      </c>
      <c r="I10" s="58">
        <v>10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-0.74285714285714255</v>
      </c>
      <c r="Q10" s="76">
        <v>14</v>
      </c>
      <c r="R10" s="67">
        <v>-10.399999999999995</v>
      </c>
    </row>
    <row r="11" spans="1:18" x14ac:dyDescent="0.4">
      <c r="A11" s="20" t="s">
        <v>184</v>
      </c>
      <c r="B11" s="109">
        <f>IF(B8=0,0,C11/B8)</f>
        <v>31.938888888888886</v>
      </c>
      <c r="C11" s="110">
        <v>574.9</v>
      </c>
      <c r="E11" s="27" t="s">
        <v>71</v>
      </c>
      <c r="F11" s="24" t="s">
        <v>26</v>
      </c>
      <c r="G11" s="12">
        <v>9</v>
      </c>
      <c r="H11" s="88">
        <f>IF(B$20=0,0,G11/B$20)</f>
        <v>7.2580645161290328E-2</v>
      </c>
      <c r="I11" s="58">
        <v>6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-0.7823529411764697</v>
      </c>
      <c r="Q11" s="77">
        <v>17</v>
      </c>
      <c r="R11" s="68">
        <v>-13.299999999999985</v>
      </c>
    </row>
    <row r="12" spans="1:18" x14ac:dyDescent="0.4">
      <c r="A12" s="20" t="s">
        <v>185</v>
      </c>
      <c r="B12" s="109">
        <f>IF(B9=0,0,C12/B9)</f>
        <v>-2.2500000000000004</v>
      </c>
      <c r="C12" s="110">
        <v>-36.000000000000007</v>
      </c>
      <c r="E12" s="27" t="s">
        <v>86</v>
      </c>
      <c r="F12" s="24" t="s">
        <v>41</v>
      </c>
      <c r="G12" s="12">
        <v>9</v>
      </c>
      <c r="H12" s="88">
        <f>IF(B$20=0,0,G12/B$20)</f>
        <v>7.2580645161290328E-2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4.8387096774193547E-2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0.41534391534391329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4.0322580645161289E-2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4.1666666666666664E-2</v>
      </c>
      <c r="E15" s="27" t="s">
        <v>81</v>
      </c>
      <c r="F15" s="24" t="s">
        <v>36</v>
      </c>
      <c r="G15" s="12">
        <v>5</v>
      </c>
      <c r="H15" s="88">
        <f>IF(B$20=0,0,G15/B$20)</f>
        <v>4.0322580645161289E-2</v>
      </c>
      <c r="I15" s="58">
        <v>6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25.683333333333337</v>
      </c>
      <c r="Q15" s="76">
        <v>6</v>
      </c>
      <c r="R15" s="67">
        <v>154.10000000000002</v>
      </c>
    </row>
    <row r="16" spans="1:18" x14ac:dyDescent="0.4">
      <c r="A16" s="22" t="s">
        <v>121</v>
      </c>
      <c r="B16" s="15">
        <v>89</v>
      </c>
      <c r="C16" s="10">
        <f>IF(B$3=0,0,B16/B$3)</f>
        <v>0.21654501216545013</v>
      </c>
      <c r="E16" s="27" t="s">
        <v>91</v>
      </c>
      <c r="F16" s="24" t="s">
        <v>46</v>
      </c>
      <c r="G16" s="12">
        <v>5</v>
      </c>
      <c r="H16" s="88">
        <f>IF(B$20=0,0,G16/B$20)</f>
        <v>4.0322580645161289E-2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221</v>
      </c>
      <c r="P16" s="83">
        <f t="shared" si="2"/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92</v>
      </c>
      <c r="C17" s="6">
        <f>IF(B$3=0,0,B17/B$3)</f>
        <v>0.22384428223844283</v>
      </c>
      <c r="E17" s="27" t="s">
        <v>78</v>
      </c>
      <c r="F17" s="24" t="s">
        <v>33</v>
      </c>
      <c r="G17" s="12">
        <v>4</v>
      </c>
      <c r="H17" s="88">
        <f>IF(B$20=0,0,G17/B$20)</f>
        <v>3.2258064516129031E-2</v>
      </c>
      <c r="I17" s="58">
        <v>5</v>
      </c>
      <c r="K17" s="74">
        <v>15</v>
      </c>
      <c r="L17" s="119">
        <v>75.200000000000017</v>
      </c>
      <c r="M17" s="117">
        <v>1508.6093345703989</v>
      </c>
      <c r="O17" s="74" t="s">
        <v>163</v>
      </c>
      <c r="P17" s="83">
        <f t="shared" si="2"/>
        <v>11.209523809523812</v>
      </c>
      <c r="Q17" s="77">
        <v>21</v>
      </c>
      <c r="R17" s="68">
        <v>235.40000000000006</v>
      </c>
    </row>
    <row r="18" spans="1:18" x14ac:dyDescent="0.4">
      <c r="A18" s="18" t="s">
        <v>123</v>
      </c>
      <c r="B18" s="11">
        <f>B24</f>
        <v>53</v>
      </c>
      <c r="C18" s="5">
        <f>IF(B$16=0,0,B18/B$16)</f>
        <v>0.5955056179775281</v>
      </c>
      <c r="E18" s="27" t="s">
        <v>73</v>
      </c>
      <c r="F18" s="24" t="s">
        <v>28</v>
      </c>
      <c r="G18" s="12">
        <v>2</v>
      </c>
      <c r="H18" s="88">
        <f>IF(B$20=0,0,G18/B$20)</f>
        <v>1.6129032258064516E-2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 t="shared" si="2"/>
        <v>8.4214285714285744</v>
      </c>
      <c r="Q18" s="77">
        <v>14</v>
      </c>
      <c r="R18" s="68">
        <v>117.90000000000003</v>
      </c>
    </row>
    <row r="19" spans="1:18" x14ac:dyDescent="0.4">
      <c r="A19" s="18" t="s">
        <v>124</v>
      </c>
      <c r="B19" s="11">
        <f>B25</f>
        <v>42</v>
      </c>
      <c r="C19" s="5">
        <f>IF(B$17=0,0,B19/B$17)</f>
        <v>0.45652173913043476</v>
      </c>
      <c r="E19" s="27" t="s">
        <v>75</v>
      </c>
      <c r="F19" s="24" t="s">
        <v>30</v>
      </c>
      <c r="G19" s="12">
        <v>1</v>
      </c>
      <c r="H19" s="88">
        <f>IF(B$20=0,0,G19/B$20)</f>
        <v>8.0645161290322578E-3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124</v>
      </c>
      <c r="C20" s="5">
        <f>IF(B$3=0,0,B20/B$3)</f>
        <v>0.30170316301703165</v>
      </c>
      <c r="E20" s="27" t="s">
        <v>79</v>
      </c>
      <c r="F20" s="24" t="s">
        <v>34</v>
      </c>
      <c r="G20" s="12">
        <v>1</v>
      </c>
      <c r="H20" s="88">
        <f>IF(B$20=0,0,G20/B$20)</f>
        <v>8.0645161290322578E-3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0.12142857142857189</v>
      </c>
      <c r="Q20" s="77">
        <v>28</v>
      </c>
      <c r="R20" s="68">
        <v>3.4000000000000128</v>
      </c>
    </row>
    <row r="21" spans="1:18" x14ac:dyDescent="0.4">
      <c r="A21" s="19" t="s">
        <v>13</v>
      </c>
      <c r="B21" s="12">
        <v>56</v>
      </c>
      <c r="C21" s="6">
        <f>IF(B$3=0,0,B21/B$3)</f>
        <v>0.13625304136253041</v>
      </c>
      <c r="E21" s="27" t="s">
        <v>93</v>
      </c>
      <c r="F21" s="24" t="s">
        <v>48</v>
      </c>
      <c r="G21" s="12">
        <v>1</v>
      </c>
      <c r="H21" s="88">
        <f>IF(B$20=0,0,G21/B$20)</f>
        <v>8.0645161290322578E-3</v>
      </c>
      <c r="I21" s="58">
        <v>2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51</v>
      </c>
      <c r="C22" s="6">
        <f>IF(B$20=0,0,B22/B$20)</f>
        <v>0.41129032258064518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73</v>
      </c>
      <c r="C23" s="6">
        <f>IF(B$20=0,0,B23/B$20)</f>
        <v>0.58870967741935487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53</v>
      </c>
      <c r="C24" s="6">
        <f>IF(B$20=0,0,B24/B$20)</f>
        <v>0.42741935483870969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42</v>
      </c>
      <c r="C25" s="6">
        <f>IF(B$20=0,0,B25/B$20)</f>
        <v>0.33870967741935482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29</v>
      </c>
      <c r="C26" s="6">
        <f>IF(B$20=0,0,B26/B$20)</f>
        <v>0.23387096774193547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7832.2580645161288</v>
      </c>
      <c r="C27" s="8">
        <v>971200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8253.6585365853662</v>
      </c>
      <c r="C28" s="96">
        <v>676800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7009.5238095238092</v>
      </c>
      <c r="C29" s="96">
        <v>294400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-6833.9285714285716</v>
      </c>
      <c r="C30" s="96">
        <v>-382700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9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86700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7.2992700729927005E-3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6.4516129032258063E-2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26</v>
      </c>
      <c r="C38" s="6">
        <f t="shared" si="3"/>
        <v>0.20967741935483872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26</v>
      </c>
      <c r="C39" s="6">
        <f t="shared" si="3"/>
        <v>0.20967741935483872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0.15322580645161291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16</v>
      </c>
      <c r="C41" s="6">
        <f t="shared" si="3"/>
        <v>0.12903225806451613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15</v>
      </c>
      <c r="C42" s="6">
        <f t="shared" si="3"/>
        <v>0.12096774193548387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4.0322580645161289E-2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3.2258064516129031E-2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8.0645161290322578E-3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1.6129032258064516E-2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1</v>
      </c>
      <c r="C47" s="6">
        <f t="shared" si="3"/>
        <v>8.0645161290322578E-3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167.6</v>
      </c>
      <c r="M48" s="117">
        <v>1536.8091974284523</v>
      </c>
    </row>
    <row r="49" spans="1:13" x14ac:dyDescent="0.4">
      <c r="A49" s="21" t="s">
        <v>179</v>
      </c>
      <c r="B49" s="97">
        <v>1</v>
      </c>
      <c r="C49" s="9">
        <f t="shared" si="3"/>
        <v>8.0645161290322578E-3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164.7</v>
      </c>
      <c r="M49" s="117">
        <v>1536.9363422438817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140.69999999999999</v>
      </c>
      <c r="M50" s="117">
        <v>1532.9527241904184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49</v>
      </c>
      <c r="C2" s="142"/>
      <c r="E2" s="26" t="s">
        <v>66</v>
      </c>
      <c r="F2" s="23" t="s">
        <v>22</v>
      </c>
      <c r="G2" s="11">
        <v>105</v>
      </c>
      <c r="H2" s="87">
        <f>IF(B$20=0,0,G2/B$20)</f>
        <v>0.74468085106382975</v>
      </c>
      <c r="I2" s="57">
        <v>9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-334.69387755102042</v>
      </c>
      <c r="Q2" s="76">
        <v>49</v>
      </c>
      <c r="R2" s="63">
        <v>-16400</v>
      </c>
    </row>
    <row r="3" spans="1:18" x14ac:dyDescent="0.4">
      <c r="A3" s="19" t="s">
        <v>8</v>
      </c>
      <c r="B3" s="143">
        <v>422</v>
      </c>
      <c r="C3" s="144"/>
      <c r="E3" s="27" t="s">
        <v>72</v>
      </c>
      <c r="F3" s="24" t="s">
        <v>27</v>
      </c>
      <c r="G3" s="12">
        <v>89</v>
      </c>
      <c r="H3" s="88">
        <f>IF(B$20=0,0,G3/B$20)</f>
        <v>0.63120567375886527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676.08695652173913</v>
      </c>
      <c r="Q3" s="77">
        <v>46</v>
      </c>
      <c r="R3" s="64">
        <v>31100</v>
      </c>
    </row>
    <row r="4" spans="1:18" x14ac:dyDescent="0.4">
      <c r="A4" s="19" t="s">
        <v>6</v>
      </c>
      <c r="B4" s="145">
        <v>248.19999999999993</v>
      </c>
      <c r="C4" s="146"/>
      <c r="E4" s="27" t="s">
        <v>159</v>
      </c>
      <c r="F4" s="24" t="s">
        <v>160</v>
      </c>
      <c r="G4" s="12">
        <v>67</v>
      </c>
      <c r="H4" s="88">
        <f>IF(B$20=0,0,G4/B$20)</f>
        <v>0.47517730496453903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985.10638297872345</v>
      </c>
      <c r="Q4" s="77">
        <v>47</v>
      </c>
      <c r="R4" s="64">
        <v>46300</v>
      </c>
    </row>
    <row r="5" spans="1:18" x14ac:dyDescent="0.4">
      <c r="A5" s="19" t="s">
        <v>7</v>
      </c>
      <c r="B5" s="133">
        <f>IF(B$2=0,0,B$4/B$2)</f>
        <v>5.0653061224489786</v>
      </c>
      <c r="C5" s="134"/>
      <c r="E5" s="27" t="s">
        <v>64</v>
      </c>
      <c r="F5" s="24" t="s">
        <v>20</v>
      </c>
      <c r="G5" s="12">
        <v>45</v>
      </c>
      <c r="H5" s="88">
        <f>IF(B$20=0,0,G5/B$20)</f>
        <v>0.31914893617021278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2222.7272727272725</v>
      </c>
      <c r="Q5" s="77">
        <v>44</v>
      </c>
      <c r="R5" s="64">
        <v>97800</v>
      </c>
    </row>
    <row r="6" spans="1:18" x14ac:dyDescent="0.4">
      <c r="A6" s="19" t="s">
        <v>196</v>
      </c>
      <c r="B6" s="137">
        <v>1578.1244171430706</v>
      </c>
      <c r="C6" s="138"/>
      <c r="E6" s="27" t="s">
        <v>68</v>
      </c>
      <c r="F6" s="24" t="s">
        <v>12</v>
      </c>
      <c r="G6" s="12">
        <v>34</v>
      </c>
      <c r="H6" s="88">
        <f>IF(B$20=0,0,G6/B$20)</f>
        <v>0.24113475177304963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163.41463414634146</v>
      </c>
      <c r="Q6" s="77">
        <v>41</v>
      </c>
      <c r="R6" s="64">
        <v>6700</v>
      </c>
    </row>
    <row r="7" spans="1:18" x14ac:dyDescent="0.4">
      <c r="A7" s="19" t="s">
        <v>1</v>
      </c>
      <c r="B7" s="147">
        <f>IF(B$2=0,0,(B$8*1+B$9*2+B$10*3)/B$2)</f>
        <v>1.8367346938775511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0.1276595744680851</v>
      </c>
      <c r="I7" s="58">
        <v>11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-57.575757575757578</v>
      </c>
      <c r="Q7" s="78">
        <v>33</v>
      </c>
      <c r="R7" s="65">
        <v>-1900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0.40816326530612246</v>
      </c>
      <c r="E8" s="27" t="s">
        <v>70</v>
      </c>
      <c r="F8" s="24" t="s">
        <v>25</v>
      </c>
      <c r="G8" s="12">
        <v>18</v>
      </c>
      <c r="H8" s="88">
        <f>IF(B$20=0,0,G8/B$20)</f>
        <v>0.1276595744680851</v>
      </c>
      <c r="I8" s="58">
        <v>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0.34693877551020408</v>
      </c>
      <c r="E9" s="27" t="s">
        <v>89</v>
      </c>
      <c r="F9" s="24" t="s">
        <v>44</v>
      </c>
      <c r="G9" s="12">
        <v>18</v>
      </c>
      <c r="H9" s="88">
        <f>IF(B$20=0,0,G9/B$20)</f>
        <v>0.1276595744680851</v>
      </c>
      <c r="I9" s="58">
        <v>7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0.24489795918367346</v>
      </c>
      <c r="E10" s="27" t="s">
        <v>71</v>
      </c>
      <c r="F10" s="24" t="s">
        <v>26</v>
      </c>
      <c r="G10" s="12">
        <v>15</v>
      </c>
      <c r="H10" s="88">
        <f>IF(B$20=0,0,G10/B$20)</f>
        <v>0.10638297872340426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36.200000000000003</v>
      </c>
      <c r="C11" s="110">
        <v>724</v>
      </c>
      <c r="E11" s="27" t="s">
        <v>69</v>
      </c>
      <c r="F11" s="24" t="s">
        <v>24</v>
      </c>
      <c r="G11" s="12">
        <v>13</v>
      </c>
      <c r="H11" s="88">
        <f>IF(B$20=0,0,G11/B$20)</f>
        <v>9.2198581560283682E-2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-3.8117647058823527</v>
      </c>
      <c r="C12" s="110">
        <v>-64.8</v>
      </c>
      <c r="E12" s="27" t="s">
        <v>65</v>
      </c>
      <c r="F12" s="24" t="s">
        <v>21</v>
      </c>
      <c r="G12" s="12">
        <v>5</v>
      </c>
      <c r="H12" s="88">
        <f>IF(B$20=0,0,G12/B$20)</f>
        <v>3.5460992907801421E-2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0.16428571428571384</v>
      </c>
      <c r="Q12" s="78">
        <v>14</v>
      </c>
      <c r="R12" s="69">
        <v>2.2999999999999936</v>
      </c>
    </row>
    <row r="13" spans="1:18" x14ac:dyDescent="0.4">
      <c r="A13" s="20" t="s">
        <v>186</v>
      </c>
      <c r="B13" s="109">
        <f>IF(B10=0,0,C13/B10)</f>
        <v>-34.25</v>
      </c>
      <c r="C13" s="110">
        <v>-411</v>
      </c>
      <c r="E13" s="27" t="s">
        <v>86</v>
      </c>
      <c r="F13" s="24" t="s">
        <v>41</v>
      </c>
      <c r="G13" s="12">
        <v>5</v>
      </c>
      <c r="H13" s="88">
        <f>IF(B$20=0,0,G13/B$20)</f>
        <v>3.5460992907801421E-2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-0.62058823529411689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2.8368794326241134E-2</v>
      </c>
      <c r="I14" s="58">
        <v>8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8.1632653061224483E-2</v>
      </c>
      <c r="E15" s="27" t="s">
        <v>79</v>
      </c>
      <c r="F15" s="24" t="s">
        <v>34</v>
      </c>
      <c r="G15" s="12">
        <v>3</v>
      </c>
      <c r="H15" s="88">
        <f>IF(B$20=0,0,G15/B$20)</f>
        <v>2.1276595744680851E-2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3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85</v>
      </c>
      <c r="C16" s="10">
        <f>IF(B$3=0,0,B16/B$3)</f>
        <v>0.2014218009478673</v>
      </c>
      <c r="E16" s="27" t="s">
        <v>81</v>
      </c>
      <c r="F16" s="24" t="s">
        <v>36</v>
      </c>
      <c r="G16" s="12">
        <v>3</v>
      </c>
      <c r="H16" s="88">
        <f>IF(B$20=0,0,G16/B$20)</f>
        <v>2.1276595744680851E-2</v>
      </c>
      <c r="I16" s="58">
        <v>11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116</v>
      </c>
      <c r="C17" s="6">
        <f>IF(B$3=0,0,B17/B$3)</f>
        <v>0.27488151658767773</v>
      </c>
      <c r="E17" s="27" t="s">
        <v>83</v>
      </c>
      <c r="F17" s="24" t="s">
        <v>38</v>
      </c>
      <c r="G17" s="12">
        <v>3</v>
      </c>
      <c r="H17" s="88">
        <f>IF(B$20=0,0,G17/B$20)</f>
        <v>2.1276595744680851E-2</v>
      </c>
      <c r="I17" s="58">
        <v>10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 t="shared" si="2"/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45</v>
      </c>
      <c r="C18" s="5">
        <f>IF(B$16=0,0,B18/B$16)</f>
        <v>0.52941176470588236</v>
      </c>
      <c r="E18" s="27" t="s">
        <v>73</v>
      </c>
      <c r="F18" s="24" t="s">
        <v>28</v>
      </c>
      <c r="G18" s="12">
        <v>1</v>
      </c>
      <c r="H18" s="88">
        <f>IF(B$20=0,0,G18/B$20)</f>
        <v>7.0921985815602835E-3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48</v>
      </c>
      <c r="C19" s="5">
        <f>IF(B$17=0,0,B19/B$17)</f>
        <v>0.41379310344827586</v>
      </c>
      <c r="E19" s="27" t="s">
        <v>88</v>
      </c>
      <c r="F19" s="24" t="s">
        <v>43</v>
      </c>
      <c r="G19" s="12">
        <v>1</v>
      </c>
      <c r="H19" s="88">
        <f>IF(B$20=0,0,G19/B$20)</f>
        <v>7.0921985815602835E-3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 t="shared" si="2"/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141</v>
      </c>
      <c r="C20" s="5">
        <f>IF(B$3=0,0,B20/B$3)</f>
        <v>0.33412322274881517</v>
      </c>
      <c r="E20" s="27" t="s">
        <v>92</v>
      </c>
      <c r="F20" s="24" t="s">
        <v>47</v>
      </c>
      <c r="G20" s="12">
        <v>1</v>
      </c>
      <c r="H20" s="88">
        <f>IF(B$20=0,0,G20/B$20)</f>
        <v>7.0921985815602835E-3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49</v>
      </c>
      <c r="C21" s="6">
        <f>IF(B$3=0,0,B21/B$3)</f>
        <v>0.11611374407582939</v>
      </c>
      <c r="E21" s="27" t="s">
        <v>102</v>
      </c>
      <c r="F21" s="24" t="s">
        <v>57</v>
      </c>
      <c r="G21" s="12">
        <v>1</v>
      </c>
      <c r="H21" s="88">
        <f>IF(B$20=0,0,G21/B$20)</f>
        <v>7.0921985815602835E-3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 t="shared" si="2"/>
        <v>3.7341463414634126</v>
      </c>
      <c r="Q21" s="77">
        <v>41</v>
      </c>
      <c r="R21" s="68">
        <v>153.09999999999991</v>
      </c>
    </row>
    <row r="22" spans="1:18" x14ac:dyDescent="0.4">
      <c r="A22" s="19" t="s">
        <v>12</v>
      </c>
      <c r="B22" s="12">
        <v>56</v>
      </c>
      <c r="C22" s="6">
        <f>IF(B$20=0,0,B22/B$20)</f>
        <v>0.3971631205673759</v>
      </c>
      <c r="E22" s="27" t="s">
        <v>155</v>
      </c>
      <c r="F22" s="24" t="s">
        <v>156</v>
      </c>
      <c r="G22" s="12">
        <v>1</v>
      </c>
      <c r="H22" s="88">
        <f>IF(B$20=0,0,G22/B$20)</f>
        <v>7.0921985815602835E-3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 t="shared" si="2"/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85</v>
      </c>
      <c r="C23" s="6">
        <f>IF(B$20=0,0,B23/B$20)</f>
        <v>0.6028368794326241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 t="shared" si="2"/>
        <v>-25.683333333333334</v>
      </c>
      <c r="Q23" s="77">
        <v>6</v>
      </c>
      <c r="R23" s="68">
        <v>-154.1</v>
      </c>
    </row>
    <row r="24" spans="1:18" x14ac:dyDescent="0.4">
      <c r="A24" s="19" t="s">
        <v>183</v>
      </c>
      <c r="B24" s="12">
        <v>45</v>
      </c>
      <c r="C24" s="6">
        <f>IF(B$20=0,0,B24/B$20)</f>
        <v>0.31914893617021278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48</v>
      </c>
      <c r="C25" s="6">
        <f>IF(B$20=0,0,B25/B$20)</f>
        <v>0.34042553191489361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48</v>
      </c>
      <c r="C26" s="6">
        <f>IF(B$20=0,0,B26/B$20)</f>
        <v>0.34042553191489361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7300</v>
      </c>
      <c r="C27" s="8">
        <v>1029300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8174.1935483870966</v>
      </c>
      <c r="C28" s="96">
        <v>760200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5606.25</v>
      </c>
      <c r="C29" s="96">
        <v>269100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-7693.8775510204077</v>
      </c>
      <c r="C30" s="96">
        <v>-377000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13</v>
      </c>
      <c r="C37" s="98">
        <f t="shared" ref="C37:C49" si="3">IF(B$20=0,0,B37/B$20)</f>
        <v>9.2198581560283682E-2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3"/>
        <v>0.25531914893617019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32</v>
      </c>
      <c r="C39" s="6">
        <f t="shared" si="3"/>
        <v>0.22695035460992907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0.14184397163120568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21</v>
      </c>
      <c r="C41" s="6">
        <f t="shared" si="3"/>
        <v>0.14893617021276595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2.8368794326241134E-2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5.6737588652482268E-2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1.4184397163120567E-2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3"/>
        <v>1.4184397163120567E-2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7.0921985815602835E-3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3"/>
        <v>1.4184397163120567E-2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19</v>
      </c>
      <c r="C2" s="142"/>
      <c r="E2" s="26" t="s">
        <v>66</v>
      </c>
      <c r="F2" s="23" t="s">
        <v>22</v>
      </c>
      <c r="G2" s="11">
        <v>21</v>
      </c>
      <c r="H2" s="87">
        <f>IF(B$20=0,0,G2/B$20)</f>
        <v>0.61764705882352944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144</v>
      </c>
      <c r="C3" s="144"/>
      <c r="E3" s="27" t="s">
        <v>72</v>
      </c>
      <c r="F3" s="24" t="s">
        <v>27</v>
      </c>
      <c r="G3" s="12">
        <v>17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-108.30000000000001</v>
      </c>
      <c r="C4" s="146"/>
      <c r="E4" s="27" t="s">
        <v>64</v>
      </c>
      <c r="F4" s="24" t="s">
        <v>20</v>
      </c>
      <c r="G4" s="12">
        <v>15</v>
      </c>
      <c r="H4" s="88">
        <f>IF(B$20=0,0,G4/B$20)</f>
        <v>0.44117647058823528</v>
      </c>
      <c r="I4" s="58">
        <v>6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-5.7</v>
      </c>
      <c r="C5" s="134"/>
      <c r="E5" s="27" t="s">
        <v>159</v>
      </c>
      <c r="F5" s="24" t="s">
        <v>160</v>
      </c>
      <c r="G5" s="12">
        <v>14</v>
      </c>
      <c r="H5" s="88">
        <f>IF(B$20=0,0,G5/B$20)</f>
        <v>0.41176470588235292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1488.9447185272431</v>
      </c>
      <c r="C6" s="138"/>
      <c r="E6" s="27" t="s">
        <v>68</v>
      </c>
      <c r="F6" s="24" t="s">
        <v>12</v>
      </c>
      <c r="G6" s="12">
        <v>11</v>
      </c>
      <c r="H6" s="88">
        <f>IF(B$20=0,0,G6/B$20)</f>
        <v>0.3235294117647059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2.1578947368421053</v>
      </c>
      <c r="C7" s="148"/>
      <c r="E7" s="27" t="s">
        <v>89</v>
      </c>
      <c r="F7" s="24" t="s">
        <v>44</v>
      </c>
      <c r="G7" s="12">
        <v>7</v>
      </c>
      <c r="H7" s="88">
        <f>IF(B$20=0,0,G7/B$20)</f>
        <v>0.20588235294117646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65</v>
      </c>
      <c r="F8" s="24" t="s">
        <v>21</v>
      </c>
      <c r="G8" s="12">
        <v>6</v>
      </c>
      <c r="H8" s="88">
        <f>IF(B$20=0,0,G8/B$20)</f>
        <v>0.17647058823529413</v>
      </c>
      <c r="I8" s="58">
        <v>1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0.31578947368421051</v>
      </c>
      <c r="E9" s="27" t="s">
        <v>67</v>
      </c>
      <c r="F9" s="24" t="s">
        <v>23</v>
      </c>
      <c r="G9" s="12">
        <v>4</v>
      </c>
      <c r="H9" s="88">
        <f>IF(B$20=0,0,G9/B$20)</f>
        <v>0.11764705882352941</v>
      </c>
      <c r="I9" s="58">
        <v>12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0.11764705882352941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-1.414285714285713</v>
      </c>
      <c r="Q10" s="76">
        <v>7</v>
      </c>
      <c r="R10" s="67">
        <v>-9.8999999999999915</v>
      </c>
    </row>
    <row r="11" spans="1:18" x14ac:dyDescent="0.4">
      <c r="A11" s="20" t="s">
        <v>184</v>
      </c>
      <c r="B11" s="109">
        <f>IF(B8=0,0,C11/B8)</f>
        <v>45.5</v>
      </c>
      <c r="C11" s="110">
        <v>227.5</v>
      </c>
      <c r="E11" s="27" t="s">
        <v>71</v>
      </c>
      <c r="F11" s="24" t="s">
        <v>26</v>
      </c>
      <c r="G11" s="12">
        <v>3</v>
      </c>
      <c r="H11" s="88">
        <f>IF(B$20=0,0,G11/B$20)</f>
        <v>8.8235294117647065E-2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86</v>
      </c>
      <c r="F12" s="24" t="s">
        <v>41</v>
      </c>
      <c r="G12" s="12">
        <v>3</v>
      </c>
      <c r="H12" s="88">
        <f>IF(B$20=0,0,G12/B$20)</f>
        <v>8.8235294117647065E-2</v>
      </c>
      <c r="I12" s="58">
        <v>2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69</v>
      </c>
      <c r="F13" s="24" t="s">
        <v>24</v>
      </c>
      <c r="G13" s="12">
        <v>2</v>
      </c>
      <c r="H13" s="88">
        <f>IF(B$20=0,0,G13/B$20)</f>
        <v>5.8823529411764705E-2</v>
      </c>
      <c r="I13" s="58">
        <v>10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0.89583333333333337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5.8823529411764705E-2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81</v>
      </c>
      <c r="F15" s="24" t="s">
        <v>36</v>
      </c>
      <c r="G15" s="12">
        <v>2</v>
      </c>
      <c r="H15" s="88">
        <f>IF(B$20=0,0,G15/B$20)</f>
        <v>5.8823529411764705E-2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34</v>
      </c>
      <c r="C16" s="10">
        <f>IF(B$3=0,0,B16/B$3)</f>
        <v>0.2361111111111111</v>
      </c>
      <c r="E16" s="27" t="s">
        <v>85</v>
      </c>
      <c r="F16" s="24" t="s">
        <v>40</v>
      </c>
      <c r="G16" s="12">
        <v>1</v>
      </c>
      <c r="H16" s="88">
        <f>IF(B$20=0,0,G16/B$20)</f>
        <v>2.9411764705882353E-2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0.10909090909090935</v>
      </c>
      <c r="Q16" s="77">
        <v>11</v>
      </c>
      <c r="R16" s="68">
        <v>1.2000000000000028</v>
      </c>
    </row>
    <row r="17" spans="1:18" x14ac:dyDescent="0.4">
      <c r="A17" s="19" t="s">
        <v>118</v>
      </c>
      <c r="B17" s="12">
        <v>25</v>
      </c>
      <c r="C17" s="6">
        <f>IF(B$3=0,0,B17/B$3)</f>
        <v>0.1736111111111111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-8.4214285714285744</v>
      </c>
      <c r="Q17" s="77">
        <v>14</v>
      </c>
      <c r="R17" s="68">
        <v>-117.90000000000003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0.47058823529411764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0.32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34</v>
      </c>
      <c r="C20" s="5">
        <f>IF(B$3=0,0,B20/B$3)</f>
        <v>0.2361111111111111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0.2013888888888889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  <c r="K21" s="74">
        <v>19</v>
      </c>
      <c r="L21" s="119">
        <v>-108.30000000000001</v>
      </c>
      <c r="M21" s="117">
        <v>1488.9447185272431</v>
      </c>
    </row>
    <row r="22" spans="1:18" x14ac:dyDescent="0.4">
      <c r="A22" s="19" t="s">
        <v>12</v>
      </c>
      <c r="B22" s="12">
        <v>16</v>
      </c>
      <c r="C22" s="6">
        <f>IF(B$20=0,0,B22/B$20)</f>
        <v>0.47058823529411764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18</v>
      </c>
      <c r="C23" s="6">
        <f>IF(B$20=0,0,B23/B$20)</f>
        <v>0.52941176470588236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16</v>
      </c>
      <c r="C24" s="6">
        <f>IF(B$20=0,0,B24/B$20)</f>
        <v>0.47058823529411764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0.23529411764705882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10</v>
      </c>
      <c r="C26" s="6">
        <f>IF(B$20=0,0,B26/B$20)</f>
        <v>0.29411764705882354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7926.4705882352937</v>
      </c>
      <c r="C27" s="8">
        <v>269500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8815.3846153846152</v>
      </c>
      <c r="C28" s="96">
        <v>229200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5037.5</v>
      </c>
      <c r="C29" s="96">
        <v>40300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97000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0.17647058823529413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2</v>
      </c>
      <c r="C39" s="6">
        <f t="shared" si="3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3"/>
        <v>0.20588235294117646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0.17647058823529413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14</v>
      </c>
      <c r="C2" s="142"/>
      <c r="E2" s="26" t="s">
        <v>66</v>
      </c>
      <c r="F2" s="23" t="s">
        <v>22</v>
      </c>
      <c r="G2" s="11">
        <v>28</v>
      </c>
      <c r="H2" s="87">
        <f>IF(B$20=0,0,G2/B$20)</f>
        <v>0.90322580645161288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-2878.5714285714284</v>
      </c>
      <c r="Q2" s="76">
        <v>14</v>
      </c>
      <c r="R2" s="63">
        <v>-40300</v>
      </c>
    </row>
    <row r="3" spans="1:18" x14ac:dyDescent="0.4">
      <c r="A3" s="19" t="s">
        <v>8</v>
      </c>
      <c r="B3" s="143">
        <v>121</v>
      </c>
      <c r="C3" s="144"/>
      <c r="E3" s="27" t="s">
        <v>159</v>
      </c>
      <c r="F3" s="24" t="s">
        <v>160</v>
      </c>
      <c r="G3" s="12">
        <v>22</v>
      </c>
      <c r="H3" s="88">
        <f>IF(B$20=0,0,G3/B$20)</f>
        <v>0.70967741935483875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4084.6153846153848</v>
      </c>
      <c r="Q3" s="77">
        <v>13</v>
      </c>
      <c r="R3" s="64">
        <v>53100</v>
      </c>
    </row>
    <row r="4" spans="1:18" x14ac:dyDescent="0.4">
      <c r="A4" s="19" t="s">
        <v>6</v>
      </c>
      <c r="B4" s="145">
        <v>-72.599999999999994</v>
      </c>
      <c r="C4" s="146"/>
      <c r="E4" s="27" t="s">
        <v>64</v>
      </c>
      <c r="F4" s="24" t="s">
        <v>20</v>
      </c>
      <c r="G4" s="12">
        <v>17</v>
      </c>
      <c r="H4" s="88">
        <f>IF(B$20=0,0,G4/B$20)</f>
        <v>0.54838709677419351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642.85714285714289</v>
      </c>
      <c r="Q4" s="77">
        <v>14</v>
      </c>
      <c r="R4" s="64">
        <v>9000</v>
      </c>
    </row>
    <row r="5" spans="1:18" x14ac:dyDescent="0.4">
      <c r="A5" s="19" t="s">
        <v>7</v>
      </c>
      <c r="B5" s="133">
        <f>IF(B$2=0,0,B$4/B$2)</f>
        <v>-5.1857142857142851</v>
      </c>
      <c r="C5" s="134"/>
      <c r="E5" s="27" t="s">
        <v>68</v>
      </c>
      <c r="F5" s="24" t="s">
        <v>12</v>
      </c>
      <c r="G5" s="12">
        <v>15</v>
      </c>
      <c r="H5" s="88">
        <f>IF(B$20=0,0,G5/B$20)</f>
        <v>0.4838709677419355</v>
      </c>
      <c r="I5" s="58">
        <v>3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-3464.2857142857142</v>
      </c>
      <c r="Q5" s="77">
        <v>14</v>
      </c>
      <c r="R5" s="64">
        <v>-48500</v>
      </c>
    </row>
    <row r="6" spans="1:18" x14ac:dyDescent="0.4">
      <c r="A6" s="19" t="s">
        <v>196</v>
      </c>
      <c r="B6" s="137">
        <v>1392.4879372401474</v>
      </c>
      <c r="C6" s="138"/>
      <c r="E6" s="27" t="s">
        <v>72</v>
      </c>
      <c r="F6" s="24" t="s">
        <v>27</v>
      </c>
      <c r="G6" s="12">
        <v>15</v>
      </c>
      <c r="H6" s="88">
        <f>IF(B$20=0,0,G6/B$20)</f>
        <v>0.4838709677419355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-1953.8461538461538</v>
      </c>
      <c r="Q6" s="77">
        <v>13</v>
      </c>
      <c r="R6" s="64">
        <v>-25400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9</v>
      </c>
      <c r="H7" s="88">
        <f>IF(B$20=0,0,G7/B$20)</f>
        <v>0.29032258064516131</v>
      </c>
      <c r="I7" s="58">
        <v>3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-708.33333333333337</v>
      </c>
      <c r="Q7" s="78">
        <v>12</v>
      </c>
      <c r="R7" s="65">
        <v>-8500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0.42857142857142855</v>
      </c>
      <c r="E8" s="27" t="s">
        <v>69</v>
      </c>
      <c r="F8" s="24" t="s">
        <v>24</v>
      </c>
      <c r="G8" s="12">
        <v>9</v>
      </c>
      <c r="H8" s="88">
        <f>IF(B$20=0,0,G8/B$20)</f>
        <v>0.29032258064516131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0.14285714285714285</v>
      </c>
      <c r="E9" s="27" t="s">
        <v>65</v>
      </c>
      <c r="F9" s="24" t="s">
        <v>21</v>
      </c>
      <c r="G9" s="12">
        <v>4</v>
      </c>
      <c r="H9" s="88">
        <f>IF(B$20=0,0,G9/B$20)</f>
        <v>0.12903225806451613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9.6774193548387094E-2</v>
      </c>
      <c r="I10" s="58">
        <v>5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89</v>
      </c>
      <c r="F11" s="24" t="s">
        <v>44</v>
      </c>
      <c r="G11" s="12">
        <v>2</v>
      </c>
      <c r="H11" s="88">
        <f>IF(B$20=0,0,G11/B$20)</f>
        <v>6.4516129032258063E-2</v>
      </c>
      <c r="I11" s="58">
        <v>11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-5.3</v>
      </c>
      <c r="Q11" s="77">
        <v>5</v>
      </c>
      <c r="R11" s="68">
        <v>-26.5</v>
      </c>
    </row>
    <row r="12" spans="1:18" x14ac:dyDescent="0.4">
      <c r="A12" s="20" t="s">
        <v>185</v>
      </c>
      <c r="B12" s="109">
        <f>IF(B9=0,0,C12/B9)</f>
        <v>-3</v>
      </c>
      <c r="C12" s="110">
        <v>-6</v>
      </c>
      <c r="E12" s="27" t="s">
        <v>71</v>
      </c>
      <c r="F12" s="24" t="s">
        <v>26</v>
      </c>
      <c r="G12" s="12">
        <v>1</v>
      </c>
      <c r="H12" s="88">
        <f>IF(B$20=0,0,G12/B$20)</f>
        <v>3.2258064516129031E-2</v>
      </c>
      <c r="I12" s="58">
        <v>10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-36.816666666666663</v>
      </c>
      <c r="C13" s="110">
        <v>-220.89999999999998</v>
      </c>
      <c r="E13" s="27" t="s">
        <v>75</v>
      </c>
      <c r="F13" s="24" t="s">
        <v>30</v>
      </c>
      <c r="G13" s="12">
        <v>1</v>
      </c>
      <c r="H13" s="88">
        <f>IF(B$20=0,0,G13/B$20)</f>
        <v>3.2258064516129031E-2</v>
      </c>
      <c r="I13" s="58">
        <v>1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-4.6999999999999993</v>
      </c>
      <c r="C14" s="134"/>
      <c r="E14" s="27" t="s">
        <v>78</v>
      </c>
      <c r="F14" s="24" t="s">
        <v>33</v>
      </c>
      <c r="G14" s="12">
        <v>1</v>
      </c>
      <c r="H14" s="88">
        <f>IF(B$20=0,0,G14/B$20)</f>
        <v>3.2258064516129031E-2</v>
      </c>
      <c r="I14" s="58">
        <v>5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0.14285714285714285</v>
      </c>
      <c r="E15" s="27" t="s">
        <v>81</v>
      </c>
      <c r="F15" s="24" t="s">
        <v>36</v>
      </c>
      <c r="G15" s="12">
        <v>1</v>
      </c>
      <c r="H15" s="88">
        <f>IF(B$20=0,0,G15/B$20)</f>
        <v>3.2258064516129031E-2</v>
      </c>
      <c r="I15" s="58">
        <v>8</v>
      </c>
      <c r="K15" s="74">
        <v>13</v>
      </c>
      <c r="L15" s="119">
        <v>-75.599999999999994</v>
      </c>
      <c r="M15" s="117">
        <v>1390.8671400806311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26</v>
      </c>
      <c r="C16" s="10">
        <f>IF(B$3=0,0,B16/B$3)</f>
        <v>0.21487603305785125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K16" s="74">
        <v>14</v>
      </c>
      <c r="L16" s="119">
        <v>-72.599999999999994</v>
      </c>
      <c r="M16" s="117">
        <v>1392.4879372401474</v>
      </c>
      <c r="O16" s="74" t="s">
        <v>221</v>
      </c>
      <c r="P16" s="83">
        <f t="shared" si="2"/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17</v>
      </c>
      <c r="C17" s="6">
        <f>IF(B$3=0,0,B17/B$3)</f>
        <v>0.14049586776859505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211</v>
      </c>
      <c r="P17" s="83">
        <f t="shared" si="2"/>
        <v>3.0750000000000011</v>
      </c>
      <c r="Q17" s="77">
        <v>4</v>
      </c>
      <c r="R17" s="68">
        <v>12.300000000000004</v>
      </c>
    </row>
    <row r="18" spans="1:18" x14ac:dyDescent="0.4">
      <c r="A18" s="18" t="s">
        <v>123</v>
      </c>
      <c r="B18" s="11">
        <f>B24</f>
        <v>17</v>
      </c>
      <c r="C18" s="5">
        <f>IF(B$16=0,0,B18/B$16)</f>
        <v>0.65384615384615385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 t="shared" si="2"/>
        <v>-2.677777777777778</v>
      </c>
      <c r="Q18" s="77">
        <v>9</v>
      </c>
      <c r="R18" s="68">
        <v>-24.1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0.29411764705882354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190</v>
      </c>
      <c r="P19" s="83">
        <f t="shared" si="2"/>
        <v>-3.9500000000000011</v>
      </c>
      <c r="Q19" s="77">
        <v>4</v>
      </c>
      <c r="R19" s="68">
        <v>-15.800000000000004</v>
      </c>
    </row>
    <row r="20" spans="1:18" x14ac:dyDescent="0.4">
      <c r="A20" s="18" t="s">
        <v>10</v>
      </c>
      <c r="B20" s="11">
        <f>B23+B22</f>
        <v>31</v>
      </c>
      <c r="C20" s="5">
        <f>IF(B$3=0,0,B20/B$3)</f>
        <v>0.256198347107438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21</v>
      </c>
      <c r="C21" s="6">
        <f>IF(B$3=0,0,B21/B$3)</f>
        <v>0.17355371900826447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0.5161290322580645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15</v>
      </c>
      <c r="C23" s="6">
        <f>IF(B$20=0,0,B23/B$20)</f>
        <v>0.4838709677419355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17</v>
      </c>
      <c r="C24" s="6">
        <f>IF(B$20=0,0,B24/B$20)</f>
        <v>0.54838709677419351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0.16129032258064516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9</v>
      </c>
      <c r="C26" s="6">
        <f>IF(B$20=0,0,B26/B$20)</f>
        <v>0.29032258064516131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8954.8387096774186</v>
      </c>
      <c r="C27" s="8">
        <v>277600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9015.3846153846152</v>
      </c>
      <c r="C28" s="96">
        <v>234400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-7990.4761904761908</v>
      </c>
      <c r="C30" s="96">
        <v>-167800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8.2644628099173556E-3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3.2258064516129031E-2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0.12903225806451613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0.16129032258064516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0.29032258064516131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0.16129032258064516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3"/>
        <v>0.12903225806451613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9.6774193548387094E-2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1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2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7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5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4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  <row r="22" spans="1:16" x14ac:dyDescent="0.4">
      <c r="A22" s="33">
        <v>19</v>
      </c>
      <c r="B22" s="30">
        <v>-108.30000000000001</v>
      </c>
      <c r="C22" s="30">
        <v>-5.7</v>
      </c>
      <c r="D22" s="35">
        <v>2.1578947368421053</v>
      </c>
      <c r="E22" s="31">
        <v>0.26315789473684209</v>
      </c>
      <c r="F22" s="31">
        <v>0.42105263157894735</v>
      </c>
      <c r="G22" s="31">
        <v>0.2361111111111111</v>
      </c>
      <c r="H22" s="31">
        <v>0.2013888888888889</v>
      </c>
      <c r="I22" s="32">
        <v>7926.4705882352937</v>
      </c>
      <c r="J22" s="32">
        <v>-7886.2068965517237</v>
      </c>
      <c r="K22" s="31">
        <v>0.10526315789473684</v>
      </c>
      <c r="L22" s="31">
        <v>0.2361111111111111</v>
      </c>
      <c r="M22" s="31">
        <v>0.1736111111111111</v>
      </c>
      <c r="N22" s="31">
        <v>0.47058823529411764</v>
      </c>
      <c r="O22" s="31">
        <v>0.32</v>
      </c>
      <c r="P22" s="31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  <row r="49" spans="1:16" x14ac:dyDescent="0.4">
      <c r="A49" s="33">
        <v>46</v>
      </c>
      <c r="B49" s="30">
        <v>167.6</v>
      </c>
      <c r="C49" s="30">
        <v>3.6434782608695651</v>
      </c>
      <c r="D49" s="35">
        <v>1.9130434782608696</v>
      </c>
      <c r="E49" s="31">
        <v>0.39130434782608697</v>
      </c>
      <c r="F49" s="31">
        <v>0.30434782608695654</v>
      </c>
      <c r="G49" s="31">
        <v>0.30710659898477155</v>
      </c>
      <c r="H49" s="31">
        <v>0.13451776649746192</v>
      </c>
      <c r="I49" s="32">
        <v>7761.9834710743798</v>
      </c>
      <c r="J49" s="32">
        <v>-6656.6037735849059</v>
      </c>
      <c r="K49" s="31">
        <v>4.3478260869565216E-2</v>
      </c>
      <c r="L49" s="31">
        <v>0.21319796954314721</v>
      </c>
      <c r="M49" s="31">
        <v>0.21827411167512689</v>
      </c>
      <c r="N49" s="31">
        <v>0.59523809523809523</v>
      </c>
      <c r="O49" s="31">
        <v>0.48837209302325579</v>
      </c>
      <c r="P49" s="31">
        <v>0.42148760330578511</v>
      </c>
    </row>
    <row r="50" spans="1:16" x14ac:dyDescent="0.4">
      <c r="A50" s="33">
        <v>47</v>
      </c>
      <c r="B50" s="30">
        <v>164.7</v>
      </c>
      <c r="C50" s="30">
        <v>3.5042553191489358</v>
      </c>
      <c r="D50" s="35">
        <v>1.9148936170212767</v>
      </c>
      <c r="E50" s="31">
        <v>0.38297872340425532</v>
      </c>
      <c r="F50" s="31">
        <v>0.2978723404255319</v>
      </c>
      <c r="G50" s="31">
        <v>0.30466830466830469</v>
      </c>
      <c r="H50" s="31">
        <v>0.13759213759213759</v>
      </c>
      <c r="I50" s="32">
        <v>7832.2580645161288</v>
      </c>
      <c r="J50" s="32">
        <v>-6833.9285714285716</v>
      </c>
      <c r="K50" s="31">
        <v>4.2553191489361701E-2</v>
      </c>
      <c r="L50" s="31">
        <v>0.21621621621621623</v>
      </c>
      <c r="M50" s="31">
        <v>0.22604422604422605</v>
      </c>
      <c r="N50" s="31">
        <v>0.60227272727272729</v>
      </c>
      <c r="O50" s="31">
        <v>0.45652173913043476</v>
      </c>
      <c r="P50" s="31">
        <v>0.41129032258064518</v>
      </c>
    </row>
    <row r="51" spans="1:16" x14ac:dyDescent="0.4">
      <c r="A51" s="33">
        <v>48</v>
      </c>
      <c r="B51" s="30">
        <v>140.69999999999999</v>
      </c>
      <c r="C51" s="30">
        <v>2.9312499999999999</v>
      </c>
      <c r="D51" s="35">
        <v>1.9166666666666667</v>
      </c>
      <c r="E51" s="31">
        <v>0.375</v>
      </c>
      <c r="F51" s="31">
        <v>0.29166666666666669</v>
      </c>
      <c r="G51" s="31">
        <v>0.30170316301703165</v>
      </c>
      <c r="H51" s="31">
        <v>0.13625304136253041</v>
      </c>
      <c r="I51" s="32">
        <v>7832.2580645161288</v>
      </c>
      <c r="J51" s="32">
        <v>-6833.9285714285716</v>
      </c>
      <c r="K51" s="31">
        <v>4.1666666666666664E-2</v>
      </c>
      <c r="L51" s="31">
        <v>0.21654501216545013</v>
      </c>
      <c r="M51" s="31">
        <v>0.22384428223844283</v>
      </c>
      <c r="N51" s="31">
        <v>0.5955056179775281</v>
      </c>
      <c r="O51" s="31">
        <v>0.45652173913043476</v>
      </c>
      <c r="P51" s="31">
        <v>0.41129032258064518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  <row r="40" spans="1:16" x14ac:dyDescent="0.4">
      <c r="A40" s="33">
        <v>37</v>
      </c>
      <c r="B40" s="30">
        <v>58.499999999999957</v>
      </c>
      <c r="C40" s="30">
        <v>1.58108108108108</v>
      </c>
      <c r="D40" s="35">
        <v>1.8918918918918919</v>
      </c>
      <c r="E40" s="31">
        <v>0.29729729729729731</v>
      </c>
      <c r="F40" s="31">
        <v>0.1891891891891892</v>
      </c>
      <c r="G40" s="31">
        <v>0.26479750778816197</v>
      </c>
      <c r="H40" s="31">
        <v>0.1059190031152648</v>
      </c>
      <c r="I40" s="32">
        <v>8091.7647058823532</v>
      </c>
      <c r="J40" s="32">
        <v>-6517.6470588235297</v>
      </c>
      <c r="K40" s="31">
        <v>5.4054054054054057E-2</v>
      </c>
      <c r="L40" s="31">
        <v>0.26168224299065418</v>
      </c>
      <c r="M40" s="31">
        <v>0.19626168224299065</v>
      </c>
      <c r="N40" s="31">
        <v>0.51190476190476186</v>
      </c>
      <c r="O40" s="31">
        <v>0.36507936507936506</v>
      </c>
      <c r="P40" s="31">
        <v>0.31764705882352939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  <row r="49" spans="1:16" x14ac:dyDescent="0.4">
      <c r="A49" s="33">
        <v>46</v>
      </c>
      <c r="B49" s="30">
        <v>-94.6</v>
      </c>
      <c r="C49" s="30">
        <v>-2.0565217391304347</v>
      </c>
      <c r="D49" s="35">
        <v>2.0652173913043477</v>
      </c>
      <c r="E49" s="31">
        <v>0.34782608695652173</v>
      </c>
      <c r="F49" s="31">
        <v>0.41304347826086957</v>
      </c>
      <c r="G49" s="31">
        <v>0.29975429975429974</v>
      </c>
      <c r="H49" s="31">
        <v>0.16216216216216217</v>
      </c>
      <c r="I49" s="32">
        <v>7454.9180327868853</v>
      </c>
      <c r="J49" s="32">
        <v>-8572.7272727272721</v>
      </c>
      <c r="K49" s="31">
        <v>8.6956521739130432E-2</v>
      </c>
      <c r="L49" s="31">
        <v>0.26044226044226043</v>
      </c>
      <c r="M49" s="31">
        <v>0.29975429975429974</v>
      </c>
      <c r="N49" s="31">
        <v>0.44339622641509435</v>
      </c>
      <c r="O49" s="31">
        <v>0.41803278688524592</v>
      </c>
      <c r="P49" s="31">
        <v>0.46721311475409838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7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  <row r="76" spans="1:16" x14ac:dyDescent="0.4">
      <c r="A76" s="33">
        <v>73</v>
      </c>
      <c r="B76" s="30">
        <v>-121.19999999999999</v>
      </c>
      <c r="C76" s="30">
        <v>-1.6602739726027396</v>
      </c>
      <c r="D76" s="35">
        <v>2.0136986301369864</v>
      </c>
      <c r="E76" s="31">
        <v>0.32876712328767121</v>
      </c>
      <c r="F76" s="31">
        <v>0.34246575342465752</v>
      </c>
      <c r="G76" s="31">
        <v>0.265625</v>
      </c>
      <c r="H76" s="31">
        <v>0.19218750000000001</v>
      </c>
      <c r="I76" s="32">
        <v>9378.2352941176468</v>
      </c>
      <c r="J76" s="32">
        <v>-7963.4146341463411</v>
      </c>
      <c r="K76" s="31">
        <v>0.13698630136986301</v>
      </c>
      <c r="L76" s="31">
        <v>0.28437499999999999</v>
      </c>
      <c r="M76" s="31">
        <v>0.22343750000000001</v>
      </c>
      <c r="N76" s="31">
        <v>0.46703296703296704</v>
      </c>
      <c r="O76" s="31">
        <v>0.34265734265734266</v>
      </c>
      <c r="P76" s="31">
        <v>0.46470588235294119</v>
      </c>
    </row>
    <row r="77" spans="1:16" x14ac:dyDescent="0.4">
      <c r="A77" s="33">
        <v>74</v>
      </c>
      <c r="B77" s="30">
        <v>-96.299999999999983</v>
      </c>
      <c r="C77" s="30">
        <v>-1.301351351351351</v>
      </c>
      <c r="D77" s="35">
        <v>2</v>
      </c>
      <c r="E77" s="31">
        <v>0.33783783783783783</v>
      </c>
      <c r="F77" s="31">
        <v>0.33783783783783783</v>
      </c>
      <c r="G77" s="31">
        <v>0.26493108728943338</v>
      </c>
      <c r="H77" s="31">
        <v>0.19295558958652373</v>
      </c>
      <c r="I77" s="32">
        <v>9475.7225433526019</v>
      </c>
      <c r="J77" s="32">
        <v>-7925.3968253968251</v>
      </c>
      <c r="K77" s="31">
        <v>0.13513513513513514</v>
      </c>
      <c r="L77" s="31">
        <v>0.28330781010719758</v>
      </c>
      <c r="M77" s="31">
        <v>0.22511485451761101</v>
      </c>
      <c r="N77" s="31">
        <v>0.4702702702702703</v>
      </c>
      <c r="O77" s="31">
        <v>0.3401360544217687</v>
      </c>
      <c r="P77" s="31">
        <v>0.46242774566473988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1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  <row r="115" spans="1:16" x14ac:dyDescent="0.4">
      <c r="A115" s="33">
        <v>112</v>
      </c>
      <c r="B115" s="30">
        <v>256.69999999999987</v>
      </c>
      <c r="C115" s="30">
        <v>2.2919642857142848</v>
      </c>
      <c r="D115" s="35">
        <v>1.9910714285714286</v>
      </c>
      <c r="E115" s="31">
        <v>0.3392857142857143</v>
      </c>
      <c r="F115" s="31">
        <v>0.33035714285714285</v>
      </c>
      <c r="G115" s="31">
        <v>0.32340425531914896</v>
      </c>
      <c r="H115" s="31">
        <v>0.17553191489361702</v>
      </c>
      <c r="I115" s="32">
        <v>8207.2368421052633</v>
      </c>
      <c r="J115" s="32">
        <v>-7262.424242424242</v>
      </c>
      <c r="K115" s="31">
        <v>7.1428571428571425E-2</v>
      </c>
      <c r="L115" s="31">
        <v>0.24361702127659574</v>
      </c>
      <c r="M115" s="31">
        <v>0.21063829787234042</v>
      </c>
      <c r="N115" s="31">
        <v>0.58078602620087338</v>
      </c>
      <c r="O115" s="31">
        <v>0.45454545454545453</v>
      </c>
      <c r="P115" s="31">
        <v>0.46710526315789475</v>
      </c>
    </row>
    <row r="116" spans="1:16" x14ac:dyDescent="0.4">
      <c r="A116" s="33">
        <v>113</v>
      </c>
      <c r="B116" s="30">
        <v>234.69999999999987</v>
      </c>
      <c r="C116" s="30">
        <v>2.0769911504424767</v>
      </c>
      <c r="D116" s="35">
        <v>2</v>
      </c>
      <c r="E116" s="31">
        <v>0.33628318584070799</v>
      </c>
      <c r="F116" s="31">
        <v>0.33628318584070799</v>
      </c>
      <c r="G116" s="31">
        <v>0.32528856243441762</v>
      </c>
      <c r="H116" s="31">
        <v>0.17628541448058763</v>
      </c>
      <c r="I116" s="32">
        <v>8141.9354838709678</v>
      </c>
      <c r="J116" s="32">
        <v>-7358.9285714285716</v>
      </c>
      <c r="K116" s="31">
        <v>7.0796460176991149E-2</v>
      </c>
      <c r="L116" s="31">
        <v>0.24239244491080797</v>
      </c>
      <c r="M116" s="31">
        <v>0.20986358866736621</v>
      </c>
      <c r="N116" s="31">
        <v>0.58441558441558439</v>
      </c>
      <c r="O116" s="31">
        <v>0.46</v>
      </c>
      <c r="P116" s="31">
        <v>0.46451612903225808</v>
      </c>
    </row>
    <row r="117" spans="1:16" x14ac:dyDescent="0.4">
      <c r="A117" s="33">
        <v>114</v>
      </c>
      <c r="B117" s="30">
        <v>186.69999999999987</v>
      </c>
      <c r="C117" s="30">
        <v>1.637719298245613</v>
      </c>
      <c r="D117" s="35">
        <v>2.0087719298245612</v>
      </c>
      <c r="E117" s="31">
        <v>0.33333333333333331</v>
      </c>
      <c r="F117" s="31">
        <v>0.34210526315789475</v>
      </c>
      <c r="G117" s="31">
        <v>0.32392894461859978</v>
      </c>
      <c r="H117" s="31">
        <v>0.17659352142110762</v>
      </c>
      <c r="I117" s="32">
        <v>8141.9354838709678</v>
      </c>
      <c r="J117" s="32">
        <v>-7386.3905325443784</v>
      </c>
      <c r="K117" s="31">
        <v>7.8947368421052627E-2</v>
      </c>
      <c r="L117" s="31">
        <v>0.24242424242424243</v>
      </c>
      <c r="M117" s="31">
        <v>0.2089864158829676</v>
      </c>
      <c r="N117" s="31">
        <v>0.5818965517241379</v>
      </c>
      <c r="O117" s="31">
        <v>0.46</v>
      </c>
      <c r="P117" s="31">
        <v>0.46451612903225808</v>
      </c>
    </row>
    <row r="118" spans="1:16" x14ac:dyDescent="0.4">
      <c r="A118" s="33">
        <v>115</v>
      </c>
      <c r="B118" s="30">
        <v>143.79999999999987</v>
      </c>
      <c r="C118" s="30">
        <v>1.2504347826086946</v>
      </c>
      <c r="D118" s="35">
        <v>2.017391304347826</v>
      </c>
      <c r="E118" s="31">
        <v>0.33043478260869563</v>
      </c>
      <c r="F118" s="31">
        <v>0.34782608695652173</v>
      </c>
      <c r="G118" s="31">
        <v>0.3215767634854772</v>
      </c>
      <c r="H118" s="31">
        <v>0.17738589211618258</v>
      </c>
      <c r="I118" s="32">
        <v>8141.9354838709678</v>
      </c>
      <c r="J118" s="32">
        <v>-7415.2046783625728</v>
      </c>
      <c r="K118" s="31">
        <v>7.8260869565217397E-2</v>
      </c>
      <c r="L118" s="31">
        <v>0.2437759336099585</v>
      </c>
      <c r="M118" s="31">
        <v>0.2074688796680498</v>
      </c>
      <c r="N118" s="31">
        <v>0.57446808510638303</v>
      </c>
      <c r="O118" s="31">
        <v>0.46</v>
      </c>
      <c r="P118" s="31">
        <v>0.46451612903225808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4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  <row r="139" spans="1:16" x14ac:dyDescent="0.4">
      <c r="A139" s="33">
        <v>136</v>
      </c>
      <c r="B139" s="30">
        <v>4.9737991503207013E-14</v>
      </c>
      <c r="C139" s="30">
        <v>1.2190684191962504E-16</v>
      </c>
      <c r="D139" s="35">
        <v>1.9975490196078431</v>
      </c>
      <c r="E139" s="31">
        <v>0.33578431372549017</v>
      </c>
      <c r="F139" s="31">
        <v>0.33333333333333331</v>
      </c>
      <c r="G139" s="31">
        <v>0.29337899543378998</v>
      </c>
      <c r="H139" s="31">
        <v>0.16210045662100456</v>
      </c>
      <c r="I139" s="32">
        <v>8113.035019455253</v>
      </c>
      <c r="J139" s="32">
        <v>-7637.5</v>
      </c>
      <c r="K139" s="31">
        <v>8.5784313725490197E-2</v>
      </c>
      <c r="L139" s="31">
        <v>0.24286529680365296</v>
      </c>
      <c r="M139" s="31">
        <v>0.22688356164383561</v>
      </c>
      <c r="N139" s="31">
        <v>0.52173913043478259</v>
      </c>
      <c r="O139" s="31">
        <v>0.40503144654088052</v>
      </c>
      <c r="P139" s="31">
        <v>0.44066147859922178</v>
      </c>
    </row>
    <row r="140" spans="1:16" x14ac:dyDescent="0.4">
      <c r="A140" s="33">
        <v>137</v>
      </c>
      <c r="B140" s="30">
        <v>4.9737991503207013E-14</v>
      </c>
      <c r="C140" s="30">
        <v>1.2101701095670806E-16</v>
      </c>
      <c r="D140" s="35">
        <v>1.997566909975669</v>
      </c>
      <c r="E140" s="31">
        <v>0.33576642335766421</v>
      </c>
      <c r="F140" s="31">
        <v>0.33333333333333331</v>
      </c>
      <c r="G140" s="31">
        <v>0.29353655094552639</v>
      </c>
      <c r="H140" s="31">
        <v>0.16285633643804684</v>
      </c>
      <c r="I140" s="32">
        <v>8121.3461538461543</v>
      </c>
      <c r="J140" s="32">
        <v>-7669.1507798960138</v>
      </c>
      <c r="K140" s="31">
        <v>8.5158150851581502E-2</v>
      </c>
      <c r="L140" s="31">
        <v>0.24273214789726222</v>
      </c>
      <c r="M140" s="31">
        <v>0.22777307366638441</v>
      </c>
      <c r="N140" s="31">
        <v>0.52441860465116275</v>
      </c>
      <c r="O140" s="31">
        <v>0.40272614622057001</v>
      </c>
      <c r="P140" s="31">
        <v>0.43846153846153846</v>
      </c>
    </row>
    <row r="141" spans="1:16" x14ac:dyDescent="0.4">
      <c r="A141" s="33">
        <v>138</v>
      </c>
      <c r="B141" s="30">
        <v>5.6843418860808015E-14</v>
      </c>
      <c r="C141" s="30">
        <v>1.3730294410823191E-16</v>
      </c>
      <c r="D141" s="35">
        <v>1.9975845410628019</v>
      </c>
      <c r="E141" s="31">
        <v>0.33574879227053139</v>
      </c>
      <c r="F141" s="31">
        <v>0.33333333333333331</v>
      </c>
      <c r="G141" s="31">
        <v>0.29367088607594938</v>
      </c>
      <c r="H141" s="31">
        <v>0.16258790436005627</v>
      </c>
      <c r="I141" s="32">
        <v>8141.954022988506</v>
      </c>
      <c r="J141" s="32">
        <v>-7676.6435986159167</v>
      </c>
      <c r="K141" s="31">
        <v>8.6956521739130432E-2</v>
      </c>
      <c r="L141" s="31">
        <v>0.24303797468354429</v>
      </c>
      <c r="M141" s="31">
        <v>0.22728551336146272</v>
      </c>
      <c r="N141" s="31">
        <v>0.52430555555555558</v>
      </c>
      <c r="O141" s="31">
        <v>0.40346534653465349</v>
      </c>
      <c r="P141" s="31">
        <v>0.43965517241379309</v>
      </c>
    </row>
    <row r="142" spans="1:16" x14ac:dyDescent="0.4">
      <c r="A142" s="33">
        <v>139</v>
      </c>
      <c r="B142" s="30">
        <v>6.3948846218409017E-14</v>
      </c>
      <c r="C142" s="30">
        <v>1.5335454728635257E-16</v>
      </c>
      <c r="D142" s="35">
        <v>1.9976019184652278</v>
      </c>
      <c r="E142" s="31">
        <v>0.33573141486810554</v>
      </c>
      <c r="F142" s="31">
        <v>0.33333333333333331</v>
      </c>
      <c r="G142" s="31">
        <v>0.29390380313199105</v>
      </c>
      <c r="H142" s="31">
        <v>0.16275167785234898</v>
      </c>
      <c r="I142" s="32">
        <v>8135.3948620361562</v>
      </c>
      <c r="J142" s="32">
        <v>-7677.6632302405496</v>
      </c>
      <c r="K142" s="31">
        <v>8.6330935251798566E-2</v>
      </c>
      <c r="L142" s="31">
        <v>0.2430089485458613</v>
      </c>
      <c r="M142" s="31">
        <v>0.22678970917225952</v>
      </c>
      <c r="N142" s="31">
        <v>0.52243958573072502</v>
      </c>
      <c r="O142" s="31">
        <v>0.40567200986436497</v>
      </c>
      <c r="P142" s="31">
        <v>0.43958135109419599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2021-01-06T07:39:25Z</dcterms:modified>
</cp:coreProperties>
</file>