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4437C792-474E-48E5-87A9-0AFD24ACD2DC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5" i="6854"/>
  <c r="P16" i="6866" l="1"/>
  <c r="P15" i="6850"/>
  <c r="P21" i="6858" l="1"/>
  <c r="P19" i="6854"/>
  <c r="P15" i="6860" l="1"/>
  <c r="P17" i="6860"/>
  <c r="P17" i="6866"/>
  <c r="P17" i="6868"/>
  <c r="P17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8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7" i="6852" l="1"/>
  <c r="P19" i="6860"/>
  <c r="P16" i="6858"/>
  <c r="P16" i="6860"/>
  <c r="P22" i="6860"/>
  <c r="P18" i="6862"/>
  <c r="P19" i="6858"/>
  <c r="P20" i="6862"/>
  <c r="P16" i="6852"/>
  <c r="P15" i="6852"/>
  <c r="P17" i="6864" l="1"/>
  <c r="P16" i="6862"/>
  <c r="P16" i="6850"/>
  <c r="P19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8" i="6858"/>
  <c r="P16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9" i="6862"/>
  <c r="H19" i="6862"/>
  <c r="H10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8" i="6860"/>
  <c r="C39" i="6860"/>
  <c r="C35" i="6860"/>
  <c r="B30" i="6860"/>
  <c r="C24" i="6860"/>
  <c r="C21" i="6860"/>
  <c r="B20" i="6860"/>
  <c r="H21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H46" i="6860" l="1"/>
  <c r="B14" i="6860"/>
  <c r="H22" i="6860"/>
  <c r="H11" i="6860"/>
  <c r="C19" i="6860"/>
  <c r="H6" i="6860"/>
  <c r="H14" i="6860"/>
  <c r="C47" i="6860"/>
  <c r="H12" i="6860"/>
  <c r="H42" i="6860"/>
  <c r="C40" i="6860"/>
  <c r="H15" i="6860"/>
  <c r="H49" i="6860"/>
  <c r="C45" i="6860"/>
  <c r="C48" i="6860"/>
  <c r="C20" i="6860"/>
  <c r="H2" i="6860"/>
  <c r="H27" i="6860"/>
  <c r="H37" i="6860"/>
  <c r="H20" i="6860"/>
  <c r="H19" i="6860"/>
  <c r="H24" i="6860"/>
  <c r="H16" i="6860"/>
  <c r="B28" i="6860"/>
  <c r="H38" i="6860"/>
  <c r="H44" i="6860"/>
  <c r="C49" i="6860"/>
  <c r="C25" i="6860"/>
  <c r="H30" i="6860"/>
  <c r="H10" i="6860"/>
  <c r="H17" i="6860"/>
  <c r="H8" i="6860"/>
  <c r="H7" i="6860"/>
  <c r="H26" i="6860"/>
  <c r="C22" i="6860"/>
  <c r="H31" i="6860"/>
  <c r="H39" i="6860"/>
  <c r="C43" i="6860"/>
  <c r="H4" i="6860"/>
  <c r="H33" i="6860"/>
  <c r="H3" i="6860"/>
  <c r="H36" i="6860"/>
  <c r="H23" i="6860"/>
  <c r="C26" i="6860"/>
  <c r="C41" i="6860"/>
  <c r="H5" i="6860"/>
  <c r="H25" i="6860"/>
  <c r="H28" i="6860"/>
  <c r="H32" i="6860"/>
  <c r="C37" i="6860"/>
  <c r="C44" i="6860"/>
  <c r="H52" i="6860"/>
  <c r="H48" i="6860"/>
  <c r="H13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29" i="6860"/>
  <c r="H9" i="6860"/>
  <c r="H35" i="6860"/>
  <c r="C38" i="6860"/>
  <c r="C42" i="6860"/>
  <c r="C46" i="6860"/>
  <c r="P20" i="6850" l="1"/>
  <c r="P18" i="6850"/>
  <c r="P20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4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5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19" i="6852"/>
  <c r="C35" i="6852"/>
  <c r="B30" i="6852"/>
  <c r="C21" i="6852"/>
  <c r="B20" i="6852"/>
  <c r="H20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2" i="6848"/>
  <c r="P21" i="6850"/>
  <c r="P17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1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7" i="6854"/>
  <c r="H11" i="6854"/>
  <c r="C20" i="6854"/>
  <c r="H16" i="6854"/>
  <c r="H14" i="6854"/>
  <c r="H37" i="6854"/>
  <c r="C41" i="6854"/>
  <c r="H46" i="6854"/>
  <c r="H52" i="6854"/>
  <c r="H26" i="6854"/>
  <c r="C25" i="6854"/>
  <c r="C37" i="6854"/>
  <c r="H42" i="6854"/>
  <c r="H47" i="6854"/>
  <c r="H18" i="6854"/>
  <c r="H21" i="6854"/>
  <c r="H29" i="6854"/>
  <c r="H31" i="6854"/>
  <c r="H38" i="6854"/>
  <c r="H43" i="6854"/>
  <c r="C47" i="6854"/>
  <c r="C24" i="6854"/>
  <c r="H41" i="6854"/>
  <c r="H20" i="6854"/>
  <c r="H6" i="6854"/>
  <c r="C26" i="6854"/>
  <c r="C43" i="6854"/>
  <c r="H4" i="6854"/>
  <c r="H22" i="6854"/>
  <c r="C22" i="6854"/>
  <c r="H17" i="6854"/>
  <c r="H34" i="6854"/>
  <c r="C39" i="6854"/>
  <c r="H44" i="6854"/>
  <c r="C48" i="6854"/>
  <c r="H2" i="6854"/>
  <c r="H36" i="6854"/>
  <c r="C45" i="6854"/>
  <c r="H3" i="6854"/>
  <c r="H12" i="6854"/>
  <c r="H10" i="6854"/>
  <c r="H24" i="6854"/>
  <c r="H13" i="6854"/>
  <c r="H32" i="6854"/>
  <c r="H39" i="6854"/>
  <c r="H48" i="6854"/>
  <c r="H5" i="6854"/>
  <c r="H15" i="6854"/>
  <c r="H19" i="6854"/>
  <c r="H27" i="6854"/>
  <c r="B27" i="6854"/>
  <c r="H35" i="6854"/>
  <c r="H40" i="6854"/>
  <c r="C44" i="6854"/>
  <c r="H49" i="6854"/>
  <c r="H9" i="6854"/>
  <c r="H23" i="6854"/>
  <c r="H25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7" i="6852"/>
  <c r="H42" i="6852"/>
  <c r="H48" i="6852"/>
  <c r="H17" i="6852"/>
  <c r="H14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5" i="6852"/>
  <c r="H25" i="6852"/>
  <c r="C22" i="6852"/>
  <c r="H19" i="6852"/>
  <c r="H35" i="6852"/>
  <c r="C39" i="6852"/>
  <c r="C44" i="6852"/>
  <c r="C49" i="6852"/>
  <c r="C24" i="6852"/>
  <c r="H31" i="6852"/>
  <c r="H27" i="6852"/>
  <c r="H40" i="6852"/>
  <c r="H5" i="6852"/>
  <c r="H28" i="6852"/>
  <c r="B27" i="6852"/>
  <c r="H36" i="6852"/>
  <c r="H41" i="6852"/>
  <c r="H46" i="6852"/>
  <c r="H4" i="6852"/>
  <c r="H3" i="6852"/>
  <c r="C41" i="6852"/>
  <c r="H2" i="6852"/>
  <c r="H13" i="6852"/>
  <c r="H45" i="6852"/>
  <c r="H6" i="6852"/>
  <c r="H16" i="6852"/>
  <c r="H22" i="6852"/>
  <c r="H10" i="6852"/>
  <c r="H11" i="6852"/>
  <c r="C23" i="6852"/>
  <c r="B28" i="6852"/>
  <c r="C40" i="6852"/>
  <c r="C45" i="6852"/>
  <c r="H52" i="6852"/>
  <c r="H43" i="6852"/>
  <c r="H47" i="6852"/>
  <c r="H51" i="6852"/>
  <c r="H18" i="6852"/>
  <c r="H8" i="6852"/>
  <c r="H34" i="6852"/>
  <c r="C38" i="6852"/>
  <c r="C42" i="6852"/>
  <c r="C46" i="6852"/>
  <c r="C19" i="6848"/>
  <c r="H14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5" i="6850"/>
  <c r="C45" i="6850"/>
  <c r="H28" i="6850"/>
  <c r="H24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2" i="6850"/>
  <c r="H4" i="6850"/>
  <c r="H26" i="6850"/>
  <c r="C24" i="6850"/>
  <c r="H16" i="6850"/>
  <c r="C37" i="6850"/>
  <c r="C44" i="6850"/>
  <c r="H52" i="6850"/>
  <c r="H41" i="6850"/>
  <c r="H45" i="6850"/>
  <c r="H49" i="6850"/>
  <c r="C48" i="6850"/>
  <c r="H17" i="6850"/>
  <c r="H18" i="6850"/>
  <c r="C23" i="6850"/>
  <c r="B27" i="6850"/>
  <c r="H33" i="6850"/>
  <c r="H39" i="6850"/>
  <c r="H43" i="6850"/>
  <c r="H47" i="6850"/>
  <c r="H51" i="6850"/>
  <c r="H21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4" i="6848"/>
  <c r="B28" i="6848"/>
  <c r="H36" i="6848"/>
  <c r="H41" i="6848"/>
  <c r="H44" i="6848"/>
  <c r="H48" i="6848"/>
  <c r="H5" i="6848"/>
  <c r="H30" i="6848"/>
  <c r="H13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4" i="6848"/>
  <c r="H32" i="6848"/>
  <c r="H17" i="6848"/>
  <c r="H38" i="6848"/>
  <c r="C40" i="6848"/>
  <c r="C44" i="6848"/>
  <c r="C48" i="6848"/>
  <c r="H4" i="6848"/>
  <c r="H23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5" i="6848"/>
  <c r="C37" i="6848"/>
  <c r="C41" i="6848"/>
  <c r="C45" i="6848"/>
  <c r="C49" i="6848"/>
  <c r="H11" i="6848"/>
  <c r="H15" i="6848"/>
  <c r="H16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<sst xmlns="http://schemas.openxmlformats.org/spreadsheetml/2006/main" count="2924" uniqueCount="237">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</sst>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全体!$L$2:$L$173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-35.087719298245617</c:v>
                </c:pt>
                <c:pt idx="1">
                  <c:v>36.363636363636367</c:v>
                </c:pt>
                <c:pt idx="2">
                  <c:v>-29.761904761904763</c:v>
                </c:pt>
                <c:pt idx="3">
                  <c:v>32.679738562091501</c:v>
                </c:pt>
                <c:pt idx="4">
                  <c:v>-22.222222222222221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35</c:v>
                </c:pt>
                <c:pt idx="1">
                  <c:v>85</c:v>
                </c:pt>
                <c:pt idx="2">
                  <c:v>82</c:v>
                </c:pt>
                <c:pt idx="3">
                  <c:v>66</c:v>
                </c:pt>
                <c:pt idx="4">
                  <c:v>57</c:v>
                </c:pt>
                <c:pt idx="5">
                  <c:v>40</c:v>
                </c:pt>
                <c:pt idx="6">
                  <c:v>25</c:v>
                </c:pt>
                <c:pt idx="7">
                  <c:v>13</c:v>
                </c:pt>
                <c:pt idx="8">
                  <c:v>8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全体!$M$2:$M$173</c:f>
              <c:numCache>
                <c:formatCode>0</c:formatCode>
                <c:ptCount val="17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だいち!$L$2:$L$47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2131.1111111111113</c:v>
                </c:pt>
                <c:pt idx="1">
                  <c:v>-1351.1627906976744</c:v>
                </c:pt>
                <c:pt idx="2">
                  <c:v>-365.90909090909093</c:v>
                </c:pt>
                <c:pt idx="3">
                  <c:v>1680.4878048780488</c:v>
                </c:pt>
                <c:pt idx="4">
                  <c:v>-419.44444444444446</c:v>
                </c:pt>
                <c:pt idx="5">
                  <c:v>-1003.2258064516129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29</c:v>
                </c:pt>
                <c:pt idx="3">
                  <c:v>14</c:v>
                </c:pt>
                <c:pt idx="4">
                  <c:v>20</c:v>
                </c:pt>
                <c:pt idx="5">
                  <c:v>16</c:v>
                </c:pt>
                <c:pt idx="6">
                  <c:v>7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だいち!$M$2:$M$47</c:f>
              <c:numCache>
                <c:formatCode>0</c:formatCode>
                <c:ptCount val="4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れんたろう!$L$2:$L$19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2882.3529411764707</c:v>
                </c:pt>
                <c:pt idx="1">
                  <c:v>-406.25</c:v>
                </c:pt>
                <c:pt idx="2">
                  <c:v>-1618.75</c:v>
                </c:pt>
                <c:pt idx="3">
                  <c:v>1466.6666666666667</c:v>
                </c:pt>
                <c:pt idx="4">
                  <c:v>-2408.3333333333335</c:v>
                </c:pt>
                <c:pt idx="5">
                  <c:v>-620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れんたろう!$M$2:$M$19</c:f>
              <c:numCache>
                <c:formatCode>0</c:formatCode>
                <c:ptCount val="18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-527.77777777777783</c:v>
                </c:pt>
                <c:pt idx="2">
                  <c:v>1511.1111111111111</c:v>
                </c:pt>
                <c:pt idx="3">
                  <c:v>211.11111111111111</c:v>
                </c:pt>
                <c:pt idx="4">
                  <c:v>-83.333333333333329</c:v>
                </c:pt>
                <c:pt idx="5">
                  <c:v>2053.3333333333335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7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たかの!$M$2:$M$20</c:f>
              <c:numCache>
                <c:formatCode>0</c:formatCode>
                <c:ptCount val="1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-862.5</c:v>
                </c:pt>
                <c:pt idx="1">
                  <c:v>833.33333333333337</c:v>
                </c:pt>
                <c:pt idx="2">
                  <c:v>2129.1666666666665</c:v>
                </c:pt>
                <c:pt idx="3">
                  <c:v>-442.85714285714283</c:v>
                </c:pt>
                <c:pt idx="4">
                  <c:v>2564.705882352941</c:v>
                </c:pt>
                <c:pt idx="5">
                  <c:v>1005.8823529411765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10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いちかわ!$M$2:$M$26</c:f>
              <c:numCache>
                <c:formatCode>0</c:formatCode>
                <c:ptCount val="2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ただ!$L$2:$L$31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-417.24137931034483</c:v>
                </c:pt>
                <c:pt idx="1">
                  <c:v>1992.5925925925926</c:v>
                </c:pt>
                <c:pt idx="2">
                  <c:v>453.57142857142856</c:v>
                </c:pt>
                <c:pt idx="3">
                  <c:v>-744</c:v>
                </c:pt>
                <c:pt idx="4">
                  <c:v>1373.9130434782608</c:v>
                </c:pt>
                <c:pt idx="5">
                  <c:v>-90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9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11</c:v>
                </c:pt>
                <c:pt idx="5">
                  <c:v>2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ただ!$M$2:$M$31</c:f>
              <c:numCache>
                <c:formatCode>0</c:formatCode>
                <c:ptCount val="3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-1568.75</c:v>
                </c:pt>
                <c:pt idx="1">
                  <c:v>-1600</c:v>
                </c:pt>
                <c:pt idx="2">
                  <c:v>-4525</c:v>
                </c:pt>
                <c:pt idx="3">
                  <c:v>-406.66666666666669</c:v>
                </c:pt>
                <c:pt idx="4">
                  <c:v>-283.33333333333331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たか!$M$2:$M$18</c:f>
              <c:numCache>
                <c:formatCode>0</c:formatCode>
                <c:ptCount val="17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たか2!$C$3:$C$19</c:f>
              <c:numCache>
                <c:formatCode>\+0.0;\-0.0;\±0</c:formatCode>
                <c:ptCount val="17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  <c:pt idx="15">
                  <c:v>-9.6399999999999988</c:v>
                </c:pt>
                <c:pt idx="16">
                  <c:v>-9.2624999999999993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4656620308789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たか2!$D$3:$D$19</c:f>
              <c:numCache>
                <c:formatCode>0.00\ "位"</c:formatCode>
                <c:ptCount val="17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4152046783625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たか2!$E$3:$E$19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9181286549707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たか2!$G$3:$G$19</c:f>
              <c:numCache>
                <c:formatCode>0.0%</c:formatCode>
                <c:ptCount val="17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  <c:pt idx="15">
                  <c:v>0.21739130434782608</c:v>
                </c:pt>
                <c:pt idx="16">
                  <c:v>0.22580645161290322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87234042553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たか2!$H$3:$H$19</c:f>
              <c:numCache>
                <c:formatCode>0.0%</c:formatCode>
                <c:ptCount val="17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  <c:pt idx="15">
                  <c:v>0.23478260869565218</c:v>
                </c:pt>
                <c:pt idx="16">
                  <c:v>0.21774193548387097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29787234042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たか2!$I$3:$I$19</c:f>
              <c:numCache>
                <c:formatCode>0</c:formatCode>
                <c:ptCount val="17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  <c:pt idx="15">
                  <c:v>7796</c:v>
                </c:pt>
                <c:pt idx="16">
                  <c:v>7367.8571428571431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18.80952380952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たか2!$J$3:$J$19</c:f>
              <c:numCache>
                <c:formatCode>0</c:formatCode>
                <c:ptCount val="17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  <c:pt idx="15">
                  <c:v>-7988.8888888888887</c:v>
                </c:pt>
                <c:pt idx="16">
                  <c:v>-7988.8888888888887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92.64069264069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0.13333333333333333</c:v>
                </c:pt>
                <c:pt idx="16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0233918128654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たか2!$L$3:$L$19</c:f>
              <c:numCache>
                <c:formatCode>0.0%</c:formatCode>
                <c:ptCount val="17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  <c:pt idx="15">
                  <c:v>0.23478260869565218</c:v>
                </c:pt>
                <c:pt idx="16">
                  <c:v>0.23387096774193547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71631205673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たか2!$M$3:$M$19</c:f>
              <c:numCache>
                <c:formatCode>0.0%</c:formatCode>
                <c:ptCount val="17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  <c:pt idx="15">
                  <c:v>0.2</c:v>
                </c:pt>
                <c:pt idx="16">
                  <c:v>0.18548387096774194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62411347517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たか2!$N$3:$N$19</c:f>
              <c:numCache>
                <c:formatCode>0.0%</c:formatCode>
                <c:ptCount val="17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  <c:pt idx="15">
                  <c:v>0.44444444444444442</c:v>
                </c:pt>
                <c:pt idx="16">
                  <c:v>0.48275862068965519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479289940828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たか2!$O$3:$O$19</c:f>
              <c:numCache>
                <c:formatCode>0.0%</c:formatCode>
                <c:ptCount val="17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  <c:pt idx="15">
                  <c:v>0.30434782608695654</c:v>
                </c:pt>
                <c:pt idx="16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426829268292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たか2!$P$3:$P$19</c:f>
              <c:numCache>
                <c:formatCode>0.0%</c:formatCode>
                <c:ptCount val="17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</c:v>
                </c:pt>
                <c:pt idx="16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7619047619047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6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6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6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45</v>
      </c>
      <c r="C2" s="120">
        <v>1842.3339395535957</v>
      </c>
    </row>
    <row r="3" spans="1:3" x14ac:dyDescent="0.45">
      <c r="A3" t="s">
        <v>163</v>
      </c>
      <c r="B3" s="120">
        <v>17</v>
      </c>
      <c r="C3" s="120">
        <v>1653.1699313523677</v>
      </c>
    </row>
    <row r="4" spans="1:3" x14ac:dyDescent="0.45">
      <c r="A4" t="s">
        <v>139</v>
      </c>
      <c r="B4" s="120">
        <v>171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29</v>
      </c>
      <c r="C6" s="120">
        <v>1517.1288342047803</v>
      </c>
    </row>
    <row r="7" spans="1:3" x14ac:dyDescent="0.45">
      <c r="A7" t="s">
        <v>211</v>
      </c>
      <c r="B7" s="120">
        <v>24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18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16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0.79115741378218185</v>
      </c>
      <c r="C2" s="142"/>
      <c r="D2" s="141">
        <v>0.39876378944396684</v>
      </c>
      <c r="E2" s="142"/>
      <c r="F2" s="141">
        <v>0.2684943927745726</v>
      </c>
      <c r="G2" s="142"/>
      <c r="H2" s="147"/>
      <c r="I2" s="148"/>
      <c r="J2" s="141">
        <v>8.4714646204409258E-2</v>
      </c>
      <c r="K2" s="142"/>
      <c r="L2" s="141">
        <v>0.11344118538346414</v>
      </c>
      <c r="M2" s="142"/>
      <c r="N2" s="141">
        <v>1.8074115220551147E-3</v>
      </c>
      <c r="O2" s="142"/>
      <c r="P2" s="141">
        <v>0.33140631099803225</v>
      </c>
      <c r="Q2" s="142"/>
      <c r="R2" s="141">
        <v>-0.12360256441258845</v>
      </c>
      <c r="S2" s="142"/>
      <c r="T2" s="141">
        <v>0.72208407801505803</v>
      </c>
      <c r="U2" s="142"/>
      <c r="V2" s="141">
        <v>-9.6089198653236438E-2</v>
      </c>
      <c r="W2" s="142"/>
      <c r="X2" s="141">
        <v>-0.1522271551940276</v>
      </c>
      <c r="Y2" s="142"/>
      <c r="Z2" s="141">
        <v>0.17019572062349589</v>
      </c>
      <c r="AA2" s="142"/>
      <c r="AB2" s="141">
        <v>-0.25735752073087809</v>
      </c>
      <c r="AC2" s="142"/>
      <c r="AD2" s="141">
        <v>0.5533898826053566</v>
      </c>
      <c r="AE2" s="142"/>
      <c r="AF2" s="141">
        <v>2.2158877860061651E-2</v>
      </c>
      <c r="AG2" s="142"/>
      <c r="AH2" s="141">
        <v>0.21199642938475929</v>
      </c>
      <c r="AI2" s="142"/>
      <c r="AJ2" s="141">
        <v>0.83896536399993393</v>
      </c>
      <c r="AK2" s="142"/>
    </row>
    <row r="3" spans="1:37" x14ac:dyDescent="0.45">
      <c r="A3" s="38">
        <v>1</v>
      </c>
      <c r="B3" s="41" t="s">
        <v>139</v>
      </c>
      <c r="C3" s="113">
        <v>57</v>
      </c>
      <c r="D3" s="39" t="s">
        <v>192</v>
      </c>
      <c r="E3" s="40">
        <v>201.79999999999995</v>
      </c>
      <c r="F3" s="41" t="s">
        <v>192</v>
      </c>
      <c r="G3" s="60">
        <v>6.958620689655171</v>
      </c>
      <c r="H3" s="41" t="s">
        <v>126</v>
      </c>
      <c r="I3" s="45">
        <v>1810.4295975317114</v>
      </c>
      <c r="J3" s="41" t="s">
        <v>192</v>
      </c>
      <c r="K3" s="42">
        <v>1.7586206896551724</v>
      </c>
      <c r="L3" s="41" t="s">
        <v>192</v>
      </c>
      <c r="M3" s="43">
        <v>0.48275862068965519</v>
      </c>
      <c r="N3" s="41" t="s">
        <v>192</v>
      </c>
      <c r="O3" s="43">
        <v>0.2413793103448276</v>
      </c>
      <c r="P3" s="41" t="s">
        <v>192</v>
      </c>
      <c r="Q3" s="44">
        <v>0.34552845528455284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0.32075471698113206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45</v>
      </c>
      <c r="D4" s="47" t="s">
        <v>126</v>
      </c>
      <c r="E4" s="48">
        <v>151.99999999999997</v>
      </c>
      <c r="F4" s="49" t="s">
        <v>211</v>
      </c>
      <c r="G4" s="61">
        <v>4.5333333333333323</v>
      </c>
      <c r="H4" s="49" t="s">
        <v>163</v>
      </c>
      <c r="I4" s="53">
        <v>1635.9985155013371</v>
      </c>
      <c r="J4" s="49" t="s">
        <v>211</v>
      </c>
      <c r="K4" s="50">
        <v>1.875</v>
      </c>
      <c r="L4" s="49" t="s">
        <v>211</v>
      </c>
      <c r="M4" s="51">
        <v>0.41666666666666669</v>
      </c>
      <c r="N4" s="49" t="s">
        <v>189</v>
      </c>
      <c r="O4" s="51">
        <v>0.27777777777777779</v>
      </c>
      <c r="P4" s="49" t="s">
        <v>211</v>
      </c>
      <c r="Q4" s="52">
        <v>0.31914893617021278</v>
      </c>
      <c r="R4" s="49" t="s">
        <v>192</v>
      </c>
      <c r="S4" s="52">
        <v>0.14227642276422764</v>
      </c>
      <c r="T4" s="49" t="s">
        <v>163</v>
      </c>
      <c r="U4" s="53">
        <v>9021.4285714285706</v>
      </c>
      <c r="V4" s="49" t="s">
        <v>126</v>
      </c>
      <c r="W4" s="53">
        <v>-6449.2063492063489</v>
      </c>
      <c r="X4" s="49" t="s">
        <v>189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0.56989247311827962</v>
      </c>
      <c r="AF4" s="49" t="s">
        <v>211</v>
      </c>
      <c r="AG4" s="52">
        <v>0.53333333333333333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29</v>
      </c>
      <c r="D5" s="47" t="s">
        <v>211</v>
      </c>
      <c r="E5" s="48">
        <v>108.79999999999998</v>
      </c>
      <c r="F5" s="49" t="s">
        <v>126</v>
      </c>
      <c r="G5" s="61">
        <v>3.3777777777777773</v>
      </c>
      <c r="H5" s="49" t="s">
        <v>139</v>
      </c>
      <c r="I5" s="53">
        <v>1597.9964999304941</v>
      </c>
      <c r="J5" s="49" t="s">
        <v>189</v>
      </c>
      <c r="K5" s="50">
        <v>1.9444444444444444</v>
      </c>
      <c r="L5" s="49" t="s">
        <v>163</v>
      </c>
      <c r="M5" s="51">
        <v>0.35294117647058826</v>
      </c>
      <c r="N5" s="49" t="s">
        <v>126</v>
      </c>
      <c r="O5" s="51">
        <v>0.28888888888888886</v>
      </c>
      <c r="P5" s="49" t="s">
        <v>126</v>
      </c>
      <c r="Q5" s="52">
        <v>0.31506849315068491</v>
      </c>
      <c r="R5" s="49" t="s">
        <v>211</v>
      </c>
      <c r="S5" s="52">
        <v>0.14893617021276595</v>
      </c>
      <c r="T5" s="49" t="s">
        <v>126</v>
      </c>
      <c r="U5" s="53">
        <v>8762.608695652174</v>
      </c>
      <c r="V5" s="49" t="s">
        <v>189</v>
      </c>
      <c r="W5" s="53">
        <v>-6669.2307692307695</v>
      </c>
      <c r="X5" s="49" t="s">
        <v>193</v>
      </c>
      <c r="Y5" s="51">
        <v>0</v>
      </c>
      <c r="Z5" s="49" t="s">
        <v>126</v>
      </c>
      <c r="AA5" s="52">
        <v>0.25479452054794521</v>
      </c>
      <c r="AB5" s="49" t="s">
        <v>221</v>
      </c>
      <c r="AC5" s="52">
        <v>0.27777777777777779</v>
      </c>
      <c r="AD5" s="49" t="s">
        <v>211</v>
      </c>
      <c r="AE5" s="52">
        <v>0.56097560975609762</v>
      </c>
      <c r="AF5" s="49" t="s">
        <v>192</v>
      </c>
      <c r="AG5" s="52">
        <v>0.5</v>
      </c>
      <c r="AH5" s="49" t="s">
        <v>189</v>
      </c>
      <c r="AI5" s="52">
        <v>0.5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24</v>
      </c>
      <c r="D6" s="47" t="s">
        <v>189</v>
      </c>
      <c r="E6" s="48">
        <v>15.100000000000009</v>
      </c>
      <c r="F6" s="49" t="s">
        <v>189</v>
      </c>
      <c r="G6" s="61">
        <v>0.83888888888888935</v>
      </c>
      <c r="H6" s="49" t="s">
        <v>192</v>
      </c>
      <c r="I6" s="53">
        <v>1564.8235944029475</v>
      </c>
      <c r="J6" s="49" t="s">
        <v>126</v>
      </c>
      <c r="K6" s="50">
        <v>1.9777777777777779</v>
      </c>
      <c r="L6" s="49" t="s">
        <v>139</v>
      </c>
      <c r="M6" s="51">
        <v>0.33918128654970758</v>
      </c>
      <c r="N6" s="49" t="s">
        <v>211</v>
      </c>
      <c r="O6" s="51">
        <v>0.29166666666666669</v>
      </c>
      <c r="P6" s="49" t="s">
        <v>189</v>
      </c>
      <c r="Q6" s="52">
        <v>0.30188679245283018</v>
      </c>
      <c r="R6" s="49" t="s">
        <v>189</v>
      </c>
      <c r="S6" s="52">
        <v>0.16352201257861634</v>
      </c>
      <c r="T6" s="49" t="s">
        <v>195</v>
      </c>
      <c r="U6" s="53">
        <v>8272.7272727272721</v>
      </c>
      <c r="V6" s="49" t="s">
        <v>211</v>
      </c>
      <c r="W6" s="53">
        <v>-6732.1428571428569</v>
      </c>
      <c r="X6" s="49" t="s">
        <v>221</v>
      </c>
      <c r="Y6" s="51">
        <v>0</v>
      </c>
      <c r="Z6" s="49" t="s">
        <v>189</v>
      </c>
      <c r="AA6" s="52">
        <v>0.25157232704402516</v>
      </c>
      <c r="AB6" s="49" t="s">
        <v>192</v>
      </c>
      <c r="AC6" s="52">
        <v>0.24390243902439024</v>
      </c>
      <c r="AD6" s="49" t="s">
        <v>190</v>
      </c>
      <c r="AE6" s="52">
        <v>0.52380952380952384</v>
      </c>
      <c r="AF6" s="49" t="s">
        <v>189</v>
      </c>
      <c r="AG6" s="52">
        <v>0.47058823529411764</v>
      </c>
      <c r="AH6" s="49" t="s">
        <v>126</v>
      </c>
      <c r="AI6" s="52">
        <v>0.46956521739130436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18</v>
      </c>
      <c r="D7" s="47" t="s">
        <v>139</v>
      </c>
      <c r="E7" s="48">
        <v>2.1316282072803006E-14</v>
      </c>
      <c r="F7" s="49" t="s">
        <v>139</v>
      </c>
      <c r="G7" s="61">
        <v>1.246566203087895E-16</v>
      </c>
      <c r="H7" s="49" t="s">
        <v>211</v>
      </c>
      <c r="I7" s="53">
        <v>1519.7959242754243</v>
      </c>
      <c r="J7" s="49" t="s">
        <v>139</v>
      </c>
      <c r="K7" s="50">
        <v>1.9941520467836258</v>
      </c>
      <c r="L7" s="49" t="s">
        <v>189</v>
      </c>
      <c r="M7" s="51">
        <v>0.33333333333333331</v>
      </c>
      <c r="N7" s="49" t="s">
        <v>190</v>
      </c>
      <c r="O7" s="51">
        <v>0.3</v>
      </c>
      <c r="P7" s="49" t="s">
        <v>139</v>
      </c>
      <c r="Q7" s="52">
        <v>0.2978723404255319</v>
      </c>
      <c r="R7" s="49" t="s">
        <v>139</v>
      </c>
      <c r="S7" s="52">
        <v>0.16382978723404254</v>
      </c>
      <c r="T7" s="49" t="s">
        <v>211</v>
      </c>
      <c r="U7" s="53">
        <v>8231.6666666666661</v>
      </c>
      <c r="V7" s="49" t="s">
        <v>139</v>
      </c>
      <c r="W7" s="53">
        <v>-7292.6406926406926</v>
      </c>
      <c r="X7" s="49" t="s">
        <v>126</v>
      </c>
      <c r="Y7" s="51">
        <v>4.4444444444444446E-2</v>
      </c>
      <c r="Z7" s="49" t="s">
        <v>163</v>
      </c>
      <c r="AA7" s="52">
        <v>0.24161073825503357</v>
      </c>
      <c r="AB7" s="49" t="s">
        <v>211</v>
      </c>
      <c r="AC7" s="52">
        <v>0.23936170212765959</v>
      </c>
      <c r="AD7" s="49" t="s">
        <v>139</v>
      </c>
      <c r="AE7" s="52">
        <v>0.51479289940828399</v>
      </c>
      <c r="AF7" s="49" t="s">
        <v>139</v>
      </c>
      <c r="AG7" s="52">
        <v>0.45426829268292684</v>
      </c>
      <c r="AH7" s="49" t="s">
        <v>163</v>
      </c>
      <c r="AI7" s="52">
        <v>0.45238095238095238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17</v>
      </c>
      <c r="D8" s="47" t="s">
        <v>221</v>
      </c>
      <c r="E8" s="48">
        <v>-13.5</v>
      </c>
      <c r="F8" s="49" t="s">
        <v>163</v>
      </c>
      <c r="G8" s="61">
        <v>-5.3529411764705888</v>
      </c>
      <c r="H8" s="49" t="s">
        <v>190</v>
      </c>
      <c r="I8" s="53">
        <v>1519.2183815819624</v>
      </c>
      <c r="J8" s="49" t="s">
        <v>163</v>
      </c>
      <c r="K8" s="50">
        <v>2.1176470588235294</v>
      </c>
      <c r="L8" s="49" t="s">
        <v>195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0.28187919463087246</v>
      </c>
      <c r="R8" s="49" t="s">
        <v>221</v>
      </c>
      <c r="S8" s="52">
        <v>0.16666666666666666</v>
      </c>
      <c r="T8" s="49" t="s">
        <v>193</v>
      </c>
      <c r="U8" s="53">
        <v>8212.5</v>
      </c>
      <c r="V8" s="49" t="s">
        <v>195</v>
      </c>
      <c r="W8" s="53">
        <v>-7666.666666666667</v>
      </c>
      <c r="X8" s="49" t="s">
        <v>192</v>
      </c>
      <c r="Y8" s="51">
        <v>6.8965517241379309E-2</v>
      </c>
      <c r="Z8" s="49" t="s">
        <v>139</v>
      </c>
      <c r="AA8" s="52">
        <v>0.2397163120567376</v>
      </c>
      <c r="AB8" s="49" t="s">
        <v>139</v>
      </c>
      <c r="AC8" s="52">
        <v>0.23262411347517731</v>
      </c>
      <c r="AD8" s="49" t="s">
        <v>192</v>
      </c>
      <c r="AE8" s="52">
        <v>0.50909090909090904</v>
      </c>
      <c r="AF8" s="49" t="s">
        <v>126</v>
      </c>
      <c r="AG8" s="52">
        <v>0.45121951219512196</v>
      </c>
      <c r="AH8" s="49" t="s">
        <v>139</v>
      </c>
      <c r="AI8" s="52">
        <v>0.44761904761904764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16</v>
      </c>
      <c r="D9" s="47" t="s">
        <v>193</v>
      </c>
      <c r="E9" s="48">
        <v>-51.699999999999996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216</v>
      </c>
      <c r="K9" s="50">
        <v>2.1875</v>
      </c>
      <c r="L9" s="49" t="s">
        <v>126</v>
      </c>
      <c r="M9" s="51">
        <v>0.31111111111111112</v>
      </c>
      <c r="N9" s="49" t="s">
        <v>216</v>
      </c>
      <c r="O9" s="51">
        <v>0.4375</v>
      </c>
      <c r="P9" s="49" t="s">
        <v>190</v>
      </c>
      <c r="Q9" s="52">
        <v>0.24675324675324675</v>
      </c>
      <c r="R9" s="49" t="s">
        <v>126</v>
      </c>
      <c r="S9" s="52">
        <v>0.17260273972602741</v>
      </c>
      <c r="T9" s="49" t="s">
        <v>139</v>
      </c>
      <c r="U9" s="53">
        <v>8118.8095238095239</v>
      </c>
      <c r="V9" s="49" t="s">
        <v>192</v>
      </c>
      <c r="W9" s="53">
        <v>-7828.5714285714284</v>
      </c>
      <c r="X9" s="49" t="s">
        <v>139</v>
      </c>
      <c r="Y9" s="51">
        <v>7.6023391812865493E-2</v>
      </c>
      <c r="Z9" s="49" t="s">
        <v>216</v>
      </c>
      <c r="AA9" s="52">
        <v>0.23387096774193547</v>
      </c>
      <c r="AB9" s="49" t="s">
        <v>126</v>
      </c>
      <c r="AC9" s="52">
        <v>0.22465753424657534</v>
      </c>
      <c r="AD9" s="49" t="s">
        <v>216</v>
      </c>
      <c r="AE9" s="52">
        <v>0.48275862068965519</v>
      </c>
      <c r="AF9" s="49" t="s">
        <v>190</v>
      </c>
      <c r="AG9" s="52">
        <v>0.4375</v>
      </c>
      <c r="AH9" s="49" t="s">
        <v>192</v>
      </c>
      <c r="AI9" s="52">
        <v>0.44705882352941179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221</v>
      </c>
      <c r="G10" s="61">
        <v>-6.75</v>
      </c>
      <c r="H10" s="49" t="s">
        <v>216</v>
      </c>
      <c r="I10" s="53">
        <v>1480.2801364124439</v>
      </c>
      <c r="J10" s="49" t="s">
        <v>190</v>
      </c>
      <c r="K10" s="50">
        <v>2.2000000000000002</v>
      </c>
      <c r="L10" s="49" t="s">
        <v>216</v>
      </c>
      <c r="M10" s="51">
        <v>0.25</v>
      </c>
      <c r="N10" s="49" t="s">
        <v>163</v>
      </c>
      <c r="O10" s="51">
        <v>0.47058823529411764</v>
      </c>
      <c r="P10" s="49" t="s">
        <v>193</v>
      </c>
      <c r="Q10" s="52">
        <v>0.22857142857142856</v>
      </c>
      <c r="R10" s="49" t="s">
        <v>163</v>
      </c>
      <c r="S10" s="52">
        <v>0.18120805369127516</v>
      </c>
      <c r="T10" s="49" t="s">
        <v>192</v>
      </c>
      <c r="U10" s="53">
        <v>7843.5294117647063</v>
      </c>
      <c r="V10" s="49" t="s">
        <v>216</v>
      </c>
      <c r="W10" s="53">
        <v>-7988.8888888888887</v>
      </c>
      <c r="X10" s="49" t="s">
        <v>211</v>
      </c>
      <c r="Y10" s="51">
        <v>8.3333333333333329E-2</v>
      </c>
      <c r="Z10" s="49" t="s">
        <v>192</v>
      </c>
      <c r="AA10" s="52">
        <v>0.22357723577235772</v>
      </c>
      <c r="AB10" s="49" t="s">
        <v>163</v>
      </c>
      <c r="AC10" s="52">
        <v>0.22147651006711411</v>
      </c>
      <c r="AD10" s="49" t="s">
        <v>163</v>
      </c>
      <c r="AE10" s="52">
        <v>0.47222222222222221</v>
      </c>
      <c r="AF10" s="49" t="s">
        <v>193</v>
      </c>
      <c r="AG10" s="52">
        <v>0.4</v>
      </c>
      <c r="AH10" s="49" t="s">
        <v>216</v>
      </c>
      <c r="AI10" s="52">
        <v>0.42857142857142855</v>
      </c>
      <c r="AJ10" s="49" t="s">
        <v>189</v>
      </c>
      <c r="AK10" s="56">
        <v>61300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163</v>
      </c>
      <c r="E11" s="48">
        <v>-91.000000000000014</v>
      </c>
      <c r="F11" s="49" t="s">
        <v>216</v>
      </c>
      <c r="G11" s="61">
        <v>-9.2624999999999993</v>
      </c>
      <c r="H11" s="49" t="s">
        <v>189</v>
      </c>
      <c r="I11" s="53">
        <v>1450.6884191024681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0.22580645161290322</v>
      </c>
      <c r="R11" s="49" t="s">
        <v>195</v>
      </c>
      <c r="S11" s="52">
        <v>0.18367346938775511</v>
      </c>
      <c r="T11" s="49" t="s">
        <v>216</v>
      </c>
      <c r="U11" s="53">
        <v>7367.8571428571431</v>
      </c>
      <c r="V11" s="49" t="s">
        <v>163</v>
      </c>
      <c r="W11" s="53">
        <v>-8696.2962962962956</v>
      </c>
      <c r="X11" s="49" t="s">
        <v>216</v>
      </c>
      <c r="Y11" s="51">
        <v>0.125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189</v>
      </c>
      <c r="AE11" s="52">
        <v>0.45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195</v>
      </c>
      <c r="E12" s="48">
        <v>-118.3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195</v>
      </c>
      <c r="Q12" s="52">
        <v>0.22448979591836735</v>
      </c>
      <c r="R12" s="49" t="s">
        <v>216</v>
      </c>
      <c r="S12" s="52">
        <v>0.21774193548387097</v>
      </c>
      <c r="T12" s="49" t="s">
        <v>189</v>
      </c>
      <c r="U12" s="53">
        <v>6945.833333333333</v>
      </c>
      <c r="V12" s="49" t="s">
        <v>193</v>
      </c>
      <c r="W12" s="53">
        <v>-9387.5</v>
      </c>
      <c r="X12" s="49" t="s">
        <v>163</v>
      </c>
      <c r="Y12" s="51">
        <v>0.17647058823529413</v>
      </c>
      <c r="Z12" s="49" t="s">
        <v>211</v>
      </c>
      <c r="AA12" s="52">
        <v>0.21808510638297873</v>
      </c>
      <c r="AB12" s="49" t="s">
        <v>216</v>
      </c>
      <c r="AC12" s="52">
        <v>0.18548387096774194</v>
      </c>
      <c r="AD12" s="49" t="s">
        <v>221</v>
      </c>
      <c r="AE12" s="52">
        <v>0.25</v>
      </c>
      <c r="AF12" s="49" t="s">
        <v>163</v>
      </c>
      <c r="AG12" s="52">
        <v>0.36363636363636365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-148.19999999999999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7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171</v>
      </c>
      <c r="C2" s="134"/>
      <c r="E2" s="26" t="s">
        <v>66</v>
      </c>
      <c r="F2" s="23" t="s">
        <v>22</v>
      </c>
      <c r="G2" s="11">
        <v>328</v>
      </c>
      <c r="H2" s="87">
        <f>IF(B$20=0,0,G2/B$20)</f>
        <v>0.78095238095238095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-35.087719298245617</v>
      </c>
      <c r="Q2" s="76">
        <v>171</v>
      </c>
      <c r="R2" s="63">
        <v>-6000</v>
      </c>
    </row>
    <row r="3" spans="1:18" x14ac:dyDescent="0.45">
      <c r="A3" s="19" t="s">
        <v>8</v>
      </c>
      <c r="B3" s="135">
        <v>1410</v>
      </c>
      <c r="C3" s="136"/>
      <c r="E3" s="27" t="s">
        <v>72</v>
      </c>
      <c r="F3" s="24" t="s">
        <v>27</v>
      </c>
      <c r="G3" s="12">
        <v>266</v>
      </c>
      <c r="H3" s="88">
        <f>IF(B$20=0,0,G3/B$20)</f>
        <v>0.6333333333333333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36.363636363636367</v>
      </c>
      <c r="Q3" s="77">
        <v>165</v>
      </c>
      <c r="R3" s="64">
        <v>6000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163</v>
      </c>
      <c r="H4" s="88">
        <f>IF(B$20=0,0,G4/B$20)</f>
        <v>0.3880952380952381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-29.761904761904763</v>
      </c>
      <c r="Q4" s="77">
        <v>168</v>
      </c>
      <c r="R4" s="64">
        <v>-5000</v>
      </c>
    </row>
    <row r="5" spans="1:18" x14ac:dyDescent="0.45">
      <c r="A5" s="19" t="s">
        <v>7</v>
      </c>
      <c r="B5" s="125">
        <f>IF(B$2=0,0,B$4/B$2)</f>
        <v>1.246566203087895E-16</v>
      </c>
      <c r="C5" s="126"/>
      <c r="E5" s="27" t="s">
        <v>159</v>
      </c>
      <c r="F5" s="24" t="s">
        <v>160</v>
      </c>
      <c r="G5" s="12">
        <v>159</v>
      </c>
      <c r="H5" s="88">
        <f>IF(B$20=0,0,G5/B$20)</f>
        <v>0.37857142857142856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32.679738562091501</v>
      </c>
      <c r="Q5" s="77">
        <v>153</v>
      </c>
      <c r="R5" s="64">
        <v>5000</v>
      </c>
    </row>
    <row r="6" spans="1:18" x14ac:dyDescent="0.45">
      <c r="A6" s="19" t="s">
        <v>196</v>
      </c>
      <c r="B6" s="129">
        <v>1597.9964999304941</v>
      </c>
      <c r="C6" s="130"/>
      <c r="E6" s="27" t="s">
        <v>68</v>
      </c>
      <c r="F6" s="24" t="s">
        <v>12</v>
      </c>
      <c r="G6" s="12">
        <v>128</v>
      </c>
      <c r="H6" s="88">
        <f>IF(B$20=0,0,G6/B$20)</f>
        <v>0.30476190476190479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-22.222222222222221</v>
      </c>
      <c r="Q6" s="77">
        <v>135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1.9941520467836258</v>
      </c>
      <c r="C7" s="140"/>
      <c r="E7" s="27" t="s">
        <v>67</v>
      </c>
      <c r="F7" s="24" t="s">
        <v>23</v>
      </c>
      <c r="G7" s="12">
        <v>88</v>
      </c>
      <c r="H7" s="88">
        <f>IF(B$20=0,0,G7/B$20)</f>
        <v>0.20952380952380953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25</v>
      </c>
      <c r="Q7" s="78">
        <v>120</v>
      </c>
      <c r="R7" s="65">
        <v>3000</v>
      </c>
    </row>
    <row r="8" spans="1:18" x14ac:dyDescent="0.45">
      <c r="A8" s="19" t="s">
        <v>2</v>
      </c>
      <c r="B8" s="12">
        <v>58</v>
      </c>
      <c r="C8" s="6">
        <f t="shared" ref="C8:C15" si="1">IF(B$2=0,0,B8/B$2)</f>
        <v>0.33918128654970758</v>
      </c>
      <c r="E8" s="27" t="s">
        <v>89</v>
      </c>
      <c r="F8" s="24" t="s">
        <v>44</v>
      </c>
      <c r="G8" s="12">
        <v>65</v>
      </c>
      <c r="H8" s="88">
        <f>IF(B$20=0,0,G8/B$20)</f>
        <v>0.15476190476190477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56</v>
      </c>
      <c r="C9" s="6">
        <f t="shared" si="1"/>
        <v>0.32748538011695905</v>
      </c>
      <c r="E9" s="27" t="s">
        <v>69</v>
      </c>
      <c r="F9" s="24" t="s">
        <v>24</v>
      </c>
      <c r="G9" s="12">
        <v>50</v>
      </c>
      <c r="H9" s="88">
        <f>IF(B$20=0,0,G9/B$20)</f>
        <v>0.11904761904761904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57</v>
      </c>
      <c r="C10" s="7">
        <f t="shared" si="1"/>
        <v>0.33333333333333331</v>
      </c>
      <c r="E10" s="27" t="s">
        <v>70</v>
      </c>
      <c r="F10" s="24" t="s">
        <v>25</v>
      </c>
      <c r="G10" s="12">
        <v>45</v>
      </c>
      <c r="H10" s="88">
        <f>IF(B$20=0,0,G10/B$20)</f>
        <v>0.10714285714285714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3.0438596491228074</v>
      </c>
      <c r="Q10" s="76">
        <v>57</v>
      </c>
      <c r="R10" s="67">
        <v>173.50000000000003</v>
      </c>
    </row>
    <row r="11" spans="1:18" x14ac:dyDescent="0.45">
      <c r="A11" s="20" t="s">
        <v>184</v>
      </c>
      <c r="B11" s="109">
        <f>IF(B8=0,0,C11/B8)</f>
        <v>34.401724137931033</v>
      </c>
      <c r="C11" s="110">
        <v>1995.3</v>
      </c>
      <c r="E11" s="27" t="s">
        <v>65</v>
      </c>
      <c r="F11" s="24" t="s">
        <v>21</v>
      </c>
      <c r="G11" s="12">
        <v>31</v>
      </c>
      <c r="H11" s="88">
        <f>IF(B$20=0,0,G11/B$20)</f>
        <v>7.3809523809523811E-2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-6.9842105263157892</v>
      </c>
      <c r="Q11" s="77">
        <v>57</v>
      </c>
      <c r="R11" s="68">
        <v>-398.09999999999997</v>
      </c>
    </row>
    <row r="12" spans="1:18" x14ac:dyDescent="0.45">
      <c r="A12" s="20" t="s">
        <v>185</v>
      </c>
      <c r="B12" s="109">
        <f>IF(B9=0,0,C12/B9)</f>
        <v>-1.2803571428571427</v>
      </c>
      <c r="C12" s="110">
        <v>-71.699999999999989</v>
      </c>
      <c r="E12" s="27" t="s">
        <v>71</v>
      </c>
      <c r="F12" s="24" t="s">
        <v>26</v>
      </c>
      <c r="G12" s="12">
        <v>23</v>
      </c>
      <c r="H12" s="88">
        <f>IF(B$20=0,0,G12/B$20)</f>
        <v>5.4761904761904762E-2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3.9403508771929832</v>
      </c>
      <c r="Q12" s="78">
        <v>57</v>
      </c>
      <c r="R12" s="69">
        <v>224.60000000000005</v>
      </c>
    </row>
    <row r="13" spans="1:18" x14ac:dyDescent="0.45">
      <c r="A13" s="20" t="s">
        <v>186</v>
      </c>
      <c r="B13" s="109">
        <f>IF(B10=0,0,C13/B10)</f>
        <v>-33.747368421052627</v>
      </c>
      <c r="C13" s="110">
        <v>-1923.6</v>
      </c>
      <c r="E13" s="27" t="s">
        <v>86</v>
      </c>
      <c r="F13" s="24" t="s">
        <v>41</v>
      </c>
      <c r="G13" s="12">
        <v>20</v>
      </c>
      <c r="H13" s="88">
        <f>IF(B$20=0,0,G13/B$20)</f>
        <v>4.7619047619047616E-2</v>
      </c>
      <c r="I13" s="58">
        <v>4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-0.20866714199291181</v>
      </c>
      <c r="C14" s="126"/>
      <c r="E14" s="27" t="s">
        <v>83</v>
      </c>
      <c r="F14" s="24" t="s">
        <v>38</v>
      </c>
      <c r="G14" s="12">
        <v>17</v>
      </c>
      <c r="H14" s="88">
        <f>IF(B$20=0,0,G14/B$20)</f>
        <v>4.0476190476190478E-2</v>
      </c>
      <c r="I14" s="58">
        <v>7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13</v>
      </c>
      <c r="C15" s="9">
        <f t="shared" si="1"/>
        <v>7.6023391812865493E-2</v>
      </c>
      <c r="E15" s="27" t="s">
        <v>78</v>
      </c>
      <c r="F15" s="24" t="s">
        <v>33</v>
      </c>
      <c r="G15" s="12">
        <v>13</v>
      </c>
      <c r="H15" s="88">
        <f>IF(B$20=0,0,G15/B$20)</f>
        <v>3.0952380952380953E-2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338</v>
      </c>
      <c r="C16" s="10">
        <f>IF(B$3=0,0,B16/B$3)</f>
        <v>0.2397163120567376</v>
      </c>
      <c r="E16" s="27" t="s">
        <v>81</v>
      </c>
      <c r="F16" s="24" t="s">
        <v>36</v>
      </c>
      <c r="G16" s="12">
        <v>13</v>
      </c>
      <c r="H16" s="88">
        <f>IF(B$20=0,0,G16/B$20)</f>
        <v>3.0952380952380953E-2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328</v>
      </c>
      <c r="C17" s="6">
        <f>IF(B$3=0,0,B17/B$3)</f>
        <v>0.23262411347517731</v>
      </c>
      <c r="E17" s="27" t="s">
        <v>91</v>
      </c>
      <c r="F17" s="24" t="s">
        <v>46</v>
      </c>
      <c r="G17" s="12">
        <v>11</v>
      </c>
      <c r="H17" s="88">
        <f>IF(B$20=0,0,G17/B$20)</f>
        <v>2.6190476190476191E-2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13.893750000000002</v>
      </c>
      <c r="Q17" s="77">
        <v>32</v>
      </c>
      <c r="R17" s="68">
        <v>444.60000000000008</v>
      </c>
    </row>
    <row r="18" spans="1:18" x14ac:dyDescent="0.45">
      <c r="A18" s="18" t="s">
        <v>123</v>
      </c>
      <c r="B18" s="11">
        <f>B24</f>
        <v>174</v>
      </c>
      <c r="C18" s="5">
        <f>IF(B$16=0,0,B18/B$16)</f>
        <v>0.51479289940828399</v>
      </c>
      <c r="E18" s="27" t="s">
        <v>155</v>
      </c>
      <c r="F18" s="24" t="s">
        <v>156</v>
      </c>
      <c r="G18" s="12">
        <v>8</v>
      </c>
      <c r="H18" s="88">
        <f>IF(B$20=0,0,G18/B$20)</f>
        <v>1.9047619047619049E-2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149</v>
      </c>
      <c r="C19" s="5">
        <f>IF(B$17=0,0,B19/B$17)</f>
        <v>0.45426829268292684</v>
      </c>
      <c r="E19" s="27" t="s">
        <v>79</v>
      </c>
      <c r="F19" s="24" t="s">
        <v>34</v>
      </c>
      <c r="G19" s="12">
        <v>7</v>
      </c>
      <c r="H19" s="88">
        <f>IF(B$20=0,0,G19/B$20)</f>
        <v>1.6666666666666666E-2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420</v>
      </c>
      <c r="C20" s="5">
        <f>IF(B$3=0,0,B20/B$3)</f>
        <v>0.2978723404255319</v>
      </c>
      <c r="E20" s="27" t="s">
        <v>73</v>
      </c>
      <c r="F20" s="24" t="s">
        <v>28</v>
      </c>
      <c r="G20" s="12">
        <v>4</v>
      </c>
      <c r="H20" s="88">
        <f>IF(B$20=0,0,G20/B$20)</f>
        <v>9.5238095238095247E-3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8.0294117647058876</v>
      </c>
      <c r="Q20" s="77">
        <v>34</v>
      </c>
      <c r="R20" s="68">
        <v>273.00000000000017</v>
      </c>
    </row>
    <row r="21" spans="1:18" x14ac:dyDescent="0.45">
      <c r="A21" s="19" t="s">
        <v>13</v>
      </c>
      <c r="B21" s="12">
        <v>231</v>
      </c>
      <c r="C21" s="6">
        <f>IF(B$3=0,0,B21/B$3)</f>
        <v>0.16382978723404254</v>
      </c>
      <c r="E21" s="27" t="s">
        <v>85</v>
      </c>
      <c r="F21" s="24" t="s">
        <v>40</v>
      </c>
      <c r="G21" s="12">
        <v>3</v>
      </c>
      <c r="H21" s="88">
        <f>IF(B$20=0,0,G21/B$20)</f>
        <v>7.1428571428571426E-3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-1.2583333333333322</v>
      </c>
      <c r="Q21" s="77">
        <v>36</v>
      </c>
      <c r="R21" s="68">
        <v>-45.299999999999962</v>
      </c>
    </row>
    <row r="22" spans="1:18" x14ac:dyDescent="0.45">
      <c r="A22" s="19" t="s">
        <v>12</v>
      </c>
      <c r="B22" s="12">
        <v>188</v>
      </c>
      <c r="C22" s="6">
        <f>IF(B$20=0,0,B22/B$20)</f>
        <v>0.44761904761904764</v>
      </c>
      <c r="E22" s="27" t="s">
        <v>88</v>
      </c>
      <c r="F22" s="24" t="s">
        <v>43</v>
      </c>
      <c r="G22" s="12">
        <v>3</v>
      </c>
      <c r="H22" s="88">
        <f>IF(B$20=0,0,G22/B$20)</f>
        <v>7.1428571428571426E-3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-5.0666666666666629</v>
      </c>
      <c r="Q22" s="77">
        <v>90</v>
      </c>
      <c r="R22" s="68">
        <v>-455.99999999999966</v>
      </c>
    </row>
    <row r="23" spans="1:18" x14ac:dyDescent="0.45">
      <c r="A23" s="19" t="s">
        <v>11</v>
      </c>
      <c r="B23" s="12">
        <v>232</v>
      </c>
      <c r="C23" s="6">
        <f>IF(B$20=0,0,B23/B$20)</f>
        <v>0.55238095238095242</v>
      </c>
      <c r="E23" s="27" t="s">
        <v>77</v>
      </c>
      <c r="F23" s="24" t="s">
        <v>32</v>
      </c>
      <c r="G23" s="12">
        <v>2</v>
      </c>
      <c r="H23" s="88">
        <f>IF(B$20=0,0,G23/B$20)</f>
        <v>4.7619047619047623E-3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-6.8000000000000007</v>
      </c>
      <c r="Q23" s="77">
        <v>48</v>
      </c>
      <c r="R23" s="68">
        <v>-326.40000000000003</v>
      </c>
    </row>
    <row r="24" spans="1:18" x14ac:dyDescent="0.45">
      <c r="A24" s="19" t="s">
        <v>183</v>
      </c>
      <c r="B24" s="12">
        <v>174</v>
      </c>
      <c r="C24" s="6">
        <f>IF(B$20=0,0,B24/B$20)</f>
        <v>0.41428571428571431</v>
      </c>
      <c r="E24" s="27" t="s">
        <v>75</v>
      </c>
      <c r="F24" s="24" t="s">
        <v>30</v>
      </c>
      <c r="G24" s="12">
        <v>1</v>
      </c>
      <c r="H24" s="88">
        <f>IF(B$20=0,0,G24/B$20)</f>
        <v>2.3809523809523812E-3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-10.437931034482762</v>
      </c>
      <c r="Q24" s="77">
        <v>58</v>
      </c>
      <c r="R24" s="68">
        <v>-605.4000000000002</v>
      </c>
    </row>
    <row r="25" spans="1:18" x14ac:dyDescent="0.45">
      <c r="A25" s="19" t="s">
        <v>181</v>
      </c>
      <c r="B25" s="12">
        <v>149</v>
      </c>
      <c r="C25" s="6">
        <f>IF(B$20=0,0,B25/B$20)</f>
        <v>0.35476190476190478</v>
      </c>
      <c r="E25" s="27" t="s">
        <v>92</v>
      </c>
      <c r="F25" s="24" t="s">
        <v>47</v>
      </c>
      <c r="G25" s="12">
        <v>1</v>
      </c>
      <c r="H25" s="88">
        <f>IF(B$20=0,0,G25/B$20)</f>
        <v>2.3809523809523812E-3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97</v>
      </c>
      <c r="C26" s="6">
        <f>IF(B$20=0,0,B26/B$20)</f>
        <v>0.23095238095238096</v>
      </c>
      <c r="E26" s="27" t="s">
        <v>102</v>
      </c>
      <c r="F26" s="24" t="s">
        <v>57</v>
      </c>
      <c r="G26" s="12">
        <v>1</v>
      </c>
      <c r="H26" s="88">
        <f>IF(B$20=0,0,G26/B$20)</f>
        <v>2.3809523809523812E-3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8118.8095238095239</v>
      </c>
      <c r="C27" s="8">
        <v>3409900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8828.413284132841</v>
      </c>
      <c r="C28" s="96">
        <v>2392500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6828.1879194630874</v>
      </c>
      <c r="C29" s="96">
        <v>1017400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-7292.6406926406926</v>
      </c>
      <c r="C30" s="96">
        <v>-1684600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8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3.5460992907801418E-3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35</v>
      </c>
      <c r="C37" s="98">
        <f t="shared" ref="C37:C49" si="2">IF(B$20=0,0,B37/B$20)</f>
        <v>8.3333333333333329E-2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85</v>
      </c>
      <c r="C38" s="6">
        <f t="shared" si="2"/>
        <v>0.20238095238095238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82</v>
      </c>
      <c r="C39" s="6">
        <f t="shared" si="2"/>
        <v>0.19523809523809524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66</v>
      </c>
      <c r="C40" s="6">
        <f t="shared" si="2"/>
        <v>0.15714285714285714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57</v>
      </c>
      <c r="C41" s="6">
        <f t="shared" si="2"/>
        <v>0.1357142857142857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40</v>
      </c>
      <c r="C42" s="6">
        <f t="shared" si="2"/>
        <v>9.5238095238095233E-2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25</v>
      </c>
      <c r="C43" s="6">
        <f t="shared" si="2"/>
        <v>5.9523809523809521E-2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13</v>
      </c>
      <c r="C44" s="6">
        <f t="shared" si="2"/>
        <v>3.0952380952380953E-2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8</v>
      </c>
      <c r="C45" s="6">
        <f t="shared" si="2"/>
        <v>1.9047619047619049E-2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1.1904761904761904E-2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4.7619047619047623E-3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2</v>
      </c>
      <c r="C49" s="9">
        <f t="shared" si="2"/>
        <v>4.7619047619047623E-3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86</v>
      </c>
      <c r="H2" s="87">
        <f>IF(B$20=0,0,G2/B$20)</f>
        <v>0.74782608695652175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2131.1111111111113</v>
      </c>
      <c r="Q2" s="76">
        <v>45</v>
      </c>
      <c r="R2" s="63">
        <v>95900</v>
      </c>
    </row>
    <row r="3" spans="1:18" x14ac:dyDescent="0.45">
      <c r="A3" s="19" t="s">
        <v>8</v>
      </c>
      <c r="B3" s="135">
        <v>365</v>
      </c>
      <c r="C3" s="136"/>
      <c r="E3" s="27" t="s">
        <v>72</v>
      </c>
      <c r="F3" s="24" t="s">
        <v>27</v>
      </c>
      <c r="G3" s="12">
        <v>78</v>
      </c>
      <c r="H3" s="88">
        <f>IF(B$20=0,0,G3/B$20)</f>
        <v>0.67826086956521736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-1351.1627906976744</v>
      </c>
      <c r="Q3" s="77">
        <v>43</v>
      </c>
      <c r="R3" s="64">
        <v>-58100</v>
      </c>
    </row>
    <row r="4" spans="1:18" x14ac:dyDescent="0.45">
      <c r="A4" s="19" t="s">
        <v>6</v>
      </c>
      <c r="B4" s="137">
        <v>151.99999999999997</v>
      </c>
      <c r="C4" s="138"/>
      <c r="E4" s="27" t="s">
        <v>64</v>
      </c>
      <c r="F4" s="24" t="s">
        <v>20</v>
      </c>
      <c r="G4" s="12">
        <v>47</v>
      </c>
      <c r="H4" s="88">
        <f>IF(B$20=0,0,G4/B$20)</f>
        <v>0.40869565217391307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-365.90909090909093</v>
      </c>
      <c r="Q4" s="77">
        <v>44</v>
      </c>
      <c r="R4" s="64">
        <v>-16100</v>
      </c>
    </row>
    <row r="5" spans="1:18" x14ac:dyDescent="0.45">
      <c r="A5" s="19" t="s">
        <v>7</v>
      </c>
      <c r="B5" s="125">
        <f>IF(B$2=0,0,B$4/B$2)</f>
        <v>3.3777777777777773</v>
      </c>
      <c r="C5" s="126"/>
      <c r="E5" s="27" t="s">
        <v>159</v>
      </c>
      <c r="F5" s="24" t="s">
        <v>160</v>
      </c>
      <c r="G5" s="12">
        <v>45</v>
      </c>
      <c r="H5" s="88">
        <f>IF(B$20=0,0,G5/B$20)</f>
        <v>0.39130434782608697</v>
      </c>
      <c r="I5" s="58">
        <v>5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1680.4878048780488</v>
      </c>
      <c r="Q5" s="77">
        <v>41</v>
      </c>
      <c r="R5" s="64">
        <v>68900</v>
      </c>
    </row>
    <row r="6" spans="1:18" x14ac:dyDescent="0.45">
      <c r="A6" s="19" t="s">
        <v>196</v>
      </c>
      <c r="B6" s="129">
        <v>1810.4295975317114</v>
      </c>
      <c r="C6" s="130"/>
      <c r="E6" s="27" t="s">
        <v>68</v>
      </c>
      <c r="F6" s="24" t="s">
        <v>12</v>
      </c>
      <c r="G6" s="12">
        <v>37</v>
      </c>
      <c r="H6" s="88">
        <f>IF(B$20=0,0,G6/B$20)</f>
        <v>0.32173913043478258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-419.44444444444446</v>
      </c>
      <c r="Q6" s="77">
        <v>36</v>
      </c>
      <c r="R6" s="64">
        <v>-15100</v>
      </c>
    </row>
    <row r="7" spans="1:18" x14ac:dyDescent="0.45">
      <c r="A7" s="19" t="s">
        <v>1</v>
      </c>
      <c r="B7" s="139">
        <f>IF(B$2=0,0,(B$8*1+B$9*2+B$10*3)/B$2)</f>
        <v>1.9777777777777779</v>
      </c>
      <c r="C7" s="140"/>
      <c r="E7" s="27" t="s">
        <v>67</v>
      </c>
      <c r="F7" s="24" t="s">
        <v>23</v>
      </c>
      <c r="G7" s="12">
        <v>22</v>
      </c>
      <c r="H7" s="88">
        <f>IF(B$20=0,0,G7/B$20)</f>
        <v>0.19130434782608696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-1003.2258064516129</v>
      </c>
      <c r="Q7" s="78">
        <v>31</v>
      </c>
      <c r="R7" s="65">
        <v>-31100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0.31111111111111112</v>
      </c>
      <c r="E8" s="27" t="s">
        <v>69</v>
      </c>
      <c r="F8" s="24" t="s">
        <v>24</v>
      </c>
      <c r="G8" s="12">
        <v>21</v>
      </c>
      <c r="H8" s="88">
        <f>IF(B$20=0,0,G8/B$20)</f>
        <v>0.18260869565217391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18</v>
      </c>
      <c r="C9" s="6">
        <f t="shared" si="1"/>
        <v>0.4</v>
      </c>
      <c r="E9" s="27" t="s">
        <v>70</v>
      </c>
      <c r="F9" s="24" t="s">
        <v>25</v>
      </c>
      <c r="G9" s="12">
        <v>19</v>
      </c>
      <c r="H9" s="88">
        <f>IF(B$20=0,0,G9/B$20)</f>
        <v>0.16521739130434782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13</v>
      </c>
      <c r="C10" s="7">
        <f t="shared" si="1"/>
        <v>0.28888888888888886</v>
      </c>
      <c r="E10" s="27" t="s">
        <v>89</v>
      </c>
      <c r="F10" s="24" t="s">
        <v>44</v>
      </c>
      <c r="G10" s="12">
        <v>18</v>
      </c>
      <c r="H10" s="88">
        <f>IF(B$20=0,0,G10/B$20)</f>
        <v>0.15652173913043479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10.962499999999999</v>
      </c>
      <c r="Q10" s="76">
        <v>16</v>
      </c>
      <c r="R10" s="67">
        <v>175.39999999999998</v>
      </c>
    </row>
    <row r="11" spans="1:18" x14ac:dyDescent="0.45">
      <c r="A11" s="20" t="s">
        <v>184</v>
      </c>
      <c r="B11" s="109">
        <f>IF(B8=0,0,C11/B8)</f>
        <v>40.65</v>
      </c>
      <c r="C11" s="110">
        <v>569.1</v>
      </c>
      <c r="E11" s="27" t="s">
        <v>65</v>
      </c>
      <c r="F11" s="24" t="s">
        <v>21</v>
      </c>
      <c r="G11" s="12">
        <v>10</v>
      </c>
      <c r="H11" s="88">
        <f>IF(B$20=0,0,G11/B$20)</f>
        <v>8.6956521739130432E-2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-5.6058823529411761</v>
      </c>
      <c r="Q11" s="77">
        <v>17</v>
      </c>
      <c r="R11" s="68">
        <v>-95.3</v>
      </c>
    </row>
    <row r="12" spans="1:18" x14ac:dyDescent="0.45">
      <c r="A12" s="20" t="s">
        <v>185</v>
      </c>
      <c r="B12" s="109">
        <f>IF(B9=0,0,C12/B9)</f>
        <v>-4.05</v>
      </c>
      <c r="C12" s="110">
        <v>-72.899999999999991</v>
      </c>
      <c r="E12" s="27" t="s">
        <v>83</v>
      </c>
      <c r="F12" s="24" t="s">
        <v>38</v>
      </c>
      <c r="G12" s="12">
        <v>6</v>
      </c>
      <c r="H12" s="88">
        <f>IF(B$20=0,0,G12/B$20)</f>
        <v>5.2173913043478258E-2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5.9916666666666671</v>
      </c>
      <c r="Q12" s="78">
        <v>12</v>
      </c>
      <c r="R12" s="69">
        <v>71.900000000000006</v>
      </c>
    </row>
    <row r="13" spans="1:18" x14ac:dyDescent="0.45">
      <c r="A13" s="20" t="s">
        <v>186</v>
      </c>
      <c r="B13" s="109">
        <f>IF(B10=0,0,C13/B10)</f>
        <v>-26.476923076923075</v>
      </c>
      <c r="C13" s="110">
        <v>-344.2</v>
      </c>
      <c r="E13" s="27" t="s">
        <v>155</v>
      </c>
      <c r="F13" s="24" t="s">
        <v>156</v>
      </c>
      <c r="G13" s="12">
        <v>6</v>
      </c>
      <c r="H13" s="88">
        <f>IF(B$20=0,0,G13/B$20)</f>
        <v>5.2173913043478258E-2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3.3743589743589752</v>
      </c>
      <c r="C14" s="126"/>
      <c r="E14" s="27" t="s">
        <v>71</v>
      </c>
      <c r="F14" s="24" t="s">
        <v>26</v>
      </c>
      <c r="G14" s="12">
        <v>5</v>
      </c>
      <c r="H14" s="88">
        <f>IF(B$20=0,0,G14/B$20)</f>
        <v>4.3478260869565216E-2</v>
      </c>
      <c r="I14" s="58">
        <v>5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4.4444444444444446E-2</v>
      </c>
      <c r="E15" s="27" t="s">
        <v>86</v>
      </c>
      <c r="F15" s="24" t="s">
        <v>41</v>
      </c>
      <c r="G15" s="12">
        <v>4</v>
      </c>
      <c r="H15" s="88">
        <f>IF(B$20=0,0,G15/B$20)</f>
        <v>3.4782608695652174E-2</v>
      </c>
      <c r="I15" s="58">
        <v>7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93</v>
      </c>
      <c r="C16" s="10">
        <f>IF(B$3=0,0,B16/B$3)</f>
        <v>0.25479452054794521</v>
      </c>
      <c r="E16" s="27" t="s">
        <v>91</v>
      </c>
      <c r="F16" s="24" t="s">
        <v>46</v>
      </c>
      <c r="G16" s="12">
        <v>4</v>
      </c>
      <c r="H16" s="88">
        <f>IF(B$20=0,0,G16/B$20)</f>
        <v>3.4782608695652174E-2</v>
      </c>
      <c r="I16" s="58">
        <v>3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82</v>
      </c>
      <c r="C17" s="6">
        <f>IF(B$3=0,0,B17/B$3)</f>
        <v>0.22465753424657534</v>
      </c>
      <c r="E17" s="27" t="s">
        <v>78</v>
      </c>
      <c r="F17" s="24" t="s">
        <v>33</v>
      </c>
      <c r="G17" s="12">
        <v>3</v>
      </c>
      <c r="H17" s="88">
        <f>IF(B$20=0,0,G17/B$20)</f>
        <v>2.6086956521739129E-2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17.438461538461542</v>
      </c>
      <c r="Q17" s="77">
        <v>13</v>
      </c>
      <c r="R17" s="68">
        <v>226.70000000000005</v>
      </c>
    </row>
    <row r="18" spans="1:18" x14ac:dyDescent="0.45">
      <c r="A18" s="18" t="s">
        <v>123</v>
      </c>
      <c r="B18" s="11">
        <f>B24</f>
        <v>53</v>
      </c>
      <c r="C18" s="5">
        <f>IF(B$16=0,0,B18/B$16)</f>
        <v>0.56989247311827962</v>
      </c>
      <c r="E18" s="27" t="s">
        <v>81</v>
      </c>
      <c r="F18" s="24" t="s">
        <v>36</v>
      </c>
      <c r="G18" s="12">
        <v>3</v>
      </c>
      <c r="H18" s="88">
        <f>IF(B$20=0,0,G18/B$20)</f>
        <v>2.6086956521739129E-2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37</v>
      </c>
      <c r="C19" s="5">
        <f>IF(B$17=0,0,B19/B$17)</f>
        <v>0.45121951219512196</v>
      </c>
      <c r="E19" s="27" t="s">
        <v>73</v>
      </c>
      <c r="F19" s="24" t="s">
        <v>28</v>
      </c>
      <c r="G19" s="12">
        <v>1</v>
      </c>
      <c r="H19" s="88">
        <f>IF(B$20=0,0,G19/B$20)</f>
        <v>8.6956521739130436E-3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216</v>
      </c>
      <c r="P19" s="83">
        <f>IF(Q19=0,0,R19/Q19)</f>
        <v>11.879999999999999</v>
      </c>
      <c r="Q19" s="77">
        <v>10</v>
      </c>
      <c r="R19" s="68">
        <v>118.79999999999998</v>
      </c>
    </row>
    <row r="20" spans="1:18" x14ac:dyDescent="0.45">
      <c r="A20" s="18" t="s">
        <v>10</v>
      </c>
      <c r="B20" s="11">
        <f>B23+B22</f>
        <v>115</v>
      </c>
      <c r="C20" s="5">
        <f>IF(B$3=0,0,B20/B$3)</f>
        <v>0.31506849315068491</v>
      </c>
      <c r="E20" s="27" t="s">
        <v>79</v>
      </c>
      <c r="F20" s="24" t="s">
        <v>34</v>
      </c>
      <c r="G20" s="12">
        <v>1</v>
      </c>
      <c r="H20" s="88">
        <f>IF(B$20=0,0,G20/B$20)</f>
        <v>8.6956521739130436E-3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4.7666666666666666</v>
      </c>
      <c r="Q20" s="77">
        <v>15</v>
      </c>
      <c r="R20" s="68">
        <v>71.5</v>
      </c>
    </row>
    <row r="21" spans="1:18" x14ac:dyDescent="0.45">
      <c r="A21" s="19" t="s">
        <v>13</v>
      </c>
      <c r="B21" s="12">
        <v>63</v>
      </c>
      <c r="C21" s="6">
        <f>IF(B$3=0,0,B21/B$3)</f>
        <v>0.17260273972602741</v>
      </c>
      <c r="E21" s="27" t="s">
        <v>85</v>
      </c>
      <c r="F21" s="24" t="s">
        <v>40</v>
      </c>
      <c r="G21" s="12">
        <v>1</v>
      </c>
      <c r="H21" s="88">
        <f>IF(B$20=0,0,G21/B$20)</f>
        <v>8.6956521739130436E-3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-2.7066666666666661</v>
      </c>
      <c r="Q21" s="77">
        <v>15</v>
      </c>
      <c r="R21" s="68">
        <v>-40.599999999999994</v>
      </c>
    </row>
    <row r="22" spans="1:18" x14ac:dyDescent="0.45">
      <c r="A22" s="19" t="s">
        <v>12</v>
      </c>
      <c r="B22" s="12">
        <v>54</v>
      </c>
      <c r="C22" s="6">
        <f>IF(B$20=0,0,B22/B$20)</f>
        <v>0.46956521739130436</v>
      </c>
      <c r="E22" s="27" t="s">
        <v>92</v>
      </c>
      <c r="F22" s="24" t="s">
        <v>47</v>
      </c>
      <c r="G22" s="12">
        <v>1</v>
      </c>
      <c r="H22" s="88">
        <f>IF(B$20=0,0,G22/B$20)</f>
        <v>8.6956521739130436E-3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-9.1695652173913089</v>
      </c>
      <c r="Q22" s="77">
        <v>23</v>
      </c>
      <c r="R22" s="68">
        <v>-210.90000000000009</v>
      </c>
    </row>
    <row r="23" spans="1:18" x14ac:dyDescent="0.45">
      <c r="A23" s="19" t="s">
        <v>11</v>
      </c>
      <c r="B23" s="12">
        <v>61</v>
      </c>
      <c r="C23" s="6">
        <f>IF(B$20=0,0,B23/B$20)</f>
        <v>0.5304347826086957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53</v>
      </c>
      <c r="C24" s="6">
        <f>IF(B$20=0,0,B24/B$20)</f>
        <v>0.46086956521739131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37</v>
      </c>
      <c r="C25" s="6">
        <f>IF(B$20=0,0,B25/B$20)</f>
        <v>0.32173913043478258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25</v>
      </c>
      <c r="C26" s="6">
        <f>IF(B$20=0,0,B26/B$20)</f>
        <v>0.21739130434782608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8762.608695652174</v>
      </c>
      <c r="C27" s="8">
        <v>1007700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9221.7948717948711</v>
      </c>
      <c r="C28" s="96">
        <v>719300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7794.594594594595</v>
      </c>
      <c r="C29" s="96">
        <v>288400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-6449.2063492063489</v>
      </c>
      <c r="C30" s="96">
        <v>-406300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2.7397260273972603E-3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5</v>
      </c>
      <c r="C37" s="98">
        <f t="shared" ref="C37:C49" si="2">IF(B$20=0,0,B37/B$20)</f>
        <v>4.3478260869565216E-2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17</v>
      </c>
      <c r="C38" s="6">
        <f t="shared" si="2"/>
        <v>0.14782608695652175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29</v>
      </c>
      <c r="C39" s="6">
        <f t="shared" si="2"/>
        <v>0.25217391304347825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14</v>
      </c>
      <c r="C40" s="6">
        <f t="shared" si="2"/>
        <v>0.12173913043478261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20</v>
      </c>
      <c r="C41" s="6">
        <f t="shared" si="2"/>
        <v>0.17391304347826086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16</v>
      </c>
      <c r="C42" s="6">
        <f t="shared" si="2"/>
        <v>0.1391304347826087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7</v>
      </c>
      <c r="C43" s="6">
        <f t="shared" si="2"/>
        <v>6.0869565217391307E-2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8.6956521739130436E-3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3</v>
      </c>
      <c r="C45" s="6">
        <f t="shared" si="2"/>
        <v>2.6086956521739129E-2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8.6956521739130436E-3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8.6956521739130436E-3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8.6956521739130436E-3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42</v>
      </c>
      <c r="H2" s="87">
        <f>IF(B$20=0,0,G2/B$20)</f>
        <v>1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2882.3529411764707</v>
      </c>
      <c r="Q2" s="76">
        <v>17</v>
      </c>
      <c r="R2" s="63">
        <v>49000</v>
      </c>
    </row>
    <row r="3" spans="1:18" x14ac:dyDescent="0.45">
      <c r="A3" s="19" t="s">
        <v>8</v>
      </c>
      <c r="B3" s="135">
        <v>149</v>
      </c>
      <c r="C3" s="136"/>
      <c r="E3" s="27" t="s">
        <v>72</v>
      </c>
      <c r="F3" s="24" t="s">
        <v>27</v>
      </c>
      <c r="G3" s="12">
        <v>22</v>
      </c>
      <c r="H3" s="88">
        <f>IF(B$20=0,0,G3/B$20)</f>
        <v>0.52380952380952384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-406.25</v>
      </c>
      <c r="Q3" s="77">
        <v>16</v>
      </c>
      <c r="R3" s="64">
        <v>-6500</v>
      </c>
    </row>
    <row r="4" spans="1:18" x14ac:dyDescent="0.45">
      <c r="A4" s="19" t="s">
        <v>6</v>
      </c>
      <c r="B4" s="137">
        <v>-91.000000000000014</v>
      </c>
      <c r="C4" s="138"/>
      <c r="E4" s="27" t="s">
        <v>159</v>
      </c>
      <c r="F4" s="24" t="s">
        <v>160</v>
      </c>
      <c r="G4" s="12">
        <v>17</v>
      </c>
      <c r="H4" s="88">
        <f>IF(B$20=0,0,G4/B$20)</f>
        <v>0.40476190476190477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-1618.75</v>
      </c>
      <c r="Q4" s="77">
        <v>16</v>
      </c>
      <c r="R4" s="64">
        <v>-25900</v>
      </c>
    </row>
    <row r="5" spans="1:18" x14ac:dyDescent="0.45">
      <c r="A5" s="19" t="s">
        <v>7</v>
      </c>
      <c r="B5" s="125">
        <f>IF(B$2=0,0,B$4/B$2)</f>
        <v>-5.3529411764705888</v>
      </c>
      <c r="C5" s="126"/>
      <c r="E5" s="27" t="s">
        <v>64</v>
      </c>
      <c r="F5" s="24" t="s">
        <v>20</v>
      </c>
      <c r="G5" s="12">
        <v>16</v>
      </c>
      <c r="H5" s="88">
        <f>IF(B$20=0,0,G5/B$20)</f>
        <v>0.38095238095238093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1466.6666666666667</v>
      </c>
      <c r="Q5" s="77">
        <v>15</v>
      </c>
      <c r="R5" s="64">
        <v>22000</v>
      </c>
    </row>
    <row r="6" spans="1:18" x14ac:dyDescent="0.45">
      <c r="A6" s="19" t="s">
        <v>196</v>
      </c>
      <c r="B6" s="129">
        <v>1635.9985155013371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0.33333333333333331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-2408.3333333333335</v>
      </c>
      <c r="Q6" s="77">
        <v>12</v>
      </c>
      <c r="R6" s="64">
        <v>-28900</v>
      </c>
    </row>
    <row r="7" spans="1:18" x14ac:dyDescent="0.45">
      <c r="A7" s="19" t="s">
        <v>1</v>
      </c>
      <c r="B7" s="139">
        <f>IF(B$2=0,0,(B$8*1+B$9*2+B$10*3)/B$2)</f>
        <v>2.1176470588235294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0.19047619047619047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-620</v>
      </c>
      <c r="Q7" s="78">
        <v>10</v>
      </c>
      <c r="R7" s="65">
        <v>-6200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0.35294117647058826</v>
      </c>
      <c r="E8" s="27" t="s">
        <v>89</v>
      </c>
      <c r="F8" s="24" t="s">
        <v>44</v>
      </c>
      <c r="G8" s="12">
        <v>8</v>
      </c>
      <c r="H8" s="88">
        <f>IF(B$20=0,0,G8/B$20)</f>
        <v>0.19047619047619047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0.17647058823529413</v>
      </c>
      <c r="E9" s="27" t="s">
        <v>69</v>
      </c>
      <c r="F9" s="24" t="s">
        <v>24</v>
      </c>
      <c r="G9" s="12">
        <v>4</v>
      </c>
      <c r="H9" s="88">
        <f>IF(B$20=0,0,G9/B$20)</f>
        <v>9.5238095238095233E-2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0.47058823529411764</v>
      </c>
      <c r="E10" s="27" t="s">
        <v>78</v>
      </c>
      <c r="F10" s="24" t="s">
        <v>33</v>
      </c>
      <c r="G10" s="12">
        <v>3</v>
      </c>
      <c r="H10" s="88">
        <f>IF(B$20=0,0,G10/B$20)</f>
        <v>7.1428571428571425E-2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-1.2000000000000004</v>
      </c>
      <c r="Q10" s="76">
        <v>6</v>
      </c>
      <c r="R10" s="67">
        <v>-7.2000000000000028</v>
      </c>
    </row>
    <row r="11" spans="1:18" x14ac:dyDescent="0.45">
      <c r="A11" s="20" t="s">
        <v>184</v>
      </c>
      <c r="B11" s="109">
        <f>IF(B8=0,0,C11/B8)</f>
        <v>37.533333333333331</v>
      </c>
      <c r="C11" s="110">
        <v>225.2</v>
      </c>
      <c r="E11" s="27" t="s">
        <v>81</v>
      </c>
      <c r="F11" s="24" t="s">
        <v>36</v>
      </c>
      <c r="G11" s="12">
        <v>3</v>
      </c>
      <c r="H11" s="88">
        <f>IF(B$20=0,0,G11/B$20)</f>
        <v>7.1428571428571425E-2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-13.71666666666667</v>
      </c>
      <c r="Q11" s="77">
        <v>6</v>
      </c>
      <c r="R11" s="68">
        <v>-82.300000000000026</v>
      </c>
    </row>
    <row r="12" spans="1:18" x14ac:dyDescent="0.45">
      <c r="A12" s="20" t="s">
        <v>185</v>
      </c>
      <c r="B12" s="109">
        <f>IF(B9=0,0,C12/B9)</f>
        <v>6.2666666666666666</v>
      </c>
      <c r="C12" s="110">
        <v>18.8</v>
      </c>
      <c r="E12" s="27" t="s">
        <v>65</v>
      </c>
      <c r="F12" s="24" t="s">
        <v>21</v>
      </c>
      <c r="G12" s="12">
        <v>2</v>
      </c>
      <c r="H12" s="88">
        <f>IF(B$20=0,0,G12/B$20)</f>
        <v>4.7619047619047616E-2</v>
      </c>
      <c r="I12" s="58">
        <v>9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-41.875</v>
      </c>
      <c r="C13" s="110">
        <v>-335</v>
      </c>
      <c r="E13" s="27" t="s">
        <v>83</v>
      </c>
      <c r="F13" s="24" t="s">
        <v>38</v>
      </c>
      <c r="G13" s="12">
        <v>2</v>
      </c>
      <c r="H13" s="88">
        <f>IF(B$20=0,0,G13/B$20)</f>
        <v>4.7619047619047616E-2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0.64166666666666572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4.7619047619047616E-2</v>
      </c>
      <c r="I14" s="58">
        <v>4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0.17647058823529413</v>
      </c>
      <c r="E15" s="27" t="s">
        <v>70</v>
      </c>
      <c r="F15" s="24" t="s">
        <v>25</v>
      </c>
      <c r="G15" s="12">
        <v>1</v>
      </c>
      <c r="H15" s="88">
        <f>IF(B$20=0,0,G15/B$20)</f>
        <v>2.3809523809523808E-2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36</v>
      </c>
      <c r="C16" s="10">
        <f>IF(B$3=0,0,B16/B$3)</f>
        <v>0.24161073825503357</v>
      </c>
      <c r="E16" s="27" t="s">
        <v>71</v>
      </c>
      <c r="F16" s="24" t="s">
        <v>26</v>
      </c>
      <c r="G16" s="12">
        <v>1</v>
      </c>
      <c r="H16" s="88">
        <f>IF(B$20=0,0,G16/B$20)</f>
        <v>2.3809523809523808E-2</v>
      </c>
      <c r="I16" s="58">
        <v>6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-9.35</v>
      </c>
      <c r="Q16" s="77">
        <v>6</v>
      </c>
      <c r="R16" s="68">
        <v>-56.1</v>
      </c>
    </row>
    <row r="17" spans="1:18" x14ac:dyDescent="0.45">
      <c r="A17" s="19" t="s">
        <v>118</v>
      </c>
      <c r="B17" s="12">
        <v>33</v>
      </c>
      <c r="C17" s="6">
        <f>IF(B$3=0,0,B17/B$3)</f>
        <v>0.22147651006711411</v>
      </c>
      <c r="E17" s="27" t="s">
        <v>79</v>
      </c>
      <c r="F17" s="24" t="s">
        <v>34</v>
      </c>
      <c r="G17" s="12">
        <v>1</v>
      </c>
      <c r="H17" s="88">
        <f>IF(B$20=0,0,G17/B$20)</f>
        <v>2.3809523809523808E-2</v>
      </c>
      <c r="I17" s="58">
        <v>3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-14.78571428571429</v>
      </c>
      <c r="Q17" s="77">
        <v>7</v>
      </c>
      <c r="R17" s="68">
        <v>-103.50000000000003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0.47222222222222221</v>
      </c>
      <c r="E18" s="27" t="s">
        <v>85</v>
      </c>
      <c r="F18" s="24" t="s">
        <v>40</v>
      </c>
      <c r="G18" s="12">
        <v>1</v>
      </c>
      <c r="H18" s="88">
        <f>IF(B$20=0,0,G18/B$20)</f>
        <v>2.3809523809523808E-2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-17.438461538461546</v>
      </c>
      <c r="Q18" s="77">
        <v>13</v>
      </c>
      <c r="R18" s="68">
        <v>-226.7000000000001</v>
      </c>
    </row>
    <row r="19" spans="1:18" x14ac:dyDescent="0.45">
      <c r="A19" s="18" t="s">
        <v>124</v>
      </c>
      <c r="B19" s="11">
        <f>B25</f>
        <v>12</v>
      </c>
      <c r="C19" s="5">
        <f>IF(B$17=0,0,B19/B$17)</f>
        <v>0.36363636363636365</v>
      </c>
      <c r="E19" s="27" t="s">
        <v>88</v>
      </c>
      <c r="F19" s="24" t="s">
        <v>43</v>
      </c>
      <c r="G19" s="12">
        <v>1</v>
      </c>
      <c r="H19" s="88">
        <f>IF(B$20=0,0,G19/B$20)</f>
        <v>2.3809523809523808E-2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-28.700000000000003</v>
      </c>
      <c r="Q19" s="77">
        <v>3</v>
      </c>
      <c r="R19" s="68">
        <v>-86.100000000000009</v>
      </c>
    </row>
    <row r="20" spans="1:18" x14ac:dyDescent="0.45">
      <c r="A20" s="18" t="s">
        <v>10</v>
      </c>
      <c r="B20" s="11">
        <f>B23+B22</f>
        <v>42</v>
      </c>
      <c r="C20" s="5">
        <f>IF(B$3=0,0,B20/B$3)</f>
        <v>0.28187919463087246</v>
      </c>
      <c r="E20" s="27" t="s">
        <v>155</v>
      </c>
      <c r="F20" s="24" t="s">
        <v>156</v>
      </c>
      <c r="G20" s="12">
        <v>1</v>
      </c>
      <c r="H20" s="88">
        <f>IF(B$20=0,0,G20/B$20)</f>
        <v>2.3809523809523808E-2</v>
      </c>
      <c r="I20" s="58">
        <v>2</v>
      </c>
    </row>
    <row r="21" spans="1:18" x14ac:dyDescent="0.45">
      <c r="A21" s="19" t="s">
        <v>13</v>
      </c>
      <c r="B21" s="12">
        <v>27</v>
      </c>
      <c r="C21" s="6">
        <f>IF(B$3=0,0,B21/B$3)</f>
        <v>0.18120805369127516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</row>
    <row r="22" spans="1:18" x14ac:dyDescent="0.45">
      <c r="A22" s="19" t="s">
        <v>12</v>
      </c>
      <c r="B22" s="12">
        <v>19</v>
      </c>
      <c r="C22" s="6">
        <f>IF(B$20=0,0,B22/B$20)</f>
        <v>0.45238095238095238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23</v>
      </c>
      <c r="C23" s="6">
        <f>IF(B$20=0,0,B23/B$20)</f>
        <v>0.54761904761904767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0.40476190476190477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12</v>
      </c>
      <c r="C25" s="6">
        <f>IF(B$20=0,0,B25/B$20)</f>
        <v>0.2857142857142857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13</v>
      </c>
      <c r="C26" s="6">
        <f>IF(B$20=0,0,B26/B$20)</f>
        <v>0.30952380952380953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9021.4285714285706</v>
      </c>
      <c r="C27" s="8">
        <v>378900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9080</v>
      </c>
      <c r="C28" s="96">
        <v>272400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8875</v>
      </c>
      <c r="C29" s="96">
        <v>106500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-8696.2962962962956</v>
      </c>
      <c r="C30" s="96">
        <v>-234800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18</v>
      </c>
      <c r="C32" s="90">
        <v>12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9.5238095238095233E-2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0.11904761904761904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0.16666666666666666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0.14285714285714285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0.26190476190476192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6</v>
      </c>
      <c r="C42" s="6">
        <f t="shared" si="2"/>
        <v>0.14285714285714285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2.3809523809523808E-2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-1650</v>
      </c>
      <c r="Q2" s="76">
        <v>18</v>
      </c>
      <c r="R2" s="63">
        <v>-29700</v>
      </c>
    </row>
    <row r="3" spans="1:18" x14ac:dyDescent="0.45">
      <c r="A3" s="19" t="s">
        <v>8</v>
      </c>
      <c r="B3" s="135">
        <v>159</v>
      </c>
      <c r="C3" s="136"/>
      <c r="E3" s="27" t="s">
        <v>66</v>
      </c>
      <c r="F3" s="24" t="s">
        <v>22</v>
      </c>
      <c r="G3" s="12">
        <v>30</v>
      </c>
      <c r="H3" s="88">
        <f>IF(B$20=0,0,G3/B$20)</f>
        <v>0.625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-527.77777777777783</v>
      </c>
      <c r="Q3" s="77">
        <v>18</v>
      </c>
      <c r="R3" s="64">
        <v>-9500</v>
      </c>
    </row>
    <row r="4" spans="1:18" x14ac:dyDescent="0.45">
      <c r="A4" s="19" t="s">
        <v>6</v>
      </c>
      <c r="B4" s="137">
        <v>15.100000000000009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0.35416666666666669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1511.1111111111111</v>
      </c>
      <c r="Q4" s="77">
        <v>18</v>
      </c>
      <c r="R4" s="64">
        <v>27200</v>
      </c>
    </row>
    <row r="5" spans="1:18" x14ac:dyDescent="0.45">
      <c r="A5" s="19" t="s">
        <v>7</v>
      </c>
      <c r="B5" s="125">
        <f>IF(B$2=0,0,B$4/B$2)</f>
        <v>0.83888888888888935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0.3125</v>
      </c>
      <c r="I5" s="58">
        <v>5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211.11111111111111</v>
      </c>
      <c r="Q5" s="77">
        <v>18</v>
      </c>
      <c r="R5" s="64">
        <v>3800</v>
      </c>
    </row>
    <row r="6" spans="1:18" x14ac:dyDescent="0.45">
      <c r="A6" s="19" t="s">
        <v>196</v>
      </c>
      <c r="B6" s="129">
        <v>1450.6884191024681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0.29166666666666669</v>
      </c>
      <c r="I6" s="58">
        <v>2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-83.333333333333329</v>
      </c>
      <c r="Q6" s="77">
        <v>18</v>
      </c>
      <c r="R6" s="64">
        <v>-1500</v>
      </c>
    </row>
    <row r="7" spans="1:18" x14ac:dyDescent="0.45">
      <c r="A7" s="19" t="s">
        <v>1</v>
      </c>
      <c r="B7" s="139">
        <f>IF(B$2=0,0,(B$8*1+B$9*2+B$10*3)/B$2)</f>
        <v>1.9444444444444444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0.29166666666666669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2053.3333333333335</v>
      </c>
      <c r="Q7" s="78">
        <v>15</v>
      </c>
      <c r="R7" s="65">
        <v>30800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0.14583333333333334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0.3888888888888889</v>
      </c>
      <c r="E9" s="27" t="s">
        <v>65</v>
      </c>
      <c r="F9" s="24" t="s">
        <v>21</v>
      </c>
      <c r="G9" s="12">
        <v>4</v>
      </c>
      <c r="H9" s="88">
        <f>IF(B$20=0,0,G9/B$20)</f>
        <v>8.3333333333333329E-2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0.27777777777777779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18.083333333333332</v>
      </c>
      <c r="C11" s="110">
        <v>108.5</v>
      </c>
      <c r="E11" s="27" t="s">
        <v>69</v>
      </c>
      <c r="F11" s="24" t="s">
        <v>24</v>
      </c>
      <c r="G11" s="12">
        <v>2</v>
      </c>
      <c r="H11" s="88">
        <f>IF(B$20=0,0,G11/B$20)</f>
        <v>4.1666666666666664E-2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-6.7799999999999994</v>
      </c>
      <c r="Q11" s="77">
        <v>5</v>
      </c>
      <c r="R11" s="68">
        <v>-33.9</v>
      </c>
    </row>
    <row r="12" spans="1:18" x14ac:dyDescent="0.45">
      <c r="A12" s="20" t="s">
        <v>185</v>
      </c>
      <c r="B12" s="109">
        <f>IF(B9=0,0,C12/B9)</f>
        <v>6.9285714285714288</v>
      </c>
      <c r="C12" s="110">
        <v>48.5</v>
      </c>
      <c r="E12" s="27" t="s">
        <v>79</v>
      </c>
      <c r="F12" s="24" t="s">
        <v>34</v>
      </c>
      <c r="G12" s="12">
        <v>2</v>
      </c>
      <c r="H12" s="88">
        <f>IF(B$20=0,0,G12/B$20)</f>
        <v>4.1666666666666664E-2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4.9571428571428555</v>
      </c>
      <c r="Q12" s="78">
        <v>7</v>
      </c>
      <c r="R12" s="69">
        <v>34.699999999999989</v>
      </c>
    </row>
    <row r="13" spans="1:18" x14ac:dyDescent="0.45">
      <c r="A13" s="20" t="s">
        <v>186</v>
      </c>
      <c r="B13" s="109">
        <f>IF(B10=0,0,C13/B10)</f>
        <v>-28.379999999999995</v>
      </c>
      <c r="C13" s="110">
        <v>-141.89999999999998</v>
      </c>
      <c r="E13" s="27" t="s">
        <v>83</v>
      </c>
      <c r="F13" s="24" t="s">
        <v>38</v>
      </c>
      <c r="G13" s="12">
        <v>2</v>
      </c>
      <c r="H13" s="88">
        <f>IF(B$20=0,0,G13/B$20)</f>
        <v>4.1666666666666664E-2</v>
      </c>
      <c r="I13" s="58">
        <v>6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-1.1226984126984121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1</v>
      </c>
      <c r="H15" s="88">
        <f>IF(B$20=0,0,G15/B$20)</f>
        <v>2.0833333333333332E-2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40</v>
      </c>
      <c r="C16" s="10">
        <f>IF(B$3=0,0,B16/B$3)</f>
        <v>0.25157232704402516</v>
      </c>
      <c r="E16" s="27" t="s">
        <v>86</v>
      </c>
      <c r="F16" s="24" t="s">
        <v>41</v>
      </c>
      <c r="G16" s="12">
        <v>1</v>
      </c>
      <c r="H16" s="88">
        <f>IF(B$20=0,0,G16/B$20)</f>
        <v>2.0833333333333332E-2</v>
      </c>
      <c r="I16" s="58">
        <v>8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28.700000000000006</v>
      </c>
      <c r="Q16" s="77">
        <v>3</v>
      </c>
      <c r="R16" s="68">
        <v>86.100000000000023</v>
      </c>
    </row>
    <row r="17" spans="1:18" x14ac:dyDescent="0.45">
      <c r="A17" s="19" t="s">
        <v>118</v>
      </c>
      <c r="B17" s="12">
        <v>51</v>
      </c>
      <c r="C17" s="6">
        <f>IF(B$3=0,0,B17/B$3)</f>
        <v>0.32075471698113206</v>
      </c>
      <c r="E17" s="27" t="s">
        <v>88</v>
      </c>
      <c r="F17" s="24" t="s">
        <v>43</v>
      </c>
      <c r="G17" s="12">
        <v>1</v>
      </c>
      <c r="H17" s="88">
        <f>IF(B$20=0,0,G17/B$20)</f>
        <v>2.0833333333333332E-2</v>
      </c>
      <c r="I17" s="58">
        <v>2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18</v>
      </c>
      <c r="C18" s="5">
        <f>IF(B$16=0,0,B18/B$16)</f>
        <v>0.45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2.7066666666666657</v>
      </c>
      <c r="Q18" s="77">
        <v>15</v>
      </c>
      <c r="R18" s="68">
        <v>40.599999999999987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0.47058823529411764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48</v>
      </c>
      <c r="C20" s="5">
        <f>IF(B$3=0,0,B20/B$3)</f>
        <v>0.30188679245283018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-15.020000000000001</v>
      </c>
      <c r="Q20" s="77">
        <v>10</v>
      </c>
      <c r="R20" s="68">
        <v>-150.20000000000002</v>
      </c>
    </row>
    <row r="21" spans="1:18" x14ac:dyDescent="0.45">
      <c r="A21" s="19" t="s">
        <v>13</v>
      </c>
      <c r="B21" s="12">
        <v>26</v>
      </c>
      <c r="C21" s="6">
        <f>IF(B$3=0,0,B21/B$3)</f>
        <v>0.16352201257861634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24</v>
      </c>
      <c r="C22" s="6">
        <f>IF(B$20=0,0,B22/B$20)</f>
        <v>0.5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24</v>
      </c>
      <c r="C23" s="6">
        <f>IF(B$20=0,0,B23/B$20)</f>
        <v>0.5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18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24</v>
      </c>
      <c r="C25" s="6">
        <f>IF(B$20=0,0,B25/B$20)</f>
        <v>0.5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6</v>
      </c>
      <c r="C26" s="6">
        <f>IF(B$20=0,0,B26/B$20)</f>
        <v>0.125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6945.833333333333</v>
      </c>
      <c r="C27" s="8">
        <v>333400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8095.833333333333</v>
      </c>
      <c r="C28" s="96">
        <v>194300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5795.833333333333</v>
      </c>
      <c r="C29" s="96">
        <v>139100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-6669.2307692307695</v>
      </c>
      <c r="C30" s="96">
        <v>-173400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6.2893081761006293E-3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15</v>
      </c>
      <c r="C38" s="6">
        <f t="shared" si="3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4.1666666666666664E-2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3"/>
        <v>4.1666666666666664E-2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3"/>
        <v>6.25E-2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3"/>
        <v>4.1666666666666664E-2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8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8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4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50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-862.5</v>
      </c>
      <c r="Q2" s="76">
        <v>24</v>
      </c>
      <c r="R2" s="63">
        <v>-20700</v>
      </c>
    </row>
    <row r="3" spans="1:18" x14ac:dyDescent="0.45">
      <c r="A3" s="19" t="s">
        <v>8</v>
      </c>
      <c r="B3" s="135">
        <v>188</v>
      </c>
      <c r="C3" s="136"/>
      <c r="E3" s="27" t="s">
        <v>72</v>
      </c>
      <c r="F3" s="24" t="s">
        <v>27</v>
      </c>
      <c r="G3" s="12">
        <v>38</v>
      </c>
      <c r="H3" s="88">
        <f>IF(B$20=0,0,G3/B$20)</f>
        <v>0.6333333333333333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833.33333333333337</v>
      </c>
      <c r="Q3" s="77">
        <v>24</v>
      </c>
      <c r="R3" s="64">
        <v>20000</v>
      </c>
    </row>
    <row r="4" spans="1:18" x14ac:dyDescent="0.45">
      <c r="A4" s="19" t="s">
        <v>6</v>
      </c>
      <c r="B4" s="137">
        <v>108.79999999999998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0.38333333333333336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2129.1666666666665</v>
      </c>
      <c r="Q4" s="77">
        <v>24</v>
      </c>
      <c r="R4" s="64">
        <v>51100</v>
      </c>
    </row>
    <row r="5" spans="1:18" x14ac:dyDescent="0.45">
      <c r="A5" s="19" t="s">
        <v>7</v>
      </c>
      <c r="B5" s="125">
        <f>IF(B$2=0,0,B$4/B$2)</f>
        <v>4.5333333333333323</v>
      </c>
      <c r="C5" s="126"/>
      <c r="E5" s="27" t="s">
        <v>67</v>
      </c>
      <c r="F5" s="24" t="s">
        <v>23</v>
      </c>
      <c r="G5" s="12">
        <v>16</v>
      </c>
      <c r="H5" s="88">
        <f>IF(B$20=0,0,G5/B$20)</f>
        <v>0.26666666666666666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-442.85714285714283</v>
      </c>
      <c r="Q5" s="77">
        <v>21</v>
      </c>
      <c r="R5" s="64">
        <v>-9300</v>
      </c>
    </row>
    <row r="6" spans="1:18" x14ac:dyDescent="0.45">
      <c r="A6" s="19" t="s">
        <v>196</v>
      </c>
      <c r="B6" s="129">
        <v>1519.7959242754243</v>
      </c>
      <c r="C6" s="130"/>
      <c r="E6" s="27" t="s">
        <v>159</v>
      </c>
      <c r="F6" s="24" t="s">
        <v>160</v>
      </c>
      <c r="G6" s="12">
        <v>14</v>
      </c>
      <c r="H6" s="88">
        <f>IF(B$20=0,0,G6/B$20)</f>
        <v>0.23333333333333334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2564.705882352941</v>
      </c>
      <c r="Q6" s="77">
        <v>17</v>
      </c>
      <c r="R6" s="64">
        <v>43600</v>
      </c>
    </row>
    <row r="7" spans="1:18" x14ac:dyDescent="0.45">
      <c r="A7" s="19" t="s">
        <v>1</v>
      </c>
      <c r="B7" s="139">
        <f>IF(B$2=0,0,(B$8*1+B$9*2+B$10*3)/B$2)</f>
        <v>1.875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0.21666666666666667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1005.8823529411765</v>
      </c>
      <c r="Q7" s="78">
        <v>17</v>
      </c>
      <c r="R7" s="65">
        <v>17100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10</v>
      </c>
      <c r="H8" s="88">
        <f>IF(B$20=0,0,G8/B$20)</f>
        <v>0.16666666666666666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0.29166666666666669</v>
      </c>
      <c r="E9" s="27" t="s">
        <v>69</v>
      </c>
      <c r="F9" s="24" t="s">
        <v>24</v>
      </c>
      <c r="G9" s="12">
        <v>8</v>
      </c>
      <c r="H9" s="88">
        <f>IF(B$20=0,0,G9/B$20)</f>
        <v>0.13333333333333333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0.29166666666666669</v>
      </c>
      <c r="E10" s="27" t="s">
        <v>71</v>
      </c>
      <c r="F10" s="24" t="s">
        <v>26</v>
      </c>
      <c r="G10" s="12">
        <v>6</v>
      </c>
      <c r="H10" s="88">
        <f>IF(B$20=0,0,G10/B$20)</f>
        <v>0.1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-1.8200000000000003</v>
      </c>
      <c r="Q10" s="76">
        <v>5</v>
      </c>
      <c r="R10" s="67">
        <v>-9.1000000000000014</v>
      </c>
    </row>
    <row r="11" spans="1:18" x14ac:dyDescent="0.45">
      <c r="A11" s="20" t="s">
        <v>184</v>
      </c>
      <c r="B11" s="109">
        <f>IF(B8=0,0,C11/B8)</f>
        <v>32.450000000000003</v>
      </c>
      <c r="C11" s="110">
        <v>324.5</v>
      </c>
      <c r="E11" s="27" t="s">
        <v>86</v>
      </c>
      <c r="F11" s="24" t="s">
        <v>41</v>
      </c>
      <c r="G11" s="12">
        <v>6</v>
      </c>
      <c r="H11" s="88">
        <f>IF(B$20=0,0,G11/B$20)</f>
        <v>0.1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8.3333333333333329E-2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10.018181818181818</v>
      </c>
      <c r="Q12" s="78">
        <v>11</v>
      </c>
      <c r="R12" s="69">
        <v>110.2</v>
      </c>
    </row>
    <row r="13" spans="1:18" x14ac:dyDescent="0.45">
      <c r="A13" s="20" t="s">
        <v>186</v>
      </c>
      <c r="B13" s="109">
        <f>IF(B10=0,0,C13/B10)</f>
        <v>-31.457142857142859</v>
      </c>
      <c r="C13" s="110">
        <v>-220.20000000000002</v>
      </c>
      <c r="E13" s="27" t="s">
        <v>65</v>
      </c>
      <c r="F13" s="24" t="s">
        <v>21</v>
      </c>
      <c r="G13" s="12">
        <v>3</v>
      </c>
      <c r="H13" s="88">
        <f>IF(B$20=0,0,G13/B$20)</f>
        <v>0.05</v>
      </c>
      <c r="I13" s="58">
        <v>8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0.54523809523809652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0.05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8.3333333333333329E-2</v>
      </c>
      <c r="E15" s="27" t="s">
        <v>83</v>
      </c>
      <c r="F15" s="24" t="s">
        <v>38</v>
      </c>
      <c r="G15" s="12">
        <v>3</v>
      </c>
      <c r="H15" s="88">
        <f>IF(B$20=0,0,G15/B$20)</f>
        <v>0.05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41</v>
      </c>
      <c r="C16" s="10">
        <f>IF(B$3=0,0,B16/B$3)</f>
        <v>0.21808510638297873</v>
      </c>
      <c r="E16" s="27" t="s">
        <v>70</v>
      </c>
      <c r="F16" s="24" t="s">
        <v>25</v>
      </c>
      <c r="G16" s="12">
        <v>2</v>
      </c>
      <c r="H16" s="88">
        <f>IF(B$20=0,0,G16/B$20)</f>
        <v>3.3333333333333333E-2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45</v>
      </c>
      <c r="C17" s="6">
        <f>IF(B$3=0,0,B17/B$3)</f>
        <v>0.23936170212765959</v>
      </c>
      <c r="E17" s="27" t="s">
        <v>73</v>
      </c>
      <c r="F17" s="24" t="s">
        <v>28</v>
      </c>
      <c r="G17" s="12">
        <v>2</v>
      </c>
      <c r="H17" s="88">
        <f>IF(B$20=0,0,G17/B$20)</f>
        <v>3.3333333333333333E-2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0.56097560975609762</v>
      </c>
      <c r="E18" s="27" t="s">
        <v>78</v>
      </c>
      <c r="F18" s="24" t="s">
        <v>33</v>
      </c>
      <c r="G18" s="12">
        <v>2</v>
      </c>
      <c r="H18" s="88">
        <f>IF(B$20=0,0,G18/B$20)</f>
        <v>3.3333333333333333E-2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15.227272727272727</v>
      </c>
      <c r="Q18" s="77">
        <v>11</v>
      </c>
      <c r="R18" s="68">
        <v>167.5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0.53333333333333333</v>
      </c>
      <c r="E19" s="27" t="s">
        <v>75</v>
      </c>
      <c r="F19" s="24" t="s">
        <v>30</v>
      </c>
      <c r="G19" s="12">
        <v>1</v>
      </c>
      <c r="H19" s="88">
        <f>IF(B$20=0,0,G19/B$20)</f>
        <v>1.6666666666666666E-2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163</v>
      </c>
      <c r="P19" s="83">
        <f>IF(Q19=0,0,R19/Q19)</f>
        <v>9.35</v>
      </c>
      <c r="Q19" s="77">
        <v>6</v>
      </c>
      <c r="R19" s="68">
        <v>56.1</v>
      </c>
    </row>
    <row r="20" spans="1:18" x14ac:dyDescent="0.45">
      <c r="A20" s="18" t="s">
        <v>10</v>
      </c>
      <c r="B20" s="11">
        <f>B23+B22</f>
        <v>60</v>
      </c>
      <c r="C20" s="5">
        <f>IF(B$3=0,0,B20/B$3)</f>
        <v>0.31914893617021278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28</v>
      </c>
      <c r="C21" s="6">
        <f>IF(B$3=0,0,B21/B$3)</f>
        <v>0.14893617021276595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>IF(Q21=0,0,R21/Q21)</f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24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>IF(Q22=0,0,R22/Q22)</f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36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23</v>
      </c>
      <c r="C24" s="6">
        <f>IF(B$20=0,0,B24/B$20)</f>
        <v>0.38333333333333336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24</v>
      </c>
      <c r="C25" s="6">
        <f>IF(B$20=0,0,B25/B$20)</f>
        <v>0.4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13</v>
      </c>
      <c r="C26" s="6">
        <f>IF(B$20=0,0,B26/B$20)</f>
        <v>0.21666666666666667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8231.6666666666661</v>
      </c>
      <c r="C27" s="8">
        <v>493900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8786.1111111111113</v>
      </c>
      <c r="C28" s="96">
        <v>316300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7400</v>
      </c>
      <c r="C29" s="96">
        <v>177600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-6732.1428571428569</v>
      </c>
      <c r="C30" s="96">
        <v>-188500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5.3191489361702126E-3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14</v>
      </c>
      <c r="C38" s="6">
        <f t="shared" si="2"/>
        <v>0.23333333333333334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2"/>
        <v>0.15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6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8.3333333333333329E-2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2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1.6666666666666666E-2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1.6666666666666666E-2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29</v>
      </c>
      <c r="C2" s="134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4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-417.24137931034483</v>
      </c>
      <c r="Q2" s="76">
        <v>29</v>
      </c>
      <c r="R2" s="63">
        <v>-12100</v>
      </c>
    </row>
    <row r="3" spans="1:18" x14ac:dyDescent="0.45">
      <c r="A3" s="19" t="s">
        <v>8</v>
      </c>
      <c r="B3" s="135">
        <v>246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0.58823529411764708</v>
      </c>
      <c r="I3" s="58">
        <v>7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1992.5925925925926</v>
      </c>
      <c r="Q3" s="77">
        <v>27</v>
      </c>
      <c r="R3" s="64">
        <v>53800</v>
      </c>
    </row>
    <row r="4" spans="1:18" x14ac:dyDescent="0.45">
      <c r="A4" s="19" t="s">
        <v>6</v>
      </c>
      <c r="B4" s="137">
        <v>201.79999999999995</v>
      </c>
      <c r="C4" s="138"/>
      <c r="E4" s="27" t="s">
        <v>159</v>
      </c>
      <c r="F4" s="24" t="s">
        <v>160</v>
      </c>
      <c r="G4" s="12">
        <v>42</v>
      </c>
      <c r="H4" s="88">
        <f>IF(B$20=0,0,G4/B$20)</f>
        <v>0.49411764705882355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453.57142857142856</v>
      </c>
      <c r="Q4" s="77">
        <v>28</v>
      </c>
      <c r="R4" s="64">
        <v>12700</v>
      </c>
    </row>
    <row r="5" spans="1:18" x14ac:dyDescent="0.45">
      <c r="A5" s="19" t="s">
        <v>7</v>
      </c>
      <c r="B5" s="125">
        <f>IF(B$2=0,0,B$4/B$2)</f>
        <v>6.958620689655171</v>
      </c>
      <c r="C5" s="126"/>
      <c r="E5" s="27" t="s">
        <v>64</v>
      </c>
      <c r="F5" s="24" t="s">
        <v>20</v>
      </c>
      <c r="G5" s="12">
        <v>27</v>
      </c>
      <c r="H5" s="88">
        <f>IF(B$20=0,0,G5/B$20)</f>
        <v>0.31764705882352939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-744</v>
      </c>
      <c r="Q5" s="77">
        <v>25</v>
      </c>
      <c r="R5" s="64">
        <v>-18600</v>
      </c>
    </row>
    <row r="6" spans="1:18" x14ac:dyDescent="0.45">
      <c r="A6" s="19" t="s">
        <v>196</v>
      </c>
      <c r="B6" s="129">
        <v>1564.8235944029475</v>
      </c>
      <c r="C6" s="130"/>
      <c r="E6" s="27" t="s">
        <v>68</v>
      </c>
      <c r="F6" s="24" t="s">
        <v>12</v>
      </c>
      <c r="G6" s="12">
        <v>26</v>
      </c>
      <c r="H6" s="88">
        <f>IF(B$20=0,0,G6/B$20)</f>
        <v>0.30588235294117649</v>
      </c>
      <c r="I6" s="58">
        <v>6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1373.9130434782608</v>
      </c>
      <c r="Q6" s="77">
        <v>23</v>
      </c>
      <c r="R6" s="64">
        <v>31600</v>
      </c>
    </row>
    <row r="7" spans="1:18" x14ac:dyDescent="0.45">
      <c r="A7" s="19" t="s">
        <v>1</v>
      </c>
      <c r="B7" s="139">
        <f>IF(B$2=0,0,(B$8*1+B$9*2+B$10*3)/B$2)</f>
        <v>1.7586206896551724</v>
      </c>
      <c r="C7" s="140"/>
      <c r="E7" s="27" t="s">
        <v>70</v>
      </c>
      <c r="F7" s="24" t="s">
        <v>25</v>
      </c>
      <c r="G7" s="12">
        <v>14</v>
      </c>
      <c r="H7" s="88">
        <f>IF(B$20=0,0,G7/B$20)</f>
        <v>0.16470588235294117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-90</v>
      </c>
      <c r="Q7" s="78">
        <v>20</v>
      </c>
      <c r="R7" s="65">
        <v>-1800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0.48275862068965519</v>
      </c>
      <c r="E8" s="27" t="s">
        <v>67</v>
      </c>
      <c r="F8" s="24" t="s">
        <v>23</v>
      </c>
      <c r="G8" s="12">
        <v>12</v>
      </c>
      <c r="H8" s="88">
        <f>IF(B$20=0,0,G8/B$20)</f>
        <v>0.14117647058823529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0.27586206896551724</v>
      </c>
      <c r="E9" s="27" t="s">
        <v>89</v>
      </c>
      <c r="F9" s="24" t="s">
        <v>44</v>
      </c>
      <c r="G9" s="12">
        <v>10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0.2413793103448276</v>
      </c>
      <c r="E10" s="27" t="s">
        <v>69</v>
      </c>
      <c r="F10" s="24" t="s">
        <v>24</v>
      </c>
      <c r="G10" s="12">
        <v>8</v>
      </c>
      <c r="H10" s="88">
        <f>IF(B$20=0,0,G10/B$20)</f>
        <v>9.4117647058823528E-2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13.776923076923074</v>
      </c>
      <c r="Q10" s="76">
        <v>13</v>
      </c>
      <c r="R10" s="67">
        <v>179.09999999999997</v>
      </c>
    </row>
    <row r="11" spans="1:18" x14ac:dyDescent="0.45">
      <c r="A11" s="20" t="s">
        <v>184</v>
      </c>
      <c r="B11" s="109">
        <f>IF(B8=0,0,C11/B8)</f>
        <v>35.371428571428574</v>
      </c>
      <c r="C11" s="110">
        <v>495.20000000000005</v>
      </c>
      <c r="E11" s="27" t="s">
        <v>71</v>
      </c>
      <c r="F11" s="24" t="s">
        <v>26</v>
      </c>
      <c r="G11" s="12">
        <v>8</v>
      </c>
      <c r="H11" s="88">
        <f>IF(B$20=0,0,G11/B$20)</f>
        <v>9.4117647058823528E-2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-3.9454545454545453</v>
      </c>
      <c r="Q11" s="77">
        <v>11</v>
      </c>
      <c r="R11" s="68">
        <v>-43.4</v>
      </c>
    </row>
    <row r="12" spans="1:18" x14ac:dyDescent="0.45">
      <c r="A12" s="20" t="s">
        <v>185</v>
      </c>
      <c r="B12" s="109">
        <f>IF(B9=0,0,C12/B9)</f>
        <v>-5.6875</v>
      </c>
      <c r="C12" s="110">
        <v>-45.5</v>
      </c>
      <c r="E12" s="27" t="s">
        <v>78</v>
      </c>
      <c r="F12" s="24" t="s">
        <v>33</v>
      </c>
      <c r="G12" s="12">
        <v>4</v>
      </c>
      <c r="H12" s="88">
        <f>IF(B$20=0,0,G12/B$20)</f>
        <v>4.7058823529411764E-2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13.219999999999999</v>
      </c>
      <c r="Q12" s="78">
        <v>5</v>
      </c>
      <c r="R12" s="69">
        <v>66.099999999999994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86</v>
      </c>
      <c r="F13" s="24" t="s">
        <v>41</v>
      </c>
      <c r="G13" s="12">
        <v>3</v>
      </c>
      <c r="H13" s="88">
        <f>IF(B$20=0,0,G13/B$20)</f>
        <v>3.5294117647058823E-2</v>
      </c>
      <c r="I13" s="58">
        <v>6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-1.9101190476190482</v>
      </c>
      <c r="C14" s="126"/>
      <c r="E14" s="27" t="s">
        <v>65</v>
      </c>
      <c r="F14" s="24" t="s">
        <v>21</v>
      </c>
      <c r="G14" s="12">
        <v>2</v>
      </c>
      <c r="H14" s="88">
        <f>IF(B$20=0,0,G14/B$20)</f>
        <v>2.3529411764705882E-2</v>
      </c>
      <c r="I14" s="58">
        <v>10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6.8965517241379309E-2</v>
      </c>
      <c r="E15" s="27" t="s">
        <v>79</v>
      </c>
      <c r="F15" s="24" t="s">
        <v>34</v>
      </c>
      <c r="G15" s="12">
        <v>2</v>
      </c>
      <c r="H15" s="88">
        <f>IF(B$20=0,0,G15/B$20)</f>
        <v>2.3529411764705882E-2</v>
      </c>
      <c r="I15" s="58">
        <v>4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55</v>
      </c>
      <c r="C16" s="10">
        <f>IF(B$3=0,0,B16/B$3)</f>
        <v>0.22357723577235772</v>
      </c>
      <c r="E16" s="27" t="s">
        <v>83</v>
      </c>
      <c r="F16" s="24" t="s">
        <v>38</v>
      </c>
      <c r="G16" s="12">
        <v>2</v>
      </c>
      <c r="H16" s="88">
        <f>IF(B$20=0,0,G16/B$20)</f>
        <v>2.3529411764705882E-2</v>
      </c>
      <c r="I16" s="58">
        <v>8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60</v>
      </c>
      <c r="C17" s="6">
        <f>IF(B$3=0,0,B17/B$3)</f>
        <v>0.24390243902439024</v>
      </c>
      <c r="E17" s="27" t="s">
        <v>73</v>
      </c>
      <c r="F17" s="24" t="s">
        <v>28</v>
      </c>
      <c r="G17" s="12">
        <v>1</v>
      </c>
      <c r="H17" s="88">
        <f>IF(B$20=0,0,G17/B$20)</f>
        <v>1.1764705882352941E-2</v>
      </c>
      <c r="I17" s="58">
        <v>2</v>
      </c>
      <c r="K17" s="74">
        <v>15</v>
      </c>
      <c r="L17" s="119">
        <v>22.500000000000004</v>
      </c>
      <c r="M17" s="117">
        <v>1526.5944319692035</v>
      </c>
      <c r="O17" s="74" t="s">
        <v>221</v>
      </c>
      <c r="P17" s="83">
        <f t="shared" si="2"/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28</v>
      </c>
      <c r="C18" s="5">
        <f>IF(B$16=0,0,B18/B$16)</f>
        <v>0.50909090909090904</v>
      </c>
      <c r="E18" s="27" t="s">
        <v>81</v>
      </c>
      <c r="F18" s="24" t="s">
        <v>36</v>
      </c>
      <c r="G18" s="12">
        <v>1</v>
      </c>
      <c r="H18" s="88">
        <f>IF(B$20=0,0,G18/B$20)</f>
        <v>1.1764705882352941E-2</v>
      </c>
      <c r="I18" s="58">
        <v>8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15.020000000000001</v>
      </c>
      <c r="Q18" s="77">
        <v>10</v>
      </c>
      <c r="R18" s="68">
        <v>150.20000000000002</v>
      </c>
    </row>
    <row r="19" spans="1:18" x14ac:dyDescent="0.45">
      <c r="A19" s="18" t="s">
        <v>124</v>
      </c>
      <c r="B19" s="11">
        <f>B25</f>
        <v>30</v>
      </c>
      <c r="C19" s="5">
        <f>IF(B$17=0,0,B19/B$17)</f>
        <v>0.5</v>
      </c>
      <c r="E19" s="27" t="s">
        <v>88</v>
      </c>
      <c r="F19" s="24" t="s">
        <v>43</v>
      </c>
      <c r="G19" s="12">
        <v>1</v>
      </c>
      <c r="H19" s="88">
        <f>IF(B$20=0,0,G19/B$20)</f>
        <v>1.1764705882352941E-2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85</v>
      </c>
      <c r="C20" s="5">
        <f>IF(B$3=0,0,B20/B$3)</f>
        <v>0.34552845528455284</v>
      </c>
      <c r="E20" s="27" t="s">
        <v>102</v>
      </c>
      <c r="F20" s="24" t="s">
        <v>57</v>
      </c>
      <c r="G20" s="12">
        <v>1</v>
      </c>
      <c r="H20" s="88">
        <f>IF(B$20=0,0,G20/B$20)</f>
        <v>1.1764705882352941E-2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9.1695652173913054</v>
      </c>
      <c r="Q20" s="77">
        <v>23</v>
      </c>
      <c r="R20" s="68">
        <v>210.9</v>
      </c>
    </row>
    <row r="21" spans="1:18" x14ac:dyDescent="0.45">
      <c r="A21" s="19" t="s">
        <v>13</v>
      </c>
      <c r="B21" s="12">
        <v>35</v>
      </c>
      <c r="C21" s="6">
        <f>IF(B$3=0,0,B21/B$3)</f>
        <v>0.14227642276422764</v>
      </c>
      <c r="E21" s="27" t="s">
        <v>155</v>
      </c>
      <c r="F21" s="24" t="s">
        <v>156</v>
      </c>
      <c r="G21" s="12">
        <v>1</v>
      </c>
      <c r="H21" s="88">
        <f>IF(B$20=0,0,G21/B$20)</f>
        <v>1.1764705882352941E-2</v>
      </c>
      <c r="I21" s="58">
        <v>4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38</v>
      </c>
      <c r="C22" s="6">
        <f>IF(B$20=0,0,B22/B$20)</f>
        <v>0.44705882352941179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47</v>
      </c>
      <c r="C23" s="6">
        <f>IF(B$20=0,0,B23/B$20)</f>
        <v>0.55294117647058827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28</v>
      </c>
      <c r="C24" s="6">
        <f>IF(B$20=0,0,B24/B$20)</f>
        <v>0.32941176470588235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30</v>
      </c>
      <c r="C25" s="6">
        <f>IF(B$20=0,0,B25/B$20)</f>
        <v>0.35294117647058826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27</v>
      </c>
      <c r="C26" s="6">
        <f>IF(B$20=0,0,B26/B$20)</f>
        <v>0.31764705882352939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7843.5294117647063</v>
      </c>
      <c r="C27" s="8">
        <v>666700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9323.636363636364</v>
      </c>
      <c r="C28" s="96">
        <v>512800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5130</v>
      </c>
      <c r="C29" s="96">
        <v>153900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-7828.5714285714284</v>
      </c>
      <c r="C30" s="96">
        <v>-274000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30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9</v>
      </c>
      <c r="C37" s="98">
        <f t="shared" ref="C37:C49" si="3">IF(B$20=0,0,B37/B$20)</f>
        <v>0.10588235294117647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3"/>
        <v>0.21176470588235294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19</v>
      </c>
      <c r="C39" s="6">
        <f t="shared" si="3"/>
        <v>0.22352941176470589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14</v>
      </c>
      <c r="C40" s="6">
        <f t="shared" si="3"/>
        <v>0.16470588235294117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3"/>
        <v>0.12941176470588237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3"/>
        <v>2.3529411764705882E-2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7</v>
      </c>
      <c r="C43" s="6">
        <f t="shared" si="3"/>
        <v>8.2352941176470587E-2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2.3529411764705882E-2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1.1764705882352941E-2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1.1764705882352941E-2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3"/>
        <v>1.1764705882352941E-2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0.5357142857142857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-1568.75</v>
      </c>
      <c r="Q2" s="76">
        <v>16</v>
      </c>
      <c r="R2" s="63">
        <v>-25100</v>
      </c>
    </row>
    <row r="3" spans="1:18" x14ac:dyDescent="0.45">
      <c r="A3" s="19" t="s">
        <v>8</v>
      </c>
      <c r="B3" s="135">
        <v>124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-1600</v>
      </c>
      <c r="Q3" s="77">
        <v>16</v>
      </c>
      <c r="R3" s="64">
        <v>-25600</v>
      </c>
    </row>
    <row r="4" spans="1:18" x14ac:dyDescent="0.45">
      <c r="A4" s="19" t="s">
        <v>6</v>
      </c>
      <c r="B4" s="137">
        <v>-148.19999999999999</v>
      </c>
      <c r="C4" s="138"/>
      <c r="E4" s="27" t="s">
        <v>64</v>
      </c>
      <c r="F4" s="24" t="s">
        <v>20</v>
      </c>
      <c r="G4" s="12">
        <v>12</v>
      </c>
      <c r="H4" s="88">
        <f>IF(B$20=0,0,G4/B$20)</f>
        <v>0.42857142857142855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-4525</v>
      </c>
      <c r="Q4" s="77">
        <v>16</v>
      </c>
      <c r="R4" s="64">
        <v>-72400</v>
      </c>
    </row>
    <row r="5" spans="1:18" x14ac:dyDescent="0.45">
      <c r="A5" s="19" t="s">
        <v>7</v>
      </c>
      <c r="B5" s="125">
        <f>IF(B$2=0,0,B$4/B$2)</f>
        <v>-9.2624999999999993</v>
      </c>
      <c r="C5" s="126"/>
      <c r="E5" s="27" t="s">
        <v>159</v>
      </c>
      <c r="F5" s="24" t="s">
        <v>160</v>
      </c>
      <c r="G5" s="12">
        <v>11</v>
      </c>
      <c r="H5" s="88">
        <f>IF(B$20=0,0,G5/B$20)</f>
        <v>0.39285714285714285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-406.66666666666669</v>
      </c>
      <c r="Q5" s="77">
        <v>15</v>
      </c>
      <c r="R5" s="64">
        <v>-6100</v>
      </c>
    </row>
    <row r="6" spans="1:18" x14ac:dyDescent="0.45">
      <c r="A6" s="19" t="s">
        <v>196</v>
      </c>
      <c r="B6" s="129">
        <v>1480.2801364124439</v>
      </c>
      <c r="C6" s="130"/>
      <c r="E6" s="27" t="s">
        <v>68</v>
      </c>
      <c r="F6" s="24" t="s">
        <v>12</v>
      </c>
      <c r="G6" s="12">
        <v>8</v>
      </c>
      <c r="H6" s="88">
        <f>IF(B$20=0,0,G6/B$20)</f>
        <v>0.2857142857142857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-283.33333333333331</v>
      </c>
      <c r="Q6" s="77">
        <v>12</v>
      </c>
      <c r="R6" s="64">
        <v>-3400</v>
      </c>
    </row>
    <row r="7" spans="1:18" x14ac:dyDescent="0.45">
      <c r="A7" s="19" t="s">
        <v>1</v>
      </c>
      <c r="B7" s="139">
        <f>IF(B$2=0,0,(B$8*1+B$9*2+B$10*3)/B$2)</f>
        <v>2.1875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0.21428571428571427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4</v>
      </c>
      <c r="H8" s="88">
        <f>IF(B$20=0,0,G8/B$20)</f>
        <v>0.14285714285714285</v>
      </c>
      <c r="I8" s="58">
        <v>3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0.3125</v>
      </c>
      <c r="E9" s="27" t="s">
        <v>70</v>
      </c>
      <c r="F9" s="24" t="s">
        <v>25</v>
      </c>
      <c r="G9" s="12">
        <v>4</v>
      </c>
      <c r="H9" s="88">
        <f>IF(B$20=0,0,G9/B$20)</f>
        <v>0.14285714285714285</v>
      </c>
      <c r="I9" s="58">
        <v>3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0.4375</v>
      </c>
      <c r="E10" s="27" t="s">
        <v>67</v>
      </c>
      <c r="F10" s="24" t="s">
        <v>23</v>
      </c>
      <c r="G10" s="12">
        <v>3</v>
      </c>
      <c r="H10" s="88">
        <f>IF(B$20=0,0,G10/B$20)</f>
        <v>0.10714285714285714</v>
      </c>
      <c r="I10" s="58">
        <v>10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0.10714285714285714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-25.1</v>
      </c>
      <c r="Q11" s="77">
        <v>4</v>
      </c>
      <c r="R11" s="68">
        <v>-100.4</v>
      </c>
    </row>
    <row r="12" spans="1:18" x14ac:dyDescent="0.45">
      <c r="A12" s="20" t="s">
        <v>185</v>
      </c>
      <c r="B12" s="109">
        <f>IF(B9=0,0,C12/B9)</f>
        <v>-3.66</v>
      </c>
      <c r="C12" s="110">
        <v>-18.3</v>
      </c>
      <c r="E12" s="27" t="s">
        <v>69</v>
      </c>
      <c r="F12" s="24" t="s">
        <v>24</v>
      </c>
      <c r="G12" s="12">
        <v>2</v>
      </c>
      <c r="H12" s="88">
        <f>IF(B$20=0,0,G12/B$20)</f>
        <v>7.1428571428571425E-2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-40.771428571428565</v>
      </c>
      <c r="C13" s="110">
        <v>-285.39999999999998</v>
      </c>
      <c r="E13" s="27" t="s">
        <v>71</v>
      </c>
      <c r="F13" s="24" t="s">
        <v>26</v>
      </c>
      <c r="G13" s="12">
        <v>2</v>
      </c>
      <c r="H13" s="88">
        <f>IF(B$20=0,0,G13/B$20)</f>
        <v>7.1428571428571425E-2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-1.852142857142854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7.1428571428571425E-2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0.125</v>
      </c>
      <c r="E15" s="27" t="s">
        <v>81</v>
      </c>
      <c r="F15" s="24" t="s">
        <v>36</v>
      </c>
      <c r="G15" s="12">
        <v>1</v>
      </c>
      <c r="H15" s="88">
        <f>IF(B$20=0,0,G15/B$20)</f>
        <v>3.5714285714285712E-2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29</v>
      </c>
      <c r="C16" s="10">
        <f>IF(B$3=0,0,B16/B$3)</f>
        <v>0.23387096774193547</v>
      </c>
      <c r="E16" s="27" t="s">
        <v>85</v>
      </c>
      <c r="F16" s="24" t="s">
        <v>40</v>
      </c>
      <c r="G16" s="12">
        <v>1</v>
      </c>
      <c r="H16" s="88">
        <f>IF(B$20=0,0,G16/B$20)</f>
        <v>3.5714285714285712E-2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23</v>
      </c>
      <c r="C17" s="6">
        <f>IF(B$3=0,0,B17/B$3)</f>
        <v>0.18548387096774194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>IF(Q17=0,0,R17/Q17)</f>
        <v>-15.227272727272727</v>
      </c>
      <c r="Q17" s="77">
        <v>11</v>
      </c>
      <c r="R17" s="68">
        <v>-167.5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0.48275862068965519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28</v>
      </c>
      <c r="C20" s="5">
        <f>IF(B$3=0,0,B20/B$3)</f>
        <v>0.22580645161290322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>IF(Q20=0,0,R20/Q20)</f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27</v>
      </c>
      <c r="C21" s="6">
        <f>IF(B$3=0,0,B21/B$3)</f>
        <v>0.21774193548387097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12</v>
      </c>
      <c r="C22" s="6">
        <f>IF(B$20=0,0,B22/B$20)</f>
        <v>0.42857142857142855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0.5714285714285714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7</v>
      </c>
      <c r="C26" s="6">
        <f>IF(B$20=0,0,B26/B$20)</f>
        <v>0.25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7367.8571428571431</v>
      </c>
      <c r="C27" s="8">
        <v>206300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8190.4761904761908</v>
      </c>
      <c r="C28" s="96">
        <v>172000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-7988.8888888888887</v>
      </c>
      <c r="C30" s="96">
        <v>-215700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0.17857142857142858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0.21428571428571427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3.5714285714285712E-2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0.21428571428571427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2"/>
        <v>0.14285714285714285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0.10714285714285714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7.1428571428571425E-2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3.5714285714285712E-2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5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9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4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6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2020-10-27T09:15:58Z</dcterms:modified>
</cp:coreProperties>
</file>