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15CE327F-44B3-4CA8-9ADC-ECD9161CE937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26" r:id="rId6"/>
    <sheet name="だいち" sheetId="6828" r:id="rId7"/>
    <sheet name="れんたろう" sheetId="6830" r:id="rId8"/>
    <sheet name="たかの" sheetId="6832" r:id="rId9"/>
    <sheet name="まっつん" sheetId="6834" r:id="rId10"/>
    <sheet name="いちかわ" sheetId="6836" r:id="rId11"/>
    <sheet name="ただ" sheetId="6838" r:id="rId12"/>
    <sheet name="たか" sheetId="6840" r:id="rId13"/>
    <sheet name="のり" sheetId="6842" r:id="rId14"/>
    <sheet name="りくと" sheetId="6844" r:id="rId15"/>
    <sheet name="わさび" sheetId="6846" r:id="rId16"/>
    <sheet name="わさび2" sheetId="6847" state="hidden" r:id="rId17"/>
    <sheet name="りくと2" sheetId="6845" state="hidden" r:id="rId18"/>
    <sheet name="のり2" sheetId="6843" state="hidden" r:id="rId19"/>
    <sheet name="たか2" sheetId="6841" state="hidden" r:id="rId20"/>
    <sheet name="ただ2" sheetId="6839" state="hidden" r:id="rId21"/>
    <sheet name="いちかわ2" sheetId="6837" state="hidden" r:id="rId22"/>
    <sheet name="まっつん2" sheetId="6835" state="hidden" r:id="rId23"/>
    <sheet name="たかの2" sheetId="6833" state="hidden" r:id="rId24"/>
    <sheet name="れんたろう2" sheetId="6831" state="hidden" r:id="rId25"/>
    <sheet name="だいち2" sheetId="6829" state="hidden" r:id="rId26"/>
    <sheet name="全体2" sheetId="6827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32" l="1"/>
  <c r="P16" i="6834"/>
  <c r="P17" i="6838"/>
  <c r="P17" i="6834"/>
  <c r="P19" i="6840" l="1"/>
  <c r="P16" i="6832"/>
  <c r="P17" i="6844" l="1"/>
  <c r="P18" i="6828"/>
  <c r="P22" i="6836" l="1"/>
  <c r="P19" i="6832"/>
  <c r="P20" i="6838" l="1"/>
  <c r="P18" i="6838"/>
  <c r="P15" i="6844"/>
  <c r="P17" i="6846"/>
  <c r="P17" i="6836"/>
  <c r="P15" i="6836"/>
  <c r="P15" i="6846"/>
  <c r="P16" i="6846"/>
  <c r="C35" i="6846"/>
  <c r="B30" i="6846"/>
  <c r="C21" i="6846"/>
  <c r="B20" i="6846"/>
  <c r="H50" i="6846" s="1"/>
  <c r="B19" i="6846"/>
  <c r="B29" i="6846" s="1"/>
  <c r="C18" i="6846"/>
  <c r="B18" i="6846"/>
  <c r="C17" i="6846"/>
  <c r="C16" i="6846"/>
  <c r="C15" i="6846"/>
  <c r="B13" i="6846"/>
  <c r="P12" i="6846"/>
  <c r="B12" i="6846"/>
  <c r="P11" i="6846"/>
  <c r="B11" i="6846"/>
  <c r="P10" i="6846"/>
  <c r="C10" i="6846"/>
  <c r="C9" i="6846"/>
  <c r="C8" i="6846"/>
  <c r="P7" i="6846"/>
  <c r="B7" i="6846"/>
  <c r="P6" i="6846"/>
  <c r="P5" i="6846"/>
  <c r="B5" i="6846"/>
  <c r="P4" i="6846"/>
  <c r="P3" i="6846"/>
  <c r="P2" i="6846"/>
  <c r="P20" i="6826"/>
  <c r="P18" i="6844"/>
  <c r="P16" i="6844"/>
  <c r="C35" i="6844"/>
  <c r="B30" i="6844"/>
  <c r="C21" i="6844"/>
  <c r="B20" i="6844"/>
  <c r="H51" i="6844" s="1"/>
  <c r="B19" i="6844"/>
  <c r="B29" i="6844" s="1"/>
  <c r="B18" i="6844"/>
  <c r="C18" i="6844" s="1"/>
  <c r="C17" i="6844"/>
  <c r="C16" i="6844"/>
  <c r="C15" i="6844"/>
  <c r="B14" i="6844"/>
  <c r="B13" i="6844"/>
  <c r="P12" i="6844"/>
  <c r="B12" i="6844"/>
  <c r="P11" i="6844"/>
  <c r="B11" i="6844"/>
  <c r="P10" i="6844"/>
  <c r="C10" i="6844"/>
  <c r="C9" i="6844"/>
  <c r="C8" i="6844"/>
  <c r="P7" i="6844"/>
  <c r="B7" i="6844"/>
  <c r="P6" i="6844"/>
  <c r="P5" i="6844"/>
  <c r="B5" i="6844"/>
  <c r="P4" i="6844"/>
  <c r="P3" i="6844"/>
  <c r="P2" i="6844"/>
  <c r="P19" i="6826"/>
  <c r="C19" i="6844" l="1"/>
  <c r="B27" i="6844"/>
  <c r="C40" i="6844"/>
  <c r="H12" i="6844"/>
  <c r="H41" i="6844"/>
  <c r="H16" i="6844"/>
  <c r="B14" i="6846"/>
  <c r="C19" i="6846"/>
  <c r="C20" i="6846"/>
  <c r="H3" i="6846"/>
  <c r="H8" i="6846"/>
  <c r="H33" i="6846"/>
  <c r="C42" i="6846"/>
  <c r="C46" i="6846"/>
  <c r="H51" i="6846"/>
  <c r="H2" i="6846"/>
  <c r="H11" i="6846"/>
  <c r="H16" i="6846"/>
  <c r="H19" i="6846"/>
  <c r="C24" i="6846"/>
  <c r="B28" i="6846"/>
  <c r="H34" i="6846"/>
  <c r="H39" i="6846"/>
  <c r="H43" i="6846"/>
  <c r="H47" i="6846"/>
  <c r="H9" i="6846"/>
  <c r="H22" i="6846"/>
  <c r="H26" i="6846"/>
  <c r="H29" i="6846"/>
  <c r="H35" i="6846"/>
  <c r="C39" i="6846"/>
  <c r="C43" i="6846"/>
  <c r="C47" i="6846"/>
  <c r="H52" i="6846"/>
  <c r="H14" i="6846"/>
  <c r="H17" i="6846"/>
  <c r="C25" i="6846"/>
  <c r="H40" i="6846"/>
  <c r="H44" i="6846"/>
  <c r="H48" i="6846"/>
  <c r="H25" i="6846"/>
  <c r="C38" i="6846"/>
  <c r="H6" i="6846"/>
  <c r="H12" i="6846"/>
  <c r="H20" i="6846"/>
  <c r="H23" i="6846"/>
  <c r="H27" i="6846"/>
  <c r="H30" i="6846"/>
  <c r="H36" i="6846"/>
  <c r="C40" i="6846"/>
  <c r="C44" i="6846"/>
  <c r="C48" i="6846"/>
  <c r="H5" i="6846"/>
  <c r="H18" i="6846"/>
  <c r="C22" i="6846"/>
  <c r="C26" i="6846"/>
  <c r="H37" i="6846"/>
  <c r="H41" i="6846"/>
  <c r="H45" i="6846"/>
  <c r="H49" i="6846"/>
  <c r="H4" i="6846"/>
  <c r="H13" i="6846"/>
  <c r="H15" i="6846"/>
  <c r="H24" i="6846"/>
  <c r="H28" i="6846"/>
  <c r="H31" i="6846"/>
  <c r="C37" i="6846"/>
  <c r="C41" i="6846"/>
  <c r="C45" i="6846"/>
  <c r="C49" i="6846"/>
  <c r="H10" i="6846"/>
  <c r="H7" i="6846"/>
  <c r="H21" i="6846"/>
  <c r="C23" i="6846"/>
  <c r="B27" i="6846"/>
  <c r="H32" i="6846"/>
  <c r="H38" i="6846"/>
  <c r="H42" i="6846"/>
  <c r="H46" i="6846"/>
  <c r="H42" i="6844"/>
  <c r="H11" i="6844"/>
  <c r="H29" i="6844"/>
  <c r="H13" i="6844"/>
  <c r="H22" i="6844"/>
  <c r="C22" i="6844"/>
  <c r="H35" i="6844"/>
  <c r="H4" i="6844"/>
  <c r="C23" i="6844"/>
  <c r="H47" i="6844"/>
  <c r="B28" i="6844"/>
  <c r="H46" i="6844"/>
  <c r="H2" i="6844"/>
  <c r="H25" i="6844"/>
  <c r="H36" i="6844"/>
  <c r="C47" i="6844"/>
  <c r="H10" i="6844"/>
  <c r="H3" i="6844"/>
  <c r="H43" i="6844"/>
  <c r="H19" i="6844"/>
  <c r="H9" i="6844"/>
  <c r="H15" i="6844"/>
  <c r="C26" i="6844"/>
  <c r="H37" i="6844"/>
  <c r="H48" i="6844"/>
  <c r="H17" i="6844"/>
  <c r="H20" i="6844"/>
  <c r="C24" i="6844"/>
  <c r="H30" i="6844"/>
  <c r="H38" i="6844"/>
  <c r="C43" i="6844"/>
  <c r="H49" i="6844"/>
  <c r="H8" i="6844"/>
  <c r="H50" i="6844"/>
  <c r="H44" i="6844"/>
  <c r="H7" i="6844"/>
  <c r="H14" i="6844"/>
  <c r="H18" i="6844"/>
  <c r="C20" i="6844"/>
  <c r="C25" i="6844"/>
  <c r="H32" i="6844"/>
  <c r="C39" i="6844"/>
  <c r="C44" i="6844"/>
  <c r="H6" i="6844"/>
  <c r="H39" i="6844"/>
  <c r="H5" i="6844"/>
  <c r="H21" i="6844"/>
  <c r="H26" i="6844"/>
  <c r="H34" i="6844"/>
  <c r="H40" i="6844"/>
  <c r="H45" i="6844"/>
  <c r="H52" i="6844"/>
  <c r="C48" i="6844"/>
  <c r="H23" i="6844"/>
  <c r="H27" i="6844"/>
  <c r="H31" i="6844"/>
  <c r="C37" i="6844"/>
  <c r="C41" i="6844"/>
  <c r="C45" i="6844"/>
  <c r="C49" i="6844"/>
  <c r="H24" i="6844"/>
  <c r="H28" i="6844"/>
  <c r="H33" i="6844"/>
  <c r="C38" i="6844"/>
  <c r="C42" i="6844"/>
  <c r="C46" i="6844"/>
  <c r="P18" i="6830" l="1"/>
  <c r="P15" i="6838"/>
  <c r="P16" i="6836"/>
  <c r="P16" i="6838"/>
  <c r="P22" i="6838"/>
  <c r="P18" i="6840"/>
  <c r="P19" i="6836"/>
  <c r="P20" i="6840"/>
  <c r="P16" i="6830"/>
  <c r="P15" i="6830"/>
  <c r="P17" i="6842" l="1"/>
  <c r="P16" i="6840"/>
  <c r="P17" i="6828"/>
  <c r="P21" i="6828"/>
  <c r="P16" i="6842"/>
  <c r="P15" i="6842"/>
  <c r="C35" i="6842"/>
  <c r="B30" i="6842"/>
  <c r="C21" i="6842"/>
  <c r="B20" i="6842"/>
  <c r="H50" i="6842" s="1"/>
  <c r="B19" i="6842"/>
  <c r="B29" i="6842" s="1"/>
  <c r="B18" i="6842"/>
  <c r="C18" i="6842" s="1"/>
  <c r="C17" i="6842"/>
  <c r="C16" i="6842"/>
  <c r="C15" i="6842"/>
  <c r="B13" i="6842"/>
  <c r="P12" i="6842"/>
  <c r="B12" i="6842"/>
  <c r="P11" i="6842"/>
  <c r="B11" i="6842"/>
  <c r="P10" i="6842"/>
  <c r="C10" i="6842"/>
  <c r="C9" i="6842"/>
  <c r="C8" i="6842"/>
  <c r="P7" i="6842"/>
  <c r="B7" i="6842"/>
  <c r="P6" i="6842"/>
  <c r="P5" i="6842"/>
  <c r="B5" i="6842"/>
  <c r="P4" i="6842"/>
  <c r="P3" i="6842"/>
  <c r="P2" i="6842"/>
  <c r="P17" i="6840"/>
  <c r="P15" i="6840"/>
  <c r="C35" i="6840"/>
  <c r="B30" i="6840"/>
  <c r="C21" i="6840"/>
  <c r="B20" i="6840"/>
  <c r="H51" i="6840" s="1"/>
  <c r="B19" i="6840"/>
  <c r="B29" i="6840" s="1"/>
  <c r="B18" i="6840"/>
  <c r="C18" i="6840" s="1"/>
  <c r="C17" i="6840"/>
  <c r="C16" i="6840"/>
  <c r="C15" i="6840"/>
  <c r="B13" i="6840"/>
  <c r="P12" i="6840"/>
  <c r="B12" i="6840"/>
  <c r="P11" i="6840"/>
  <c r="B11" i="6840"/>
  <c r="P10" i="6840"/>
  <c r="C10" i="6840"/>
  <c r="C9" i="6840"/>
  <c r="C8" i="6840"/>
  <c r="P7" i="6840"/>
  <c r="B7" i="6840"/>
  <c r="P6" i="6840"/>
  <c r="P5" i="6840"/>
  <c r="B5" i="6840"/>
  <c r="P4" i="6840"/>
  <c r="P3" i="6840"/>
  <c r="P2" i="6840"/>
  <c r="P23" i="6836"/>
  <c r="P18" i="6836"/>
  <c r="P16" i="6826"/>
  <c r="P18" i="6826"/>
  <c r="B14" i="6840" l="1"/>
  <c r="B14" i="6842"/>
  <c r="H4" i="6840"/>
  <c r="C19" i="6842"/>
  <c r="C20" i="6842"/>
  <c r="H2" i="6842"/>
  <c r="H25" i="6842"/>
  <c r="H33" i="6842"/>
  <c r="C42" i="6842"/>
  <c r="C46" i="6842"/>
  <c r="H3" i="6842"/>
  <c r="H12" i="6842"/>
  <c r="H17" i="6842"/>
  <c r="H21" i="6842"/>
  <c r="C24" i="6842"/>
  <c r="B28" i="6842"/>
  <c r="H34" i="6842"/>
  <c r="H39" i="6842"/>
  <c r="H43" i="6842"/>
  <c r="H47" i="6842"/>
  <c r="H5" i="6842"/>
  <c r="H23" i="6842"/>
  <c r="H26" i="6842"/>
  <c r="H29" i="6842"/>
  <c r="H35" i="6842"/>
  <c r="C39" i="6842"/>
  <c r="C43" i="6842"/>
  <c r="C47" i="6842"/>
  <c r="H52" i="6842"/>
  <c r="H15" i="6842"/>
  <c r="H18" i="6842"/>
  <c r="C25" i="6842"/>
  <c r="H40" i="6842"/>
  <c r="H44" i="6842"/>
  <c r="H48" i="6842"/>
  <c r="H4" i="6842"/>
  <c r="C38" i="6842"/>
  <c r="H51" i="6842"/>
  <c r="H11" i="6842"/>
  <c r="H13" i="6842"/>
  <c r="H22" i="6842"/>
  <c r="H10" i="6842"/>
  <c r="H27" i="6842"/>
  <c r="H30" i="6842"/>
  <c r="H36" i="6842"/>
  <c r="C40" i="6842"/>
  <c r="C44" i="6842"/>
  <c r="C48" i="6842"/>
  <c r="H6" i="6842"/>
  <c r="H19" i="6842"/>
  <c r="C22" i="6842"/>
  <c r="C26" i="6842"/>
  <c r="H37" i="6842"/>
  <c r="H41" i="6842"/>
  <c r="H45" i="6842"/>
  <c r="H49" i="6842"/>
  <c r="H7" i="6842"/>
  <c r="H14" i="6842"/>
  <c r="H16" i="6842"/>
  <c r="H24" i="6842"/>
  <c r="H28" i="6842"/>
  <c r="H31" i="6842"/>
  <c r="C37" i="6842"/>
  <c r="C41" i="6842"/>
  <c r="C45" i="6842"/>
  <c r="C49" i="6842"/>
  <c r="H8" i="6842"/>
  <c r="H20" i="6842"/>
  <c r="H9" i="6842"/>
  <c r="C23" i="6842"/>
  <c r="B27" i="6842"/>
  <c r="H32" i="6842"/>
  <c r="H38" i="6842"/>
  <c r="H42" i="6842"/>
  <c r="H46" i="6842"/>
  <c r="C19" i="6840"/>
  <c r="H24" i="6840"/>
  <c r="B28" i="6840"/>
  <c r="H13" i="6840"/>
  <c r="C39" i="6840"/>
  <c r="H45" i="6840"/>
  <c r="H31" i="6840"/>
  <c r="H6" i="6840"/>
  <c r="H29" i="6840"/>
  <c r="C22" i="6840"/>
  <c r="H12" i="6840"/>
  <c r="H19" i="6840"/>
  <c r="H34" i="6840"/>
  <c r="H47" i="6840"/>
  <c r="H14" i="6840"/>
  <c r="H39" i="6840"/>
  <c r="H41" i="6840"/>
  <c r="C45" i="6840"/>
  <c r="C24" i="6840"/>
  <c r="H11" i="6840"/>
  <c r="C47" i="6840"/>
  <c r="H18" i="6840"/>
  <c r="H8" i="6840"/>
  <c r="H3" i="6840"/>
  <c r="H22" i="6840"/>
  <c r="H2" i="6840"/>
  <c r="H26" i="6840"/>
  <c r="H17" i="6840"/>
  <c r="H20" i="6840"/>
  <c r="H37" i="6840"/>
  <c r="H9" i="6840"/>
  <c r="H10" i="6840"/>
  <c r="H28" i="6840"/>
  <c r="C37" i="6840"/>
  <c r="H49" i="6840"/>
  <c r="C41" i="6840"/>
  <c r="C49" i="6840"/>
  <c r="C25" i="6840"/>
  <c r="H35" i="6840"/>
  <c r="H43" i="6840"/>
  <c r="H5" i="6840"/>
  <c r="C20" i="6840"/>
  <c r="C26" i="6840"/>
  <c r="C43" i="6840"/>
  <c r="H52" i="6840"/>
  <c r="H40" i="6840"/>
  <c r="H44" i="6840"/>
  <c r="H48" i="6840"/>
  <c r="H23" i="6840"/>
  <c r="H25" i="6840"/>
  <c r="H27" i="6840"/>
  <c r="H30" i="6840"/>
  <c r="H36" i="6840"/>
  <c r="C40" i="6840"/>
  <c r="C44" i="6840"/>
  <c r="C48" i="6840"/>
  <c r="H21" i="6840"/>
  <c r="H15" i="6840"/>
  <c r="C23" i="6840"/>
  <c r="B27" i="6840"/>
  <c r="H32" i="6840"/>
  <c r="H38" i="6840"/>
  <c r="H42" i="6840"/>
  <c r="H46" i="6840"/>
  <c r="H50" i="6840"/>
  <c r="H16" i="6840"/>
  <c r="H7" i="6840"/>
  <c r="H33" i="6840"/>
  <c r="C38" i="6840"/>
  <c r="C42" i="6840"/>
  <c r="C46" i="6840"/>
  <c r="P20" i="6832" l="1"/>
  <c r="P21" i="6838"/>
  <c r="P19" i="6838"/>
  <c r="C35" i="6838"/>
  <c r="B30" i="6838"/>
  <c r="C21" i="6838"/>
  <c r="B20" i="6838"/>
  <c r="H18" i="6838" s="1"/>
  <c r="B19" i="6838"/>
  <c r="B29" i="6838" s="1"/>
  <c r="B18" i="6838"/>
  <c r="C18" i="6838" s="1"/>
  <c r="C17" i="6838"/>
  <c r="C16" i="6838"/>
  <c r="C15" i="6838"/>
  <c r="B13" i="6838"/>
  <c r="P12" i="6838"/>
  <c r="B12" i="6838"/>
  <c r="P11" i="6838"/>
  <c r="B11" i="6838"/>
  <c r="P10" i="6838"/>
  <c r="C10" i="6838"/>
  <c r="C9" i="6838"/>
  <c r="C8" i="6838"/>
  <c r="P7" i="6838"/>
  <c r="B7" i="6838"/>
  <c r="P6" i="6838"/>
  <c r="P5" i="6838"/>
  <c r="B5" i="6838"/>
  <c r="P4" i="6838"/>
  <c r="P3" i="6838"/>
  <c r="P2" i="6838"/>
  <c r="P19" i="6828"/>
  <c r="P21" i="6826"/>
  <c r="C19" i="6838" l="1"/>
  <c r="B14" i="6838"/>
  <c r="H3" i="6838"/>
  <c r="H30" i="6838"/>
  <c r="C45" i="6838"/>
  <c r="C20" i="6838"/>
  <c r="H31" i="6838"/>
  <c r="H38" i="6838"/>
  <c r="C41" i="6838"/>
  <c r="H47" i="6838"/>
  <c r="H52" i="6838"/>
  <c r="H25" i="6838"/>
  <c r="C25" i="6838"/>
  <c r="C37" i="6838"/>
  <c r="H43" i="6838"/>
  <c r="H48" i="6838"/>
  <c r="H42" i="6838"/>
  <c r="H11" i="6838"/>
  <c r="H21" i="6838"/>
  <c r="H15" i="6838"/>
  <c r="H13" i="6838"/>
  <c r="H14" i="6838"/>
  <c r="H22" i="6838"/>
  <c r="H28" i="6838"/>
  <c r="H32" i="6838"/>
  <c r="H39" i="6838"/>
  <c r="H44" i="6838"/>
  <c r="C47" i="6838"/>
  <c r="C24" i="6838"/>
  <c r="H37" i="6838"/>
  <c r="H2" i="6838"/>
  <c r="H7" i="6838"/>
  <c r="H17" i="6838"/>
  <c r="H33" i="6838"/>
  <c r="H40" i="6838"/>
  <c r="H49" i="6838"/>
  <c r="H23" i="6838"/>
  <c r="C22" i="6838"/>
  <c r="H35" i="6838"/>
  <c r="C48" i="6838"/>
  <c r="H6" i="6838"/>
  <c r="H20" i="6838"/>
  <c r="H26" i="6838"/>
  <c r="B27" i="6838"/>
  <c r="H50" i="6838"/>
  <c r="H4" i="6838"/>
  <c r="H8" i="6838"/>
  <c r="H24" i="6838"/>
  <c r="C26" i="6838"/>
  <c r="C43" i="6838"/>
  <c r="H5" i="6838"/>
  <c r="H29" i="6838"/>
  <c r="C39" i="6838"/>
  <c r="H45" i="6838"/>
  <c r="H9" i="6838"/>
  <c r="H36" i="6838"/>
  <c r="H41" i="6838"/>
  <c r="C44" i="6838"/>
  <c r="H19" i="6838"/>
  <c r="H12" i="6838"/>
  <c r="H16" i="6838"/>
  <c r="C23" i="6838"/>
  <c r="B28" i="6838"/>
  <c r="C40" i="6838"/>
  <c r="H46" i="6838"/>
  <c r="C49" i="6838"/>
  <c r="H51" i="6838"/>
  <c r="H27" i="6838"/>
  <c r="H10" i="6838"/>
  <c r="H34" i="6838"/>
  <c r="C38" i="6838"/>
  <c r="C42" i="6838"/>
  <c r="C46" i="6838"/>
  <c r="P20" i="6828" l="1"/>
  <c r="P15" i="6828"/>
  <c r="P20" i="6836"/>
  <c r="P21" i="6836"/>
  <c r="C35" i="6836"/>
  <c r="B30" i="6836"/>
  <c r="C21" i="6836"/>
  <c r="B20" i="6836"/>
  <c r="H50" i="6836" s="1"/>
  <c r="B19" i="6836"/>
  <c r="B29" i="6836" s="1"/>
  <c r="B18" i="6836"/>
  <c r="C18" i="6836" s="1"/>
  <c r="C17" i="6836"/>
  <c r="C16" i="6836"/>
  <c r="C15" i="6836"/>
  <c r="B13" i="6836"/>
  <c r="P12" i="6836"/>
  <c r="B12" i="6836"/>
  <c r="P11" i="6836"/>
  <c r="B11" i="6836"/>
  <c r="P10" i="6836"/>
  <c r="C10" i="6836"/>
  <c r="C9" i="6836"/>
  <c r="C8" i="6836"/>
  <c r="P7" i="6836"/>
  <c r="B7" i="6836"/>
  <c r="P6" i="6836"/>
  <c r="P5" i="6836"/>
  <c r="B5" i="6836"/>
  <c r="P4" i="6836"/>
  <c r="P3" i="6836"/>
  <c r="P2" i="6836"/>
  <c r="P15" i="6826"/>
  <c r="P18" i="6834"/>
  <c r="P15" i="6834"/>
  <c r="C35" i="6834"/>
  <c r="B30" i="6834"/>
  <c r="C21" i="6834"/>
  <c r="B20" i="6834"/>
  <c r="H50" i="6834" s="1"/>
  <c r="B19" i="6834"/>
  <c r="B29" i="6834" s="1"/>
  <c r="B18" i="6834"/>
  <c r="C18" i="6834" s="1"/>
  <c r="C17" i="6834"/>
  <c r="C16" i="6834"/>
  <c r="C15" i="6834"/>
  <c r="B13" i="6834"/>
  <c r="P12" i="6834"/>
  <c r="B12" i="6834"/>
  <c r="P11" i="6834"/>
  <c r="B11" i="6834"/>
  <c r="P10" i="6834"/>
  <c r="C10" i="6834"/>
  <c r="C9" i="6834"/>
  <c r="C8" i="6834"/>
  <c r="P7" i="6834"/>
  <c r="B7" i="6834"/>
  <c r="P6" i="6834"/>
  <c r="P5" i="6834"/>
  <c r="B5" i="6834"/>
  <c r="P4" i="6834"/>
  <c r="P3" i="6834"/>
  <c r="P2" i="6834"/>
  <c r="P23" i="6826"/>
  <c r="C19" i="6834" l="1"/>
  <c r="B14" i="6834"/>
  <c r="B14" i="6836"/>
  <c r="C19" i="6836"/>
  <c r="C20" i="6836"/>
  <c r="H3" i="6836"/>
  <c r="H27" i="6836"/>
  <c r="H33" i="6836"/>
  <c r="C42" i="6836"/>
  <c r="C46" i="6836"/>
  <c r="H2" i="6836"/>
  <c r="H8" i="6836"/>
  <c r="H19" i="6836"/>
  <c r="H23" i="6836"/>
  <c r="C24" i="6836"/>
  <c r="B28" i="6836"/>
  <c r="H34" i="6836"/>
  <c r="H39" i="6836"/>
  <c r="H43" i="6836"/>
  <c r="H47" i="6836"/>
  <c r="H6" i="6836"/>
  <c r="H25" i="6836"/>
  <c r="H11" i="6836"/>
  <c r="H30" i="6836"/>
  <c r="H35" i="6836"/>
  <c r="C39" i="6836"/>
  <c r="C43" i="6836"/>
  <c r="C47" i="6836"/>
  <c r="H52" i="6836"/>
  <c r="H18" i="6836"/>
  <c r="H21" i="6836"/>
  <c r="C25" i="6836"/>
  <c r="H40" i="6836"/>
  <c r="H44" i="6836"/>
  <c r="H48" i="6836"/>
  <c r="H9" i="6836"/>
  <c r="C38" i="6836"/>
  <c r="H51" i="6836"/>
  <c r="H5" i="6836"/>
  <c r="H13" i="6836"/>
  <c r="H24" i="6836"/>
  <c r="H16" i="6836"/>
  <c r="H28" i="6836"/>
  <c r="H17" i="6836"/>
  <c r="H36" i="6836"/>
  <c r="C40" i="6836"/>
  <c r="C44" i="6836"/>
  <c r="C48" i="6836"/>
  <c r="H4" i="6836"/>
  <c r="H22" i="6836"/>
  <c r="C22" i="6836"/>
  <c r="C26" i="6836"/>
  <c r="H37" i="6836"/>
  <c r="H41" i="6836"/>
  <c r="H45" i="6836"/>
  <c r="H49" i="6836"/>
  <c r="H7" i="6836"/>
  <c r="H10" i="6836"/>
  <c r="H20" i="6836"/>
  <c r="H26" i="6836"/>
  <c r="H29" i="6836"/>
  <c r="H31" i="6836"/>
  <c r="C37" i="6836"/>
  <c r="C41" i="6836"/>
  <c r="C45" i="6836"/>
  <c r="C49" i="6836"/>
  <c r="H12" i="6836"/>
  <c r="H14" i="6836"/>
  <c r="H15" i="6836"/>
  <c r="C23" i="6836"/>
  <c r="B27" i="6836"/>
  <c r="H32" i="6836"/>
  <c r="H38" i="6836"/>
  <c r="H42" i="6836"/>
  <c r="H46" i="6836"/>
  <c r="C20" i="6834"/>
  <c r="H2" i="6834"/>
  <c r="H7" i="6834"/>
  <c r="C38" i="6834"/>
  <c r="C46" i="6834"/>
  <c r="H5" i="6834"/>
  <c r="H16" i="6834"/>
  <c r="H20" i="6834"/>
  <c r="C24" i="6834"/>
  <c r="B28" i="6834"/>
  <c r="H34" i="6834"/>
  <c r="H39" i="6834"/>
  <c r="H43" i="6834"/>
  <c r="H47" i="6834"/>
  <c r="H3" i="6834"/>
  <c r="H23" i="6834"/>
  <c r="H10" i="6834"/>
  <c r="H29" i="6834"/>
  <c r="H35" i="6834"/>
  <c r="C39" i="6834"/>
  <c r="C43" i="6834"/>
  <c r="C47" i="6834"/>
  <c r="H52" i="6834"/>
  <c r="H14" i="6834"/>
  <c r="H17" i="6834"/>
  <c r="C25" i="6834"/>
  <c r="H40" i="6834"/>
  <c r="H44" i="6834"/>
  <c r="H48" i="6834"/>
  <c r="H26" i="6834"/>
  <c r="H33" i="6834"/>
  <c r="C42" i="6834"/>
  <c r="H51" i="6834"/>
  <c r="H6" i="6834"/>
  <c r="H8" i="6834"/>
  <c r="H12" i="6834"/>
  <c r="H21" i="6834"/>
  <c r="H24" i="6834"/>
  <c r="H27" i="6834"/>
  <c r="H30" i="6834"/>
  <c r="H36" i="6834"/>
  <c r="C40" i="6834"/>
  <c r="C44" i="6834"/>
  <c r="C48" i="6834"/>
  <c r="H4" i="6834"/>
  <c r="H18" i="6834"/>
  <c r="C22" i="6834"/>
  <c r="C26" i="6834"/>
  <c r="H37" i="6834"/>
  <c r="H41" i="6834"/>
  <c r="H45" i="6834"/>
  <c r="H49" i="6834"/>
  <c r="H9" i="6834"/>
  <c r="H13" i="6834"/>
  <c r="H15" i="6834"/>
  <c r="H25" i="6834"/>
  <c r="H28" i="6834"/>
  <c r="H31" i="6834"/>
  <c r="C37" i="6834"/>
  <c r="C41" i="6834"/>
  <c r="C45" i="6834"/>
  <c r="C49" i="6834"/>
  <c r="H11" i="6834"/>
  <c r="H19" i="6834"/>
  <c r="H22" i="6834"/>
  <c r="C23" i="6834"/>
  <c r="B27" i="6834"/>
  <c r="H32" i="6834"/>
  <c r="H38" i="6834"/>
  <c r="H42" i="6834"/>
  <c r="H46" i="6834"/>
  <c r="P15" i="6832" l="1"/>
  <c r="P18" i="6832"/>
  <c r="C35" i="6832"/>
  <c r="B30" i="6832"/>
  <c r="C21" i="6832"/>
  <c r="B20" i="6832"/>
  <c r="H50" i="6832" s="1"/>
  <c r="B19" i="6832"/>
  <c r="B29" i="6832" s="1"/>
  <c r="B18" i="6832"/>
  <c r="C18" i="6832" s="1"/>
  <c r="C17" i="6832"/>
  <c r="C16" i="6832"/>
  <c r="C15" i="6832"/>
  <c r="B13" i="6832"/>
  <c r="P12" i="6832"/>
  <c r="B12" i="6832"/>
  <c r="P11" i="6832"/>
  <c r="B11" i="6832"/>
  <c r="B14" i="6832" s="1"/>
  <c r="P10" i="6832"/>
  <c r="C10" i="6832"/>
  <c r="C9" i="6832"/>
  <c r="C8" i="6832"/>
  <c r="P7" i="6832"/>
  <c r="B7" i="6832"/>
  <c r="P6" i="6832"/>
  <c r="P5" i="6832"/>
  <c r="B5" i="6832"/>
  <c r="P4" i="6832"/>
  <c r="P3" i="6832"/>
  <c r="P2" i="6832"/>
  <c r="P17" i="6830"/>
  <c r="P19" i="6830"/>
  <c r="C35" i="6830"/>
  <c r="B30" i="6830"/>
  <c r="C21" i="6830"/>
  <c r="B20" i="6830"/>
  <c r="H50" i="6830" s="1"/>
  <c r="B19" i="6830"/>
  <c r="B29" i="6830" s="1"/>
  <c r="B18" i="6830"/>
  <c r="C18" i="6830" s="1"/>
  <c r="C17" i="6830"/>
  <c r="C16" i="6830"/>
  <c r="C15" i="6830"/>
  <c r="B13" i="6830"/>
  <c r="P12" i="6830"/>
  <c r="B12" i="6830"/>
  <c r="P11" i="6830"/>
  <c r="B11" i="6830"/>
  <c r="P10" i="6830"/>
  <c r="C10" i="6830"/>
  <c r="C9" i="6830"/>
  <c r="C8" i="6830"/>
  <c r="P7" i="6830"/>
  <c r="B7" i="6830"/>
  <c r="P6" i="6830"/>
  <c r="P5" i="6830"/>
  <c r="B5" i="6830"/>
  <c r="P4" i="6830"/>
  <c r="P3" i="6830"/>
  <c r="P2" i="6830"/>
  <c r="P24" i="6826"/>
  <c r="P22" i="6828"/>
  <c r="P16" i="6828"/>
  <c r="C35" i="6828"/>
  <c r="B30" i="6828"/>
  <c r="C21" i="6828"/>
  <c r="B20" i="6828"/>
  <c r="H16" i="6828" s="1"/>
  <c r="B19" i="6828"/>
  <c r="B29" i="6828" s="1"/>
  <c r="B18" i="6828"/>
  <c r="C18" i="6828" s="1"/>
  <c r="C17" i="6828"/>
  <c r="C16" i="6828"/>
  <c r="C15" i="6828"/>
  <c r="B13" i="6828"/>
  <c r="P12" i="6828"/>
  <c r="B12" i="6828"/>
  <c r="P11" i="6828"/>
  <c r="B11" i="6828"/>
  <c r="P10" i="6828"/>
  <c r="C10" i="6828"/>
  <c r="C9" i="6828"/>
  <c r="C8" i="6828"/>
  <c r="P7" i="6828"/>
  <c r="B7" i="6828"/>
  <c r="P6" i="6828"/>
  <c r="P5" i="6828"/>
  <c r="B5" i="6828"/>
  <c r="P4" i="6828"/>
  <c r="P3" i="6828"/>
  <c r="P2" i="6828"/>
  <c r="P22" i="6826"/>
  <c r="P17" i="6826"/>
  <c r="C35" i="6826"/>
  <c r="B30" i="6826"/>
  <c r="C21" i="6826"/>
  <c r="B20" i="6826"/>
  <c r="H8" i="6826" s="1"/>
  <c r="B19" i="6826"/>
  <c r="B29" i="6826" s="1"/>
  <c r="B18" i="6826"/>
  <c r="C18" i="6826" s="1"/>
  <c r="C17" i="6826"/>
  <c r="C16" i="6826"/>
  <c r="C15" i="6826"/>
  <c r="B13" i="6826"/>
  <c r="P12" i="6826"/>
  <c r="B12" i="6826"/>
  <c r="P11" i="6826"/>
  <c r="B11" i="6826"/>
  <c r="P10" i="6826"/>
  <c r="C10" i="6826"/>
  <c r="C9" i="6826"/>
  <c r="C8" i="6826"/>
  <c r="P7" i="6826"/>
  <c r="B7" i="6826"/>
  <c r="P6" i="6826"/>
  <c r="P5" i="6826"/>
  <c r="B5" i="6826"/>
  <c r="P4" i="6826"/>
  <c r="P3" i="6826"/>
  <c r="P2" i="6826"/>
  <c r="B14" i="6828" l="1"/>
  <c r="B14" i="6830"/>
  <c r="C19" i="6830"/>
  <c r="C19" i="6828"/>
  <c r="H10" i="6828"/>
  <c r="C19" i="6832"/>
  <c r="C20" i="6832"/>
  <c r="H2" i="6832"/>
  <c r="H8" i="6832"/>
  <c r="H33" i="6832"/>
  <c r="C42" i="6832"/>
  <c r="C46" i="6832"/>
  <c r="H51" i="6832"/>
  <c r="H3" i="6832"/>
  <c r="H11" i="6832"/>
  <c r="H20" i="6832"/>
  <c r="H15" i="6832"/>
  <c r="C24" i="6832"/>
  <c r="B28" i="6832"/>
  <c r="H34" i="6832"/>
  <c r="H39" i="6832"/>
  <c r="H43" i="6832"/>
  <c r="H47" i="6832"/>
  <c r="H7" i="6832"/>
  <c r="H26" i="6832"/>
  <c r="H16" i="6832"/>
  <c r="H30" i="6832"/>
  <c r="H35" i="6832"/>
  <c r="C39" i="6832"/>
  <c r="C43" i="6832"/>
  <c r="C47" i="6832"/>
  <c r="H52" i="6832"/>
  <c r="H18" i="6832"/>
  <c r="H21" i="6832"/>
  <c r="C25" i="6832"/>
  <c r="H40" i="6832"/>
  <c r="H44" i="6832"/>
  <c r="H48" i="6832"/>
  <c r="H28" i="6832"/>
  <c r="C38" i="6832"/>
  <c r="H5" i="6832"/>
  <c r="H9" i="6832"/>
  <c r="H24" i="6832"/>
  <c r="H12" i="6832"/>
  <c r="H29" i="6832"/>
  <c r="H13" i="6832"/>
  <c r="H36" i="6832"/>
  <c r="C40" i="6832"/>
  <c r="C44" i="6832"/>
  <c r="C48" i="6832"/>
  <c r="H4" i="6832"/>
  <c r="H22" i="6832"/>
  <c r="C22" i="6832"/>
  <c r="C26" i="6832"/>
  <c r="H37" i="6832"/>
  <c r="H41" i="6832"/>
  <c r="H45" i="6832"/>
  <c r="H49" i="6832"/>
  <c r="H6" i="6832"/>
  <c r="H14" i="6832"/>
  <c r="H19" i="6832"/>
  <c r="H27" i="6832"/>
  <c r="H17" i="6832"/>
  <c r="H31" i="6832"/>
  <c r="C37" i="6832"/>
  <c r="C41" i="6832"/>
  <c r="C45" i="6832"/>
  <c r="C49" i="6832"/>
  <c r="H10" i="6832"/>
  <c r="H23" i="6832"/>
  <c r="H25" i="6832"/>
  <c r="C23" i="6832"/>
  <c r="B27" i="6832"/>
  <c r="H32" i="6832"/>
  <c r="H38" i="6832"/>
  <c r="H42" i="6832"/>
  <c r="H46" i="6832"/>
  <c r="C19" i="6826"/>
  <c r="C20" i="6830"/>
  <c r="H2" i="6830"/>
  <c r="H17" i="6830"/>
  <c r="H7" i="6830"/>
  <c r="C38" i="6830"/>
  <c r="C42" i="6830"/>
  <c r="C46" i="6830"/>
  <c r="H51" i="6830"/>
  <c r="H3" i="6830"/>
  <c r="H9" i="6830"/>
  <c r="H21" i="6830"/>
  <c r="H15" i="6830"/>
  <c r="C24" i="6830"/>
  <c r="B28" i="6830"/>
  <c r="H34" i="6830"/>
  <c r="H39" i="6830"/>
  <c r="H43" i="6830"/>
  <c r="H47" i="6830"/>
  <c r="H4" i="6830"/>
  <c r="H25" i="6830"/>
  <c r="H18" i="6830"/>
  <c r="H29" i="6830"/>
  <c r="H35" i="6830"/>
  <c r="C39" i="6830"/>
  <c r="C43" i="6830"/>
  <c r="C47" i="6830"/>
  <c r="H52" i="6830"/>
  <c r="H19" i="6830"/>
  <c r="H22" i="6830"/>
  <c r="C25" i="6830"/>
  <c r="H40" i="6830"/>
  <c r="H44" i="6830"/>
  <c r="H48" i="6830"/>
  <c r="H33" i="6830"/>
  <c r="H6" i="6830"/>
  <c r="H13" i="6830"/>
  <c r="H24" i="6830"/>
  <c r="H11" i="6830"/>
  <c r="H27" i="6830"/>
  <c r="H30" i="6830"/>
  <c r="H36" i="6830"/>
  <c r="C40" i="6830"/>
  <c r="C44" i="6830"/>
  <c r="C48" i="6830"/>
  <c r="H5" i="6830"/>
  <c r="H23" i="6830"/>
  <c r="C22" i="6830"/>
  <c r="C26" i="6830"/>
  <c r="H37" i="6830"/>
  <c r="H41" i="6830"/>
  <c r="H45" i="6830"/>
  <c r="H49" i="6830"/>
  <c r="H8" i="6830"/>
  <c r="H14" i="6830"/>
  <c r="H20" i="6830"/>
  <c r="H26" i="6830"/>
  <c r="H28" i="6830"/>
  <c r="H31" i="6830"/>
  <c r="C37" i="6830"/>
  <c r="C41" i="6830"/>
  <c r="C45" i="6830"/>
  <c r="C49" i="6830"/>
  <c r="H12" i="6830"/>
  <c r="H10" i="6830"/>
  <c r="H16" i="6830"/>
  <c r="C23" i="6830"/>
  <c r="B27" i="6830"/>
  <c r="H32" i="6830"/>
  <c r="H38" i="6830"/>
  <c r="H42" i="6830"/>
  <c r="H46" i="6830"/>
  <c r="B14" i="6826"/>
  <c r="H8" i="6828"/>
  <c r="B28" i="6828"/>
  <c r="H25" i="6828"/>
  <c r="H38" i="6828"/>
  <c r="H43" i="6828"/>
  <c r="C41" i="6828"/>
  <c r="H22" i="6828"/>
  <c r="H48" i="6828"/>
  <c r="C22" i="6828"/>
  <c r="H29" i="6828"/>
  <c r="B27" i="6828"/>
  <c r="C47" i="6828"/>
  <c r="H26" i="6828"/>
  <c r="C37" i="6828"/>
  <c r="H44" i="6828"/>
  <c r="H49" i="6828"/>
  <c r="C23" i="6828"/>
  <c r="H13" i="6828"/>
  <c r="H23" i="6828"/>
  <c r="H14" i="6828"/>
  <c r="C24" i="6828"/>
  <c r="H39" i="6828"/>
  <c r="C43" i="6828"/>
  <c r="H50" i="6828"/>
  <c r="H18" i="6828"/>
  <c r="C49" i="6828"/>
  <c r="H21" i="6828"/>
  <c r="H45" i="6828"/>
  <c r="H2" i="6828"/>
  <c r="C20" i="6828"/>
  <c r="C25" i="6828"/>
  <c r="H33" i="6828"/>
  <c r="C39" i="6828"/>
  <c r="H46" i="6828"/>
  <c r="H51" i="6828"/>
  <c r="H32" i="6828"/>
  <c r="H17" i="6828"/>
  <c r="C26" i="6828"/>
  <c r="H35" i="6828"/>
  <c r="H41" i="6828"/>
  <c r="C45" i="6828"/>
  <c r="H5" i="6828"/>
  <c r="H4" i="6828"/>
  <c r="H6" i="6828"/>
  <c r="H12" i="6828"/>
  <c r="H40" i="6828"/>
  <c r="H3" i="6828"/>
  <c r="H9" i="6828"/>
  <c r="H24" i="6828"/>
  <c r="H19" i="6828"/>
  <c r="H28" i="6828"/>
  <c r="H31" i="6828"/>
  <c r="H36" i="6828"/>
  <c r="H42" i="6828"/>
  <c r="H47" i="6828"/>
  <c r="H52" i="6828"/>
  <c r="H27" i="6828"/>
  <c r="H11" i="6828"/>
  <c r="H30" i="6828"/>
  <c r="H15" i="6828"/>
  <c r="H37" i="6828"/>
  <c r="C40" i="6828"/>
  <c r="C44" i="6828"/>
  <c r="C48" i="6828"/>
  <c r="H20" i="6828"/>
  <c r="H7" i="6828"/>
  <c r="H34" i="6828"/>
  <c r="C38" i="6828"/>
  <c r="C42" i="6828"/>
  <c r="C46" i="6828"/>
  <c r="C20" i="6826"/>
  <c r="H3" i="6826"/>
  <c r="H20" i="6826"/>
  <c r="C42" i="6826"/>
  <c r="C46" i="6826"/>
  <c r="H9" i="6826"/>
  <c r="H22" i="6826"/>
  <c r="H18" i="6826"/>
  <c r="C24" i="6826"/>
  <c r="B28" i="6826"/>
  <c r="H35" i="6826"/>
  <c r="H40" i="6826"/>
  <c r="H44" i="6826"/>
  <c r="H48" i="6826"/>
  <c r="H5" i="6826"/>
  <c r="H29" i="6826"/>
  <c r="H14" i="6826"/>
  <c r="H32" i="6826"/>
  <c r="H36" i="6826"/>
  <c r="C39" i="6826"/>
  <c r="C43" i="6826"/>
  <c r="C47" i="6826"/>
  <c r="H52" i="6826"/>
  <c r="H21" i="6826"/>
  <c r="H27" i="6826"/>
  <c r="C25" i="6826"/>
  <c r="H41" i="6826"/>
  <c r="H45" i="6826"/>
  <c r="H49" i="6826"/>
  <c r="H34" i="6826"/>
  <c r="C44" i="6826"/>
  <c r="C38" i="6826"/>
  <c r="H19" i="6826"/>
  <c r="H2" i="6826"/>
  <c r="H7" i="6826"/>
  <c r="H10" i="6826"/>
  <c r="H28" i="6826"/>
  <c r="H13" i="6826"/>
  <c r="H31" i="6826"/>
  <c r="H17" i="6826"/>
  <c r="H37" i="6826"/>
  <c r="C40" i="6826"/>
  <c r="C48" i="6826"/>
  <c r="H4" i="6826"/>
  <c r="H23" i="6826"/>
  <c r="C22" i="6826"/>
  <c r="C26" i="6826"/>
  <c r="H38" i="6826"/>
  <c r="H42" i="6826"/>
  <c r="H46" i="6826"/>
  <c r="H50" i="6826"/>
  <c r="H6" i="6826"/>
  <c r="H12" i="6826"/>
  <c r="H26" i="6826"/>
  <c r="H30" i="6826"/>
  <c r="H24" i="6826"/>
  <c r="H25" i="6826"/>
  <c r="C37" i="6826"/>
  <c r="C41" i="6826"/>
  <c r="C45" i="6826"/>
  <c r="C49" i="6826"/>
  <c r="H11" i="6826"/>
  <c r="H15" i="6826"/>
  <c r="H16" i="6826"/>
  <c r="C23" i="6826"/>
  <c r="B27" i="6826"/>
  <c r="H33" i="6826"/>
  <c r="H39" i="6826"/>
  <c r="H43" i="6826"/>
  <c r="H47" i="6826"/>
  <c r="H51" i="682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<sst xmlns="http://schemas.openxmlformats.org/spreadsheetml/2006/main" count="2898" uniqueCount="230">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</sst>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全体!$L$2:$L$116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B-42E5-81F6-E3563201E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-35.087719298245617</c:v>
                </c:pt>
                <c:pt idx="1">
                  <c:v>36.036036036036037</c:v>
                </c:pt>
                <c:pt idx="2">
                  <c:v>-27.027027027027028</c:v>
                </c:pt>
                <c:pt idx="3">
                  <c:v>28.571428571428573</c:v>
                </c:pt>
                <c:pt idx="4">
                  <c:v>-30.303030303030305</c:v>
                </c:pt>
                <c:pt idx="5">
                  <c:v>33.333333333333336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A3-4220-B253-ECF80D212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20</c:v>
                </c:pt>
                <c:pt idx="1">
                  <c:v>65</c:v>
                </c:pt>
                <c:pt idx="2">
                  <c:v>54</c:v>
                </c:pt>
                <c:pt idx="3">
                  <c:v>47</c:v>
                </c:pt>
                <c:pt idx="4">
                  <c:v>33</c:v>
                </c:pt>
                <c:pt idx="5">
                  <c:v>29</c:v>
                </c:pt>
                <c:pt idx="6">
                  <c:v>18</c:v>
                </c:pt>
                <c:pt idx="7">
                  <c:v>7</c:v>
                </c:pt>
                <c:pt idx="8">
                  <c:v>6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4616-972C-B2CAC9D32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全体!$M$2:$M$116</c:f>
              <c:numCache>
                <c:formatCode>0</c:formatCode>
                <c:ptCount val="115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7-482E-97CE-84194C45F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だいち!$L$2:$L$30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4C-4DC0-87CF-2DAD78D3A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2250</c:v>
                </c:pt>
                <c:pt idx="1">
                  <c:v>-455.55555555555554</c:v>
                </c:pt>
                <c:pt idx="2">
                  <c:v>-29.62962962962963</c:v>
                </c:pt>
                <c:pt idx="3">
                  <c:v>2719.2307692307691</c:v>
                </c:pt>
                <c:pt idx="4">
                  <c:v>-508</c:v>
                </c:pt>
                <c:pt idx="5">
                  <c:v>-1381.8181818181818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3F-44AA-9B3D-D5C5AC7C3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11</c:v>
                </c:pt>
                <c:pt idx="4">
                  <c:v>10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6-4C06-8E44-F087F043B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だいち!$M$2:$M$30</c:f>
              <c:numCache>
                <c:formatCode>0</c:formatCode>
                <c:ptCount val="29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6-4C57-9730-E7D71EC82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C-4BD7-A8D1-B66AFDF5F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222.22222222222223</c:v>
                </c:pt>
                <c:pt idx="1">
                  <c:v>2212.5</c:v>
                </c:pt>
                <c:pt idx="2">
                  <c:v>-1200</c:v>
                </c:pt>
                <c:pt idx="3">
                  <c:v>-787.5</c:v>
                </c:pt>
                <c:pt idx="4">
                  <c:v>-642.85714285714289</c:v>
                </c:pt>
                <c:pt idx="5">
                  <c:v>-2340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3B-4F67-8A40-F291E770B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F3-44C4-92A2-B732007AD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れんたろう!$M$2:$M$11</c:f>
              <c:numCache>
                <c:formatCode>0</c:formatCode>
                <c:ptCount val="10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A-4054-AA96-BB8F124AB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7-4A38-ABC7-EDAC14A1C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-1053.3333333333333</c:v>
                </c:pt>
                <c:pt idx="1">
                  <c:v>46.666666666666664</c:v>
                </c:pt>
                <c:pt idx="2">
                  <c:v>2126.6666666666665</c:v>
                </c:pt>
                <c:pt idx="3">
                  <c:v>-1346.6666666666667</c:v>
                </c:pt>
                <c:pt idx="4">
                  <c:v>313.33333333333331</c:v>
                </c:pt>
                <c:pt idx="5">
                  <c:v>2383.3333333333335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39-4B31-B5E4-0691A1CC9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7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E-483E-A6DB-6DE6C7277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たかの!$M$2:$M$17</c:f>
              <c:numCache>
                <c:formatCode>0</c:formatCode>
                <c:ptCount val="16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83-4C08-BEED-4BB53961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E6-47E7-BFE5-0E49BF597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2116.6666666666665</c:v>
                </c:pt>
                <c:pt idx="1">
                  <c:v>-700</c:v>
                </c:pt>
                <c:pt idx="2">
                  <c:v>-1016.6666666666666</c:v>
                </c:pt>
                <c:pt idx="3">
                  <c:v>-5600</c:v>
                </c:pt>
                <c:pt idx="4">
                  <c:v>-4580</c:v>
                </c:pt>
                <c:pt idx="5">
                  <c:v>-3400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22-47C6-9DBF-C28341782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2-4515-9BD9-3393CF111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まっつん!$M$2:$M$8</c:f>
              <c:numCache>
                <c:formatCode>0</c:formatCode>
                <c:ptCount val="7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6-476C-B11A-DECD28F7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いちかわ!$L$2:$L$19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18-4949-9D22-DC8D92D82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270.58823529411762</c:v>
                </c:pt>
                <c:pt idx="1">
                  <c:v>1505.8823529411766</c:v>
                </c:pt>
                <c:pt idx="2">
                  <c:v>752.94117647058829</c:v>
                </c:pt>
                <c:pt idx="3">
                  <c:v>-1673.3333333333333</c:v>
                </c:pt>
                <c:pt idx="4">
                  <c:v>2584.6153846153848</c:v>
                </c:pt>
                <c:pt idx="5">
                  <c:v>1430.7692307692307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BE-4DD0-AFFE-356BBBA05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3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3-48E6-BF71-F7C6A0F76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いちかわ!$M$2:$M$19</c:f>
              <c:numCache>
                <c:formatCode>0</c:formatCode>
                <c:ptCount val="18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B-4DFC-8304-7DEA808A4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ただ!$L$2:$L$17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1D-43B3-A41B-7C76A71CA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480</c:v>
                </c:pt>
                <c:pt idx="1">
                  <c:v>-878.57142857142856</c:v>
                </c:pt>
                <c:pt idx="2">
                  <c:v>1328.5714285714287</c:v>
                </c:pt>
                <c:pt idx="3">
                  <c:v>1428.5714285714287</c:v>
                </c:pt>
                <c:pt idx="4">
                  <c:v>592.85714285714289</c:v>
                </c:pt>
                <c:pt idx="5">
                  <c:v>-1146.1538461538462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E-4D0D-AF47-D00817A7B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8</c:v>
                </c:pt>
                <c:pt idx="3">
                  <c:v>6</c:v>
                </c:pt>
                <c:pt idx="4">
                  <c:v>8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7-4CF3-B2EF-20DE3853A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ただ!$M$2:$M$17</c:f>
              <c:numCache>
                <c:formatCode>0</c:formatCode>
                <c:ptCount val="16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E3-4E9F-ADB0-9DE17E11E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62-423A-A29D-FAFED5887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-1221.4285714285713</c:v>
                </c:pt>
                <c:pt idx="1">
                  <c:v>-907.14285714285711</c:v>
                </c:pt>
                <c:pt idx="2">
                  <c:v>-4335.7142857142853</c:v>
                </c:pt>
                <c:pt idx="3">
                  <c:v>-161.53846153846155</c:v>
                </c:pt>
                <c:pt idx="4">
                  <c:v>-581.81818181818187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8A-42CA-8243-B5FA585F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5-4745-9BF7-EA7EBD6E1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たか!$M$2:$M$16</c:f>
              <c:numCache>
                <c:formatCode>0</c:formatCode>
                <c:ptCount val="15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A-4F42-AC92-DF213E836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94-41B5-8A39-C79499D1B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F-4181-AF52-ED4086836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D-45F9-8745-E39807B2E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4F-4083-9D8D-76B18AF3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96-4C6E-BC0F-033A85242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18-475E-BE8A-35C88B407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85D-98A8-B4817BB77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C-4621-AE87-C4208F184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9-4AC8-A2E6-5770FAE7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E2-4C93-9D85-02990F55B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12B-8F0D-37542B74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3-49AA-A8EE-339A9A0B2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たかの2!$B$3:$B$18</c:f>
              <c:numCache>
                <c:formatCode>\+0.0;\-0.0;\±0</c:formatCode>
                <c:ptCount val="16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353672812205331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たかの2!$C$3:$C$18</c:f>
              <c:numCache>
                <c:formatCode>\+0.0;\-0.0;\±0</c:formatCode>
                <c:ptCount val="16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064625273864326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たかの2!$D$3:$D$18</c:f>
              <c:numCache>
                <c:formatCode>0.00\ "位"</c:formatCode>
                <c:ptCount val="16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12280701754386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たかの2!$E$3:$E$18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2105263157894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たかの2!$F$3:$F$18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たかの2!$G$3:$G$18</c:f>
              <c:numCache>
                <c:formatCode>0.0%</c:formatCode>
                <c:ptCount val="16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031055900621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たかの2!$H$3:$H$18</c:f>
              <c:numCache>
                <c:formatCode>0.0%</c:formatCode>
                <c:ptCount val="16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596273291925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たかの2!$I$3:$I$18</c:f>
              <c:numCache>
                <c:formatCode>0</c:formatCode>
                <c:ptCount val="16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33.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たかの2!$J$3:$J$18</c:f>
              <c:numCache>
                <c:formatCode>0</c:formatCode>
                <c:ptCount val="16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488.05031446540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たかの2!$K$3:$K$18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385964912280701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たかの2!$L$3:$L$18</c:f>
              <c:numCache>
                <c:formatCode>0.0%</c:formatCode>
                <c:ptCount val="16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095238095238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たかの2!$M$3:$M$18</c:f>
              <c:numCache>
                <c:formatCode>0.0%</c:formatCode>
                <c:ptCount val="16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482401656314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たかの2!$N$3:$N$18</c:f>
              <c:numCache>
                <c:formatCode>0.0%</c:formatCode>
                <c:ptCount val="16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91304347826086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たかの2!$O$3:$O$18</c:f>
              <c:numCache>
                <c:formatCode>0.0%</c:formatCode>
                <c:ptCount val="16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8879668049792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たかの2!$P$3:$P$18</c:f>
              <c:numCache>
                <c:formatCode>0.0%</c:formatCode>
                <c:ptCount val="16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596491228070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6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28</v>
      </c>
      <c r="C2" s="120">
        <v>1842.3339395535957</v>
      </c>
    </row>
    <row r="3" spans="1:3" x14ac:dyDescent="0.45">
      <c r="A3" t="s">
        <v>163</v>
      </c>
      <c r="B3" s="120">
        <v>9</v>
      </c>
      <c r="C3" s="120">
        <v>1653.1699313523677</v>
      </c>
    </row>
    <row r="4" spans="1:3" x14ac:dyDescent="0.45">
      <c r="A4" t="s">
        <v>139</v>
      </c>
      <c r="B4" s="120">
        <v>114</v>
      </c>
      <c r="C4" s="120">
        <v>1594.5463045050694</v>
      </c>
    </row>
    <row r="5" spans="1:3" x14ac:dyDescent="0.45">
      <c r="A5" t="s">
        <v>190</v>
      </c>
      <c r="B5" s="120">
        <v>6</v>
      </c>
      <c r="C5" s="120">
        <v>1524.3778689305989</v>
      </c>
    </row>
    <row r="6" spans="1:3" x14ac:dyDescent="0.45">
      <c r="A6" t="s">
        <v>192</v>
      </c>
      <c r="B6" s="120">
        <v>15</v>
      </c>
      <c r="C6" s="120">
        <v>1517.1288342047803</v>
      </c>
    </row>
    <row r="7" spans="1:3" x14ac:dyDescent="0.45">
      <c r="A7" t="s">
        <v>211</v>
      </c>
      <c r="B7" s="120">
        <v>17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15</v>
      </c>
      <c r="C10" s="120">
        <v>1433.30445236539</v>
      </c>
    </row>
    <row r="11" spans="1:3" x14ac:dyDescent="0.45">
      <c r="A11" t="s">
        <v>195</v>
      </c>
      <c r="B11" s="120">
        <v>4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14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0.97821173969215691</v>
      </c>
      <c r="C2" s="144"/>
      <c r="D2" s="143">
        <v>0.72855644166553413</v>
      </c>
      <c r="E2" s="144"/>
      <c r="F2" s="143">
        <v>0.47797944960439126</v>
      </c>
      <c r="G2" s="144"/>
      <c r="H2" s="145"/>
      <c r="I2" s="146"/>
      <c r="J2" s="143">
        <v>-0.14904069051150889</v>
      </c>
      <c r="K2" s="144"/>
      <c r="L2" s="143">
        <v>-3.9007173416213223E-2</v>
      </c>
      <c r="M2" s="144"/>
      <c r="N2" s="143">
        <v>-0.18523787888664353</v>
      </c>
      <c r="O2" s="144"/>
      <c r="P2" s="143">
        <v>0.35666315422224776</v>
      </c>
      <c r="Q2" s="144"/>
      <c r="R2" s="143">
        <v>0.23887809586960859</v>
      </c>
      <c r="S2" s="144"/>
      <c r="T2" s="143">
        <v>0.88842466322509328</v>
      </c>
      <c r="U2" s="144"/>
      <c r="V2" s="143">
        <v>0.50816631118251143</v>
      </c>
      <c r="W2" s="144"/>
      <c r="X2" s="143">
        <v>0.48804543460913391</v>
      </c>
      <c r="Y2" s="144"/>
      <c r="Z2" s="143">
        <v>0.53790691407753388</v>
      </c>
      <c r="AA2" s="144"/>
      <c r="AB2" s="143">
        <v>-0.41474734372587657</v>
      </c>
      <c r="AC2" s="144"/>
      <c r="AD2" s="143">
        <v>0.17168057094967548</v>
      </c>
      <c r="AE2" s="144"/>
      <c r="AF2" s="143">
        <v>0.48531804711103016</v>
      </c>
      <c r="AG2" s="144"/>
      <c r="AH2" s="143">
        <v>0.38023229450686313</v>
      </c>
      <c r="AI2" s="144"/>
      <c r="AJ2" s="143">
        <v>0.91922282394179633</v>
      </c>
      <c r="AK2" s="144"/>
    </row>
    <row r="3" spans="1:37" x14ac:dyDescent="0.45">
      <c r="A3" s="38">
        <v>1</v>
      </c>
      <c r="B3" s="41" t="s">
        <v>139</v>
      </c>
      <c r="C3" s="113">
        <v>38</v>
      </c>
      <c r="D3" s="39" t="s">
        <v>126</v>
      </c>
      <c r="E3" s="40">
        <v>183.9</v>
      </c>
      <c r="F3" s="41" t="s">
        <v>126</v>
      </c>
      <c r="G3" s="60">
        <v>6.5678571428571431</v>
      </c>
      <c r="H3" s="41" t="s">
        <v>126</v>
      </c>
      <c r="I3" s="45">
        <v>1835.7649545477857</v>
      </c>
      <c r="J3" s="41" t="s">
        <v>189</v>
      </c>
      <c r="K3" s="42">
        <v>1.8</v>
      </c>
      <c r="L3" s="41" t="s">
        <v>195</v>
      </c>
      <c r="M3" s="43">
        <v>0.5</v>
      </c>
      <c r="N3" s="41" t="s">
        <v>192</v>
      </c>
      <c r="O3" s="43">
        <v>0.2</v>
      </c>
      <c r="P3" s="41" t="s">
        <v>211</v>
      </c>
      <c r="Q3" s="44">
        <v>0.33834586466165412</v>
      </c>
      <c r="R3" s="41" t="s">
        <v>190</v>
      </c>
      <c r="S3" s="44">
        <v>0.1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126</v>
      </c>
      <c r="Y3" s="43">
        <v>0</v>
      </c>
      <c r="Z3" s="41" t="s">
        <v>193</v>
      </c>
      <c r="AA3" s="44">
        <v>0.25714285714285712</v>
      </c>
      <c r="AB3" s="41" t="s">
        <v>189</v>
      </c>
      <c r="AC3" s="44">
        <v>0.33088235294117646</v>
      </c>
      <c r="AD3" s="41" t="s">
        <v>195</v>
      </c>
      <c r="AE3" s="44">
        <v>0.77777777777777779</v>
      </c>
      <c r="AF3" s="41" t="s">
        <v>211</v>
      </c>
      <c r="AG3" s="44">
        <v>0.5714285714285714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28</v>
      </c>
      <c r="D4" s="47" t="s">
        <v>211</v>
      </c>
      <c r="E4" s="48">
        <v>81.600000000000009</v>
      </c>
      <c r="F4" s="49" t="s">
        <v>211</v>
      </c>
      <c r="G4" s="61">
        <v>4.8000000000000007</v>
      </c>
      <c r="H4" s="49" t="s">
        <v>163</v>
      </c>
      <c r="I4" s="53">
        <v>1636.255456115799</v>
      </c>
      <c r="J4" s="49" t="s">
        <v>192</v>
      </c>
      <c r="K4" s="50">
        <v>1.8666666666666667</v>
      </c>
      <c r="L4" s="49" t="s">
        <v>163</v>
      </c>
      <c r="M4" s="51">
        <v>0.44444444444444442</v>
      </c>
      <c r="N4" s="49" t="s">
        <v>189</v>
      </c>
      <c r="O4" s="51">
        <v>0.2</v>
      </c>
      <c r="P4" s="49" t="s">
        <v>126</v>
      </c>
      <c r="Q4" s="52">
        <v>0.32905982905982906</v>
      </c>
      <c r="R4" s="49" t="s">
        <v>195</v>
      </c>
      <c r="S4" s="52">
        <v>0.1388888888888889</v>
      </c>
      <c r="T4" s="49" t="s">
        <v>163</v>
      </c>
      <c r="U4" s="53">
        <v>9561.9047619047615</v>
      </c>
      <c r="V4" s="49" t="s">
        <v>195</v>
      </c>
      <c r="W4" s="53">
        <v>-6380</v>
      </c>
      <c r="X4" s="49" t="s">
        <v>189</v>
      </c>
      <c r="Y4" s="51">
        <v>0</v>
      </c>
      <c r="Z4" s="49" t="s">
        <v>126</v>
      </c>
      <c r="AA4" s="52">
        <v>0.25641025641025639</v>
      </c>
      <c r="AB4" s="49" t="s">
        <v>193</v>
      </c>
      <c r="AC4" s="52">
        <v>0.2857142857142857</v>
      </c>
      <c r="AD4" s="49" t="s">
        <v>211</v>
      </c>
      <c r="AE4" s="52">
        <v>0.62068965517241381</v>
      </c>
      <c r="AF4" s="49" t="s">
        <v>126</v>
      </c>
      <c r="AG4" s="52">
        <v>0.55555555555555558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211</v>
      </c>
      <c r="C5" s="114">
        <v>17</v>
      </c>
      <c r="D5" s="47" t="s">
        <v>189</v>
      </c>
      <c r="E5" s="48">
        <v>60.900000000000006</v>
      </c>
      <c r="F5" s="49" t="s">
        <v>189</v>
      </c>
      <c r="G5" s="61">
        <v>4.0600000000000005</v>
      </c>
      <c r="H5" s="49" t="s">
        <v>139</v>
      </c>
      <c r="I5" s="53">
        <v>1589.2110348097797</v>
      </c>
      <c r="J5" s="49" t="s">
        <v>211</v>
      </c>
      <c r="K5" s="50">
        <v>1.8823529411764706</v>
      </c>
      <c r="L5" s="49" t="s">
        <v>211</v>
      </c>
      <c r="M5" s="51">
        <v>0.41176470588235292</v>
      </c>
      <c r="N5" s="49" t="s">
        <v>211</v>
      </c>
      <c r="O5" s="51">
        <v>0.29411764705882354</v>
      </c>
      <c r="P5" s="49" t="s">
        <v>192</v>
      </c>
      <c r="Q5" s="52">
        <v>0.31617647058823528</v>
      </c>
      <c r="R5" s="49" t="s">
        <v>189</v>
      </c>
      <c r="S5" s="52">
        <v>0.14705882352941177</v>
      </c>
      <c r="T5" s="49" t="s">
        <v>195</v>
      </c>
      <c r="U5" s="53">
        <v>9022.2222222222226</v>
      </c>
      <c r="V5" s="49" t="s">
        <v>126</v>
      </c>
      <c r="W5" s="53">
        <v>-6702.7777777777774</v>
      </c>
      <c r="X5" s="49" t="s">
        <v>190</v>
      </c>
      <c r="Y5" s="51">
        <v>0</v>
      </c>
      <c r="Z5" s="49" t="s">
        <v>189</v>
      </c>
      <c r="AA5" s="52">
        <v>0.25</v>
      </c>
      <c r="AB5" s="49" t="s">
        <v>221</v>
      </c>
      <c r="AC5" s="52">
        <v>0.27777777777777779</v>
      </c>
      <c r="AD5" s="49" t="s">
        <v>126</v>
      </c>
      <c r="AE5" s="52">
        <v>0.51666666666666672</v>
      </c>
      <c r="AF5" s="49" t="s">
        <v>195</v>
      </c>
      <c r="AG5" s="52">
        <v>0.5</v>
      </c>
      <c r="AH5" s="49" t="s">
        <v>189</v>
      </c>
      <c r="AI5" s="52">
        <v>0.5</v>
      </c>
      <c r="AJ5" s="49" t="s">
        <v>211</v>
      </c>
      <c r="AK5" s="56">
        <v>80600</v>
      </c>
    </row>
    <row r="6" spans="1:37" x14ac:dyDescent="0.45">
      <c r="A6" s="46">
        <v>4</v>
      </c>
      <c r="B6" s="49" t="s">
        <v>192</v>
      </c>
      <c r="C6" s="114">
        <v>15</v>
      </c>
      <c r="D6" s="47" t="s">
        <v>192</v>
      </c>
      <c r="E6" s="48">
        <v>22.500000000000004</v>
      </c>
      <c r="F6" s="49" t="s">
        <v>192</v>
      </c>
      <c r="G6" s="61">
        <v>1.5000000000000002</v>
      </c>
      <c r="H6" s="49" t="s">
        <v>192</v>
      </c>
      <c r="I6" s="53">
        <v>1526.5944319692035</v>
      </c>
      <c r="J6" s="49" t="s">
        <v>126</v>
      </c>
      <c r="K6" s="50">
        <v>1.9642857142857142</v>
      </c>
      <c r="L6" s="49" t="s">
        <v>189</v>
      </c>
      <c r="M6" s="51">
        <v>0.4</v>
      </c>
      <c r="N6" s="49" t="s">
        <v>126</v>
      </c>
      <c r="O6" s="51">
        <v>0.32142857142857145</v>
      </c>
      <c r="P6" s="49" t="s">
        <v>189</v>
      </c>
      <c r="Q6" s="52">
        <v>0.30882352941176472</v>
      </c>
      <c r="R6" s="49" t="s">
        <v>126</v>
      </c>
      <c r="S6" s="52">
        <v>0.15384615384615385</v>
      </c>
      <c r="T6" s="49" t="s">
        <v>126</v>
      </c>
      <c r="U6" s="53">
        <v>8929.8701298701308</v>
      </c>
      <c r="V6" s="49" t="s">
        <v>192</v>
      </c>
      <c r="W6" s="53">
        <v>-6771.4285714285716</v>
      </c>
      <c r="X6" s="49" t="s">
        <v>195</v>
      </c>
      <c r="Y6" s="51">
        <v>0</v>
      </c>
      <c r="Z6" s="49" t="s">
        <v>195</v>
      </c>
      <c r="AA6" s="52">
        <v>0.25</v>
      </c>
      <c r="AB6" s="49" t="s">
        <v>192</v>
      </c>
      <c r="AC6" s="52">
        <v>0.26470588235294118</v>
      </c>
      <c r="AD6" s="49" t="s">
        <v>192</v>
      </c>
      <c r="AE6" s="52">
        <v>0.5</v>
      </c>
      <c r="AF6" s="49" t="s">
        <v>139</v>
      </c>
      <c r="AG6" s="52">
        <v>0.46887966804979253</v>
      </c>
      <c r="AH6" s="49" t="s">
        <v>126</v>
      </c>
      <c r="AI6" s="52">
        <v>0.4935064935064935</v>
      </c>
      <c r="AJ6" s="49" t="s">
        <v>216</v>
      </c>
      <c r="AK6" s="56">
        <v>74600</v>
      </c>
    </row>
    <row r="7" spans="1:37" x14ac:dyDescent="0.45">
      <c r="A7" s="46">
        <v>5</v>
      </c>
      <c r="B7" s="49" t="s">
        <v>189</v>
      </c>
      <c r="C7" s="114">
        <v>15</v>
      </c>
      <c r="D7" s="47" t="s">
        <v>139</v>
      </c>
      <c r="E7" s="48">
        <v>2.3536728122053319E-14</v>
      </c>
      <c r="F7" s="49" t="s">
        <v>139</v>
      </c>
      <c r="G7" s="61">
        <v>2.0646252738643262E-16</v>
      </c>
      <c r="H7" s="49" t="s">
        <v>190</v>
      </c>
      <c r="I7" s="53">
        <v>1511.1565284528424</v>
      </c>
      <c r="J7" s="49" t="s">
        <v>139</v>
      </c>
      <c r="K7" s="50">
        <v>1.9912280701754386</v>
      </c>
      <c r="L7" s="49" t="s">
        <v>126</v>
      </c>
      <c r="M7" s="51">
        <v>0.35714285714285715</v>
      </c>
      <c r="N7" s="49" t="s">
        <v>139</v>
      </c>
      <c r="O7" s="51">
        <v>0.33333333333333331</v>
      </c>
      <c r="P7" s="49" t="s">
        <v>139</v>
      </c>
      <c r="Q7" s="52">
        <v>0.29503105590062112</v>
      </c>
      <c r="R7" s="49" t="s">
        <v>192</v>
      </c>
      <c r="S7" s="52">
        <v>0.15441176470588236</v>
      </c>
      <c r="T7" s="49" t="s">
        <v>193</v>
      </c>
      <c r="U7" s="53">
        <v>8212.5</v>
      </c>
      <c r="V7" s="49" t="s">
        <v>189</v>
      </c>
      <c r="W7" s="53">
        <v>-6900</v>
      </c>
      <c r="X7" s="49" t="s">
        <v>193</v>
      </c>
      <c r="Y7" s="51">
        <v>0</v>
      </c>
      <c r="Z7" s="49" t="s">
        <v>139</v>
      </c>
      <c r="AA7" s="52">
        <v>0.23809523809523808</v>
      </c>
      <c r="AB7" s="49" t="s">
        <v>211</v>
      </c>
      <c r="AC7" s="52">
        <v>0.26315789473684209</v>
      </c>
      <c r="AD7" s="49" t="s">
        <v>139</v>
      </c>
      <c r="AE7" s="52">
        <v>0.49130434782608695</v>
      </c>
      <c r="AF7" s="49" t="s">
        <v>189</v>
      </c>
      <c r="AG7" s="52">
        <v>0.46666666666666667</v>
      </c>
      <c r="AH7" s="49" t="s">
        <v>216</v>
      </c>
      <c r="AI7" s="52">
        <v>0.44</v>
      </c>
      <c r="AJ7" s="49" t="s">
        <v>163</v>
      </c>
      <c r="AK7" s="56">
        <v>74600</v>
      </c>
    </row>
    <row r="8" spans="1:37" x14ac:dyDescent="0.45">
      <c r="A8" s="46">
        <v>6</v>
      </c>
      <c r="B8" s="49" t="s">
        <v>216</v>
      </c>
      <c r="C8" s="114">
        <v>14</v>
      </c>
      <c r="D8" s="47" t="s">
        <v>221</v>
      </c>
      <c r="E8" s="48">
        <v>-13.5</v>
      </c>
      <c r="F8" s="49" t="s">
        <v>195</v>
      </c>
      <c r="G8" s="61">
        <v>-3.6749999999999989</v>
      </c>
      <c r="H8" s="49" t="s">
        <v>211</v>
      </c>
      <c r="I8" s="53">
        <v>1510.8582724915987</v>
      </c>
      <c r="J8" s="49" t="s">
        <v>195</v>
      </c>
      <c r="K8" s="50">
        <v>2</v>
      </c>
      <c r="L8" s="49" t="s">
        <v>139</v>
      </c>
      <c r="M8" s="51">
        <v>0.34210526315789475</v>
      </c>
      <c r="N8" s="49" t="s">
        <v>190</v>
      </c>
      <c r="O8" s="51">
        <v>0.33333333333333331</v>
      </c>
      <c r="P8" s="49" t="s">
        <v>163</v>
      </c>
      <c r="Q8" s="52">
        <v>0.27272727272727271</v>
      </c>
      <c r="R8" s="49" t="s">
        <v>211</v>
      </c>
      <c r="S8" s="52">
        <v>0.15789473684210525</v>
      </c>
      <c r="T8" s="49" t="s">
        <v>139</v>
      </c>
      <c r="U8" s="53">
        <v>7933.333333333333</v>
      </c>
      <c r="V8" s="49" t="s">
        <v>211</v>
      </c>
      <c r="W8" s="53">
        <v>-7447.6190476190477</v>
      </c>
      <c r="X8" s="49" t="s">
        <v>221</v>
      </c>
      <c r="Y8" s="51">
        <v>0</v>
      </c>
      <c r="Z8" s="49" t="s">
        <v>216</v>
      </c>
      <c r="AA8" s="52">
        <v>0.23423423423423423</v>
      </c>
      <c r="AB8" s="49" t="s">
        <v>163</v>
      </c>
      <c r="AC8" s="52">
        <v>0.25974025974025972</v>
      </c>
      <c r="AD8" s="49" t="s">
        <v>216</v>
      </c>
      <c r="AE8" s="52">
        <v>0.46153846153846156</v>
      </c>
      <c r="AF8" s="49" t="s">
        <v>190</v>
      </c>
      <c r="AG8" s="52">
        <v>0.45454545454545453</v>
      </c>
      <c r="AH8" s="49" t="s">
        <v>139</v>
      </c>
      <c r="AI8" s="52">
        <v>0.43859649122807015</v>
      </c>
      <c r="AJ8" s="49" t="s">
        <v>192</v>
      </c>
      <c r="AK8" s="56">
        <v>67700</v>
      </c>
    </row>
    <row r="9" spans="1:37" x14ac:dyDescent="0.45">
      <c r="A9" s="46">
        <v>7</v>
      </c>
      <c r="B9" s="49" t="s">
        <v>163</v>
      </c>
      <c r="C9" s="114">
        <v>9</v>
      </c>
      <c r="D9" s="47" t="s">
        <v>195</v>
      </c>
      <c r="E9" s="48">
        <v>-14.699999999999996</v>
      </c>
      <c r="F9" s="49" t="s">
        <v>221</v>
      </c>
      <c r="G9" s="61">
        <v>-6.75</v>
      </c>
      <c r="H9" s="49" t="s">
        <v>221</v>
      </c>
      <c r="I9" s="53">
        <v>1497.379788</v>
      </c>
      <c r="J9" s="49" t="s">
        <v>163</v>
      </c>
      <c r="K9" s="50">
        <v>2.1111111111111112</v>
      </c>
      <c r="L9" s="49" t="s">
        <v>192</v>
      </c>
      <c r="M9" s="51">
        <v>0.33333333333333331</v>
      </c>
      <c r="N9" s="49" t="s">
        <v>216</v>
      </c>
      <c r="O9" s="51">
        <v>0.42857142857142855</v>
      </c>
      <c r="P9" s="49" t="s">
        <v>195</v>
      </c>
      <c r="Q9" s="52">
        <v>0.25</v>
      </c>
      <c r="R9" s="49" t="s">
        <v>139</v>
      </c>
      <c r="S9" s="52">
        <v>0.16459627329192547</v>
      </c>
      <c r="T9" s="49" t="s">
        <v>216</v>
      </c>
      <c r="U9" s="53">
        <v>7796</v>
      </c>
      <c r="V9" s="49" t="s">
        <v>139</v>
      </c>
      <c r="W9" s="53">
        <v>-7488.0503144654085</v>
      </c>
      <c r="X9" s="49" t="s">
        <v>139</v>
      </c>
      <c r="Y9" s="51">
        <v>4.3859649122807015E-2</v>
      </c>
      <c r="Z9" s="49" t="s">
        <v>163</v>
      </c>
      <c r="AA9" s="52">
        <v>0.23376623376623376</v>
      </c>
      <c r="AB9" s="49" t="s">
        <v>139</v>
      </c>
      <c r="AC9" s="52">
        <v>0.24948240165631469</v>
      </c>
      <c r="AD9" s="49" t="s">
        <v>190</v>
      </c>
      <c r="AE9" s="52">
        <v>0.45454545454545453</v>
      </c>
      <c r="AF9" s="49" t="s">
        <v>192</v>
      </c>
      <c r="AG9" s="52">
        <v>0.41666666666666669</v>
      </c>
      <c r="AH9" s="49" t="s">
        <v>192</v>
      </c>
      <c r="AI9" s="52">
        <v>0.39534883720930231</v>
      </c>
      <c r="AJ9" s="49" t="s">
        <v>189</v>
      </c>
      <c r="AK9" s="56">
        <v>61300</v>
      </c>
    </row>
    <row r="10" spans="1:37" x14ac:dyDescent="0.45">
      <c r="A10" s="46">
        <v>8</v>
      </c>
      <c r="B10" s="49" t="s">
        <v>190</v>
      </c>
      <c r="C10" s="114">
        <v>6</v>
      </c>
      <c r="D10" s="47" t="s">
        <v>193</v>
      </c>
      <c r="E10" s="48">
        <v>-51.699999999999996</v>
      </c>
      <c r="F10" s="49" t="s">
        <v>216</v>
      </c>
      <c r="G10" s="61">
        <v>-6.8285714285714283</v>
      </c>
      <c r="H10" s="49" t="s">
        <v>216</v>
      </c>
      <c r="I10" s="53">
        <v>1488.317150804671</v>
      </c>
      <c r="J10" s="49" t="s">
        <v>216</v>
      </c>
      <c r="K10" s="50">
        <v>2.1428571428571428</v>
      </c>
      <c r="L10" s="49" t="s">
        <v>216</v>
      </c>
      <c r="M10" s="51">
        <v>0.2857142857142857</v>
      </c>
      <c r="N10" s="49" t="s">
        <v>195</v>
      </c>
      <c r="O10" s="51">
        <v>0.5</v>
      </c>
      <c r="P10" s="49" t="s">
        <v>193</v>
      </c>
      <c r="Q10" s="52">
        <v>0.22857142857142856</v>
      </c>
      <c r="R10" s="49" t="s">
        <v>221</v>
      </c>
      <c r="S10" s="52">
        <v>0.16666666666666666</v>
      </c>
      <c r="T10" s="49" t="s">
        <v>211</v>
      </c>
      <c r="U10" s="53">
        <v>7453.333333333333</v>
      </c>
      <c r="V10" s="49" t="s">
        <v>216</v>
      </c>
      <c r="W10" s="53">
        <v>-7654.166666666667</v>
      </c>
      <c r="X10" s="49" t="s">
        <v>211</v>
      </c>
      <c r="Y10" s="51">
        <v>5.8823529411764705E-2</v>
      </c>
      <c r="Z10" s="49" t="s">
        <v>221</v>
      </c>
      <c r="AA10" s="52">
        <v>0.22222222222222221</v>
      </c>
      <c r="AB10" s="49" t="s">
        <v>126</v>
      </c>
      <c r="AC10" s="52">
        <v>0.23076923076923078</v>
      </c>
      <c r="AD10" s="49" t="s">
        <v>189</v>
      </c>
      <c r="AE10" s="52">
        <v>0.44117647058823528</v>
      </c>
      <c r="AF10" s="49" t="s">
        <v>163</v>
      </c>
      <c r="AG10" s="52">
        <v>0.4</v>
      </c>
      <c r="AH10" s="49" t="s">
        <v>211</v>
      </c>
      <c r="AI10" s="52">
        <v>0.37777777777777777</v>
      </c>
      <c r="AJ10" s="49" t="s">
        <v>195</v>
      </c>
      <c r="AK10" s="56">
        <v>49300</v>
      </c>
    </row>
    <row r="11" spans="1:37" x14ac:dyDescent="0.45">
      <c r="A11" s="46">
        <v>9</v>
      </c>
      <c r="B11" s="49" t="s">
        <v>195</v>
      </c>
      <c r="C11" s="114">
        <v>4</v>
      </c>
      <c r="D11" s="47" t="s">
        <v>190</v>
      </c>
      <c r="E11" s="48">
        <v>-85.5</v>
      </c>
      <c r="F11" s="49" t="s">
        <v>163</v>
      </c>
      <c r="G11" s="61">
        <v>-9.766666666666671</v>
      </c>
      <c r="H11" s="49" t="s">
        <v>189</v>
      </c>
      <c r="I11" s="53">
        <v>1455.9833330049933</v>
      </c>
      <c r="J11" s="49" t="s">
        <v>193</v>
      </c>
      <c r="K11" s="50">
        <v>2.25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216</v>
      </c>
      <c r="Q11" s="52">
        <v>0.22522522522522523</v>
      </c>
      <c r="R11" s="49" t="s">
        <v>163</v>
      </c>
      <c r="S11" s="52">
        <v>0.20779220779220781</v>
      </c>
      <c r="T11" s="49" t="s">
        <v>189</v>
      </c>
      <c r="U11" s="53">
        <v>7071.4285714285716</v>
      </c>
      <c r="V11" s="49" t="s">
        <v>193</v>
      </c>
      <c r="W11" s="53">
        <v>-9387.5</v>
      </c>
      <c r="X11" s="49" t="s">
        <v>192</v>
      </c>
      <c r="Y11" s="51">
        <v>6.6666666666666666E-2</v>
      </c>
      <c r="Z11" s="49" t="s">
        <v>192</v>
      </c>
      <c r="AA11" s="52">
        <v>0.22058823529411764</v>
      </c>
      <c r="AB11" s="49" t="s">
        <v>190</v>
      </c>
      <c r="AC11" s="52">
        <v>0.22</v>
      </c>
      <c r="AD11" s="49" t="s">
        <v>163</v>
      </c>
      <c r="AE11" s="52">
        <v>0.3888888888888889</v>
      </c>
      <c r="AF11" s="49" t="s">
        <v>193</v>
      </c>
      <c r="AG11" s="52">
        <v>0.4</v>
      </c>
      <c r="AH11" s="49" t="s">
        <v>163</v>
      </c>
      <c r="AI11" s="52">
        <v>0.33333333333333331</v>
      </c>
      <c r="AJ11" s="49" t="s">
        <v>193</v>
      </c>
      <c r="AK11" s="56">
        <v>45000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163</v>
      </c>
      <c r="E12" s="48">
        <v>-87.900000000000034</v>
      </c>
      <c r="F12" s="49" t="s">
        <v>193</v>
      </c>
      <c r="G12" s="61">
        <v>-12.924999999999999</v>
      </c>
      <c r="H12" s="49" t="s">
        <v>195</v>
      </c>
      <c r="I12" s="53">
        <v>1393.6019525837494</v>
      </c>
      <c r="J12" s="49" t="s">
        <v>190</v>
      </c>
      <c r="K12" s="50">
        <v>2.3333333333333335</v>
      </c>
      <c r="L12" s="49" t="s">
        <v>190</v>
      </c>
      <c r="M12" s="51">
        <v>0</v>
      </c>
      <c r="N12" s="49" t="s">
        <v>221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0.21621621621621623</v>
      </c>
      <c r="T12" s="49" t="s">
        <v>192</v>
      </c>
      <c r="U12" s="53">
        <v>6951.1627906976746</v>
      </c>
      <c r="V12" s="49" t="s">
        <v>221</v>
      </c>
      <c r="W12" s="53">
        <v>-10300</v>
      </c>
      <c r="X12" s="49" t="s">
        <v>216</v>
      </c>
      <c r="Y12" s="51">
        <v>7.1428571428571425E-2</v>
      </c>
      <c r="Z12" s="49" t="s">
        <v>190</v>
      </c>
      <c r="AA12" s="52">
        <v>0.22</v>
      </c>
      <c r="AB12" s="49" t="s">
        <v>216</v>
      </c>
      <c r="AC12" s="52">
        <v>0.2072072072072072</v>
      </c>
      <c r="AD12" s="49" t="s">
        <v>221</v>
      </c>
      <c r="AE12" s="52">
        <v>0.25</v>
      </c>
      <c r="AF12" s="49" t="s">
        <v>221</v>
      </c>
      <c r="AG12" s="52">
        <v>0.4</v>
      </c>
      <c r="AH12" s="49" t="s">
        <v>193</v>
      </c>
      <c r="AI12" s="52">
        <v>0.25</v>
      </c>
      <c r="AJ12" s="49" t="s">
        <v>221</v>
      </c>
      <c r="AK12" s="56">
        <v>39000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-95.6</v>
      </c>
      <c r="F13" s="49" t="s">
        <v>190</v>
      </c>
      <c r="G13" s="61">
        <v>-14.25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163</v>
      </c>
      <c r="O13" s="51">
        <v>0.55555555555555558</v>
      </c>
      <c r="P13" s="49" t="s">
        <v>190</v>
      </c>
      <c r="Q13" s="52">
        <v>0.22</v>
      </c>
      <c r="R13" s="49" t="s">
        <v>193</v>
      </c>
      <c r="S13" s="52">
        <v>0.22857142857142856</v>
      </c>
      <c r="T13" s="49" t="s">
        <v>190</v>
      </c>
      <c r="U13" s="53">
        <v>5072.727272727273</v>
      </c>
      <c r="V13" s="49" t="s">
        <v>163</v>
      </c>
      <c r="W13" s="53">
        <v>-10887.5</v>
      </c>
      <c r="X13" s="49" t="s">
        <v>163</v>
      </c>
      <c r="Y13" s="51">
        <v>0.22222222222222221</v>
      </c>
      <c r="Z13" s="49" t="s">
        <v>211</v>
      </c>
      <c r="AA13" s="52">
        <v>0.21804511278195488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9.0909090909090912E-2</v>
      </c>
      <c r="AJ13" s="49" t="s">
        <v>190</v>
      </c>
      <c r="AK13" s="56">
        <v>38600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110D3-1CB3-43DD-992A-373B4C5579F0}">
  <sheetPr codeName="Sheet4"/>
  <dimension ref="A1:R116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114</v>
      </c>
      <c r="C2" s="134"/>
      <c r="E2" s="26" t="s">
        <v>66</v>
      </c>
      <c r="F2" s="23" t="s">
        <v>22</v>
      </c>
      <c r="G2" s="11">
        <v>216</v>
      </c>
      <c r="H2" s="87">
        <f>IF(B$20=0,0,G2/B$20)</f>
        <v>0.75789473684210529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-35.087719298245617</v>
      </c>
      <c r="Q2" s="76">
        <v>114</v>
      </c>
      <c r="R2" s="63">
        <v>-4000</v>
      </c>
    </row>
    <row r="3" spans="1:18" x14ac:dyDescent="0.45">
      <c r="A3" s="19" t="s">
        <v>8</v>
      </c>
      <c r="B3" s="135">
        <v>966</v>
      </c>
      <c r="C3" s="136"/>
      <c r="E3" s="27" t="s">
        <v>72</v>
      </c>
      <c r="F3" s="24" t="s">
        <v>27</v>
      </c>
      <c r="G3" s="12">
        <v>198</v>
      </c>
      <c r="H3" s="88">
        <f>IF(B$20=0,0,G3/B$20)</f>
        <v>0.69473684210526321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36.036036036036037</v>
      </c>
      <c r="Q3" s="77">
        <v>111</v>
      </c>
      <c r="R3" s="64">
        <v>4000</v>
      </c>
    </row>
    <row r="4" spans="1:18" x14ac:dyDescent="0.45">
      <c r="A4" s="19" t="s">
        <v>6</v>
      </c>
      <c r="B4" s="137">
        <v>2.3536728122053319E-14</v>
      </c>
      <c r="C4" s="138"/>
      <c r="E4" s="27" t="s">
        <v>64</v>
      </c>
      <c r="F4" s="24" t="s">
        <v>20</v>
      </c>
      <c r="G4" s="12">
        <v>108</v>
      </c>
      <c r="H4" s="88">
        <f>IF(B$20=0,0,G4/B$20)</f>
        <v>0.37894736842105264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-27.027027027027028</v>
      </c>
      <c r="Q4" s="77">
        <v>111</v>
      </c>
      <c r="R4" s="64">
        <v>-3000</v>
      </c>
    </row>
    <row r="5" spans="1:18" x14ac:dyDescent="0.45">
      <c r="A5" s="19" t="s">
        <v>7</v>
      </c>
      <c r="B5" s="125">
        <f>IF(B$2=0,0,B$4/B$2)</f>
        <v>2.0646252738643262E-16</v>
      </c>
      <c r="C5" s="126"/>
      <c r="E5" s="27" t="s">
        <v>159</v>
      </c>
      <c r="F5" s="24" t="s">
        <v>160</v>
      </c>
      <c r="G5" s="12">
        <v>100</v>
      </c>
      <c r="H5" s="88">
        <f>IF(B$20=0,0,G5/B$20)</f>
        <v>0.35087719298245612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28.571428571428573</v>
      </c>
      <c r="Q5" s="77">
        <v>105</v>
      </c>
      <c r="R5" s="64">
        <v>3000</v>
      </c>
    </row>
    <row r="6" spans="1:18" x14ac:dyDescent="0.45">
      <c r="A6" s="19" t="s">
        <v>196</v>
      </c>
      <c r="B6" s="129">
        <v>1589.2110348097797</v>
      </c>
      <c r="C6" s="130"/>
      <c r="E6" s="27" t="s">
        <v>68</v>
      </c>
      <c r="F6" s="24" t="s">
        <v>12</v>
      </c>
      <c r="G6" s="12">
        <v>81</v>
      </c>
      <c r="H6" s="88">
        <f>IF(B$20=0,0,G6/B$20)</f>
        <v>0.28421052631578947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-30.303030303030305</v>
      </c>
      <c r="Q6" s="77">
        <v>99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1.9912280701754386</v>
      </c>
      <c r="C7" s="140"/>
      <c r="E7" s="27" t="s">
        <v>67</v>
      </c>
      <c r="F7" s="24" t="s">
        <v>23</v>
      </c>
      <c r="G7" s="12">
        <v>61</v>
      </c>
      <c r="H7" s="88">
        <f>IF(B$20=0,0,G7/B$20)</f>
        <v>0.21403508771929824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33.333333333333336</v>
      </c>
      <c r="Q7" s="78">
        <v>90</v>
      </c>
      <c r="R7" s="65">
        <v>3000</v>
      </c>
    </row>
    <row r="8" spans="1:18" x14ac:dyDescent="0.45">
      <c r="A8" s="19" t="s">
        <v>2</v>
      </c>
      <c r="B8" s="12">
        <v>39</v>
      </c>
      <c r="C8" s="6">
        <f t="shared" ref="C8:C15" si="1">IF(B$2=0,0,B8/B$2)</f>
        <v>0.34210526315789475</v>
      </c>
      <c r="E8" s="27" t="s">
        <v>89</v>
      </c>
      <c r="F8" s="24" t="s">
        <v>44</v>
      </c>
      <c r="G8" s="12">
        <v>48</v>
      </c>
      <c r="H8" s="88">
        <f>IF(B$20=0,0,G8/B$20)</f>
        <v>0.16842105263157894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37</v>
      </c>
      <c r="C9" s="6">
        <f t="shared" si="1"/>
        <v>0.32456140350877194</v>
      </c>
      <c r="E9" s="27" t="s">
        <v>69</v>
      </c>
      <c r="F9" s="24" t="s">
        <v>24</v>
      </c>
      <c r="G9" s="12">
        <v>33</v>
      </c>
      <c r="H9" s="88">
        <f>IF(B$20=0,0,G9/B$20)</f>
        <v>0.11578947368421053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38</v>
      </c>
      <c r="C10" s="7">
        <f t="shared" si="1"/>
        <v>0.33333333333333331</v>
      </c>
      <c r="E10" s="27" t="s">
        <v>70</v>
      </c>
      <c r="F10" s="24" t="s">
        <v>25</v>
      </c>
      <c r="G10" s="12">
        <v>30</v>
      </c>
      <c r="H10" s="88">
        <f>IF(B$20=0,0,G10/B$20)</f>
        <v>0.10526315789473684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-3.513157894736842</v>
      </c>
      <c r="Q10" s="76">
        <v>38</v>
      </c>
      <c r="R10" s="67">
        <v>-133.5</v>
      </c>
    </row>
    <row r="11" spans="1:18" x14ac:dyDescent="0.45">
      <c r="A11" s="20" t="s">
        <v>184</v>
      </c>
      <c r="B11" s="109">
        <f>IF(B8=0,0,C11/B8)</f>
        <v>31.697435897435899</v>
      </c>
      <c r="C11" s="110">
        <v>1236.2</v>
      </c>
      <c r="E11" s="27" t="s">
        <v>65</v>
      </c>
      <c r="F11" s="24" t="s">
        <v>21</v>
      </c>
      <c r="G11" s="12">
        <v>18</v>
      </c>
      <c r="H11" s="88">
        <f>IF(B$20=0,0,G11/B$20)</f>
        <v>6.3157894736842107E-2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-2.6947368421052631</v>
      </c>
      <c r="Q11" s="77">
        <v>38</v>
      </c>
      <c r="R11" s="68">
        <v>-102.4</v>
      </c>
    </row>
    <row r="12" spans="1:18" x14ac:dyDescent="0.45">
      <c r="A12" s="20" t="s">
        <v>185</v>
      </c>
      <c r="B12" s="109">
        <f>IF(B9=0,0,C12/B9)</f>
        <v>-1.3783783783783785</v>
      </c>
      <c r="C12" s="110">
        <v>-51.000000000000007</v>
      </c>
      <c r="E12" s="27" t="s">
        <v>71</v>
      </c>
      <c r="F12" s="24" t="s">
        <v>26</v>
      </c>
      <c r="G12" s="12">
        <v>18</v>
      </c>
      <c r="H12" s="88">
        <f>IF(B$20=0,0,G12/B$20)</f>
        <v>6.3157894736842107E-2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6.2078947368421069</v>
      </c>
      <c r="Q12" s="78">
        <v>38</v>
      </c>
      <c r="R12" s="69">
        <v>235.90000000000006</v>
      </c>
    </row>
    <row r="13" spans="1:18" x14ac:dyDescent="0.45">
      <c r="A13" s="20" t="s">
        <v>186</v>
      </c>
      <c r="B13" s="109">
        <f>IF(B10=0,0,C13/B10)</f>
        <v>-31.189473684210522</v>
      </c>
      <c r="C13" s="110">
        <v>-1185.1999999999998</v>
      </c>
      <c r="E13" s="27" t="s">
        <v>83</v>
      </c>
      <c r="F13" s="24" t="s">
        <v>38</v>
      </c>
      <c r="G13" s="12">
        <v>14</v>
      </c>
      <c r="H13" s="88">
        <f>IF(B$20=0,0,G13/B$20)</f>
        <v>4.912280701754386E-2</v>
      </c>
      <c r="I13" s="58">
        <v>4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-0.29013872171766764</v>
      </c>
      <c r="C14" s="126"/>
      <c r="E14" s="27" t="s">
        <v>86</v>
      </c>
      <c r="F14" s="24" t="s">
        <v>41</v>
      </c>
      <c r="G14" s="12">
        <v>13</v>
      </c>
      <c r="H14" s="88">
        <f>IF(B$20=0,0,G14/B$20)</f>
        <v>4.5614035087719301E-2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4.3859649122807015E-2</v>
      </c>
      <c r="E15" s="27" t="s">
        <v>78</v>
      </c>
      <c r="F15" s="24" t="s">
        <v>33</v>
      </c>
      <c r="G15" s="12">
        <v>9</v>
      </c>
      <c r="H15" s="88">
        <f>IF(B$20=0,0,G15/B$20)</f>
        <v>3.1578947368421054E-2</v>
      </c>
      <c r="I15" s="58">
        <v>5</v>
      </c>
      <c r="K15" s="74">
        <v>13</v>
      </c>
      <c r="L15" s="119">
        <v>48.999999999999993</v>
      </c>
      <c r="M15" s="117">
        <v>1603.6953056015411</v>
      </c>
      <c r="O15" s="73" t="s">
        <v>190</v>
      </c>
      <c r="P15" s="82">
        <f>IF(Q15=0,0,R15/Q15)</f>
        <v>21.375000000000004</v>
      </c>
      <c r="Q15" s="76">
        <v>12</v>
      </c>
      <c r="R15" s="67">
        <v>256.50000000000006</v>
      </c>
    </row>
    <row r="16" spans="1:18" x14ac:dyDescent="0.45">
      <c r="A16" s="22" t="s">
        <v>121</v>
      </c>
      <c r="B16" s="15">
        <v>230</v>
      </c>
      <c r="C16" s="10">
        <f>IF(B$3=0,0,B16/B$3)</f>
        <v>0.23809523809523808</v>
      </c>
      <c r="E16" s="27" t="s">
        <v>81</v>
      </c>
      <c r="F16" s="24" t="s">
        <v>36</v>
      </c>
      <c r="G16" s="12">
        <v>9</v>
      </c>
      <c r="H16" s="88">
        <f>IF(B$20=0,0,G16/B$20)</f>
        <v>3.1578947368421054E-2</v>
      </c>
      <c r="I16" s="58">
        <v>6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241</v>
      </c>
      <c r="C17" s="6">
        <f>IF(B$3=0,0,B17/B$3)</f>
        <v>0.24948240165631469</v>
      </c>
      <c r="E17" s="27" t="s">
        <v>91</v>
      </c>
      <c r="F17" s="24" t="s">
        <v>46</v>
      </c>
      <c r="G17" s="12">
        <v>7</v>
      </c>
      <c r="H17" s="88">
        <f>IF(B$20=0,0,G17/B$20)</f>
        <v>2.456140350877193E-2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163</v>
      </c>
      <c r="P17" s="83">
        <f>IF(Q17=0,0,R17/Q17)</f>
        <v>14.649999999999999</v>
      </c>
      <c r="Q17" s="77">
        <v>18</v>
      </c>
      <c r="R17" s="68">
        <v>263.7</v>
      </c>
    </row>
    <row r="18" spans="1:18" x14ac:dyDescent="0.45">
      <c r="A18" s="18" t="s">
        <v>123</v>
      </c>
      <c r="B18" s="11">
        <f>B24</f>
        <v>113</v>
      </c>
      <c r="C18" s="5">
        <f>IF(B$16=0,0,B18/B$16)</f>
        <v>0.49130434782608695</v>
      </c>
      <c r="E18" s="27" t="s">
        <v>79</v>
      </c>
      <c r="F18" s="24" t="s">
        <v>34</v>
      </c>
      <c r="G18" s="12">
        <v>4</v>
      </c>
      <c r="H18" s="88">
        <f>IF(B$20=0,0,G18/B$20)</f>
        <v>1.4035087719298246E-2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216</v>
      </c>
      <c r="P18" s="83">
        <f>IF(Q18=0,0,R18/Q18)</f>
        <v>10.242857142857144</v>
      </c>
      <c r="Q18" s="77">
        <v>28</v>
      </c>
      <c r="R18" s="68">
        <v>286.8</v>
      </c>
    </row>
    <row r="19" spans="1:18" x14ac:dyDescent="0.45">
      <c r="A19" s="18" t="s">
        <v>124</v>
      </c>
      <c r="B19" s="11">
        <f>B25</f>
        <v>113</v>
      </c>
      <c r="C19" s="5">
        <f>IF(B$17=0,0,B19/B$17)</f>
        <v>0.46887966804979253</v>
      </c>
      <c r="E19" s="27" t="s">
        <v>155</v>
      </c>
      <c r="F19" s="24" t="s">
        <v>156</v>
      </c>
      <c r="G19" s="12">
        <v>4</v>
      </c>
      <c r="H19" s="88">
        <f>IF(B$20=0,0,G19/B$20)</f>
        <v>1.4035087719298246E-2</v>
      </c>
      <c r="I19" s="58">
        <v>3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5">
      <c r="A20" s="18" t="s">
        <v>10</v>
      </c>
      <c r="B20" s="11">
        <f>B23+B22</f>
        <v>285</v>
      </c>
      <c r="C20" s="5">
        <f>IF(B$3=0,0,B20/B$3)</f>
        <v>0.29503105590062112</v>
      </c>
      <c r="E20" s="27" t="s">
        <v>85</v>
      </c>
      <c r="F20" s="24" t="s">
        <v>40</v>
      </c>
      <c r="G20" s="12">
        <v>3</v>
      </c>
      <c r="H20" s="88">
        <f>IF(B$20=0,0,G20/B$20)</f>
        <v>1.0526315789473684E-2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5.5124999999999984</v>
      </c>
      <c r="Q20" s="77">
        <v>8</v>
      </c>
      <c r="R20" s="68">
        <v>44.099999999999987</v>
      </c>
    </row>
    <row r="21" spans="1:18" x14ac:dyDescent="0.45">
      <c r="A21" s="19" t="s">
        <v>13</v>
      </c>
      <c r="B21" s="12">
        <v>159</v>
      </c>
      <c r="C21" s="6">
        <f>IF(B$3=0,0,B21/B$3)</f>
        <v>0.16459627329192547</v>
      </c>
      <c r="E21" s="27" t="s">
        <v>73</v>
      </c>
      <c r="F21" s="24" t="s">
        <v>28</v>
      </c>
      <c r="G21" s="12">
        <v>2</v>
      </c>
      <c r="H21" s="88">
        <f>IF(B$20=0,0,G21/B$20)</f>
        <v>7.0175438596491229E-3</v>
      </c>
      <c r="I21" s="58">
        <v>3</v>
      </c>
      <c r="K21" s="74">
        <v>19</v>
      </c>
      <c r="L21" s="119">
        <v>-23.100000000000009</v>
      </c>
      <c r="M21" s="117">
        <v>1591.1138693220096</v>
      </c>
      <c r="O21" s="74" t="s">
        <v>192</v>
      </c>
      <c r="P21" s="83">
        <f>IF(Q21=0,0,R21/Q21)</f>
        <v>-2.2500000000000018</v>
      </c>
      <c r="Q21" s="77">
        <v>30</v>
      </c>
      <c r="R21" s="68">
        <v>-67.500000000000057</v>
      </c>
    </row>
    <row r="22" spans="1:18" x14ac:dyDescent="0.45">
      <c r="A22" s="19" t="s">
        <v>12</v>
      </c>
      <c r="B22" s="12">
        <v>125</v>
      </c>
      <c r="C22" s="6">
        <f>IF(B$20=0,0,B22/B$20)</f>
        <v>0.43859649122807015</v>
      </c>
      <c r="E22" s="27" t="s">
        <v>75</v>
      </c>
      <c r="F22" s="24" t="s">
        <v>30</v>
      </c>
      <c r="G22" s="12">
        <v>1</v>
      </c>
      <c r="H22" s="88">
        <f>IF(B$20=0,0,G22/B$20)</f>
        <v>3.5087719298245615E-3</v>
      </c>
      <c r="I22" s="58">
        <v>2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-6.09</v>
      </c>
      <c r="Q22" s="77">
        <v>30</v>
      </c>
      <c r="R22" s="68">
        <v>-182.7</v>
      </c>
    </row>
    <row r="23" spans="1:18" x14ac:dyDescent="0.45">
      <c r="A23" s="19" t="s">
        <v>11</v>
      </c>
      <c r="B23" s="12">
        <v>160</v>
      </c>
      <c r="C23" s="6">
        <f>IF(B$20=0,0,B23/B$20)</f>
        <v>0.56140350877192979</v>
      </c>
      <c r="E23" s="27" t="s">
        <v>77</v>
      </c>
      <c r="F23" s="24" t="s">
        <v>32</v>
      </c>
      <c r="G23" s="12">
        <v>1</v>
      </c>
      <c r="H23" s="88">
        <f>IF(B$20=0,0,G23/B$20)</f>
        <v>3.5087719298245615E-3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-7.2000000000000011</v>
      </c>
      <c r="Q23" s="77">
        <v>34</v>
      </c>
      <c r="R23" s="68">
        <v>-244.80000000000004</v>
      </c>
    </row>
    <row r="24" spans="1:18" x14ac:dyDescent="0.45">
      <c r="A24" s="19" t="s">
        <v>183</v>
      </c>
      <c r="B24" s="12">
        <v>113</v>
      </c>
      <c r="C24" s="6">
        <f>IF(B$20=0,0,B24/B$20)</f>
        <v>0.39649122807017545</v>
      </c>
      <c r="E24" s="27" t="s">
        <v>88</v>
      </c>
      <c r="F24" s="24" t="s">
        <v>43</v>
      </c>
      <c r="G24" s="12">
        <v>1</v>
      </c>
      <c r="H24" s="88">
        <f>IF(B$20=0,0,G24/B$20)</f>
        <v>3.5087719298245615E-3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126</v>
      </c>
      <c r="P24" s="83">
        <f>IF(Q24=0,0,R24/Q24)</f>
        <v>-9.8517857142857093</v>
      </c>
      <c r="Q24" s="77">
        <v>56</v>
      </c>
      <c r="R24" s="68">
        <v>-551.6999999999997</v>
      </c>
    </row>
    <row r="25" spans="1:18" x14ac:dyDescent="0.45">
      <c r="A25" s="19" t="s">
        <v>181</v>
      </c>
      <c r="B25" s="12">
        <v>113</v>
      </c>
      <c r="C25" s="6">
        <f>IF(B$20=0,0,B25/B$20)</f>
        <v>0.39649122807017545</v>
      </c>
      <c r="E25" s="27" t="s">
        <v>92</v>
      </c>
      <c r="F25" s="24" t="s">
        <v>47</v>
      </c>
      <c r="G25" s="12">
        <v>1</v>
      </c>
      <c r="H25" s="88">
        <f>IF(B$20=0,0,G25/B$20)</f>
        <v>3.5087719298245615E-3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59</v>
      </c>
      <c r="C26" s="6">
        <f>IF(B$20=0,0,B26/B$20)</f>
        <v>0.20701754385964913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7933.333333333333</v>
      </c>
      <c r="C27" s="8">
        <v>2261000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8844.1860465116279</v>
      </c>
      <c r="C28" s="96">
        <v>1521200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6546.9026548672564</v>
      </c>
      <c r="C29" s="96">
        <v>739800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-7488.0503144654085</v>
      </c>
      <c r="C30" s="96">
        <v>-1190600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3</v>
      </c>
      <c r="C35" s="9">
        <f>IF(B$3=0,0,B35/B$3)</f>
        <v>3.105590062111801E-3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20</v>
      </c>
      <c r="C37" s="98">
        <f t="shared" ref="C37:C49" si="2">IF(B$20=0,0,B37/B$20)</f>
        <v>7.0175438596491224E-2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65</v>
      </c>
      <c r="C38" s="6">
        <f t="shared" si="2"/>
        <v>0.22807017543859648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54</v>
      </c>
      <c r="C39" s="6">
        <f t="shared" si="2"/>
        <v>0.18947368421052632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47</v>
      </c>
      <c r="C40" s="6">
        <f t="shared" si="2"/>
        <v>0.1649122807017544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33</v>
      </c>
      <c r="C41" s="6">
        <f t="shared" si="2"/>
        <v>0.11578947368421053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29</v>
      </c>
      <c r="C42" s="6">
        <f t="shared" si="2"/>
        <v>0.10175438596491228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18</v>
      </c>
      <c r="C43" s="6">
        <f t="shared" si="2"/>
        <v>6.3157894736842107E-2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7</v>
      </c>
      <c r="C44" s="6">
        <f t="shared" si="2"/>
        <v>2.456140350877193E-2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6</v>
      </c>
      <c r="C45" s="6">
        <f t="shared" si="2"/>
        <v>2.1052631578947368E-2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3</v>
      </c>
      <c r="C46" s="6">
        <f t="shared" si="2"/>
        <v>1.0526315789473684E-2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7.0175438596491229E-3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1</v>
      </c>
      <c r="C49" s="9">
        <f t="shared" si="2"/>
        <v>3.5087719298245615E-3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E705-C710-462F-BC4E-3D9DB8330613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28</v>
      </c>
      <c r="C2" s="134"/>
      <c r="E2" s="26" t="s">
        <v>72</v>
      </c>
      <c r="F2" s="23" t="s">
        <v>27</v>
      </c>
      <c r="G2" s="11">
        <v>60</v>
      </c>
      <c r="H2" s="87">
        <f>IF(B$20=0,0,G2/B$20)</f>
        <v>0.77922077922077926</v>
      </c>
      <c r="I2" s="57">
        <v>5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2250</v>
      </c>
      <c r="Q2" s="76">
        <v>28</v>
      </c>
      <c r="R2" s="63">
        <v>63000</v>
      </c>
    </row>
    <row r="3" spans="1:18" x14ac:dyDescent="0.45">
      <c r="A3" s="19" t="s">
        <v>8</v>
      </c>
      <c r="B3" s="135">
        <v>234</v>
      </c>
      <c r="C3" s="136"/>
      <c r="E3" s="27" t="s">
        <v>66</v>
      </c>
      <c r="F3" s="24" t="s">
        <v>22</v>
      </c>
      <c r="G3" s="12">
        <v>59</v>
      </c>
      <c r="H3" s="88">
        <f>IF(B$20=0,0,G3/B$20)</f>
        <v>0.76623376623376627</v>
      </c>
      <c r="I3" s="58">
        <v>4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-455.55555555555554</v>
      </c>
      <c r="Q3" s="77">
        <v>27</v>
      </c>
      <c r="R3" s="64">
        <v>-12300</v>
      </c>
    </row>
    <row r="4" spans="1:18" x14ac:dyDescent="0.45">
      <c r="A4" s="19" t="s">
        <v>6</v>
      </c>
      <c r="B4" s="137">
        <v>183.9</v>
      </c>
      <c r="C4" s="138"/>
      <c r="E4" s="27" t="s">
        <v>64</v>
      </c>
      <c r="F4" s="24" t="s">
        <v>20</v>
      </c>
      <c r="G4" s="12">
        <v>28</v>
      </c>
      <c r="H4" s="88">
        <f>IF(B$20=0,0,G4/B$20)</f>
        <v>0.36363636363636365</v>
      </c>
      <c r="I4" s="58">
        <v>6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-29.62962962962963</v>
      </c>
      <c r="Q4" s="77">
        <v>27</v>
      </c>
      <c r="R4" s="64">
        <v>-800</v>
      </c>
    </row>
    <row r="5" spans="1:18" x14ac:dyDescent="0.45">
      <c r="A5" s="19" t="s">
        <v>7</v>
      </c>
      <c r="B5" s="125">
        <f>IF(B$2=0,0,B$4/B$2)</f>
        <v>6.5678571428571431</v>
      </c>
      <c r="C5" s="126"/>
      <c r="E5" s="27" t="s">
        <v>159</v>
      </c>
      <c r="F5" s="24" t="s">
        <v>160</v>
      </c>
      <c r="G5" s="12">
        <v>25</v>
      </c>
      <c r="H5" s="88">
        <f>IF(B$20=0,0,G5/B$20)</f>
        <v>0.32467532467532467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2719.2307692307691</v>
      </c>
      <c r="Q5" s="77">
        <v>26</v>
      </c>
      <c r="R5" s="64">
        <v>70700</v>
      </c>
    </row>
    <row r="6" spans="1:18" x14ac:dyDescent="0.45">
      <c r="A6" s="19" t="s">
        <v>196</v>
      </c>
      <c r="B6" s="129">
        <v>1835.7649545477857</v>
      </c>
      <c r="C6" s="130"/>
      <c r="E6" s="27" t="s">
        <v>68</v>
      </c>
      <c r="F6" s="24" t="s">
        <v>12</v>
      </c>
      <c r="G6" s="12">
        <v>24</v>
      </c>
      <c r="H6" s="88">
        <f>IF(B$20=0,0,G6/B$20)</f>
        <v>0.31168831168831168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-508</v>
      </c>
      <c r="Q6" s="77">
        <v>25</v>
      </c>
      <c r="R6" s="64">
        <v>-12700</v>
      </c>
    </row>
    <row r="7" spans="1:18" x14ac:dyDescent="0.45">
      <c r="A7" s="19" t="s">
        <v>1</v>
      </c>
      <c r="B7" s="139">
        <f>IF(B$2=0,0,(B$8*1+B$9*2+B$10*3)/B$2)</f>
        <v>1.9642857142857142</v>
      </c>
      <c r="C7" s="140"/>
      <c r="E7" s="27" t="s">
        <v>89</v>
      </c>
      <c r="F7" s="24" t="s">
        <v>44</v>
      </c>
      <c r="G7" s="12">
        <v>13</v>
      </c>
      <c r="H7" s="88">
        <f>IF(B$20=0,0,G7/B$20)</f>
        <v>0.16883116883116883</v>
      </c>
      <c r="I7" s="58">
        <v>6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-1381.8181818181818</v>
      </c>
      <c r="Q7" s="78">
        <v>22</v>
      </c>
      <c r="R7" s="65">
        <v>-30400</v>
      </c>
    </row>
    <row r="8" spans="1:18" x14ac:dyDescent="0.45">
      <c r="A8" s="19" t="s">
        <v>2</v>
      </c>
      <c r="B8" s="12">
        <v>10</v>
      </c>
      <c r="C8" s="6">
        <f t="shared" ref="C8:C15" si="1">IF(B$2=0,0,B8/B$2)</f>
        <v>0.35714285714285715</v>
      </c>
      <c r="E8" s="27" t="s">
        <v>67</v>
      </c>
      <c r="F8" s="24" t="s">
        <v>23</v>
      </c>
      <c r="G8" s="12">
        <v>12</v>
      </c>
      <c r="H8" s="88">
        <f>IF(B$20=0,0,G8/B$20)</f>
        <v>0.15584415584415584</v>
      </c>
      <c r="I8" s="58">
        <v>7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0.32142857142857145</v>
      </c>
      <c r="E9" s="27" t="s">
        <v>69</v>
      </c>
      <c r="F9" s="24" t="s">
        <v>24</v>
      </c>
      <c r="G9" s="12">
        <v>11</v>
      </c>
      <c r="H9" s="88">
        <f>IF(B$20=0,0,G9/B$20)</f>
        <v>0.14285714285714285</v>
      </c>
      <c r="I9" s="58">
        <v>3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</v>
      </c>
      <c r="C10" s="7">
        <f t="shared" si="1"/>
        <v>0.32142857142857145</v>
      </c>
      <c r="E10" s="27" t="s">
        <v>70</v>
      </c>
      <c r="F10" s="24" t="s">
        <v>25</v>
      </c>
      <c r="G10" s="12">
        <v>11</v>
      </c>
      <c r="H10" s="88">
        <f>IF(B$20=0,0,G10/B$20)</f>
        <v>0.14285714285714285</v>
      </c>
      <c r="I10" s="58">
        <v>2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5.84</v>
      </c>
      <c r="Q10" s="76">
        <v>10</v>
      </c>
      <c r="R10" s="67">
        <v>58.4</v>
      </c>
    </row>
    <row r="11" spans="1:18" x14ac:dyDescent="0.45">
      <c r="A11" s="20" t="s">
        <v>184</v>
      </c>
      <c r="B11" s="109">
        <f>IF(B8=0,0,C11/B8)</f>
        <v>41.660000000000004</v>
      </c>
      <c r="C11" s="110">
        <v>416.6</v>
      </c>
      <c r="E11" s="27" t="s">
        <v>83</v>
      </c>
      <c r="F11" s="24" t="s">
        <v>38</v>
      </c>
      <c r="G11" s="12">
        <v>6</v>
      </c>
      <c r="H11" s="88">
        <f>IF(B$20=0,0,G11/B$20)</f>
        <v>7.792207792207792E-2</v>
      </c>
      <c r="I11" s="58">
        <v>3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-7.999999999999971E-2</v>
      </c>
      <c r="Q11" s="77">
        <v>10</v>
      </c>
      <c r="R11" s="68">
        <v>-0.79999999999999716</v>
      </c>
    </row>
    <row r="12" spans="1:18" x14ac:dyDescent="0.45">
      <c r="A12" s="20" t="s">
        <v>185</v>
      </c>
      <c r="B12" s="109">
        <f>IF(B9=0,0,C12/B9)</f>
        <v>-5.3777777777777764</v>
      </c>
      <c r="C12" s="110">
        <v>-48.399999999999991</v>
      </c>
      <c r="E12" s="27" t="s">
        <v>65</v>
      </c>
      <c r="F12" s="24" t="s">
        <v>21</v>
      </c>
      <c r="G12" s="12">
        <v>5</v>
      </c>
      <c r="H12" s="88">
        <f>IF(B$20=0,0,G12/B$20)</f>
        <v>6.4935064935064929E-2</v>
      </c>
      <c r="I12" s="58">
        <v>5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15.787500000000001</v>
      </c>
      <c r="Q12" s="78">
        <v>8</v>
      </c>
      <c r="R12" s="69">
        <v>126.30000000000001</v>
      </c>
    </row>
    <row r="13" spans="1:18" x14ac:dyDescent="0.45">
      <c r="A13" s="20" t="s">
        <v>186</v>
      </c>
      <c r="B13" s="109">
        <f>IF(B10=0,0,C13/B10)</f>
        <v>-20.477777777777774</v>
      </c>
      <c r="C13" s="110">
        <v>-184.29999999999998</v>
      </c>
      <c r="E13" s="27" t="s">
        <v>71</v>
      </c>
      <c r="F13" s="24" t="s">
        <v>26</v>
      </c>
      <c r="G13" s="12">
        <v>4</v>
      </c>
      <c r="H13" s="88">
        <f>IF(B$20=0,0,G13/B$20)</f>
        <v>5.1948051948051951E-2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5.2681481481481525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3.896103896103896E-2</v>
      </c>
      <c r="I14" s="58">
        <v>5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91</v>
      </c>
      <c r="F15" s="24" t="s">
        <v>46</v>
      </c>
      <c r="G15" s="12">
        <v>3</v>
      </c>
      <c r="H15" s="88">
        <f>IF(B$20=0,0,G15/B$20)</f>
        <v>3.896103896103896E-2</v>
      </c>
      <c r="I15" s="58">
        <v>3</v>
      </c>
      <c r="K15" s="74">
        <v>13</v>
      </c>
      <c r="L15" s="119">
        <v>236</v>
      </c>
      <c r="M15" s="117">
        <v>1865.6935040107483</v>
      </c>
      <c r="O15" s="73" t="s">
        <v>190</v>
      </c>
      <c r="P15" s="82">
        <f>IF(Q15=0,0,R15/Q15)</f>
        <v>36.075000000000003</v>
      </c>
      <c r="Q15" s="76">
        <v>4</v>
      </c>
      <c r="R15" s="67">
        <v>144.30000000000001</v>
      </c>
    </row>
    <row r="16" spans="1:18" x14ac:dyDescent="0.45">
      <c r="A16" s="22" t="s">
        <v>121</v>
      </c>
      <c r="B16" s="15">
        <v>60</v>
      </c>
      <c r="C16" s="10">
        <f>IF(B$3=0,0,B16/B$3)</f>
        <v>0.25641025641025639</v>
      </c>
      <c r="E16" s="27" t="s">
        <v>155</v>
      </c>
      <c r="F16" s="24" t="s">
        <v>156</v>
      </c>
      <c r="G16" s="12">
        <v>3</v>
      </c>
      <c r="H16" s="88">
        <f>IF(B$20=0,0,G16/B$20)</f>
        <v>3.896103896103896E-2</v>
      </c>
      <c r="I16" s="58">
        <v>1</v>
      </c>
      <c r="K16" s="74">
        <v>14</v>
      </c>
      <c r="L16" s="119">
        <v>222</v>
      </c>
      <c r="M16" s="117">
        <v>1861.6993429866839</v>
      </c>
      <c r="O16" s="74" t="s">
        <v>163</v>
      </c>
      <c r="P16" s="83">
        <f>IF(Q16=0,0,R16/Q16)</f>
        <v>30.62857142857143</v>
      </c>
      <c r="Q16" s="77">
        <v>7</v>
      </c>
      <c r="R16" s="68">
        <v>214.4</v>
      </c>
    </row>
    <row r="17" spans="1:18" x14ac:dyDescent="0.45">
      <c r="A17" s="19" t="s">
        <v>118</v>
      </c>
      <c r="B17" s="12">
        <v>54</v>
      </c>
      <c r="C17" s="6">
        <f>IF(B$3=0,0,B17/B$3)</f>
        <v>0.23076923076923078</v>
      </c>
      <c r="E17" s="27" t="s">
        <v>78</v>
      </c>
      <c r="F17" s="24" t="s">
        <v>33</v>
      </c>
      <c r="G17" s="12">
        <v>2</v>
      </c>
      <c r="H17" s="88">
        <f>IF(B$20=0,0,G17/B$20)</f>
        <v>2.5974025974025976E-2</v>
      </c>
      <c r="I17" s="58">
        <v>6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5">
      <c r="A18" s="18" t="s">
        <v>123</v>
      </c>
      <c r="B18" s="11">
        <f>B24</f>
        <v>31</v>
      </c>
      <c r="C18" s="5">
        <f>IF(B$16=0,0,B18/B$16)</f>
        <v>0.51666666666666672</v>
      </c>
      <c r="E18" s="27" t="s">
        <v>86</v>
      </c>
      <c r="F18" s="24" t="s">
        <v>41</v>
      </c>
      <c r="G18" s="12">
        <v>2</v>
      </c>
      <c r="H18" s="88">
        <f>IF(B$20=0,0,G18/B$20)</f>
        <v>2.5974025974025976E-2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16.600000000000001</v>
      </c>
      <c r="Q18" s="77">
        <v>2</v>
      </c>
      <c r="R18" s="68">
        <v>33.200000000000003</v>
      </c>
    </row>
    <row r="19" spans="1:18" x14ac:dyDescent="0.45">
      <c r="A19" s="18" t="s">
        <v>124</v>
      </c>
      <c r="B19" s="11">
        <f>B25</f>
        <v>30</v>
      </c>
      <c r="C19" s="5">
        <f>IF(B$17=0,0,B19/B$17)</f>
        <v>0.55555555555555558</v>
      </c>
      <c r="E19" s="27" t="s">
        <v>79</v>
      </c>
      <c r="F19" s="24" t="s">
        <v>34</v>
      </c>
      <c r="G19" s="12">
        <v>1</v>
      </c>
      <c r="H19" s="88">
        <f>IF(B$20=0,0,G19/B$20)</f>
        <v>1.2987012987012988E-2</v>
      </c>
      <c r="I19" s="58">
        <v>5</v>
      </c>
      <c r="K19" s="74">
        <v>17</v>
      </c>
      <c r="L19" s="119">
        <v>164.3</v>
      </c>
      <c r="M19" s="117">
        <v>1846.8986166069083</v>
      </c>
      <c r="O19" s="74" t="s">
        <v>192</v>
      </c>
      <c r="P19" s="83">
        <f>IF(Q19=0,0,R19/Q19)</f>
        <v>14.454545454545455</v>
      </c>
      <c r="Q19" s="77">
        <v>11</v>
      </c>
      <c r="R19" s="68">
        <v>159</v>
      </c>
    </row>
    <row r="20" spans="1:18" x14ac:dyDescent="0.45">
      <c r="A20" s="18" t="s">
        <v>10</v>
      </c>
      <c r="B20" s="11">
        <f>B23+B22</f>
        <v>77</v>
      </c>
      <c r="C20" s="5">
        <f>IF(B$3=0,0,B20/B$3)</f>
        <v>0.32905982905982906</v>
      </c>
      <c r="E20" s="27" t="s">
        <v>85</v>
      </c>
      <c r="F20" s="24" t="s">
        <v>40</v>
      </c>
      <c r="G20" s="12">
        <v>1</v>
      </c>
      <c r="H20" s="88">
        <f>IF(B$20=0,0,G20/B$20)</f>
        <v>1.2987012987012988E-2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0.54000000000000148</v>
      </c>
      <c r="Q20" s="77">
        <v>10</v>
      </c>
      <c r="R20" s="68">
        <v>5.4000000000000146</v>
      </c>
    </row>
    <row r="21" spans="1:18" x14ac:dyDescent="0.45">
      <c r="A21" s="19" t="s">
        <v>13</v>
      </c>
      <c r="B21" s="12">
        <v>36</v>
      </c>
      <c r="C21" s="6">
        <f>IF(B$3=0,0,B21/B$3)</f>
        <v>0.15384615384615385</v>
      </c>
      <c r="E21" s="27" t="s">
        <v>92</v>
      </c>
      <c r="F21" s="24" t="s">
        <v>47</v>
      </c>
      <c r="G21" s="12">
        <v>1</v>
      </c>
      <c r="H21" s="88">
        <f>IF(B$20=0,0,G21/B$20)</f>
        <v>1.2987012987012988E-2</v>
      </c>
      <c r="I21" s="58">
        <v>1</v>
      </c>
      <c r="K21" s="74">
        <v>19</v>
      </c>
      <c r="L21" s="119">
        <v>174.6</v>
      </c>
      <c r="M21" s="117">
        <v>1845.7365495578231</v>
      </c>
      <c r="O21" s="74" t="s">
        <v>216</v>
      </c>
      <c r="P21" s="83">
        <f>IF(Q21=0,0,R21/Q21)</f>
        <v>-1.8500000000000005</v>
      </c>
      <c r="Q21" s="77">
        <v>8</v>
      </c>
      <c r="R21" s="68">
        <v>-14.800000000000004</v>
      </c>
    </row>
    <row r="22" spans="1:18" x14ac:dyDescent="0.45">
      <c r="A22" s="19" t="s">
        <v>12</v>
      </c>
      <c r="B22" s="12">
        <v>38</v>
      </c>
      <c r="C22" s="6">
        <f>IF(B$20=0,0,B22/B$20)</f>
        <v>0.4935064935064935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154.5</v>
      </c>
      <c r="M22" s="117">
        <v>1840.6741302604762</v>
      </c>
      <c r="O22" s="74" t="s">
        <v>189</v>
      </c>
      <c r="P22" s="83">
        <f>IF(Q22=0,0,R22/Q22)</f>
        <v>-3.9666666666666663</v>
      </c>
      <c r="Q22" s="77">
        <v>12</v>
      </c>
      <c r="R22" s="68">
        <v>-47.599999999999994</v>
      </c>
    </row>
    <row r="23" spans="1:18" x14ac:dyDescent="0.45">
      <c r="A23" s="19" t="s">
        <v>11</v>
      </c>
      <c r="B23" s="12">
        <v>39</v>
      </c>
      <c r="C23" s="6">
        <f>IF(B$20=0,0,B23/B$20)</f>
        <v>0.50649350649350644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31</v>
      </c>
      <c r="C24" s="6">
        <f>IF(B$20=0,0,B24/B$20)</f>
        <v>0.40259740259740262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30</v>
      </c>
      <c r="C25" s="6">
        <f>IF(B$20=0,0,B25/B$20)</f>
        <v>0.38961038961038963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16</v>
      </c>
      <c r="C26" s="6">
        <f>IF(B$20=0,0,B26/B$20)</f>
        <v>0.20779220779220781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8929.8701298701308</v>
      </c>
      <c r="C27" s="8">
        <v>687600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9342.5531914893618</v>
      </c>
      <c r="C28" s="96">
        <v>439100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8283.3333333333339</v>
      </c>
      <c r="C29" s="96">
        <v>248500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-6702.7777777777774</v>
      </c>
      <c r="C30" s="96">
        <v>-241300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4.2735042735042739E-3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3.896103896103896E-2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13</v>
      </c>
      <c r="C38" s="6">
        <f t="shared" si="2"/>
        <v>0.16883116883116883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19</v>
      </c>
      <c r="C39" s="6">
        <f t="shared" si="2"/>
        <v>0.24675324675324675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11</v>
      </c>
      <c r="C40" s="6">
        <f t="shared" si="2"/>
        <v>0.14285714285714285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10</v>
      </c>
      <c r="C41" s="6">
        <f t="shared" si="2"/>
        <v>0.12987012987012986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10</v>
      </c>
      <c r="C42" s="6">
        <f t="shared" si="2"/>
        <v>0.12987012987012986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6</v>
      </c>
      <c r="C43" s="6">
        <f t="shared" si="2"/>
        <v>7.792207792207792E-2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2</v>
      </c>
      <c r="C45" s="6">
        <f t="shared" si="2"/>
        <v>2.5974025974025976E-2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1.2987012987012988E-2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1.2987012987012988E-2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1.2987012987012988E-2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5B088-9924-4E6B-822D-7A1DD8A245CF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9</v>
      </c>
      <c r="C2" s="134"/>
      <c r="E2" s="26" t="s">
        <v>72</v>
      </c>
      <c r="F2" s="23" t="s">
        <v>27</v>
      </c>
      <c r="G2" s="11">
        <v>17</v>
      </c>
      <c r="H2" s="87">
        <f>IF(B$20=0,0,G2/B$20)</f>
        <v>0.80952380952380953</v>
      </c>
      <c r="I2" s="57">
        <v>4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222.22222222222223</v>
      </c>
      <c r="Q2" s="76">
        <v>9</v>
      </c>
      <c r="R2" s="63">
        <v>2000</v>
      </c>
    </row>
    <row r="3" spans="1:18" x14ac:dyDescent="0.45">
      <c r="A3" s="19" t="s">
        <v>8</v>
      </c>
      <c r="B3" s="135">
        <v>77</v>
      </c>
      <c r="C3" s="136"/>
      <c r="E3" s="27" t="s">
        <v>66</v>
      </c>
      <c r="F3" s="24" t="s">
        <v>22</v>
      </c>
      <c r="G3" s="12">
        <v>14</v>
      </c>
      <c r="H3" s="88">
        <f>IF(B$20=0,0,G3/B$20)</f>
        <v>0.66666666666666663</v>
      </c>
      <c r="I3" s="58">
        <v>7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2212.5</v>
      </c>
      <c r="Q3" s="77">
        <v>8</v>
      </c>
      <c r="R3" s="64">
        <v>17700</v>
      </c>
    </row>
    <row r="4" spans="1:18" x14ac:dyDescent="0.45">
      <c r="A4" s="19" t="s">
        <v>6</v>
      </c>
      <c r="B4" s="137">
        <v>-87.900000000000034</v>
      </c>
      <c r="C4" s="138"/>
      <c r="E4" s="27" t="s">
        <v>159</v>
      </c>
      <c r="F4" s="24" t="s">
        <v>160</v>
      </c>
      <c r="G4" s="12">
        <v>9</v>
      </c>
      <c r="H4" s="88">
        <f>IF(B$20=0,0,G4/B$20)</f>
        <v>0.42857142857142855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-1200</v>
      </c>
      <c r="Q4" s="77">
        <v>8</v>
      </c>
      <c r="R4" s="64">
        <v>-9600</v>
      </c>
    </row>
    <row r="5" spans="1:18" x14ac:dyDescent="0.45">
      <c r="A5" s="19" t="s">
        <v>7</v>
      </c>
      <c r="B5" s="125">
        <f>IF(B$2=0,0,B$4/B$2)</f>
        <v>-9.766666666666671</v>
      </c>
      <c r="C5" s="126"/>
      <c r="E5" s="27" t="s">
        <v>64</v>
      </c>
      <c r="F5" s="24" t="s">
        <v>20</v>
      </c>
      <c r="G5" s="12">
        <v>7</v>
      </c>
      <c r="H5" s="88">
        <f>IF(B$20=0,0,G5/B$20)</f>
        <v>0.33333333333333331</v>
      </c>
      <c r="I5" s="58">
        <v>8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-787.5</v>
      </c>
      <c r="Q5" s="77">
        <v>8</v>
      </c>
      <c r="R5" s="64">
        <v>-6300</v>
      </c>
    </row>
    <row r="6" spans="1:18" x14ac:dyDescent="0.45">
      <c r="A6" s="19" t="s">
        <v>196</v>
      </c>
      <c r="B6" s="129">
        <v>1636.255456115799</v>
      </c>
      <c r="C6" s="130"/>
      <c r="E6" s="27" t="s">
        <v>67</v>
      </c>
      <c r="F6" s="24" t="s">
        <v>23</v>
      </c>
      <c r="G6" s="12">
        <v>6</v>
      </c>
      <c r="H6" s="88">
        <f>IF(B$20=0,0,G6/B$20)</f>
        <v>0.2857142857142857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-642.85714285714289</v>
      </c>
      <c r="Q6" s="77">
        <v>7</v>
      </c>
      <c r="R6" s="64">
        <v>-4500</v>
      </c>
    </row>
    <row r="7" spans="1:18" x14ac:dyDescent="0.45">
      <c r="A7" s="19" t="s">
        <v>1</v>
      </c>
      <c r="B7" s="139">
        <f>IF(B$2=0,0,(B$8*1+B$9*2+B$10*3)/B$2)</f>
        <v>2.1111111111111112</v>
      </c>
      <c r="C7" s="140"/>
      <c r="E7" s="27" t="s">
        <v>89</v>
      </c>
      <c r="F7" s="24" t="s">
        <v>44</v>
      </c>
      <c r="G7" s="12">
        <v>5</v>
      </c>
      <c r="H7" s="88">
        <f>IF(B$20=0,0,G7/B$20)</f>
        <v>0.23809523809523808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-2340</v>
      </c>
      <c r="Q7" s="78">
        <v>5</v>
      </c>
      <c r="R7" s="65">
        <v>-11700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0.44444444444444442</v>
      </c>
      <c r="E8" s="27" t="s">
        <v>68</v>
      </c>
      <c r="F8" s="24" t="s">
        <v>12</v>
      </c>
      <c r="G8" s="12">
        <v>4</v>
      </c>
      <c r="H8" s="88">
        <f>IF(B$20=0,0,G8/B$20)</f>
        <v>0.19047619047619047</v>
      </c>
      <c r="I8" s="58">
        <v>9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3</v>
      </c>
      <c r="H9" s="88">
        <f>IF(B$20=0,0,G9/B$20)</f>
        <v>0.14285714285714285</v>
      </c>
      <c r="I9" s="58">
        <v>3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0.55555555555555558</v>
      </c>
      <c r="E10" s="27" t="s">
        <v>78</v>
      </c>
      <c r="F10" s="24" t="s">
        <v>33</v>
      </c>
      <c r="G10" s="12">
        <v>2</v>
      </c>
      <c r="H10" s="88">
        <f>IF(B$20=0,0,G10/B$20)</f>
        <v>9.5238095238095233E-2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-0.39999999999999858</v>
      </c>
      <c r="Q10" s="76">
        <v>2</v>
      </c>
      <c r="R10" s="67">
        <v>-0.79999999999999716</v>
      </c>
    </row>
    <row r="11" spans="1:18" x14ac:dyDescent="0.45">
      <c r="A11" s="20" t="s">
        <v>184</v>
      </c>
      <c r="B11" s="109">
        <f>IF(B8=0,0,C11/B8)</f>
        <v>32.15</v>
      </c>
      <c r="C11" s="110">
        <v>128.6</v>
      </c>
      <c r="E11" s="27" t="s">
        <v>83</v>
      </c>
      <c r="F11" s="24" t="s">
        <v>38</v>
      </c>
      <c r="G11" s="12">
        <v>2</v>
      </c>
      <c r="H11" s="88">
        <f>IF(B$20=0,0,G11/B$20)</f>
        <v>9.5238095238095233E-2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-17.340000000000007</v>
      </c>
      <c r="Q11" s="77">
        <v>5</v>
      </c>
      <c r="R11" s="68">
        <v>-86.700000000000031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65</v>
      </c>
      <c r="F12" s="24" t="s">
        <v>21</v>
      </c>
      <c r="G12" s="12">
        <v>1</v>
      </c>
      <c r="H12" s="88">
        <f>IF(B$20=0,0,G12/B$20)</f>
        <v>4.7619047619047616E-2</v>
      </c>
      <c r="I12" s="58">
        <v>7</v>
      </c>
      <c r="O12" s="75" t="s">
        <v>153</v>
      </c>
      <c r="P12" s="84">
        <f>IF(Q12=0,0,R12/Q12)</f>
        <v>-0.19999999999999929</v>
      </c>
      <c r="Q12" s="78">
        <v>2</v>
      </c>
      <c r="R12" s="69">
        <v>-0.39999999999999858</v>
      </c>
    </row>
    <row r="13" spans="1:18" x14ac:dyDescent="0.45">
      <c r="A13" s="20" t="s">
        <v>186</v>
      </c>
      <c r="B13" s="109">
        <f>IF(B10=0,0,C13/B10)</f>
        <v>-43.3</v>
      </c>
      <c r="C13" s="110">
        <v>-216.5</v>
      </c>
      <c r="E13" s="27" t="s">
        <v>70</v>
      </c>
      <c r="F13" s="24" t="s">
        <v>25</v>
      </c>
      <c r="G13" s="12">
        <v>1</v>
      </c>
      <c r="H13" s="88">
        <f>IF(B$20=0,0,G13/B$20)</f>
        <v>4.7619047619047616E-2</v>
      </c>
      <c r="I13" s="58">
        <v>7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-3.7166666666666663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4.7619047619047616E-2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0.22222222222222221</v>
      </c>
      <c r="E15" s="27" t="s">
        <v>79</v>
      </c>
      <c r="F15" s="24" t="s">
        <v>34</v>
      </c>
      <c r="G15" s="12">
        <v>1</v>
      </c>
      <c r="H15" s="88">
        <f>IF(B$20=0,0,G15/B$20)</f>
        <v>4.7619047619047616E-2</v>
      </c>
      <c r="I15" s="58">
        <v>1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18</v>
      </c>
      <c r="C16" s="10">
        <f>IF(B$3=0,0,B16/B$3)</f>
        <v>0.23376623376623376</v>
      </c>
      <c r="E16" s="27" t="s">
        <v>81</v>
      </c>
      <c r="F16" s="24" t="s">
        <v>36</v>
      </c>
      <c r="G16" s="12">
        <v>1</v>
      </c>
      <c r="H16" s="88">
        <f>IF(B$20=0,0,G16/B$20)</f>
        <v>4.7619047619047616E-2</v>
      </c>
      <c r="I16" s="58">
        <v>2</v>
      </c>
      <c r="O16" s="74" t="s">
        <v>211</v>
      </c>
      <c r="P16" s="83">
        <f>IF(Q16=0,0,R16/Q16)</f>
        <v>-15.799999999999997</v>
      </c>
      <c r="Q16" s="77">
        <v>2</v>
      </c>
      <c r="R16" s="68">
        <v>-31.599999999999994</v>
      </c>
    </row>
    <row r="17" spans="1:18" x14ac:dyDescent="0.45">
      <c r="A17" s="19" t="s">
        <v>118</v>
      </c>
      <c r="B17" s="12">
        <v>20</v>
      </c>
      <c r="C17" s="6">
        <f>IF(B$3=0,0,B17/B$3)</f>
        <v>0.25974025974025972</v>
      </c>
      <c r="E17" s="27" t="s">
        <v>85</v>
      </c>
      <c r="F17" s="24" t="s">
        <v>40</v>
      </c>
      <c r="G17" s="12">
        <v>1</v>
      </c>
      <c r="H17" s="88">
        <f>IF(B$20=0,0,G17/B$20)</f>
        <v>4.7619047619047616E-2</v>
      </c>
      <c r="I17" s="58">
        <v>1</v>
      </c>
      <c r="O17" s="74" t="s">
        <v>126</v>
      </c>
      <c r="P17" s="83">
        <f>IF(Q17=0,0,R17/Q17)</f>
        <v>-30.628571428571437</v>
      </c>
      <c r="Q17" s="77">
        <v>7</v>
      </c>
      <c r="R17" s="68">
        <v>-214.40000000000006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0.3888888888888889</v>
      </c>
      <c r="E18" s="27" t="s">
        <v>86</v>
      </c>
      <c r="F18" s="24" t="s">
        <v>41</v>
      </c>
      <c r="G18" s="12">
        <v>1</v>
      </c>
      <c r="H18" s="88">
        <f>IF(B$20=0,0,G18/B$20)</f>
        <v>4.7619047619047616E-2</v>
      </c>
      <c r="I18" s="58">
        <v>4</v>
      </c>
      <c r="O18" s="74" t="s">
        <v>192</v>
      </c>
      <c r="P18" s="83">
        <f>IF(Q18=0,0,R18/Q18)</f>
        <v>-40.900000000000006</v>
      </c>
      <c r="Q18" s="77">
        <v>2</v>
      </c>
      <c r="R18" s="68">
        <v>-81.800000000000011</v>
      </c>
    </row>
    <row r="19" spans="1:18" x14ac:dyDescent="0.45">
      <c r="A19" s="18" t="s">
        <v>124</v>
      </c>
      <c r="B19" s="11">
        <f>B25</f>
        <v>8</v>
      </c>
      <c r="C19" s="5">
        <f>IF(B$17=0,0,B19/B$17)</f>
        <v>0.4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4</v>
      </c>
      <c r="O19" s="74" t="s">
        <v>189</v>
      </c>
      <c r="P19" s="83">
        <f>IF(Q19=0,0,R19/Q19)</f>
        <v>-67.650000000000006</v>
      </c>
      <c r="Q19" s="77">
        <v>2</v>
      </c>
      <c r="R19" s="68">
        <v>-135.30000000000001</v>
      </c>
    </row>
    <row r="20" spans="1:18" x14ac:dyDescent="0.45">
      <c r="A20" s="18" t="s">
        <v>10</v>
      </c>
      <c r="B20" s="11">
        <f>B23+B22</f>
        <v>21</v>
      </c>
      <c r="C20" s="5">
        <f>IF(B$3=0,0,B20/B$3)</f>
        <v>0.27272727272727271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16</v>
      </c>
      <c r="C21" s="6">
        <f>IF(B$3=0,0,B21/B$3)</f>
        <v>0.20779220779220781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7</v>
      </c>
      <c r="C22" s="6">
        <f>IF(B$20=0,0,B22/B$20)</f>
        <v>0.33333333333333331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14</v>
      </c>
      <c r="C23" s="6">
        <f>IF(B$20=0,0,B23/B$20)</f>
        <v>0.66666666666666663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7</v>
      </c>
      <c r="C24" s="6">
        <f>IF(B$20=0,0,B24/B$20)</f>
        <v>0.33333333333333331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8</v>
      </c>
      <c r="C25" s="6">
        <f>IF(B$20=0,0,B25/B$20)</f>
        <v>0.38095238095238093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6</v>
      </c>
      <c r="C26" s="6">
        <f>IF(B$20=0,0,B26/B$20)</f>
        <v>0.2857142857142857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9561.9047619047615</v>
      </c>
      <c r="C27" s="8">
        <v>200800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9938.461538461539</v>
      </c>
      <c r="C28" s="96">
        <v>129200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8950</v>
      </c>
      <c r="C29" s="96">
        <v>71600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-10887.5</v>
      </c>
      <c r="C30" s="96">
        <v>-174200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7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1.2987012987012988E-2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4.7619047619047616E-2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3</v>
      </c>
      <c r="C38" s="6">
        <f t="shared" si="2"/>
        <v>0.14285714285714285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0.14285714285714285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0.19047619047619047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2"/>
        <v>0.23809523809523808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0.14285714285714285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9.5238095238095233E-2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FF431-1A46-4AC9-BE6B-04ACEE5A81D4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15</v>
      </c>
      <c r="C2" s="134"/>
      <c r="E2" s="26" t="s">
        <v>72</v>
      </c>
      <c r="F2" s="23" t="s">
        <v>27</v>
      </c>
      <c r="G2" s="11">
        <v>36</v>
      </c>
      <c r="H2" s="87">
        <f>IF(B$20=0,0,G2/B$20)</f>
        <v>0.8571428571428571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-1053.3333333333333</v>
      </c>
      <c r="Q2" s="76">
        <v>15</v>
      </c>
      <c r="R2" s="63">
        <v>-15800</v>
      </c>
    </row>
    <row r="3" spans="1:18" x14ac:dyDescent="0.45">
      <c r="A3" s="19" t="s">
        <v>8</v>
      </c>
      <c r="B3" s="135">
        <v>136</v>
      </c>
      <c r="C3" s="136"/>
      <c r="E3" s="27" t="s">
        <v>66</v>
      </c>
      <c r="F3" s="24" t="s">
        <v>22</v>
      </c>
      <c r="G3" s="12">
        <v>27</v>
      </c>
      <c r="H3" s="88">
        <f>IF(B$20=0,0,G3/B$20)</f>
        <v>0.6428571428571429</v>
      </c>
      <c r="I3" s="58">
        <v>8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46.666666666666664</v>
      </c>
      <c r="Q3" s="77">
        <v>15</v>
      </c>
      <c r="R3" s="64">
        <v>700</v>
      </c>
    </row>
    <row r="4" spans="1:18" x14ac:dyDescent="0.45">
      <c r="A4" s="19" t="s">
        <v>6</v>
      </c>
      <c r="B4" s="137">
        <v>60.900000000000006</v>
      </c>
      <c r="C4" s="138"/>
      <c r="E4" s="27" t="s">
        <v>64</v>
      </c>
      <c r="F4" s="24" t="s">
        <v>20</v>
      </c>
      <c r="G4" s="12">
        <v>15</v>
      </c>
      <c r="H4" s="88">
        <f>IF(B$20=0,0,G4/B$20)</f>
        <v>0.35714285714285715</v>
      </c>
      <c r="I4" s="58">
        <v>7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2126.6666666666665</v>
      </c>
      <c r="Q4" s="77">
        <v>15</v>
      </c>
      <c r="R4" s="64">
        <v>31900</v>
      </c>
    </row>
    <row r="5" spans="1:18" x14ac:dyDescent="0.45">
      <c r="A5" s="19" t="s">
        <v>7</v>
      </c>
      <c r="B5" s="125">
        <f>IF(B$2=0,0,B$4/B$2)</f>
        <v>4.0600000000000005</v>
      </c>
      <c r="C5" s="126"/>
      <c r="E5" s="27" t="s">
        <v>67</v>
      </c>
      <c r="F5" s="24" t="s">
        <v>23</v>
      </c>
      <c r="G5" s="12">
        <v>14</v>
      </c>
      <c r="H5" s="88">
        <f>IF(B$20=0,0,G5/B$20)</f>
        <v>0.33333333333333331</v>
      </c>
      <c r="I5" s="58">
        <v>2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-1346.6666666666667</v>
      </c>
      <c r="Q5" s="77">
        <v>15</v>
      </c>
      <c r="R5" s="64">
        <v>-20200</v>
      </c>
    </row>
    <row r="6" spans="1:18" x14ac:dyDescent="0.45">
      <c r="A6" s="19" t="s">
        <v>196</v>
      </c>
      <c r="B6" s="129">
        <v>1455.9833330049933</v>
      </c>
      <c r="C6" s="130"/>
      <c r="E6" s="27" t="s">
        <v>68</v>
      </c>
      <c r="F6" s="24" t="s">
        <v>12</v>
      </c>
      <c r="G6" s="12">
        <v>13</v>
      </c>
      <c r="H6" s="88">
        <f>IF(B$20=0,0,G6/B$20)</f>
        <v>0.30952380952380953</v>
      </c>
      <c r="I6" s="58">
        <v>5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313.33333333333331</v>
      </c>
      <c r="Q6" s="77">
        <v>15</v>
      </c>
      <c r="R6" s="64">
        <v>4700</v>
      </c>
    </row>
    <row r="7" spans="1:18" x14ac:dyDescent="0.45">
      <c r="A7" s="19" t="s">
        <v>1</v>
      </c>
      <c r="B7" s="139">
        <f>IF(B$2=0,0,(B$8*1+B$9*2+B$10*3)/B$2)</f>
        <v>1.8</v>
      </c>
      <c r="C7" s="140"/>
      <c r="E7" s="27" t="s">
        <v>159</v>
      </c>
      <c r="F7" s="24" t="s">
        <v>160</v>
      </c>
      <c r="G7" s="12">
        <v>11</v>
      </c>
      <c r="H7" s="88">
        <f>IF(B$20=0,0,G7/B$20)</f>
        <v>0.26190476190476192</v>
      </c>
      <c r="I7" s="58">
        <v>9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2383.3333333333335</v>
      </c>
      <c r="Q7" s="78">
        <v>12</v>
      </c>
      <c r="R7" s="65">
        <v>28600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0.4</v>
      </c>
      <c r="E8" s="27" t="s">
        <v>89</v>
      </c>
      <c r="F8" s="24" t="s">
        <v>44</v>
      </c>
      <c r="G8" s="12">
        <v>7</v>
      </c>
      <c r="H8" s="88">
        <f>IF(B$20=0,0,G8/B$20)</f>
        <v>0.16666666666666666</v>
      </c>
      <c r="I8" s="58">
        <v>8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0.4</v>
      </c>
      <c r="E9" s="27" t="s">
        <v>70</v>
      </c>
      <c r="F9" s="24" t="s">
        <v>25</v>
      </c>
      <c r="G9" s="12">
        <v>4</v>
      </c>
      <c r="H9" s="88">
        <f>IF(B$20=0,0,G9/B$20)</f>
        <v>9.5238095238095233E-2</v>
      </c>
      <c r="I9" s="58">
        <v>6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0.2</v>
      </c>
      <c r="E10" s="27" t="s">
        <v>65</v>
      </c>
      <c r="F10" s="24" t="s">
        <v>21</v>
      </c>
      <c r="G10" s="12">
        <v>3</v>
      </c>
      <c r="H10" s="88">
        <f>IF(B$20=0,0,G10/B$20)</f>
        <v>7.1428571428571425E-2</v>
      </c>
      <c r="I10" s="58">
        <v>4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1.36</v>
      </c>
      <c r="Q10" s="76">
        <v>5</v>
      </c>
      <c r="R10" s="67">
        <v>6.8000000000000007</v>
      </c>
    </row>
    <row r="11" spans="1:18" x14ac:dyDescent="0.45">
      <c r="A11" s="20" t="s">
        <v>184</v>
      </c>
      <c r="B11" s="109">
        <f>IF(B8=0,0,C11/B8)</f>
        <v>18.083333333333332</v>
      </c>
      <c r="C11" s="110">
        <v>108.5</v>
      </c>
      <c r="E11" s="27" t="s">
        <v>69</v>
      </c>
      <c r="F11" s="24" t="s">
        <v>24</v>
      </c>
      <c r="G11" s="12">
        <v>2</v>
      </c>
      <c r="H11" s="88">
        <f>IF(B$20=0,0,G11/B$20)</f>
        <v>4.7619047619047616E-2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-2.8999999999999995</v>
      </c>
      <c r="Q11" s="77">
        <v>4</v>
      </c>
      <c r="R11" s="68">
        <v>-11.599999999999998</v>
      </c>
    </row>
    <row r="12" spans="1:18" x14ac:dyDescent="0.45">
      <c r="A12" s="20" t="s">
        <v>185</v>
      </c>
      <c r="B12" s="109">
        <f>IF(B9=0,0,C12/B9)</f>
        <v>6.833333333333333</v>
      </c>
      <c r="C12" s="110">
        <v>41</v>
      </c>
      <c r="E12" s="27" t="s">
        <v>83</v>
      </c>
      <c r="F12" s="24" t="s">
        <v>38</v>
      </c>
      <c r="G12" s="12">
        <v>2</v>
      </c>
      <c r="H12" s="88">
        <f>IF(B$20=0,0,G12/B$20)</f>
        <v>4.7619047619047616E-2</v>
      </c>
      <c r="I12" s="58">
        <v>5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10.949999999999998</v>
      </c>
      <c r="Q12" s="78">
        <v>6</v>
      </c>
      <c r="R12" s="69">
        <v>65.699999999999989</v>
      </c>
    </row>
    <row r="13" spans="1:18" x14ac:dyDescent="0.45">
      <c r="A13" s="20" t="s">
        <v>186</v>
      </c>
      <c r="B13" s="109">
        <f>IF(B10=0,0,C13/B10)</f>
        <v>-29.533333333333331</v>
      </c>
      <c r="C13" s="110">
        <v>-88.6</v>
      </c>
      <c r="E13" s="27" t="s">
        <v>91</v>
      </c>
      <c r="F13" s="24" t="s">
        <v>46</v>
      </c>
      <c r="G13" s="12">
        <v>2</v>
      </c>
      <c r="H13" s="88">
        <f>IF(B$20=0,0,G13/B$20)</f>
        <v>4.7619047619047616E-2</v>
      </c>
      <c r="I13" s="58">
        <v>1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-1.538888888888889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2.3809523809523808E-2</v>
      </c>
      <c r="I14" s="58">
        <v>7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79</v>
      </c>
      <c r="F15" s="24" t="s">
        <v>34</v>
      </c>
      <c r="G15" s="12">
        <v>1</v>
      </c>
      <c r="H15" s="88">
        <f>IF(B$20=0,0,G15/B$20)</f>
        <v>2.3809523809523808E-2</v>
      </c>
      <c r="I15" s="58">
        <v>2</v>
      </c>
      <c r="K15" s="74">
        <v>13</v>
      </c>
      <c r="L15" s="119">
        <v>35.000000000000007</v>
      </c>
      <c r="M15" s="117">
        <v>1449.5174194108242</v>
      </c>
      <c r="O15" s="73" t="s">
        <v>163</v>
      </c>
      <c r="P15" s="82">
        <f>IF(Q15=0,0,R15/Q15)</f>
        <v>67.650000000000006</v>
      </c>
      <c r="Q15" s="76">
        <v>2</v>
      </c>
      <c r="R15" s="67">
        <v>135.30000000000001</v>
      </c>
    </row>
    <row r="16" spans="1:18" x14ac:dyDescent="0.45">
      <c r="A16" s="22" t="s">
        <v>121</v>
      </c>
      <c r="B16" s="15">
        <v>34</v>
      </c>
      <c r="C16" s="10">
        <f>IF(B$3=0,0,B16/B$3)</f>
        <v>0.25</v>
      </c>
      <c r="E16" s="27" t="s">
        <v>86</v>
      </c>
      <c r="F16" s="24" t="s">
        <v>41</v>
      </c>
      <c r="G16" s="12">
        <v>1</v>
      </c>
      <c r="H16" s="88">
        <f>IF(B$20=0,0,G16/B$20)</f>
        <v>2.3809523809523808E-2</v>
      </c>
      <c r="I16" s="58">
        <v>8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5">
      <c r="A17" s="19" t="s">
        <v>118</v>
      </c>
      <c r="B17" s="12">
        <v>45</v>
      </c>
      <c r="C17" s="6">
        <f>IF(B$3=0,0,B17/B$3)</f>
        <v>0.33088235294117646</v>
      </c>
      <c r="E17" s="27" t="s">
        <v>88</v>
      </c>
      <c r="F17" s="24" t="s">
        <v>43</v>
      </c>
      <c r="G17" s="12">
        <v>1</v>
      </c>
      <c r="H17" s="88">
        <f>IF(B$20=0,0,G17/B$20)</f>
        <v>2.3809523809523808E-2</v>
      </c>
      <c r="I17" s="58">
        <v>1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15</v>
      </c>
      <c r="C18" s="5">
        <f>IF(B$16=0,0,B18/B$16)</f>
        <v>0.44117647058823528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4</v>
      </c>
      <c r="O18" s="74" t="s">
        <v>126</v>
      </c>
      <c r="P18" s="83">
        <f>IF(Q18=0,0,R18/Q18)</f>
        <v>3.9666666666666663</v>
      </c>
      <c r="Q18" s="77">
        <v>12</v>
      </c>
      <c r="R18" s="68">
        <v>47.599999999999994</v>
      </c>
    </row>
    <row r="19" spans="1:18" x14ac:dyDescent="0.45">
      <c r="A19" s="18" t="s">
        <v>124</v>
      </c>
      <c r="B19" s="11">
        <f>B25</f>
        <v>21</v>
      </c>
      <c r="C19" s="5">
        <f>IF(B$17=0,0,B19/B$17)</f>
        <v>0.46666666666666667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O19" s="74" t="s">
        <v>211</v>
      </c>
      <c r="P19" s="83">
        <f>IF(Q19=0,0,R19/Q19)</f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42</v>
      </c>
      <c r="C20" s="5">
        <f>IF(B$3=0,0,B20/B$3)</f>
        <v>0.30882352941176472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O20" s="74" t="s">
        <v>192</v>
      </c>
      <c r="P20" s="83">
        <f>IF(Q20=0,0,R20/Q20)</f>
        <v>-8.625</v>
      </c>
      <c r="Q20" s="77">
        <v>8</v>
      </c>
      <c r="R20" s="68">
        <v>-69</v>
      </c>
    </row>
    <row r="21" spans="1:18" x14ac:dyDescent="0.45">
      <c r="A21" s="19" t="s">
        <v>13</v>
      </c>
      <c r="B21" s="12">
        <v>20</v>
      </c>
      <c r="C21" s="6">
        <f>IF(B$3=0,0,B21/B$3)</f>
        <v>0.14705882352941177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21</v>
      </c>
      <c r="C22" s="6">
        <f>IF(B$20=0,0,B22/B$20)</f>
        <v>0.5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21</v>
      </c>
      <c r="C23" s="6">
        <f>IF(B$20=0,0,B23/B$20)</f>
        <v>0.5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7</v>
      </c>
    </row>
    <row r="24" spans="1:18" x14ac:dyDescent="0.45">
      <c r="A24" s="19" t="s">
        <v>183</v>
      </c>
      <c r="B24" s="12">
        <v>15</v>
      </c>
      <c r="C24" s="6">
        <f>IF(B$20=0,0,B24/B$20)</f>
        <v>0.35714285714285715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21</v>
      </c>
      <c r="C25" s="6">
        <f>IF(B$20=0,0,B25/B$20)</f>
        <v>0.5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6</v>
      </c>
      <c r="C26" s="6">
        <f>IF(B$20=0,0,B26/B$20)</f>
        <v>0.14285714285714285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7071.4285714285716</v>
      </c>
      <c r="C27" s="8">
        <v>297000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8709.5238095238092</v>
      </c>
      <c r="C28" s="96">
        <v>182900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5433.333333333333</v>
      </c>
      <c r="C29" s="96">
        <v>114100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-6900</v>
      </c>
      <c r="C30" s="96">
        <v>-138000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21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9.5238095238095233E-2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14</v>
      </c>
      <c r="C38" s="6">
        <f t="shared" si="2"/>
        <v>0.33333333333333331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0.16666666666666666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0.11904761904761904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4.7619047619047616E-2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4.7619047619047616E-2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4.7619047619047616E-2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2.3809523809523808E-2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2"/>
        <v>7.1428571428571425E-2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2"/>
        <v>4.7619047619047616E-2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CC95-4D52-4AEF-9E7B-3185C5D34435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0.63636363636363635</v>
      </c>
      <c r="I2" s="57">
        <v>7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2116.6666666666665</v>
      </c>
      <c r="Q2" s="76">
        <v>6</v>
      </c>
      <c r="R2" s="63">
        <v>12700</v>
      </c>
    </row>
    <row r="3" spans="1:18" x14ac:dyDescent="0.45">
      <c r="A3" s="19" t="s">
        <v>8</v>
      </c>
      <c r="B3" s="135">
        <v>50</v>
      </c>
      <c r="C3" s="136"/>
      <c r="E3" s="27" t="s">
        <v>159</v>
      </c>
      <c r="F3" s="24" t="s">
        <v>160</v>
      </c>
      <c r="G3" s="12">
        <v>6</v>
      </c>
      <c r="H3" s="88">
        <f>IF(B$20=0,0,G3/B$20)</f>
        <v>0.54545454545454541</v>
      </c>
      <c r="I3" s="58">
        <v>1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-700</v>
      </c>
      <c r="Q3" s="77">
        <v>6</v>
      </c>
      <c r="R3" s="64">
        <v>-4200</v>
      </c>
    </row>
    <row r="4" spans="1:18" x14ac:dyDescent="0.45">
      <c r="A4" s="19" t="s">
        <v>6</v>
      </c>
      <c r="B4" s="137">
        <v>-85.5</v>
      </c>
      <c r="C4" s="138"/>
      <c r="E4" s="27" t="s">
        <v>64</v>
      </c>
      <c r="F4" s="24" t="s">
        <v>20</v>
      </c>
      <c r="G4" s="12">
        <v>5</v>
      </c>
      <c r="H4" s="88">
        <f>IF(B$20=0,0,G4/B$20)</f>
        <v>0.45454545454545453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-1016.6666666666666</v>
      </c>
      <c r="Q4" s="77">
        <v>6</v>
      </c>
      <c r="R4" s="64">
        <v>-6100</v>
      </c>
    </row>
    <row r="5" spans="1:18" x14ac:dyDescent="0.45">
      <c r="A5" s="19" t="s">
        <v>7</v>
      </c>
      <c r="B5" s="125">
        <f>IF(B$2=0,0,B$4/B$2)</f>
        <v>-14.25</v>
      </c>
      <c r="C5" s="126"/>
      <c r="E5" s="27" t="s">
        <v>66</v>
      </c>
      <c r="F5" s="24" t="s">
        <v>22</v>
      </c>
      <c r="G5" s="12">
        <v>4</v>
      </c>
      <c r="H5" s="88">
        <f>IF(B$20=0,0,G5/B$20)</f>
        <v>0.36363636363636365</v>
      </c>
      <c r="I5" s="58">
        <v>11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-5600</v>
      </c>
      <c r="Q5" s="77">
        <v>5</v>
      </c>
      <c r="R5" s="64">
        <v>-28000</v>
      </c>
    </row>
    <row r="6" spans="1:18" x14ac:dyDescent="0.45">
      <c r="A6" s="19" t="s">
        <v>196</v>
      </c>
      <c r="B6" s="129">
        <v>1511.1565284528424</v>
      </c>
      <c r="C6" s="130"/>
      <c r="E6" s="27" t="s">
        <v>69</v>
      </c>
      <c r="F6" s="24" t="s">
        <v>24</v>
      </c>
      <c r="G6" s="12">
        <v>2</v>
      </c>
      <c r="H6" s="88">
        <f>IF(B$20=0,0,G6/B$20)</f>
        <v>0.18181818181818182</v>
      </c>
      <c r="I6" s="58">
        <v>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-4580</v>
      </c>
      <c r="Q6" s="77">
        <v>5</v>
      </c>
      <c r="R6" s="64">
        <v>-22900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89</v>
      </c>
      <c r="F7" s="24" t="s">
        <v>44</v>
      </c>
      <c r="G7" s="12">
        <v>2</v>
      </c>
      <c r="H7" s="88">
        <f>IF(B$20=0,0,G7/B$20)</f>
        <v>0.18181818181818182</v>
      </c>
      <c r="I7" s="58">
        <v>5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-3400</v>
      </c>
      <c r="Q7" s="78">
        <v>5</v>
      </c>
      <c r="R7" s="65">
        <v>-17000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67</v>
      </c>
      <c r="F8" s="24" t="s">
        <v>23</v>
      </c>
      <c r="G8" s="12">
        <v>1</v>
      </c>
      <c r="H8" s="88">
        <f>IF(B$20=0,0,G8/B$20)</f>
        <v>9.0909090909090912E-2</v>
      </c>
      <c r="I8" s="58">
        <v>10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0.66666666666666663</v>
      </c>
      <c r="E9" s="27" t="s">
        <v>68</v>
      </c>
      <c r="F9" s="24" t="s">
        <v>12</v>
      </c>
      <c r="G9" s="12">
        <v>1</v>
      </c>
      <c r="H9" s="88">
        <f>IF(B$20=0,0,G9/B$20)</f>
        <v>9.0909090909090912E-2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0.33333333333333331</v>
      </c>
      <c r="E10" s="27" t="s">
        <v>86</v>
      </c>
      <c r="F10" s="24" t="s">
        <v>41</v>
      </c>
      <c r="G10" s="12">
        <v>1</v>
      </c>
      <c r="H10" s="88">
        <f>IF(B$20=0,0,G10/B$20)</f>
        <v>9.0909090909090912E-2</v>
      </c>
      <c r="I10" s="58">
        <v>2</v>
      </c>
      <c r="O10" s="73" t="s">
        <v>151</v>
      </c>
      <c r="P10" s="82">
        <f>IF(Q10=0,0,R10/Q10)</f>
        <v>-15</v>
      </c>
      <c r="Q10" s="76">
        <v>2</v>
      </c>
      <c r="R10" s="67">
        <v>-30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65</v>
      </c>
      <c r="F11" s="24" t="s">
        <v>21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-3.6999999999999997</v>
      </c>
      <c r="C12" s="110">
        <v>-14.799999999999999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-7.55</v>
      </c>
      <c r="Q12" s="78">
        <v>2</v>
      </c>
      <c r="R12" s="69">
        <v>-15.1</v>
      </c>
    </row>
    <row r="13" spans="1:18" x14ac:dyDescent="0.45">
      <c r="A13" s="20" t="s">
        <v>186</v>
      </c>
      <c r="B13" s="109">
        <f>IF(B10=0,0,C13/B10)</f>
        <v>-35.35</v>
      </c>
      <c r="C13" s="110">
        <v>-70.7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-13.016666666666667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211</v>
      </c>
      <c r="P15" s="82">
        <f>IF(Q15=0,0,R15/Q15)</f>
        <v>-6.5999999999999988</v>
      </c>
      <c r="Q15" s="76">
        <v>3</v>
      </c>
      <c r="R15" s="67">
        <v>-19.799999999999997</v>
      </c>
    </row>
    <row r="16" spans="1:18" x14ac:dyDescent="0.45">
      <c r="A16" s="22" t="s">
        <v>121</v>
      </c>
      <c r="B16" s="15">
        <v>11</v>
      </c>
      <c r="C16" s="10">
        <f>IF(B$3=0,0,B16/B$3)</f>
        <v>0.22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189</v>
      </c>
      <c r="P16" s="83">
        <f>IF(Q16=0,0,R16/Q16)</f>
        <v>-13.200000000000003</v>
      </c>
      <c r="Q16" s="77">
        <v>2</v>
      </c>
      <c r="R16" s="68">
        <v>-26.400000000000006</v>
      </c>
    </row>
    <row r="17" spans="1:18" x14ac:dyDescent="0.45">
      <c r="A17" s="19" t="s">
        <v>118</v>
      </c>
      <c r="B17" s="12">
        <v>11</v>
      </c>
      <c r="C17" s="6">
        <f>IF(B$3=0,0,B17/B$3)</f>
        <v>0.22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-22</v>
      </c>
      <c r="Q17" s="77">
        <v>3</v>
      </c>
      <c r="R17" s="68">
        <v>-66</v>
      </c>
    </row>
    <row r="18" spans="1:18" x14ac:dyDescent="0.45">
      <c r="A18" s="18" t="s">
        <v>123</v>
      </c>
      <c r="B18" s="11">
        <f>B24</f>
        <v>5</v>
      </c>
      <c r="C18" s="5">
        <f>IF(B$16=0,0,B18/B$16)</f>
        <v>0.45454545454545453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126</v>
      </c>
      <c r="P18" s="83">
        <f>IF(Q18=0,0,R18/Q18)</f>
        <v>-36.075000000000003</v>
      </c>
      <c r="Q18" s="77">
        <v>4</v>
      </c>
      <c r="R18" s="68">
        <v>-144.30000000000001</v>
      </c>
    </row>
    <row r="19" spans="1:18" x14ac:dyDescent="0.45">
      <c r="A19" s="18" t="s">
        <v>124</v>
      </c>
      <c r="B19" s="11">
        <f>B25</f>
        <v>5</v>
      </c>
      <c r="C19" s="5">
        <f>IF(B$17=0,0,B19/B$17)</f>
        <v>0.45454545454545453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11</v>
      </c>
      <c r="C20" s="5">
        <f>IF(B$3=0,0,B20/B$3)</f>
        <v>0.22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6</v>
      </c>
    </row>
    <row r="21" spans="1:18" x14ac:dyDescent="0.45">
      <c r="A21" s="19" t="s">
        <v>13</v>
      </c>
      <c r="B21" s="12">
        <v>5</v>
      </c>
      <c r="C21" s="6">
        <f>IF(B$3=0,0,B21/B$3)</f>
        <v>0.1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1</v>
      </c>
      <c r="C22" s="6">
        <f>IF(B$20=0,0,B22/B$20)</f>
        <v>9.0909090909090912E-2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10</v>
      </c>
      <c r="C23" s="6">
        <f>IF(B$20=0,0,B23/B$20)</f>
        <v>0.90909090909090906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5</v>
      </c>
      <c r="C24" s="6">
        <f>IF(B$20=0,0,B24/B$20)</f>
        <v>0.45454545454545453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8</v>
      </c>
    </row>
    <row r="25" spans="1:18" x14ac:dyDescent="0.45">
      <c r="A25" s="19" t="s">
        <v>181</v>
      </c>
      <c r="B25" s="12">
        <v>5</v>
      </c>
      <c r="C25" s="6">
        <f>IF(B$20=0,0,B25/B$20)</f>
        <v>0.45454545454545453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9.0909090909090912E-2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5072.727272727273</v>
      </c>
      <c r="C27" s="8">
        <v>55800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4583.333333333333</v>
      </c>
      <c r="C28" s="96">
        <v>27500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5660</v>
      </c>
      <c r="C29" s="96">
        <v>28300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24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38600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0.36363636363636365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0.36363636363636365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3</v>
      </c>
      <c r="C40" s="6">
        <f t="shared" si="2"/>
        <v>0.27272727272727271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DEB62-BA23-4727-AF3B-CEC21F257F13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17</v>
      </c>
      <c r="C2" s="134"/>
      <c r="E2" s="26" t="s">
        <v>66</v>
      </c>
      <c r="F2" s="23" t="s">
        <v>22</v>
      </c>
      <c r="G2" s="11">
        <v>44</v>
      </c>
      <c r="H2" s="87">
        <f>IF(B$20=0,0,G2/B$20)</f>
        <v>0.97777777777777775</v>
      </c>
      <c r="I2" s="57">
        <v>2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270.58823529411762</v>
      </c>
      <c r="Q2" s="76">
        <v>17</v>
      </c>
      <c r="R2" s="63">
        <v>4600</v>
      </c>
    </row>
    <row r="3" spans="1:18" x14ac:dyDescent="0.45">
      <c r="A3" s="19" t="s">
        <v>8</v>
      </c>
      <c r="B3" s="135">
        <v>133</v>
      </c>
      <c r="C3" s="136"/>
      <c r="E3" s="27" t="s">
        <v>72</v>
      </c>
      <c r="F3" s="24" t="s">
        <v>27</v>
      </c>
      <c r="G3" s="12">
        <v>27</v>
      </c>
      <c r="H3" s="88">
        <f>IF(B$20=0,0,G3/B$20)</f>
        <v>0.6</v>
      </c>
      <c r="I3" s="58">
        <v>8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1505.8823529411766</v>
      </c>
      <c r="Q3" s="77">
        <v>17</v>
      </c>
      <c r="R3" s="64">
        <v>25600</v>
      </c>
    </row>
    <row r="4" spans="1:18" x14ac:dyDescent="0.45">
      <c r="A4" s="19" t="s">
        <v>6</v>
      </c>
      <c r="B4" s="137">
        <v>81.600000000000009</v>
      </c>
      <c r="C4" s="138"/>
      <c r="E4" s="27" t="s">
        <v>64</v>
      </c>
      <c r="F4" s="24" t="s">
        <v>20</v>
      </c>
      <c r="G4" s="12">
        <v>18</v>
      </c>
      <c r="H4" s="88">
        <f>IF(B$20=0,0,G4/B$20)</f>
        <v>0.4</v>
      </c>
      <c r="I4" s="58">
        <v>4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752.94117647058829</v>
      </c>
      <c r="Q4" s="77">
        <v>17</v>
      </c>
      <c r="R4" s="64">
        <v>12800</v>
      </c>
    </row>
    <row r="5" spans="1:18" x14ac:dyDescent="0.45">
      <c r="A5" s="19" t="s">
        <v>7</v>
      </c>
      <c r="B5" s="125">
        <f>IF(B$2=0,0,B$4/B$2)</f>
        <v>4.8000000000000007</v>
      </c>
      <c r="C5" s="126"/>
      <c r="E5" s="27" t="s">
        <v>67</v>
      </c>
      <c r="F5" s="24" t="s">
        <v>23</v>
      </c>
      <c r="G5" s="12">
        <v>12</v>
      </c>
      <c r="H5" s="88">
        <f>IF(B$20=0,0,G5/B$20)</f>
        <v>0.26666666666666666</v>
      </c>
      <c r="I5" s="58">
        <v>4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-1673.3333333333333</v>
      </c>
      <c r="Q5" s="77">
        <v>15</v>
      </c>
      <c r="R5" s="64">
        <v>-25100</v>
      </c>
    </row>
    <row r="6" spans="1:18" x14ac:dyDescent="0.45">
      <c r="A6" s="19" t="s">
        <v>196</v>
      </c>
      <c r="B6" s="129">
        <v>1510.8582724915987</v>
      </c>
      <c r="C6" s="130"/>
      <c r="E6" s="27" t="s">
        <v>159</v>
      </c>
      <c r="F6" s="24" t="s">
        <v>160</v>
      </c>
      <c r="G6" s="12">
        <v>10</v>
      </c>
      <c r="H6" s="88">
        <f>IF(B$20=0,0,G6/B$20)</f>
        <v>0.22222222222222221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2584.6153846153848</v>
      </c>
      <c r="Q6" s="77">
        <v>13</v>
      </c>
      <c r="R6" s="64">
        <v>33600</v>
      </c>
    </row>
    <row r="7" spans="1:18" x14ac:dyDescent="0.45">
      <c r="A7" s="19" t="s">
        <v>1</v>
      </c>
      <c r="B7" s="139">
        <f>IF(B$2=0,0,(B$8*1+B$9*2+B$10*3)/B$2)</f>
        <v>1.8823529411764706</v>
      </c>
      <c r="C7" s="140"/>
      <c r="E7" s="27" t="s">
        <v>68</v>
      </c>
      <c r="F7" s="24" t="s">
        <v>12</v>
      </c>
      <c r="G7" s="12">
        <v>8</v>
      </c>
      <c r="H7" s="88">
        <f>IF(B$20=0,0,G7/B$20)</f>
        <v>0.17777777777777778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1430.7692307692307</v>
      </c>
      <c r="Q7" s="78">
        <v>13</v>
      </c>
      <c r="R7" s="65">
        <v>18600</v>
      </c>
    </row>
    <row r="8" spans="1:18" x14ac:dyDescent="0.45">
      <c r="A8" s="19" t="s">
        <v>2</v>
      </c>
      <c r="B8" s="12">
        <v>7</v>
      </c>
      <c r="C8" s="6">
        <f t="shared" ref="C8:C15" si="1">IF(B$2=0,0,B8/B$2)</f>
        <v>0.41176470588235292</v>
      </c>
      <c r="E8" s="27" t="s">
        <v>69</v>
      </c>
      <c r="F8" s="24" t="s">
        <v>24</v>
      </c>
      <c r="G8" s="12">
        <v>6</v>
      </c>
      <c r="H8" s="88">
        <f>IF(B$20=0,0,G8/B$20)</f>
        <v>0.13333333333333333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5</v>
      </c>
      <c r="C9" s="6">
        <f t="shared" si="1"/>
        <v>0.29411764705882354</v>
      </c>
      <c r="E9" s="27" t="s">
        <v>89</v>
      </c>
      <c r="F9" s="24" t="s">
        <v>44</v>
      </c>
      <c r="G9" s="12">
        <v>6</v>
      </c>
      <c r="H9" s="88">
        <f>IF(B$20=0,0,G9/B$20)</f>
        <v>0.13333333333333333</v>
      </c>
      <c r="I9" s="58">
        <v>9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0.29411764705882354</v>
      </c>
      <c r="E10" s="27" t="s">
        <v>71</v>
      </c>
      <c r="F10" s="24" t="s">
        <v>26</v>
      </c>
      <c r="G10" s="12">
        <v>5</v>
      </c>
      <c r="H10" s="88">
        <f>IF(B$20=0,0,G10/B$20)</f>
        <v>0.1111111111111111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-7.4</v>
      </c>
      <c r="Q10" s="76">
        <v>4</v>
      </c>
      <c r="R10" s="67">
        <v>-29.6</v>
      </c>
    </row>
    <row r="11" spans="1:18" x14ac:dyDescent="0.45">
      <c r="A11" s="20" t="s">
        <v>184</v>
      </c>
      <c r="B11" s="109">
        <f>IF(B8=0,0,C11/B8)</f>
        <v>32.028571428571425</v>
      </c>
      <c r="C11" s="110">
        <v>224.2</v>
      </c>
      <c r="E11" s="27" t="s">
        <v>86</v>
      </c>
      <c r="F11" s="24" t="s">
        <v>41</v>
      </c>
      <c r="G11" s="12">
        <v>3</v>
      </c>
      <c r="H11" s="88">
        <f>IF(B$20=0,0,G11/B$20)</f>
        <v>6.6666666666666666E-2</v>
      </c>
      <c r="I11" s="58">
        <v>3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6.0833333333333348</v>
      </c>
      <c r="Q11" s="77">
        <v>6</v>
      </c>
      <c r="R11" s="68">
        <v>36.500000000000007</v>
      </c>
    </row>
    <row r="12" spans="1:18" x14ac:dyDescent="0.45">
      <c r="A12" s="20" t="s">
        <v>185</v>
      </c>
      <c r="B12" s="109">
        <f>IF(B9=0,0,C12/B9)</f>
        <v>0.17999999999999944</v>
      </c>
      <c r="C12" s="110">
        <v>0.89999999999999725</v>
      </c>
      <c r="E12" s="27" t="s">
        <v>65</v>
      </c>
      <c r="F12" s="24" t="s">
        <v>21</v>
      </c>
      <c r="G12" s="12">
        <v>2</v>
      </c>
      <c r="H12" s="88">
        <f>IF(B$20=0,0,G12/B$20)</f>
        <v>4.4444444444444446E-2</v>
      </c>
      <c r="I12" s="58">
        <v>8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10.671428571428569</v>
      </c>
      <c r="Q12" s="78">
        <v>7</v>
      </c>
      <c r="R12" s="69">
        <v>74.699999999999989</v>
      </c>
    </row>
    <row r="13" spans="1:18" x14ac:dyDescent="0.45">
      <c r="A13" s="20" t="s">
        <v>186</v>
      </c>
      <c r="B13" s="109">
        <f>IF(B10=0,0,C13/B10)</f>
        <v>-28.7</v>
      </c>
      <c r="C13" s="110">
        <v>-143.5</v>
      </c>
      <c r="E13" s="27" t="s">
        <v>70</v>
      </c>
      <c r="F13" s="24" t="s">
        <v>25</v>
      </c>
      <c r="G13" s="12">
        <v>2</v>
      </c>
      <c r="H13" s="88">
        <f>IF(B$20=0,0,G13/B$20)</f>
        <v>4.4444444444444446E-2</v>
      </c>
      <c r="I13" s="58">
        <v>8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1.1695238095238085</v>
      </c>
      <c r="C14" s="126"/>
      <c r="E14" s="27" t="s">
        <v>78</v>
      </c>
      <c r="F14" s="24" t="s">
        <v>33</v>
      </c>
      <c r="G14" s="12">
        <v>2</v>
      </c>
      <c r="H14" s="88">
        <f>IF(B$20=0,0,G14/B$20)</f>
        <v>4.4444444444444446E-2</v>
      </c>
      <c r="I14" s="58">
        <v>4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5.8823529411764705E-2</v>
      </c>
      <c r="E15" s="27" t="s">
        <v>81</v>
      </c>
      <c r="F15" s="24" t="s">
        <v>36</v>
      </c>
      <c r="G15" s="12">
        <v>2</v>
      </c>
      <c r="H15" s="88">
        <f>IF(B$20=0,0,G15/B$20)</f>
        <v>4.4444444444444446E-2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29</v>
      </c>
      <c r="C16" s="10">
        <f>IF(B$3=0,0,B16/B$3)</f>
        <v>0.21804511278195488</v>
      </c>
      <c r="E16" s="27" t="s">
        <v>83</v>
      </c>
      <c r="F16" s="24" t="s">
        <v>38</v>
      </c>
      <c r="G16" s="12">
        <v>2</v>
      </c>
      <c r="H16" s="88">
        <f>IF(B$20=0,0,G16/B$20)</f>
        <v>4.4444444444444446E-2</v>
      </c>
      <c r="I16" s="58">
        <v>6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>IF(Q16=0,0,R16/Q16)</f>
        <v>16.2</v>
      </c>
      <c r="Q16" s="77">
        <v>1</v>
      </c>
      <c r="R16" s="68">
        <v>16.2</v>
      </c>
    </row>
    <row r="17" spans="1:18" x14ac:dyDescent="0.45">
      <c r="A17" s="19" t="s">
        <v>118</v>
      </c>
      <c r="B17" s="12">
        <v>35</v>
      </c>
      <c r="C17" s="6">
        <f>IF(B$3=0,0,B17/B$3)</f>
        <v>0.26315789473684209</v>
      </c>
      <c r="E17" s="27" t="s">
        <v>91</v>
      </c>
      <c r="F17" s="24" t="s">
        <v>46</v>
      </c>
      <c r="G17" s="12">
        <v>2</v>
      </c>
      <c r="H17" s="88">
        <f>IF(B$20=0,0,G17/B$20)</f>
        <v>4.4444444444444446E-2</v>
      </c>
      <c r="I17" s="58">
        <v>2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0.62068965517241381</v>
      </c>
      <c r="E18" s="27" t="s">
        <v>73</v>
      </c>
      <c r="F18" s="24" t="s">
        <v>28</v>
      </c>
      <c r="G18" s="12">
        <v>1</v>
      </c>
      <c r="H18" s="88">
        <f>IF(B$20=0,0,G18/B$20)</f>
        <v>2.2222222222222223E-2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>IF(Q18=0,0,R18/Q18)</f>
        <v>15.922222222222224</v>
      </c>
      <c r="Q18" s="77">
        <v>9</v>
      </c>
      <c r="R18" s="68">
        <v>143.30000000000001</v>
      </c>
    </row>
    <row r="19" spans="1:18" x14ac:dyDescent="0.45">
      <c r="A19" s="18" t="s">
        <v>124</v>
      </c>
      <c r="B19" s="11">
        <f>B25</f>
        <v>20</v>
      </c>
      <c r="C19" s="5">
        <f>IF(B$17=0,0,B19/B$17)</f>
        <v>0.5714285714285714</v>
      </c>
      <c r="E19" s="27" t="s">
        <v>75</v>
      </c>
      <c r="F19" s="24" t="s">
        <v>30</v>
      </c>
      <c r="G19" s="12">
        <v>1</v>
      </c>
      <c r="H19" s="88">
        <f>IF(B$20=0,0,G19/B$20)</f>
        <v>2.2222222222222223E-2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163</v>
      </c>
      <c r="P19" s="83">
        <f>IF(Q19=0,0,R19/Q19)</f>
        <v>15.799999999999997</v>
      </c>
      <c r="Q19" s="77">
        <v>2</v>
      </c>
      <c r="R19" s="68">
        <v>31.599999999999994</v>
      </c>
    </row>
    <row r="20" spans="1:18" x14ac:dyDescent="0.45">
      <c r="A20" s="18" t="s">
        <v>10</v>
      </c>
      <c r="B20" s="11">
        <f>B23+B22</f>
        <v>45</v>
      </c>
      <c r="C20" s="5">
        <f>IF(B$3=0,0,B20/B$3)</f>
        <v>0.33834586466165412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190</v>
      </c>
      <c r="P20" s="83">
        <f>IF(Q20=0,0,R20/Q20)</f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21</v>
      </c>
      <c r="C21" s="6">
        <f>IF(B$3=0,0,B21/B$3)</f>
        <v>0.15789473684210525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O21" s="74" t="s">
        <v>126</v>
      </c>
      <c r="P21" s="83">
        <f>IF(Q21=0,0,R21/Q21)</f>
        <v>-0.54000000000000026</v>
      </c>
      <c r="Q21" s="77">
        <v>10</v>
      </c>
      <c r="R21" s="68">
        <v>-5.4000000000000021</v>
      </c>
    </row>
    <row r="22" spans="1:18" x14ac:dyDescent="0.45">
      <c r="A22" s="19" t="s">
        <v>12</v>
      </c>
      <c r="B22" s="12">
        <v>17</v>
      </c>
      <c r="C22" s="6">
        <f>IF(B$20=0,0,B22/B$20)</f>
        <v>0.37777777777777777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189</v>
      </c>
      <c r="P22" s="83">
        <f>IF(Q22=0,0,R22/Q22)</f>
        <v>-1.3800000000000014</v>
      </c>
      <c r="Q22" s="77">
        <v>5</v>
      </c>
      <c r="R22" s="68">
        <v>-6.9000000000000075</v>
      </c>
    </row>
    <row r="23" spans="1:18" x14ac:dyDescent="0.45">
      <c r="A23" s="19" t="s">
        <v>11</v>
      </c>
      <c r="B23" s="12">
        <v>28</v>
      </c>
      <c r="C23" s="6">
        <f>IF(B$20=0,0,B23/B$20)</f>
        <v>0.62222222222222223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6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18</v>
      </c>
      <c r="C24" s="6">
        <f>IF(B$20=0,0,B24/B$20)</f>
        <v>0.4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20</v>
      </c>
      <c r="C25" s="6">
        <f>IF(B$20=0,0,B25/B$20)</f>
        <v>0.44444444444444442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7</v>
      </c>
      <c r="C26" s="6">
        <f>IF(B$20=0,0,B26/B$20)</f>
        <v>0.15555555555555556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7453.333333333333</v>
      </c>
      <c r="C27" s="8">
        <v>335400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8552</v>
      </c>
      <c r="C28" s="96">
        <v>213800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6080</v>
      </c>
      <c r="C29" s="96">
        <v>121600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-7447.6190476190477</v>
      </c>
      <c r="C30" s="96">
        <v>-156400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7.5187969924812026E-3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12</v>
      </c>
      <c r="C38" s="6">
        <f t="shared" si="2"/>
        <v>0.26666666666666666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8</v>
      </c>
      <c r="C39" s="6">
        <f t="shared" si="2"/>
        <v>0.17777777777777778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2"/>
        <v>0.17777777777777778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6.6666666666666666E-2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5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2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2.2222222222222223E-2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2.2222222222222223E-2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2.2222222222222223E-2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A5C5F-528B-498A-B694-FBE66151058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35</v>
      </c>
      <c r="H2" s="87">
        <f>IF(B$20=0,0,G2/B$20)</f>
        <v>0.81395348837209303</v>
      </c>
      <c r="I2" s="57">
        <v>3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480</v>
      </c>
      <c r="Q2" s="76">
        <v>15</v>
      </c>
      <c r="R2" s="63">
        <v>7200</v>
      </c>
    </row>
    <row r="3" spans="1:18" x14ac:dyDescent="0.45">
      <c r="A3" s="19" t="s">
        <v>8</v>
      </c>
      <c r="B3" s="135">
        <v>136</v>
      </c>
      <c r="C3" s="136"/>
      <c r="E3" s="27" t="s">
        <v>72</v>
      </c>
      <c r="F3" s="24" t="s">
        <v>27</v>
      </c>
      <c r="G3" s="12">
        <v>23</v>
      </c>
      <c r="H3" s="88">
        <f>IF(B$20=0,0,G3/B$20)</f>
        <v>0.53488372093023251</v>
      </c>
      <c r="I3" s="58">
        <v>10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-878.57142857142856</v>
      </c>
      <c r="Q3" s="77">
        <v>14</v>
      </c>
      <c r="R3" s="64">
        <v>-12300</v>
      </c>
    </row>
    <row r="4" spans="1:18" x14ac:dyDescent="0.45">
      <c r="A4" s="19" t="s">
        <v>6</v>
      </c>
      <c r="B4" s="137">
        <v>22.500000000000004</v>
      </c>
      <c r="C4" s="138"/>
      <c r="E4" s="27" t="s">
        <v>159</v>
      </c>
      <c r="F4" s="24" t="s">
        <v>160</v>
      </c>
      <c r="G4" s="12">
        <v>22</v>
      </c>
      <c r="H4" s="88">
        <f>IF(B$20=0,0,G4/B$20)</f>
        <v>0.51162790697674421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1328.5714285714287</v>
      </c>
      <c r="Q4" s="77">
        <v>14</v>
      </c>
      <c r="R4" s="64">
        <v>18600</v>
      </c>
    </row>
    <row r="5" spans="1:18" x14ac:dyDescent="0.45">
      <c r="A5" s="19" t="s">
        <v>7</v>
      </c>
      <c r="B5" s="125">
        <f>IF(B$2=0,0,B$4/B$2)</f>
        <v>1.5000000000000002</v>
      </c>
      <c r="C5" s="126"/>
      <c r="E5" s="27" t="s">
        <v>64</v>
      </c>
      <c r="F5" s="24" t="s">
        <v>20</v>
      </c>
      <c r="G5" s="12">
        <v>14</v>
      </c>
      <c r="H5" s="88">
        <f>IF(B$20=0,0,G5/B$20)</f>
        <v>0.32558139534883723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1428.5714285714287</v>
      </c>
      <c r="Q5" s="77">
        <v>14</v>
      </c>
      <c r="R5" s="64">
        <v>20000</v>
      </c>
    </row>
    <row r="6" spans="1:18" x14ac:dyDescent="0.45">
      <c r="A6" s="19" t="s">
        <v>196</v>
      </c>
      <c r="B6" s="129">
        <v>1526.5944319692035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0.32558139534883723</v>
      </c>
      <c r="I6" s="58">
        <v>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592.85714285714289</v>
      </c>
      <c r="Q6" s="77">
        <v>14</v>
      </c>
      <c r="R6" s="64">
        <v>8300</v>
      </c>
    </row>
    <row r="7" spans="1:18" x14ac:dyDescent="0.45">
      <c r="A7" s="19" t="s">
        <v>1</v>
      </c>
      <c r="B7" s="139">
        <f>IF(B$2=0,0,(B$8*1+B$9*2+B$10*3)/B$2)</f>
        <v>1.8666666666666667</v>
      </c>
      <c r="C7" s="140"/>
      <c r="E7" s="27" t="s">
        <v>70</v>
      </c>
      <c r="F7" s="24" t="s">
        <v>25</v>
      </c>
      <c r="G7" s="12">
        <v>8</v>
      </c>
      <c r="H7" s="88">
        <f>IF(B$20=0,0,G7/B$20)</f>
        <v>0.18604651162790697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-1146.1538461538462</v>
      </c>
      <c r="Q7" s="78">
        <v>13</v>
      </c>
      <c r="R7" s="65">
        <v>-14900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0.33333333333333331</v>
      </c>
      <c r="E8" s="27" t="s">
        <v>67</v>
      </c>
      <c r="F8" s="24" t="s">
        <v>23</v>
      </c>
      <c r="G8" s="12">
        <v>5</v>
      </c>
      <c r="H8" s="88">
        <f>IF(B$20=0,0,G8/B$20)</f>
        <v>0.11627906976744186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0.46666666666666667</v>
      </c>
      <c r="E9" s="27" t="s">
        <v>71</v>
      </c>
      <c r="F9" s="24" t="s">
        <v>26</v>
      </c>
      <c r="G9" s="12">
        <v>5</v>
      </c>
      <c r="H9" s="88">
        <f>IF(B$20=0,0,G9/B$20)</f>
        <v>0.11627906976744186</v>
      </c>
      <c r="I9" s="58">
        <v>1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0.2</v>
      </c>
      <c r="E10" s="27" t="s">
        <v>89</v>
      </c>
      <c r="F10" s="24" t="s">
        <v>44</v>
      </c>
      <c r="G10" s="12">
        <v>5</v>
      </c>
      <c r="H10" s="88">
        <f>IF(B$20=0,0,G10/B$20)</f>
        <v>0.11627906976744186</v>
      </c>
      <c r="I10" s="58">
        <v>10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-2.2875000000000001</v>
      </c>
      <c r="Q10" s="76">
        <v>8</v>
      </c>
      <c r="R10" s="67">
        <v>-18.3</v>
      </c>
    </row>
    <row r="11" spans="1:18" x14ac:dyDescent="0.45">
      <c r="A11" s="20" t="s">
        <v>184</v>
      </c>
      <c r="B11" s="109">
        <f>IF(B8=0,0,C11/B8)</f>
        <v>28.1</v>
      </c>
      <c r="C11" s="110">
        <v>140.5</v>
      </c>
      <c r="E11" s="27" t="s">
        <v>69</v>
      </c>
      <c r="F11" s="24" t="s">
        <v>24</v>
      </c>
      <c r="G11" s="12">
        <v>4</v>
      </c>
      <c r="H11" s="88">
        <f>IF(B$20=0,0,G11/B$20)</f>
        <v>9.3023255813953487E-2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2</v>
      </c>
      <c r="Q11" s="77">
        <v>5</v>
      </c>
      <c r="R11" s="68">
        <v>10</v>
      </c>
    </row>
    <row r="12" spans="1:18" x14ac:dyDescent="0.45">
      <c r="A12" s="20" t="s">
        <v>185</v>
      </c>
      <c r="B12" s="109">
        <f>IF(B9=0,0,C12/B9)</f>
        <v>-3.157142857142857</v>
      </c>
      <c r="C12" s="110">
        <v>-22.099999999999998</v>
      </c>
      <c r="E12" s="27" t="s">
        <v>78</v>
      </c>
      <c r="F12" s="24" t="s">
        <v>33</v>
      </c>
      <c r="G12" s="12">
        <v>2</v>
      </c>
      <c r="H12" s="88">
        <f>IF(B$20=0,0,G12/B$20)</f>
        <v>4.6511627906976744E-2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15.4</v>
      </c>
      <c r="Q12" s="78">
        <v>2</v>
      </c>
      <c r="R12" s="69">
        <v>30.8</v>
      </c>
    </row>
    <row r="13" spans="1:18" x14ac:dyDescent="0.45">
      <c r="A13" s="20" t="s">
        <v>186</v>
      </c>
      <c r="B13" s="109">
        <f>IF(B10=0,0,C13/B10)</f>
        <v>-31.966666666666669</v>
      </c>
      <c r="C13" s="110">
        <v>-95.9</v>
      </c>
      <c r="E13" s="27" t="s">
        <v>86</v>
      </c>
      <c r="F13" s="24" t="s">
        <v>41</v>
      </c>
      <c r="G13" s="12">
        <v>2</v>
      </c>
      <c r="H13" s="88">
        <f>IF(B$20=0,0,G13/B$20)</f>
        <v>4.6511627906976744E-2</v>
      </c>
      <c r="I13" s="58">
        <v>5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-2.3412698412698418</v>
      </c>
      <c r="C14" s="126"/>
      <c r="E14" s="27" t="s">
        <v>73</v>
      </c>
      <c r="F14" s="24" t="s">
        <v>28</v>
      </c>
      <c r="G14" s="12">
        <v>1</v>
      </c>
      <c r="H14" s="88">
        <f>IF(B$20=0,0,G14/B$20)</f>
        <v>2.3255813953488372E-2</v>
      </c>
      <c r="I14" s="58">
        <v>1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6.6666666666666666E-2</v>
      </c>
      <c r="E15" s="27" t="s">
        <v>79</v>
      </c>
      <c r="F15" s="24" t="s">
        <v>34</v>
      </c>
      <c r="G15" s="12">
        <v>1</v>
      </c>
      <c r="H15" s="88">
        <f>IF(B$20=0,0,G15/B$20)</f>
        <v>2.3255813953488372E-2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163</v>
      </c>
      <c r="P15" s="82">
        <f t="shared" ref="P15:P22" si="2">IF(Q15=0,0,R15/Q15)</f>
        <v>40.900000000000006</v>
      </c>
      <c r="Q15" s="76">
        <v>2</v>
      </c>
      <c r="R15" s="67">
        <v>81.800000000000011</v>
      </c>
    </row>
    <row r="16" spans="1:18" x14ac:dyDescent="0.45">
      <c r="A16" s="22" t="s">
        <v>121</v>
      </c>
      <c r="B16" s="15">
        <v>30</v>
      </c>
      <c r="C16" s="10">
        <f>IF(B$3=0,0,B16/B$3)</f>
        <v>0.22058823529411764</v>
      </c>
      <c r="E16" s="27" t="s">
        <v>81</v>
      </c>
      <c r="F16" s="24" t="s">
        <v>36</v>
      </c>
      <c r="G16" s="12">
        <v>1</v>
      </c>
      <c r="H16" s="88">
        <f>IF(B$20=0,0,G16/B$20)</f>
        <v>2.3255813953488372E-2</v>
      </c>
      <c r="I16" s="58">
        <v>7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36</v>
      </c>
      <c r="C17" s="6">
        <f>IF(B$3=0,0,B17/B$3)</f>
        <v>0.26470588235294118</v>
      </c>
      <c r="E17" s="27" t="s">
        <v>83</v>
      </c>
      <c r="F17" s="24" t="s">
        <v>38</v>
      </c>
      <c r="G17" s="12">
        <v>1</v>
      </c>
      <c r="H17" s="88">
        <f>IF(B$20=0,0,G17/B$20)</f>
        <v>2.3255813953488372E-2</v>
      </c>
      <c r="I17" s="58">
        <v>7</v>
      </c>
      <c r="K17" s="74">
        <v>15</v>
      </c>
      <c r="L17" s="119">
        <v>22.500000000000004</v>
      </c>
      <c r="M17" s="117">
        <v>1526.5944319692035</v>
      </c>
      <c r="O17" s="74" t="s">
        <v>190</v>
      </c>
      <c r="P17" s="83">
        <f t="shared" si="2"/>
        <v>22</v>
      </c>
      <c r="Q17" s="77">
        <v>3</v>
      </c>
      <c r="R17" s="68">
        <v>66</v>
      </c>
    </row>
    <row r="18" spans="1:18" x14ac:dyDescent="0.45">
      <c r="A18" s="18" t="s">
        <v>123</v>
      </c>
      <c r="B18" s="11">
        <f>B24</f>
        <v>15</v>
      </c>
      <c r="C18" s="5">
        <f>IF(B$16=0,0,B18/B$16)</f>
        <v>0.5</v>
      </c>
      <c r="E18" s="27" t="s">
        <v>155</v>
      </c>
      <c r="F18" s="24" t="s">
        <v>156</v>
      </c>
      <c r="G18" s="12">
        <v>1</v>
      </c>
      <c r="H18" s="88">
        <f>IF(B$20=0,0,G18/B$20)</f>
        <v>2.3255813953488372E-2</v>
      </c>
      <c r="I18" s="58">
        <v>2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15</v>
      </c>
      <c r="C19" s="5">
        <f>IF(B$17=0,0,B19/B$17)</f>
        <v>0.41666666666666669</v>
      </c>
      <c r="E19" s="27" t="s">
        <v>65</v>
      </c>
      <c r="F19" s="24" t="s">
        <v>21</v>
      </c>
      <c r="G19" s="12">
        <v>0</v>
      </c>
      <c r="H19" s="88">
        <f>IF(B$20=0,0,G19/B$20)</f>
        <v>0</v>
      </c>
      <c r="I19" s="58">
        <v>9</v>
      </c>
      <c r="O19" s="74" t="s">
        <v>189</v>
      </c>
      <c r="P19" s="83">
        <f t="shared" si="2"/>
        <v>8.625</v>
      </c>
      <c r="Q19" s="77">
        <v>8</v>
      </c>
      <c r="R19" s="68">
        <v>69</v>
      </c>
    </row>
    <row r="20" spans="1:18" x14ac:dyDescent="0.45">
      <c r="A20" s="18" t="s">
        <v>10</v>
      </c>
      <c r="B20" s="11">
        <f>B23+B22</f>
        <v>43</v>
      </c>
      <c r="C20" s="5">
        <f>IF(B$3=0,0,B20/B$3)</f>
        <v>0.31617647058823528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195</v>
      </c>
      <c r="P20" s="83">
        <f t="shared" si="2"/>
        <v>-8.7333333333333343</v>
      </c>
      <c r="Q20" s="77">
        <v>3</v>
      </c>
      <c r="R20" s="68">
        <v>-26.200000000000003</v>
      </c>
    </row>
    <row r="21" spans="1:18" x14ac:dyDescent="0.45">
      <c r="A21" s="19" t="s">
        <v>13</v>
      </c>
      <c r="B21" s="12">
        <v>21</v>
      </c>
      <c r="C21" s="6">
        <f>IF(B$3=0,0,B21/B$3)</f>
        <v>0.15441176470588236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  <c r="O21" s="74" t="s">
        <v>126</v>
      </c>
      <c r="P21" s="83">
        <f t="shared" si="2"/>
        <v>-14.454545454545455</v>
      </c>
      <c r="Q21" s="77">
        <v>11</v>
      </c>
      <c r="R21" s="68">
        <v>-159</v>
      </c>
    </row>
    <row r="22" spans="1:18" x14ac:dyDescent="0.45">
      <c r="A22" s="19" t="s">
        <v>12</v>
      </c>
      <c r="B22" s="12">
        <v>17</v>
      </c>
      <c r="C22" s="6">
        <f>IF(B$20=0,0,B22/B$20)</f>
        <v>0.39534883720930231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O22" s="74" t="s">
        <v>211</v>
      </c>
      <c r="P22" s="83">
        <f t="shared" si="2"/>
        <v>-16.2</v>
      </c>
      <c r="Q22" s="77">
        <v>1</v>
      </c>
      <c r="R22" s="68">
        <v>-16.2</v>
      </c>
    </row>
    <row r="23" spans="1:18" x14ac:dyDescent="0.45">
      <c r="A23" s="19" t="s">
        <v>11</v>
      </c>
      <c r="B23" s="12">
        <v>26</v>
      </c>
      <c r="C23" s="6">
        <f>IF(B$20=0,0,B23/B$20)</f>
        <v>0.60465116279069764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15</v>
      </c>
      <c r="C24" s="6">
        <f>IF(B$20=0,0,B24/B$20)</f>
        <v>0.34883720930232559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15</v>
      </c>
      <c r="C25" s="6">
        <f>IF(B$20=0,0,B25/B$20)</f>
        <v>0.34883720930232559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13</v>
      </c>
      <c r="C26" s="6">
        <f>IF(B$20=0,0,B26/B$20)</f>
        <v>0.30232558139534882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6951.1627906976746</v>
      </c>
      <c r="C27" s="8">
        <v>298900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8578.5714285714294</v>
      </c>
      <c r="C28" s="96">
        <v>240200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3913.3333333333335</v>
      </c>
      <c r="C29" s="96">
        <v>58700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-6771.4285714285716</v>
      </c>
      <c r="C30" s="96">
        <v>-142200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14</v>
      </c>
      <c r="C32" s="90">
        <v>8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67700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3">IF(B$20=0,0,B37/B$20)</f>
        <v>9.3023255813953487E-2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11</v>
      </c>
      <c r="C38" s="6">
        <f t="shared" si="3"/>
        <v>0.2558139534883721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8</v>
      </c>
      <c r="C39" s="6">
        <f t="shared" si="3"/>
        <v>0.18604651162790697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0.13953488372093023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8</v>
      </c>
      <c r="C41" s="6">
        <f t="shared" si="3"/>
        <v>0.18604651162790697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3"/>
        <v>2.3255813953488372E-2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3"/>
        <v>6.9767441860465115E-2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3"/>
        <v>4.6511627906976744E-2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8B2C8-B8ED-448B-A97A-E4638E0CA249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0.6</v>
      </c>
      <c r="I2" s="57">
        <v>9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-1221.4285714285713</v>
      </c>
      <c r="Q2" s="76">
        <v>14</v>
      </c>
      <c r="R2" s="63">
        <v>-17100</v>
      </c>
    </row>
    <row r="3" spans="1:18" x14ac:dyDescent="0.45">
      <c r="A3" s="19" t="s">
        <v>8</v>
      </c>
      <c r="B3" s="135">
        <v>111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0.56000000000000005</v>
      </c>
      <c r="I3" s="58">
        <v>9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-907.14285714285711</v>
      </c>
      <c r="Q3" s="77">
        <v>14</v>
      </c>
      <c r="R3" s="64">
        <v>-12700</v>
      </c>
    </row>
    <row r="4" spans="1:18" x14ac:dyDescent="0.45">
      <c r="A4" s="19" t="s">
        <v>6</v>
      </c>
      <c r="B4" s="137">
        <v>-95.6</v>
      </c>
      <c r="C4" s="138"/>
      <c r="E4" s="27" t="s">
        <v>64</v>
      </c>
      <c r="F4" s="24" t="s">
        <v>20</v>
      </c>
      <c r="G4" s="12">
        <v>11</v>
      </c>
      <c r="H4" s="88">
        <f>IF(B$20=0,0,G4/B$20)</f>
        <v>0.44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-4335.7142857142853</v>
      </c>
      <c r="Q4" s="77">
        <v>14</v>
      </c>
      <c r="R4" s="64">
        <v>-60700</v>
      </c>
    </row>
    <row r="5" spans="1:18" x14ac:dyDescent="0.45">
      <c r="A5" s="19" t="s">
        <v>7</v>
      </c>
      <c r="B5" s="125">
        <f>IF(B$2=0,0,B$4/B$2)</f>
        <v>-6.8285714285714283</v>
      </c>
      <c r="C5" s="126"/>
      <c r="E5" s="27" t="s">
        <v>159</v>
      </c>
      <c r="F5" s="24" t="s">
        <v>160</v>
      </c>
      <c r="G5" s="12">
        <v>9</v>
      </c>
      <c r="H5" s="88">
        <f>IF(B$20=0,0,G5/B$20)</f>
        <v>0.36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-161.53846153846155</v>
      </c>
      <c r="Q5" s="77">
        <v>13</v>
      </c>
      <c r="R5" s="64">
        <v>-2100</v>
      </c>
    </row>
    <row r="6" spans="1:18" x14ac:dyDescent="0.45">
      <c r="A6" s="19" t="s">
        <v>196</v>
      </c>
      <c r="B6" s="129">
        <v>1488.317150804671</v>
      </c>
      <c r="C6" s="130"/>
      <c r="E6" s="27" t="s">
        <v>68</v>
      </c>
      <c r="F6" s="24" t="s">
        <v>12</v>
      </c>
      <c r="G6" s="12">
        <v>6</v>
      </c>
      <c r="H6" s="88">
        <f>IF(B$20=0,0,G6/B$20)</f>
        <v>0.24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-581.81818181818187</v>
      </c>
      <c r="Q6" s="77">
        <v>11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0.24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4</v>
      </c>
      <c r="H8" s="88">
        <f>IF(B$20=0,0,G8/B$20)</f>
        <v>0.16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0.2857142857142857</v>
      </c>
      <c r="E9" s="27" t="s">
        <v>67</v>
      </c>
      <c r="F9" s="24" t="s">
        <v>23</v>
      </c>
      <c r="G9" s="12">
        <v>3</v>
      </c>
      <c r="H9" s="88">
        <f>IF(B$20=0,0,G9/B$20)</f>
        <v>0.12</v>
      </c>
      <c r="I9" s="58">
        <v>8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0.12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-15.66</v>
      </c>
      <c r="Q10" s="76">
        <v>5</v>
      </c>
      <c r="R10" s="67">
        <v>-78.3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0.12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-3.6750000000000003</v>
      </c>
      <c r="C12" s="110">
        <v>-14.700000000000001</v>
      </c>
      <c r="E12" s="27" t="s">
        <v>69</v>
      </c>
      <c r="F12" s="24" t="s">
        <v>24</v>
      </c>
      <c r="G12" s="12">
        <v>2</v>
      </c>
      <c r="H12" s="88">
        <f>IF(B$20=0,0,G12/B$20)</f>
        <v>0.08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</v>
      </c>
      <c r="C13" s="110">
        <v>-236.4</v>
      </c>
      <c r="E13" s="27" t="s">
        <v>71</v>
      </c>
      <c r="F13" s="24" t="s">
        <v>26</v>
      </c>
      <c r="G13" s="12">
        <v>2</v>
      </c>
      <c r="H13" s="88">
        <f>IF(B$20=0,0,G13/B$20)</f>
        <v>0.08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-1.3999999999999986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0.04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81</v>
      </c>
      <c r="F15" s="24" t="s">
        <v>36</v>
      </c>
      <c r="G15" s="12">
        <v>1</v>
      </c>
      <c r="H15" s="88">
        <f>IF(B$20=0,0,G15/B$20)</f>
        <v>0.04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26</v>
      </c>
      <c r="C16" s="10">
        <f>IF(B$3=0,0,B16/B$3)</f>
        <v>0.23423423423423423</v>
      </c>
      <c r="E16" s="27" t="s">
        <v>85</v>
      </c>
      <c r="F16" s="24" t="s">
        <v>40</v>
      </c>
      <c r="G16" s="12">
        <v>1</v>
      </c>
      <c r="H16" s="88">
        <f>IF(B$20=0,0,G16/B$20)</f>
        <v>0.04</v>
      </c>
      <c r="I16" s="58">
        <v>2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1.85</v>
      </c>
      <c r="Q16" s="77">
        <v>8</v>
      </c>
      <c r="R16" s="68">
        <v>14.8</v>
      </c>
    </row>
    <row r="17" spans="1:18" x14ac:dyDescent="0.45">
      <c r="A17" s="19" t="s">
        <v>118</v>
      </c>
      <c r="B17" s="12">
        <v>23</v>
      </c>
      <c r="C17" s="6">
        <f>IF(B$3=0,0,B17/B$3)</f>
        <v>0.2072072072072072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211</v>
      </c>
      <c r="P17" s="83">
        <f t="shared" si="2"/>
        <v>-15.922222222222224</v>
      </c>
      <c r="Q17" s="77">
        <v>9</v>
      </c>
      <c r="R17" s="68">
        <v>-143.30000000000001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0.22522522522522523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 t="shared" si="2"/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24</v>
      </c>
      <c r="C21" s="6">
        <f>IF(B$3=0,0,B21/B$3)</f>
        <v>0.21621621621621623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11</v>
      </c>
      <c r="C22" s="6">
        <f>IF(B$20=0,0,B22/B$20)</f>
        <v>0.44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6</v>
      </c>
    </row>
    <row r="23" spans="1:18" x14ac:dyDescent="0.45">
      <c r="A23" s="19" t="s">
        <v>11</v>
      </c>
      <c r="B23" s="12">
        <v>14</v>
      </c>
      <c r="C23" s="6">
        <f>IF(B$20=0,0,B23/B$20)</f>
        <v>0.56000000000000005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12</v>
      </c>
      <c r="C24" s="6">
        <f>IF(B$20=0,0,B24/B$20)</f>
        <v>0.48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0.28000000000000003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6</v>
      </c>
      <c r="C26" s="6">
        <f>IF(B$20=0,0,B26/B$20)</f>
        <v>0.24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7796</v>
      </c>
      <c r="C27" s="8">
        <v>194900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8922.2222222222226</v>
      </c>
      <c r="C28" s="96">
        <v>160600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-7654.166666666667</v>
      </c>
      <c r="C30" s="96">
        <v>-183700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3">IF(B$20=0,0,B37/B$20)</f>
        <v>0.16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0.04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3"/>
        <v>0.12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3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0.04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B61D9-3439-42F7-91A2-6E25C3835587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6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5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7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4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6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4A26-426D-4216-82B4-C267F28C6D77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10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5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>IF(B$20=0,0,G6/B$20)</f>
        <v>0.44444444444444442</v>
      </c>
      <c r="I6" s="58">
        <v>3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1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11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4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4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6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59569-1FF0-4221-BCBC-FF9DE6179B1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9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6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8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D893-85A5-4E79-8C0D-E438BFF40416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E6231-AFCF-496D-A138-03259FE430D2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B5241-0AE0-4F8B-AD1A-14474E831BB3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7B82-20EF-4607-9546-4A12D54AF81B}">
  <sheetPr codeName="Sheet2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378A-77DB-48D2-B8CB-A4061D2DEB8F}">
  <sheetPr codeName="Sheet18"/>
  <dimension ref="A1:Q1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8069C-F4C9-4877-A722-4C95A7C9E60A}">
  <sheetPr codeName="Sheet16"/>
  <dimension ref="A1:Q2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9FDD1-D8B0-4C5F-8B1D-5F407C71F727}">
  <sheetPr codeName="Sheet14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A5D3-966C-463C-8A7F-A9BF84390DAF}">
  <sheetPr codeName="Sheet12"/>
  <dimension ref="A1:Q1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EAA8E-F84F-4A13-86BE-796EE19ED4E8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1C845-9539-429C-BCF2-6B5EBBC9A0DE}">
  <sheetPr codeName="Sheet8"/>
  <dimension ref="A1:Q3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4F4F-897E-4558-B78E-4B96C8235B8F}">
  <sheetPr codeName="Sheet6"/>
  <dimension ref="A1:Q4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2020-10-17T06:38:37Z</dcterms:modified>
</cp:coreProperties>
</file>