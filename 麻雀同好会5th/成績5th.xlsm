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2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3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4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178E196A-D36A-4FCC-B1B8-90F7E757A716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302" r:id="rId6"/>
    <sheet name="だいち" sheetId="6304" r:id="rId7"/>
    <sheet name="れんたろう" sheetId="6306" r:id="rId8"/>
    <sheet name="たかの" sheetId="6308" r:id="rId9"/>
    <sheet name="まっつん" sheetId="6310" r:id="rId10"/>
    <sheet name="いちかわ" sheetId="6312" r:id="rId11"/>
    <sheet name="いちかわ2" sheetId="6313" state="hidden" r:id="rId12"/>
    <sheet name="まっつん2" sheetId="6311" state="hidden" r:id="rId13"/>
    <sheet name="たかの2" sheetId="6309" state="hidden" r:id="rId14"/>
    <sheet name="れんたろう2" sheetId="6307" state="hidden" r:id="rId15"/>
    <sheet name="だいち2" sheetId="6305" state="hidden" r:id="rId16"/>
    <sheet name="全体2" sheetId="6303" state="hidden" r:id="rId17"/>
    <sheet name="通算スコア" sheetId="3331" state="hidden" r:id="rId18"/>
    <sheet name="平均スコア" sheetId="3493" state="hidden" r:id="rId19"/>
    <sheet name="平均順位" sheetId="3183" state="hidden" r:id="rId20"/>
    <sheet name="トップ率" sheetId="3185" state="hidden" r:id="rId21"/>
    <sheet name="ラス率" sheetId="4886" state="hidden" r:id="rId22"/>
    <sheet name="アガリ率" sheetId="3189" state="hidden" r:id="rId23"/>
    <sheet name="放銃率" sheetId="3190" state="hidden" r:id="rId24"/>
    <sheet name="平均アガリ点" sheetId="3520" state="hidden" r:id="rId25"/>
    <sheet name="平均放銃点" sheetId="3521" state="hidden" r:id="rId26"/>
    <sheet name="ふっとび率" sheetId="3522" state="hidden" r:id="rId27"/>
    <sheet name="リーチ率" sheetId="3524" state="hidden" r:id="rId28"/>
    <sheet name="副露率" sheetId="3525" state="hidden" r:id="rId29"/>
    <sheet name="リーチ成功率" sheetId="4841" state="hidden" r:id="rId30"/>
    <sheet name="副露成功率" sheetId="3527" state="hidden" r:id="rId31"/>
    <sheet name="ツモ率" sheetId="3528" state="hidden" r:id="rId32"/>
  </sheets>
  <definedNames>
    <definedName name="アガリ数" localSheetId="3">Template1!$B$19</definedName>
    <definedName name="アガリ数" localSheetId="10">いちかわ!$B$19</definedName>
    <definedName name="アガリ数" localSheetId="6">だいち!$B$19</definedName>
    <definedName name="アガリ数" localSheetId="8">たかの!$B$19</definedName>
    <definedName name="アガリ数" localSheetId="9">まっつん!$B$19</definedName>
    <definedName name="アガリ数" localSheetId="7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0">いちかわ!$C$19</definedName>
    <definedName name="アガリ率" localSheetId="6">だいち!$C$19</definedName>
    <definedName name="アガリ率" localSheetId="8">たかの!$C$19</definedName>
    <definedName name="アガリ率" localSheetId="9">まっつん!$C$19</definedName>
    <definedName name="アガリ率" localSheetId="7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0">いちかわ!$B$25</definedName>
    <definedName name="ダマアガリ数" localSheetId="6">だいち!$B$25</definedName>
    <definedName name="ダマアガリ数" localSheetId="8">たかの!$B$25</definedName>
    <definedName name="ダマアガリ数" localSheetId="9">まっつん!$B$25</definedName>
    <definedName name="ダマアガリ数" localSheetId="7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0">いちかわ!$C$25</definedName>
    <definedName name="ダマアガリ率" localSheetId="6">だいち!$C$25</definedName>
    <definedName name="ダマアガリ率" localSheetId="8">たかの!$C$25</definedName>
    <definedName name="ダマアガリ率" localSheetId="9">まっつん!$C$25</definedName>
    <definedName name="ダマアガリ率" localSheetId="7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0">いちかわ!$B$34</definedName>
    <definedName name="チョンボ数" localSheetId="6">だいち!$B$34</definedName>
    <definedName name="チョンボ数" localSheetId="8">たかの!$B$34</definedName>
    <definedName name="チョンボ数" localSheetId="9">まっつん!$B$34</definedName>
    <definedName name="チョンボ数" localSheetId="7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0">いちかわ!$C$34</definedName>
    <definedName name="チョンボ率" localSheetId="6">だいち!$C$34</definedName>
    <definedName name="チョンボ率" localSheetId="8">たかの!$C$34</definedName>
    <definedName name="チョンボ率" localSheetId="9">まっつん!$C$34</definedName>
    <definedName name="チョンボ率" localSheetId="7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0">いちかわ!$B$21</definedName>
    <definedName name="ツモ数" localSheetId="6">だいち!$B$21</definedName>
    <definedName name="ツモ数" localSheetId="8">たかの!$B$21</definedName>
    <definedName name="ツモ数" localSheetId="9">まっつん!$B$21</definedName>
    <definedName name="ツモ数" localSheetId="7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0">いちかわ!$C$21</definedName>
    <definedName name="ツモ率" localSheetId="6">だいち!$C$21</definedName>
    <definedName name="ツモ率" localSheetId="8">たかの!$C$21</definedName>
    <definedName name="ツモ率" localSheetId="9">まっつん!$C$21</definedName>
    <definedName name="ツモ率" localSheetId="7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0">いちかわ!$B$7</definedName>
    <definedName name="トップ数" localSheetId="6">だいち!$B$7</definedName>
    <definedName name="トップ数" localSheetId="8">たかの!$B$7</definedName>
    <definedName name="トップ数" localSheetId="9">まっつん!$B$7</definedName>
    <definedName name="トップ数" localSheetId="7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0">いちかわ!$C$7</definedName>
    <definedName name="トップ率" localSheetId="6">だいち!$C$7</definedName>
    <definedName name="トップ率" localSheetId="8">たかの!$C$7</definedName>
    <definedName name="トップ率" localSheetId="9">まっつん!$C$7</definedName>
    <definedName name="トップ率" localSheetId="7">れんたろう!$C$7</definedName>
    <definedName name="トップ率" localSheetId="5">全体!$C$7</definedName>
    <definedName name="トップ率">#REF!</definedName>
    <definedName name="バランス" localSheetId="10">いちかわ!$B$13</definedName>
    <definedName name="バランス" localSheetId="6">だいち!$B$13</definedName>
    <definedName name="バランス" localSheetId="8">たかの!$B$13</definedName>
    <definedName name="バランス" localSheetId="9">まっつん!$B$13</definedName>
    <definedName name="バランス" localSheetId="7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0">いちかわ!$B$14</definedName>
    <definedName name="ふっとび数" localSheetId="6">だいち!$B$14</definedName>
    <definedName name="ふっとび数" localSheetId="8">たかの!$B$14</definedName>
    <definedName name="ふっとび数" localSheetId="9">まっつん!$B$14</definedName>
    <definedName name="ふっとび数" localSheetId="7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0">いちかわ!$C$14</definedName>
    <definedName name="ふっとび率" localSheetId="6">だいち!$C$14</definedName>
    <definedName name="ふっとび率" localSheetId="8">たかの!$C$14</definedName>
    <definedName name="ふっとび率" localSheetId="9">まっつん!$C$14</definedName>
    <definedName name="ふっとび率" localSheetId="7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0">いちかわ!$B$9</definedName>
    <definedName name="ラス数" localSheetId="6">だいち!$B$9</definedName>
    <definedName name="ラス数" localSheetId="8">たかの!$B$9</definedName>
    <definedName name="ラス数" localSheetId="9">まっつん!$B$9</definedName>
    <definedName name="ラス数" localSheetId="7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0">いちかわ!$C$9</definedName>
    <definedName name="ラス率" localSheetId="6">だいち!$C$9</definedName>
    <definedName name="ラス率" localSheetId="8">たかの!$C$9</definedName>
    <definedName name="ラス率" localSheetId="9">まっつん!$C$9</definedName>
    <definedName name="ラス率" localSheetId="7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0">いちかわ!$B$23</definedName>
    <definedName name="リーチアガリ数" localSheetId="6">だいち!$B$23</definedName>
    <definedName name="リーチアガリ数" localSheetId="8">たかの!$B$23</definedName>
    <definedName name="リーチアガリ数" localSheetId="9">まっつん!$B$23</definedName>
    <definedName name="リーチアガリ数" localSheetId="7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0">いちかわ!$C$23</definedName>
    <definedName name="リーチアガリ率" localSheetId="6">だいち!$C$23</definedName>
    <definedName name="リーチアガリ率" localSheetId="8">たかの!$C$23</definedName>
    <definedName name="リーチアガリ率" localSheetId="9">まっつん!$C$23</definedName>
    <definedName name="リーチアガリ率" localSheetId="7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0">いちかわ!$B$15</definedName>
    <definedName name="リーチ数" localSheetId="6">だいち!$B$15</definedName>
    <definedName name="リーチ数" localSheetId="8">たかの!$B$15</definedName>
    <definedName name="リーチ数" localSheetId="9">まっつん!$B$15</definedName>
    <definedName name="リーチ数" localSheetId="7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0">いちかわ!$B$17</definedName>
    <definedName name="リーチ成功数" localSheetId="6">だいち!$B$17</definedName>
    <definedName name="リーチ成功数" localSheetId="8">たかの!$B$17</definedName>
    <definedName name="リーチ成功数" localSheetId="9">まっつん!$B$17</definedName>
    <definedName name="リーチ成功数" localSheetId="7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0">いちかわ!$C$17</definedName>
    <definedName name="リーチ成功率" localSheetId="6">だいち!$C$17</definedName>
    <definedName name="リーチ成功率" localSheetId="8">たかの!$C$17</definedName>
    <definedName name="リーチ成功率" localSheetId="9">まっつん!$C$17</definedName>
    <definedName name="リーチ成功率" localSheetId="7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0">いちかわ!$C$15</definedName>
    <definedName name="リーチ率" localSheetId="6">だいち!$C$15</definedName>
    <definedName name="リーチ率" localSheetId="8">たかの!$C$15</definedName>
    <definedName name="リーチ率" localSheetId="9">まっつん!$C$15</definedName>
    <definedName name="リーチ率" localSheetId="7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0">いちかわ!$B$22</definedName>
    <definedName name="ロン数" localSheetId="6">だいち!$B$22</definedName>
    <definedName name="ロン数" localSheetId="8">たかの!$B$22</definedName>
    <definedName name="ロン数" localSheetId="9">まっつん!$B$22</definedName>
    <definedName name="ロン数" localSheetId="7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0">いちかわ!$C$22</definedName>
    <definedName name="ロン率" localSheetId="6">だいち!$C$22</definedName>
    <definedName name="ロン率" localSheetId="8">たかの!$C$22</definedName>
    <definedName name="ロン率" localSheetId="9">まっつん!$C$22</definedName>
    <definedName name="ロン率" localSheetId="7">れんたろう!$C$22</definedName>
    <definedName name="ロン率" localSheetId="5">全体!$C$22</definedName>
    <definedName name="ロン率">#REF!</definedName>
    <definedName name="一位スコア" localSheetId="10">いちかわ!$B$10</definedName>
    <definedName name="一位スコア" localSheetId="6">だいち!$B$10</definedName>
    <definedName name="一位スコア" localSheetId="8">たかの!$B$10</definedName>
    <definedName name="一位スコア" localSheetId="9">まっつん!$B$10</definedName>
    <definedName name="一位スコア" localSheetId="7">れんたろう!$B$10</definedName>
    <definedName name="一位スコア" localSheetId="5">全体!$B$10</definedName>
    <definedName name="一位スコア">Template1!$B$10</definedName>
    <definedName name="一位通算スコア" localSheetId="10">いちかわ!$C$10</definedName>
    <definedName name="一位通算スコア" localSheetId="6">だいち!$C$10</definedName>
    <definedName name="一位通算スコア" localSheetId="8">たかの!$C$10</definedName>
    <definedName name="一位通算スコア" localSheetId="9">まっつん!$C$10</definedName>
    <definedName name="一位通算スコア" localSheetId="7">れんたろう!$C$10</definedName>
    <definedName name="一位通算スコア" localSheetId="5">全体!$C$10</definedName>
    <definedName name="一位通算スコア">Template1!$C$10</definedName>
    <definedName name="一翻数" localSheetId="10">いちかわ!$B$36</definedName>
    <definedName name="一翻数" localSheetId="6">だいち!$B$36</definedName>
    <definedName name="一翻数" localSheetId="8">たかの!$B$36</definedName>
    <definedName name="一翻数" localSheetId="9">まっつん!$B$36</definedName>
    <definedName name="一翻数" localSheetId="7">れんたろう!$B$36</definedName>
    <definedName name="一翻数" localSheetId="5">全体!$B$36</definedName>
    <definedName name="一翻数">Template1!$B$36</definedName>
    <definedName name="一翻率" localSheetId="10">いちかわ!$C$36</definedName>
    <definedName name="一翻率" localSheetId="6">だいち!$C$36</definedName>
    <definedName name="一翻率" localSheetId="8">たかの!$C$36</definedName>
    <definedName name="一翻率" localSheetId="9">まっつん!$C$36</definedName>
    <definedName name="一翻率" localSheetId="7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0">いちかわ!$C$30</definedName>
    <definedName name="現行連続アガリ" localSheetId="6">だいち!$C$30</definedName>
    <definedName name="現行連続アガリ" localSheetId="8">たかの!$C$30</definedName>
    <definedName name="現行連続アガリ" localSheetId="9">まっつん!$C$30</definedName>
    <definedName name="現行連続アガリ" localSheetId="7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0">いちかわ!$C$31</definedName>
    <definedName name="現行連続無放銃" localSheetId="6">だいち!$C$31</definedName>
    <definedName name="現行連続無放銃" localSheetId="8">たかの!$C$31</definedName>
    <definedName name="現行連続無放銃" localSheetId="9">まっつん!$C$31</definedName>
    <definedName name="現行連続無放銃" localSheetId="7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0">いちかわ!$B$33</definedName>
    <definedName name="最高点" localSheetId="6">だいち!$B$33</definedName>
    <definedName name="最高点" localSheetId="8">たかの!$B$33</definedName>
    <definedName name="最高点" localSheetId="9">まっつん!$B$33</definedName>
    <definedName name="最高点" localSheetId="7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0">いちかわ!$B$32</definedName>
    <definedName name="最大ドラ数" localSheetId="6">だいち!$B$32</definedName>
    <definedName name="最大ドラ数" localSheetId="8">たかの!$B$32</definedName>
    <definedName name="最大ドラ数" localSheetId="9">まっつん!$B$32</definedName>
    <definedName name="最大ドラ数" localSheetId="7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0">いちかわ!$B$33</definedName>
    <definedName name="最大点数" localSheetId="6">だいち!$B$33</definedName>
    <definedName name="最大点数" localSheetId="8">たかの!$B$33</definedName>
    <definedName name="最大点数" localSheetId="9">まっつん!$B$33</definedName>
    <definedName name="最大点数" localSheetId="7">れんたろう!$B$33</definedName>
    <definedName name="最大点数" localSheetId="5">全体!$B$33</definedName>
    <definedName name="最大点数">#REF!</definedName>
    <definedName name="三位スコア" localSheetId="10">いちかわ!$B$12</definedName>
    <definedName name="三位スコア" localSheetId="6">だいち!$B$12</definedName>
    <definedName name="三位スコア" localSheetId="8">たかの!$B$12</definedName>
    <definedName name="三位スコア" localSheetId="9">まっつん!$B$12</definedName>
    <definedName name="三位スコア" localSheetId="7">れんたろう!$B$12</definedName>
    <definedName name="三位スコア" localSheetId="5">全体!$B$12</definedName>
    <definedName name="三位スコア">Template1!$B$12</definedName>
    <definedName name="三位通算スコア" localSheetId="10">いちかわ!$C$12</definedName>
    <definedName name="三位通算スコア" localSheetId="6">だいち!$C$12</definedName>
    <definedName name="三位通算スコア" localSheetId="8">たかの!$C$12</definedName>
    <definedName name="三位通算スコア" localSheetId="9">まっつん!$C$12</definedName>
    <definedName name="三位通算スコア" localSheetId="7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8">たかの!$B$3</definedName>
    <definedName name="総局数" localSheetId="9">まっつん!$B$3</definedName>
    <definedName name="総局数" localSheetId="7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8">たかの!$B$2</definedName>
    <definedName name="対戦数" localSheetId="9">まっつん!$B$2</definedName>
    <definedName name="対戦数" localSheetId="7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0">いちかわ!$C$26</definedName>
    <definedName name="通算アガリ点" localSheetId="6">だいち!$C$26</definedName>
    <definedName name="通算アガリ点" localSheetId="8">たかの!$C$26</definedName>
    <definedName name="通算アガリ点" localSheetId="9">まっつん!$C$26</definedName>
    <definedName name="通算アガリ点" localSheetId="7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8">たかの!$B$4</definedName>
    <definedName name="通算スコア" localSheetId="9">まっつん!$B$4</definedName>
    <definedName name="通算スコア" localSheetId="7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0">いちかわ!$C$28</definedName>
    <definedName name="通算副露アガリ点" localSheetId="6">だいち!$C$28</definedName>
    <definedName name="通算副露アガリ点" localSheetId="8">たかの!$C$28</definedName>
    <definedName name="通算副露アガリ点" localSheetId="9">まっつん!$C$28</definedName>
    <definedName name="通算副露アガリ点" localSheetId="7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0">いちかわ!$C$29</definedName>
    <definedName name="通算放銃点" localSheetId="6">だいち!$C$29</definedName>
    <definedName name="通算放銃点" localSheetId="8">たかの!$C$29</definedName>
    <definedName name="通算放銃点" localSheetId="9">まっつん!$C$29</definedName>
    <definedName name="通算放銃点" localSheetId="7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0">いちかわ!$C$27</definedName>
    <definedName name="通算門前アガリ点" localSheetId="6">だいち!$C$27</definedName>
    <definedName name="通算門前アガリ点" localSheetId="8">たかの!$C$27</definedName>
    <definedName name="通算門前アガリ点" localSheetId="9">まっつん!$C$27</definedName>
    <definedName name="通算門前アガリ点" localSheetId="7">れんたろう!$C$27</definedName>
    <definedName name="通算門前アガリ点" localSheetId="5">全体!$C$27</definedName>
    <definedName name="通算門前アガリ点">#REF!</definedName>
    <definedName name="二位スコア" localSheetId="10">いちかわ!$B$11</definedName>
    <definedName name="二位スコア" localSheetId="6">だいち!$B$11</definedName>
    <definedName name="二位スコア" localSheetId="8">たかの!$B$11</definedName>
    <definedName name="二位スコア" localSheetId="9">まっつん!$B$11</definedName>
    <definedName name="二位スコア" localSheetId="7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0">いちかわ!$B$8</definedName>
    <definedName name="二位数" localSheetId="6">だいち!$B$8</definedName>
    <definedName name="二位数" localSheetId="8">たかの!$B$8</definedName>
    <definedName name="二位数" localSheetId="9">まっつん!$B$8</definedName>
    <definedName name="二位数" localSheetId="7">れんたろう!$B$8</definedName>
    <definedName name="二位数" localSheetId="5">全体!$B$8</definedName>
    <definedName name="二位数">#REF!</definedName>
    <definedName name="二位通算スコア" localSheetId="10">いちかわ!$C$11</definedName>
    <definedName name="二位通算スコア" localSheetId="6">だいち!$C$11</definedName>
    <definedName name="二位通算スコア" localSheetId="8">たかの!$C$11</definedName>
    <definedName name="二位通算スコア" localSheetId="9">まっつん!$C$11</definedName>
    <definedName name="二位通算スコア" localSheetId="7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0">いちかわ!$C$8</definedName>
    <definedName name="二位率" localSheetId="6">だいち!$C$8</definedName>
    <definedName name="二位率" localSheetId="8">たかの!$C$8</definedName>
    <definedName name="二位率" localSheetId="9">まっつん!$C$8</definedName>
    <definedName name="二位率" localSheetId="7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0">いちかわ!$B$24</definedName>
    <definedName name="副露アガリ数" localSheetId="6">だいち!$B$24</definedName>
    <definedName name="副露アガリ数" localSheetId="8">たかの!$B$24</definedName>
    <definedName name="副露アガリ数" localSheetId="9">まっつん!$B$24</definedName>
    <definedName name="副露アガリ数" localSheetId="7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0">いちかわ!$B$28</definedName>
    <definedName name="副露アガリ点" localSheetId="6">だいち!$B$28</definedName>
    <definedName name="副露アガリ点" localSheetId="8">たかの!$B$28</definedName>
    <definedName name="副露アガリ点" localSheetId="9">まっつん!$B$28</definedName>
    <definedName name="副露アガリ点" localSheetId="7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0">いちかわ!$C$24</definedName>
    <definedName name="副露アガリ率" localSheetId="6">だいち!$C$24</definedName>
    <definedName name="副露アガリ率" localSheetId="8">たかの!$C$24</definedName>
    <definedName name="副露アガリ率" localSheetId="9">まっつん!$C$24</definedName>
    <definedName name="副露アガリ率" localSheetId="7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0">いちかわ!$B$16</definedName>
    <definedName name="副露数" localSheetId="6">だいち!$B$16</definedName>
    <definedName name="副露数" localSheetId="8">たかの!$B$16</definedName>
    <definedName name="副露数" localSheetId="9">まっつん!$B$16</definedName>
    <definedName name="副露数" localSheetId="7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0">いちかわ!$B$18</definedName>
    <definedName name="副露成功数" localSheetId="6">だいち!$B$18</definedName>
    <definedName name="副露成功数" localSheetId="8">たかの!$B$18</definedName>
    <definedName name="副露成功数" localSheetId="9">まっつん!$B$18</definedName>
    <definedName name="副露成功数" localSheetId="7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0">いちかわ!$C$18</definedName>
    <definedName name="副露成功率" localSheetId="6">だいち!$C$18</definedName>
    <definedName name="副露成功率" localSheetId="8">たかの!$C$18</definedName>
    <definedName name="副露成功率" localSheetId="9">まっつん!$C$18</definedName>
    <definedName name="副露成功率" localSheetId="7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0">いちかわ!$C$16</definedName>
    <definedName name="副露率" localSheetId="6">だいち!$C$16</definedName>
    <definedName name="副露率" localSheetId="8">たかの!$C$16</definedName>
    <definedName name="副露率" localSheetId="9">まっつん!$C$16</definedName>
    <definedName name="副露率" localSheetId="7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0">いちかわ!$B$26</definedName>
    <definedName name="平均アガリ点" localSheetId="6">だいち!$B$26</definedName>
    <definedName name="平均アガリ点" localSheetId="8">たかの!$B$26</definedName>
    <definedName name="平均アガリ点" localSheetId="9">まっつん!$B$26</definedName>
    <definedName name="平均アガリ点" localSheetId="7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8">たかの!$B$5</definedName>
    <definedName name="平均スコア" localSheetId="9">まっつん!$B$5</definedName>
    <definedName name="平均スコア" localSheetId="7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0">いちかわ!$B$6</definedName>
    <definedName name="平均順位" localSheetId="6">だいち!$B$6</definedName>
    <definedName name="平均順位" localSheetId="8">たかの!$B$6</definedName>
    <definedName name="平均順位" localSheetId="9">まっつん!$B$6</definedName>
    <definedName name="平均順位" localSheetId="7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0">いちかわ!$B$29</definedName>
    <definedName name="平均放銃点" localSheetId="6">だいち!$B$29</definedName>
    <definedName name="平均放銃点" localSheetId="8">たかの!$B$29</definedName>
    <definedName name="平均放銃点" localSheetId="9">まっつん!$B$29</definedName>
    <definedName name="平均放銃点" localSheetId="7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0">いちかわ!$B$20</definedName>
    <definedName name="放銃数" localSheetId="6">だいち!$B$20</definedName>
    <definedName name="放銃数" localSheetId="8">たかの!$B$20</definedName>
    <definedName name="放銃数" localSheetId="9">まっつん!$B$20</definedName>
    <definedName name="放銃数" localSheetId="7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0">いちかわ!$C$20</definedName>
    <definedName name="放銃率" localSheetId="6">だいち!$C$20</definedName>
    <definedName name="放銃率" localSheetId="8">たかの!$C$20</definedName>
    <definedName name="放銃率" localSheetId="9">まっつん!$C$20</definedName>
    <definedName name="放銃率" localSheetId="7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8">たかの!$B$1</definedName>
    <definedName name="名前" localSheetId="9">まっつん!$B$1</definedName>
    <definedName name="名前" localSheetId="7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0">いちかわ!$B$27</definedName>
    <definedName name="門前アガリ点" localSheetId="6">だいち!$B$27</definedName>
    <definedName name="門前アガリ点" localSheetId="8">たかの!$B$27</definedName>
    <definedName name="門前アガリ点" localSheetId="9">まっつん!$B$27</definedName>
    <definedName name="門前アガリ点" localSheetId="7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0">いちかわ!$B$30</definedName>
    <definedName name="連続アガリ" localSheetId="6">だいち!$B$30</definedName>
    <definedName name="連続アガリ" localSheetId="8">たかの!$B$30</definedName>
    <definedName name="連続アガリ" localSheetId="9">まっつん!$B$30</definedName>
    <definedName name="連続アガリ" localSheetId="7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0">いちかわ!$B$31</definedName>
    <definedName name="連続無放銃" localSheetId="6">だいち!$B$31</definedName>
    <definedName name="連続無放銃" localSheetId="8">たかの!$B$31</definedName>
    <definedName name="連続無放銃" localSheetId="9">まっつん!$B$31</definedName>
    <definedName name="連続無放銃" localSheetId="7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7" i="6304" l="1"/>
  <c r="O16" i="6304"/>
  <c r="O15" i="6312"/>
  <c r="O16" i="6312"/>
  <c r="C34" i="6312"/>
  <c r="B29" i="6312"/>
  <c r="C20" i="6312"/>
  <c r="B19" i="6312"/>
  <c r="H7" i="6312" s="1"/>
  <c r="B18" i="6312"/>
  <c r="B28" i="6312" s="1"/>
  <c r="B17" i="6312"/>
  <c r="C17" i="6312" s="1"/>
  <c r="C16" i="6312"/>
  <c r="C15" i="6312"/>
  <c r="C14" i="6312"/>
  <c r="O12" i="6312"/>
  <c r="B12" i="6312"/>
  <c r="O11" i="6312"/>
  <c r="B11" i="6312"/>
  <c r="O10" i="6312"/>
  <c r="B10" i="6312"/>
  <c r="C9" i="6312"/>
  <c r="C8" i="6312"/>
  <c r="O7" i="6312"/>
  <c r="C7" i="6312"/>
  <c r="O6" i="6312"/>
  <c r="B6" i="6312"/>
  <c r="O5" i="6312"/>
  <c r="B5" i="6312"/>
  <c r="O4" i="6312"/>
  <c r="O3" i="6312"/>
  <c r="O2" i="6312"/>
  <c r="O16" i="6302"/>
  <c r="O16" i="6310"/>
  <c r="O15" i="6310"/>
  <c r="C34" i="6310"/>
  <c r="B29" i="6310"/>
  <c r="C20" i="6310"/>
  <c r="B19" i="6310"/>
  <c r="H51" i="6310" s="1"/>
  <c r="C18" i="6310"/>
  <c r="B18" i="6310"/>
  <c r="B28" i="6310" s="1"/>
  <c r="B17" i="6310"/>
  <c r="C17" i="6310" s="1"/>
  <c r="C16" i="6310"/>
  <c r="C15" i="6310"/>
  <c r="C14" i="6310"/>
  <c r="O12" i="6310"/>
  <c r="B12" i="6310"/>
  <c r="O11" i="6310"/>
  <c r="B11" i="6310"/>
  <c r="O10" i="6310"/>
  <c r="B10" i="6310"/>
  <c r="C9" i="6310"/>
  <c r="H11" i="6310"/>
  <c r="C8" i="6310"/>
  <c r="O7" i="6310"/>
  <c r="C7" i="6310"/>
  <c r="O6" i="6310"/>
  <c r="B6" i="6310"/>
  <c r="O5" i="6310"/>
  <c r="B5" i="6310"/>
  <c r="O4" i="6310"/>
  <c r="H9" i="6310"/>
  <c r="O3" i="6310"/>
  <c r="O2" i="6310"/>
  <c r="O17" i="6302"/>
  <c r="B13" i="6310" l="1"/>
  <c r="C36" i="6310"/>
  <c r="C38" i="6310"/>
  <c r="C42" i="6310"/>
  <c r="H14" i="6310"/>
  <c r="H25" i="6310"/>
  <c r="H43" i="6310"/>
  <c r="H4" i="6310"/>
  <c r="C44" i="6310"/>
  <c r="H12" i="6310"/>
  <c r="H23" i="6310"/>
  <c r="C24" i="6310"/>
  <c r="H27" i="6310"/>
  <c r="C46" i="6310"/>
  <c r="H10" i="6310"/>
  <c r="H15" i="6310"/>
  <c r="H30" i="6310"/>
  <c r="H8" i="6310"/>
  <c r="H6" i="6310"/>
  <c r="H34" i="6310"/>
  <c r="H21" i="6310"/>
  <c r="H47" i="6310"/>
  <c r="B13" i="6312"/>
  <c r="C18" i="6312"/>
  <c r="H12" i="6312"/>
  <c r="H6" i="6312"/>
  <c r="H11" i="6312"/>
  <c r="H15" i="6312"/>
  <c r="H8" i="6312"/>
  <c r="C19" i="6312"/>
  <c r="C24" i="6312"/>
  <c r="H14" i="6312"/>
  <c r="H43" i="6312"/>
  <c r="H47" i="6312"/>
  <c r="H21" i="6312"/>
  <c r="H29" i="6312"/>
  <c r="C39" i="6312"/>
  <c r="C43" i="6312"/>
  <c r="H3" i="6312"/>
  <c r="H13" i="6312"/>
  <c r="H16" i="6312"/>
  <c r="C21" i="6312"/>
  <c r="C25" i="6312"/>
  <c r="H36" i="6312"/>
  <c r="H48" i="6312"/>
  <c r="H9" i="6312"/>
  <c r="H22" i="6312"/>
  <c r="H26" i="6312"/>
  <c r="H30" i="6312"/>
  <c r="C36" i="6312"/>
  <c r="C40" i="6312"/>
  <c r="C44" i="6312"/>
  <c r="C48" i="6312"/>
  <c r="H39" i="6312"/>
  <c r="H52" i="6312"/>
  <c r="H19" i="6312"/>
  <c r="H25" i="6312"/>
  <c r="H35" i="6312"/>
  <c r="C47" i="6312"/>
  <c r="H40" i="6312"/>
  <c r="H44" i="6312"/>
  <c r="H4" i="6312"/>
  <c r="H17" i="6312"/>
  <c r="H20" i="6312"/>
  <c r="C22" i="6312"/>
  <c r="B26" i="6312"/>
  <c r="H31" i="6312"/>
  <c r="H37" i="6312"/>
  <c r="H41" i="6312"/>
  <c r="H45" i="6312"/>
  <c r="H49" i="6312"/>
  <c r="H23" i="6312"/>
  <c r="H32" i="6312"/>
  <c r="C45" i="6312"/>
  <c r="H27" i="6312"/>
  <c r="C37" i="6312"/>
  <c r="C41" i="6312"/>
  <c r="H50" i="6312"/>
  <c r="H18" i="6312"/>
  <c r="C23" i="6312"/>
  <c r="B27" i="6312"/>
  <c r="H33" i="6312"/>
  <c r="H38" i="6312"/>
  <c r="H42" i="6312"/>
  <c r="H46" i="6312"/>
  <c r="H51" i="6312"/>
  <c r="H2" i="6312"/>
  <c r="H5" i="6312"/>
  <c r="H10" i="6312"/>
  <c r="H24" i="6312"/>
  <c r="H28" i="6312"/>
  <c r="H34" i="6312"/>
  <c r="C38" i="6312"/>
  <c r="C42" i="6312"/>
  <c r="C46" i="6312"/>
  <c r="C48" i="6310"/>
  <c r="H7" i="6310"/>
  <c r="H39" i="6310"/>
  <c r="H2" i="6310"/>
  <c r="H3" i="6310"/>
  <c r="C19" i="6310"/>
  <c r="C40" i="6310"/>
  <c r="H52" i="6310"/>
  <c r="H19" i="6310"/>
  <c r="H22" i="6310"/>
  <c r="H26" i="6310"/>
  <c r="H29" i="6310"/>
  <c r="H35" i="6310"/>
  <c r="C39" i="6310"/>
  <c r="C43" i="6310"/>
  <c r="C47" i="6310"/>
  <c r="H5" i="6310"/>
  <c r="H13" i="6310"/>
  <c r="H16" i="6310"/>
  <c r="C21" i="6310"/>
  <c r="C25" i="6310"/>
  <c r="H36" i="6310"/>
  <c r="H40" i="6310"/>
  <c r="H44" i="6310"/>
  <c r="H48" i="6310"/>
  <c r="H17" i="6310"/>
  <c r="H20" i="6310"/>
  <c r="C22" i="6310"/>
  <c r="B26" i="6310"/>
  <c r="H31" i="6310"/>
  <c r="H37" i="6310"/>
  <c r="H41" i="6310"/>
  <c r="H45" i="6310"/>
  <c r="H49" i="6310"/>
  <c r="H24" i="6310"/>
  <c r="H28" i="6310"/>
  <c r="H32" i="6310"/>
  <c r="C37" i="6310"/>
  <c r="C41" i="6310"/>
  <c r="C45" i="6310"/>
  <c r="H50" i="6310"/>
  <c r="H18" i="6310"/>
  <c r="C23" i="6310"/>
  <c r="B27" i="6310"/>
  <c r="H33" i="6310"/>
  <c r="H38" i="6310"/>
  <c r="H42" i="6310"/>
  <c r="H46" i="6310"/>
  <c r="O15" i="6308"/>
  <c r="O16" i="6308"/>
  <c r="C34" i="6308"/>
  <c r="B29" i="6308"/>
  <c r="C20" i="6308"/>
  <c r="B19" i="6308"/>
  <c r="H51" i="6308" s="1"/>
  <c r="B18" i="6308"/>
  <c r="B28" i="6308" s="1"/>
  <c r="B17" i="6308"/>
  <c r="C17" i="6308" s="1"/>
  <c r="C16" i="6308"/>
  <c r="C15" i="6308"/>
  <c r="C14" i="6308"/>
  <c r="O12" i="6308"/>
  <c r="B12" i="6308"/>
  <c r="O11" i="6308"/>
  <c r="B11" i="6308"/>
  <c r="B13" i="6308" s="1"/>
  <c r="O10" i="6308"/>
  <c r="B10" i="6308"/>
  <c r="C9" i="6308"/>
  <c r="C8" i="6308"/>
  <c r="O7" i="6308"/>
  <c r="C7" i="6308"/>
  <c r="O6" i="6308"/>
  <c r="B6" i="6308"/>
  <c r="O5" i="6308"/>
  <c r="B5" i="6308"/>
  <c r="O4" i="6308"/>
  <c r="O3" i="6308"/>
  <c r="O2" i="6308"/>
  <c r="O16" i="6306"/>
  <c r="O15" i="6306"/>
  <c r="H37" i="6306"/>
  <c r="C34" i="6306"/>
  <c r="B29" i="6306"/>
  <c r="C20" i="6306"/>
  <c r="B19" i="6306"/>
  <c r="H52" i="6306" s="1"/>
  <c r="C18" i="6306"/>
  <c r="B18" i="6306"/>
  <c r="B28" i="6306" s="1"/>
  <c r="B17" i="6306"/>
  <c r="C17" i="6306" s="1"/>
  <c r="C16" i="6306"/>
  <c r="C15" i="6306"/>
  <c r="C14" i="6306"/>
  <c r="O12" i="6306"/>
  <c r="B12" i="6306"/>
  <c r="O11" i="6306"/>
  <c r="B11" i="6306"/>
  <c r="O10" i="6306"/>
  <c r="B10" i="6306"/>
  <c r="C9" i="6306"/>
  <c r="C8" i="6306"/>
  <c r="O7" i="6306"/>
  <c r="H6" i="6306"/>
  <c r="C7" i="6306"/>
  <c r="O6" i="6306"/>
  <c r="B6" i="6306"/>
  <c r="O5" i="6306"/>
  <c r="B5" i="6306"/>
  <c r="O4" i="6306"/>
  <c r="O3" i="6306"/>
  <c r="O2" i="6306"/>
  <c r="O19" i="6302"/>
  <c r="O18" i="6304"/>
  <c r="O15" i="6304"/>
  <c r="C34" i="6304"/>
  <c r="B29" i="6304"/>
  <c r="C20" i="6304"/>
  <c r="B19" i="6304"/>
  <c r="H51" i="6304" s="1"/>
  <c r="B18" i="6304"/>
  <c r="B28" i="6304" s="1"/>
  <c r="B17" i="6304"/>
  <c r="C17" i="6304" s="1"/>
  <c r="C16" i="6304"/>
  <c r="C15" i="6304"/>
  <c r="C14" i="6304"/>
  <c r="B13" i="6304"/>
  <c r="O12" i="6304"/>
  <c r="B12" i="6304"/>
  <c r="O11" i="6304"/>
  <c r="B11" i="6304"/>
  <c r="O10" i="6304"/>
  <c r="B10" i="6304"/>
  <c r="C9" i="6304"/>
  <c r="C8" i="6304"/>
  <c r="O7" i="6304"/>
  <c r="C7" i="6304"/>
  <c r="O6" i="6304"/>
  <c r="B6" i="6304"/>
  <c r="O5" i="6304"/>
  <c r="B5" i="6304"/>
  <c r="O4" i="6304"/>
  <c r="O3" i="6304"/>
  <c r="O2" i="6304"/>
  <c r="O18" i="6302"/>
  <c r="O15" i="6302"/>
  <c r="C34" i="6302"/>
  <c r="B29" i="6302"/>
  <c r="C20" i="6302"/>
  <c r="B19" i="6302"/>
  <c r="H51" i="6302" s="1"/>
  <c r="B18" i="6302"/>
  <c r="B28" i="6302" s="1"/>
  <c r="B17" i="6302"/>
  <c r="C17" i="6302" s="1"/>
  <c r="C16" i="6302"/>
  <c r="C15" i="6302"/>
  <c r="C14" i="6302"/>
  <c r="O12" i="6302"/>
  <c r="B12" i="6302"/>
  <c r="O11" i="6302"/>
  <c r="B11" i="6302"/>
  <c r="O10" i="6302"/>
  <c r="B10" i="6302"/>
  <c r="C9" i="6302"/>
  <c r="C8" i="6302"/>
  <c r="O7" i="6302"/>
  <c r="C7" i="6302"/>
  <c r="O6" i="6302"/>
  <c r="B6" i="6302"/>
  <c r="O5" i="6302"/>
  <c r="B5" i="6302"/>
  <c r="O4" i="6302"/>
  <c r="O3" i="6302"/>
  <c r="O2" i="6302"/>
  <c r="C18" i="6304" l="1"/>
  <c r="H25" i="6306"/>
  <c r="B27" i="6306"/>
  <c r="H3" i="6306"/>
  <c r="C18" i="6308"/>
  <c r="B13" i="6302"/>
  <c r="H16" i="6308"/>
  <c r="H8" i="6308"/>
  <c r="H7" i="6308"/>
  <c r="H25" i="6308"/>
  <c r="H2" i="6308"/>
  <c r="C42" i="6308"/>
  <c r="C46" i="6308"/>
  <c r="H15" i="6308"/>
  <c r="H11" i="6308"/>
  <c r="H5" i="6308"/>
  <c r="H13" i="6308"/>
  <c r="H34" i="6308"/>
  <c r="C19" i="6308"/>
  <c r="H3" i="6308"/>
  <c r="H12" i="6308"/>
  <c r="H22" i="6308"/>
  <c r="C38" i="6308"/>
  <c r="C24" i="6308"/>
  <c r="H39" i="6308"/>
  <c r="H43" i="6308"/>
  <c r="H47" i="6308"/>
  <c r="H52" i="6308"/>
  <c r="H20" i="6308"/>
  <c r="H23" i="6308"/>
  <c r="H26" i="6308"/>
  <c r="H29" i="6308"/>
  <c r="H35" i="6308"/>
  <c r="C39" i="6308"/>
  <c r="C43" i="6308"/>
  <c r="C47" i="6308"/>
  <c r="H4" i="6308"/>
  <c r="H14" i="6308"/>
  <c r="C25" i="6308"/>
  <c r="H36" i="6308"/>
  <c r="H48" i="6308"/>
  <c r="H6" i="6308"/>
  <c r="H9" i="6308"/>
  <c r="H10" i="6308"/>
  <c r="H27" i="6308"/>
  <c r="H30" i="6308"/>
  <c r="C36" i="6308"/>
  <c r="C40" i="6308"/>
  <c r="C44" i="6308"/>
  <c r="C48" i="6308"/>
  <c r="H17" i="6308"/>
  <c r="C21" i="6308"/>
  <c r="H40" i="6308"/>
  <c r="H44" i="6308"/>
  <c r="H18" i="6308"/>
  <c r="H21" i="6308"/>
  <c r="C22" i="6308"/>
  <c r="B26" i="6308"/>
  <c r="H31" i="6308"/>
  <c r="H37" i="6308"/>
  <c r="H41" i="6308"/>
  <c r="H45" i="6308"/>
  <c r="H49" i="6308"/>
  <c r="H24" i="6308"/>
  <c r="H28" i="6308"/>
  <c r="H32" i="6308"/>
  <c r="C37" i="6308"/>
  <c r="C41" i="6308"/>
  <c r="C45" i="6308"/>
  <c r="H50" i="6308"/>
  <c r="H19" i="6308"/>
  <c r="C23" i="6308"/>
  <c r="B27" i="6308"/>
  <c r="H33" i="6308"/>
  <c r="H38" i="6308"/>
  <c r="H42" i="6308"/>
  <c r="H46" i="6308"/>
  <c r="B13" i="6306"/>
  <c r="H8" i="6306"/>
  <c r="H43" i="6306"/>
  <c r="H4" i="6306"/>
  <c r="C21" i="6306"/>
  <c r="H27" i="6306"/>
  <c r="H7" i="6306"/>
  <c r="H29" i="6306"/>
  <c r="H2" i="6306"/>
  <c r="H15" i="6306"/>
  <c r="H9" i="6306"/>
  <c r="H45" i="6306"/>
  <c r="H17" i="6306"/>
  <c r="C44" i="6306"/>
  <c r="H13" i="6306"/>
  <c r="C23" i="6306"/>
  <c r="H35" i="6306"/>
  <c r="C46" i="6306"/>
  <c r="C38" i="6306"/>
  <c r="H39" i="6306"/>
  <c r="H12" i="6306"/>
  <c r="H11" i="6306"/>
  <c r="H10" i="6306"/>
  <c r="H16" i="6306"/>
  <c r="H23" i="6306"/>
  <c r="C36" i="6306"/>
  <c r="H47" i="6306"/>
  <c r="H32" i="6306"/>
  <c r="C40" i="6306"/>
  <c r="C48" i="6306"/>
  <c r="C24" i="6306"/>
  <c r="H33" i="6306"/>
  <c r="H41" i="6306"/>
  <c r="H50" i="6306"/>
  <c r="H5" i="6306"/>
  <c r="H14" i="6306"/>
  <c r="C19" i="6306"/>
  <c r="C25" i="6306"/>
  <c r="C42" i="6306"/>
  <c r="H51" i="6306"/>
  <c r="H19" i="6306"/>
  <c r="H21" i="6306"/>
  <c r="H24" i="6306"/>
  <c r="H28" i="6306"/>
  <c r="H34" i="6306"/>
  <c r="C39" i="6306"/>
  <c r="C43" i="6306"/>
  <c r="C47" i="6306"/>
  <c r="H18" i="6306"/>
  <c r="H20" i="6306"/>
  <c r="C22" i="6306"/>
  <c r="B26" i="6306"/>
  <c r="H30" i="6306"/>
  <c r="H36" i="6306"/>
  <c r="H40" i="6306"/>
  <c r="H44" i="6306"/>
  <c r="H48" i="6306"/>
  <c r="H22" i="6306"/>
  <c r="H26" i="6306"/>
  <c r="H31" i="6306"/>
  <c r="C37" i="6306"/>
  <c r="C41" i="6306"/>
  <c r="C45" i="6306"/>
  <c r="H49" i="6306"/>
  <c r="H38" i="6306"/>
  <c r="H42" i="6306"/>
  <c r="H46" i="6306"/>
  <c r="H13" i="6302"/>
  <c r="C18" i="6302"/>
  <c r="C36" i="6304"/>
  <c r="H20" i="6304"/>
  <c r="H11" i="6304"/>
  <c r="H39" i="6304"/>
  <c r="H24" i="6304"/>
  <c r="H41" i="6304"/>
  <c r="C38" i="6304"/>
  <c r="C21" i="6304"/>
  <c r="H14" i="6304"/>
  <c r="C44" i="6304"/>
  <c r="H28" i="6304"/>
  <c r="H8" i="6304"/>
  <c r="H7" i="6304"/>
  <c r="H6" i="6304"/>
  <c r="H22" i="6304"/>
  <c r="H18" i="6304"/>
  <c r="C22" i="6304"/>
  <c r="H45" i="6304"/>
  <c r="H16" i="6304"/>
  <c r="B26" i="6304"/>
  <c r="C42" i="6304"/>
  <c r="H2" i="6304"/>
  <c r="H9" i="6304"/>
  <c r="H34" i="6304"/>
  <c r="H3" i="6304"/>
  <c r="H13" i="6304"/>
  <c r="H19" i="6304"/>
  <c r="H23" i="6304"/>
  <c r="C25" i="6304"/>
  <c r="H35" i="6304"/>
  <c r="C46" i="6304"/>
  <c r="H47" i="6304"/>
  <c r="C24" i="6304"/>
  <c r="H31" i="6304"/>
  <c r="C39" i="6304"/>
  <c r="C48" i="6304"/>
  <c r="H10" i="6304"/>
  <c r="H5" i="6304"/>
  <c r="H15" i="6304"/>
  <c r="H17" i="6304"/>
  <c r="C19" i="6304"/>
  <c r="H27" i="6304"/>
  <c r="H12" i="6304"/>
  <c r="C40" i="6304"/>
  <c r="H49" i="6304"/>
  <c r="H43" i="6304"/>
  <c r="H4" i="6304"/>
  <c r="H26" i="6304"/>
  <c r="H30" i="6304"/>
  <c r="H37" i="6304"/>
  <c r="C43" i="6304"/>
  <c r="H52" i="6304"/>
  <c r="C47" i="6304"/>
  <c r="H36" i="6304"/>
  <c r="H40" i="6304"/>
  <c r="H44" i="6304"/>
  <c r="H48" i="6304"/>
  <c r="H25" i="6304"/>
  <c r="H29" i="6304"/>
  <c r="H32" i="6304"/>
  <c r="C37" i="6304"/>
  <c r="C41" i="6304"/>
  <c r="C45" i="6304"/>
  <c r="H50" i="6304"/>
  <c r="H21" i="6304"/>
  <c r="C23" i="6304"/>
  <c r="B27" i="6304"/>
  <c r="H33" i="6304"/>
  <c r="H38" i="6304"/>
  <c r="H42" i="6304"/>
  <c r="H46" i="6304"/>
  <c r="H23" i="6302"/>
  <c r="H21" i="6302"/>
  <c r="H41" i="6302"/>
  <c r="H35" i="6302"/>
  <c r="H36" i="6302"/>
  <c r="H5" i="6302"/>
  <c r="H7" i="6302"/>
  <c r="C40" i="6302"/>
  <c r="C46" i="6302"/>
  <c r="H11" i="6302"/>
  <c r="H12" i="6302"/>
  <c r="C22" i="6302"/>
  <c r="H8" i="6302"/>
  <c r="H47" i="6302"/>
  <c r="H30" i="6302"/>
  <c r="C36" i="6302"/>
  <c r="C42" i="6302"/>
  <c r="C47" i="6302"/>
  <c r="H18" i="6302"/>
  <c r="C19" i="6302"/>
  <c r="C24" i="6302"/>
  <c r="H37" i="6302"/>
  <c r="H43" i="6302"/>
  <c r="H48" i="6302"/>
  <c r="H16" i="6302"/>
  <c r="H27" i="6302"/>
  <c r="C48" i="6302"/>
  <c r="H10" i="6302"/>
  <c r="C43" i="6302"/>
  <c r="H19" i="6302"/>
  <c r="C25" i="6302"/>
  <c r="H15" i="6302"/>
  <c r="H39" i="6302"/>
  <c r="H44" i="6302"/>
  <c r="H49" i="6302"/>
  <c r="H26" i="6302"/>
  <c r="H3" i="6302"/>
  <c r="C38" i="6302"/>
  <c r="H9" i="6302"/>
  <c r="H22" i="6302"/>
  <c r="H24" i="6302"/>
  <c r="H28" i="6302"/>
  <c r="H34" i="6302"/>
  <c r="C39" i="6302"/>
  <c r="C44" i="6302"/>
  <c r="H4" i="6302"/>
  <c r="H14" i="6302"/>
  <c r="H2" i="6302"/>
  <c r="H31" i="6302"/>
  <c r="H6" i="6302"/>
  <c r="H17" i="6302"/>
  <c r="H20" i="6302"/>
  <c r="C21" i="6302"/>
  <c r="B26" i="6302"/>
  <c r="H40" i="6302"/>
  <c r="H45" i="6302"/>
  <c r="H52" i="6302"/>
  <c r="H25" i="6302"/>
  <c r="H29" i="6302"/>
  <c r="H32" i="6302"/>
  <c r="C37" i="6302"/>
  <c r="C41" i="6302"/>
  <c r="C45" i="6302"/>
  <c r="H50" i="6302"/>
  <c r="C23" i="6302"/>
  <c r="B27" i="6302"/>
  <c r="H33" i="6302"/>
  <c r="H38" i="6302"/>
  <c r="H42" i="6302"/>
  <c r="H46" i="630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<sst xmlns="http://schemas.openxmlformats.org/spreadsheetml/2006/main" count="1633" uniqueCount="198">
  <si>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</si>
  <si>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</si>
  <si>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</si>
  <si>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</si>
  <si>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</si>
  <si>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</si>
  <si>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</si>
  <si>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</si>
  <si>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</si>
  <si>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</si>
  <si>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</si>
  <si>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</si>
  <si>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</si>
  <si>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</si>
  <si>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</si>
  <si>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</si>
  <si>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</si>
  <si>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</si>
  <si>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</si>
  <si>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</si>
  <si>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</si>
  <si>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</si>
  <si>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</si>
  <si>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</si>
  <si>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</si>
  <si>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</si>
  <si>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</si>
  <si>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</si>
  <si>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</si>
  <si>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</si>
  <si>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</si>
  <si>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</si>
  <si>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</si>
  <si>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</si>
  <si>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</si>
  <si>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</si>
  <si>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</si>
  <si>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</si>
  <si>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</si>
  <si>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</si>
  <si>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</si>
  <si>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</si>
  <si>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</si>
  <si>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</si>
  <si>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</si>
  <si>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</si>
  <si>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</si>
  <si>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</si>
  <si>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</si>
  <si>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</si>
  <si>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</si>
  <si>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</si>
  <si>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</si>
  <si>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</si>
  <si>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</si>
  <si>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</si>
  <si>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</si>
  <si>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</si>
  <si>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</si>
  <si>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</si>
  <si>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</si>
  <si>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</si>
  <si>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</si>
  <si>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</si>
  <si>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</si>
  <si>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</si>
  <si>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</si>
  <si>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</si>
  <si>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</si>
  <si>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</si>
  <si>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</si>
  <si>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</si>
  <si>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</si>
  <si>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</si>
  <si>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</si>
  <si>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</si>
  <si>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</si>
  <si>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</si>
  <si>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</si>
  <si>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</si>
  <si>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</si>
  <si>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</si>
  <si>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</si>
  <si>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</si>
  <si>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</si>
  <si>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</si>
  <si>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</si>
  <si>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</si>
  <si>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</si>
  <si>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</si>
  <si>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</si>
  <si>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</si>
  <si>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</si>
  <si>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</si>
  <si>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</si>
  <si>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</si>
  <si>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</si>
  <si>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</si>
  <si>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</si>
  <si>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</si>
  <si>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</si>
  <si>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</si>
  <si>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</si>
  <si>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</si>
  <si>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</si>
  <si>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</si>
  <si>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</si>
  <si>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</si>
  <si>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</si>
  <si>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</si>
  <si>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</si>
  <si>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</si>
  <si>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</si>
  <si>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</si>
  <si>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</si>
  <si>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</si>
  <si>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</si>
  <si>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</si>
  <si>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</si>
  <si>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</si>
  <si>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</si>
  <si>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</si>
  <si>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</si>
  <si>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</si>
  <si>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</si>
  <si>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</si>
  <si>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</si>
  <si>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</si>
  <si>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</si>
  <si>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</si>
  <si>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</si>
  <si>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</si>
  <si>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</si>
  <si>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</si>
  <si>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</si>
  <si>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</si>
  <si>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</si>
  <si>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</si>
  <si>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</si>
  <si>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</si>
  <si>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</si>
  <si>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</si>
  <si>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</si>
  <si>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</si>
  <si>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</si>
  <si>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</si>
  <si>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</si>
  <si>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</si>
  <si>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</si>
  <si>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</si>
  <si>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</si>
  <si>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</si>
  <si>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</si>
  <si>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</si>
  <si>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</si>
  <si>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</si>
  <si>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</si>
  <si>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</si>
  <si>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</si>
  <si>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</si>
  <si>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</si>
  <si>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</si>
  <si>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</si>
  <si>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</si>
  <si>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</si>
  <si>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</si>
  <si>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</si>
  <si>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</si>
  <si>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</si>
  <si>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</si>
  <si>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</si>
  <si>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</si>
  <si>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</si>
  <si>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</si>
  <si>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</si>
  <si>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</si>
  <si>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</si>
  <si>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</si>
  <si>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</si>
  <si>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</si>
  <si>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</si>
  <si>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</si>
  <si>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</si>
  <si>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</si>
  <si>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</si>
  <si>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</si>
  <si>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</si>
  <si>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</si>
  <si>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</si>
  <si>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</si>
  <si>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</si>
  <si>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</si>
  <si>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2020-09-25@0.xlsm</t>
  </si>
  <si>
    <t>―</t>
  </si>
  <si>
    <t>2020-09-27@0.xlsm</t>
  </si>
  <si>
    <t>いちかわ</t>
  </si>
  <si>
    <t>まっつん</t>
  </si>
  <si>
    <t>Sheet3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</si>
</sst>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1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1.xml"/><Relationship Id="rId26" Type="http://schemas.openxmlformats.org/officeDocument/2006/relationships/chartsheet" Target="chartsheets/sheet9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4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8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3.xml"/><Relationship Id="rId29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7.xml"/><Relationship Id="rId32" Type="http://schemas.openxmlformats.org/officeDocument/2006/relationships/chartsheet" Target="chartsheets/sheet15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6.xml"/><Relationship Id="rId28" Type="http://schemas.openxmlformats.org/officeDocument/2006/relationships/chartsheet" Target="chartsheets/sheet1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2.xml"/><Relationship Id="rId31" Type="http://schemas.openxmlformats.org/officeDocument/2006/relationships/chartsheet" Target="chartsheets/sheet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5.xml"/><Relationship Id="rId27" Type="http://schemas.openxmlformats.org/officeDocument/2006/relationships/chartsheet" Target="chartsheets/sheet10.xml"/><Relationship Id="rId30" Type="http://schemas.openxmlformats.org/officeDocument/2006/relationships/chartsheet" Target="chartsheets/sheet13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全体!$L$2:$L$17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E-4728-B881-3DE5D2E85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-66.666666666666671</c:v>
                </c:pt>
                <c:pt idx="1">
                  <c:v>66.666666666666671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3FA-AC5B-09C55E3B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</c:v>
                </c:pt>
                <c:pt idx="1">
                  <c:v>10</c:v>
                </c:pt>
                <c:pt idx="2">
                  <c:v>1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0-4035-9C9B-87ECC922C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4-4403-B215-FB8CC182D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2020</c:v>
                </c:pt>
                <c:pt idx="1">
                  <c:v>1660</c:v>
                </c:pt>
                <c:pt idx="2">
                  <c:v>1540</c:v>
                </c:pt>
                <c:pt idx="3">
                  <c:v>1375</c:v>
                </c:pt>
                <c:pt idx="4">
                  <c:v>-900</c:v>
                </c:pt>
                <c:pt idx="5">
                  <c:v>2166.6666666666665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5-43F0-A12D-C687491C6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8-4923-BCD1-10687AD1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5-47A5-BB26-33130E20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5700</c:v>
                </c:pt>
                <c:pt idx="1">
                  <c:v>-4600</c:v>
                </c:pt>
                <c:pt idx="2">
                  <c:v>-10000</c:v>
                </c:pt>
                <c:pt idx="3">
                  <c:v>-7500</c:v>
                </c:pt>
                <c:pt idx="4">
                  <c:v>950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343-8E3A-4811B044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E-47EE-9E7B-888912C0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9-472D-982E-1AF6112D9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1750</c:v>
                </c:pt>
                <c:pt idx="1">
                  <c:v>-3300</c:v>
                </c:pt>
                <c:pt idx="2">
                  <c:v>12500</c:v>
                </c:pt>
                <c:pt idx="3">
                  <c:v>5750</c:v>
                </c:pt>
                <c:pt idx="4">
                  <c:v>6000</c:v>
                </c:pt>
                <c:pt idx="5">
                  <c:v>-8000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3-4F8F-A172-F8C5D1773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D-437E-88BF-4D132E28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7-4453-B726-9FA66B9E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9-4AAD-A7B3-BAA38CDBB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3-4196-A06E-0AF54B60D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01-4B99-8A4D-6B0BCF949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-11233.333333333334</c:v>
                </c:pt>
                <c:pt idx="1">
                  <c:v>-1233.3333333333333</c:v>
                </c:pt>
                <c:pt idx="2">
                  <c:v>-1466.6666666666667</c:v>
                </c:pt>
                <c:pt idx="3">
                  <c:v>8750</c:v>
                </c:pt>
                <c:pt idx="4">
                  <c:v>5350</c:v>
                </c:pt>
                <c:pt idx="5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7E4-8C74-D0546679D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5-47A2-A102-25332891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いちかわ2!$B$1:$B$2</c:f>
              <c:strCache>
                <c:ptCount val="2"/>
                <c:pt idx="0">
                  <c:v>いちかわ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いちかわ2!$C$1:$C$2</c:f>
              <c:strCache>
                <c:ptCount val="2"/>
                <c:pt idx="0">
                  <c:v>いちかわ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いちかわ2!$C$3:$C$6</c:f>
              <c:numCache>
                <c:formatCode>\+0.0;\-0.0;\±0</c:formatCode>
                <c:ptCount val="4"/>
                <c:pt idx="1">
                  <c:v>55.6</c:v>
                </c:pt>
                <c:pt idx="2">
                  <c:v>12.450000000000001</c:v>
                </c:pt>
                <c:pt idx="3">
                  <c:v>-6.8666666666666663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7369515717340012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いちかわ2!$D$1:$D$2</c:f>
              <c:strCache>
                <c:ptCount val="2"/>
                <c:pt idx="0">
                  <c:v>いちかわ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いちかわ2!$D$3:$D$6</c:f>
              <c:numCache>
                <c:formatCode>0.00\ "位"</c:formatCode>
                <c:ptCount val="4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いちかわ2!$E$1:$E$2</c:f>
              <c:strCache>
                <c:ptCount val="2"/>
                <c:pt idx="0">
                  <c:v>いちかわ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いちかわ2!$E$3:$E$6</c:f>
              <c:numCache>
                <c:formatCode>0.0%</c:formatCode>
                <c:ptCount val="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いちかわ2!$F$1:$F$2</c:f>
              <c:strCache>
                <c:ptCount val="2"/>
                <c:pt idx="0">
                  <c:v>いちかわ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いちかわ2!$F$3:$F$6</c:f>
              <c:numCache>
                <c:formatCode>0.0%</c:formatCode>
                <c:ptCount val="4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いちかわ2!$G$1:$G$2</c:f>
              <c:strCache>
                <c:ptCount val="2"/>
                <c:pt idx="0">
                  <c:v>いちかわ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いちかわ2!$G$3:$G$6</c:f>
              <c:numCache>
                <c:formatCode>0.0%</c:formatCode>
                <c:ptCount val="4"/>
                <c:pt idx="1">
                  <c:v>0.5</c:v>
                </c:pt>
                <c:pt idx="2">
                  <c:v>0.3125</c:v>
                </c:pt>
                <c:pt idx="3">
                  <c:v>0.23809523809523808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1929824561403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いちかわ2!$H$1:$H$2</c:f>
              <c:strCache>
                <c:ptCount val="2"/>
                <c:pt idx="0">
                  <c:v>いちかわ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いちかわ2!$H$3:$H$6</c:f>
              <c:numCache>
                <c:formatCode>0.0%</c:formatCode>
                <c:ptCount val="4"/>
                <c:pt idx="1">
                  <c:v>0.1</c:v>
                </c:pt>
                <c:pt idx="2">
                  <c:v>0.125</c:v>
                </c:pt>
                <c:pt idx="3">
                  <c:v>0.19047619047619047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035087719298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いちかわ2!$I$1:$I$2</c:f>
              <c:strCache>
                <c:ptCount val="2"/>
                <c:pt idx="0">
                  <c:v>いちかわ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いちかわ2!$I$3:$I$6</c:f>
              <c:numCache>
                <c:formatCode>0</c:formatCode>
                <c:ptCount val="4"/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867.74193548387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いちかわ2!$J$1:$J$2</c:f>
              <c:strCache>
                <c:ptCount val="2"/>
                <c:pt idx="0">
                  <c:v>いちかわ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いちかわ2!$J$3:$J$6</c:f>
              <c:numCache>
                <c:formatCode>0</c:formatCode>
                <c:ptCount val="4"/>
                <c:pt idx="1">
                  <c:v>-7700</c:v>
                </c:pt>
                <c:pt idx="2">
                  <c:v>-7700</c:v>
                </c:pt>
                <c:pt idx="3">
                  <c:v>-9850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0984.6153846153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いちかわ2!$K$1:$K$2</c:f>
              <c:strCache>
                <c:ptCount val="2"/>
                <c:pt idx="0">
                  <c:v>いちかわ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333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いちかわ2!$L$1:$L$2</c:f>
              <c:strCache>
                <c:ptCount val="2"/>
                <c:pt idx="0">
                  <c:v>いちかわ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いちかわ2!$L$3:$L$6</c:f>
              <c:numCache>
                <c:formatCode>0.0%</c:formatCode>
                <c:ptCount val="4"/>
                <c:pt idx="1">
                  <c:v>0.5</c:v>
                </c:pt>
                <c:pt idx="2">
                  <c:v>0.375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614035087719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いちかわ2!$M$1:$M$2</c:f>
              <c:strCache>
                <c:ptCount val="2"/>
                <c:pt idx="0">
                  <c:v>いちかわ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いちかわ2!$M$3:$M$6</c:f>
              <c:numCache>
                <c:formatCode>0.0%</c:formatCode>
                <c:ptCount val="4"/>
                <c:pt idx="1">
                  <c:v>0.3</c:v>
                </c:pt>
                <c:pt idx="2">
                  <c:v>0.1875</c:v>
                </c:pt>
                <c:pt idx="3">
                  <c:v>0.19047619047619047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614035087719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いちかわ2!$N$1:$N$2</c:f>
              <c:strCache>
                <c:ptCount val="2"/>
                <c:pt idx="0">
                  <c:v>いちかわ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いちかわ2!$N$3:$N$6</c:f>
              <c:numCache>
                <c:formatCode>0.0%</c:formatCode>
                <c:ptCount val="4"/>
                <c:pt idx="1">
                  <c:v>0.6</c:v>
                </c:pt>
                <c:pt idx="2">
                  <c:v>0.5</c:v>
                </c:pt>
                <c:pt idx="3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8571428571428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いちかわ2!$O$1:$O$2</c:f>
              <c:strCache>
                <c:ptCount val="2"/>
                <c:pt idx="0">
                  <c:v>いちかわ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いちかわ2!$O$3:$O$6</c:f>
              <c:numCache>
                <c:formatCode>0.0%</c:formatCode>
                <c:ptCount val="4"/>
                <c:pt idx="1">
                  <c:v>0.66666666666666663</c:v>
                </c:pt>
                <c:pt idx="2">
                  <c:v>0.66666666666666663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いちかわ2!$P$1:$P$2</c:f>
              <c:strCache>
                <c:ptCount val="2"/>
                <c:pt idx="0">
                  <c:v>いちかわ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いちかわ2!$P$3:$P$6</c:f>
              <c:numCache>
                <c:formatCode>0.0%</c:formatCode>
                <c:ptCount val="4"/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0645161290322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AA6731-ADAB-4E4C-A1E4-A01BDDD622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06003F-3C2B-49E5-B85E-0328E47A2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3EF1331-B754-4B2F-8AFF-913BF3DA56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E2947FA-0330-4717-99C1-0572D96EE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63C0FA3-D250-4D94-ADD1-8B603ED47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430D128-9A4E-4E33-8E56-3434FFFABA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3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5" x14ac:dyDescent="0.45">
      <c r="A1" s="1">
        <v>32874</v>
      </c>
      <c r="B1" s="1">
        <v>2958465</v>
      </c>
    </row>
    <row r="2" spans="1:5" x14ac:dyDescent="0.45">
      <c r="A2" s="2" t="s">
        <v>192</v>
      </c>
      <c r="B2" s="3">
        <v>44099.878622685188</v>
      </c>
      <c r="C2" s="2" t="s">
        <v>127</v>
      </c>
      <c r="D2" s="2" t="s">
        <v>189</v>
      </c>
    </row>
    <row r="3" spans="1:5" x14ac:dyDescent="0.45">
      <c r="A3" s="2" t="s">
        <v>194</v>
      </c>
      <c r="B3" s="3">
        <v>44101.628645833334</v>
      </c>
      <c r="C3" s="2" t="s">
        <v>127</v>
      </c>
      <c r="D3" s="2" t="s">
        <v>189</v>
      </c>
      <c r="E3" s="2" t="s">
        <v>197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15</v>
      </c>
    </row>
    <row r="2" spans="1:2" x14ac:dyDescent="0.45">
      <c r="A2" t="s">
        <v>126</v>
      </c>
      <c r="B2">
        <v>5</v>
      </c>
    </row>
    <row r="3" spans="1:2" x14ac:dyDescent="0.45">
      <c r="A3" t="s">
        <v>164</v>
      </c>
      <c r="B3">
        <v>2</v>
      </c>
    </row>
    <row r="4" spans="1:2" x14ac:dyDescent="0.45">
      <c r="A4" t="s">
        <v>190</v>
      </c>
      <c r="B4">
        <v>2</v>
      </c>
    </row>
    <row r="5" spans="1:2" x14ac:dyDescent="0.45">
      <c r="A5" t="s">
        <v>196</v>
      </c>
      <c r="B5">
        <v>3</v>
      </c>
    </row>
    <row r="6" spans="1:2" x14ac:dyDescent="0.45">
      <c r="A6" t="s">
        <v>195</v>
      </c>
      <c r="B6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/>
      <c r="C1" s="134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0</v>
      </c>
      <c r="C2" s="136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7">
        <v>0</v>
      </c>
      <c r="C3" s="138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9">
        <v>0</v>
      </c>
      <c r="C4" s="140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7">
        <f>IF(B$2=0,0,B$4/B$2)</f>
        <v>0</v>
      </c>
      <c r="C5" s="128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1">
        <f>IF(B$2=0,0,(B$7*1+B$8*2+B$9*3)/B$2)</f>
        <v>0</v>
      </c>
      <c r="C6" s="142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9">
        <v>0</v>
      </c>
      <c r="C32" s="130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1">
        <v>-1000000</v>
      </c>
      <c r="C33" s="132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8"/>
  <sheetViews>
    <sheetView showGridLines="0" tabSelected="1" zoomScale="130" zoomScaleNormal="130" workbookViewId="0">
      <selection activeCell="A2" sqref="A2"/>
    </sheetView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191</v>
      </c>
      <c r="B1" s="147" t="s">
        <v>9</v>
      </c>
      <c r="C1" s="148"/>
      <c r="D1" s="143" t="s">
        <v>6</v>
      </c>
      <c r="E1" s="144"/>
      <c r="F1" s="143" t="s">
        <v>7</v>
      </c>
      <c r="G1" s="144"/>
      <c r="H1" s="147" t="s">
        <v>188</v>
      </c>
      <c r="I1" s="148"/>
      <c r="J1" s="143" t="s">
        <v>15</v>
      </c>
      <c r="K1" s="144"/>
      <c r="L1" s="143" t="s">
        <v>14</v>
      </c>
      <c r="M1" s="144"/>
      <c r="N1" s="143" t="s">
        <v>150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181</v>
      </c>
      <c r="AK1" s="144"/>
    </row>
    <row r="2" spans="1:37" x14ac:dyDescent="0.45">
      <c r="A2" s="38" t="s">
        <v>149</v>
      </c>
      <c r="B2" s="145" t="s">
        <v>193</v>
      </c>
      <c r="C2" s="146"/>
      <c r="D2" s="149"/>
      <c r="E2" s="150"/>
      <c r="F2" s="149"/>
      <c r="G2" s="150"/>
      <c r="H2" s="145" t="s">
        <v>193</v>
      </c>
      <c r="I2" s="146"/>
      <c r="J2" s="145" t="s">
        <v>193</v>
      </c>
      <c r="K2" s="146"/>
      <c r="L2" s="145" t="s">
        <v>193</v>
      </c>
      <c r="M2" s="146"/>
      <c r="N2" s="145" t="s">
        <v>193</v>
      </c>
      <c r="O2" s="146"/>
      <c r="P2" s="145" t="s">
        <v>193</v>
      </c>
      <c r="Q2" s="146"/>
      <c r="R2" s="145" t="s">
        <v>193</v>
      </c>
      <c r="S2" s="146"/>
      <c r="T2" s="145" t="s">
        <v>193</v>
      </c>
      <c r="U2" s="146"/>
      <c r="V2" s="145" t="s">
        <v>193</v>
      </c>
      <c r="W2" s="146"/>
      <c r="X2" s="145" t="s">
        <v>193</v>
      </c>
      <c r="Y2" s="146"/>
      <c r="Z2" s="145" t="s">
        <v>193</v>
      </c>
      <c r="AA2" s="146"/>
      <c r="AB2" s="145" t="s">
        <v>193</v>
      </c>
      <c r="AC2" s="146"/>
      <c r="AD2" s="145" t="s">
        <v>193</v>
      </c>
      <c r="AE2" s="146"/>
      <c r="AF2" s="145" t="s">
        <v>193</v>
      </c>
      <c r="AG2" s="146"/>
      <c r="AH2" s="145" t="s">
        <v>193</v>
      </c>
      <c r="AI2" s="146"/>
      <c r="AJ2" s="145" t="s">
        <v>193</v>
      </c>
      <c r="AK2" s="146"/>
    </row>
    <row r="3" spans="1:37" x14ac:dyDescent="0.45">
      <c r="A3" s="40">
        <v>1</v>
      </c>
      <c r="B3" s="43" t="s">
        <v>139</v>
      </c>
      <c r="C3" s="117">
        <v>5</v>
      </c>
      <c r="D3" s="41" t="s">
        <v>126</v>
      </c>
      <c r="E3" s="42">
        <v>123.5</v>
      </c>
      <c r="F3" s="43" t="s">
        <v>126</v>
      </c>
      <c r="G3" s="62">
        <v>24.7</v>
      </c>
      <c r="H3" s="43" t="s">
        <v>190</v>
      </c>
      <c r="I3" s="62">
        <v>6.0666666666666664</v>
      </c>
      <c r="J3" s="43" t="s">
        <v>126</v>
      </c>
      <c r="K3" s="44">
        <v>1.2</v>
      </c>
      <c r="L3" s="43" t="s">
        <v>126</v>
      </c>
      <c r="M3" s="45">
        <v>0.8</v>
      </c>
      <c r="N3" s="43" t="s">
        <v>126</v>
      </c>
      <c r="O3" s="45">
        <v>0</v>
      </c>
      <c r="P3" s="43" t="s">
        <v>190</v>
      </c>
      <c r="Q3" s="46">
        <v>0.41176470588235292</v>
      </c>
      <c r="R3" s="43" t="s">
        <v>196</v>
      </c>
      <c r="S3" s="46">
        <v>4.7619047619047616E-2</v>
      </c>
      <c r="T3" s="43" t="s">
        <v>126</v>
      </c>
      <c r="U3" s="47">
        <v>11723.076923076924</v>
      </c>
      <c r="V3" s="43" t="s">
        <v>196</v>
      </c>
      <c r="W3" s="47">
        <v>-3900</v>
      </c>
      <c r="X3" s="43" t="s">
        <v>126</v>
      </c>
      <c r="Y3" s="45">
        <v>0</v>
      </c>
      <c r="Z3" s="43" t="s">
        <v>195</v>
      </c>
      <c r="AA3" s="46">
        <v>0.33333333333333331</v>
      </c>
      <c r="AB3" s="43" t="s">
        <v>190</v>
      </c>
      <c r="AC3" s="46">
        <v>0.47058823529411764</v>
      </c>
      <c r="AD3" s="43" t="s">
        <v>196</v>
      </c>
      <c r="AE3" s="46">
        <v>0.5</v>
      </c>
      <c r="AF3" s="43" t="s">
        <v>190</v>
      </c>
      <c r="AG3" s="46">
        <v>0.625</v>
      </c>
      <c r="AH3" s="43" t="s">
        <v>195</v>
      </c>
      <c r="AI3" s="46">
        <v>0.8</v>
      </c>
      <c r="AJ3" s="43" t="s">
        <v>139</v>
      </c>
      <c r="AK3" s="57">
        <v>80600</v>
      </c>
    </row>
    <row r="4" spans="1:37" x14ac:dyDescent="0.45">
      <c r="A4" s="48">
        <v>2</v>
      </c>
      <c r="B4" s="51" t="s">
        <v>126</v>
      </c>
      <c r="C4" s="118">
        <v>5</v>
      </c>
      <c r="D4" s="49" t="s">
        <v>190</v>
      </c>
      <c r="E4" s="50">
        <v>36.4</v>
      </c>
      <c r="F4" s="51" t="s">
        <v>190</v>
      </c>
      <c r="G4" s="63">
        <v>18.2</v>
      </c>
      <c r="H4" s="51" t="s">
        <v>195</v>
      </c>
      <c r="I4" s="63">
        <v>5.833333333333333</v>
      </c>
      <c r="J4" s="51" t="s">
        <v>139</v>
      </c>
      <c r="K4" s="52">
        <v>2</v>
      </c>
      <c r="L4" s="51" t="s">
        <v>139</v>
      </c>
      <c r="M4" s="53">
        <v>0.33333333333333331</v>
      </c>
      <c r="N4" s="51" t="s">
        <v>190</v>
      </c>
      <c r="O4" s="53">
        <v>0</v>
      </c>
      <c r="P4" s="51" t="s">
        <v>126</v>
      </c>
      <c r="Q4" s="54">
        <v>0.34210526315789475</v>
      </c>
      <c r="R4" s="51" t="s">
        <v>190</v>
      </c>
      <c r="S4" s="54">
        <v>5.8823529411764705E-2</v>
      </c>
      <c r="T4" s="51" t="s">
        <v>139</v>
      </c>
      <c r="U4" s="55">
        <v>9867.7419354838712</v>
      </c>
      <c r="V4" s="51" t="s">
        <v>126</v>
      </c>
      <c r="W4" s="55">
        <v>-4975</v>
      </c>
      <c r="X4" s="51" t="s">
        <v>190</v>
      </c>
      <c r="Y4" s="53">
        <v>0</v>
      </c>
      <c r="Z4" s="51" t="s">
        <v>164</v>
      </c>
      <c r="AA4" s="54">
        <v>0.29411764705882354</v>
      </c>
      <c r="AB4" s="51" t="s">
        <v>139</v>
      </c>
      <c r="AC4" s="54">
        <v>0.24561403508771928</v>
      </c>
      <c r="AD4" s="51" t="s">
        <v>126</v>
      </c>
      <c r="AE4" s="54">
        <v>0.44444444444444442</v>
      </c>
      <c r="AF4" s="51" t="s">
        <v>126</v>
      </c>
      <c r="AG4" s="54">
        <v>0.55555555555555558</v>
      </c>
      <c r="AH4" s="51" t="s">
        <v>126</v>
      </c>
      <c r="AI4" s="54">
        <v>0.69230769230769229</v>
      </c>
      <c r="AJ4" s="51" t="s">
        <v>195</v>
      </c>
      <c r="AK4" s="58">
        <v>80600</v>
      </c>
    </row>
    <row r="5" spans="1:37" x14ac:dyDescent="0.45">
      <c r="A5" s="48">
        <v>3</v>
      </c>
      <c r="B5" s="51" t="s">
        <v>196</v>
      </c>
      <c r="C5" s="118">
        <v>3</v>
      </c>
      <c r="D5" s="49" t="s">
        <v>139</v>
      </c>
      <c r="E5" s="50">
        <v>-7.1054273576010019E-15</v>
      </c>
      <c r="F5" s="51" t="s">
        <v>139</v>
      </c>
      <c r="G5" s="63">
        <v>-4.7369515717340012E-16</v>
      </c>
      <c r="H5" s="51" t="s">
        <v>126</v>
      </c>
      <c r="I5" s="63">
        <v>4.791666666666667</v>
      </c>
      <c r="J5" s="51" t="s">
        <v>190</v>
      </c>
      <c r="K5" s="52">
        <v>2</v>
      </c>
      <c r="L5" s="51" t="s">
        <v>195</v>
      </c>
      <c r="M5" s="53">
        <v>0.33333333333333331</v>
      </c>
      <c r="N5" s="51" t="s">
        <v>139</v>
      </c>
      <c r="O5" s="53">
        <v>0.33333333333333331</v>
      </c>
      <c r="P5" s="51" t="s">
        <v>139</v>
      </c>
      <c r="Q5" s="54">
        <v>0.27192982456140352</v>
      </c>
      <c r="R5" s="51" t="s">
        <v>126</v>
      </c>
      <c r="S5" s="54">
        <v>0.10526315789473684</v>
      </c>
      <c r="T5" s="51" t="s">
        <v>164</v>
      </c>
      <c r="U5" s="55">
        <v>9300</v>
      </c>
      <c r="V5" s="51" t="s">
        <v>190</v>
      </c>
      <c r="W5" s="55">
        <v>-8000</v>
      </c>
      <c r="X5" s="51" t="s">
        <v>196</v>
      </c>
      <c r="Y5" s="53">
        <v>0</v>
      </c>
      <c r="Z5" s="51" t="s">
        <v>190</v>
      </c>
      <c r="AA5" s="54">
        <v>0.29411764705882354</v>
      </c>
      <c r="AB5" s="51" t="s">
        <v>196</v>
      </c>
      <c r="AC5" s="54">
        <v>0.23809523809523808</v>
      </c>
      <c r="AD5" s="51" t="s">
        <v>139</v>
      </c>
      <c r="AE5" s="54">
        <v>0.42857142857142855</v>
      </c>
      <c r="AF5" s="51" t="s">
        <v>139</v>
      </c>
      <c r="AG5" s="54">
        <v>0.5</v>
      </c>
      <c r="AH5" s="51" t="s">
        <v>139</v>
      </c>
      <c r="AI5" s="54">
        <v>0.58064516129032262</v>
      </c>
      <c r="AJ5" s="51" t="s">
        <v>126</v>
      </c>
      <c r="AK5" s="58">
        <v>74000</v>
      </c>
    </row>
    <row r="6" spans="1:37" x14ac:dyDescent="0.45">
      <c r="A6" s="48">
        <v>4</v>
      </c>
      <c r="B6" s="51" t="s">
        <v>195</v>
      </c>
      <c r="C6" s="118">
        <v>3</v>
      </c>
      <c r="D6" s="49" t="s">
        <v>195</v>
      </c>
      <c r="E6" s="50">
        <v>-20.599999999999998</v>
      </c>
      <c r="F6" s="51" t="s">
        <v>195</v>
      </c>
      <c r="G6" s="63">
        <v>-6.8666666666666663</v>
      </c>
      <c r="H6" s="51" t="s">
        <v>139</v>
      </c>
      <c r="I6" s="63">
        <v>0</v>
      </c>
      <c r="J6" s="51" t="s">
        <v>196</v>
      </c>
      <c r="K6" s="52">
        <v>2.3333333333333335</v>
      </c>
      <c r="L6" s="51" t="s">
        <v>164</v>
      </c>
      <c r="M6" s="53">
        <v>0</v>
      </c>
      <c r="N6" s="51" t="s">
        <v>196</v>
      </c>
      <c r="O6" s="53">
        <v>0.33333333333333331</v>
      </c>
      <c r="P6" s="51" t="s">
        <v>195</v>
      </c>
      <c r="Q6" s="54">
        <v>0.23809523809523808</v>
      </c>
      <c r="R6" s="51" t="s">
        <v>139</v>
      </c>
      <c r="S6" s="54">
        <v>0.11403508771929824</v>
      </c>
      <c r="T6" s="51" t="s">
        <v>190</v>
      </c>
      <c r="U6" s="55">
        <v>9028.5714285714294</v>
      </c>
      <c r="V6" s="51" t="s">
        <v>195</v>
      </c>
      <c r="W6" s="55">
        <v>-9850</v>
      </c>
      <c r="X6" s="51" t="s">
        <v>139</v>
      </c>
      <c r="Y6" s="53">
        <v>0.13333333333333333</v>
      </c>
      <c r="Z6" s="51" t="s">
        <v>139</v>
      </c>
      <c r="AA6" s="54">
        <v>0.24561403508771928</v>
      </c>
      <c r="AB6" s="51" t="s">
        <v>126</v>
      </c>
      <c r="AC6" s="54">
        <v>0.23684210526315788</v>
      </c>
      <c r="AD6" s="51" t="s">
        <v>195</v>
      </c>
      <c r="AE6" s="54">
        <v>0.42857142857142855</v>
      </c>
      <c r="AF6" s="51" t="s">
        <v>164</v>
      </c>
      <c r="AG6" s="54">
        <v>0.5</v>
      </c>
      <c r="AH6" s="51" t="s">
        <v>190</v>
      </c>
      <c r="AI6" s="54">
        <v>0.5714285714285714</v>
      </c>
      <c r="AJ6" s="51" t="s">
        <v>190</v>
      </c>
      <c r="AK6" s="58">
        <v>61300</v>
      </c>
    </row>
    <row r="7" spans="1:37" x14ac:dyDescent="0.45">
      <c r="A7" s="48">
        <v>5</v>
      </c>
      <c r="B7" s="51" t="s">
        <v>164</v>
      </c>
      <c r="C7" s="118">
        <v>2</v>
      </c>
      <c r="D7" s="49" t="s">
        <v>196</v>
      </c>
      <c r="E7" s="50">
        <v>-40.4</v>
      </c>
      <c r="F7" s="51" t="s">
        <v>196</v>
      </c>
      <c r="G7" s="63">
        <v>-13.466666666666667</v>
      </c>
      <c r="H7" s="51" t="s">
        <v>196</v>
      </c>
      <c r="I7" s="63">
        <v>-12.333333333333334</v>
      </c>
      <c r="J7" s="51" t="s">
        <v>195</v>
      </c>
      <c r="K7" s="52">
        <v>2.3333333333333335</v>
      </c>
      <c r="L7" s="51" t="s">
        <v>190</v>
      </c>
      <c r="M7" s="53">
        <v>0</v>
      </c>
      <c r="N7" s="51" t="s">
        <v>195</v>
      </c>
      <c r="O7" s="53">
        <v>0.66666666666666663</v>
      </c>
      <c r="P7" s="51" t="s">
        <v>164</v>
      </c>
      <c r="Q7" s="54">
        <v>0.17647058823529413</v>
      </c>
      <c r="R7" s="51" t="s">
        <v>164</v>
      </c>
      <c r="S7" s="54">
        <v>0.17647058823529413</v>
      </c>
      <c r="T7" s="51" t="s">
        <v>195</v>
      </c>
      <c r="U7" s="55">
        <v>9000</v>
      </c>
      <c r="V7" s="51" t="s">
        <v>139</v>
      </c>
      <c r="W7" s="55">
        <v>-10984.615384615385</v>
      </c>
      <c r="X7" s="51" t="s">
        <v>195</v>
      </c>
      <c r="Y7" s="53">
        <v>0.33333333333333331</v>
      </c>
      <c r="Z7" s="51" t="s">
        <v>126</v>
      </c>
      <c r="AA7" s="54">
        <v>0.23684210526315788</v>
      </c>
      <c r="AB7" s="51" t="s">
        <v>195</v>
      </c>
      <c r="AC7" s="54">
        <v>0.19047619047619047</v>
      </c>
      <c r="AD7" s="51" t="s">
        <v>164</v>
      </c>
      <c r="AE7" s="54">
        <v>0.4</v>
      </c>
      <c r="AF7" s="51" t="s">
        <v>195</v>
      </c>
      <c r="AG7" s="54">
        <v>0.5</v>
      </c>
      <c r="AH7" s="51" t="s">
        <v>164</v>
      </c>
      <c r="AI7" s="54">
        <v>0.33333333333333331</v>
      </c>
      <c r="AJ7" s="51" t="s">
        <v>196</v>
      </c>
      <c r="AK7" s="58">
        <v>31700</v>
      </c>
    </row>
    <row r="8" spans="1:37" x14ac:dyDescent="0.45">
      <c r="A8" s="48">
        <v>6</v>
      </c>
      <c r="B8" s="51" t="s">
        <v>190</v>
      </c>
      <c r="C8" s="118">
        <v>2</v>
      </c>
      <c r="D8" s="49" t="s">
        <v>164</v>
      </c>
      <c r="E8" s="50">
        <v>-98.9</v>
      </c>
      <c r="F8" s="51" t="s">
        <v>164</v>
      </c>
      <c r="G8" s="63">
        <v>-49.45</v>
      </c>
      <c r="H8" s="51" t="s">
        <v>164</v>
      </c>
      <c r="I8" s="63">
        <v>-16.483333333333334</v>
      </c>
      <c r="J8" s="51" t="s">
        <v>164</v>
      </c>
      <c r="K8" s="52">
        <v>3</v>
      </c>
      <c r="L8" s="51" t="s">
        <v>196</v>
      </c>
      <c r="M8" s="53">
        <v>0</v>
      </c>
      <c r="N8" s="51" t="s">
        <v>164</v>
      </c>
      <c r="O8" s="53">
        <v>1</v>
      </c>
      <c r="P8" s="51" t="s">
        <v>196</v>
      </c>
      <c r="Q8" s="54">
        <v>0.14285714285714285</v>
      </c>
      <c r="R8" s="51" t="s">
        <v>195</v>
      </c>
      <c r="S8" s="54">
        <v>0.19047619047619047</v>
      </c>
      <c r="T8" s="51" t="s">
        <v>196</v>
      </c>
      <c r="U8" s="55">
        <v>5800</v>
      </c>
      <c r="V8" s="51" t="s">
        <v>164</v>
      </c>
      <c r="W8" s="55">
        <v>-23866.666666666668</v>
      </c>
      <c r="X8" s="51" t="s">
        <v>164</v>
      </c>
      <c r="Y8" s="53">
        <v>0.5</v>
      </c>
      <c r="Z8" s="51" t="s">
        <v>196</v>
      </c>
      <c r="AA8" s="54">
        <v>9.5238095238095233E-2</v>
      </c>
      <c r="AB8" s="51" t="s">
        <v>164</v>
      </c>
      <c r="AC8" s="54">
        <v>0.11764705882352941</v>
      </c>
      <c r="AD8" s="51" t="s">
        <v>190</v>
      </c>
      <c r="AE8" s="54">
        <v>0.4</v>
      </c>
      <c r="AF8" s="51" t="s">
        <v>196</v>
      </c>
      <c r="AG8" s="54">
        <v>0.2</v>
      </c>
      <c r="AH8" s="51" t="s">
        <v>196</v>
      </c>
      <c r="AI8" s="54">
        <v>0</v>
      </c>
      <c r="AJ8" s="51" t="s">
        <v>164</v>
      </c>
      <c r="AK8" s="58">
        <v>14000</v>
      </c>
    </row>
  </sheetData>
  <sortState xmlns:xlrd2="http://schemas.microsoft.com/office/spreadsheetml/2017/richdata2" ref="AJ3:AK32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2990-2DAC-4500-9354-D9CF23DB8966}">
  <sheetPr codeName="Sheet4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139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15</v>
      </c>
      <c r="C2" s="136"/>
      <c r="E2" s="28" t="s">
        <v>72</v>
      </c>
      <c r="F2" s="25" t="s">
        <v>27</v>
      </c>
      <c r="G2" s="13">
        <v>26</v>
      </c>
      <c r="H2" s="91">
        <f>IF(B$19=0,0,G2/B$19)</f>
        <v>0.83870967741935487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-66.666666666666671</v>
      </c>
      <c r="P2" s="80">
        <v>15</v>
      </c>
      <c r="Q2" s="67">
        <v>-1000</v>
      </c>
    </row>
    <row r="3" spans="1:17" x14ac:dyDescent="0.45">
      <c r="A3" s="21" t="s">
        <v>8</v>
      </c>
      <c r="B3" s="137">
        <v>114</v>
      </c>
      <c r="C3" s="138"/>
      <c r="E3" s="29" t="s">
        <v>66</v>
      </c>
      <c r="F3" s="26" t="s">
        <v>22</v>
      </c>
      <c r="G3" s="14">
        <v>18</v>
      </c>
      <c r="H3" s="92">
        <f>IF(B$19=0,0,G3/B$19)</f>
        <v>0.58064516129032262</v>
      </c>
      <c r="I3" s="60">
        <v>4</v>
      </c>
      <c r="K3" s="7">
        <v>1</v>
      </c>
      <c r="L3" s="65">
        <v>20.9</v>
      </c>
      <c r="N3" s="78" t="s">
        <v>129</v>
      </c>
      <c r="O3" s="84">
        <f t="shared" si="0"/>
        <v>66.666666666666671</v>
      </c>
      <c r="P3" s="81">
        <v>15</v>
      </c>
      <c r="Q3" s="68">
        <v>1000</v>
      </c>
    </row>
    <row r="4" spans="1:17" x14ac:dyDescent="0.45">
      <c r="A4" s="21" t="s">
        <v>6</v>
      </c>
      <c r="B4" s="139">
        <v>-7.1054273576010019E-15</v>
      </c>
      <c r="C4" s="140"/>
      <c r="E4" s="29" t="s">
        <v>160</v>
      </c>
      <c r="F4" s="26" t="s">
        <v>161</v>
      </c>
      <c r="G4" s="14">
        <v>15</v>
      </c>
      <c r="H4" s="92">
        <f>IF(B$19=0,0,G4/B$19)</f>
        <v>0.4838709677419355</v>
      </c>
      <c r="I4" s="60">
        <v>3</v>
      </c>
      <c r="K4" s="7">
        <v>2</v>
      </c>
      <c r="L4" s="65">
        <v>-10.100000000000001</v>
      </c>
      <c r="N4" s="78" t="s">
        <v>130</v>
      </c>
      <c r="O4" s="84">
        <f t="shared" si="0"/>
        <v>0</v>
      </c>
      <c r="P4" s="81">
        <v>15</v>
      </c>
      <c r="Q4" s="68">
        <v>0</v>
      </c>
    </row>
    <row r="5" spans="1:17" x14ac:dyDescent="0.45">
      <c r="A5" s="21" t="s">
        <v>7</v>
      </c>
      <c r="B5" s="127">
        <f>IF(B$2=0,0,B$4/B$2)</f>
        <v>-4.7369515717340012E-16</v>
      </c>
      <c r="C5" s="128"/>
      <c r="E5" s="29" t="s">
        <v>64</v>
      </c>
      <c r="F5" s="26" t="s">
        <v>20</v>
      </c>
      <c r="G5" s="14">
        <v>12</v>
      </c>
      <c r="H5" s="92">
        <f>IF(B$19=0,0,G5/B$19)</f>
        <v>0.38709677419354838</v>
      </c>
      <c r="I5" s="60">
        <v>3</v>
      </c>
      <c r="K5" s="7">
        <v>3</v>
      </c>
      <c r="L5" s="65">
        <v>-1.7763568394002505E-15</v>
      </c>
      <c r="N5" s="78" t="s">
        <v>131</v>
      </c>
      <c r="O5" s="84">
        <f t="shared" si="0"/>
        <v>0</v>
      </c>
      <c r="P5" s="81">
        <v>12</v>
      </c>
      <c r="Q5" s="68">
        <v>0</v>
      </c>
    </row>
    <row r="6" spans="1:17" x14ac:dyDescent="0.45">
      <c r="A6" s="21" t="s">
        <v>1</v>
      </c>
      <c r="B6" s="141">
        <f>IF(B$2=0,0,(B$7*1+B$8*2+B$9*3)/B$2)</f>
        <v>2</v>
      </c>
      <c r="C6" s="142"/>
      <c r="E6" s="29" t="s">
        <v>67</v>
      </c>
      <c r="F6" s="26" t="s">
        <v>23</v>
      </c>
      <c r="G6" s="14">
        <v>11</v>
      </c>
      <c r="H6" s="92">
        <f>IF(B$19=0,0,G6/B$19)</f>
        <v>0.35483870967741937</v>
      </c>
      <c r="I6" s="60">
        <v>3</v>
      </c>
      <c r="K6" s="7">
        <v>4</v>
      </c>
      <c r="L6" s="65">
        <v>26.299999999999997</v>
      </c>
      <c r="N6" s="78" t="s">
        <v>132</v>
      </c>
      <c r="O6" s="84">
        <f t="shared" si="0"/>
        <v>0</v>
      </c>
      <c r="P6" s="81">
        <v>12</v>
      </c>
      <c r="Q6" s="68">
        <v>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0.33333333333333331</v>
      </c>
      <c r="E7" s="29" t="s">
        <v>68</v>
      </c>
      <c r="F7" s="26" t="s">
        <v>12</v>
      </c>
      <c r="G7" s="14">
        <v>9</v>
      </c>
      <c r="H7" s="92">
        <f>IF(B$19=0,0,G7/B$19)</f>
        <v>0.29032258064516131</v>
      </c>
      <c r="I7" s="60">
        <v>3</v>
      </c>
      <c r="K7" s="7">
        <v>5</v>
      </c>
      <c r="L7" s="65">
        <v>-41.600000000000009</v>
      </c>
      <c r="N7" s="79" t="s">
        <v>133</v>
      </c>
      <c r="O7" s="85">
        <f t="shared" si="0"/>
        <v>0</v>
      </c>
      <c r="P7" s="82">
        <v>9</v>
      </c>
      <c r="Q7" s="69">
        <v>0</v>
      </c>
    </row>
    <row r="8" spans="1:17" x14ac:dyDescent="0.45">
      <c r="A8" s="21" t="s">
        <v>3</v>
      </c>
      <c r="B8" s="14">
        <v>5</v>
      </c>
      <c r="C8" s="8">
        <f t="shared" si="1"/>
        <v>0.33333333333333331</v>
      </c>
      <c r="E8" s="29" t="s">
        <v>89</v>
      </c>
      <c r="F8" s="26" t="s">
        <v>44</v>
      </c>
      <c r="G8" s="14">
        <v>5</v>
      </c>
      <c r="H8" s="92">
        <f>IF(B$19=0,0,G8/B$19)</f>
        <v>0.16129032258064516</v>
      </c>
      <c r="I8" s="60">
        <v>3</v>
      </c>
      <c r="K8" s="7">
        <v>6</v>
      </c>
      <c r="L8" s="65">
        <v>-7.1054273576010019E-15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0.33333333333333331</v>
      </c>
      <c r="E9" s="29" t="s">
        <v>69</v>
      </c>
      <c r="F9" s="26" t="s">
        <v>24</v>
      </c>
      <c r="G9" s="14">
        <v>4</v>
      </c>
      <c r="H9" s="92">
        <f>IF(B$19=0,0,G9/B$19)</f>
        <v>0.12903225806451613</v>
      </c>
      <c r="I9" s="60">
        <v>4</v>
      </c>
      <c r="K9" s="7">
        <v>7</v>
      </c>
      <c r="L9" s="65">
        <v>-33.600000000000009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40.22</v>
      </c>
      <c r="C10" s="114">
        <v>201.1</v>
      </c>
      <c r="E10" s="29" t="s">
        <v>81</v>
      </c>
      <c r="F10" s="26" t="s">
        <v>36</v>
      </c>
      <c r="G10" s="14">
        <v>4</v>
      </c>
      <c r="H10" s="92">
        <f>IF(B$19=0,0,G10/B$19)</f>
        <v>0.12903225806451613</v>
      </c>
      <c r="I10" s="60">
        <v>4</v>
      </c>
      <c r="K10" s="7">
        <v>8</v>
      </c>
      <c r="L10" s="65">
        <v>21.999999999999993</v>
      </c>
      <c r="N10" s="77" t="s">
        <v>152</v>
      </c>
      <c r="O10" s="86">
        <f>IF(P10=0,0,Q10/P10)</f>
        <v>6.3800000000000008</v>
      </c>
      <c r="P10" s="80">
        <v>5</v>
      </c>
      <c r="Q10" s="71">
        <v>31.900000000000002</v>
      </c>
    </row>
    <row r="11" spans="1:17" x14ac:dyDescent="0.45">
      <c r="A11" s="22" t="s">
        <v>186</v>
      </c>
      <c r="B11" s="113">
        <f>IF(B8=0,0,C11/B8)</f>
        <v>1.5199999999999996</v>
      </c>
      <c r="C11" s="114">
        <v>7.5999999999999979</v>
      </c>
      <c r="E11" s="29" t="s">
        <v>83</v>
      </c>
      <c r="F11" s="26" t="s">
        <v>38</v>
      </c>
      <c r="G11" s="14">
        <v>4</v>
      </c>
      <c r="H11" s="92">
        <f>IF(B$19=0,0,G11/B$19)</f>
        <v>0.12903225806451613</v>
      </c>
      <c r="I11" s="60">
        <v>4</v>
      </c>
      <c r="K11" s="7">
        <v>9</v>
      </c>
      <c r="L11" s="65">
        <v>-7.1054273576010019E-15</v>
      </c>
      <c r="N11" s="78" t="s">
        <v>153</v>
      </c>
      <c r="O11" s="87">
        <f>IF(P11=0,0,Q11/P11)</f>
        <v>-18.419999999999998</v>
      </c>
      <c r="P11" s="81">
        <v>5</v>
      </c>
      <c r="Q11" s="72">
        <v>-92.1</v>
      </c>
    </row>
    <row r="12" spans="1:17" x14ac:dyDescent="0.45">
      <c r="A12" s="22" t="s">
        <v>187</v>
      </c>
      <c r="B12" s="113">
        <f>IF(B9=0,0,C12/B9)</f>
        <v>-41.739999999999995</v>
      </c>
      <c r="C12" s="114">
        <v>-208.7</v>
      </c>
      <c r="E12" s="29" t="s">
        <v>65</v>
      </c>
      <c r="F12" s="26" t="s">
        <v>21</v>
      </c>
      <c r="G12" s="14">
        <v>2</v>
      </c>
      <c r="H12" s="92">
        <f>IF(B$19=0,0,G12/B$19)</f>
        <v>6.4516129032258063E-2</v>
      </c>
      <c r="I12" s="60">
        <v>3</v>
      </c>
      <c r="K12" s="7">
        <v>10</v>
      </c>
      <c r="L12" s="65">
        <v>-30.700000000000006</v>
      </c>
      <c r="N12" s="79" t="s">
        <v>154</v>
      </c>
      <c r="O12" s="88">
        <f>IF(P12=0,0,Q12/P12)</f>
        <v>12.040000000000001</v>
      </c>
      <c r="P12" s="82">
        <v>5</v>
      </c>
      <c r="Q12" s="73">
        <v>60.2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70</v>
      </c>
      <c r="F13" s="26" t="s">
        <v>25</v>
      </c>
      <c r="G13" s="14">
        <v>2</v>
      </c>
      <c r="H13" s="92">
        <f>IF(B$19=0,0,G13/B$19)</f>
        <v>6.4516129032258063E-2</v>
      </c>
      <c r="I13" s="60">
        <v>3</v>
      </c>
      <c r="K13" s="7">
        <v>11</v>
      </c>
      <c r="L13" s="65">
        <v>-34.000000000000007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0.13333333333333333</v>
      </c>
      <c r="E14" s="29" t="s">
        <v>78</v>
      </c>
      <c r="F14" s="26" t="s">
        <v>33</v>
      </c>
      <c r="G14" s="14">
        <v>1</v>
      </c>
      <c r="H14" s="92">
        <f>IF(B$19=0,0,G14/B$19)</f>
        <v>3.2258064516129031E-2</v>
      </c>
      <c r="I14" s="60">
        <v>2</v>
      </c>
      <c r="K14" s="7">
        <v>12</v>
      </c>
      <c r="L14" s="65">
        <v>-7.1054273576010019E-15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28</v>
      </c>
      <c r="C15" s="12">
        <f>IF(B$3=0,0,B15/B$3)</f>
        <v>0.24561403508771928</v>
      </c>
      <c r="E15" s="29" t="s">
        <v>92</v>
      </c>
      <c r="F15" s="26" t="s">
        <v>47</v>
      </c>
      <c r="G15" s="14">
        <v>1</v>
      </c>
      <c r="H15" s="92">
        <f>IF(B$19=0,0,G15/B$19)</f>
        <v>3.2258064516129031E-2</v>
      </c>
      <c r="I15" s="60">
        <v>2</v>
      </c>
      <c r="K15" s="7">
        <v>13</v>
      </c>
      <c r="L15" s="65">
        <v>48.999999999999993</v>
      </c>
      <c r="N15" s="77" t="s">
        <v>164</v>
      </c>
      <c r="O15" s="86">
        <f>IF(P15=0,0,Q15/P15)</f>
        <v>74.174999999999997</v>
      </c>
      <c r="P15" s="80">
        <v>4</v>
      </c>
      <c r="Q15" s="71">
        <v>296.7</v>
      </c>
    </row>
    <row r="16" spans="1:17" x14ac:dyDescent="0.45">
      <c r="A16" s="21" t="s">
        <v>118</v>
      </c>
      <c r="B16" s="14">
        <v>28</v>
      </c>
      <c r="C16" s="8">
        <f>IF(B$3=0,0,B16/B$3)</f>
        <v>0.24561403508771928</v>
      </c>
      <c r="E16" s="29" t="s">
        <v>71</v>
      </c>
      <c r="F16" s="26" t="s">
        <v>26</v>
      </c>
      <c r="G16" s="14">
        <v>0</v>
      </c>
      <c r="H16" s="92">
        <f>IF(B$19=0,0,G16/B$19)</f>
        <v>0</v>
      </c>
      <c r="I16" s="60">
        <v>1</v>
      </c>
      <c r="K16" s="7">
        <v>14</v>
      </c>
      <c r="L16" s="65">
        <v>3.4999999999999929</v>
      </c>
      <c r="N16" s="78" t="s">
        <v>196</v>
      </c>
      <c r="O16" s="87">
        <f>IF(P16=0,0,Q16/P16)</f>
        <v>20.2</v>
      </c>
      <c r="P16" s="81">
        <v>6</v>
      </c>
      <c r="Q16" s="72">
        <v>121.19999999999999</v>
      </c>
    </row>
    <row r="17" spans="1:17" x14ac:dyDescent="0.45">
      <c r="A17" s="20" t="s">
        <v>123</v>
      </c>
      <c r="B17" s="13">
        <f>B23</f>
        <v>12</v>
      </c>
      <c r="C17" s="6">
        <f>IF(B$15=0,0,B17/B$15)</f>
        <v>0.42857142857142855</v>
      </c>
      <c r="E17" s="29" t="s">
        <v>73</v>
      </c>
      <c r="F17" s="26" t="s">
        <v>28</v>
      </c>
      <c r="G17" s="14">
        <v>0</v>
      </c>
      <c r="H17" s="92">
        <f>IF(B$19=0,0,G17/B$19)</f>
        <v>0</v>
      </c>
      <c r="I17" s="60">
        <v>1</v>
      </c>
      <c r="K17" s="7">
        <v>15</v>
      </c>
      <c r="L17" s="65">
        <v>-7.1054273576010019E-15</v>
      </c>
      <c r="N17" s="78" t="s">
        <v>195</v>
      </c>
      <c r="O17" s="87">
        <f>IF(P17=0,0,Q17/P17)</f>
        <v>10.299999999999995</v>
      </c>
      <c r="P17" s="81">
        <v>6</v>
      </c>
      <c r="Q17" s="72">
        <v>61.799999999999969</v>
      </c>
    </row>
    <row r="18" spans="1:17" x14ac:dyDescent="0.45">
      <c r="A18" s="20" t="s">
        <v>124</v>
      </c>
      <c r="B18" s="13">
        <f>B24</f>
        <v>14</v>
      </c>
      <c r="C18" s="6">
        <f>IF(B$16=0,0,B18/B$16)</f>
        <v>0.5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  <c r="N18" s="78" t="s">
        <v>190</v>
      </c>
      <c r="O18" s="87">
        <f>IF(P18=0,0,Q18/P18)</f>
        <v>-27.3</v>
      </c>
      <c r="P18" s="81">
        <v>4</v>
      </c>
      <c r="Q18" s="72">
        <v>-109.2</v>
      </c>
    </row>
    <row r="19" spans="1:17" x14ac:dyDescent="0.45">
      <c r="A19" s="20" t="s">
        <v>10</v>
      </c>
      <c r="B19" s="13">
        <f>B22+B21</f>
        <v>31</v>
      </c>
      <c r="C19" s="6">
        <f>IF(B$3=0,0,B19/B$3)</f>
        <v>0.27192982456140352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1</v>
      </c>
      <c r="N19" s="78" t="s">
        <v>126</v>
      </c>
      <c r="O19" s="87">
        <f>IF(P19=0,0,Q19/P19)</f>
        <v>-37.049999999999997</v>
      </c>
      <c r="P19" s="81">
        <v>10</v>
      </c>
      <c r="Q19" s="72">
        <v>-370.5</v>
      </c>
    </row>
    <row r="20" spans="1:17" x14ac:dyDescent="0.45">
      <c r="A20" s="21" t="s">
        <v>13</v>
      </c>
      <c r="B20" s="14">
        <v>13</v>
      </c>
      <c r="C20" s="8">
        <f>IF(B$3=0,0,B20/B$3)</f>
        <v>0.11403508771929824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18</v>
      </c>
      <c r="C21" s="8">
        <f>IF(B$19=0,0,B21/B$19)</f>
        <v>0.58064516129032262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13</v>
      </c>
      <c r="C22" s="8">
        <f>IF(B$19=0,0,B22/B$19)</f>
        <v>0.41935483870967744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12</v>
      </c>
      <c r="C23" s="8">
        <f>IF(B$19=0,0,B23/B$19)</f>
        <v>0.38709677419354838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14</v>
      </c>
      <c r="C24" s="8">
        <f>IF(B$19=0,0,B24/B$19)</f>
        <v>0.45161290322580644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5</v>
      </c>
      <c r="C25" s="8">
        <f>IF(B$19=0,0,B25/B$19)</f>
        <v>0.16129032258064516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9867.7419354838712</v>
      </c>
      <c r="C26" s="10">
        <v>305900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12017.64705882353</v>
      </c>
      <c r="C27" s="100">
        <v>204300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7257.1428571428569</v>
      </c>
      <c r="C28" s="100">
        <v>101600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-10984.615384615385</v>
      </c>
      <c r="C29" s="100">
        <v>-142800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17</v>
      </c>
      <c r="C31" s="94">
        <v>8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6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80600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8.771929824561403E-3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3.2258064516129031E-2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10</v>
      </c>
      <c r="C37" s="8">
        <f t="shared" si="2"/>
        <v>0.32258064516129031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</v>
      </c>
      <c r="C38" s="8">
        <f t="shared" si="2"/>
        <v>3.2258064516129031E-2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0.12903225806451613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4</v>
      </c>
      <c r="C40" s="8">
        <f t="shared" si="2"/>
        <v>0.12903225806451613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0.16129032258064516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2"/>
        <v>9.6774193548387094E-2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3.2258064516129031E-2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1</v>
      </c>
      <c r="C46" s="8">
        <f t="shared" si="2"/>
        <v>3.2258064516129031E-2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3.2258064516129031E-2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2128-FC14-42E5-B139-62205313CBA1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126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5</v>
      </c>
      <c r="C2" s="136"/>
      <c r="E2" s="28" t="s">
        <v>72</v>
      </c>
      <c r="F2" s="25" t="s">
        <v>27</v>
      </c>
      <c r="G2" s="13">
        <v>11</v>
      </c>
      <c r="H2" s="91">
        <f>IF(B$19=0,0,G2/B$19)</f>
        <v>0.84615384615384615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2020</v>
      </c>
      <c r="P2" s="80">
        <v>5</v>
      </c>
      <c r="Q2" s="67">
        <v>10100</v>
      </c>
    </row>
    <row r="3" spans="1:17" x14ac:dyDescent="0.45">
      <c r="A3" s="21" t="s">
        <v>8</v>
      </c>
      <c r="B3" s="137">
        <v>38</v>
      </c>
      <c r="C3" s="138"/>
      <c r="E3" s="29" t="s">
        <v>66</v>
      </c>
      <c r="F3" s="26" t="s">
        <v>22</v>
      </c>
      <c r="G3" s="14">
        <v>8</v>
      </c>
      <c r="H3" s="92">
        <f>IF(B$19=0,0,G3/B$19)</f>
        <v>0.61538461538461542</v>
      </c>
      <c r="I3" s="60">
        <v>3</v>
      </c>
      <c r="K3" s="7">
        <v>1</v>
      </c>
      <c r="L3" s="65">
        <v>20.9</v>
      </c>
      <c r="N3" s="78" t="s">
        <v>129</v>
      </c>
      <c r="O3" s="84">
        <f t="shared" si="0"/>
        <v>1660</v>
      </c>
      <c r="P3" s="81">
        <v>5</v>
      </c>
      <c r="Q3" s="68">
        <v>8300</v>
      </c>
    </row>
    <row r="4" spans="1:17" x14ac:dyDescent="0.45">
      <c r="A4" s="21" t="s">
        <v>6</v>
      </c>
      <c r="B4" s="139">
        <v>123.5</v>
      </c>
      <c r="C4" s="140"/>
      <c r="E4" s="29" t="s">
        <v>160</v>
      </c>
      <c r="F4" s="26" t="s">
        <v>161</v>
      </c>
      <c r="G4" s="14">
        <v>7</v>
      </c>
      <c r="H4" s="92">
        <f>IF(B$19=0,0,G4/B$19)</f>
        <v>0.53846153846153844</v>
      </c>
      <c r="I4" s="60">
        <v>2</v>
      </c>
      <c r="K4" s="7">
        <v>2</v>
      </c>
      <c r="L4" s="65">
        <v>62.5</v>
      </c>
      <c r="N4" s="78" t="s">
        <v>130</v>
      </c>
      <c r="O4" s="84">
        <f t="shared" si="0"/>
        <v>1540</v>
      </c>
      <c r="P4" s="81">
        <v>5</v>
      </c>
      <c r="Q4" s="68">
        <v>7700</v>
      </c>
    </row>
    <row r="5" spans="1:17" x14ac:dyDescent="0.45">
      <c r="A5" s="21" t="s">
        <v>7</v>
      </c>
      <c r="B5" s="127">
        <f>IF(B$2=0,0,B$4/B$2)</f>
        <v>24.7</v>
      </c>
      <c r="C5" s="128"/>
      <c r="E5" s="29" t="s">
        <v>68</v>
      </c>
      <c r="F5" s="26" t="s">
        <v>12</v>
      </c>
      <c r="G5" s="14">
        <v>6</v>
      </c>
      <c r="H5" s="92">
        <f>IF(B$19=0,0,G5/B$19)</f>
        <v>0.46153846153846156</v>
      </c>
      <c r="I5" s="60">
        <v>1</v>
      </c>
      <c r="K5" s="7">
        <v>3</v>
      </c>
      <c r="L5" s="65">
        <v>40.5</v>
      </c>
      <c r="N5" s="78" t="s">
        <v>131</v>
      </c>
      <c r="O5" s="84">
        <f t="shared" si="0"/>
        <v>1375</v>
      </c>
      <c r="P5" s="81">
        <v>4</v>
      </c>
      <c r="Q5" s="68">
        <v>5500</v>
      </c>
    </row>
    <row r="6" spans="1:17" x14ac:dyDescent="0.45">
      <c r="A6" s="21" t="s">
        <v>1</v>
      </c>
      <c r="B6" s="141">
        <f>IF(B$2=0,0,(B$7*1+B$8*2+B$9*3)/B$2)</f>
        <v>1.2</v>
      </c>
      <c r="C6" s="142"/>
      <c r="E6" s="29" t="s">
        <v>64</v>
      </c>
      <c r="F6" s="26" t="s">
        <v>20</v>
      </c>
      <c r="G6" s="14">
        <v>4</v>
      </c>
      <c r="H6" s="92">
        <f>IF(B$19=0,0,G6/B$19)</f>
        <v>0.30769230769230771</v>
      </c>
      <c r="I6" s="60">
        <v>5</v>
      </c>
      <c r="K6" s="7">
        <v>4</v>
      </c>
      <c r="L6" s="65">
        <v>74.5</v>
      </c>
      <c r="N6" s="78" t="s">
        <v>132</v>
      </c>
      <c r="O6" s="84">
        <f t="shared" si="0"/>
        <v>-900</v>
      </c>
      <c r="P6" s="81">
        <v>4</v>
      </c>
      <c r="Q6" s="68">
        <v>-3600</v>
      </c>
    </row>
    <row r="7" spans="1:17" x14ac:dyDescent="0.45">
      <c r="A7" s="21" t="s">
        <v>2</v>
      </c>
      <c r="B7" s="14">
        <v>4</v>
      </c>
      <c r="C7" s="8">
        <f t="shared" ref="C7:C14" si="1">IF(B$2=0,0,B7/B$2)</f>
        <v>0.8</v>
      </c>
      <c r="E7" s="29" t="s">
        <v>89</v>
      </c>
      <c r="F7" s="26" t="s">
        <v>44</v>
      </c>
      <c r="G7" s="14">
        <v>3</v>
      </c>
      <c r="H7" s="92">
        <f>IF(B$19=0,0,G7/B$19)</f>
        <v>0.23076923076923078</v>
      </c>
      <c r="I7" s="60">
        <v>2</v>
      </c>
      <c r="K7" s="7">
        <v>5</v>
      </c>
      <c r="L7" s="65">
        <v>123.5</v>
      </c>
      <c r="N7" s="79" t="s">
        <v>133</v>
      </c>
      <c r="O7" s="85">
        <f t="shared" si="0"/>
        <v>2166.6666666666665</v>
      </c>
      <c r="P7" s="82">
        <v>3</v>
      </c>
      <c r="Q7" s="69">
        <v>6500</v>
      </c>
    </row>
    <row r="8" spans="1:17" x14ac:dyDescent="0.45">
      <c r="A8" s="21" t="s">
        <v>3</v>
      </c>
      <c r="B8" s="14">
        <v>1</v>
      </c>
      <c r="C8" s="8">
        <f t="shared" si="1"/>
        <v>0.2</v>
      </c>
      <c r="E8" s="29" t="s">
        <v>81</v>
      </c>
      <c r="F8" s="26" t="s">
        <v>36</v>
      </c>
      <c r="G8" s="14">
        <v>2</v>
      </c>
      <c r="H8" s="92">
        <f>IF(B$19=0,0,G8/B$19)</f>
        <v>0.15384615384615385</v>
      </c>
      <c r="I8" s="60">
        <v>3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83</v>
      </c>
      <c r="F9" s="26" t="s">
        <v>38</v>
      </c>
      <c r="G9" s="14">
        <v>2</v>
      </c>
      <c r="H9" s="92">
        <f>IF(B$19=0,0,G9/B$19)</f>
        <v>0.15384615384615385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36.375</v>
      </c>
      <c r="C10" s="114">
        <v>145.5</v>
      </c>
      <c r="E10" s="29" t="s">
        <v>65</v>
      </c>
      <c r="F10" s="26" t="s">
        <v>21</v>
      </c>
      <c r="G10" s="14">
        <v>1</v>
      </c>
      <c r="H10" s="92">
        <f>IF(B$19=0,0,G10/B$19)</f>
        <v>7.6923076923076927E-2</v>
      </c>
      <c r="I10" s="60">
        <v>2</v>
      </c>
      <c r="N10" s="77" t="s">
        <v>152</v>
      </c>
      <c r="O10" s="86">
        <f>IF(P10=0,0,Q10/P10)</f>
        <v>34.950000000000003</v>
      </c>
      <c r="P10" s="80">
        <v>2</v>
      </c>
      <c r="Q10" s="71">
        <v>69.900000000000006</v>
      </c>
    </row>
    <row r="11" spans="1:17" x14ac:dyDescent="0.45">
      <c r="A11" s="22" t="s">
        <v>186</v>
      </c>
      <c r="B11" s="113">
        <f>IF(B8=0,0,C11/B8)</f>
        <v>-22</v>
      </c>
      <c r="C11" s="114">
        <v>-22</v>
      </c>
      <c r="E11" s="29" t="s">
        <v>67</v>
      </c>
      <c r="F11" s="26" t="s">
        <v>23</v>
      </c>
      <c r="G11" s="14">
        <v>1</v>
      </c>
      <c r="H11" s="92">
        <f>IF(B$19=0,0,G11/B$19)</f>
        <v>7.6923076923076927E-2</v>
      </c>
      <c r="I11" s="60">
        <v>6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92</v>
      </c>
      <c r="F12" s="26" t="s">
        <v>47</v>
      </c>
      <c r="G12" s="14">
        <v>1</v>
      </c>
      <c r="H12" s="92">
        <f>IF(B$19=0,0,G12/B$19)</f>
        <v>7.6923076923076927E-2</v>
      </c>
      <c r="I12" s="60">
        <v>1</v>
      </c>
      <c r="N12" s="79" t="s">
        <v>154</v>
      </c>
      <c r="O12" s="88">
        <f>IF(P12=0,0,Q12/P12)</f>
        <v>17.866666666666667</v>
      </c>
      <c r="P12" s="82">
        <v>3</v>
      </c>
      <c r="Q12" s="73">
        <v>53.6</v>
      </c>
    </row>
    <row r="13" spans="1:17" x14ac:dyDescent="0.45">
      <c r="A13" s="22" t="s">
        <v>188</v>
      </c>
      <c r="B13" s="127">
        <f>AVERAGE(B10:B12)</f>
        <v>4.791666666666667</v>
      </c>
      <c r="C13" s="128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</v>
      </c>
      <c r="C15" s="12">
        <f>IF(B$3=0,0,B15/B$3)</f>
        <v>0.23684210526315788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80.7</v>
      </c>
      <c r="P15" s="80">
        <v>2</v>
      </c>
      <c r="Q15" s="71">
        <v>161.4</v>
      </c>
    </row>
    <row r="16" spans="1:17" x14ac:dyDescent="0.45">
      <c r="A16" s="21" t="s">
        <v>118</v>
      </c>
      <c r="B16" s="14">
        <v>9</v>
      </c>
      <c r="C16" s="8">
        <f>IF(B$3=0,0,B16/B$3)</f>
        <v>0.23684210526315788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1</v>
      </c>
      <c r="N16" s="78" t="s">
        <v>196</v>
      </c>
      <c r="O16" s="87">
        <f>IF(P16=0,0,Q16/P16)</f>
        <v>33.800000000000004</v>
      </c>
      <c r="P16" s="81">
        <v>3</v>
      </c>
      <c r="Q16" s="72">
        <v>101.4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0.44444444444444442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195</v>
      </c>
      <c r="O17" s="87">
        <f>IF(P17=0,0,Q17/P17)</f>
        <v>27.200000000000003</v>
      </c>
      <c r="P17" s="81">
        <v>3</v>
      </c>
      <c r="Q17" s="72">
        <v>81.600000000000009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0.55555555555555558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  <c r="N18" s="78" t="s">
        <v>190</v>
      </c>
      <c r="O18" s="87">
        <f>IF(P18=0,0,Q18/P18)</f>
        <v>13.049999999999999</v>
      </c>
      <c r="P18" s="81">
        <v>2</v>
      </c>
      <c r="Q18" s="72">
        <v>26.099999999999998</v>
      </c>
    </row>
    <row r="19" spans="1:17" x14ac:dyDescent="0.45">
      <c r="A19" s="20" t="s">
        <v>10</v>
      </c>
      <c r="B19" s="13">
        <f>B22+B21</f>
        <v>13</v>
      </c>
      <c r="C19" s="6">
        <f>IF(B$3=0,0,B19/B$3)</f>
        <v>0.34210526315789475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4</v>
      </c>
      <c r="C20" s="8">
        <f>IF(B$3=0,0,B20/B$3)</f>
        <v>0.10526315789473684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9</v>
      </c>
      <c r="C21" s="8">
        <f>IF(B$19=0,0,B21/B$19)</f>
        <v>0.69230769230769229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4</v>
      </c>
      <c r="C22" s="8">
        <f>IF(B$19=0,0,B22/B$19)</f>
        <v>0.30769230769230771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4</v>
      </c>
      <c r="C23" s="8">
        <f>IF(B$19=0,0,B23/B$19)</f>
        <v>0.30769230769230771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5</v>
      </c>
      <c r="C24" s="8">
        <f>IF(B$19=0,0,B24/B$19)</f>
        <v>0.38461538461538464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0.30769230769230771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11723.076923076924</v>
      </c>
      <c r="C26" s="10">
        <v>152400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13850</v>
      </c>
      <c r="C27" s="100">
        <v>110800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8320</v>
      </c>
      <c r="C28" s="100">
        <v>41600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-4975</v>
      </c>
      <c r="C29" s="100">
        <v>-19900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13</v>
      </c>
      <c r="C31" s="94">
        <v>8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4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74000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2.6315789473684209E-2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0.23076923076923078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</v>
      </c>
      <c r="C38" s="8">
        <f t="shared" si="2"/>
        <v>7.6923076923076927E-2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</v>
      </c>
      <c r="C39" s="8">
        <f t="shared" si="2"/>
        <v>7.6923076923076927E-2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2</v>
      </c>
      <c r="C40" s="8">
        <f t="shared" si="2"/>
        <v>0.15384615384615385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0.23076923076923078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2</v>
      </c>
      <c r="C42" s="8">
        <f t="shared" si="2"/>
        <v>0.15384615384615385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7.6923076923076927E-2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F1E55-988C-4C30-B40E-A723D01ABF2C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164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2</v>
      </c>
      <c r="C2" s="136"/>
      <c r="E2" s="28" t="s">
        <v>64</v>
      </c>
      <c r="F2" s="25" t="s">
        <v>20</v>
      </c>
      <c r="G2" s="13">
        <v>2</v>
      </c>
      <c r="H2" s="91">
        <f>IF(B$19=0,0,G2/B$19)</f>
        <v>0.66666666666666663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5700</v>
      </c>
      <c r="P2" s="80">
        <v>2</v>
      </c>
      <c r="Q2" s="67">
        <v>11400</v>
      </c>
    </row>
    <row r="3" spans="1:17" x14ac:dyDescent="0.45">
      <c r="A3" s="21" t="s">
        <v>8</v>
      </c>
      <c r="B3" s="137">
        <v>17</v>
      </c>
      <c r="C3" s="138"/>
      <c r="E3" s="29" t="s">
        <v>72</v>
      </c>
      <c r="F3" s="26" t="s">
        <v>27</v>
      </c>
      <c r="G3" s="14">
        <v>2</v>
      </c>
      <c r="H3" s="92">
        <f>IF(B$19=0,0,G3/B$19)</f>
        <v>0.66666666666666663</v>
      </c>
      <c r="I3" s="60">
        <v>4</v>
      </c>
      <c r="K3" s="7">
        <v>1</v>
      </c>
      <c r="L3" s="65">
        <v>-31</v>
      </c>
      <c r="N3" s="78" t="s">
        <v>129</v>
      </c>
      <c r="O3" s="84">
        <f t="shared" si="0"/>
        <v>-4600</v>
      </c>
      <c r="P3" s="81">
        <v>2</v>
      </c>
      <c r="Q3" s="68">
        <v>-9200</v>
      </c>
    </row>
    <row r="4" spans="1:17" x14ac:dyDescent="0.45">
      <c r="A4" s="21" t="s">
        <v>6</v>
      </c>
      <c r="B4" s="139">
        <v>-98.9</v>
      </c>
      <c r="C4" s="140"/>
      <c r="E4" s="29" t="s">
        <v>66</v>
      </c>
      <c r="F4" s="26" t="s">
        <v>22</v>
      </c>
      <c r="G4" s="14">
        <v>1</v>
      </c>
      <c r="H4" s="92">
        <f>IF(B$19=0,0,G4/B$19)</f>
        <v>0.33333333333333331</v>
      </c>
      <c r="I4" s="60">
        <v>5</v>
      </c>
      <c r="K4" s="7">
        <v>2</v>
      </c>
      <c r="L4" s="65">
        <v>-98.9</v>
      </c>
      <c r="N4" s="78" t="s">
        <v>130</v>
      </c>
      <c r="O4" s="84">
        <f t="shared" si="0"/>
        <v>-10000</v>
      </c>
      <c r="P4" s="81">
        <v>2</v>
      </c>
      <c r="Q4" s="68">
        <v>-20000</v>
      </c>
    </row>
    <row r="5" spans="1:17" x14ac:dyDescent="0.45">
      <c r="A5" s="21" t="s">
        <v>7</v>
      </c>
      <c r="B5" s="127">
        <f>IF(B$2=0,0,B$4/B$2)</f>
        <v>-49.45</v>
      </c>
      <c r="C5" s="128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4</v>
      </c>
      <c r="N5" s="78" t="s">
        <v>131</v>
      </c>
      <c r="O5" s="84">
        <f t="shared" si="0"/>
        <v>-7500</v>
      </c>
      <c r="P5" s="81">
        <v>2</v>
      </c>
      <c r="Q5" s="68">
        <v>-15000</v>
      </c>
    </row>
    <row r="6" spans="1:17" x14ac:dyDescent="0.45">
      <c r="A6" s="21" t="s">
        <v>1</v>
      </c>
      <c r="B6" s="141">
        <f>IF(B$2=0,0,(B$7*1+B$8*2+B$9*3)/B$2)</f>
        <v>3</v>
      </c>
      <c r="C6" s="142"/>
      <c r="E6" s="29" t="s">
        <v>69</v>
      </c>
      <c r="F6" s="26" t="s">
        <v>24</v>
      </c>
      <c r="G6" s="14">
        <v>1</v>
      </c>
      <c r="H6" s="92">
        <f>IF(B$19=0,0,G6/B$19)</f>
        <v>0.33333333333333331</v>
      </c>
      <c r="I6" s="60">
        <v>2</v>
      </c>
      <c r="N6" s="78" t="s">
        <v>132</v>
      </c>
      <c r="O6" s="84">
        <f t="shared" si="0"/>
        <v>950</v>
      </c>
      <c r="P6" s="81">
        <v>2</v>
      </c>
      <c r="Q6" s="68">
        <v>1900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78</v>
      </c>
      <c r="F7" s="26" t="s">
        <v>33</v>
      </c>
      <c r="G7" s="14">
        <v>1</v>
      </c>
      <c r="H7" s="92">
        <f>IF(B$19=0,0,G7/B$19)</f>
        <v>0.33333333333333331</v>
      </c>
      <c r="I7" s="60">
        <v>1</v>
      </c>
      <c r="N7" s="79" t="s">
        <v>133</v>
      </c>
      <c r="O7" s="85">
        <f t="shared" si="0"/>
        <v>0</v>
      </c>
      <c r="P7" s="82">
        <v>1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81</v>
      </c>
      <c r="F8" s="26" t="s">
        <v>36</v>
      </c>
      <c r="G8" s="14">
        <v>1</v>
      </c>
      <c r="H8" s="92">
        <f>IF(B$19=0,0,G8/B$19)</f>
        <v>0.33333333333333331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1</v>
      </c>
      <c r="E9" s="29" t="s">
        <v>83</v>
      </c>
      <c r="F9" s="26" t="s">
        <v>38</v>
      </c>
      <c r="G9" s="14">
        <v>1</v>
      </c>
      <c r="H9" s="92">
        <f>IF(B$19=0,0,G9/B$19)</f>
        <v>0.33333333333333331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65</v>
      </c>
      <c r="F10" s="26" t="s">
        <v>21</v>
      </c>
      <c r="G10" s="14">
        <v>0</v>
      </c>
      <c r="H10" s="92">
        <f>IF(B$19=0,0,G10/B$19)</f>
        <v>0</v>
      </c>
      <c r="I10" s="60">
        <v>4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68</v>
      </c>
      <c r="F11" s="26" t="s">
        <v>12</v>
      </c>
      <c r="G11" s="14">
        <v>0</v>
      </c>
      <c r="H11" s="92">
        <f>IF(B$19=0,0,G11/B$19)</f>
        <v>0</v>
      </c>
      <c r="I11" s="60">
        <v>5</v>
      </c>
      <c r="N11" s="78" t="s">
        <v>153</v>
      </c>
      <c r="O11" s="87">
        <f>IF(P11=0,0,Q11/P11)</f>
        <v>-49.45</v>
      </c>
      <c r="P11" s="81">
        <v>2</v>
      </c>
      <c r="Q11" s="72">
        <v>-98.9</v>
      </c>
    </row>
    <row r="12" spans="1:17" x14ac:dyDescent="0.45">
      <c r="A12" s="22" t="s">
        <v>187</v>
      </c>
      <c r="B12" s="113">
        <f>IF(B9=0,0,C12/B9)</f>
        <v>-49.45</v>
      </c>
      <c r="C12" s="114">
        <v>-98.9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4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-16.483333333333334</v>
      </c>
      <c r="C13" s="128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0.5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0.29411764705882354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190</v>
      </c>
      <c r="O15" s="86">
        <f>IF(P15=0,0,Q15/P15)</f>
        <v>-67.650000000000006</v>
      </c>
      <c r="P15" s="80">
        <v>2</v>
      </c>
      <c r="Q15" s="71">
        <v>-135.30000000000001</v>
      </c>
    </row>
    <row r="16" spans="1:17" x14ac:dyDescent="0.45">
      <c r="A16" s="21" t="s">
        <v>118</v>
      </c>
      <c r="B16" s="14">
        <v>2</v>
      </c>
      <c r="C16" s="8">
        <f>IF(B$3=0,0,B16/B$3)</f>
        <v>0.11764705882352941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-80.7</v>
      </c>
      <c r="P16" s="81">
        <v>2</v>
      </c>
      <c r="Q16" s="72">
        <v>-161.4</v>
      </c>
    </row>
    <row r="17" spans="1:9" x14ac:dyDescent="0.45">
      <c r="A17" s="20" t="s">
        <v>123</v>
      </c>
      <c r="B17" s="13">
        <f>B23</f>
        <v>2</v>
      </c>
      <c r="C17" s="6">
        <f>IF(B$15=0,0,B17/B$15)</f>
        <v>0.4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0.5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3</v>
      </c>
      <c r="C19" s="6">
        <f>IF(B$3=0,0,B19/B$3)</f>
        <v>0.17647058823529413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3</v>
      </c>
      <c r="C20" s="8">
        <f>IF(B$3=0,0,B20/B$3)</f>
        <v>0.17647058823529413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1</v>
      </c>
      <c r="C21" s="8">
        <f>IF(B$19=0,0,B21/B$19)</f>
        <v>0.33333333333333331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2</v>
      </c>
      <c r="C22" s="8">
        <f>IF(B$19=0,0,B22/B$19)</f>
        <v>0.66666666666666663</v>
      </c>
      <c r="E22" s="29" t="s">
        <v>84</v>
      </c>
      <c r="F22" s="26" t="s">
        <v>39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2</v>
      </c>
      <c r="C23" s="8">
        <f>IF(B$19=0,0,B23/B$19)</f>
        <v>0.66666666666666663</v>
      </c>
      <c r="E23" s="29" t="s">
        <v>85</v>
      </c>
      <c r="F23" s="26" t="s">
        <v>40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1</v>
      </c>
      <c r="C24" s="8">
        <f>IF(B$19=0,0,B24/B$19)</f>
        <v>0.33333333333333331</v>
      </c>
      <c r="E24" s="29" t="s">
        <v>86</v>
      </c>
      <c r="F24" s="26" t="s">
        <v>41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9300</v>
      </c>
      <c r="C26" s="10">
        <v>27900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7950</v>
      </c>
      <c r="C27" s="100">
        <v>15900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5</v>
      </c>
    </row>
    <row r="28" spans="1:9" x14ac:dyDescent="0.45">
      <c r="A28" s="22" t="s">
        <v>167</v>
      </c>
      <c r="B28" s="99">
        <f>IF(B$18=0,0,C28/B$18)</f>
        <v>12000</v>
      </c>
      <c r="C28" s="100">
        <v>12000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-23866.666666666668</v>
      </c>
      <c r="C29" s="100">
        <v>-71600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2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3</v>
      </c>
    </row>
    <row r="31" spans="1:9" x14ac:dyDescent="0.45">
      <c r="A31" s="21" t="s">
        <v>159</v>
      </c>
      <c r="B31" s="14">
        <v>7</v>
      </c>
      <c r="C31" s="94">
        <v>0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5">
      <c r="A32" s="56" t="s">
        <v>136</v>
      </c>
      <c r="B32" s="129">
        <v>2</v>
      </c>
      <c r="C32" s="130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14000</v>
      </c>
      <c r="C33" s="132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0.33333333333333331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0.33333333333333331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0.33333333333333331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67F6D-0431-4D85-85FC-8CA8342042F4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190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2</v>
      </c>
      <c r="C2" s="136"/>
      <c r="E2" s="28" t="s">
        <v>72</v>
      </c>
      <c r="F2" s="25" t="s">
        <v>27</v>
      </c>
      <c r="G2" s="13">
        <v>9</v>
      </c>
      <c r="H2" s="91">
        <f>IF(B$19=0,0,G2/B$19)</f>
        <v>1.2857142857142858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1750</v>
      </c>
      <c r="P2" s="80">
        <v>2</v>
      </c>
      <c r="Q2" s="67">
        <v>3500</v>
      </c>
    </row>
    <row r="3" spans="1:17" x14ac:dyDescent="0.45">
      <c r="A3" s="21" t="s">
        <v>8</v>
      </c>
      <c r="B3" s="137">
        <v>17</v>
      </c>
      <c r="C3" s="138"/>
      <c r="E3" s="29" t="s">
        <v>66</v>
      </c>
      <c r="F3" s="26" t="s">
        <v>22</v>
      </c>
      <c r="G3" s="14">
        <v>5</v>
      </c>
      <c r="H3" s="92">
        <f>IF(B$19=0,0,G3/B$19)</f>
        <v>0.7142857142857143</v>
      </c>
      <c r="I3" s="60">
        <v>2</v>
      </c>
      <c r="K3" s="7">
        <v>1</v>
      </c>
      <c r="L3" s="65">
        <v>10.1</v>
      </c>
      <c r="N3" s="78" t="s">
        <v>129</v>
      </c>
      <c r="O3" s="84">
        <f t="shared" si="0"/>
        <v>-3300</v>
      </c>
      <c r="P3" s="81">
        <v>2</v>
      </c>
      <c r="Q3" s="68">
        <v>-6600</v>
      </c>
    </row>
    <row r="4" spans="1:17" x14ac:dyDescent="0.45">
      <c r="A4" s="21" t="s">
        <v>6</v>
      </c>
      <c r="B4" s="139">
        <v>36.4</v>
      </c>
      <c r="C4" s="140"/>
      <c r="E4" s="29" t="s">
        <v>67</v>
      </c>
      <c r="F4" s="26" t="s">
        <v>23</v>
      </c>
      <c r="G4" s="14">
        <v>4</v>
      </c>
      <c r="H4" s="92">
        <f>IF(B$19=0,0,G4/B$19)</f>
        <v>0.5714285714285714</v>
      </c>
      <c r="I4" s="60">
        <v>2</v>
      </c>
      <c r="K4" s="7">
        <v>2</v>
      </c>
      <c r="L4" s="65">
        <v>36.4</v>
      </c>
      <c r="N4" s="78" t="s">
        <v>130</v>
      </c>
      <c r="O4" s="84">
        <f t="shared" si="0"/>
        <v>12500</v>
      </c>
      <c r="P4" s="81">
        <v>2</v>
      </c>
      <c r="Q4" s="68">
        <v>25000</v>
      </c>
    </row>
    <row r="5" spans="1:17" x14ac:dyDescent="0.45">
      <c r="A5" s="21" t="s">
        <v>7</v>
      </c>
      <c r="B5" s="127">
        <f>IF(B$2=0,0,B$4/B$2)</f>
        <v>18.2</v>
      </c>
      <c r="C5" s="128"/>
      <c r="E5" s="29" t="s">
        <v>160</v>
      </c>
      <c r="F5" s="26" t="s">
        <v>161</v>
      </c>
      <c r="G5" s="14">
        <v>3</v>
      </c>
      <c r="H5" s="92">
        <f>IF(B$19=0,0,G5/B$19)</f>
        <v>0.42857142857142855</v>
      </c>
      <c r="I5" s="60">
        <v>4</v>
      </c>
      <c r="N5" s="78" t="s">
        <v>131</v>
      </c>
      <c r="O5" s="84">
        <f t="shared" si="0"/>
        <v>5750</v>
      </c>
      <c r="P5" s="81">
        <v>2</v>
      </c>
      <c r="Q5" s="68">
        <v>11500</v>
      </c>
    </row>
    <row r="6" spans="1:17" x14ac:dyDescent="0.45">
      <c r="A6" s="21" t="s">
        <v>1</v>
      </c>
      <c r="B6" s="141">
        <f>IF(B$2=0,0,(B$7*1+B$8*2+B$9*3)/B$2)</f>
        <v>2</v>
      </c>
      <c r="C6" s="142"/>
      <c r="E6" s="29" t="s">
        <v>64</v>
      </c>
      <c r="F6" s="26" t="s">
        <v>20</v>
      </c>
      <c r="G6" s="14">
        <v>2</v>
      </c>
      <c r="H6" s="92">
        <f>IF(B$19=0,0,G6/B$19)</f>
        <v>0.2857142857142857</v>
      </c>
      <c r="I6" s="60">
        <v>6</v>
      </c>
      <c r="N6" s="78" t="s">
        <v>132</v>
      </c>
      <c r="O6" s="84">
        <f t="shared" si="0"/>
        <v>6000</v>
      </c>
      <c r="P6" s="81">
        <v>2</v>
      </c>
      <c r="Q6" s="68">
        <v>12000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65</v>
      </c>
      <c r="F7" s="26" t="s">
        <v>21</v>
      </c>
      <c r="G7" s="14">
        <v>1</v>
      </c>
      <c r="H7" s="92">
        <f>IF(B$19=0,0,G7/B$19)</f>
        <v>0.14285714285714285</v>
      </c>
      <c r="I7" s="60">
        <v>1</v>
      </c>
      <c r="N7" s="79" t="s">
        <v>133</v>
      </c>
      <c r="O7" s="85">
        <f t="shared" si="0"/>
        <v>-8000</v>
      </c>
      <c r="P7" s="82">
        <v>1</v>
      </c>
      <c r="Q7" s="69">
        <v>-8000</v>
      </c>
    </row>
    <row r="8" spans="1:17" x14ac:dyDescent="0.45">
      <c r="A8" s="21" t="s">
        <v>3</v>
      </c>
      <c r="B8" s="14">
        <v>2</v>
      </c>
      <c r="C8" s="8">
        <f t="shared" si="1"/>
        <v>1</v>
      </c>
      <c r="E8" s="29" t="s">
        <v>68</v>
      </c>
      <c r="F8" s="26" t="s">
        <v>12</v>
      </c>
      <c r="G8" s="14">
        <v>1</v>
      </c>
      <c r="H8" s="92">
        <f>IF(B$19=0,0,G8/B$19)</f>
        <v>0.14285714285714285</v>
      </c>
      <c r="I8" s="60">
        <v>4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1</v>
      </c>
      <c r="H9" s="92">
        <f>IF(B$19=0,0,G9/B$19)</f>
        <v>0.14285714285714285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83</v>
      </c>
      <c r="F10" s="26" t="s">
        <v>38</v>
      </c>
      <c r="G10" s="14">
        <v>1</v>
      </c>
      <c r="H10" s="92">
        <f>IF(B$19=0,0,G10/B$19)</f>
        <v>0.14285714285714285</v>
      </c>
      <c r="I10" s="60">
        <v>3</v>
      </c>
      <c r="N10" s="77" t="s">
        <v>152</v>
      </c>
      <c r="O10" s="86">
        <f>IF(P10=0,0,Q10/P10)</f>
        <v>26.3</v>
      </c>
      <c r="P10" s="80">
        <v>1</v>
      </c>
      <c r="Q10" s="71">
        <v>26.3</v>
      </c>
    </row>
    <row r="11" spans="1:17" x14ac:dyDescent="0.45">
      <c r="A11" s="22" t="s">
        <v>186</v>
      </c>
      <c r="B11" s="113">
        <f>IF(B8=0,0,C11/B8)</f>
        <v>18.2</v>
      </c>
      <c r="C11" s="114">
        <v>36.4</v>
      </c>
      <c r="E11" s="29" t="s">
        <v>89</v>
      </c>
      <c r="F11" s="26" t="s">
        <v>44</v>
      </c>
      <c r="G11" s="14">
        <v>1</v>
      </c>
      <c r="H11" s="92">
        <f>IF(B$19=0,0,G11/B$19)</f>
        <v>0.14285714285714285</v>
      </c>
      <c r="I11" s="60">
        <v>4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69</v>
      </c>
      <c r="F12" s="26" t="s">
        <v>24</v>
      </c>
      <c r="G12" s="14">
        <v>0</v>
      </c>
      <c r="H12" s="92">
        <f>IF(B$19=0,0,G12/B$19)</f>
        <v>0</v>
      </c>
      <c r="I12" s="60">
        <v>5</v>
      </c>
      <c r="N12" s="79" t="s">
        <v>154</v>
      </c>
      <c r="O12" s="88">
        <f>IF(P12=0,0,Q12/P12)</f>
        <v>10.1</v>
      </c>
      <c r="P12" s="82">
        <v>1</v>
      </c>
      <c r="Q12" s="73">
        <v>10.1</v>
      </c>
    </row>
    <row r="13" spans="1:17" x14ac:dyDescent="0.45">
      <c r="A13" s="22" t="s">
        <v>188</v>
      </c>
      <c r="B13" s="127">
        <f>AVERAGE(B10:B12)</f>
        <v>6.0666666666666664</v>
      </c>
      <c r="C13" s="128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0.29411764705882354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67.650000000000006</v>
      </c>
      <c r="P15" s="80">
        <v>2</v>
      </c>
      <c r="Q15" s="71">
        <v>135.30000000000001</v>
      </c>
    </row>
    <row r="16" spans="1:17" x14ac:dyDescent="0.45">
      <c r="A16" s="21" t="s">
        <v>118</v>
      </c>
      <c r="B16" s="14">
        <v>8</v>
      </c>
      <c r="C16" s="8">
        <f>IF(B$3=0,0,B16/B$3)</f>
        <v>0.47058823529411764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-13.05</v>
      </c>
      <c r="P16" s="81">
        <v>2</v>
      </c>
      <c r="Q16" s="72">
        <v>-26.1</v>
      </c>
    </row>
    <row r="17" spans="1:9" x14ac:dyDescent="0.45">
      <c r="A17" s="20" t="s">
        <v>123</v>
      </c>
      <c r="B17" s="13">
        <f>B23</f>
        <v>2</v>
      </c>
      <c r="C17" s="6">
        <f>IF(B$15=0,0,B17/B$15)</f>
        <v>0.4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5</v>
      </c>
      <c r="C18" s="6">
        <f>IF(B$16=0,0,B18/B$16)</f>
        <v>0.625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7</v>
      </c>
      <c r="C19" s="6">
        <f>IF(B$3=0,0,B19/B$3)</f>
        <v>0.41176470588235292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3</v>
      </c>
    </row>
    <row r="20" spans="1:9" x14ac:dyDescent="0.45">
      <c r="A20" s="21" t="s">
        <v>13</v>
      </c>
      <c r="B20" s="14">
        <v>1</v>
      </c>
      <c r="C20" s="8">
        <f>IF(B$3=0,0,B20/B$3)</f>
        <v>5.8823529411764705E-2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4</v>
      </c>
      <c r="C21" s="8">
        <f>IF(B$19=0,0,B21/B$19)</f>
        <v>0.5714285714285714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3</v>
      </c>
      <c r="C22" s="8">
        <f>IF(B$19=0,0,B22/B$19)</f>
        <v>0.42857142857142855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5</v>
      </c>
    </row>
    <row r="23" spans="1:9" x14ac:dyDescent="0.45">
      <c r="A23" s="21" t="s">
        <v>184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5</v>
      </c>
      <c r="C24" s="8">
        <f>IF(B$19=0,0,B24/B$19)</f>
        <v>0.7142857142857143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9028.5714285714294</v>
      </c>
      <c r="C26" s="10">
        <v>63200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14000</v>
      </c>
      <c r="C27" s="100">
        <v>28000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7040</v>
      </c>
      <c r="C28" s="100">
        <v>35200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-8000</v>
      </c>
      <c r="C29" s="100">
        <v>-8000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159</v>
      </c>
      <c r="B31" s="14">
        <v>8</v>
      </c>
      <c r="C31" s="94">
        <v>8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5">
      <c r="A32" s="56" t="s">
        <v>136</v>
      </c>
      <c r="B32" s="129">
        <v>5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61300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0.14285714285714285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</v>
      </c>
      <c r="C39" s="8">
        <f t="shared" si="2"/>
        <v>0.14285714285714285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0.14285714285714285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1</v>
      </c>
      <c r="C42" s="8">
        <f t="shared" si="2"/>
        <v>0.14285714285714285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0.14285714285714285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8F831-B0BF-4384-94B8-8C2A2C04AA83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196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</v>
      </c>
      <c r="C2" s="136"/>
      <c r="E2" s="28" t="s">
        <v>160</v>
      </c>
      <c r="F2" s="25" t="s">
        <v>161</v>
      </c>
      <c r="G2" s="13">
        <v>3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2566.6666666666665</v>
      </c>
      <c r="P2" s="80">
        <v>3</v>
      </c>
      <c r="Q2" s="67">
        <v>7700</v>
      </c>
    </row>
    <row r="3" spans="1:17" x14ac:dyDescent="0.45">
      <c r="A3" s="21" t="s">
        <v>8</v>
      </c>
      <c r="B3" s="137">
        <v>21</v>
      </c>
      <c r="C3" s="138"/>
      <c r="E3" s="29" t="s">
        <v>69</v>
      </c>
      <c r="F3" s="26" t="s">
        <v>24</v>
      </c>
      <c r="G3" s="14">
        <v>2</v>
      </c>
      <c r="H3" s="92">
        <f>IF(B$19=0,0,G3/B$19)</f>
        <v>0.66666666666666663</v>
      </c>
      <c r="I3" s="60">
        <v>1</v>
      </c>
      <c r="K3" s="7">
        <v>1</v>
      </c>
      <c r="L3" s="65">
        <v>-33.6</v>
      </c>
      <c r="N3" s="78" t="s">
        <v>129</v>
      </c>
      <c r="O3" s="84">
        <f t="shared" si="0"/>
        <v>4066.6666666666665</v>
      </c>
      <c r="P3" s="81">
        <v>3</v>
      </c>
      <c r="Q3" s="68">
        <v>12200</v>
      </c>
    </row>
    <row r="4" spans="1:17" x14ac:dyDescent="0.45">
      <c r="A4" s="21" t="s">
        <v>6</v>
      </c>
      <c r="B4" s="139">
        <v>-40.4</v>
      </c>
      <c r="C4" s="140"/>
      <c r="E4" s="29" t="s">
        <v>64</v>
      </c>
      <c r="F4" s="26" t="s">
        <v>20</v>
      </c>
      <c r="G4" s="14">
        <v>1</v>
      </c>
      <c r="H4" s="92">
        <f>IF(B$19=0,0,G4/B$19)</f>
        <v>0.33333333333333331</v>
      </c>
      <c r="I4" s="60">
        <v>4</v>
      </c>
      <c r="K4" s="7">
        <v>2</v>
      </c>
      <c r="L4" s="65">
        <v>-36.9</v>
      </c>
      <c r="N4" s="78" t="s">
        <v>130</v>
      </c>
      <c r="O4" s="84">
        <f t="shared" si="0"/>
        <v>-2766.6666666666665</v>
      </c>
      <c r="P4" s="81">
        <v>3</v>
      </c>
      <c r="Q4" s="68">
        <v>-8300</v>
      </c>
    </row>
    <row r="5" spans="1:17" x14ac:dyDescent="0.45">
      <c r="A5" s="21" t="s">
        <v>7</v>
      </c>
      <c r="B5" s="127">
        <f>IF(B$2=0,0,B$4/B$2)</f>
        <v>-13.466666666666667</v>
      </c>
      <c r="C5" s="128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4</v>
      </c>
      <c r="K5" s="7">
        <v>3</v>
      </c>
      <c r="L5" s="65">
        <v>-40.4</v>
      </c>
      <c r="N5" s="78" t="s">
        <v>131</v>
      </c>
      <c r="O5" s="84">
        <f t="shared" si="0"/>
        <v>-9750</v>
      </c>
      <c r="P5" s="81">
        <v>2</v>
      </c>
      <c r="Q5" s="68">
        <v>-19500</v>
      </c>
    </row>
    <row r="6" spans="1:17" x14ac:dyDescent="0.45">
      <c r="A6" s="21" t="s">
        <v>1</v>
      </c>
      <c r="B6" s="141">
        <f>IF(B$2=0,0,(B$7*1+B$8*2+B$9*3)/B$2)</f>
        <v>2.3333333333333335</v>
      </c>
      <c r="C6" s="142"/>
      <c r="E6" s="29" t="s">
        <v>72</v>
      </c>
      <c r="F6" s="26" t="s">
        <v>27</v>
      </c>
      <c r="G6" s="14">
        <v>1</v>
      </c>
      <c r="H6" s="92">
        <f>IF(B$19=0,0,G6/B$19)</f>
        <v>0.33333333333333331</v>
      </c>
      <c r="I6" s="60">
        <v>6</v>
      </c>
      <c r="N6" s="78" t="s">
        <v>132</v>
      </c>
      <c r="O6" s="84">
        <f t="shared" si="0"/>
        <v>-10500</v>
      </c>
      <c r="P6" s="81">
        <v>2</v>
      </c>
      <c r="Q6" s="68">
        <v>-21000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89</v>
      </c>
      <c r="F7" s="26" t="s">
        <v>44</v>
      </c>
      <c r="G7" s="14">
        <v>1</v>
      </c>
      <c r="H7" s="92">
        <f>IF(B$19=0,0,G7/B$19)</f>
        <v>0.33333333333333331</v>
      </c>
      <c r="I7" s="60">
        <v>1</v>
      </c>
      <c r="N7" s="79" t="s">
        <v>133</v>
      </c>
      <c r="O7" s="85">
        <f t="shared" si="0"/>
        <v>-750</v>
      </c>
      <c r="P7" s="82">
        <v>2</v>
      </c>
      <c r="Q7" s="69">
        <v>-1500</v>
      </c>
    </row>
    <row r="8" spans="1:17" x14ac:dyDescent="0.45">
      <c r="A8" s="21" t="s">
        <v>3</v>
      </c>
      <c r="B8" s="14">
        <v>2</v>
      </c>
      <c r="C8" s="8">
        <f t="shared" si="1"/>
        <v>0.66666666666666663</v>
      </c>
      <c r="E8" s="29" t="s">
        <v>65</v>
      </c>
      <c r="F8" s="26" t="s">
        <v>21</v>
      </c>
      <c r="G8" s="14">
        <v>0</v>
      </c>
      <c r="H8" s="92">
        <f>IF(B$19=0,0,G8/B$19)</f>
        <v>0</v>
      </c>
      <c r="I8" s="60">
        <v>4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0</v>
      </c>
      <c r="H9" s="92">
        <f>IF(B$19=0,0,G9/B$19)</f>
        <v>0</v>
      </c>
      <c r="I9" s="60">
        <v>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68</v>
      </c>
      <c r="F10" s="26" t="s">
        <v>12</v>
      </c>
      <c r="G10" s="14">
        <v>0</v>
      </c>
      <c r="H10" s="92">
        <f>IF(B$19=0,0,G10/B$19)</f>
        <v>0</v>
      </c>
      <c r="I10" s="60">
        <v>5</v>
      </c>
      <c r="N10" s="77" t="s">
        <v>152</v>
      </c>
      <c r="O10" s="86">
        <f>IF(P10=0,0,Q10/P10)</f>
        <v>-33.6</v>
      </c>
      <c r="P10" s="80">
        <v>1</v>
      </c>
      <c r="Q10" s="71">
        <v>-33.6</v>
      </c>
    </row>
    <row r="11" spans="1:17" x14ac:dyDescent="0.45">
      <c r="A11" s="22" t="s">
        <v>186</v>
      </c>
      <c r="B11" s="113">
        <f>IF(B8=0,0,C11/B8)</f>
        <v>-3.4</v>
      </c>
      <c r="C11" s="114">
        <v>-6.8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4</v>
      </c>
      <c r="N11" s="78" t="s">
        <v>153</v>
      </c>
      <c r="O11" s="87">
        <f>IF(P11=0,0,Q11/P11)</f>
        <v>-3.3</v>
      </c>
      <c r="P11" s="81">
        <v>1</v>
      </c>
      <c r="Q11" s="72">
        <v>-3.3</v>
      </c>
    </row>
    <row r="12" spans="1:17" x14ac:dyDescent="0.45">
      <c r="A12" s="22" t="s">
        <v>187</v>
      </c>
      <c r="B12" s="113">
        <f>IF(B9=0,0,C12/B9)</f>
        <v>-33.6</v>
      </c>
      <c r="C12" s="114">
        <v>-33.6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1</v>
      </c>
      <c r="N12" s="79" t="s">
        <v>154</v>
      </c>
      <c r="O12" s="88">
        <f>IF(P12=0,0,Q12/P12)</f>
        <v>-3.5</v>
      </c>
      <c r="P12" s="82">
        <v>1</v>
      </c>
      <c r="Q12" s="73">
        <v>-3.5</v>
      </c>
    </row>
    <row r="13" spans="1:17" x14ac:dyDescent="0.45">
      <c r="A13" s="22" t="s">
        <v>188</v>
      </c>
      <c r="B13" s="127">
        <f>AVERAGE(B10:B12)</f>
        <v>-12.333333333333334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</v>
      </c>
      <c r="C15" s="12">
        <f>IF(B$3=0,0,B15/B$3)</f>
        <v>9.5238095238095233E-2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-6.5999999999999988</v>
      </c>
      <c r="P15" s="80">
        <v>3</v>
      </c>
      <c r="Q15" s="71">
        <v>-19.799999999999997</v>
      </c>
    </row>
    <row r="16" spans="1:17" x14ac:dyDescent="0.45">
      <c r="A16" s="21" t="s">
        <v>118</v>
      </c>
      <c r="B16" s="14">
        <v>5</v>
      </c>
      <c r="C16" s="8">
        <f>IF(B$3=0,0,B16/B$3)</f>
        <v>0.23809523809523808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-33.800000000000004</v>
      </c>
      <c r="P16" s="81">
        <v>3</v>
      </c>
      <c r="Q16" s="72">
        <v>-101.4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3</v>
      </c>
    </row>
    <row r="19" spans="1:9" x14ac:dyDescent="0.45">
      <c r="A19" s="20" t="s">
        <v>10</v>
      </c>
      <c r="B19" s="13">
        <f>B22+B21</f>
        <v>3</v>
      </c>
      <c r="C19" s="6">
        <f>IF(B$3=0,0,B19/B$3)</f>
        <v>0.14285714285714285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</v>
      </c>
      <c r="C20" s="8">
        <f>IF(B$3=0,0,B20/B$3)</f>
        <v>4.7619047619047616E-2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5</v>
      </c>
    </row>
    <row r="22" spans="1:9" x14ac:dyDescent="0.45">
      <c r="A22" s="21" t="s">
        <v>11</v>
      </c>
      <c r="B22" s="14">
        <v>3</v>
      </c>
      <c r="C22" s="8">
        <f>IF(B$19=0,0,B22/B$19)</f>
        <v>1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1</v>
      </c>
      <c r="C23" s="8">
        <f>IF(B$19=0,0,B23/B$19)</f>
        <v>0.33333333333333331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5</v>
      </c>
    </row>
    <row r="24" spans="1:9" x14ac:dyDescent="0.45">
      <c r="A24" s="21" t="s">
        <v>182</v>
      </c>
      <c r="B24" s="14">
        <v>1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1</v>
      </c>
      <c r="C25" s="8">
        <f>IF(B$19=0,0,B25/B$19)</f>
        <v>0.33333333333333331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5800</v>
      </c>
      <c r="C26" s="10">
        <v>17400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4850</v>
      </c>
      <c r="C27" s="100">
        <v>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7700</v>
      </c>
      <c r="C28" s="100">
        <v>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159</v>
      </c>
      <c r="B31" s="14">
        <v>15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5">
      <c r="A32" s="56" t="s">
        <v>136</v>
      </c>
      <c r="B32" s="129">
        <v>2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31700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2</v>
      </c>
      <c r="C39" s="8">
        <f t="shared" si="2"/>
        <v>0.66666666666666663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D75E-6A88-4E67-8A68-C9D67507F3BB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195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</v>
      </c>
      <c r="C2" s="136"/>
      <c r="E2" s="28" t="s">
        <v>66</v>
      </c>
      <c r="F2" s="25" t="s">
        <v>22</v>
      </c>
      <c r="G2" s="13">
        <v>4</v>
      </c>
      <c r="H2" s="91">
        <f>IF(B$19=0,0,G2/B$19)</f>
        <v>0.8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-11233.333333333334</v>
      </c>
      <c r="P2" s="80">
        <v>3</v>
      </c>
      <c r="Q2" s="67">
        <v>-33700</v>
      </c>
    </row>
    <row r="3" spans="1:17" x14ac:dyDescent="0.45">
      <c r="A3" s="21" t="s">
        <v>8</v>
      </c>
      <c r="B3" s="137">
        <v>21</v>
      </c>
      <c r="C3" s="138"/>
      <c r="E3" s="29" t="s">
        <v>67</v>
      </c>
      <c r="F3" s="26" t="s">
        <v>23</v>
      </c>
      <c r="G3" s="14">
        <v>4</v>
      </c>
      <c r="H3" s="92">
        <f>IF(B$19=0,0,G3/B$19)</f>
        <v>0.8</v>
      </c>
      <c r="I3" s="60">
        <v>1</v>
      </c>
      <c r="K3" s="7">
        <v>1</v>
      </c>
      <c r="L3" s="65">
        <v>55.6</v>
      </c>
      <c r="N3" s="78" t="s">
        <v>129</v>
      </c>
      <c r="O3" s="84">
        <f t="shared" si="0"/>
        <v>-1233.3333333333333</v>
      </c>
      <c r="P3" s="81">
        <v>3</v>
      </c>
      <c r="Q3" s="68">
        <v>-3700</v>
      </c>
    </row>
    <row r="4" spans="1:17" x14ac:dyDescent="0.45">
      <c r="A4" s="21" t="s">
        <v>6</v>
      </c>
      <c r="B4" s="139">
        <v>-20.599999999999998</v>
      </c>
      <c r="C4" s="140"/>
      <c r="E4" s="29" t="s">
        <v>64</v>
      </c>
      <c r="F4" s="26" t="s">
        <v>20</v>
      </c>
      <c r="G4" s="14">
        <v>3</v>
      </c>
      <c r="H4" s="92">
        <f>IF(B$19=0,0,G4/B$19)</f>
        <v>0.6</v>
      </c>
      <c r="I4" s="60">
        <v>2</v>
      </c>
      <c r="K4" s="7">
        <v>2</v>
      </c>
      <c r="L4" s="65">
        <v>24.900000000000002</v>
      </c>
      <c r="N4" s="78" t="s">
        <v>130</v>
      </c>
      <c r="O4" s="84">
        <f t="shared" si="0"/>
        <v>-1466.6666666666667</v>
      </c>
      <c r="P4" s="81">
        <v>3</v>
      </c>
      <c r="Q4" s="68">
        <v>-4400</v>
      </c>
    </row>
    <row r="5" spans="1:17" x14ac:dyDescent="0.45">
      <c r="A5" s="21" t="s">
        <v>7</v>
      </c>
      <c r="B5" s="127">
        <f>IF(B$2=0,0,B$4/B$2)</f>
        <v>-6.8666666666666663</v>
      </c>
      <c r="C5" s="128"/>
      <c r="E5" s="29" t="s">
        <v>72</v>
      </c>
      <c r="F5" s="26" t="s">
        <v>27</v>
      </c>
      <c r="G5" s="14">
        <v>3</v>
      </c>
      <c r="H5" s="92">
        <f>IF(B$19=0,0,G5/B$19)</f>
        <v>0.6</v>
      </c>
      <c r="I5" s="60">
        <v>5</v>
      </c>
      <c r="K5" s="7">
        <v>3</v>
      </c>
      <c r="L5" s="65">
        <v>-20.599999999999998</v>
      </c>
      <c r="N5" s="78" t="s">
        <v>131</v>
      </c>
      <c r="O5" s="84">
        <f t="shared" si="0"/>
        <v>8750</v>
      </c>
      <c r="P5" s="81">
        <v>2</v>
      </c>
      <c r="Q5" s="68">
        <v>17500</v>
      </c>
    </row>
    <row r="6" spans="1:17" x14ac:dyDescent="0.45">
      <c r="A6" s="21" t="s">
        <v>1</v>
      </c>
      <c r="B6" s="141">
        <f>IF(B$2=0,0,(B$7*1+B$8*2+B$9*3)/B$2)</f>
        <v>2.3333333333333335</v>
      </c>
      <c r="C6" s="142"/>
      <c r="E6" s="29" t="s">
        <v>68</v>
      </c>
      <c r="F6" s="26" t="s">
        <v>12</v>
      </c>
      <c r="G6" s="14">
        <v>2</v>
      </c>
      <c r="H6" s="92">
        <f>IF(B$19=0,0,G6/B$19)</f>
        <v>0.4</v>
      </c>
      <c r="I6" s="60">
        <v>2</v>
      </c>
      <c r="N6" s="78" t="s">
        <v>132</v>
      </c>
      <c r="O6" s="84">
        <f t="shared" si="0"/>
        <v>5350</v>
      </c>
      <c r="P6" s="81">
        <v>2</v>
      </c>
      <c r="Q6" s="68">
        <v>10700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0.33333333333333331</v>
      </c>
      <c r="E7" s="29" t="s">
        <v>160</v>
      </c>
      <c r="F7" s="26" t="s">
        <v>161</v>
      </c>
      <c r="G7" s="14">
        <v>2</v>
      </c>
      <c r="H7" s="92">
        <f>IF(B$19=0,0,G7/B$19)</f>
        <v>0.4</v>
      </c>
      <c r="I7" s="60">
        <v>5</v>
      </c>
      <c r="N7" s="79" t="s">
        <v>133</v>
      </c>
      <c r="O7" s="85">
        <f t="shared" si="0"/>
        <v>1500</v>
      </c>
      <c r="P7" s="82">
        <v>2</v>
      </c>
      <c r="Q7" s="69">
        <v>3000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69</v>
      </c>
      <c r="F8" s="26" t="s">
        <v>24</v>
      </c>
      <c r="G8" s="14">
        <v>1</v>
      </c>
      <c r="H8" s="92">
        <f>IF(B$19=0,0,G8/B$19)</f>
        <v>0.2</v>
      </c>
      <c r="I8" s="60">
        <v>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0.66666666666666663</v>
      </c>
      <c r="E9" s="29" t="s">
        <v>70</v>
      </c>
      <c r="F9" s="26" t="s">
        <v>25</v>
      </c>
      <c r="G9" s="14">
        <v>1</v>
      </c>
      <c r="H9" s="92">
        <f>IF(B$19=0,0,G9/B$19)</f>
        <v>0.2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55.6</v>
      </c>
      <c r="C10" s="114">
        <v>55.6</v>
      </c>
      <c r="E10" s="29" t="s">
        <v>81</v>
      </c>
      <c r="F10" s="26" t="s">
        <v>36</v>
      </c>
      <c r="G10" s="14">
        <v>1</v>
      </c>
      <c r="H10" s="92">
        <f>IF(B$19=0,0,G10/B$19)</f>
        <v>0.2</v>
      </c>
      <c r="I10" s="60">
        <v>2</v>
      </c>
      <c r="N10" s="77" t="s">
        <v>152</v>
      </c>
      <c r="O10" s="86">
        <f>IF(P10=0,0,Q10/P10)</f>
        <v>-30.7</v>
      </c>
      <c r="P10" s="80">
        <v>1</v>
      </c>
      <c r="Q10" s="71">
        <v>-30.7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65</v>
      </c>
      <c r="F11" s="26" t="s">
        <v>21</v>
      </c>
      <c r="G11" s="14">
        <v>0</v>
      </c>
      <c r="H11" s="92">
        <f>IF(B$19=0,0,G11/B$19)</f>
        <v>0</v>
      </c>
      <c r="I11" s="60">
        <v>4</v>
      </c>
      <c r="N11" s="78" t="s">
        <v>153</v>
      </c>
      <c r="O11" s="87">
        <f>IF(P11=0,0,Q11/P11)</f>
        <v>5.0500000000000007</v>
      </c>
      <c r="P11" s="81">
        <v>2</v>
      </c>
      <c r="Q11" s="72">
        <v>10.100000000000001</v>
      </c>
    </row>
    <row r="12" spans="1:17" x14ac:dyDescent="0.45">
      <c r="A12" s="22" t="s">
        <v>187</v>
      </c>
      <c r="B12" s="113">
        <f>IF(B9=0,0,C12/B9)</f>
        <v>-38.1</v>
      </c>
      <c r="C12" s="114">
        <v>-76.2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5.833333333333333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0.33333333333333331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</v>
      </c>
      <c r="C15" s="12">
        <f>IF(B$3=0,0,B15/B$3)</f>
        <v>0.33333333333333331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196</v>
      </c>
      <c r="O15" s="86">
        <f>IF(P15=0,0,Q15/P15)</f>
        <v>6.5999999999999988</v>
      </c>
      <c r="P15" s="80">
        <v>3</v>
      </c>
      <c r="Q15" s="71">
        <v>19.799999999999997</v>
      </c>
    </row>
    <row r="16" spans="1:17" x14ac:dyDescent="0.45">
      <c r="A16" s="21" t="s">
        <v>118</v>
      </c>
      <c r="B16" s="14">
        <v>4</v>
      </c>
      <c r="C16" s="8">
        <f>IF(B$3=0,0,B16/B$3)</f>
        <v>0.19047619047619047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-27.200000000000003</v>
      </c>
      <c r="P16" s="81">
        <v>3</v>
      </c>
      <c r="Q16" s="72">
        <v>-81.600000000000009</v>
      </c>
    </row>
    <row r="17" spans="1:9" x14ac:dyDescent="0.45">
      <c r="A17" s="20" t="s">
        <v>123</v>
      </c>
      <c r="B17" s="13">
        <f>B23</f>
        <v>3</v>
      </c>
      <c r="C17" s="6">
        <f>IF(B$15=0,0,B17/B$15)</f>
        <v>0.42857142857142855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2</v>
      </c>
      <c r="C18" s="6">
        <f>IF(B$16=0,0,B18/B$16)</f>
        <v>0.5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3</v>
      </c>
    </row>
    <row r="19" spans="1:9" x14ac:dyDescent="0.45">
      <c r="A19" s="20" t="s">
        <v>10</v>
      </c>
      <c r="B19" s="13">
        <f>B22+B21</f>
        <v>5</v>
      </c>
      <c r="C19" s="6">
        <f>IF(B$3=0,0,B19/B$3)</f>
        <v>0.23809523809523808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4</v>
      </c>
      <c r="C20" s="8">
        <f>IF(B$3=0,0,B20/B$3)</f>
        <v>0.19047619047619047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4</v>
      </c>
      <c r="C21" s="8">
        <f>IF(B$19=0,0,B21/B$19)</f>
        <v>0.8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</v>
      </c>
      <c r="C22" s="8">
        <f>IF(B$19=0,0,B22/B$19)</f>
        <v>0.2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5</v>
      </c>
    </row>
    <row r="23" spans="1:9" x14ac:dyDescent="0.45">
      <c r="A23" s="21" t="s">
        <v>184</v>
      </c>
      <c r="B23" s="14">
        <v>3</v>
      </c>
      <c r="C23" s="8">
        <f>IF(B$19=0,0,B23/B$19)</f>
        <v>0.6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2</v>
      </c>
      <c r="C24" s="8">
        <f>IF(B$19=0,0,B24/B$19)</f>
        <v>0.4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9000</v>
      </c>
      <c r="C26" s="10">
        <v>45000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13300</v>
      </c>
      <c r="C27" s="100">
        <v>39900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2550</v>
      </c>
      <c r="C28" s="100">
        <v>5100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5</v>
      </c>
    </row>
    <row r="29" spans="1:9" x14ac:dyDescent="0.45">
      <c r="A29" s="22" t="s">
        <v>165</v>
      </c>
      <c r="B29" s="99">
        <f>IF(B$20=0,0,C29/B$20)</f>
        <v>-9850</v>
      </c>
      <c r="C29" s="100">
        <v>-39400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159</v>
      </c>
      <c r="B31" s="14">
        <v>7</v>
      </c>
      <c r="C31" s="94">
        <v>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5">
      <c r="A32" s="56" t="s">
        <v>136</v>
      </c>
      <c r="B32" s="129">
        <v>6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80600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2"/>
        <v>0.2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2"/>
        <v>0.2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DBDE8-8FF1-4BE7-B00C-8E70974340FA}">
  <sheetPr codeName="Sheet16"/>
  <dimension ref="A1:Q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55.6</v>
      </c>
      <c r="C4" s="32">
        <v>55.6</v>
      </c>
      <c r="D4" s="37">
        <v>1</v>
      </c>
      <c r="E4" s="33">
        <v>1</v>
      </c>
      <c r="F4" s="33">
        <v>0</v>
      </c>
      <c r="G4" s="33">
        <v>0.5</v>
      </c>
      <c r="H4" s="33">
        <v>0.1</v>
      </c>
      <c r="I4" s="34">
        <v>9000</v>
      </c>
      <c r="J4" s="34">
        <v>-7700</v>
      </c>
      <c r="K4" s="33">
        <v>0</v>
      </c>
      <c r="L4" s="33">
        <v>0.5</v>
      </c>
      <c r="M4" s="33">
        <v>0.3</v>
      </c>
      <c r="N4" s="33">
        <v>0.6</v>
      </c>
      <c r="O4" s="33">
        <v>0.66666666666666663</v>
      </c>
      <c r="P4" s="33">
        <v>0.8</v>
      </c>
    </row>
    <row r="5" spans="1:17" x14ac:dyDescent="0.45">
      <c r="A5" s="35">
        <v>2</v>
      </c>
      <c r="B5" s="32">
        <v>24.900000000000002</v>
      </c>
      <c r="C5" s="32">
        <v>12.450000000000001</v>
      </c>
      <c r="D5" s="37">
        <v>2</v>
      </c>
      <c r="E5" s="33">
        <v>0.5</v>
      </c>
      <c r="F5" s="33">
        <v>0.5</v>
      </c>
      <c r="G5" s="33">
        <v>0.3125</v>
      </c>
      <c r="H5" s="33">
        <v>0.125</v>
      </c>
      <c r="I5" s="34">
        <v>9000</v>
      </c>
      <c r="J5" s="34">
        <v>-7700</v>
      </c>
      <c r="K5" s="33">
        <v>0</v>
      </c>
      <c r="L5" s="33">
        <v>0.375</v>
      </c>
      <c r="M5" s="33">
        <v>0.1875</v>
      </c>
      <c r="N5" s="33">
        <v>0.5</v>
      </c>
      <c r="O5" s="33">
        <v>0.66666666666666663</v>
      </c>
      <c r="P5" s="33">
        <v>0.8</v>
      </c>
    </row>
    <row r="6" spans="1:17" x14ac:dyDescent="0.45">
      <c r="A6" s="35">
        <v>3</v>
      </c>
      <c r="B6" s="32">
        <v>-20.599999999999998</v>
      </c>
      <c r="C6" s="32">
        <v>-6.8666666666666663</v>
      </c>
      <c r="D6" s="37">
        <v>2.3333333333333335</v>
      </c>
      <c r="E6" s="33">
        <v>0.33333333333333331</v>
      </c>
      <c r="F6" s="33">
        <v>0.66666666666666663</v>
      </c>
      <c r="G6" s="33">
        <v>0.23809523809523808</v>
      </c>
      <c r="H6" s="33">
        <v>0.19047619047619047</v>
      </c>
      <c r="I6" s="34">
        <v>9000</v>
      </c>
      <c r="J6" s="34">
        <v>-9850</v>
      </c>
      <c r="K6" s="33">
        <v>0.33333333333333331</v>
      </c>
      <c r="L6" s="33">
        <v>0.33333333333333331</v>
      </c>
      <c r="M6" s="33">
        <v>0.19047619047619047</v>
      </c>
      <c r="N6" s="33">
        <v>0.42857142857142855</v>
      </c>
      <c r="O6" s="33">
        <v>0.5</v>
      </c>
      <c r="P6" s="33">
        <v>0.8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6EE74-1393-4990-B1F8-52B38F5E277F}">
  <sheetPr codeName="Sheet14"/>
  <dimension ref="A1:Q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-33.6</v>
      </c>
      <c r="C4" s="32">
        <v>-33.6</v>
      </c>
      <c r="D4" s="37">
        <v>3</v>
      </c>
      <c r="E4" s="33">
        <v>0</v>
      </c>
      <c r="F4" s="33">
        <v>1</v>
      </c>
      <c r="G4" s="33">
        <v>0.1</v>
      </c>
      <c r="H4" s="33">
        <v>0.1</v>
      </c>
      <c r="I4" s="34">
        <v>7700</v>
      </c>
      <c r="J4" s="34">
        <v>-3900</v>
      </c>
      <c r="K4" s="33">
        <v>0</v>
      </c>
      <c r="L4" s="33">
        <v>0.1</v>
      </c>
      <c r="M4" s="33">
        <v>0.2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-36.9</v>
      </c>
      <c r="C5" s="32">
        <v>-18.45</v>
      </c>
      <c r="D5" s="37">
        <v>2.5</v>
      </c>
      <c r="E5" s="33">
        <v>0</v>
      </c>
      <c r="F5" s="33">
        <v>0.5</v>
      </c>
      <c r="G5" s="33">
        <v>0.1875</v>
      </c>
      <c r="H5" s="33">
        <v>6.25E-2</v>
      </c>
      <c r="I5" s="34">
        <v>5800</v>
      </c>
      <c r="J5" s="34">
        <v>-3900</v>
      </c>
      <c r="K5" s="33">
        <v>0</v>
      </c>
      <c r="L5" s="33">
        <v>0.125</v>
      </c>
      <c r="M5" s="33">
        <v>0.1875</v>
      </c>
      <c r="N5" s="33">
        <v>0.5</v>
      </c>
      <c r="O5" s="33">
        <v>0.33333333333333331</v>
      </c>
      <c r="P5" s="33">
        <v>0</v>
      </c>
    </row>
    <row r="6" spans="1:17" x14ac:dyDescent="0.45">
      <c r="A6" s="35">
        <v>3</v>
      </c>
      <c r="B6" s="32">
        <v>-40.4</v>
      </c>
      <c r="C6" s="32">
        <v>-13.466666666666667</v>
      </c>
      <c r="D6" s="37">
        <v>2.3333333333333335</v>
      </c>
      <c r="E6" s="33">
        <v>0</v>
      </c>
      <c r="F6" s="33">
        <v>0.33333333333333331</v>
      </c>
      <c r="G6" s="33">
        <v>0.14285714285714285</v>
      </c>
      <c r="H6" s="33">
        <v>4.7619047619047616E-2</v>
      </c>
      <c r="I6" s="34">
        <v>5800</v>
      </c>
      <c r="J6" s="34">
        <v>-3900</v>
      </c>
      <c r="K6" s="33">
        <v>0</v>
      </c>
      <c r="L6" s="33">
        <v>9.5238095238095233E-2</v>
      </c>
      <c r="M6" s="33">
        <v>0.23809523809523808</v>
      </c>
      <c r="N6" s="33">
        <v>0.5</v>
      </c>
      <c r="O6" s="33">
        <v>0.2</v>
      </c>
      <c r="P6" s="33">
        <v>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3FD93-D28D-41B1-A6EE-33F9077CA40E}">
  <sheetPr codeName="Sheet12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190</v>
      </c>
      <c r="B1" s="36" t="s">
        <v>190</v>
      </c>
      <c r="C1" s="36" t="s">
        <v>190</v>
      </c>
      <c r="D1" s="37" t="s">
        <v>190</v>
      </c>
      <c r="E1" s="36" t="s">
        <v>190</v>
      </c>
      <c r="F1" s="36" t="s">
        <v>190</v>
      </c>
      <c r="G1" s="36" t="s">
        <v>190</v>
      </c>
      <c r="H1" s="36" t="s">
        <v>190</v>
      </c>
      <c r="I1" s="36" t="s">
        <v>190</v>
      </c>
      <c r="J1" s="36" t="s">
        <v>190</v>
      </c>
      <c r="K1" s="36" t="s">
        <v>190</v>
      </c>
      <c r="L1" s="36" t="s">
        <v>190</v>
      </c>
      <c r="M1" s="36" t="s">
        <v>190</v>
      </c>
      <c r="N1" s="36" t="s">
        <v>190</v>
      </c>
      <c r="O1" s="36" t="s">
        <v>190</v>
      </c>
      <c r="P1" s="36" t="s">
        <v>190</v>
      </c>
      <c r="Q1" s="36" t="s">
        <v>190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</v>
      </c>
      <c r="C4" s="32">
        <v>10.1</v>
      </c>
      <c r="D4" s="37">
        <v>2</v>
      </c>
      <c r="E4" s="33">
        <v>0</v>
      </c>
      <c r="F4" s="33">
        <v>0</v>
      </c>
      <c r="G4" s="33">
        <v>0.44444444444444442</v>
      </c>
      <c r="H4" s="33">
        <v>0.1111111111111111</v>
      </c>
      <c r="I4" s="34">
        <v>8400</v>
      </c>
      <c r="J4" s="34">
        <v>-8000</v>
      </c>
      <c r="K4" s="33">
        <v>0</v>
      </c>
      <c r="L4" s="33">
        <v>0.22222222222222221</v>
      </c>
      <c r="M4" s="33">
        <v>0.55555555555555558</v>
      </c>
      <c r="N4" s="33">
        <v>0.5</v>
      </c>
      <c r="O4" s="33">
        <v>0.6</v>
      </c>
      <c r="P4" s="33">
        <v>0.75</v>
      </c>
    </row>
    <row r="5" spans="1:17" x14ac:dyDescent="0.45">
      <c r="A5" s="35">
        <v>2</v>
      </c>
      <c r="B5" s="32">
        <v>36.4</v>
      </c>
      <c r="C5" s="32">
        <v>18.2</v>
      </c>
      <c r="D5" s="37">
        <v>2</v>
      </c>
      <c r="E5" s="33">
        <v>0</v>
      </c>
      <c r="F5" s="33">
        <v>0</v>
      </c>
      <c r="G5" s="33">
        <v>0.41176470588235292</v>
      </c>
      <c r="H5" s="33">
        <v>5.8823529411764705E-2</v>
      </c>
      <c r="I5" s="34">
        <v>9028.5714285714294</v>
      </c>
      <c r="J5" s="34">
        <v>-8000</v>
      </c>
      <c r="K5" s="33">
        <v>0</v>
      </c>
      <c r="L5" s="33">
        <v>0.29411764705882354</v>
      </c>
      <c r="M5" s="33">
        <v>0.47058823529411764</v>
      </c>
      <c r="N5" s="33">
        <v>0.4</v>
      </c>
      <c r="O5" s="33">
        <v>0.625</v>
      </c>
      <c r="P5" s="33">
        <v>0.5714285714285714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12BE-AE58-4C91-B0FE-B05CE8E248CF}">
  <sheetPr codeName="Sheet10"/>
  <dimension ref="A1:Q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-31</v>
      </c>
      <c r="C4" s="32">
        <v>-31</v>
      </c>
      <c r="D4" s="37">
        <v>3</v>
      </c>
      <c r="E4" s="33">
        <v>0</v>
      </c>
      <c r="F4" s="33">
        <v>1</v>
      </c>
      <c r="G4" s="33">
        <v>0.22222222222222221</v>
      </c>
      <c r="H4" s="33">
        <v>0.1111111111111111</v>
      </c>
      <c r="I4" s="34">
        <v>7950</v>
      </c>
      <c r="J4" s="34">
        <v>-12000</v>
      </c>
      <c r="K4" s="33">
        <v>0</v>
      </c>
      <c r="L4" s="33">
        <v>0.22222222222222221</v>
      </c>
      <c r="M4" s="33">
        <v>0.1111111111111111</v>
      </c>
      <c r="N4" s="33">
        <v>0.5</v>
      </c>
      <c r="O4" s="33">
        <v>1</v>
      </c>
      <c r="P4" s="33">
        <v>0.5</v>
      </c>
    </row>
    <row r="5" spans="1:17" x14ac:dyDescent="0.45">
      <c r="A5" s="35">
        <v>2</v>
      </c>
      <c r="B5" s="32">
        <v>-98.9</v>
      </c>
      <c r="C5" s="32">
        <v>-49.45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0.17647058823529413</v>
      </c>
      <c r="I5" s="34">
        <v>9300</v>
      </c>
      <c r="J5" s="34">
        <v>-23866.666666666668</v>
      </c>
      <c r="K5" s="33">
        <v>0.5</v>
      </c>
      <c r="L5" s="33">
        <v>0.29411764705882354</v>
      </c>
      <c r="M5" s="33">
        <v>0.11764705882352941</v>
      </c>
      <c r="N5" s="33">
        <v>0.4</v>
      </c>
      <c r="O5" s="33">
        <v>0.5</v>
      </c>
      <c r="P5" s="33">
        <v>0.33333333333333331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ECC0-EC3D-4766-918B-0393B02DE824}">
  <sheetPr codeName="Sheet8"/>
  <dimension ref="A1:Q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20.9</v>
      </c>
      <c r="C4" s="32">
        <v>20.9</v>
      </c>
      <c r="D4" s="37">
        <v>1</v>
      </c>
      <c r="E4" s="33">
        <v>1</v>
      </c>
      <c r="F4" s="33">
        <v>0</v>
      </c>
      <c r="G4" s="33">
        <v>0.33333333333333331</v>
      </c>
      <c r="H4" s="33">
        <v>0.1111111111111111</v>
      </c>
      <c r="I4" s="34">
        <v>10666.666666666666</v>
      </c>
      <c r="J4" s="34">
        <v>-3900</v>
      </c>
      <c r="K4" s="33">
        <v>0</v>
      </c>
      <c r="L4" s="33">
        <v>0.22222222222222221</v>
      </c>
      <c r="M4" s="33">
        <v>0.22222222222222221</v>
      </c>
      <c r="N4" s="33">
        <v>0.5</v>
      </c>
      <c r="O4" s="33">
        <v>0.5</v>
      </c>
      <c r="P4" s="33">
        <v>0.66666666666666663</v>
      </c>
    </row>
    <row r="5" spans="1:17" x14ac:dyDescent="0.45">
      <c r="A5" s="35">
        <v>2</v>
      </c>
      <c r="B5" s="32">
        <v>62.5</v>
      </c>
      <c r="C5" s="32">
        <v>31.25</v>
      </c>
      <c r="D5" s="37">
        <v>1</v>
      </c>
      <c r="E5" s="33">
        <v>1</v>
      </c>
      <c r="F5" s="33">
        <v>0</v>
      </c>
      <c r="G5" s="33">
        <v>0.35294117647058826</v>
      </c>
      <c r="H5" s="33">
        <v>0.17647058823529413</v>
      </c>
      <c r="I5" s="34">
        <v>14266.666666666666</v>
      </c>
      <c r="J5" s="34">
        <v>-5966.666666666667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0.5</v>
      </c>
      <c r="P5" s="33">
        <v>0.66666666666666663</v>
      </c>
    </row>
    <row r="6" spans="1:17" x14ac:dyDescent="0.45">
      <c r="A6" s="35">
        <v>3</v>
      </c>
      <c r="B6" s="32">
        <v>40.5</v>
      </c>
      <c r="C6" s="32">
        <v>13.5</v>
      </c>
      <c r="D6" s="37">
        <v>1.3333333333333333</v>
      </c>
      <c r="E6" s="33">
        <v>0.66666666666666663</v>
      </c>
      <c r="F6" s="33">
        <v>0</v>
      </c>
      <c r="G6" s="33">
        <v>0.25925925925925924</v>
      </c>
      <c r="H6" s="33">
        <v>0.1111111111111111</v>
      </c>
      <c r="I6" s="34">
        <v>12628.571428571429</v>
      </c>
      <c r="J6" s="34">
        <v>-5966.666666666667</v>
      </c>
      <c r="K6" s="33">
        <v>0</v>
      </c>
      <c r="L6" s="33">
        <v>0.25925925925925924</v>
      </c>
      <c r="M6" s="33">
        <v>0.22222222222222221</v>
      </c>
      <c r="N6" s="33">
        <v>0.2857142857142857</v>
      </c>
      <c r="O6" s="33">
        <v>0.5</v>
      </c>
      <c r="P6" s="33">
        <v>0.7142857142857143</v>
      </c>
    </row>
    <row r="7" spans="1:17" x14ac:dyDescent="0.45">
      <c r="A7" s="35">
        <v>4</v>
      </c>
      <c r="B7" s="32">
        <v>74.5</v>
      </c>
      <c r="C7" s="32">
        <v>18.625</v>
      </c>
      <c r="D7" s="37">
        <v>1.25</v>
      </c>
      <c r="E7" s="33">
        <v>0.75</v>
      </c>
      <c r="F7" s="33">
        <v>0</v>
      </c>
      <c r="G7" s="33">
        <v>0.30303030303030304</v>
      </c>
      <c r="H7" s="33">
        <v>0.12121212121212122</v>
      </c>
      <c r="I7" s="34">
        <v>11640</v>
      </c>
      <c r="J7" s="34">
        <v>-4975</v>
      </c>
      <c r="K7" s="33">
        <v>0</v>
      </c>
      <c r="L7" s="33">
        <v>0.27272727272727271</v>
      </c>
      <c r="M7" s="33">
        <v>0.21212121212121213</v>
      </c>
      <c r="N7" s="33">
        <v>0.44444444444444442</v>
      </c>
      <c r="O7" s="33">
        <v>0.42857142857142855</v>
      </c>
      <c r="P7" s="33">
        <v>0.8</v>
      </c>
    </row>
    <row r="8" spans="1:17" x14ac:dyDescent="0.45">
      <c r="A8" s="35">
        <v>5</v>
      </c>
      <c r="B8" s="32">
        <v>123.5</v>
      </c>
      <c r="C8" s="32">
        <v>24.7</v>
      </c>
      <c r="D8" s="37">
        <v>1.2</v>
      </c>
      <c r="E8" s="33">
        <v>0.8</v>
      </c>
      <c r="F8" s="33">
        <v>0</v>
      </c>
      <c r="G8" s="33">
        <v>0.34210526315789475</v>
      </c>
      <c r="H8" s="33">
        <v>0.10526315789473684</v>
      </c>
      <c r="I8" s="34">
        <v>11723.076923076924</v>
      </c>
      <c r="J8" s="34">
        <v>-4975</v>
      </c>
      <c r="K8" s="33">
        <v>0</v>
      </c>
      <c r="L8" s="33">
        <v>0.23684210526315788</v>
      </c>
      <c r="M8" s="33">
        <v>0.23684210526315788</v>
      </c>
      <c r="N8" s="33">
        <v>0.44444444444444442</v>
      </c>
      <c r="O8" s="33">
        <v>0.55555555555555558</v>
      </c>
      <c r="P8" s="33">
        <v>0.69230769230769229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67E0F-22CF-4B38-B1D6-2F10606F123F}">
  <sheetPr codeName="Sheet6"/>
  <dimension ref="A1:Q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-1.7763568394002505E-15</v>
      </c>
      <c r="C4" s="32">
        <v>-5.9211894646675012E-16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0.1111111111111111</v>
      </c>
      <c r="I4" s="34">
        <v>9055.5555555555547</v>
      </c>
      <c r="J4" s="34">
        <v>-7966.666666666667</v>
      </c>
      <c r="K4" s="33">
        <v>0</v>
      </c>
      <c r="L4" s="33">
        <v>0.22222222222222221</v>
      </c>
      <c r="M4" s="33">
        <v>0.29629629629629628</v>
      </c>
      <c r="N4" s="33">
        <v>0.5</v>
      </c>
      <c r="O4" s="33">
        <v>0.625</v>
      </c>
      <c r="P4" s="33">
        <v>0.66666666666666663</v>
      </c>
    </row>
    <row r="5" spans="1:17" x14ac:dyDescent="0.45">
      <c r="A5" s="35">
        <v>2</v>
      </c>
      <c r="B5" s="32">
        <v>-7.1054273576010019E-15</v>
      </c>
      <c r="C5" s="32">
        <v>-1.1842378929335002E-15</v>
      </c>
      <c r="D5" s="37">
        <v>2</v>
      </c>
      <c r="E5" s="33">
        <v>0.33333333333333331</v>
      </c>
      <c r="F5" s="33">
        <v>0.33333333333333331</v>
      </c>
      <c r="G5" s="33">
        <v>0.31372549019607843</v>
      </c>
      <c r="H5" s="33">
        <v>0.13725490196078433</v>
      </c>
      <c r="I5" s="34">
        <v>11043.75</v>
      </c>
      <c r="J5" s="34">
        <v>-13928.571428571429</v>
      </c>
      <c r="K5" s="33">
        <v>0.16666666666666666</v>
      </c>
      <c r="L5" s="33">
        <v>0.25490196078431371</v>
      </c>
      <c r="M5" s="33">
        <v>0.31372549019607843</v>
      </c>
      <c r="N5" s="33">
        <v>0.38461538461538464</v>
      </c>
      <c r="O5" s="33">
        <v>0.5625</v>
      </c>
      <c r="P5" s="33">
        <v>0.5625</v>
      </c>
    </row>
    <row r="6" spans="1:17" x14ac:dyDescent="0.45">
      <c r="A6" s="35">
        <v>3</v>
      </c>
      <c r="B6" s="32">
        <v>-7.1054273576010019E-15</v>
      </c>
      <c r="C6" s="32">
        <v>-7.894919286223335E-16</v>
      </c>
      <c r="D6" s="37">
        <v>2</v>
      </c>
      <c r="E6" s="33">
        <v>0.33333333333333331</v>
      </c>
      <c r="F6" s="33">
        <v>0.33333333333333331</v>
      </c>
      <c r="G6" s="33">
        <v>0.2839506172839506</v>
      </c>
      <c r="H6" s="33">
        <v>0.1111111111111111</v>
      </c>
      <c r="I6" s="34">
        <v>10095.652173913044</v>
      </c>
      <c r="J6" s="34">
        <v>-12122.222222222223</v>
      </c>
      <c r="K6" s="33">
        <v>0.1111111111111111</v>
      </c>
      <c r="L6" s="33">
        <v>0.2839506172839506</v>
      </c>
      <c r="M6" s="33">
        <v>0.25925925925925924</v>
      </c>
      <c r="N6" s="33">
        <v>0.39130434782608697</v>
      </c>
      <c r="O6" s="33">
        <v>0.5714285714285714</v>
      </c>
      <c r="P6" s="33">
        <v>0.60869565217391308</v>
      </c>
    </row>
    <row r="7" spans="1:17" x14ac:dyDescent="0.45">
      <c r="A7" s="35">
        <v>4</v>
      </c>
      <c r="B7" s="32">
        <v>-7.1054273576010019E-15</v>
      </c>
      <c r="C7" s="32">
        <v>-5.9211894646675012E-16</v>
      </c>
      <c r="D7" s="37">
        <v>2</v>
      </c>
      <c r="E7" s="33">
        <v>0.33333333333333331</v>
      </c>
      <c r="F7" s="33">
        <v>0.33333333333333331</v>
      </c>
      <c r="G7" s="33">
        <v>0.28282828282828282</v>
      </c>
      <c r="H7" s="33">
        <v>0.1111111111111111</v>
      </c>
      <c r="I7" s="34">
        <v>9639.2857142857138</v>
      </c>
      <c r="J7" s="34">
        <v>-10800</v>
      </c>
      <c r="K7" s="33">
        <v>8.3333333333333329E-2</v>
      </c>
      <c r="L7" s="33">
        <v>0.27272727272727271</v>
      </c>
      <c r="M7" s="33">
        <v>0.23232323232323232</v>
      </c>
      <c r="N7" s="33">
        <v>0.44444444444444442</v>
      </c>
      <c r="O7" s="33">
        <v>0.52173913043478259</v>
      </c>
      <c r="P7" s="33">
        <v>0.6071428571428571</v>
      </c>
    </row>
    <row r="8" spans="1:17" x14ac:dyDescent="0.45">
      <c r="A8" s="35">
        <v>5</v>
      </c>
      <c r="B8" s="32">
        <v>-7.1054273576010019E-15</v>
      </c>
      <c r="C8" s="32">
        <v>-4.7369515717340012E-16</v>
      </c>
      <c r="D8" s="37">
        <v>2</v>
      </c>
      <c r="E8" s="33">
        <v>0.33333333333333331</v>
      </c>
      <c r="F8" s="33">
        <v>0.33333333333333331</v>
      </c>
      <c r="G8" s="33">
        <v>0.27192982456140352</v>
      </c>
      <c r="H8" s="33">
        <v>0.11403508771929824</v>
      </c>
      <c r="I8" s="34">
        <v>9867.7419354838712</v>
      </c>
      <c r="J8" s="34">
        <v>-10984.615384615385</v>
      </c>
      <c r="K8" s="33">
        <v>0.13333333333333333</v>
      </c>
      <c r="L8" s="33">
        <v>0.24561403508771928</v>
      </c>
      <c r="M8" s="33">
        <v>0.24561403508771928</v>
      </c>
      <c r="N8" s="33">
        <v>0.42857142857142855</v>
      </c>
      <c r="O8" s="33">
        <v>0.5</v>
      </c>
      <c r="P8" s="33">
        <v>0.58064516129032262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434</vt:i4>
      </vt:variant>
    </vt:vector>
  </HeadingPairs>
  <TitlesOfParts>
    <vt:vector size="466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たかの!アガリ数</vt:lpstr>
      <vt:lpstr>まっつん!アガリ数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たかの!アガリ率</vt:lpstr>
      <vt:lpstr>まっつん!アガリ率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たかの!ダマアガリ数</vt:lpstr>
      <vt:lpstr>まっつん!ダマアガリ数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たかの!ダマアガリ率</vt:lpstr>
      <vt:lpstr>まっつん!ダマアガリ率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たかの!チョンボ数</vt:lpstr>
      <vt:lpstr>まっつん!チョンボ数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たかの!チョンボ率</vt:lpstr>
      <vt:lpstr>まっつん!チョンボ率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たかの!ツモ数</vt:lpstr>
      <vt:lpstr>まっつん!ツモ数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たかの!ツモ率</vt:lpstr>
      <vt:lpstr>まっつん!ツモ率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たかの!トップ数</vt:lpstr>
      <vt:lpstr>まっつん!トップ数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たかの!トップ率</vt:lpstr>
      <vt:lpstr>まっつん!トップ率</vt:lpstr>
      <vt:lpstr>れんたろう!トップ率</vt:lpstr>
      <vt:lpstr>全体!トップ率</vt:lpstr>
      <vt:lpstr>いちかわ!バランス</vt:lpstr>
      <vt:lpstr>だいち!バランス</vt:lpstr>
      <vt:lpstr>たかの!バランス</vt:lpstr>
      <vt:lpstr>まっつん!バランス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たかの!ふっとび数</vt:lpstr>
      <vt:lpstr>まっつん!ふっとび数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たかの!ふっとび率</vt:lpstr>
      <vt:lpstr>まっつん!ふっとび率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たかの!ラス数</vt:lpstr>
      <vt:lpstr>まっつん!ラス数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たかの!ラス率</vt:lpstr>
      <vt:lpstr>まっつん!ラス率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たかの!リーチアガリ数</vt:lpstr>
      <vt:lpstr>まっつん!リーチアガリ数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たかの!リーチアガリ率</vt:lpstr>
      <vt:lpstr>まっつん!リーチアガリ率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たかの!リーチ数</vt:lpstr>
      <vt:lpstr>まっつん!リーチ数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たかの!リーチ成功数</vt:lpstr>
      <vt:lpstr>まっつん!リーチ成功数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たかの!リーチ成功率</vt:lpstr>
      <vt:lpstr>まっつん!リーチ成功率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たかの!リーチ率</vt:lpstr>
      <vt:lpstr>まっつん!リーチ率</vt:lpstr>
      <vt:lpstr>れんたろう!リーチ率</vt:lpstr>
      <vt:lpstr>全体!リーチ率</vt:lpstr>
      <vt:lpstr>Template1!ロン数</vt:lpstr>
      <vt:lpstr>いちかわ!ロン数</vt:lpstr>
      <vt:lpstr>だいち!ロン数</vt:lpstr>
      <vt:lpstr>たかの!ロン数</vt:lpstr>
      <vt:lpstr>まっつん!ロン数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たかの!ロン率</vt:lpstr>
      <vt:lpstr>まっつん!ロン率</vt:lpstr>
      <vt:lpstr>れんたろう!ロン率</vt:lpstr>
      <vt:lpstr>全体!ロン率</vt:lpstr>
      <vt:lpstr>いちかわ!一位スコア</vt:lpstr>
      <vt:lpstr>だいち!一位スコア</vt:lpstr>
      <vt:lpstr>たかの!一位スコア</vt:lpstr>
      <vt:lpstr>まっつん!一位スコア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たかの!一位通算スコア</vt:lpstr>
      <vt:lpstr>まっつん!一位通算スコア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たかの!一翻数</vt:lpstr>
      <vt:lpstr>まっつん!一翻数</vt:lpstr>
      <vt:lpstr>れんたろう!一翻数</vt:lpstr>
      <vt:lpstr>全体!一翻数</vt:lpstr>
      <vt:lpstr>一翻数</vt:lpstr>
      <vt:lpstr>いちかわ!一翻率</vt:lpstr>
      <vt:lpstr>だいち!一翻率</vt:lpstr>
      <vt:lpstr>たかの!一翻率</vt:lpstr>
      <vt:lpstr>まっつん!一翻率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たかの!現行連続アガリ</vt:lpstr>
      <vt:lpstr>まっつん!現行連続アガリ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たかの!現行連続無放銃</vt:lpstr>
      <vt:lpstr>まっつん!現行連続無放銃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たかの!最高点</vt:lpstr>
      <vt:lpstr>まっつん!最高点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たかの!最大ドラ数</vt:lpstr>
      <vt:lpstr>まっつん!最大ドラ数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たかの!最大点数</vt:lpstr>
      <vt:lpstr>まっつん!最大点数</vt:lpstr>
      <vt:lpstr>れんたろう!最大点数</vt:lpstr>
      <vt:lpstr>全体!最大点数</vt:lpstr>
      <vt:lpstr>いちかわ!三位スコア</vt:lpstr>
      <vt:lpstr>だいち!三位スコア</vt:lpstr>
      <vt:lpstr>たかの!三位スコア</vt:lpstr>
      <vt:lpstr>まっつん!三位スコア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たかの!三位通算スコア</vt:lpstr>
      <vt:lpstr>まっつん!三位通算スコア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たかの!総局数</vt:lpstr>
      <vt:lpstr>まっつん!総局数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たかの!対戦数</vt:lpstr>
      <vt:lpstr>まっつん!対戦数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たかの!通算アガリ点</vt:lpstr>
      <vt:lpstr>まっつん!通算アガリ点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たかの!通算スコア</vt:lpstr>
      <vt:lpstr>まっつん!通算スコア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たかの!通算副露アガリ点</vt:lpstr>
      <vt:lpstr>まっつん!通算副露アガリ点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たかの!通算放銃点</vt:lpstr>
      <vt:lpstr>まっつん!通算放銃点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たかの!通算門前アガリ点</vt:lpstr>
      <vt:lpstr>まっつん!通算門前アガリ点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たかの!二位スコア</vt:lpstr>
      <vt:lpstr>まっつん!二位スコア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たかの!二位数</vt:lpstr>
      <vt:lpstr>まっつん!二位数</vt:lpstr>
      <vt:lpstr>れんたろう!二位数</vt:lpstr>
      <vt:lpstr>全体!二位数</vt:lpstr>
      <vt:lpstr>いちかわ!二位通算スコア</vt:lpstr>
      <vt:lpstr>だいち!二位通算スコア</vt:lpstr>
      <vt:lpstr>たかの!二位通算スコア</vt:lpstr>
      <vt:lpstr>まっつん!二位通算スコア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たかの!二位率</vt:lpstr>
      <vt:lpstr>まっつん!二位率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たかの!副露アガリ数</vt:lpstr>
      <vt:lpstr>まっつん!副露アガリ数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たかの!副露アガリ点</vt:lpstr>
      <vt:lpstr>まっつん!副露アガリ点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たかの!副露アガリ率</vt:lpstr>
      <vt:lpstr>まっつん!副露アガリ率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たかの!副露数</vt:lpstr>
      <vt:lpstr>まっつん!副露数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たかの!副露成功数</vt:lpstr>
      <vt:lpstr>まっつん!副露成功数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たかの!副露成功率</vt:lpstr>
      <vt:lpstr>まっつん!副露成功率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たかの!副露率</vt:lpstr>
      <vt:lpstr>まっつん!副露率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たかの!平均アガリ点</vt:lpstr>
      <vt:lpstr>まっつん!平均アガリ点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たかの!平均スコア</vt:lpstr>
      <vt:lpstr>まっつん!平均スコア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たかの!平均順位</vt:lpstr>
      <vt:lpstr>まっつん!平均順位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たかの!平均放銃点</vt:lpstr>
      <vt:lpstr>まっつん!平均放銃点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たかの!放銃数</vt:lpstr>
      <vt:lpstr>まっつん!放銃数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たかの!放銃率</vt:lpstr>
      <vt:lpstr>まっつん!放銃率</vt:lpstr>
      <vt:lpstr>れんたろう!放銃率</vt:lpstr>
      <vt:lpstr>全体!放銃率</vt:lpstr>
      <vt:lpstr>Template1!名前</vt:lpstr>
      <vt:lpstr>いちかわ!名前</vt:lpstr>
      <vt:lpstr>だいち!名前</vt:lpstr>
      <vt:lpstr>たかの!名前</vt:lpstr>
      <vt:lpstr>まっつん!名前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たかの!門前アガリ点</vt:lpstr>
      <vt:lpstr>まっつん!門前アガリ点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たかの!連続アガリ</vt:lpstr>
      <vt:lpstr>まっつん!連続アガリ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たかの!連続無放銃</vt:lpstr>
      <vt:lpstr>まっつん!連続無放銃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2020-09-27T06:05:41Z</dcterms:modified>
</cp:coreProperties>
</file>