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0EA76BE9-219C-4C41-8295-4FD3711DF965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92" r:id="rId6"/>
    <sheet name="だいち" sheetId="6894" r:id="rId7"/>
    <sheet name="れんたろう" sheetId="6896" r:id="rId8"/>
    <sheet name="たかの" sheetId="6898" r:id="rId9"/>
    <sheet name="まっつん" sheetId="6900" r:id="rId10"/>
    <sheet name="いちかわ" sheetId="6902" r:id="rId11"/>
    <sheet name="ただ" sheetId="6904" r:id="rId12"/>
    <sheet name="たか" sheetId="6906" r:id="rId13"/>
    <sheet name="のり" sheetId="6908" r:id="rId14"/>
    <sheet name="りくと" sheetId="6910" r:id="rId15"/>
    <sheet name="わさび" sheetId="6912" r:id="rId16"/>
    <sheet name="わさび2" sheetId="6913" state="hidden" r:id="rId17"/>
    <sheet name="りくと2" sheetId="6911" state="hidden" r:id="rId18"/>
    <sheet name="のり2" sheetId="6909" state="hidden" r:id="rId19"/>
    <sheet name="たか2" sheetId="6907" state="hidden" r:id="rId20"/>
    <sheet name="ただ2" sheetId="6905" state="hidden" r:id="rId21"/>
    <sheet name="いちかわ2" sheetId="6903" state="hidden" r:id="rId22"/>
    <sheet name="まっつん2" sheetId="6901" state="hidden" r:id="rId23"/>
    <sheet name="たかの2" sheetId="6899" state="hidden" r:id="rId24"/>
    <sheet name="れんたろう2" sheetId="6897" state="hidden" r:id="rId25"/>
    <sheet name="だいち2" sheetId="6895" state="hidden" r:id="rId26"/>
    <sheet name="全体2" sheetId="6893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896" l="1"/>
  <c r="P18" i="6900"/>
  <c r="P15" i="6910" l="1"/>
  <c r="P21" i="6896"/>
  <c r="P16" i="6898" l="1"/>
  <c r="P19" i="6900"/>
  <c r="P21" i="6904"/>
  <c r="P16" i="6900"/>
  <c r="P19" i="6906" l="1"/>
  <c r="P15" i="6898"/>
  <c r="P17" i="6910" l="1"/>
  <c r="P20" i="6894"/>
  <c r="P21" i="6902" l="1"/>
  <c r="P19" i="6898"/>
  <c r="P15" i="6904" l="1"/>
  <c r="P18" i="6904"/>
  <c r="P18" i="6910"/>
  <c r="P17" i="6912"/>
  <c r="P18" i="6902"/>
  <c r="P15" i="6902"/>
  <c r="P15" i="6912"/>
  <c r="P16" i="6912"/>
  <c r="C35" i="6912"/>
  <c r="B30" i="6912"/>
  <c r="C21" i="6912"/>
  <c r="B20" i="6912"/>
  <c r="H50" i="6912" s="1"/>
  <c r="B19" i="6912"/>
  <c r="B29" i="6912" s="1"/>
  <c r="C18" i="6912"/>
  <c r="B18" i="6912"/>
  <c r="C17" i="6912"/>
  <c r="C16" i="6912"/>
  <c r="C15" i="6912"/>
  <c r="B13" i="6912"/>
  <c r="P12" i="6912"/>
  <c r="B12" i="6912"/>
  <c r="P11" i="6912"/>
  <c r="B11" i="6912"/>
  <c r="P10" i="6912"/>
  <c r="C10" i="6912"/>
  <c r="C9" i="6912"/>
  <c r="C8" i="6912"/>
  <c r="P7" i="6912"/>
  <c r="B7" i="6912"/>
  <c r="P6" i="6912"/>
  <c r="P5" i="6912"/>
  <c r="B5" i="6912"/>
  <c r="P4" i="6912"/>
  <c r="P3" i="6912"/>
  <c r="P2" i="6912"/>
  <c r="P18" i="6892"/>
  <c r="P19" i="6910"/>
  <c r="P16" i="6910"/>
  <c r="C35" i="6910"/>
  <c r="B30" i="6910"/>
  <c r="C21" i="6910"/>
  <c r="B20" i="6910"/>
  <c r="H50" i="6910" s="1"/>
  <c r="B19" i="6910"/>
  <c r="B29" i="6910" s="1"/>
  <c r="B18" i="6910"/>
  <c r="C18" i="6910" s="1"/>
  <c r="C17" i="6910"/>
  <c r="C16" i="6910"/>
  <c r="C15" i="6910"/>
  <c r="B13" i="6910"/>
  <c r="P12" i="6910"/>
  <c r="B12" i="6910"/>
  <c r="P11" i="6910"/>
  <c r="B11" i="6910"/>
  <c r="P10" i="6910"/>
  <c r="C10" i="6910"/>
  <c r="C9" i="6910"/>
  <c r="C8" i="6910"/>
  <c r="P7" i="6910"/>
  <c r="B7" i="6910"/>
  <c r="P6" i="6910"/>
  <c r="P5" i="6910"/>
  <c r="B5" i="6910"/>
  <c r="P4" i="6910"/>
  <c r="P3" i="6910"/>
  <c r="P2" i="6910"/>
  <c r="P17" i="6892"/>
  <c r="B14" i="6910" l="1"/>
  <c r="C19" i="6910"/>
  <c r="B14" i="6912"/>
  <c r="C19" i="6912"/>
  <c r="C20" i="6912"/>
  <c r="H3" i="6912"/>
  <c r="H8" i="6912"/>
  <c r="H33" i="6912"/>
  <c r="C42" i="6912"/>
  <c r="C46" i="6912"/>
  <c r="H51" i="6912"/>
  <c r="H2" i="6912"/>
  <c r="H11" i="6912"/>
  <c r="H16" i="6912"/>
  <c r="H19" i="6912"/>
  <c r="C24" i="6912"/>
  <c r="B28" i="6912"/>
  <c r="H34" i="6912"/>
  <c r="H39" i="6912"/>
  <c r="H43" i="6912"/>
  <c r="H47" i="6912"/>
  <c r="H9" i="6912"/>
  <c r="H22" i="6912"/>
  <c r="H26" i="6912"/>
  <c r="H29" i="6912"/>
  <c r="H35" i="6912"/>
  <c r="C39" i="6912"/>
  <c r="C43" i="6912"/>
  <c r="C47" i="6912"/>
  <c r="H52" i="6912"/>
  <c r="H14" i="6912"/>
  <c r="H17" i="6912"/>
  <c r="C25" i="6912"/>
  <c r="H40" i="6912"/>
  <c r="H44" i="6912"/>
  <c r="H48" i="6912"/>
  <c r="H25" i="6912"/>
  <c r="C38" i="6912"/>
  <c r="H6" i="6912"/>
  <c r="H12" i="6912"/>
  <c r="H20" i="6912"/>
  <c r="H23" i="6912"/>
  <c r="H27" i="6912"/>
  <c r="H30" i="6912"/>
  <c r="H36" i="6912"/>
  <c r="C40" i="6912"/>
  <c r="C44" i="6912"/>
  <c r="C48" i="6912"/>
  <c r="H5" i="6912"/>
  <c r="H18" i="6912"/>
  <c r="C22" i="6912"/>
  <c r="C26" i="6912"/>
  <c r="H37" i="6912"/>
  <c r="H41" i="6912"/>
  <c r="H45" i="6912"/>
  <c r="H49" i="6912"/>
  <c r="H4" i="6912"/>
  <c r="H13" i="6912"/>
  <c r="H15" i="6912"/>
  <c r="H24" i="6912"/>
  <c r="H28" i="6912"/>
  <c r="H31" i="6912"/>
  <c r="C37" i="6912"/>
  <c r="C41" i="6912"/>
  <c r="C45" i="6912"/>
  <c r="C49" i="6912"/>
  <c r="H10" i="6912"/>
  <c r="H7" i="6912"/>
  <c r="H21" i="6912"/>
  <c r="C23" i="6912"/>
  <c r="B27" i="6912"/>
  <c r="H32" i="6912"/>
  <c r="H38" i="6912"/>
  <c r="H42" i="6912"/>
  <c r="H46" i="6912"/>
  <c r="C20" i="6910"/>
  <c r="H6" i="6910"/>
  <c r="H12" i="6910"/>
  <c r="C38" i="6910"/>
  <c r="C42" i="6910"/>
  <c r="H51" i="6910"/>
  <c r="H2" i="6910"/>
  <c r="H8" i="6910"/>
  <c r="H16" i="6910"/>
  <c r="H20" i="6910"/>
  <c r="C24" i="6910"/>
  <c r="B28" i="6910"/>
  <c r="H34" i="6910"/>
  <c r="H39" i="6910"/>
  <c r="H43" i="6910"/>
  <c r="H47" i="6910"/>
  <c r="H3" i="6910"/>
  <c r="H22" i="6910"/>
  <c r="H26" i="6910"/>
  <c r="H29" i="6910"/>
  <c r="H35" i="6910"/>
  <c r="C39" i="6910"/>
  <c r="C43" i="6910"/>
  <c r="C47" i="6910"/>
  <c r="H52" i="6910"/>
  <c r="H14" i="6910"/>
  <c r="H17" i="6910"/>
  <c r="C25" i="6910"/>
  <c r="H40" i="6910"/>
  <c r="H44" i="6910"/>
  <c r="H48" i="6910"/>
  <c r="H25" i="6910"/>
  <c r="H33" i="6910"/>
  <c r="C46" i="6910"/>
  <c r="H7" i="6910"/>
  <c r="H10" i="6910"/>
  <c r="H21" i="6910"/>
  <c r="H23" i="6910"/>
  <c r="H27" i="6910"/>
  <c r="H30" i="6910"/>
  <c r="H36" i="6910"/>
  <c r="C40" i="6910"/>
  <c r="C44" i="6910"/>
  <c r="C48" i="6910"/>
  <c r="H4" i="6910"/>
  <c r="H18" i="6910"/>
  <c r="C22" i="6910"/>
  <c r="C26" i="6910"/>
  <c r="H37" i="6910"/>
  <c r="H41" i="6910"/>
  <c r="H45" i="6910"/>
  <c r="H49" i="6910"/>
  <c r="H5" i="6910"/>
  <c r="H13" i="6910"/>
  <c r="H15" i="6910"/>
  <c r="H24" i="6910"/>
  <c r="H28" i="6910"/>
  <c r="H31" i="6910"/>
  <c r="C37" i="6910"/>
  <c r="C41" i="6910"/>
  <c r="C45" i="6910"/>
  <c r="C49" i="6910"/>
  <c r="H9" i="6910"/>
  <c r="H19" i="6910"/>
  <c r="H11" i="6910"/>
  <c r="C23" i="6910"/>
  <c r="B27" i="6910"/>
  <c r="H32" i="6910"/>
  <c r="H38" i="6910"/>
  <c r="H42" i="6910"/>
  <c r="H46" i="6910"/>
  <c r="P20" i="6896" l="1"/>
  <c r="P19" i="6904"/>
  <c r="P16" i="6902"/>
  <c r="P16" i="6904"/>
  <c r="P22" i="6904"/>
  <c r="P18" i="6906"/>
  <c r="P20" i="6902"/>
  <c r="P20" i="6906"/>
  <c r="P17" i="6896"/>
  <c r="P15" i="6896"/>
  <c r="P17" i="6908" l="1"/>
  <c r="P16" i="6906"/>
  <c r="P15" i="6894"/>
  <c r="P16" i="6894"/>
  <c r="P16" i="6908"/>
  <c r="P15" i="6908"/>
  <c r="C45" i="6908"/>
  <c r="C35" i="6908"/>
  <c r="B30" i="6908"/>
  <c r="C21" i="6908"/>
  <c r="B20" i="6908"/>
  <c r="H51" i="6908" s="1"/>
  <c r="B19" i="6908"/>
  <c r="B29" i="6908" s="1"/>
  <c r="B18" i="6908"/>
  <c r="C18" i="6908" s="1"/>
  <c r="C17" i="6908"/>
  <c r="C16" i="6908"/>
  <c r="C15" i="6908"/>
  <c r="B13" i="6908"/>
  <c r="P12" i="6908"/>
  <c r="B12" i="6908"/>
  <c r="P11" i="6908"/>
  <c r="H15" i="6908"/>
  <c r="B11" i="6908"/>
  <c r="P10" i="6908"/>
  <c r="C10" i="6908"/>
  <c r="C9" i="6908"/>
  <c r="C8" i="6908"/>
  <c r="P7" i="6908"/>
  <c r="B7" i="6908"/>
  <c r="P6" i="6908"/>
  <c r="P5" i="6908"/>
  <c r="B5" i="6908"/>
  <c r="P4" i="6908"/>
  <c r="P3" i="6908"/>
  <c r="P2" i="6908"/>
  <c r="P17" i="6906"/>
  <c r="P15" i="6906"/>
  <c r="C35" i="6906"/>
  <c r="B30" i="6906"/>
  <c r="C21" i="6906"/>
  <c r="B20" i="6906"/>
  <c r="H50" i="6906" s="1"/>
  <c r="B19" i="6906"/>
  <c r="B29" i="6906" s="1"/>
  <c r="B18" i="6906"/>
  <c r="C18" i="6906" s="1"/>
  <c r="C17" i="6906"/>
  <c r="C16" i="6906"/>
  <c r="C15" i="6906"/>
  <c r="B13" i="6906"/>
  <c r="P12" i="6906"/>
  <c r="B12" i="6906"/>
  <c r="P11" i="6906"/>
  <c r="B11" i="6906"/>
  <c r="P10" i="6906"/>
  <c r="C10" i="6906"/>
  <c r="C9" i="6906"/>
  <c r="C8" i="6906"/>
  <c r="P7" i="6906"/>
  <c r="B7" i="6906"/>
  <c r="P6" i="6906"/>
  <c r="P5" i="6906"/>
  <c r="B5" i="6906"/>
  <c r="P4" i="6906"/>
  <c r="P3" i="6906"/>
  <c r="P2" i="6906"/>
  <c r="P23" i="6902"/>
  <c r="P17" i="6902"/>
  <c r="P15" i="6892"/>
  <c r="P16" i="6892"/>
  <c r="B14" i="6906" l="1"/>
  <c r="H26" i="6908"/>
  <c r="H31" i="6908"/>
  <c r="C47" i="6908"/>
  <c r="H34" i="6908"/>
  <c r="H11" i="6908"/>
  <c r="C39" i="6908"/>
  <c r="H18" i="6908"/>
  <c r="H40" i="6908"/>
  <c r="H47" i="6908"/>
  <c r="H13" i="6908"/>
  <c r="H24" i="6908"/>
  <c r="H19" i="6908"/>
  <c r="C24" i="6908"/>
  <c r="H41" i="6908"/>
  <c r="B14" i="6908"/>
  <c r="C19" i="6908"/>
  <c r="H48" i="6908"/>
  <c r="C25" i="6908"/>
  <c r="H35" i="6908"/>
  <c r="C41" i="6908"/>
  <c r="H7" i="6908"/>
  <c r="H14" i="6908"/>
  <c r="H16" i="6908"/>
  <c r="C20" i="6908"/>
  <c r="C26" i="6908"/>
  <c r="H43" i="6908"/>
  <c r="H49" i="6908"/>
  <c r="H8" i="6908"/>
  <c r="H23" i="6908"/>
  <c r="H28" i="6908"/>
  <c r="H37" i="6908"/>
  <c r="C43" i="6908"/>
  <c r="C49" i="6908"/>
  <c r="H6" i="6908"/>
  <c r="H2" i="6908"/>
  <c r="H21" i="6908"/>
  <c r="B28" i="6908"/>
  <c r="C37" i="6908"/>
  <c r="H44" i="6908"/>
  <c r="H5" i="6908"/>
  <c r="H3" i="6908"/>
  <c r="H12" i="6908"/>
  <c r="H17" i="6908"/>
  <c r="C22" i="6908"/>
  <c r="H29" i="6908"/>
  <c r="H39" i="6908"/>
  <c r="H45" i="6908"/>
  <c r="H52" i="6908"/>
  <c r="H22" i="6908"/>
  <c r="H10" i="6908"/>
  <c r="H27" i="6908"/>
  <c r="H30" i="6908"/>
  <c r="H36" i="6908"/>
  <c r="C40" i="6908"/>
  <c r="C44" i="6908"/>
  <c r="C48" i="6908"/>
  <c r="H20" i="6908"/>
  <c r="H9" i="6908"/>
  <c r="C23" i="6908"/>
  <c r="B27" i="6908"/>
  <c r="H32" i="6908"/>
  <c r="H38" i="6908"/>
  <c r="H42" i="6908"/>
  <c r="H46" i="6908"/>
  <c r="H50" i="6908"/>
  <c r="H25" i="6908"/>
  <c r="H4" i="6908"/>
  <c r="H33" i="6908"/>
  <c r="C38" i="6908"/>
  <c r="C42" i="6908"/>
  <c r="C46" i="6908"/>
  <c r="C19" i="6906"/>
  <c r="C20" i="6906"/>
  <c r="H3" i="6906"/>
  <c r="H7" i="6906"/>
  <c r="C38" i="6906"/>
  <c r="C46" i="6906"/>
  <c r="H2" i="6906"/>
  <c r="H19" i="6906"/>
  <c r="H22" i="6906"/>
  <c r="C24" i="6906"/>
  <c r="B28" i="6906"/>
  <c r="H34" i="6906"/>
  <c r="H39" i="6906"/>
  <c r="H43" i="6906"/>
  <c r="H47" i="6906"/>
  <c r="H5" i="6906"/>
  <c r="H24" i="6906"/>
  <c r="H11" i="6906"/>
  <c r="H29" i="6906"/>
  <c r="H35" i="6906"/>
  <c r="C39" i="6906"/>
  <c r="C43" i="6906"/>
  <c r="C47" i="6906"/>
  <c r="H52" i="6906"/>
  <c r="H17" i="6906"/>
  <c r="H20" i="6906"/>
  <c r="C25" i="6906"/>
  <c r="H40" i="6906"/>
  <c r="H44" i="6906"/>
  <c r="H48" i="6906"/>
  <c r="H16" i="6906"/>
  <c r="H33" i="6906"/>
  <c r="C42" i="6906"/>
  <c r="H51" i="6906"/>
  <c r="H12" i="6906"/>
  <c r="H9" i="6906"/>
  <c r="H10" i="6906"/>
  <c r="H23" i="6906"/>
  <c r="H25" i="6906"/>
  <c r="H27" i="6906"/>
  <c r="H30" i="6906"/>
  <c r="H36" i="6906"/>
  <c r="C40" i="6906"/>
  <c r="C44" i="6906"/>
  <c r="C48" i="6906"/>
  <c r="H4" i="6906"/>
  <c r="H14" i="6906"/>
  <c r="C22" i="6906"/>
  <c r="C26" i="6906"/>
  <c r="H37" i="6906"/>
  <c r="H41" i="6906"/>
  <c r="H45" i="6906"/>
  <c r="H49" i="6906"/>
  <c r="H6" i="6906"/>
  <c r="H13" i="6906"/>
  <c r="H18" i="6906"/>
  <c r="H26" i="6906"/>
  <c r="H28" i="6906"/>
  <c r="H31" i="6906"/>
  <c r="C37" i="6906"/>
  <c r="C41" i="6906"/>
  <c r="C45" i="6906"/>
  <c r="C49" i="6906"/>
  <c r="H8" i="6906"/>
  <c r="H21" i="6906"/>
  <c r="H15" i="6906"/>
  <c r="C23" i="6906"/>
  <c r="B27" i="6906"/>
  <c r="H32" i="6906"/>
  <c r="H38" i="6906"/>
  <c r="H42" i="6906"/>
  <c r="H46" i="6906"/>
  <c r="P20" i="6898" l="1"/>
  <c r="P20" i="6904"/>
  <c r="P17" i="6904"/>
  <c r="C35" i="6904"/>
  <c r="B30" i="6904"/>
  <c r="C21" i="6904"/>
  <c r="B20" i="6904"/>
  <c r="H51" i="6904" s="1"/>
  <c r="C19" i="6904"/>
  <c r="B19" i="6904"/>
  <c r="B29" i="6904" s="1"/>
  <c r="B18" i="6904"/>
  <c r="C18" i="6904" s="1"/>
  <c r="C17" i="6904"/>
  <c r="C16" i="6904"/>
  <c r="C15" i="6904"/>
  <c r="B13" i="6904"/>
  <c r="P12" i="6904"/>
  <c r="B12" i="6904"/>
  <c r="P11" i="6904"/>
  <c r="B11" i="6904"/>
  <c r="P10" i="6904"/>
  <c r="C10" i="6904"/>
  <c r="C9" i="6904"/>
  <c r="C8" i="6904"/>
  <c r="P7" i="6904"/>
  <c r="B7" i="6904"/>
  <c r="P6" i="6904"/>
  <c r="P5" i="6904"/>
  <c r="B5" i="6904"/>
  <c r="P4" i="6904"/>
  <c r="P3" i="6904"/>
  <c r="P2" i="6904"/>
  <c r="P22" i="6894"/>
  <c r="P24" i="6892"/>
  <c r="B14" i="6904" l="1"/>
  <c r="H3" i="6904"/>
  <c r="C20" i="6904"/>
  <c r="H30" i="6904"/>
  <c r="H35" i="6904"/>
  <c r="C42" i="6904"/>
  <c r="H22" i="6904"/>
  <c r="H10" i="6904"/>
  <c r="H24" i="6904"/>
  <c r="H15" i="6904"/>
  <c r="C24" i="6904"/>
  <c r="B28" i="6904"/>
  <c r="H36" i="6904"/>
  <c r="H41" i="6904"/>
  <c r="H44" i="6904"/>
  <c r="H48" i="6904"/>
  <c r="H4" i="6904"/>
  <c r="H28" i="6904"/>
  <c r="H14" i="6904"/>
  <c r="H32" i="6904"/>
  <c r="H37" i="6904"/>
  <c r="C39" i="6904"/>
  <c r="C43" i="6904"/>
  <c r="C47" i="6904"/>
  <c r="H52" i="6904"/>
  <c r="H18" i="6904"/>
  <c r="H25" i="6904"/>
  <c r="C25" i="6904"/>
  <c r="H42" i="6904"/>
  <c r="H45" i="6904"/>
  <c r="H49" i="6904"/>
  <c r="H9" i="6904"/>
  <c r="C38" i="6904"/>
  <c r="C46" i="6904"/>
  <c r="H2" i="6904"/>
  <c r="H8" i="6904"/>
  <c r="H7" i="6904"/>
  <c r="H27" i="6904"/>
  <c r="H17" i="6904"/>
  <c r="H31" i="6904"/>
  <c r="H33" i="6904"/>
  <c r="H38" i="6904"/>
  <c r="C40" i="6904"/>
  <c r="C44" i="6904"/>
  <c r="C48" i="6904"/>
  <c r="H5" i="6904"/>
  <c r="H26" i="6904"/>
  <c r="C22" i="6904"/>
  <c r="C26" i="6904"/>
  <c r="H39" i="6904"/>
  <c r="H21" i="6904"/>
  <c r="H46" i="6904"/>
  <c r="H50" i="6904"/>
  <c r="H6" i="6904"/>
  <c r="H11" i="6904"/>
  <c r="H23" i="6904"/>
  <c r="H29" i="6904"/>
  <c r="H19" i="6904"/>
  <c r="H20" i="6904"/>
  <c r="C37" i="6904"/>
  <c r="C41" i="6904"/>
  <c r="C45" i="6904"/>
  <c r="C49" i="6904"/>
  <c r="H12" i="6904"/>
  <c r="H13" i="6904"/>
  <c r="H16" i="6904"/>
  <c r="C23" i="6904"/>
  <c r="B27" i="6904"/>
  <c r="H34" i="6904"/>
  <c r="H40" i="6904"/>
  <c r="H43" i="6904"/>
  <c r="H47" i="6904"/>
  <c r="P18" i="6894" l="1"/>
  <c r="P19" i="6894"/>
  <c r="P19" i="6902"/>
  <c r="P22" i="6902"/>
  <c r="C35" i="6902"/>
  <c r="B30" i="6902"/>
  <c r="C21" i="6902"/>
  <c r="B20" i="6902"/>
  <c r="H50" i="6902" s="1"/>
  <c r="B19" i="6902"/>
  <c r="B29" i="6902" s="1"/>
  <c r="B18" i="6902"/>
  <c r="C18" i="6902" s="1"/>
  <c r="C17" i="6902"/>
  <c r="C16" i="6902"/>
  <c r="C15" i="6902"/>
  <c r="B13" i="6902"/>
  <c r="P12" i="6902"/>
  <c r="B12" i="6902"/>
  <c r="P11" i="6902"/>
  <c r="B11" i="6902"/>
  <c r="P10" i="6902"/>
  <c r="C10" i="6902"/>
  <c r="C9" i="6902"/>
  <c r="C8" i="6902"/>
  <c r="P7" i="6902"/>
  <c r="B7" i="6902"/>
  <c r="P6" i="6902"/>
  <c r="P5" i="6902"/>
  <c r="B5" i="6902"/>
  <c r="P4" i="6902"/>
  <c r="P3" i="6902"/>
  <c r="P2" i="6902"/>
  <c r="P20" i="6892"/>
  <c r="P15" i="6900"/>
  <c r="P17" i="6900"/>
  <c r="C35" i="6900"/>
  <c r="B30" i="6900"/>
  <c r="C21" i="6900"/>
  <c r="B20" i="6900"/>
  <c r="H51" i="6900" s="1"/>
  <c r="B19" i="6900"/>
  <c r="B29" i="6900" s="1"/>
  <c r="B18" i="6900"/>
  <c r="C18" i="6900" s="1"/>
  <c r="C17" i="6900"/>
  <c r="C16" i="6900"/>
  <c r="C15" i="6900"/>
  <c r="B13" i="6900"/>
  <c r="P12" i="6900"/>
  <c r="B12" i="6900"/>
  <c r="P11" i="6900"/>
  <c r="B11" i="6900"/>
  <c r="P10" i="6900"/>
  <c r="C10" i="6900"/>
  <c r="C9" i="6900"/>
  <c r="C8" i="6900"/>
  <c r="P7" i="6900"/>
  <c r="B7" i="6900"/>
  <c r="P6" i="6900"/>
  <c r="P5" i="6900"/>
  <c r="B5" i="6900"/>
  <c r="P4" i="6900"/>
  <c r="P3" i="6900"/>
  <c r="P2" i="6900"/>
  <c r="P23" i="6892"/>
  <c r="C19" i="6900" l="1"/>
  <c r="B14" i="6900"/>
  <c r="H22" i="6900"/>
  <c r="C23" i="6900"/>
  <c r="B28" i="6900"/>
  <c r="C37" i="6900"/>
  <c r="H7" i="6900"/>
  <c r="H14" i="6900"/>
  <c r="C45" i="6900"/>
  <c r="B14" i="6902"/>
  <c r="C19" i="6902"/>
  <c r="C20" i="6902"/>
  <c r="H3" i="6902"/>
  <c r="H27" i="6902"/>
  <c r="H33" i="6902"/>
  <c r="C42" i="6902"/>
  <c r="C46" i="6902"/>
  <c r="H51" i="6902"/>
  <c r="H2" i="6902"/>
  <c r="H9" i="6902"/>
  <c r="H19" i="6902"/>
  <c r="H23" i="6902"/>
  <c r="C24" i="6902"/>
  <c r="B28" i="6902"/>
  <c r="H34" i="6902"/>
  <c r="H39" i="6902"/>
  <c r="H43" i="6902"/>
  <c r="H47" i="6902"/>
  <c r="H6" i="6902"/>
  <c r="H25" i="6902"/>
  <c r="H11" i="6902"/>
  <c r="H30" i="6902"/>
  <c r="H35" i="6902"/>
  <c r="C39" i="6902"/>
  <c r="C43" i="6902"/>
  <c r="C47" i="6902"/>
  <c r="H52" i="6902"/>
  <c r="H18" i="6902"/>
  <c r="H21" i="6902"/>
  <c r="C25" i="6902"/>
  <c r="H40" i="6902"/>
  <c r="H44" i="6902"/>
  <c r="H48" i="6902"/>
  <c r="H8" i="6902"/>
  <c r="C38" i="6902"/>
  <c r="H5" i="6902"/>
  <c r="H15" i="6902"/>
  <c r="H24" i="6902"/>
  <c r="H12" i="6902"/>
  <c r="H28" i="6902"/>
  <c r="H13" i="6902"/>
  <c r="H36" i="6902"/>
  <c r="C40" i="6902"/>
  <c r="C44" i="6902"/>
  <c r="C48" i="6902"/>
  <c r="H4" i="6902"/>
  <c r="H22" i="6902"/>
  <c r="C22" i="6902"/>
  <c r="C26" i="6902"/>
  <c r="H37" i="6902"/>
  <c r="H41" i="6902"/>
  <c r="H45" i="6902"/>
  <c r="H49" i="6902"/>
  <c r="H7" i="6902"/>
  <c r="H10" i="6902"/>
  <c r="H20" i="6902"/>
  <c r="H26" i="6902"/>
  <c r="H29" i="6902"/>
  <c r="H31" i="6902"/>
  <c r="C37" i="6902"/>
  <c r="C41" i="6902"/>
  <c r="C45" i="6902"/>
  <c r="C49" i="6902"/>
  <c r="H14" i="6902"/>
  <c r="H16" i="6902"/>
  <c r="H17" i="6902"/>
  <c r="C23" i="6902"/>
  <c r="B27" i="6902"/>
  <c r="H32" i="6902"/>
  <c r="H38" i="6902"/>
  <c r="H42" i="6902"/>
  <c r="H46" i="6902"/>
  <c r="H8" i="6900"/>
  <c r="H47" i="6900"/>
  <c r="H29" i="6900"/>
  <c r="H46" i="6900"/>
  <c r="H12" i="6900"/>
  <c r="H24" i="6900"/>
  <c r="C25" i="6900"/>
  <c r="H31" i="6900"/>
  <c r="C39" i="6900"/>
  <c r="C47" i="6900"/>
  <c r="H19" i="6900"/>
  <c r="C49" i="6900"/>
  <c r="H20" i="6900"/>
  <c r="H27" i="6900"/>
  <c r="H32" i="6900"/>
  <c r="H6" i="6900"/>
  <c r="H23" i="6900"/>
  <c r="H15" i="6900"/>
  <c r="C26" i="6900"/>
  <c r="H42" i="6900"/>
  <c r="H50" i="6900"/>
  <c r="C24" i="6900"/>
  <c r="C20" i="6900"/>
  <c r="H34" i="6900"/>
  <c r="H4" i="6900"/>
  <c r="H21" i="6900"/>
  <c r="C22" i="6900"/>
  <c r="H28" i="6900"/>
  <c r="H43" i="6900"/>
  <c r="H5" i="6900"/>
  <c r="H3" i="6900"/>
  <c r="H38" i="6900"/>
  <c r="H2" i="6900"/>
  <c r="H11" i="6900"/>
  <c r="H39" i="6900"/>
  <c r="H17" i="6900"/>
  <c r="C41" i="6900"/>
  <c r="H13" i="6900"/>
  <c r="H35" i="6900"/>
  <c r="H9" i="6900"/>
  <c r="H16" i="6900"/>
  <c r="H18" i="6900"/>
  <c r="H25" i="6900"/>
  <c r="B27" i="6900"/>
  <c r="C43" i="6900"/>
  <c r="H52" i="6900"/>
  <c r="H40" i="6900"/>
  <c r="H44" i="6900"/>
  <c r="H48" i="6900"/>
  <c r="H30" i="6900"/>
  <c r="H36" i="6900"/>
  <c r="C40" i="6900"/>
  <c r="C44" i="6900"/>
  <c r="C48" i="6900"/>
  <c r="H37" i="6900"/>
  <c r="H41" i="6900"/>
  <c r="H45" i="6900"/>
  <c r="H49" i="6900"/>
  <c r="H26" i="6900"/>
  <c r="H10" i="6900"/>
  <c r="H33" i="6900"/>
  <c r="C38" i="6900"/>
  <c r="C42" i="6900"/>
  <c r="C46" i="6900"/>
  <c r="P17" i="6898" l="1"/>
  <c r="P18" i="6898"/>
  <c r="C35" i="6898"/>
  <c r="B30" i="6898"/>
  <c r="C21" i="6898"/>
  <c r="B20" i="6898"/>
  <c r="H23" i="6898" s="1"/>
  <c r="B19" i="6898"/>
  <c r="B29" i="6898" s="1"/>
  <c r="B18" i="6898"/>
  <c r="C18" i="6898" s="1"/>
  <c r="C17" i="6898"/>
  <c r="C16" i="6898"/>
  <c r="C15" i="6898"/>
  <c r="B13" i="6898"/>
  <c r="P12" i="6898"/>
  <c r="B12" i="6898"/>
  <c r="P11" i="6898"/>
  <c r="B11" i="6898"/>
  <c r="B14" i="6898" s="1"/>
  <c r="P10" i="6898"/>
  <c r="C10" i="6898"/>
  <c r="C9" i="6898"/>
  <c r="C8" i="6898"/>
  <c r="P7" i="6898"/>
  <c r="B7" i="6898"/>
  <c r="P6" i="6898"/>
  <c r="P5" i="6898"/>
  <c r="B5" i="6898"/>
  <c r="P4" i="6898"/>
  <c r="P3" i="6898"/>
  <c r="P2" i="6898"/>
  <c r="P18" i="6896"/>
  <c r="P19" i="6896"/>
  <c r="C35" i="6896"/>
  <c r="B30" i="6896"/>
  <c r="C21" i="6896"/>
  <c r="B20" i="6896"/>
  <c r="H51" i="6896" s="1"/>
  <c r="B19" i="6896"/>
  <c r="B29" i="6896" s="1"/>
  <c r="B18" i="6896"/>
  <c r="C18" i="6896" s="1"/>
  <c r="C17" i="6896"/>
  <c r="C16" i="6896"/>
  <c r="C15" i="6896"/>
  <c r="B13" i="6896"/>
  <c r="P12" i="6896"/>
  <c r="B12" i="6896"/>
  <c r="P11" i="6896"/>
  <c r="B11" i="6896"/>
  <c r="P10" i="6896"/>
  <c r="C10" i="6896"/>
  <c r="C9" i="6896"/>
  <c r="C8" i="6896"/>
  <c r="P7" i="6896"/>
  <c r="B7" i="6896"/>
  <c r="P6" i="6896"/>
  <c r="P5" i="6896"/>
  <c r="B5" i="6896"/>
  <c r="P4" i="6896"/>
  <c r="P3" i="6896"/>
  <c r="P2" i="6896"/>
  <c r="P22" i="6892"/>
  <c r="P21" i="6894"/>
  <c r="P17" i="6894"/>
  <c r="C35" i="6894"/>
  <c r="B30" i="6894"/>
  <c r="C21" i="6894"/>
  <c r="B20" i="6894"/>
  <c r="H14" i="6894" s="1"/>
  <c r="B19" i="6894"/>
  <c r="B29" i="6894" s="1"/>
  <c r="B18" i="6894"/>
  <c r="C18" i="6894" s="1"/>
  <c r="C17" i="6894"/>
  <c r="C16" i="6894"/>
  <c r="C15" i="6894"/>
  <c r="B13" i="6894"/>
  <c r="P12" i="6894"/>
  <c r="B12" i="6894"/>
  <c r="P11" i="6894"/>
  <c r="B11" i="6894"/>
  <c r="P10" i="6894"/>
  <c r="C10" i="6894"/>
  <c r="C9" i="6894"/>
  <c r="C8" i="6894"/>
  <c r="P7" i="6894"/>
  <c r="B7" i="6894"/>
  <c r="P6" i="6894"/>
  <c r="P5" i="6894"/>
  <c r="B5" i="6894"/>
  <c r="P4" i="6894"/>
  <c r="P3" i="6894"/>
  <c r="P2" i="6894"/>
  <c r="P21" i="6892"/>
  <c r="P19" i="6892"/>
  <c r="C35" i="6892"/>
  <c r="B30" i="6892"/>
  <c r="C21" i="6892"/>
  <c r="B20" i="6892"/>
  <c r="H17" i="6892" s="1"/>
  <c r="B19" i="6892"/>
  <c r="B29" i="6892" s="1"/>
  <c r="B18" i="6892"/>
  <c r="C18" i="6892" s="1"/>
  <c r="C17" i="6892"/>
  <c r="C16" i="6892"/>
  <c r="C15" i="6892"/>
  <c r="B13" i="6892"/>
  <c r="P12" i="6892"/>
  <c r="B12" i="6892"/>
  <c r="P11" i="6892"/>
  <c r="B11" i="6892"/>
  <c r="P10" i="6892"/>
  <c r="C10" i="6892"/>
  <c r="C9" i="6892"/>
  <c r="C8" i="6892"/>
  <c r="P7" i="6892"/>
  <c r="B7" i="6892"/>
  <c r="P6" i="6892"/>
  <c r="P5" i="6892"/>
  <c r="B5" i="6892"/>
  <c r="P4" i="6892"/>
  <c r="P3" i="6892"/>
  <c r="P2" i="6892"/>
  <c r="B14" i="6894" l="1"/>
  <c r="B14" i="6896"/>
  <c r="C19" i="6896"/>
  <c r="C19" i="6894"/>
  <c r="B14" i="6892"/>
  <c r="C19" i="6898"/>
  <c r="C20" i="6898"/>
  <c r="H3" i="6898"/>
  <c r="H8" i="6898"/>
  <c r="H33" i="6898"/>
  <c r="C46" i="6898"/>
  <c r="H10" i="6898"/>
  <c r="H15" i="6898"/>
  <c r="H27" i="6898"/>
  <c r="H17" i="6898"/>
  <c r="H31" i="6898"/>
  <c r="H35" i="6898"/>
  <c r="C39" i="6898"/>
  <c r="C43" i="6898"/>
  <c r="C47" i="6898"/>
  <c r="H52" i="6898"/>
  <c r="H21" i="6898"/>
  <c r="H24" i="6898"/>
  <c r="C25" i="6898"/>
  <c r="H40" i="6898"/>
  <c r="H44" i="6898"/>
  <c r="H48" i="6898"/>
  <c r="H7" i="6898"/>
  <c r="H30" i="6898"/>
  <c r="C22" i="6898"/>
  <c r="H49" i="6898"/>
  <c r="H14" i="6898"/>
  <c r="H36" i="6898"/>
  <c r="C44" i="6898"/>
  <c r="H4" i="6898"/>
  <c r="H22" i="6898"/>
  <c r="H9" i="6898"/>
  <c r="H26" i="6898"/>
  <c r="H18" i="6898"/>
  <c r="C40" i="6898"/>
  <c r="C48" i="6898"/>
  <c r="H25" i="6898"/>
  <c r="C26" i="6898"/>
  <c r="H37" i="6898"/>
  <c r="H41" i="6898"/>
  <c r="H45" i="6898"/>
  <c r="H5" i="6898"/>
  <c r="H12" i="6898"/>
  <c r="H28" i="6898"/>
  <c r="H19" i="6898"/>
  <c r="H32" i="6898"/>
  <c r="C37" i="6898"/>
  <c r="C41" i="6898"/>
  <c r="C45" i="6898"/>
  <c r="C49" i="6898"/>
  <c r="H11" i="6898"/>
  <c r="H16" i="6898"/>
  <c r="H13" i="6898"/>
  <c r="C23" i="6898"/>
  <c r="B27" i="6898"/>
  <c r="H20" i="6898"/>
  <c r="H38" i="6898"/>
  <c r="H42" i="6898"/>
  <c r="H46" i="6898"/>
  <c r="H50" i="6898"/>
  <c r="C42" i="6898"/>
  <c r="C24" i="6898"/>
  <c r="B28" i="6898"/>
  <c r="H34" i="6898"/>
  <c r="H39" i="6898"/>
  <c r="H43" i="6898"/>
  <c r="H47" i="6898"/>
  <c r="H6" i="6898"/>
  <c r="H29" i="6898"/>
  <c r="C38" i="6898"/>
  <c r="H51" i="6898"/>
  <c r="H2" i="6898"/>
  <c r="C20" i="6896"/>
  <c r="H3" i="6896"/>
  <c r="H8" i="6896"/>
  <c r="H34" i="6896"/>
  <c r="C42" i="6896"/>
  <c r="C46" i="6896"/>
  <c r="H17" i="6896"/>
  <c r="H2" i="6896"/>
  <c r="H9" i="6896"/>
  <c r="H24" i="6896"/>
  <c r="H19" i="6896"/>
  <c r="C24" i="6896"/>
  <c r="B28" i="6896"/>
  <c r="H35" i="6896"/>
  <c r="H40" i="6896"/>
  <c r="H44" i="6896"/>
  <c r="H48" i="6896"/>
  <c r="H5" i="6896"/>
  <c r="H28" i="6896"/>
  <c r="H13" i="6896"/>
  <c r="H31" i="6896"/>
  <c r="H36" i="6896"/>
  <c r="C39" i="6896"/>
  <c r="C43" i="6896"/>
  <c r="C47" i="6896"/>
  <c r="H52" i="6896"/>
  <c r="H18" i="6896"/>
  <c r="H25" i="6896"/>
  <c r="C25" i="6896"/>
  <c r="H41" i="6896"/>
  <c r="H45" i="6896"/>
  <c r="H49" i="6896"/>
  <c r="H20" i="6896"/>
  <c r="C38" i="6896"/>
  <c r="H7" i="6896"/>
  <c r="H10" i="6896"/>
  <c r="H27" i="6896"/>
  <c r="H15" i="6896"/>
  <c r="H30" i="6896"/>
  <c r="H22" i="6896"/>
  <c r="H37" i="6896"/>
  <c r="C40" i="6896"/>
  <c r="C44" i="6896"/>
  <c r="C48" i="6896"/>
  <c r="H4" i="6896"/>
  <c r="H26" i="6896"/>
  <c r="C22" i="6896"/>
  <c r="C26" i="6896"/>
  <c r="H38" i="6896"/>
  <c r="H42" i="6896"/>
  <c r="H46" i="6896"/>
  <c r="H50" i="6896"/>
  <c r="H6" i="6896"/>
  <c r="H12" i="6896"/>
  <c r="H23" i="6896"/>
  <c r="H29" i="6896"/>
  <c r="H21" i="6896"/>
  <c r="H32" i="6896"/>
  <c r="C37" i="6896"/>
  <c r="C41" i="6896"/>
  <c r="C45" i="6896"/>
  <c r="C49" i="6896"/>
  <c r="H11" i="6896"/>
  <c r="H16" i="6896"/>
  <c r="H14" i="6896"/>
  <c r="C23" i="6896"/>
  <c r="B27" i="6896"/>
  <c r="H33" i="6896"/>
  <c r="H39" i="6896"/>
  <c r="H43" i="6896"/>
  <c r="H47" i="6896"/>
  <c r="C19" i="6892"/>
  <c r="H16" i="6894"/>
  <c r="B28" i="6894"/>
  <c r="H18" i="6894"/>
  <c r="C23" i="6894"/>
  <c r="H11" i="6894"/>
  <c r="H42" i="6894"/>
  <c r="H48" i="6894"/>
  <c r="C47" i="6894"/>
  <c r="H20" i="6894"/>
  <c r="H17" i="6894"/>
  <c r="H38" i="6894"/>
  <c r="H44" i="6894"/>
  <c r="H49" i="6894"/>
  <c r="H37" i="6894"/>
  <c r="H21" i="6894"/>
  <c r="H29" i="6894"/>
  <c r="H39" i="6894"/>
  <c r="C43" i="6894"/>
  <c r="C48" i="6894"/>
  <c r="H24" i="6894"/>
  <c r="H2" i="6894"/>
  <c r="H50" i="6894"/>
  <c r="H3" i="6894"/>
  <c r="C20" i="6894"/>
  <c r="C25" i="6894"/>
  <c r="H19" i="6894"/>
  <c r="C26" i="6894"/>
  <c r="C39" i="6894"/>
  <c r="C44" i="6894"/>
  <c r="H51" i="6894"/>
  <c r="C24" i="6894"/>
  <c r="H8" i="6894"/>
  <c r="H27" i="6894"/>
  <c r="H25" i="6894"/>
  <c r="H40" i="6894"/>
  <c r="H45" i="6894"/>
  <c r="H7" i="6894"/>
  <c r="H10" i="6894"/>
  <c r="H22" i="6894"/>
  <c r="H13" i="6894"/>
  <c r="H33" i="6894"/>
  <c r="H4" i="6894"/>
  <c r="H28" i="6894"/>
  <c r="C22" i="6894"/>
  <c r="H32" i="6894"/>
  <c r="H35" i="6894"/>
  <c r="H41" i="6894"/>
  <c r="H46" i="6894"/>
  <c r="H5" i="6894"/>
  <c r="H43" i="6894"/>
  <c r="H12" i="6894"/>
  <c r="H31" i="6894"/>
  <c r="H6" i="6894"/>
  <c r="H15" i="6894"/>
  <c r="H26" i="6894"/>
  <c r="H30" i="6894"/>
  <c r="B27" i="6894"/>
  <c r="H36" i="6894"/>
  <c r="C40" i="6894"/>
  <c r="H47" i="6894"/>
  <c r="H52" i="6894"/>
  <c r="C37" i="6894"/>
  <c r="C41" i="6894"/>
  <c r="C45" i="6894"/>
  <c r="C49" i="6894"/>
  <c r="H23" i="6894"/>
  <c r="H9" i="6894"/>
  <c r="H34" i="6894"/>
  <c r="C38" i="6894"/>
  <c r="C42" i="6894"/>
  <c r="C46" i="6894"/>
  <c r="H36" i="6892"/>
  <c r="H37" i="6892"/>
  <c r="H9" i="6892"/>
  <c r="C23" i="6892"/>
  <c r="B27" i="6892"/>
  <c r="H11" i="6892"/>
  <c r="C24" i="6892"/>
  <c r="H44" i="6892"/>
  <c r="H13" i="6892"/>
  <c r="H48" i="6892"/>
  <c r="C43" i="6892"/>
  <c r="H47" i="6892"/>
  <c r="H3" i="6892"/>
  <c r="H31" i="6892"/>
  <c r="H15" i="6892"/>
  <c r="H28" i="6892"/>
  <c r="C47" i="6892"/>
  <c r="H16" i="6892"/>
  <c r="B28" i="6892"/>
  <c r="H2" i="6892"/>
  <c r="H51" i="6892"/>
  <c r="C20" i="6892"/>
  <c r="H27" i="6892"/>
  <c r="H5" i="6892"/>
  <c r="H40" i="6892"/>
  <c r="H41" i="6892"/>
  <c r="H19" i="6892"/>
  <c r="H32" i="6892"/>
  <c r="C39" i="6892"/>
  <c r="H23" i="6892"/>
  <c r="H43" i="6892"/>
  <c r="H52" i="6892"/>
  <c r="H49" i="6892"/>
  <c r="C25" i="6892"/>
  <c r="H42" i="6892"/>
  <c r="H7" i="6892"/>
  <c r="H26" i="6892"/>
  <c r="H14" i="6892"/>
  <c r="H18" i="6892"/>
  <c r="H38" i="6892"/>
  <c r="C40" i="6892"/>
  <c r="C48" i="6892"/>
  <c r="H4" i="6892"/>
  <c r="H24" i="6892"/>
  <c r="C22" i="6892"/>
  <c r="C26" i="6892"/>
  <c r="H39" i="6892"/>
  <c r="H29" i="6892"/>
  <c r="H46" i="6892"/>
  <c r="H50" i="6892"/>
  <c r="H20" i="6892"/>
  <c r="H45" i="6892"/>
  <c r="H10" i="6892"/>
  <c r="H34" i="6892"/>
  <c r="C44" i="6892"/>
  <c r="H6" i="6892"/>
  <c r="H12" i="6892"/>
  <c r="H30" i="6892"/>
  <c r="H33" i="6892"/>
  <c r="H22" i="6892"/>
  <c r="H25" i="6892"/>
  <c r="C37" i="6892"/>
  <c r="C41" i="6892"/>
  <c r="C45" i="6892"/>
  <c r="C49" i="6892"/>
  <c r="H21" i="6892"/>
  <c r="H8" i="6892"/>
  <c r="H35" i="6892"/>
  <c r="C38" i="6892"/>
  <c r="C42" i="6892"/>
  <c r="C46" i="6892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<sst xmlns="http://schemas.openxmlformats.org/spreadsheetml/2006/main" count="2967" uniqueCount="249">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</sst>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全体!$K$2:$K$263</c:f>
              <c:numCache>
                <c:formatCode>General</c:formatCode>
                <c:ptCount val="2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xVal>
          <c:yVal>
            <c:numRef>
              <c:f>全体!$L$2:$L$263</c:f>
              <c:numCache>
                <c:formatCode>\+0.0;\-0.0;\±0</c:formatCode>
                <c:ptCount val="262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0B-4708-88E3-40EE9FF68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-38.314176245210732</c:v>
                </c:pt>
                <c:pt idx="1">
                  <c:v>39.682539682539684</c:v>
                </c:pt>
                <c:pt idx="2">
                  <c:v>-23.529411764705884</c:v>
                </c:pt>
                <c:pt idx="3">
                  <c:v>-4.1152263374485596</c:v>
                </c:pt>
                <c:pt idx="4">
                  <c:v>18.018018018018019</c:v>
                </c:pt>
                <c:pt idx="5">
                  <c:v>16.129032258064516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F4-494D-A825-E26873BF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56</c:v>
                </c:pt>
                <c:pt idx="1">
                  <c:v>123</c:v>
                </c:pt>
                <c:pt idx="2">
                  <c:v>125</c:v>
                </c:pt>
                <c:pt idx="3">
                  <c:v>117</c:v>
                </c:pt>
                <c:pt idx="4">
                  <c:v>91</c:v>
                </c:pt>
                <c:pt idx="5">
                  <c:v>59</c:v>
                </c:pt>
                <c:pt idx="6">
                  <c:v>33</c:v>
                </c:pt>
                <c:pt idx="7">
                  <c:v>18</c:v>
                </c:pt>
                <c:pt idx="8">
                  <c:v>13</c:v>
                </c:pt>
                <c:pt idx="9">
                  <c:v>7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76-4616-91A6-913E7EB78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全体!$K$2:$K$263</c:f>
              <c:numCache>
                <c:formatCode>General</c:formatCode>
                <c:ptCount val="2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</c:numCache>
            </c:numRef>
          </c:xVal>
          <c:yVal>
            <c:numRef>
              <c:f>全体!$M$2:$M$263</c:f>
              <c:numCache>
                <c:formatCode>0</c:formatCode>
                <c:ptCount val="262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6-4DFC-BFB0-0AFEB650F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だいち!$L$2:$L$74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5-4AB4-8653-8CA38B24F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29.166666666666668</c:v>
                </c:pt>
                <c:pt idx="1">
                  <c:v>-1215.9420289855072</c:v>
                </c:pt>
                <c:pt idx="2">
                  <c:v>-755.71428571428567</c:v>
                </c:pt>
                <c:pt idx="3">
                  <c:v>244.11764705882354</c:v>
                </c:pt>
                <c:pt idx="4">
                  <c:v>209.67741935483872</c:v>
                </c:pt>
                <c:pt idx="5">
                  <c:v>-59.615384615384613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D8-4B06-B451-88BB8D613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12</c:v>
                </c:pt>
                <c:pt idx="1">
                  <c:v>30</c:v>
                </c:pt>
                <c:pt idx="2">
                  <c:v>42</c:v>
                </c:pt>
                <c:pt idx="3">
                  <c:v>33</c:v>
                </c:pt>
                <c:pt idx="4">
                  <c:v>32</c:v>
                </c:pt>
                <c:pt idx="5">
                  <c:v>22</c:v>
                </c:pt>
                <c:pt idx="6">
                  <c:v>8</c:v>
                </c:pt>
                <c:pt idx="7">
                  <c:v>2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A9-4490-9EDD-78EBFE47F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だいち!$M$2:$M$74</c:f>
              <c:numCache>
                <c:formatCode>0</c:formatCode>
                <c:ptCount val="73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2D-4C09-9024-E8240E432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94-4DA2-B22F-7768C8007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1466.6666666666667</c:v>
                </c:pt>
                <c:pt idx="1">
                  <c:v>-291.89189189189187</c:v>
                </c:pt>
                <c:pt idx="2">
                  <c:v>-475.67567567567568</c:v>
                </c:pt>
                <c:pt idx="3">
                  <c:v>-219.44444444444446</c:v>
                </c:pt>
                <c:pt idx="4">
                  <c:v>175.75757575757575</c:v>
                </c:pt>
                <c:pt idx="5">
                  <c:v>59.25925925925926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04-418F-BDE6-A24FEB13F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17</c:v>
                </c:pt>
                <c:pt idx="3">
                  <c:v>18</c:v>
                </c:pt>
                <c:pt idx="4">
                  <c:v>17</c:v>
                </c:pt>
                <c:pt idx="5">
                  <c:v>10</c:v>
                </c:pt>
                <c:pt idx="6">
                  <c:v>6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1-43D6-BC5F-ED584B7A3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れんたろう!$M$2:$M$41</c:f>
              <c:numCache>
                <c:formatCode>0</c:formatCode>
                <c:ptCount val="40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A-4486-9A79-96ACD96F2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42-48BE-A627-A1395E1BB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934.375</c:v>
                </c:pt>
                <c:pt idx="1">
                  <c:v>-1356.25</c:v>
                </c:pt>
                <c:pt idx="2">
                  <c:v>1415.625</c:v>
                </c:pt>
                <c:pt idx="3">
                  <c:v>206.25</c:v>
                </c:pt>
                <c:pt idx="4">
                  <c:v>-1350</c:v>
                </c:pt>
                <c:pt idx="5">
                  <c:v>-20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27-4248-8672-80E8FE614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21</c:v>
                </c:pt>
                <c:pt idx="2">
                  <c:v>14</c:v>
                </c:pt>
                <c:pt idx="3">
                  <c:v>16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5B-4A99-8F9E-37815362D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たかの!$M$2:$M$34</c:f>
              <c:numCache>
                <c:formatCode>0</c:formatCode>
                <c:ptCount val="33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D6-4787-99C7-D8559F23C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1C-444D-9BB6-0896CB9C4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-458.8235294117647</c:v>
                </c:pt>
                <c:pt idx="1">
                  <c:v>1423.5294117647059</c:v>
                </c:pt>
                <c:pt idx="2">
                  <c:v>747.05882352941171</c:v>
                </c:pt>
                <c:pt idx="3">
                  <c:v>-3120</c:v>
                </c:pt>
                <c:pt idx="4">
                  <c:v>528.57142857142856</c:v>
                </c:pt>
                <c:pt idx="5">
                  <c:v>-2318.181818181818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8-4BDB-96B2-983CAED07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8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E-49A9-BEE8-A5A54E919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まっつん!$M$2:$M$19</c:f>
              <c:numCache>
                <c:formatCode>0</c:formatCode>
                <c:ptCount val="18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4F-4F8B-8D94-69D3CDDDF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いちかわ!$L$2:$L$33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22-41B4-921E-BAEC7440C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306.45161290322579</c:v>
                </c:pt>
                <c:pt idx="1">
                  <c:v>1396.7741935483871</c:v>
                </c:pt>
                <c:pt idx="2">
                  <c:v>2129.0322580645161</c:v>
                </c:pt>
                <c:pt idx="3">
                  <c:v>189.28571428571428</c:v>
                </c:pt>
                <c:pt idx="4">
                  <c:v>-1412.5</c:v>
                </c:pt>
                <c:pt idx="5">
                  <c:v>954.5454545454545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81-4211-9898-EF1A484BF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7</c:v>
                </c:pt>
                <c:pt idx="1">
                  <c:v>19</c:v>
                </c:pt>
                <c:pt idx="2">
                  <c:v>13</c:v>
                </c:pt>
                <c:pt idx="3">
                  <c:v>11</c:v>
                </c:pt>
                <c:pt idx="4">
                  <c:v>10</c:v>
                </c:pt>
                <c:pt idx="5">
                  <c:v>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9B-4F6F-A2DA-B683FE531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いちかわ!$M$2:$M$33</c:f>
              <c:numCache>
                <c:formatCode>0</c:formatCode>
                <c:ptCount val="32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37-4BC0-A2E2-0B0E87D99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89-4A7B-9FDC-DCA514D05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68.421052631578945</c:v>
                </c:pt>
                <c:pt idx="1">
                  <c:v>2065.7142857142858</c:v>
                </c:pt>
                <c:pt idx="2">
                  <c:v>77.777777777777771</c:v>
                </c:pt>
                <c:pt idx="3">
                  <c:v>2585.294117647059</c:v>
                </c:pt>
                <c:pt idx="4">
                  <c:v>1851.6129032258063</c:v>
                </c:pt>
                <c:pt idx="5">
                  <c:v>-32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2D-420F-8707-9FDD1D607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</c:v>
                </c:pt>
                <c:pt idx="1">
                  <c:v>25</c:v>
                </c:pt>
                <c:pt idx="2">
                  <c:v>26</c:v>
                </c:pt>
                <c:pt idx="3">
                  <c:v>17</c:v>
                </c:pt>
                <c:pt idx="4">
                  <c:v>17</c:v>
                </c:pt>
                <c:pt idx="5">
                  <c:v>3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F-44CF-837A-F6593AC70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ただ!$M$2:$M$40</c:f>
              <c:numCache>
                <c:formatCode>0</c:formatCode>
                <c:ptCount val="39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A6-470E-97F2-E7FD62B8C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7-448F-9A81-043449A2B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1-4830-88CF-91A74111A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7D-435A-99DF-72E37A30F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12-475F-8A32-3AE747E0C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5-451C-AA89-3B3B50808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FE-4BD4-8260-4C783695A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6-4978-B4FA-5410B3CEE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6-44B6-BF4D-F14E5E931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1-45BD-B2F5-70D9FF8F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-5575</c:v>
                </c:pt>
                <c:pt idx="1">
                  <c:v>6157.1428571428569</c:v>
                </c:pt>
                <c:pt idx="2">
                  <c:v>-1325</c:v>
                </c:pt>
                <c:pt idx="3">
                  <c:v>-6850</c:v>
                </c:pt>
                <c:pt idx="4">
                  <c:v>1742.8571428571429</c:v>
                </c:pt>
                <c:pt idx="5">
                  <c:v>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1-45FB-91AA-3D0067E41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2-48ED-9E59-17978EE2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りくと!$M$2:$M$10</c:f>
              <c:numCache>
                <c:formatCode>0</c:formatCode>
                <c:ptCount val="9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A-4E9E-9305-B162184C9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3-4CE3-BC35-E83FCBB52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5-4DE2-BF32-B4541A391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4-4396-B15F-540128F7D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E-457A-A4D2-F34008451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ただ2!$B$3:$B$41</c:f>
              <c:numCache>
                <c:formatCode>\+0.0;\-0.0;\±0</c:formatCode>
                <c:ptCount val="39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ただ2!$C$3:$C$41</c:f>
              <c:numCache>
                <c:formatCode>\+0.0;\-0.0;\±0</c:formatCode>
                <c:ptCount val="39"/>
                <c:pt idx="1">
                  <c:v>11.6</c:v>
                </c:pt>
                <c:pt idx="2">
                  <c:v>21.45</c:v>
                </c:pt>
                <c:pt idx="3">
                  <c:v>16.399999999999999</c:v>
                </c:pt>
                <c:pt idx="4">
                  <c:v>18.95</c:v>
                </c:pt>
                <c:pt idx="5">
                  <c:v>9.5599999999999987</c:v>
                </c:pt>
                <c:pt idx="6">
                  <c:v>4.3999999999999995</c:v>
                </c:pt>
                <c:pt idx="7">
                  <c:v>3.6999999999999997</c:v>
                </c:pt>
                <c:pt idx="8">
                  <c:v>0.1875</c:v>
                </c:pt>
                <c:pt idx="9">
                  <c:v>1.0777777777777777</c:v>
                </c:pt>
                <c:pt idx="10">
                  <c:v>0.91999999999999993</c:v>
                </c:pt>
                <c:pt idx="11">
                  <c:v>0.20909090909090899</c:v>
                </c:pt>
                <c:pt idx="12">
                  <c:v>0.13333333333333325</c:v>
                </c:pt>
                <c:pt idx="13">
                  <c:v>-3.7307692307692308</c:v>
                </c:pt>
                <c:pt idx="14">
                  <c:v>-1.4428571428571428</c:v>
                </c:pt>
                <c:pt idx="15">
                  <c:v>1.5000000000000002</c:v>
                </c:pt>
                <c:pt idx="16">
                  <c:v>4.03125</c:v>
                </c:pt>
                <c:pt idx="17">
                  <c:v>0.61764705882352944</c:v>
                </c:pt>
                <c:pt idx="18">
                  <c:v>-1.2388888888888887</c:v>
                </c:pt>
                <c:pt idx="19">
                  <c:v>0.44736842105263175</c:v>
                </c:pt>
                <c:pt idx="20">
                  <c:v>1.8400000000000003</c:v>
                </c:pt>
                <c:pt idx="21">
                  <c:v>3.1523809523809527</c:v>
                </c:pt>
                <c:pt idx="22">
                  <c:v>4.6818181818181817</c:v>
                </c:pt>
                <c:pt idx="23">
                  <c:v>5.4391304347826086</c:v>
                </c:pt>
                <c:pt idx="24">
                  <c:v>8.2874999999999996</c:v>
                </c:pt>
                <c:pt idx="25">
                  <c:v>9.2039999999999988</c:v>
                </c:pt>
                <c:pt idx="26">
                  <c:v>11.169230769230769</c:v>
                </c:pt>
                <c:pt idx="27">
                  <c:v>9.2629629629629608</c:v>
                </c:pt>
                <c:pt idx="28">
                  <c:v>8.0964285714285698</c:v>
                </c:pt>
                <c:pt idx="29">
                  <c:v>6.958620689655171</c:v>
                </c:pt>
                <c:pt idx="30">
                  <c:v>8.4199999999999982</c:v>
                </c:pt>
                <c:pt idx="31">
                  <c:v>9.5870967741935473</c:v>
                </c:pt>
                <c:pt idx="32">
                  <c:v>9.1843749999999993</c:v>
                </c:pt>
                <c:pt idx="33">
                  <c:v>9.8181818181818183</c:v>
                </c:pt>
                <c:pt idx="34">
                  <c:v>9.4323529411764699</c:v>
                </c:pt>
                <c:pt idx="35">
                  <c:v>9.8457142857142852</c:v>
                </c:pt>
                <c:pt idx="36">
                  <c:v>9.2944444444444443</c:v>
                </c:pt>
                <c:pt idx="37">
                  <c:v>9.0567567567567551</c:v>
                </c:pt>
                <c:pt idx="38">
                  <c:v>8.6842105263157876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889543843066669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ただ2!$D$3:$D$41</c:f>
              <c:numCache>
                <c:formatCode>0.00\ "位"</c:formatCode>
                <c:ptCount val="39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1.25</c:v>
                </c:pt>
                <c:pt idx="5">
                  <c:v>1.4</c:v>
                </c:pt>
                <c:pt idx="6">
                  <c:v>1.6666666666666667</c:v>
                </c:pt>
                <c:pt idx="7">
                  <c:v>1.7142857142857142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2</c:v>
                </c:pt>
                <c:pt idx="14">
                  <c:v>1.9285714285714286</c:v>
                </c:pt>
                <c:pt idx="15">
                  <c:v>1.8666666666666667</c:v>
                </c:pt>
                <c:pt idx="16">
                  <c:v>1.8125</c:v>
                </c:pt>
                <c:pt idx="17">
                  <c:v>1.8823529411764706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1.8095238095238095</c:v>
                </c:pt>
                <c:pt idx="22">
                  <c:v>1.7727272727272727</c:v>
                </c:pt>
                <c:pt idx="23">
                  <c:v>1.7391304347826086</c:v>
                </c:pt>
                <c:pt idx="24">
                  <c:v>1.7083333333333333</c:v>
                </c:pt>
                <c:pt idx="25">
                  <c:v>1.68</c:v>
                </c:pt>
                <c:pt idx="26">
                  <c:v>1.6538461538461537</c:v>
                </c:pt>
                <c:pt idx="27">
                  <c:v>1.7037037037037037</c:v>
                </c:pt>
                <c:pt idx="28">
                  <c:v>1.7142857142857142</c:v>
                </c:pt>
                <c:pt idx="29">
                  <c:v>1.7586206896551724</c:v>
                </c:pt>
                <c:pt idx="30">
                  <c:v>1.7333333333333334</c:v>
                </c:pt>
                <c:pt idx="31">
                  <c:v>1.7096774193548387</c:v>
                </c:pt>
                <c:pt idx="32">
                  <c:v>1.71875</c:v>
                </c:pt>
                <c:pt idx="33">
                  <c:v>1.696969696969697</c:v>
                </c:pt>
                <c:pt idx="34">
                  <c:v>1.7058823529411764</c:v>
                </c:pt>
                <c:pt idx="35">
                  <c:v>1.6857142857142857</c:v>
                </c:pt>
                <c:pt idx="36">
                  <c:v>1.6944444444444444</c:v>
                </c:pt>
                <c:pt idx="37">
                  <c:v>1.7027027027027026</c:v>
                </c:pt>
                <c:pt idx="38">
                  <c:v>1.7105263157894737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1685823754789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ただ2!$E$3:$E$41</c:f>
              <c:numCache>
                <c:formatCode>0.0%</c:formatCode>
                <c:ptCount val="39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0.47826086956521741</c:v>
                </c:pt>
                <c:pt idx="24">
                  <c:v>0.5</c:v>
                </c:pt>
                <c:pt idx="25">
                  <c:v>0.52</c:v>
                </c:pt>
                <c:pt idx="26">
                  <c:v>0.53846153846153844</c:v>
                </c:pt>
                <c:pt idx="27">
                  <c:v>0.51851851851851849</c:v>
                </c:pt>
                <c:pt idx="28">
                  <c:v>0.5</c:v>
                </c:pt>
                <c:pt idx="29">
                  <c:v>0.48275862068965519</c:v>
                </c:pt>
                <c:pt idx="30">
                  <c:v>0.5</c:v>
                </c:pt>
                <c:pt idx="31">
                  <c:v>0.5161290322580645</c:v>
                </c:pt>
                <c:pt idx="32">
                  <c:v>0.5</c:v>
                </c:pt>
                <c:pt idx="33">
                  <c:v>0.51515151515151514</c:v>
                </c:pt>
                <c:pt idx="34">
                  <c:v>0.5</c:v>
                </c:pt>
                <c:pt idx="35">
                  <c:v>0.51428571428571423</c:v>
                </c:pt>
                <c:pt idx="36">
                  <c:v>0.5</c:v>
                </c:pt>
                <c:pt idx="37">
                  <c:v>0.48648648648648651</c:v>
                </c:pt>
                <c:pt idx="38">
                  <c:v>0.47368421052631576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7164750957854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ただ2!$F$3:$F$41</c:f>
              <c:numCache>
                <c:formatCode>0.0%</c:formatCode>
                <c:ptCount val="3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ただ2!$G$3:$G$41</c:f>
              <c:numCache>
                <c:formatCode>0.0%</c:formatCode>
                <c:ptCount val="39"/>
                <c:pt idx="1">
                  <c:v>0.25</c:v>
                </c:pt>
                <c:pt idx="2">
                  <c:v>0.36842105263157893</c:v>
                </c:pt>
                <c:pt idx="3">
                  <c:v>0.37037037037037035</c:v>
                </c:pt>
                <c:pt idx="4">
                  <c:v>0.375</c:v>
                </c:pt>
                <c:pt idx="5">
                  <c:v>0.32608695652173914</c:v>
                </c:pt>
                <c:pt idx="6">
                  <c:v>0.30357142857142855</c:v>
                </c:pt>
                <c:pt idx="7">
                  <c:v>0.3125</c:v>
                </c:pt>
                <c:pt idx="8">
                  <c:v>0.31428571428571428</c:v>
                </c:pt>
                <c:pt idx="9">
                  <c:v>0.32926829268292684</c:v>
                </c:pt>
                <c:pt idx="10">
                  <c:v>0.32258064516129031</c:v>
                </c:pt>
                <c:pt idx="11">
                  <c:v>0.32323232323232326</c:v>
                </c:pt>
                <c:pt idx="12">
                  <c:v>0.31775700934579437</c:v>
                </c:pt>
                <c:pt idx="13">
                  <c:v>0.30973451327433627</c:v>
                </c:pt>
                <c:pt idx="14">
                  <c:v>0.30952380952380953</c:v>
                </c:pt>
                <c:pt idx="15">
                  <c:v>0.31617647058823528</c:v>
                </c:pt>
                <c:pt idx="16">
                  <c:v>0.32167832167832167</c:v>
                </c:pt>
                <c:pt idx="17">
                  <c:v>0.31292517006802723</c:v>
                </c:pt>
                <c:pt idx="18">
                  <c:v>0.30573248407643311</c:v>
                </c:pt>
                <c:pt idx="19">
                  <c:v>0.31288343558282211</c:v>
                </c:pt>
                <c:pt idx="20">
                  <c:v>0.31764705882352939</c:v>
                </c:pt>
                <c:pt idx="21">
                  <c:v>0.32960893854748602</c:v>
                </c:pt>
                <c:pt idx="22">
                  <c:v>0.33689839572192515</c:v>
                </c:pt>
                <c:pt idx="23">
                  <c:v>0.34183673469387754</c:v>
                </c:pt>
                <c:pt idx="24">
                  <c:v>0.34499999999999997</c:v>
                </c:pt>
                <c:pt idx="25">
                  <c:v>0.34449760765550241</c:v>
                </c:pt>
                <c:pt idx="26">
                  <c:v>0.36486486486486486</c:v>
                </c:pt>
                <c:pt idx="27">
                  <c:v>0.35807860262008734</c:v>
                </c:pt>
                <c:pt idx="28">
                  <c:v>0.35169491525423729</c:v>
                </c:pt>
                <c:pt idx="29">
                  <c:v>0.34552845528455284</c:v>
                </c:pt>
                <c:pt idx="30">
                  <c:v>0.35</c:v>
                </c:pt>
                <c:pt idx="31">
                  <c:v>0.34572490706319703</c:v>
                </c:pt>
                <c:pt idx="32">
                  <c:v>0.34275618374558303</c:v>
                </c:pt>
                <c:pt idx="33">
                  <c:v>0.34246575342465752</c:v>
                </c:pt>
                <c:pt idx="34">
                  <c:v>0.34448160535117056</c:v>
                </c:pt>
                <c:pt idx="35">
                  <c:v>0.35294117647058826</c:v>
                </c:pt>
                <c:pt idx="36">
                  <c:v>0.34615384615384615</c:v>
                </c:pt>
                <c:pt idx="37">
                  <c:v>0.34579439252336447</c:v>
                </c:pt>
                <c:pt idx="38">
                  <c:v>0.34662576687116564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890410958904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ただ2!$H$3:$H$41</c:f>
              <c:numCache>
                <c:formatCode>0.0%</c:formatCode>
                <c:ptCount val="39"/>
                <c:pt idx="1">
                  <c:v>0</c:v>
                </c:pt>
                <c:pt idx="2">
                  <c:v>5.2631578947368418E-2</c:v>
                </c:pt>
                <c:pt idx="3">
                  <c:v>0.1111111111111111</c:v>
                </c:pt>
                <c:pt idx="4">
                  <c:v>0.1</c:v>
                </c:pt>
                <c:pt idx="5">
                  <c:v>0.10869565217391304</c:v>
                </c:pt>
                <c:pt idx="6">
                  <c:v>0.10714285714285714</c:v>
                </c:pt>
                <c:pt idx="7">
                  <c:v>0.109375</c:v>
                </c:pt>
                <c:pt idx="8">
                  <c:v>0.11428571428571428</c:v>
                </c:pt>
                <c:pt idx="9">
                  <c:v>0.10975609756097561</c:v>
                </c:pt>
                <c:pt idx="10">
                  <c:v>0.11827956989247312</c:v>
                </c:pt>
                <c:pt idx="11">
                  <c:v>0.12121212121212122</c:v>
                </c:pt>
                <c:pt idx="12">
                  <c:v>0.12149532710280374</c:v>
                </c:pt>
                <c:pt idx="13">
                  <c:v>0.15044247787610621</c:v>
                </c:pt>
                <c:pt idx="14">
                  <c:v>0.15873015873015872</c:v>
                </c:pt>
                <c:pt idx="15">
                  <c:v>0.15441176470588236</c:v>
                </c:pt>
                <c:pt idx="16">
                  <c:v>0.14685314685314685</c:v>
                </c:pt>
                <c:pt idx="17">
                  <c:v>0.15646258503401361</c:v>
                </c:pt>
                <c:pt idx="18">
                  <c:v>0.15923566878980891</c:v>
                </c:pt>
                <c:pt idx="19">
                  <c:v>0.15950920245398773</c:v>
                </c:pt>
                <c:pt idx="20">
                  <c:v>0.1588235294117647</c:v>
                </c:pt>
                <c:pt idx="21">
                  <c:v>0.16201117318435754</c:v>
                </c:pt>
                <c:pt idx="22">
                  <c:v>0.15508021390374332</c:v>
                </c:pt>
                <c:pt idx="23">
                  <c:v>0.15816326530612246</c:v>
                </c:pt>
                <c:pt idx="24">
                  <c:v>0.155</c:v>
                </c:pt>
                <c:pt idx="25">
                  <c:v>0.14832535885167464</c:v>
                </c:pt>
                <c:pt idx="26">
                  <c:v>0.13963963963963963</c:v>
                </c:pt>
                <c:pt idx="27">
                  <c:v>0.14410480349344978</c:v>
                </c:pt>
                <c:pt idx="28">
                  <c:v>0.13983050847457626</c:v>
                </c:pt>
                <c:pt idx="29">
                  <c:v>0.14227642276422764</c:v>
                </c:pt>
                <c:pt idx="30">
                  <c:v>0.14615384615384616</c:v>
                </c:pt>
                <c:pt idx="31">
                  <c:v>0.1449814126394052</c:v>
                </c:pt>
                <c:pt idx="32">
                  <c:v>0.13780918727915195</c:v>
                </c:pt>
                <c:pt idx="33">
                  <c:v>0.13356164383561644</c:v>
                </c:pt>
                <c:pt idx="34">
                  <c:v>0.13043478260869565</c:v>
                </c:pt>
                <c:pt idx="35">
                  <c:v>0.12745098039215685</c:v>
                </c:pt>
                <c:pt idx="36">
                  <c:v>0.125</c:v>
                </c:pt>
                <c:pt idx="37">
                  <c:v>0.12149532710280374</c:v>
                </c:pt>
                <c:pt idx="38">
                  <c:v>0.1196319018404908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ただ2!$I$3:$I$41</c:f>
              <c:numCache>
                <c:formatCode>0</c:formatCode>
                <c:ptCount val="39"/>
                <c:pt idx="1">
                  <c:v>1800</c:v>
                </c:pt>
                <c:pt idx="2">
                  <c:v>6028.5714285714284</c:v>
                </c:pt>
                <c:pt idx="3">
                  <c:v>6210</c:v>
                </c:pt>
                <c:pt idx="4">
                  <c:v>6126.666666666667</c:v>
                </c:pt>
                <c:pt idx="5">
                  <c:v>6126.666666666667</c:v>
                </c:pt>
                <c:pt idx="6">
                  <c:v>6288.2352941176468</c:v>
                </c:pt>
                <c:pt idx="7">
                  <c:v>6405</c:v>
                </c:pt>
                <c:pt idx="8">
                  <c:v>6031.818181818182</c:v>
                </c:pt>
                <c:pt idx="9">
                  <c:v>6414.8148148148148</c:v>
                </c:pt>
                <c:pt idx="10">
                  <c:v>6493.333333333333</c:v>
                </c:pt>
                <c:pt idx="11">
                  <c:v>6315.625</c:v>
                </c:pt>
                <c:pt idx="12">
                  <c:v>6532.3529411764703</c:v>
                </c:pt>
                <c:pt idx="13">
                  <c:v>6460</c:v>
                </c:pt>
                <c:pt idx="14">
                  <c:v>6669.2307692307695</c:v>
                </c:pt>
                <c:pt idx="15">
                  <c:v>6951.1627906976746</c:v>
                </c:pt>
                <c:pt idx="16">
                  <c:v>7095.652173913043</c:v>
                </c:pt>
                <c:pt idx="17">
                  <c:v>7095.652173913043</c:v>
                </c:pt>
                <c:pt idx="18">
                  <c:v>7087.5</c:v>
                </c:pt>
                <c:pt idx="19">
                  <c:v>7294.1176470588234</c:v>
                </c:pt>
                <c:pt idx="20">
                  <c:v>7277.7777777777774</c:v>
                </c:pt>
                <c:pt idx="21">
                  <c:v>7345.7627118644068</c:v>
                </c:pt>
                <c:pt idx="22">
                  <c:v>7447.6190476190477</c:v>
                </c:pt>
                <c:pt idx="23">
                  <c:v>7525.373134328358</c:v>
                </c:pt>
                <c:pt idx="24">
                  <c:v>8171.014492753623</c:v>
                </c:pt>
                <c:pt idx="25">
                  <c:v>8055.5555555555557</c:v>
                </c:pt>
                <c:pt idx="26">
                  <c:v>7793.8271604938273</c:v>
                </c:pt>
                <c:pt idx="27">
                  <c:v>7730.4878048780483</c:v>
                </c:pt>
                <c:pt idx="28">
                  <c:v>7675.9036144578313</c:v>
                </c:pt>
                <c:pt idx="29">
                  <c:v>7843.5294117647063</c:v>
                </c:pt>
                <c:pt idx="30">
                  <c:v>7987.9120879120883</c:v>
                </c:pt>
                <c:pt idx="31">
                  <c:v>8138.7096774193551</c:v>
                </c:pt>
                <c:pt idx="32">
                  <c:v>7967.0103092783502</c:v>
                </c:pt>
                <c:pt idx="33">
                  <c:v>7924</c:v>
                </c:pt>
                <c:pt idx="34">
                  <c:v>7923.3009708737864</c:v>
                </c:pt>
                <c:pt idx="35">
                  <c:v>7805.5555555555557</c:v>
                </c:pt>
                <c:pt idx="36">
                  <c:v>7805.5555555555557</c:v>
                </c:pt>
                <c:pt idx="37">
                  <c:v>7767.5675675675675</c:v>
                </c:pt>
                <c:pt idx="38">
                  <c:v>7695.575221238938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999.22839506172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ただ2!$J$3:$J$41</c:f>
              <c:numCache>
                <c:formatCode>0</c:formatCode>
                <c:ptCount val="39"/>
                <c:pt idx="1">
                  <c:v>0</c:v>
                </c:pt>
                <c:pt idx="2">
                  <c:v>-12000</c:v>
                </c:pt>
                <c:pt idx="3">
                  <c:v>-8866.6666666666661</c:v>
                </c:pt>
                <c:pt idx="4">
                  <c:v>-7625</c:v>
                </c:pt>
                <c:pt idx="5">
                  <c:v>-8500</c:v>
                </c:pt>
                <c:pt idx="6">
                  <c:v>-7733.333333333333</c:v>
                </c:pt>
                <c:pt idx="7">
                  <c:v>-7371.4285714285716</c:v>
                </c:pt>
                <c:pt idx="8">
                  <c:v>-7450</c:v>
                </c:pt>
                <c:pt idx="9">
                  <c:v>-7955.5555555555557</c:v>
                </c:pt>
                <c:pt idx="10">
                  <c:v>-7327.272727272727</c:v>
                </c:pt>
                <c:pt idx="11">
                  <c:v>-7150</c:v>
                </c:pt>
                <c:pt idx="12">
                  <c:v>-7830.7692307692305</c:v>
                </c:pt>
                <c:pt idx="13">
                  <c:v>-7641.1764705882351</c:v>
                </c:pt>
                <c:pt idx="14">
                  <c:v>-6980</c:v>
                </c:pt>
                <c:pt idx="15">
                  <c:v>-6771.4285714285716</c:v>
                </c:pt>
                <c:pt idx="16">
                  <c:v>-6771.4285714285716</c:v>
                </c:pt>
                <c:pt idx="17">
                  <c:v>-7226.086956521739</c:v>
                </c:pt>
                <c:pt idx="18">
                  <c:v>-7180</c:v>
                </c:pt>
                <c:pt idx="19">
                  <c:v>-7211.5384615384619</c:v>
                </c:pt>
                <c:pt idx="20">
                  <c:v>-7051.8518518518522</c:v>
                </c:pt>
                <c:pt idx="21">
                  <c:v>-7089.6551724137935</c:v>
                </c:pt>
                <c:pt idx="22">
                  <c:v>-7089.6551724137935</c:v>
                </c:pt>
                <c:pt idx="23">
                  <c:v>-7277.4193548387093</c:v>
                </c:pt>
                <c:pt idx="24">
                  <c:v>-7277.4193548387093</c:v>
                </c:pt>
                <c:pt idx="25">
                  <c:v>-7277.4193548387093</c:v>
                </c:pt>
                <c:pt idx="26">
                  <c:v>-7277.4193548387093</c:v>
                </c:pt>
                <c:pt idx="27">
                  <c:v>-7393.939393939394</c:v>
                </c:pt>
                <c:pt idx="28">
                  <c:v>-7393.939393939394</c:v>
                </c:pt>
                <c:pt idx="29">
                  <c:v>-7828.5714285714284</c:v>
                </c:pt>
                <c:pt idx="30">
                  <c:v>-7542.105263157895</c:v>
                </c:pt>
                <c:pt idx="31">
                  <c:v>-7448.7179487179483</c:v>
                </c:pt>
                <c:pt idx="32">
                  <c:v>-7448.7179487179483</c:v>
                </c:pt>
                <c:pt idx="33">
                  <c:v>-7448.7179487179483</c:v>
                </c:pt>
                <c:pt idx="34">
                  <c:v>-7448.7179487179483</c:v>
                </c:pt>
                <c:pt idx="35">
                  <c:v>-7448.7179487179483</c:v>
                </c:pt>
                <c:pt idx="36">
                  <c:v>-7448.7179487179483</c:v>
                </c:pt>
                <c:pt idx="37">
                  <c:v>-7448.7179487179483</c:v>
                </c:pt>
                <c:pt idx="38">
                  <c:v>-7448.7179487179483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392.87671232876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ただ2!$K$3:$K$41</c:f>
              <c:numCache>
                <c:formatCode>0.0%</c:formatCode>
                <c:ptCount val="3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66283524904214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ただ2!$L$3:$L$41</c:f>
              <c:numCache>
                <c:formatCode>0.0%</c:formatCode>
                <c:ptCount val="39"/>
                <c:pt idx="1">
                  <c:v>0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0.25</c:v>
                </c:pt>
                <c:pt idx="5">
                  <c:v>0.21739130434782608</c:v>
                </c:pt>
                <c:pt idx="6">
                  <c:v>0.25</c:v>
                </c:pt>
                <c:pt idx="7">
                  <c:v>0.25</c:v>
                </c:pt>
                <c:pt idx="8">
                  <c:v>0.25714285714285712</c:v>
                </c:pt>
                <c:pt idx="9">
                  <c:v>0.24390243902439024</c:v>
                </c:pt>
                <c:pt idx="10">
                  <c:v>0.22580645161290322</c:v>
                </c:pt>
                <c:pt idx="11">
                  <c:v>0.23232323232323232</c:v>
                </c:pt>
                <c:pt idx="12">
                  <c:v>0.23364485981308411</c:v>
                </c:pt>
                <c:pt idx="13">
                  <c:v>0.23008849557522124</c:v>
                </c:pt>
                <c:pt idx="14">
                  <c:v>0.23015873015873015</c:v>
                </c:pt>
                <c:pt idx="15">
                  <c:v>0.22058823529411764</c:v>
                </c:pt>
                <c:pt idx="16">
                  <c:v>0.21678321678321677</c:v>
                </c:pt>
                <c:pt idx="17">
                  <c:v>0.21768707482993196</c:v>
                </c:pt>
                <c:pt idx="18">
                  <c:v>0.22292993630573249</c:v>
                </c:pt>
                <c:pt idx="19">
                  <c:v>0.23312883435582821</c:v>
                </c:pt>
                <c:pt idx="20">
                  <c:v>0.23529411764705882</c:v>
                </c:pt>
                <c:pt idx="21">
                  <c:v>0.22905027932960895</c:v>
                </c:pt>
                <c:pt idx="22">
                  <c:v>0.22459893048128343</c:v>
                </c:pt>
                <c:pt idx="23">
                  <c:v>0.22448979591836735</c:v>
                </c:pt>
                <c:pt idx="24">
                  <c:v>0.23</c:v>
                </c:pt>
                <c:pt idx="25">
                  <c:v>0.22488038277511962</c:v>
                </c:pt>
                <c:pt idx="26">
                  <c:v>0.22072072072072071</c:v>
                </c:pt>
                <c:pt idx="27">
                  <c:v>0.22270742358078602</c:v>
                </c:pt>
                <c:pt idx="28">
                  <c:v>0.22033898305084745</c:v>
                </c:pt>
                <c:pt idx="29">
                  <c:v>0.22357723577235772</c:v>
                </c:pt>
                <c:pt idx="30">
                  <c:v>0.23076923076923078</c:v>
                </c:pt>
                <c:pt idx="31">
                  <c:v>0.23048327137546468</c:v>
                </c:pt>
                <c:pt idx="32">
                  <c:v>0.22261484098939929</c:v>
                </c:pt>
                <c:pt idx="33">
                  <c:v>0.22602739726027396</c:v>
                </c:pt>
                <c:pt idx="34">
                  <c:v>0.22408026755852842</c:v>
                </c:pt>
                <c:pt idx="35">
                  <c:v>0.21895424836601307</c:v>
                </c:pt>
                <c:pt idx="36">
                  <c:v>0.21474358974358973</c:v>
                </c:pt>
                <c:pt idx="37">
                  <c:v>0.2087227414330218</c:v>
                </c:pt>
                <c:pt idx="38">
                  <c:v>0.20858895705521471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7899543378995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ただ2!$M$3:$M$41</c:f>
              <c:numCache>
                <c:formatCode>0.0%</c:formatCode>
                <c:ptCount val="39"/>
                <c:pt idx="1">
                  <c:v>0.25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0.17499999999999999</c:v>
                </c:pt>
                <c:pt idx="5">
                  <c:v>0.17391304347826086</c:v>
                </c:pt>
                <c:pt idx="6">
                  <c:v>0.21428571428571427</c:v>
                </c:pt>
                <c:pt idx="7">
                  <c:v>0.203125</c:v>
                </c:pt>
                <c:pt idx="8">
                  <c:v>0.2</c:v>
                </c:pt>
                <c:pt idx="9">
                  <c:v>0.1951219512195122</c:v>
                </c:pt>
                <c:pt idx="10">
                  <c:v>0.21505376344086022</c:v>
                </c:pt>
                <c:pt idx="11">
                  <c:v>0.21212121212121213</c:v>
                </c:pt>
                <c:pt idx="12">
                  <c:v>0.21495327102803738</c:v>
                </c:pt>
                <c:pt idx="13">
                  <c:v>0.24778761061946902</c:v>
                </c:pt>
                <c:pt idx="14">
                  <c:v>0.24603174603174602</c:v>
                </c:pt>
                <c:pt idx="15">
                  <c:v>0.26470588235294118</c:v>
                </c:pt>
                <c:pt idx="16">
                  <c:v>0.28671328671328672</c:v>
                </c:pt>
                <c:pt idx="17">
                  <c:v>0.2857142857142857</c:v>
                </c:pt>
                <c:pt idx="18">
                  <c:v>0.27388535031847133</c:v>
                </c:pt>
                <c:pt idx="19">
                  <c:v>0.26993865030674846</c:v>
                </c:pt>
                <c:pt idx="20">
                  <c:v>0.26470588235294118</c:v>
                </c:pt>
                <c:pt idx="21">
                  <c:v>0.26256983240223464</c:v>
                </c:pt>
                <c:pt idx="22">
                  <c:v>0.26203208556149732</c:v>
                </c:pt>
                <c:pt idx="23">
                  <c:v>0.25510204081632654</c:v>
                </c:pt>
                <c:pt idx="24">
                  <c:v>0.25</c:v>
                </c:pt>
                <c:pt idx="25">
                  <c:v>0.25358851674641147</c:v>
                </c:pt>
                <c:pt idx="26">
                  <c:v>0.26126126126126126</c:v>
                </c:pt>
                <c:pt idx="27">
                  <c:v>0.25327510917030566</c:v>
                </c:pt>
                <c:pt idx="28">
                  <c:v>0.24576271186440679</c:v>
                </c:pt>
                <c:pt idx="29">
                  <c:v>0.24390243902439024</c:v>
                </c:pt>
                <c:pt idx="30">
                  <c:v>0.24230769230769231</c:v>
                </c:pt>
                <c:pt idx="31">
                  <c:v>0.24163568773234201</c:v>
                </c:pt>
                <c:pt idx="32">
                  <c:v>0.25088339222614842</c:v>
                </c:pt>
                <c:pt idx="33">
                  <c:v>0.26027397260273971</c:v>
                </c:pt>
                <c:pt idx="34">
                  <c:v>0.2608695652173913</c:v>
                </c:pt>
                <c:pt idx="35">
                  <c:v>0.2581699346405229</c:v>
                </c:pt>
                <c:pt idx="36">
                  <c:v>0.25641025641025639</c:v>
                </c:pt>
                <c:pt idx="37">
                  <c:v>0.2554517133956386</c:v>
                </c:pt>
                <c:pt idx="38">
                  <c:v>0.25153374233128833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876712328767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ただ2!$N$3:$N$41</c:f>
              <c:numCache>
                <c:formatCode>0.0%</c:formatCode>
                <c:ptCount val="39"/>
                <c:pt idx="1">
                  <c:v>0</c:v>
                </c:pt>
                <c:pt idx="2">
                  <c:v>0.6</c:v>
                </c:pt>
                <c:pt idx="3">
                  <c:v>0.7142857142857143</c:v>
                </c:pt>
                <c:pt idx="4">
                  <c:v>0.8</c:v>
                </c:pt>
                <c:pt idx="5">
                  <c:v>0.8</c:v>
                </c:pt>
                <c:pt idx="6">
                  <c:v>0.6428571428571429</c:v>
                </c:pt>
                <c:pt idx="7">
                  <c:v>0.625</c:v>
                </c:pt>
                <c:pt idx="8">
                  <c:v>0.61111111111111116</c:v>
                </c:pt>
                <c:pt idx="9">
                  <c:v>0.6</c:v>
                </c:pt>
                <c:pt idx="10">
                  <c:v>0.5714285714285714</c:v>
                </c:pt>
                <c:pt idx="11">
                  <c:v>0.56521739130434778</c:v>
                </c:pt>
                <c:pt idx="12">
                  <c:v>0.52</c:v>
                </c:pt>
                <c:pt idx="13">
                  <c:v>0.5</c:v>
                </c:pt>
                <c:pt idx="14">
                  <c:v>0.48275862068965519</c:v>
                </c:pt>
                <c:pt idx="15">
                  <c:v>0.5</c:v>
                </c:pt>
                <c:pt idx="16">
                  <c:v>0.4838709677419355</c:v>
                </c:pt>
                <c:pt idx="17">
                  <c:v>0.46875</c:v>
                </c:pt>
                <c:pt idx="18">
                  <c:v>0.42857142857142855</c:v>
                </c:pt>
                <c:pt idx="19">
                  <c:v>0.47368421052631576</c:v>
                </c:pt>
                <c:pt idx="20">
                  <c:v>0.47499999999999998</c:v>
                </c:pt>
                <c:pt idx="21">
                  <c:v>0.48780487804878048</c:v>
                </c:pt>
                <c:pt idx="22">
                  <c:v>0.5</c:v>
                </c:pt>
                <c:pt idx="23">
                  <c:v>0.52272727272727271</c:v>
                </c:pt>
                <c:pt idx="24">
                  <c:v>0.52173913043478259</c:v>
                </c:pt>
                <c:pt idx="25">
                  <c:v>0.53191489361702127</c:v>
                </c:pt>
                <c:pt idx="26">
                  <c:v>0.53061224489795922</c:v>
                </c:pt>
                <c:pt idx="27">
                  <c:v>0.50980392156862742</c:v>
                </c:pt>
                <c:pt idx="28">
                  <c:v>0.5</c:v>
                </c:pt>
                <c:pt idx="29">
                  <c:v>0.50909090909090904</c:v>
                </c:pt>
                <c:pt idx="30">
                  <c:v>0.51666666666666672</c:v>
                </c:pt>
                <c:pt idx="31">
                  <c:v>0.5161290322580645</c:v>
                </c:pt>
                <c:pt idx="32">
                  <c:v>0.52380952380952384</c:v>
                </c:pt>
                <c:pt idx="33">
                  <c:v>0.51515151515151514</c:v>
                </c:pt>
                <c:pt idx="34">
                  <c:v>0.52238805970149249</c:v>
                </c:pt>
                <c:pt idx="35">
                  <c:v>0.52238805970149249</c:v>
                </c:pt>
                <c:pt idx="36">
                  <c:v>0.52238805970149249</c:v>
                </c:pt>
                <c:pt idx="37">
                  <c:v>0.52238805970149249</c:v>
                </c:pt>
                <c:pt idx="38">
                  <c:v>0.52941176470588236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2072936660268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ただ2!$O$3:$O$41</c:f>
              <c:numCache>
                <c:formatCode>0.0%</c:formatCode>
                <c:ptCount val="39"/>
                <c:pt idx="1">
                  <c:v>0.5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0.5714285714285714</c:v>
                </c:pt>
                <c:pt idx="5">
                  <c:v>0.5</c:v>
                </c:pt>
                <c:pt idx="6">
                  <c:v>0.41666666666666669</c:v>
                </c:pt>
                <c:pt idx="7">
                  <c:v>0.46153846153846156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0.47619047619047616</c:v>
                </c:pt>
                <c:pt idx="12">
                  <c:v>0.43478260869565216</c:v>
                </c:pt>
                <c:pt idx="13">
                  <c:v>0.39285714285714285</c:v>
                </c:pt>
                <c:pt idx="14">
                  <c:v>0.41935483870967744</c:v>
                </c:pt>
                <c:pt idx="15">
                  <c:v>0.41666666666666669</c:v>
                </c:pt>
                <c:pt idx="16">
                  <c:v>0.43902439024390244</c:v>
                </c:pt>
                <c:pt idx="17">
                  <c:v>0.42857142857142855</c:v>
                </c:pt>
                <c:pt idx="18">
                  <c:v>0.44186046511627908</c:v>
                </c:pt>
                <c:pt idx="19">
                  <c:v>0.43181818181818182</c:v>
                </c:pt>
                <c:pt idx="20">
                  <c:v>0.44444444444444442</c:v>
                </c:pt>
                <c:pt idx="21">
                  <c:v>0.44680851063829785</c:v>
                </c:pt>
                <c:pt idx="22">
                  <c:v>0.46938775510204084</c:v>
                </c:pt>
                <c:pt idx="23">
                  <c:v>0.48</c:v>
                </c:pt>
                <c:pt idx="24">
                  <c:v>0.48</c:v>
                </c:pt>
                <c:pt idx="25">
                  <c:v>0.49056603773584906</c:v>
                </c:pt>
                <c:pt idx="26">
                  <c:v>0.51724137931034486</c:v>
                </c:pt>
                <c:pt idx="27">
                  <c:v>0.51724137931034486</c:v>
                </c:pt>
                <c:pt idx="28">
                  <c:v>0.51724137931034486</c:v>
                </c:pt>
                <c:pt idx="29">
                  <c:v>0.5</c:v>
                </c:pt>
                <c:pt idx="30">
                  <c:v>0.49206349206349204</c:v>
                </c:pt>
                <c:pt idx="31">
                  <c:v>0.49230769230769234</c:v>
                </c:pt>
                <c:pt idx="32">
                  <c:v>0.49295774647887325</c:v>
                </c:pt>
                <c:pt idx="33">
                  <c:v>0.47368421052631576</c:v>
                </c:pt>
                <c:pt idx="34">
                  <c:v>0.47435897435897434</c:v>
                </c:pt>
                <c:pt idx="35">
                  <c:v>0.48101265822784811</c:v>
                </c:pt>
                <c:pt idx="36">
                  <c:v>0.47499999999999998</c:v>
                </c:pt>
                <c:pt idx="37">
                  <c:v>0.47560975609756095</c:v>
                </c:pt>
                <c:pt idx="38">
                  <c:v>0.47560975609756095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3529411764705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ただ2!$P$3:$P$41</c:f>
              <c:numCache>
                <c:formatCode>0.0%</c:formatCode>
                <c:ptCount val="39"/>
                <c:pt idx="1">
                  <c:v>0</c:v>
                </c:pt>
                <c:pt idx="2">
                  <c:v>0.42857142857142855</c:v>
                </c:pt>
                <c:pt idx="3">
                  <c:v>0.5</c:v>
                </c:pt>
                <c:pt idx="4">
                  <c:v>0.4</c:v>
                </c:pt>
                <c:pt idx="5">
                  <c:v>0.4</c:v>
                </c:pt>
                <c:pt idx="6">
                  <c:v>0.41176470588235292</c:v>
                </c:pt>
                <c:pt idx="7">
                  <c:v>0.35</c:v>
                </c:pt>
                <c:pt idx="8">
                  <c:v>0.31818181818181818</c:v>
                </c:pt>
                <c:pt idx="9">
                  <c:v>0.40740740740740738</c:v>
                </c:pt>
                <c:pt idx="10">
                  <c:v>0.4</c:v>
                </c:pt>
                <c:pt idx="11">
                  <c:v>0.40625</c:v>
                </c:pt>
                <c:pt idx="12">
                  <c:v>0.41176470588235292</c:v>
                </c:pt>
                <c:pt idx="13">
                  <c:v>0.42857142857142855</c:v>
                </c:pt>
                <c:pt idx="14">
                  <c:v>0.41025641025641024</c:v>
                </c:pt>
                <c:pt idx="15">
                  <c:v>0.39534883720930231</c:v>
                </c:pt>
                <c:pt idx="16">
                  <c:v>0.39130434782608697</c:v>
                </c:pt>
                <c:pt idx="17">
                  <c:v>0.39130434782608697</c:v>
                </c:pt>
                <c:pt idx="18">
                  <c:v>0.39583333333333331</c:v>
                </c:pt>
                <c:pt idx="19">
                  <c:v>0.39215686274509803</c:v>
                </c:pt>
                <c:pt idx="20">
                  <c:v>0.37037037037037035</c:v>
                </c:pt>
                <c:pt idx="21">
                  <c:v>0.3559322033898305</c:v>
                </c:pt>
                <c:pt idx="22">
                  <c:v>0.36507936507936506</c:v>
                </c:pt>
                <c:pt idx="23">
                  <c:v>0.37313432835820898</c:v>
                </c:pt>
                <c:pt idx="24">
                  <c:v>0.39130434782608697</c:v>
                </c:pt>
                <c:pt idx="25">
                  <c:v>0.41666666666666669</c:v>
                </c:pt>
                <c:pt idx="26">
                  <c:v>0.44444444444444442</c:v>
                </c:pt>
                <c:pt idx="27">
                  <c:v>0.43902439024390244</c:v>
                </c:pt>
                <c:pt idx="28">
                  <c:v>0.43373493975903615</c:v>
                </c:pt>
                <c:pt idx="29">
                  <c:v>0.44705882352941179</c:v>
                </c:pt>
                <c:pt idx="30">
                  <c:v>0.4175824175824176</c:v>
                </c:pt>
                <c:pt idx="31">
                  <c:v>0.41935483870967744</c:v>
                </c:pt>
                <c:pt idx="32">
                  <c:v>0.41237113402061853</c:v>
                </c:pt>
                <c:pt idx="33">
                  <c:v>0.4</c:v>
                </c:pt>
                <c:pt idx="34">
                  <c:v>0.40776699029126212</c:v>
                </c:pt>
                <c:pt idx="35">
                  <c:v>0.41666666666666669</c:v>
                </c:pt>
                <c:pt idx="36">
                  <c:v>0.41666666666666669</c:v>
                </c:pt>
                <c:pt idx="37">
                  <c:v>0.4144144144144144</c:v>
                </c:pt>
                <c:pt idx="38">
                  <c:v>0.41592920353982299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555555555555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32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9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9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9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5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9" x14ac:dyDescent="0.45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5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9" x14ac:dyDescent="0.45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9" x14ac:dyDescent="0.45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5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5">
      <c r="A29" s="2" t="s">
        <v>243</v>
      </c>
      <c r="B29" s="3">
        <v>44147.875798611109</v>
      </c>
      <c r="C29" s="2" t="s">
        <v>127</v>
      </c>
      <c r="D29" s="2" t="s">
        <v>188</v>
      </c>
    </row>
    <row r="30" spans="1:9" x14ac:dyDescent="0.45">
      <c r="A30" s="2" t="s">
        <v>244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240</v>
      </c>
      <c r="H30" s="2" t="s">
        <v>246</v>
      </c>
      <c r="I30" s="2" t="s">
        <v>245</v>
      </c>
    </row>
    <row r="31" spans="1:9" x14ac:dyDescent="0.45">
      <c r="A31" s="2" t="s">
        <v>247</v>
      </c>
      <c r="B31" s="3">
        <v>44150.72215277778</v>
      </c>
      <c r="C31" s="2" t="s">
        <v>127</v>
      </c>
      <c r="D31" s="2" t="s">
        <v>188</v>
      </c>
    </row>
    <row r="32" spans="1:9" x14ac:dyDescent="0.45">
      <c r="A32" s="2" t="s">
        <v>248</v>
      </c>
      <c r="B32" s="3">
        <v>44152.771898148145</v>
      </c>
      <c r="C32" s="2" t="s">
        <v>127</v>
      </c>
      <c r="D32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72</v>
      </c>
      <c r="C2" s="120">
        <v>1842.3339395535957</v>
      </c>
    </row>
    <row r="3" spans="1:3" x14ac:dyDescent="0.45">
      <c r="A3" t="s">
        <v>163</v>
      </c>
      <c r="B3" s="120">
        <v>39</v>
      </c>
      <c r="C3" s="120">
        <v>1653.1699313523677</v>
      </c>
    </row>
    <row r="4" spans="1:3" x14ac:dyDescent="0.45">
      <c r="A4" t="s">
        <v>139</v>
      </c>
      <c r="B4" s="120">
        <v>261</v>
      </c>
      <c r="C4" s="120">
        <v>1594.5463045050694</v>
      </c>
    </row>
    <row r="5" spans="1:3" x14ac:dyDescent="0.45">
      <c r="A5" t="s">
        <v>190</v>
      </c>
      <c r="B5" s="120">
        <v>17</v>
      </c>
      <c r="C5" s="120">
        <v>1524.3778689305989</v>
      </c>
    </row>
    <row r="6" spans="1:3" x14ac:dyDescent="0.45">
      <c r="A6" t="s">
        <v>192</v>
      </c>
      <c r="B6" s="120">
        <v>38</v>
      </c>
      <c r="C6" s="120">
        <v>1517.1288342047803</v>
      </c>
    </row>
    <row r="7" spans="1:3" x14ac:dyDescent="0.45">
      <c r="A7" t="s">
        <v>211</v>
      </c>
      <c r="B7" s="120">
        <v>31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32</v>
      </c>
      <c r="C10" s="120">
        <v>1433.30445236539</v>
      </c>
    </row>
    <row r="11" spans="1:3" x14ac:dyDescent="0.45">
      <c r="A11" t="s">
        <v>195</v>
      </c>
      <c r="B11" s="120">
        <v>8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5">
      <c r="A2" s="36" t="s">
        <v>208</v>
      </c>
      <c r="B2" s="141">
        <v>0.89419093451372778</v>
      </c>
      <c r="C2" s="142"/>
      <c r="D2" s="141">
        <v>0.17258032175027249</v>
      </c>
      <c r="E2" s="142"/>
      <c r="F2" s="141">
        <v>0.26069652074757099</v>
      </c>
      <c r="G2" s="142"/>
      <c r="H2" s="147"/>
      <c r="I2" s="148"/>
      <c r="J2" s="141">
        <v>7.3344253086682118E-2</v>
      </c>
      <c r="K2" s="142"/>
      <c r="L2" s="141">
        <v>7.0894707492176079E-2</v>
      </c>
      <c r="M2" s="142"/>
      <c r="N2" s="141">
        <v>5.8273772600416253E-2</v>
      </c>
      <c r="O2" s="142"/>
      <c r="P2" s="141">
        <v>0.40465741476591416</v>
      </c>
      <c r="Q2" s="142"/>
      <c r="R2" s="141">
        <v>-0.14942896478966466</v>
      </c>
      <c r="S2" s="142"/>
      <c r="T2" s="141">
        <v>0.74120290298314928</v>
      </c>
      <c r="U2" s="142"/>
      <c r="V2" s="141">
        <v>2.2183766803341259E-2</v>
      </c>
      <c r="W2" s="142"/>
      <c r="X2" s="141">
        <v>-0.19555553206045498</v>
      </c>
      <c r="Y2" s="142"/>
      <c r="Z2" s="141">
        <v>0.11845033885190979</v>
      </c>
      <c r="AA2" s="142"/>
      <c r="AB2" s="141">
        <v>-0.13785170397802501</v>
      </c>
      <c r="AC2" s="142"/>
      <c r="AD2" s="141">
        <v>0.40064392979099733</v>
      </c>
      <c r="AE2" s="142"/>
      <c r="AF2" s="141">
        <v>0.34039385913124387</v>
      </c>
      <c r="AG2" s="142"/>
      <c r="AH2" s="141">
        <v>0.17239556153638275</v>
      </c>
      <c r="AI2" s="142"/>
      <c r="AJ2" s="141">
        <v>0.91771154676471511</v>
      </c>
      <c r="AK2" s="142"/>
    </row>
    <row r="3" spans="1:37" x14ac:dyDescent="0.45">
      <c r="A3" s="38">
        <v>1</v>
      </c>
      <c r="B3" s="41" t="s">
        <v>139</v>
      </c>
      <c r="C3" s="113">
        <v>87</v>
      </c>
      <c r="D3" s="39" t="s">
        <v>192</v>
      </c>
      <c r="E3" s="40">
        <v>329.99999999999994</v>
      </c>
      <c r="F3" s="41" t="s">
        <v>192</v>
      </c>
      <c r="G3" s="60">
        <v>8.6842105263157876</v>
      </c>
      <c r="H3" s="41" t="s">
        <v>126</v>
      </c>
      <c r="I3" s="45">
        <v>1762.6139683317003</v>
      </c>
      <c r="J3" s="41" t="s">
        <v>192</v>
      </c>
      <c r="K3" s="42">
        <v>1.7105263157894737</v>
      </c>
      <c r="L3" s="41" t="s">
        <v>195</v>
      </c>
      <c r="M3" s="43">
        <v>0.5</v>
      </c>
      <c r="N3" s="41" t="s">
        <v>192</v>
      </c>
      <c r="O3" s="43">
        <v>0.18421052631578946</v>
      </c>
      <c r="P3" s="41" t="s">
        <v>192</v>
      </c>
      <c r="Q3" s="44">
        <v>0.34662576687116564</v>
      </c>
      <c r="R3" s="41" t="s">
        <v>190</v>
      </c>
      <c r="S3" s="44">
        <v>0.10294117647058823</v>
      </c>
      <c r="T3" s="41" t="s">
        <v>221</v>
      </c>
      <c r="U3" s="45">
        <v>10925</v>
      </c>
      <c r="V3" s="41" t="s">
        <v>190</v>
      </c>
      <c r="W3" s="45">
        <v>-5385.7142857142853</v>
      </c>
      <c r="X3" s="41" t="s">
        <v>193</v>
      </c>
      <c r="Y3" s="43">
        <v>0</v>
      </c>
      <c r="Z3" s="41" t="s">
        <v>189</v>
      </c>
      <c r="AA3" s="44">
        <v>0.27464788732394368</v>
      </c>
      <c r="AB3" s="41" t="s">
        <v>189</v>
      </c>
      <c r="AC3" s="44">
        <v>0.29577464788732394</v>
      </c>
      <c r="AD3" s="41" t="s">
        <v>195</v>
      </c>
      <c r="AE3" s="44">
        <v>0.76923076923076927</v>
      </c>
      <c r="AF3" s="41" t="s">
        <v>211</v>
      </c>
      <c r="AG3" s="44">
        <v>0.51666666666666672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72</v>
      </c>
      <c r="D4" s="47" t="s">
        <v>211</v>
      </c>
      <c r="E4" s="48">
        <v>119.79999999999998</v>
      </c>
      <c r="F4" s="49" t="s">
        <v>211</v>
      </c>
      <c r="G4" s="61">
        <v>3.8645161290322574</v>
      </c>
      <c r="H4" s="49" t="s">
        <v>163</v>
      </c>
      <c r="I4" s="53">
        <v>1628.6116498496403</v>
      </c>
      <c r="J4" s="49" t="s">
        <v>211</v>
      </c>
      <c r="K4" s="50">
        <v>1.903225806451613</v>
      </c>
      <c r="L4" s="49" t="s">
        <v>192</v>
      </c>
      <c r="M4" s="51">
        <v>0.47368421052631576</v>
      </c>
      <c r="N4" s="49" t="s">
        <v>190</v>
      </c>
      <c r="O4" s="51">
        <v>0.23529411764705882</v>
      </c>
      <c r="P4" s="49" t="s">
        <v>211</v>
      </c>
      <c r="Q4" s="52">
        <v>0.31872509960159362</v>
      </c>
      <c r="R4" s="49" t="s">
        <v>192</v>
      </c>
      <c r="S4" s="52">
        <v>0.1196319018404908</v>
      </c>
      <c r="T4" s="49" t="s">
        <v>163</v>
      </c>
      <c r="U4" s="53">
        <v>8671.4285714285706</v>
      </c>
      <c r="V4" s="49" t="s">
        <v>211</v>
      </c>
      <c r="W4" s="53">
        <v>-6771.4285714285716</v>
      </c>
      <c r="X4" s="49" t="s">
        <v>221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211</v>
      </c>
      <c r="AE4" s="52">
        <v>0.57692307692307687</v>
      </c>
      <c r="AF4" s="49" t="s">
        <v>192</v>
      </c>
      <c r="AG4" s="52">
        <v>0.47560975609756095</v>
      </c>
      <c r="AH4" s="49" t="s">
        <v>189</v>
      </c>
      <c r="AI4" s="52">
        <v>0.48809523809523808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163</v>
      </c>
      <c r="C5" s="114">
        <v>39</v>
      </c>
      <c r="D5" s="47" t="s">
        <v>126</v>
      </c>
      <c r="E5" s="48">
        <v>18.699999999999957</v>
      </c>
      <c r="F5" s="49" t="s">
        <v>126</v>
      </c>
      <c r="G5" s="61">
        <v>0.25972222222222163</v>
      </c>
      <c r="H5" s="49" t="s">
        <v>139</v>
      </c>
      <c r="I5" s="53">
        <v>1606.608476909299</v>
      </c>
      <c r="J5" s="49" t="s">
        <v>139</v>
      </c>
      <c r="K5" s="50">
        <v>1.9961685823754789</v>
      </c>
      <c r="L5" s="49" t="s">
        <v>211</v>
      </c>
      <c r="M5" s="51">
        <v>0.41935483870967744</v>
      </c>
      <c r="N5" s="49" t="s">
        <v>211</v>
      </c>
      <c r="O5" s="51">
        <v>0.32258064516129031</v>
      </c>
      <c r="P5" s="49" t="s">
        <v>126</v>
      </c>
      <c r="Q5" s="52">
        <v>0.31333333333333335</v>
      </c>
      <c r="R5" s="49" t="s">
        <v>211</v>
      </c>
      <c r="S5" s="52">
        <v>0.1394422310756972</v>
      </c>
      <c r="T5" s="49" t="s">
        <v>195</v>
      </c>
      <c r="U5" s="53">
        <v>8526.3157894736851</v>
      </c>
      <c r="V5" s="49" t="s">
        <v>126</v>
      </c>
      <c r="W5" s="53">
        <v>-6893.8596491228072</v>
      </c>
      <c r="X5" s="49" t="s">
        <v>189</v>
      </c>
      <c r="Y5" s="51">
        <v>3.125E-2</v>
      </c>
      <c r="Z5" s="49" t="s">
        <v>126</v>
      </c>
      <c r="AA5" s="52">
        <v>0.25333333333333335</v>
      </c>
      <c r="AB5" s="49" t="s">
        <v>221</v>
      </c>
      <c r="AC5" s="52">
        <v>0.27777777777777779</v>
      </c>
      <c r="AD5" s="49" t="s">
        <v>190</v>
      </c>
      <c r="AE5" s="52">
        <v>0.56666666666666665</v>
      </c>
      <c r="AF5" s="49" t="s">
        <v>126</v>
      </c>
      <c r="AG5" s="52">
        <v>0.45669291338582679</v>
      </c>
      <c r="AH5" s="49" t="s">
        <v>195</v>
      </c>
      <c r="AI5" s="52">
        <v>0.47368421052631576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192</v>
      </c>
      <c r="C6" s="114">
        <v>38</v>
      </c>
      <c r="D6" s="47" t="s">
        <v>139</v>
      </c>
      <c r="E6" s="48">
        <v>2.8421709430404007E-14</v>
      </c>
      <c r="F6" s="49" t="s">
        <v>139</v>
      </c>
      <c r="G6" s="61">
        <v>1.0889543843066669E-16</v>
      </c>
      <c r="H6" s="49" t="s">
        <v>192</v>
      </c>
      <c r="I6" s="53">
        <v>1589.912780417498</v>
      </c>
      <c r="J6" s="49" t="s">
        <v>190</v>
      </c>
      <c r="K6" s="50">
        <v>2</v>
      </c>
      <c r="L6" s="49" t="s">
        <v>189</v>
      </c>
      <c r="M6" s="51">
        <v>0.34375</v>
      </c>
      <c r="N6" s="49" t="s">
        <v>139</v>
      </c>
      <c r="O6" s="51">
        <v>0.33333333333333331</v>
      </c>
      <c r="P6" s="49" t="s">
        <v>139</v>
      </c>
      <c r="Q6" s="52">
        <v>0.29589041095890412</v>
      </c>
      <c r="R6" s="49" t="s">
        <v>139</v>
      </c>
      <c r="S6" s="52">
        <v>0.16666666666666666</v>
      </c>
      <c r="T6" s="49" t="s">
        <v>126</v>
      </c>
      <c r="U6" s="53">
        <v>8221.2765957446809</v>
      </c>
      <c r="V6" s="49" t="s">
        <v>195</v>
      </c>
      <c r="W6" s="53">
        <v>-7154.545454545455</v>
      </c>
      <c r="X6" s="49" t="s">
        <v>192</v>
      </c>
      <c r="Y6" s="51">
        <v>5.2631578947368418E-2</v>
      </c>
      <c r="Z6" s="49" t="s">
        <v>163</v>
      </c>
      <c r="AA6" s="52">
        <v>0.24776119402985075</v>
      </c>
      <c r="AB6" s="49" t="s">
        <v>192</v>
      </c>
      <c r="AC6" s="52">
        <v>0.25153374233128833</v>
      </c>
      <c r="AD6" s="49" t="s">
        <v>126</v>
      </c>
      <c r="AE6" s="52">
        <v>0.56578947368421051</v>
      </c>
      <c r="AF6" s="49" t="s">
        <v>195</v>
      </c>
      <c r="AG6" s="52">
        <v>0.44444444444444442</v>
      </c>
      <c r="AH6" s="49" t="s">
        <v>163</v>
      </c>
      <c r="AI6" s="52">
        <v>0.46153846153846156</v>
      </c>
      <c r="AJ6" s="49" t="s">
        <v>163</v>
      </c>
      <c r="AK6" s="56">
        <v>94700</v>
      </c>
    </row>
    <row r="7" spans="1:37" x14ac:dyDescent="0.45">
      <c r="A7" s="46">
        <v>5</v>
      </c>
      <c r="B7" s="49" t="s">
        <v>189</v>
      </c>
      <c r="C7" s="114">
        <v>32</v>
      </c>
      <c r="D7" s="47" t="s">
        <v>189</v>
      </c>
      <c r="E7" s="48">
        <v>-9.3000000000000096</v>
      </c>
      <c r="F7" s="49" t="s">
        <v>189</v>
      </c>
      <c r="G7" s="61">
        <v>-0.2906250000000003</v>
      </c>
      <c r="H7" s="49" t="s">
        <v>190</v>
      </c>
      <c r="I7" s="53">
        <v>1524.9050618397528</v>
      </c>
      <c r="J7" s="49" t="s">
        <v>189</v>
      </c>
      <c r="K7" s="50">
        <v>2</v>
      </c>
      <c r="L7" s="49" t="s">
        <v>139</v>
      </c>
      <c r="M7" s="51">
        <v>0.33716475095785442</v>
      </c>
      <c r="N7" s="49" t="s">
        <v>189</v>
      </c>
      <c r="O7" s="51">
        <v>0.34375</v>
      </c>
      <c r="P7" s="49" t="s">
        <v>189</v>
      </c>
      <c r="Q7" s="52">
        <v>0.29577464788732394</v>
      </c>
      <c r="R7" s="49" t="s">
        <v>221</v>
      </c>
      <c r="S7" s="52">
        <v>0.16666666666666666</v>
      </c>
      <c r="T7" s="49" t="s">
        <v>193</v>
      </c>
      <c r="U7" s="53">
        <v>8212.5</v>
      </c>
      <c r="V7" s="49" t="s">
        <v>139</v>
      </c>
      <c r="W7" s="53">
        <v>-7392.8767123287671</v>
      </c>
      <c r="X7" s="49" t="s">
        <v>190</v>
      </c>
      <c r="Y7" s="51">
        <v>5.8823529411764705E-2</v>
      </c>
      <c r="Z7" s="49" t="s">
        <v>139</v>
      </c>
      <c r="AA7" s="52">
        <v>0.23789954337899544</v>
      </c>
      <c r="AB7" s="49" t="s">
        <v>163</v>
      </c>
      <c r="AC7" s="52">
        <v>0.2417910447761194</v>
      </c>
      <c r="AD7" s="49" t="s">
        <v>192</v>
      </c>
      <c r="AE7" s="52">
        <v>0.52941176470588236</v>
      </c>
      <c r="AF7" s="49" t="s">
        <v>139</v>
      </c>
      <c r="AG7" s="52">
        <v>0.42352941176470588</v>
      </c>
      <c r="AH7" s="49" t="s">
        <v>126</v>
      </c>
      <c r="AI7" s="52">
        <v>0.4521276595744681</v>
      </c>
      <c r="AJ7" s="49" t="s">
        <v>211</v>
      </c>
      <c r="AK7" s="56">
        <v>80600</v>
      </c>
    </row>
    <row r="8" spans="1:37" x14ac:dyDescent="0.45">
      <c r="A8" s="46">
        <v>6</v>
      </c>
      <c r="B8" s="49" t="s">
        <v>211</v>
      </c>
      <c r="C8" s="114">
        <v>31</v>
      </c>
      <c r="D8" s="47" t="s">
        <v>221</v>
      </c>
      <c r="E8" s="48">
        <v>-13.5</v>
      </c>
      <c r="F8" s="49" t="s">
        <v>190</v>
      </c>
      <c r="G8" s="61">
        <v>-2.8117647058823541</v>
      </c>
      <c r="H8" s="49" t="s">
        <v>211</v>
      </c>
      <c r="I8" s="53">
        <v>1524.7772705857617</v>
      </c>
      <c r="J8" s="49" t="s">
        <v>195</v>
      </c>
      <c r="K8" s="50">
        <v>2</v>
      </c>
      <c r="L8" s="49" t="s">
        <v>126</v>
      </c>
      <c r="M8" s="51">
        <v>0.30555555555555558</v>
      </c>
      <c r="N8" s="49" t="s">
        <v>163</v>
      </c>
      <c r="O8" s="51">
        <v>0.35897435897435898</v>
      </c>
      <c r="P8" s="49" t="s">
        <v>195</v>
      </c>
      <c r="Q8" s="52">
        <v>0.29230769230769232</v>
      </c>
      <c r="R8" s="49" t="s">
        <v>195</v>
      </c>
      <c r="S8" s="52">
        <v>0.16923076923076924</v>
      </c>
      <c r="T8" s="49" t="s">
        <v>139</v>
      </c>
      <c r="U8" s="53">
        <v>7999.2283950617284</v>
      </c>
      <c r="V8" s="49" t="s">
        <v>192</v>
      </c>
      <c r="W8" s="53">
        <v>-7448.7179487179483</v>
      </c>
      <c r="X8" s="49" t="s">
        <v>211</v>
      </c>
      <c r="Y8" s="51">
        <v>6.4516129032258063E-2</v>
      </c>
      <c r="Z8" s="49" t="s">
        <v>216</v>
      </c>
      <c r="AA8" s="52">
        <v>0.22857142857142856</v>
      </c>
      <c r="AB8" s="49" t="s">
        <v>211</v>
      </c>
      <c r="AC8" s="52">
        <v>0.23904382470119523</v>
      </c>
      <c r="AD8" s="49" t="s">
        <v>139</v>
      </c>
      <c r="AE8" s="52">
        <v>0.52207293666026866</v>
      </c>
      <c r="AF8" s="49" t="s">
        <v>193</v>
      </c>
      <c r="AG8" s="52">
        <v>0.4</v>
      </c>
      <c r="AH8" s="49" t="s">
        <v>216</v>
      </c>
      <c r="AI8" s="52">
        <v>0.43333333333333335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216</v>
      </c>
      <c r="C9" s="114">
        <v>18</v>
      </c>
      <c r="D9" s="47" t="s">
        <v>195</v>
      </c>
      <c r="E9" s="48">
        <v>-45.7</v>
      </c>
      <c r="F9" s="49" t="s">
        <v>163</v>
      </c>
      <c r="G9" s="61">
        <v>-3.0820512820512826</v>
      </c>
      <c r="H9" s="49" t="s">
        <v>221</v>
      </c>
      <c r="I9" s="53">
        <v>1497.379788</v>
      </c>
      <c r="J9" s="49" t="s">
        <v>126</v>
      </c>
      <c r="K9" s="50">
        <v>2.0555555555555554</v>
      </c>
      <c r="L9" s="49" t="s">
        <v>163</v>
      </c>
      <c r="M9" s="51">
        <v>0.28205128205128205</v>
      </c>
      <c r="N9" s="49" t="s">
        <v>126</v>
      </c>
      <c r="O9" s="51">
        <v>0.3611111111111111</v>
      </c>
      <c r="P9" s="49" t="s">
        <v>163</v>
      </c>
      <c r="Q9" s="52">
        <v>0.27164179104477609</v>
      </c>
      <c r="R9" s="49" t="s">
        <v>189</v>
      </c>
      <c r="S9" s="52">
        <v>0.176056338028169</v>
      </c>
      <c r="T9" s="49" t="s">
        <v>211</v>
      </c>
      <c r="U9" s="53">
        <v>7840</v>
      </c>
      <c r="V9" s="49" t="s">
        <v>189</v>
      </c>
      <c r="W9" s="53">
        <v>-7708</v>
      </c>
      <c r="X9" s="49" t="s">
        <v>126</v>
      </c>
      <c r="Y9" s="51">
        <v>6.9444444444444448E-2</v>
      </c>
      <c r="Z9" s="49" t="s">
        <v>221</v>
      </c>
      <c r="AA9" s="52">
        <v>0.22222222222222221</v>
      </c>
      <c r="AB9" s="49" t="s">
        <v>139</v>
      </c>
      <c r="AC9" s="52">
        <v>0.23287671232876711</v>
      </c>
      <c r="AD9" s="49" t="s">
        <v>189</v>
      </c>
      <c r="AE9" s="52">
        <v>0.47435897435897434</v>
      </c>
      <c r="AF9" s="49" t="s">
        <v>221</v>
      </c>
      <c r="AG9" s="52">
        <v>0.4</v>
      </c>
      <c r="AH9" s="49" t="s">
        <v>139</v>
      </c>
      <c r="AI9" s="52">
        <v>0.43055555555555558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190</v>
      </c>
      <c r="C10" s="114">
        <v>17</v>
      </c>
      <c r="D10" s="47" t="s">
        <v>190</v>
      </c>
      <c r="E10" s="48">
        <v>-47.800000000000018</v>
      </c>
      <c r="F10" s="49" t="s">
        <v>195</v>
      </c>
      <c r="G10" s="61">
        <v>-5.7125000000000004</v>
      </c>
      <c r="H10" s="49" t="s">
        <v>216</v>
      </c>
      <c r="I10" s="53">
        <v>1475.2783888604056</v>
      </c>
      <c r="J10" s="49" t="s">
        <v>163</v>
      </c>
      <c r="K10" s="50">
        <v>2.0769230769230771</v>
      </c>
      <c r="L10" s="49" t="s">
        <v>193</v>
      </c>
      <c r="M10" s="51">
        <v>0.25</v>
      </c>
      <c r="N10" s="49" t="s">
        <v>216</v>
      </c>
      <c r="O10" s="51">
        <v>0.44444444444444442</v>
      </c>
      <c r="P10" s="49" t="s">
        <v>193</v>
      </c>
      <c r="Q10" s="52">
        <v>0.22857142857142856</v>
      </c>
      <c r="R10" s="49" t="s">
        <v>163</v>
      </c>
      <c r="S10" s="52">
        <v>0.18507462686567164</v>
      </c>
      <c r="T10" s="49" t="s">
        <v>192</v>
      </c>
      <c r="U10" s="53">
        <v>7695.575221238938</v>
      </c>
      <c r="V10" s="49" t="s">
        <v>216</v>
      </c>
      <c r="W10" s="53">
        <v>-7886.2068965517237</v>
      </c>
      <c r="X10" s="49" t="s">
        <v>139</v>
      </c>
      <c r="Y10" s="51">
        <v>7.662835249042145E-2</v>
      </c>
      <c r="Z10" s="49" t="s">
        <v>190</v>
      </c>
      <c r="AA10" s="52">
        <v>0.22058823529411764</v>
      </c>
      <c r="AB10" s="49" t="s">
        <v>126</v>
      </c>
      <c r="AC10" s="52">
        <v>0.21166666666666667</v>
      </c>
      <c r="AD10" s="49" t="s">
        <v>163</v>
      </c>
      <c r="AE10" s="52">
        <v>0.46987951807228917</v>
      </c>
      <c r="AF10" s="49" t="s">
        <v>190</v>
      </c>
      <c r="AG10" s="52">
        <v>0.39285714285714285</v>
      </c>
      <c r="AH10" s="49" t="s">
        <v>192</v>
      </c>
      <c r="AI10" s="52">
        <v>0.41592920353982299</v>
      </c>
      <c r="AJ10" s="49" t="s">
        <v>189</v>
      </c>
      <c r="AK10" s="56">
        <v>69000</v>
      </c>
    </row>
    <row r="11" spans="1:37" x14ac:dyDescent="0.45">
      <c r="A11" s="46">
        <v>9</v>
      </c>
      <c r="B11" s="49" t="s">
        <v>195</v>
      </c>
      <c r="C11" s="114">
        <v>8</v>
      </c>
      <c r="D11" s="47" t="s">
        <v>193</v>
      </c>
      <c r="E11" s="48">
        <v>-51.699999999999996</v>
      </c>
      <c r="F11" s="49" t="s">
        <v>221</v>
      </c>
      <c r="G11" s="61">
        <v>-6.75</v>
      </c>
      <c r="H11" s="49" t="s">
        <v>189</v>
      </c>
      <c r="I11" s="53">
        <v>1459.5077988287719</v>
      </c>
      <c r="J11" s="49" t="s">
        <v>216</v>
      </c>
      <c r="K11" s="50">
        <v>2.2222222222222223</v>
      </c>
      <c r="L11" s="49" t="s">
        <v>190</v>
      </c>
      <c r="M11" s="51">
        <v>0.23529411764705882</v>
      </c>
      <c r="N11" s="49" t="s">
        <v>195</v>
      </c>
      <c r="O11" s="51">
        <v>0.5</v>
      </c>
      <c r="P11" s="49" t="s">
        <v>190</v>
      </c>
      <c r="Q11" s="52">
        <v>0.22794117647058823</v>
      </c>
      <c r="R11" s="49" t="s">
        <v>126</v>
      </c>
      <c r="S11" s="52">
        <v>0.19</v>
      </c>
      <c r="T11" s="49" t="s">
        <v>190</v>
      </c>
      <c r="U11" s="53">
        <v>7654.8387096774195</v>
      </c>
      <c r="V11" s="49" t="s">
        <v>163</v>
      </c>
      <c r="W11" s="53">
        <v>-8238.7096774193542</v>
      </c>
      <c r="X11" s="49" t="s">
        <v>216</v>
      </c>
      <c r="Y11" s="51">
        <v>0.1111111111111111</v>
      </c>
      <c r="Z11" s="49" t="s">
        <v>192</v>
      </c>
      <c r="AA11" s="52">
        <v>0.20858895705521471</v>
      </c>
      <c r="AB11" s="49" t="s">
        <v>190</v>
      </c>
      <c r="AC11" s="52">
        <v>0.20588235294117646</v>
      </c>
      <c r="AD11" s="49" t="s">
        <v>216</v>
      </c>
      <c r="AE11" s="52">
        <v>0.4375</v>
      </c>
      <c r="AF11" s="49" t="s">
        <v>189</v>
      </c>
      <c r="AG11" s="52">
        <v>0.38095238095238093</v>
      </c>
      <c r="AH11" s="49" t="s">
        <v>211</v>
      </c>
      <c r="AI11" s="52">
        <v>0.4</v>
      </c>
      <c r="AJ11" s="49" t="s">
        <v>195</v>
      </c>
      <c r="AK11" s="56">
        <v>65700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163</v>
      </c>
      <c r="E12" s="48">
        <v>-120.20000000000003</v>
      </c>
      <c r="F12" s="49" t="s">
        <v>216</v>
      </c>
      <c r="G12" s="61">
        <v>-10.016666666666667</v>
      </c>
      <c r="H12" s="49" t="s">
        <v>195</v>
      </c>
      <c r="I12" s="53">
        <v>1392.9145746195986</v>
      </c>
      <c r="J12" s="49" t="s">
        <v>193</v>
      </c>
      <c r="K12" s="50">
        <v>2.25</v>
      </c>
      <c r="L12" s="49" t="s">
        <v>216</v>
      </c>
      <c r="M12" s="51">
        <v>0.22222222222222221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189</v>
      </c>
      <c r="U12" s="53">
        <v>7473.8095238095239</v>
      </c>
      <c r="V12" s="49" t="s">
        <v>193</v>
      </c>
      <c r="W12" s="53">
        <v>-9387.5</v>
      </c>
      <c r="X12" s="49" t="s">
        <v>163</v>
      </c>
      <c r="Y12" s="51">
        <v>0.12820512820512819</v>
      </c>
      <c r="Z12" s="49" t="s">
        <v>211</v>
      </c>
      <c r="AA12" s="52">
        <v>0.20717131474103587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0.34567901234567899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216</v>
      </c>
      <c r="U13" s="53">
        <v>7183.333333333333</v>
      </c>
      <c r="V13" s="49" t="s">
        <v>221</v>
      </c>
      <c r="W13" s="53">
        <v>-10300</v>
      </c>
      <c r="X13" s="49" t="s">
        <v>195</v>
      </c>
      <c r="Y13" s="51">
        <v>0.25</v>
      </c>
      <c r="Z13" s="49" t="s">
        <v>195</v>
      </c>
      <c r="AA13" s="52">
        <v>0.2</v>
      </c>
      <c r="AB13" s="49" t="s">
        <v>195</v>
      </c>
      <c r="AC13" s="52">
        <v>0.13846153846153847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190</v>
      </c>
      <c r="AI13" s="52">
        <v>0.12903225806451613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65DD2-E908-4E36-8FEB-C8124C78CBEE}">
  <sheetPr codeName="Sheet4"/>
  <dimension ref="A1:R263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261</v>
      </c>
      <c r="C2" s="134"/>
      <c r="E2" s="26" t="s">
        <v>66</v>
      </c>
      <c r="F2" s="23" t="s">
        <v>22</v>
      </c>
      <c r="G2" s="11">
        <v>506</v>
      </c>
      <c r="H2" s="87">
        <f>IF(B$20=0,0,G2/B$20)</f>
        <v>0.78086419753086422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-38.314176245210732</v>
      </c>
      <c r="Q2" s="76">
        <v>261</v>
      </c>
      <c r="R2" s="63">
        <v>-10000</v>
      </c>
    </row>
    <row r="3" spans="1:18" x14ac:dyDescent="0.45">
      <c r="A3" s="19" t="s">
        <v>8</v>
      </c>
      <c r="B3" s="135">
        <v>2190</v>
      </c>
      <c r="C3" s="136"/>
      <c r="E3" s="27" t="s">
        <v>72</v>
      </c>
      <c r="F3" s="24" t="s">
        <v>27</v>
      </c>
      <c r="G3" s="12">
        <v>384</v>
      </c>
      <c r="H3" s="88">
        <f>IF(B$20=0,0,G3/B$20)</f>
        <v>0.59259259259259256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39.682539682539684</v>
      </c>
      <c r="Q3" s="77">
        <v>252</v>
      </c>
      <c r="R3" s="64">
        <v>10000</v>
      </c>
    </row>
    <row r="4" spans="1:18" x14ac:dyDescent="0.45">
      <c r="A4" s="19" t="s">
        <v>6</v>
      </c>
      <c r="B4" s="137">
        <v>2.8421709430404007E-14</v>
      </c>
      <c r="C4" s="138"/>
      <c r="E4" s="27" t="s">
        <v>64</v>
      </c>
      <c r="F4" s="24" t="s">
        <v>20</v>
      </c>
      <c r="G4" s="12">
        <v>263</v>
      </c>
      <c r="H4" s="88">
        <f>IF(B$20=0,0,G4/B$20)</f>
        <v>0.40586419753086422</v>
      </c>
      <c r="I4" s="58">
        <v>7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-23.529411764705884</v>
      </c>
      <c r="Q4" s="77">
        <v>255</v>
      </c>
      <c r="R4" s="64">
        <v>-6000</v>
      </c>
    </row>
    <row r="5" spans="1:18" x14ac:dyDescent="0.45">
      <c r="A5" s="19" t="s">
        <v>7</v>
      </c>
      <c r="B5" s="125">
        <f>IF(B$2=0,0,B$4/B$2)</f>
        <v>1.0889543843066669E-16</v>
      </c>
      <c r="C5" s="126"/>
      <c r="E5" s="27" t="s">
        <v>159</v>
      </c>
      <c r="F5" s="24" t="s">
        <v>160</v>
      </c>
      <c r="G5" s="12">
        <v>251</v>
      </c>
      <c r="H5" s="88">
        <f>IF(B$20=0,0,G5/B$20)</f>
        <v>0.38734567901234568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-4.1152263374485596</v>
      </c>
      <c r="Q5" s="77">
        <v>243</v>
      </c>
      <c r="R5" s="64">
        <v>-1000</v>
      </c>
    </row>
    <row r="6" spans="1:18" x14ac:dyDescent="0.45">
      <c r="A6" s="19" t="s">
        <v>196</v>
      </c>
      <c r="B6" s="129">
        <v>1606.608476909299</v>
      </c>
      <c r="C6" s="130"/>
      <c r="E6" s="27" t="s">
        <v>68</v>
      </c>
      <c r="F6" s="24" t="s">
        <v>12</v>
      </c>
      <c r="G6" s="12">
        <v>187</v>
      </c>
      <c r="H6" s="88">
        <f>IF(B$20=0,0,G6/B$20)</f>
        <v>0.28858024691358025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18.018018018018019</v>
      </c>
      <c r="Q6" s="77">
        <v>222</v>
      </c>
      <c r="R6" s="64">
        <v>4000</v>
      </c>
    </row>
    <row r="7" spans="1:18" x14ac:dyDescent="0.45">
      <c r="A7" s="19" t="s">
        <v>1</v>
      </c>
      <c r="B7" s="139">
        <f>IF(B$2=0,0,(B$8*1+B$9*2+B$10*3)/B$2)</f>
        <v>1.9961685823754789</v>
      </c>
      <c r="C7" s="140"/>
      <c r="E7" s="27" t="s">
        <v>67</v>
      </c>
      <c r="F7" s="24" t="s">
        <v>23</v>
      </c>
      <c r="G7" s="12">
        <v>140</v>
      </c>
      <c r="H7" s="88">
        <f>IF(B$20=0,0,G7/B$20)</f>
        <v>0.21604938271604937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16.129032258064516</v>
      </c>
      <c r="Q7" s="78">
        <v>186</v>
      </c>
      <c r="R7" s="65">
        <v>3000</v>
      </c>
    </row>
    <row r="8" spans="1:18" x14ac:dyDescent="0.45">
      <c r="A8" s="19" t="s">
        <v>2</v>
      </c>
      <c r="B8" s="12">
        <v>88</v>
      </c>
      <c r="C8" s="6">
        <f t="shared" ref="C8:C15" si="1">IF(B$2=0,0,B8/B$2)</f>
        <v>0.33716475095785442</v>
      </c>
      <c r="E8" s="27" t="s">
        <v>89</v>
      </c>
      <c r="F8" s="24" t="s">
        <v>44</v>
      </c>
      <c r="G8" s="12">
        <v>96</v>
      </c>
      <c r="H8" s="88">
        <f>IF(B$20=0,0,G8/B$20)</f>
        <v>0.14814814814814814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86</v>
      </c>
      <c r="C9" s="6">
        <f t="shared" si="1"/>
        <v>0.32950191570881227</v>
      </c>
      <c r="E9" s="27" t="s">
        <v>69</v>
      </c>
      <c r="F9" s="24" t="s">
        <v>24</v>
      </c>
      <c r="G9" s="12">
        <v>85</v>
      </c>
      <c r="H9" s="88">
        <f>IF(B$20=0,0,G9/B$20)</f>
        <v>0.13117283950617284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87</v>
      </c>
      <c r="C10" s="7">
        <f t="shared" si="1"/>
        <v>0.33333333333333331</v>
      </c>
      <c r="E10" s="27" t="s">
        <v>70</v>
      </c>
      <c r="F10" s="24" t="s">
        <v>25</v>
      </c>
      <c r="G10" s="12">
        <v>66</v>
      </c>
      <c r="H10" s="88">
        <f>IF(B$20=0,0,G10/B$20)</f>
        <v>0.10185185185185185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2.0103448275862075</v>
      </c>
      <c r="Q10" s="76">
        <v>87</v>
      </c>
      <c r="R10" s="67">
        <v>174.90000000000006</v>
      </c>
    </row>
    <row r="11" spans="1:18" x14ac:dyDescent="0.45">
      <c r="A11" s="20" t="s">
        <v>184</v>
      </c>
      <c r="B11" s="109">
        <f>IF(B8=0,0,C11/B8)</f>
        <v>33.880681818181813</v>
      </c>
      <c r="C11" s="110">
        <v>2981.4999999999995</v>
      </c>
      <c r="E11" s="27" t="s">
        <v>65</v>
      </c>
      <c r="F11" s="24" t="s">
        <v>21</v>
      </c>
      <c r="G11" s="12">
        <v>53</v>
      </c>
      <c r="H11" s="88">
        <f>IF(B$20=0,0,G11/B$20)</f>
        <v>8.1790123456790126E-2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-2.9333333333333327</v>
      </c>
      <c r="Q11" s="77">
        <v>87</v>
      </c>
      <c r="R11" s="68">
        <v>-255.19999999999996</v>
      </c>
    </row>
    <row r="12" spans="1:18" x14ac:dyDescent="0.45">
      <c r="A12" s="20" t="s">
        <v>185</v>
      </c>
      <c r="B12" s="109">
        <f>IF(B9=0,0,C12/B9)</f>
        <v>-0.89186046511627881</v>
      </c>
      <c r="C12" s="110">
        <v>-76.699999999999974</v>
      </c>
      <c r="E12" s="27" t="s">
        <v>71</v>
      </c>
      <c r="F12" s="24" t="s">
        <v>26</v>
      </c>
      <c r="G12" s="12">
        <v>38</v>
      </c>
      <c r="H12" s="88">
        <f>IF(B$20=0,0,G12/B$20)</f>
        <v>5.8641975308641972E-2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0.9229885057471261</v>
      </c>
      <c r="Q12" s="78">
        <v>87</v>
      </c>
      <c r="R12" s="69">
        <v>80.299999999999969</v>
      </c>
    </row>
    <row r="13" spans="1:18" x14ac:dyDescent="0.45">
      <c r="A13" s="20" t="s">
        <v>186</v>
      </c>
      <c r="B13" s="109">
        <f>IF(B10=0,0,C13/B10)</f>
        <v>-33.388505747126437</v>
      </c>
      <c r="C13" s="110">
        <v>-2904.8</v>
      </c>
      <c r="E13" s="27" t="s">
        <v>86</v>
      </c>
      <c r="F13" s="24" t="s">
        <v>41</v>
      </c>
      <c r="G13" s="12">
        <v>35</v>
      </c>
      <c r="H13" s="88">
        <f>IF(B$20=0,0,G13/B$20)</f>
        <v>5.4012345679012343E-2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-0.13322813135363512</v>
      </c>
      <c r="C14" s="126"/>
      <c r="E14" s="27" t="s">
        <v>83</v>
      </c>
      <c r="F14" s="24" t="s">
        <v>38</v>
      </c>
      <c r="G14" s="12">
        <v>27</v>
      </c>
      <c r="H14" s="88">
        <f>IF(B$20=0,0,G14/B$20)</f>
        <v>4.1666666666666664E-2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20</v>
      </c>
      <c r="C15" s="9">
        <f t="shared" si="1"/>
        <v>7.662835249042145E-2</v>
      </c>
      <c r="E15" s="27" t="s">
        <v>81</v>
      </c>
      <c r="F15" s="24" t="s">
        <v>36</v>
      </c>
      <c r="G15" s="12">
        <v>23</v>
      </c>
      <c r="H15" s="88">
        <f>IF(B$20=0,0,G15/B$20)</f>
        <v>3.5493827160493825E-2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5">
      <c r="A16" s="22" t="s">
        <v>121</v>
      </c>
      <c r="B16" s="15">
        <v>521</v>
      </c>
      <c r="C16" s="10">
        <f>IF(B$3=0,0,B16/B$3)</f>
        <v>0.23789954337899544</v>
      </c>
      <c r="E16" s="27" t="s">
        <v>78</v>
      </c>
      <c r="F16" s="24" t="s">
        <v>33</v>
      </c>
      <c r="G16" s="12">
        <v>16</v>
      </c>
      <c r="H16" s="88">
        <f>IF(B$20=0,0,G16/B$20)</f>
        <v>2.4691358024691357E-2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5">
      <c r="A17" s="19" t="s">
        <v>118</v>
      </c>
      <c r="B17" s="12">
        <v>510</v>
      </c>
      <c r="C17" s="6">
        <f>IF(B$3=0,0,B17/B$3)</f>
        <v>0.23287671232876711</v>
      </c>
      <c r="E17" s="27" t="s">
        <v>155</v>
      </c>
      <c r="F17" s="24" t="s">
        <v>156</v>
      </c>
      <c r="G17" s="12">
        <v>14</v>
      </c>
      <c r="H17" s="88">
        <f>IF(B$20=0,0,G17/B$20)</f>
        <v>2.1604938271604937E-2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5">
      <c r="A18" s="18" t="s">
        <v>123</v>
      </c>
      <c r="B18" s="11">
        <f>B24</f>
        <v>272</v>
      </c>
      <c r="C18" s="5">
        <f>IF(B$16=0,0,B18/B$16)</f>
        <v>0.52207293666026866</v>
      </c>
      <c r="E18" s="27" t="s">
        <v>91</v>
      </c>
      <c r="F18" s="24" t="s">
        <v>46</v>
      </c>
      <c r="G18" s="12">
        <v>12</v>
      </c>
      <c r="H18" s="88">
        <f>IF(B$20=0,0,G18/B$20)</f>
        <v>1.8518518518518517E-2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8.568750000000005</v>
      </c>
      <c r="Q18" s="77">
        <v>16</v>
      </c>
      <c r="R18" s="68">
        <v>137.10000000000008</v>
      </c>
    </row>
    <row r="19" spans="1:18" x14ac:dyDescent="0.45">
      <c r="A19" s="18" t="s">
        <v>124</v>
      </c>
      <c r="B19" s="11">
        <f>B25</f>
        <v>216</v>
      </c>
      <c r="C19" s="5">
        <f>IF(B$17=0,0,B19/B$17)</f>
        <v>0.42352941176470588</v>
      </c>
      <c r="E19" s="27" t="s">
        <v>79</v>
      </c>
      <c r="F19" s="24" t="s">
        <v>34</v>
      </c>
      <c r="G19" s="12">
        <v>10</v>
      </c>
      <c r="H19" s="88">
        <f>IF(B$20=0,0,G19/B$20)</f>
        <v>1.5432098765432098E-2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163</v>
      </c>
      <c r="P19" s="83">
        <f>IF(Q19=0,0,R19/Q19)</f>
        <v>4.6230769230769244</v>
      </c>
      <c r="Q19" s="77">
        <v>78</v>
      </c>
      <c r="R19" s="68">
        <v>360.60000000000014</v>
      </c>
    </row>
    <row r="20" spans="1:18" x14ac:dyDescent="0.45">
      <c r="A20" s="18" t="s">
        <v>10</v>
      </c>
      <c r="B20" s="11">
        <f>B23+B22</f>
        <v>648</v>
      </c>
      <c r="C20" s="5">
        <f>IF(B$3=0,0,B20/B$3)</f>
        <v>0.29589041095890412</v>
      </c>
      <c r="E20" s="27" t="s">
        <v>73</v>
      </c>
      <c r="F20" s="24" t="s">
        <v>28</v>
      </c>
      <c r="G20" s="12">
        <v>6</v>
      </c>
      <c r="H20" s="88">
        <f>IF(B$20=0,0,G20/B$20)</f>
        <v>9.2592592592592587E-3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190</v>
      </c>
      <c r="P20" s="83">
        <f>IF(Q20=0,0,R20/Q20)</f>
        <v>4.2176470588235286</v>
      </c>
      <c r="Q20" s="77">
        <v>34</v>
      </c>
      <c r="R20" s="68">
        <v>143.39999999999998</v>
      </c>
    </row>
    <row r="21" spans="1:18" x14ac:dyDescent="0.45">
      <c r="A21" s="19" t="s">
        <v>13</v>
      </c>
      <c r="B21" s="12">
        <v>365</v>
      </c>
      <c r="C21" s="6">
        <f>IF(B$3=0,0,B21/B$3)</f>
        <v>0.16666666666666666</v>
      </c>
      <c r="E21" s="27" t="s">
        <v>85</v>
      </c>
      <c r="F21" s="24" t="s">
        <v>40</v>
      </c>
      <c r="G21" s="12">
        <v>3</v>
      </c>
      <c r="H21" s="88">
        <f>IF(B$20=0,0,G21/B$20)</f>
        <v>4.6296296296296294E-3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0.43593750000000103</v>
      </c>
      <c r="Q21" s="77">
        <v>64</v>
      </c>
      <c r="R21" s="68">
        <v>27.900000000000066</v>
      </c>
    </row>
    <row r="22" spans="1:18" x14ac:dyDescent="0.45">
      <c r="A22" s="19" t="s">
        <v>12</v>
      </c>
      <c r="B22" s="12">
        <v>279</v>
      </c>
      <c r="C22" s="6">
        <f>IF(B$20=0,0,B22/B$20)</f>
        <v>0.43055555555555558</v>
      </c>
      <c r="E22" s="27" t="s">
        <v>88</v>
      </c>
      <c r="F22" s="24" t="s">
        <v>43</v>
      </c>
      <c r="G22" s="12">
        <v>3</v>
      </c>
      <c r="H22" s="88">
        <f>IF(B$20=0,0,G22/B$20)</f>
        <v>4.6296296296296294E-3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-0.38958333333333045</v>
      </c>
      <c r="Q22" s="77">
        <v>144</v>
      </c>
      <c r="R22" s="68">
        <v>-56.099999999999582</v>
      </c>
    </row>
    <row r="23" spans="1:18" x14ac:dyDescent="0.45">
      <c r="A23" s="19" t="s">
        <v>11</v>
      </c>
      <c r="B23" s="12">
        <v>369</v>
      </c>
      <c r="C23" s="6">
        <f>IF(B$20=0,0,B23/B$20)</f>
        <v>0.56944444444444442</v>
      </c>
      <c r="E23" s="27" t="s">
        <v>75</v>
      </c>
      <c r="F23" s="24" t="s">
        <v>30</v>
      </c>
      <c r="G23" s="12">
        <v>2</v>
      </c>
      <c r="H23" s="88">
        <f>IF(B$20=0,0,G23/B$20)</f>
        <v>3.0864197530864196E-3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-5.7967741935483881</v>
      </c>
      <c r="Q23" s="77">
        <v>62</v>
      </c>
      <c r="R23" s="68">
        <v>-359.40000000000003</v>
      </c>
    </row>
    <row r="24" spans="1:18" x14ac:dyDescent="0.45">
      <c r="A24" s="19" t="s">
        <v>183</v>
      </c>
      <c r="B24" s="12">
        <v>272</v>
      </c>
      <c r="C24" s="6">
        <f>IF(B$20=0,0,B24/B$20)</f>
        <v>0.41975308641975306</v>
      </c>
      <c r="E24" s="27" t="s">
        <v>77</v>
      </c>
      <c r="F24" s="24" t="s">
        <v>32</v>
      </c>
      <c r="G24" s="12">
        <v>2</v>
      </c>
      <c r="H24" s="88">
        <f>IF(B$20=0,0,G24/B$20)</f>
        <v>3.0864197530864196E-3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-13.026315789473689</v>
      </c>
      <c r="Q24" s="77">
        <v>76</v>
      </c>
      <c r="R24" s="68">
        <v>-990.00000000000034</v>
      </c>
    </row>
    <row r="25" spans="1:18" x14ac:dyDescent="0.45">
      <c r="A25" s="19" t="s">
        <v>181</v>
      </c>
      <c r="B25" s="12">
        <v>216</v>
      </c>
      <c r="C25" s="6">
        <f>IF(B$20=0,0,B25/B$20)</f>
        <v>0.33333333333333331</v>
      </c>
      <c r="E25" s="27" t="s">
        <v>92</v>
      </c>
      <c r="F25" s="24" t="s">
        <v>47</v>
      </c>
      <c r="G25" s="12">
        <v>2</v>
      </c>
      <c r="H25" s="88">
        <f>IF(B$20=0,0,G25/B$20)</f>
        <v>3.0864197530864196E-3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160</v>
      </c>
      <c r="C26" s="6">
        <f>IF(B$20=0,0,B26/B$20)</f>
        <v>0.24691358024691357</v>
      </c>
      <c r="E26" s="27" t="s">
        <v>80</v>
      </c>
      <c r="F26" s="24" t="s">
        <v>35</v>
      </c>
      <c r="G26" s="12">
        <v>1</v>
      </c>
      <c r="H26" s="88">
        <f>IF(B$20=0,0,G26/B$20)</f>
        <v>1.5432098765432098E-3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7999.2283950617284</v>
      </c>
      <c r="C27" s="8">
        <v>5183500</v>
      </c>
      <c r="E27" s="27" t="s">
        <v>90</v>
      </c>
      <c r="F27" s="24" t="s">
        <v>45</v>
      </c>
      <c r="G27" s="12">
        <v>1</v>
      </c>
      <c r="H27" s="88">
        <f>IF(B$20=0,0,G27/B$20)</f>
        <v>1.5432098765432098E-3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8619.9074074074069</v>
      </c>
      <c r="C28" s="96">
        <v>3723800</v>
      </c>
      <c r="E28" s="27" t="s">
        <v>93</v>
      </c>
      <c r="F28" s="24" t="s">
        <v>48</v>
      </c>
      <c r="G28" s="12">
        <v>1</v>
      </c>
      <c r="H28" s="88">
        <f>IF(B$20=0,0,G28/B$20)</f>
        <v>1.5432098765432098E-3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6757.8703703703704</v>
      </c>
      <c r="C29" s="96">
        <v>1459700</v>
      </c>
      <c r="E29" s="27" t="s">
        <v>102</v>
      </c>
      <c r="F29" s="24" t="s">
        <v>57</v>
      </c>
      <c r="G29" s="12">
        <v>1</v>
      </c>
      <c r="H29" s="88">
        <f>IF(B$20=0,0,G29/B$20)</f>
        <v>1.5432098765432098E-3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-7392.8767123287671</v>
      </c>
      <c r="C30" s="96">
        <v>-2698400</v>
      </c>
      <c r="E30" s="27" t="s">
        <v>74</v>
      </c>
      <c r="F30" s="24" t="s">
        <v>29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76</v>
      </c>
      <c r="F31" s="24" t="s">
        <v>31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31</v>
      </c>
      <c r="C32" s="90">
        <v>1</v>
      </c>
      <c r="E32" s="27" t="s">
        <v>82</v>
      </c>
      <c r="F32" s="24" t="s">
        <v>37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84</v>
      </c>
      <c r="F33" s="24" t="s">
        <v>39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87</v>
      </c>
      <c r="F34" s="24" t="s">
        <v>42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7</v>
      </c>
      <c r="C35" s="9">
        <f>IF(B$3=0,0,B35/B$3)</f>
        <v>3.1963470319634705E-3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56</v>
      </c>
      <c r="C37" s="98">
        <f t="shared" ref="C37:C49" si="2">IF(B$20=0,0,B37/B$20)</f>
        <v>8.6419753086419748E-2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123</v>
      </c>
      <c r="C38" s="6">
        <f t="shared" si="2"/>
        <v>0.18981481481481483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125</v>
      </c>
      <c r="C39" s="6">
        <f t="shared" si="2"/>
        <v>0.19290123456790123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117</v>
      </c>
      <c r="C40" s="6">
        <f t="shared" si="2"/>
        <v>0.18055555555555555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91</v>
      </c>
      <c r="C41" s="6">
        <f t="shared" si="2"/>
        <v>0.14043209876543211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59</v>
      </c>
      <c r="C42" s="6">
        <f t="shared" si="2"/>
        <v>9.1049382716049385E-2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33</v>
      </c>
      <c r="C43" s="6">
        <f t="shared" si="2"/>
        <v>5.0925925925925923E-2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18</v>
      </c>
      <c r="C44" s="6">
        <f t="shared" si="2"/>
        <v>2.7777777777777776E-2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13</v>
      </c>
      <c r="C45" s="6">
        <f t="shared" si="2"/>
        <v>2.0061728395061727E-2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7</v>
      </c>
      <c r="C46" s="6">
        <f t="shared" si="2"/>
        <v>1.0802469135802469E-2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3.0864197530864196E-3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4</v>
      </c>
      <c r="C49" s="9">
        <f t="shared" si="2"/>
        <v>6.1728395061728392E-3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  <row r="168" spans="11:13" x14ac:dyDescent="0.45">
      <c r="K168" s="74">
        <v>166</v>
      </c>
      <c r="L168" s="119">
        <v>47.000000000000021</v>
      </c>
      <c r="M168" s="117">
        <v>1606.2922717766637</v>
      </c>
    </row>
    <row r="169" spans="11:13" x14ac:dyDescent="0.45">
      <c r="K169" s="74">
        <v>167</v>
      </c>
      <c r="L169" s="119">
        <v>-1.9999999999999787</v>
      </c>
      <c r="M169" s="117">
        <v>1597.4525181460037</v>
      </c>
    </row>
    <row r="170" spans="11:13" x14ac:dyDescent="0.45">
      <c r="K170" s="74">
        <v>168</v>
      </c>
      <c r="L170" s="119">
        <v>2.1316282072803006E-14</v>
      </c>
      <c r="M170" s="117">
        <v>1597.8458030371278</v>
      </c>
    </row>
    <row r="171" spans="11:13" x14ac:dyDescent="0.45">
      <c r="K171" s="74">
        <v>169</v>
      </c>
      <c r="L171" s="119">
        <v>-3.5999999999999788</v>
      </c>
      <c r="M171" s="117">
        <v>1597.234728218905</v>
      </c>
    </row>
    <row r="172" spans="11:13" x14ac:dyDescent="0.45">
      <c r="K172" s="74">
        <v>170</v>
      </c>
      <c r="L172" s="119">
        <v>-33.999999999999979</v>
      </c>
      <c r="M172" s="117">
        <v>1591.8033198495916</v>
      </c>
    </row>
    <row r="173" spans="11:13" x14ac:dyDescent="0.45">
      <c r="K173" s="74">
        <v>171</v>
      </c>
      <c r="L173" s="119">
        <v>2.1316282072803006E-14</v>
      </c>
      <c r="M173" s="117">
        <v>1597.9964999304941</v>
      </c>
    </row>
    <row r="174" spans="11:13" x14ac:dyDescent="0.45">
      <c r="K174" s="74">
        <v>172</v>
      </c>
      <c r="L174" s="119">
        <v>2.1316282072803006E-14</v>
      </c>
      <c r="M174" s="117">
        <v>1598.2005209309111</v>
      </c>
    </row>
    <row r="175" spans="11:13" x14ac:dyDescent="0.45">
      <c r="K175" s="74">
        <v>173</v>
      </c>
      <c r="L175" s="119">
        <v>27.300000000000022</v>
      </c>
      <c r="M175" s="117">
        <v>1603.3173178053257</v>
      </c>
    </row>
    <row r="176" spans="11:13" x14ac:dyDescent="0.45">
      <c r="K176" s="74">
        <v>174</v>
      </c>
      <c r="L176" s="119">
        <v>2.1316282072803006E-14</v>
      </c>
      <c r="M176" s="117">
        <v>1598.5754138984937</v>
      </c>
    </row>
    <row r="177" spans="11:13" x14ac:dyDescent="0.45">
      <c r="K177" s="74">
        <v>175</v>
      </c>
      <c r="L177" s="119">
        <v>-52.399999999999977</v>
      </c>
      <c r="M177" s="117">
        <v>1589.3439614151027</v>
      </c>
    </row>
    <row r="178" spans="11:13" x14ac:dyDescent="0.45">
      <c r="K178" s="74">
        <v>176</v>
      </c>
      <c r="L178" s="119">
        <v>-13.299999999999976</v>
      </c>
      <c r="M178" s="117">
        <v>1596.6378976466121</v>
      </c>
    </row>
    <row r="179" spans="11:13" x14ac:dyDescent="0.45">
      <c r="K179" s="74">
        <v>177</v>
      </c>
      <c r="L179" s="119">
        <v>2.4868995751603507E-14</v>
      </c>
      <c r="M179" s="117">
        <v>1599.2440702607325</v>
      </c>
    </row>
    <row r="180" spans="11:13" x14ac:dyDescent="0.45">
      <c r="K180" s="74">
        <v>178</v>
      </c>
      <c r="L180" s="119">
        <v>50.800000000000026</v>
      </c>
      <c r="M180" s="117">
        <v>1608.4646058391681</v>
      </c>
    </row>
    <row r="181" spans="11:13" x14ac:dyDescent="0.45">
      <c r="K181" s="74">
        <v>179</v>
      </c>
      <c r="L181" s="119">
        <v>66.40000000000002</v>
      </c>
      <c r="M181" s="117">
        <v>1611.2938182041332</v>
      </c>
    </row>
    <row r="182" spans="11:13" x14ac:dyDescent="0.45">
      <c r="K182" s="74">
        <v>180</v>
      </c>
      <c r="L182" s="119">
        <v>1.4210854715202004E-14</v>
      </c>
      <c r="M182" s="117">
        <v>1599.3460552949084</v>
      </c>
    </row>
    <row r="183" spans="11:13" x14ac:dyDescent="0.45">
      <c r="K183" s="74">
        <v>181</v>
      </c>
      <c r="L183" s="119">
        <v>44.600000000000016</v>
      </c>
      <c r="M183" s="117">
        <v>1607.4499789631391</v>
      </c>
    </row>
    <row r="184" spans="11:13" x14ac:dyDescent="0.45">
      <c r="K184" s="74">
        <v>182</v>
      </c>
      <c r="L184" s="119">
        <v>-2.8999999999999844</v>
      </c>
      <c r="M184" s="117">
        <v>1598.9272790893601</v>
      </c>
    </row>
    <row r="185" spans="11:13" x14ac:dyDescent="0.45">
      <c r="K185" s="74">
        <v>183</v>
      </c>
      <c r="L185" s="119">
        <v>1.5543122344752192E-14</v>
      </c>
      <c r="M185" s="117">
        <v>1599.5277154148239</v>
      </c>
    </row>
    <row r="186" spans="11:13" x14ac:dyDescent="0.45">
      <c r="K186" s="74">
        <v>184</v>
      </c>
      <c r="L186" s="119">
        <v>-24.899999999999984</v>
      </c>
      <c r="M186" s="117">
        <v>1595.120549122335</v>
      </c>
    </row>
    <row r="187" spans="11:13" x14ac:dyDescent="0.45">
      <c r="K187" s="74">
        <v>185</v>
      </c>
      <c r="L187" s="119">
        <v>-28.199999999999985</v>
      </c>
      <c r="M187" s="117">
        <v>1594.6278258276009</v>
      </c>
    </row>
    <row r="188" spans="11:13" x14ac:dyDescent="0.45">
      <c r="K188" s="74">
        <v>186</v>
      </c>
      <c r="L188" s="119">
        <v>1.4210854715202004E-14</v>
      </c>
      <c r="M188" s="117">
        <v>1599.8080588726352</v>
      </c>
    </row>
    <row r="189" spans="11:13" x14ac:dyDescent="0.45">
      <c r="K189" s="74">
        <v>187</v>
      </c>
      <c r="L189" s="119">
        <v>-12.799999999999986</v>
      </c>
      <c r="M189" s="117">
        <v>1597.6672105193993</v>
      </c>
    </row>
    <row r="190" spans="11:13" x14ac:dyDescent="0.45">
      <c r="K190" s="74">
        <v>188</v>
      </c>
      <c r="L190" s="119">
        <v>29.400000000000016</v>
      </c>
      <c r="M190" s="117">
        <v>1605.439207256283</v>
      </c>
    </row>
    <row r="191" spans="11:13" x14ac:dyDescent="0.45">
      <c r="K191" s="74">
        <v>189</v>
      </c>
      <c r="L191" s="119">
        <v>1.7763568394002505E-14</v>
      </c>
      <c r="M191" s="117">
        <v>1600.2765720127452</v>
      </c>
    </row>
    <row r="192" spans="11:13" x14ac:dyDescent="0.45">
      <c r="K192" s="74">
        <v>190</v>
      </c>
      <c r="L192" s="119">
        <v>43.90000000000002</v>
      </c>
      <c r="M192" s="117">
        <v>1608.3389125806686</v>
      </c>
    </row>
    <row r="193" spans="11:13" x14ac:dyDescent="0.45">
      <c r="K193" s="74">
        <v>191</v>
      </c>
      <c r="L193" s="119">
        <v>-1.8999999999999773</v>
      </c>
      <c r="M193" s="117">
        <v>1600.2068791051847</v>
      </c>
    </row>
    <row r="194" spans="11:13" x14ac:dyDescent="0.45">
      <c r="K194" s="74">
        <v>192</v>
      </c>
      <c r="L194" s="119">
        <v>2.2648549702353193E-14</v>
      </c>
      <c r="M194" s="117">
        <v>1600.7096378305537</v>
      </c>
    </row>
    <row r="195" spans="11:13" x14ac:dyDescent="0.45">
      <c r="K195" s="74">
        <v>193</v>
      </c>
      <c r="L195" s="119">
        <v>4.1000000000000227</v>
      </c>
      <c r="M195" s="117">
        <v>1601.6053800035704</v>
      </c>
    </row>
    <row r="196" spans="11:13" x14ac:dyDescent="0.45">
      <c r="K196" s="74">
        <v>194</v>
      </c>
      <c r="L196" s="119">
        <v>-30.999999999999979</v>
      </c>
      <c r="M196" s="117">
        <v>1595.4397477235491</v>
      </c>
    </row>
    <row r="197" spans="11:13" x14ac:dyDescent="0.45">
      <c r="K197" s="74">
        <v>195</v>
      </c>
      <c r="L197" s="119">
        <v>2.1316282072803006E-14</v>
      </c>
      <c r="M197" s="117">
        <v>1601.2091092372077</v>
      </c>
    </row>
    <row r="198" spans="11:13" x14ac:dyDescent="0.45">
      <c r="K198" s="74">
        <v>196</v>
      </c>
      <c r="L198" s="119">
        <v>-18.399999999999977</v>
      </c>
      <c r="M198" s="117">
        <v>1597.5598545817845</v>
      </c>
    </row>
    <row r="199" spans="11:13" x14ac:dyDescent="0.45">
      <c r="K199" s="74">
        <v>197</v>
      </c>
      <c r="L199" s="119">
        <v>-20.199999999999978</v>
      </c>
      <c r="M199" s="117">
        <v>1596.9204954542938</v>
      </c>
    </row>
    <row r="200" spans="11:13" x14ac:dyDescent="0.45">
      <c r="K200" s="74">
        <v>198</v>
      </c>
      <c r="L200" s="119">
        <v>2.1316282072803006E-14</v>
      </c>
      <c r="M200" s="117">
        <v>1600.2449724815681</v>
      </c>
    </row>
    <row r="201" spans="11:13" x14ac:dyDescent="0.45">
      <c r="K201" s="74">
        <v>199</v>
      </c>
      <c r="L201" s="119">
        <v>-2.3999999999999786</v>
      </c>
      <c r="M201" s="117">
        <v>1599.4815026466786</v>
      </c>
    </row>
    <row r="202" spans="11:13" x14ac:dyDescent="0.45">
      <c r="K202" s="74">
        <v>200</v>
      </c>
      <c r="L202" s="119">
        <v>-32.699999999999982</v>
      </c>
      <c r="M202" s="117">
        <v>1593.7006136307984</v>
      </c>
    </row>
    <row r="203" spans="11:13" x14ac:dyDescent="0.45">
      <c r="K203" s="74">
        <v>201</v>
      </c>
      <c r="L203" s="119">
        <v>2.1316282072803006E-14</v>
      </c>
      <c r="M203" s="117">
        <v>1599.2944099490137</v>
      </c>
    </row>
    <row r="204" spans="11:13" x14ac:dyDescent="0.45">
      <c r="K204" s="74">
        <v>202</v>
      </c>
      <c r="L204" s="119">
        <v>-21.699999999999978</v>
      </c>
      <c r="M204" s="117">
        <v>1595.4466434893195</v>
      </c>
    </row>
    <row r="205" spans="11:13" x14ac:dyDescent="0.45">
      <c r="K205" s="74">
        <v>203</v>
      </c>
      <c r="L205" s="119">
        <v>8.4000000000000234</v>
      </c>
      <c r="M205" s="117">
        <v>1600.9459636283837</v>
      </c>
    </row>
    <row r="206" spans="11:13" x14ac:dyDescent="0.45">
      <c r="K206" s="74">
        <v>204</v>
      </c>
      <c r="L206" s="119">
        <v>2.3092638912203256E-14</v>
      </c>
      <c r="M206" s="117">
        <v>1599.4822878466134</v>
      </c>
    </row>
    <row r="207" spans="11:13" x14ac:dyDescent="0.45">
      <c r="K207" s="74">
        <v>205</v>
      </c>
      <c r="L207" s="119">
        <v>44.000000000000021</v>
      </c>
      <c r="M207" s="117">
        <v>1607.4593941195337</v>
      </c>
    </row>
    <row r="208" spans="11:13" x14ac:dyDescent="0.45">
      <c r="K208" s="74">
        <v>206</v>
      </c>
      <c r="L208" s="119">
        <v>3.3000000000000185</v>
      </c>
      <c r="M208" s="117">
        <v>1600.1426377548166</v>
      </c>
    </row>
    <row r="209" spans="11:13" x14ac:dyDescent="0.45">
      <c r="K209" s="74">
        <v>207</v>
      </c>
      <c r="L209" s="119">
        <v>1.865174681370263E-14</v>
      </c>
      <c r="M209" s="117">
        <v>1599.6017819282877</v>
      </c>
    </row>
    <row r="210" spans="11:13" x14ac:dyDescent="0.45">
      <c r="K210" s="74">
        <v>208</v>
      </c>
      <c r="L210" s="119">
        <v>-6.1999999999999815</v>
      </c>
      <c r="M210" s="117">
        <v>1598.458171236718</v>
      </c>
    </row>
    <row r="211" spans="11:13" x14ac:dyDescent="0.45">
      <c r="K211" s="74">
        <v>209</v>
      </c>
      <c r="L211" s="119">
        <v>-31.899999999999981</v>
      </c>
      <c r="M211" s="117">
        <v>1593.8114222092977</v>
      </c>
    </row>
    <row r="212" spans="11:13" x14ac:dyDescent="0.45">
      <c r="K212" s="74">
        <v>210</v>
      </c>
      <c r="L212" s="119">
        <v>1.7763568394002505E-14</v>
      </c>
      <c r="M212" s="117">
        <v>1599.560553676042</v>
      </c>
    </row>
    <row r="213" spans="11:13" x14ac:dyDescent="0.45">
      <c r="K213" s="74">
        <v>211</v>
      </c>
      <c r="L213" s="119">
        <v>-0.89999999999998226</v>
      </c>
      <c r="M213" s="117">
        <v>1599.3711903539856</v>
      </c>
    </row>
    <row r="214" spans="11:13" x14ac:dyDescent="0.45">
      <c r="K214" s="74">
        <v>212</v>
      </c>
      <c r="L214" s="119">
        <v>39.800000000000018</v>
      </c>
      <c r="M214" s="117">
        <v>1606.6709632118618</v>
      </c>
    </row>
    <row r="215" spans="11:13" x14ac:dyDescent="0.45">
      <c r="K215" s="74">
        <v>213</v>
      </c>
      <c r="L215" s="119">
        <v>2.1316282072803006E-14</v>
      </c>
      <c r="M215" s="117">
        <v>1599.4369374325906</v>
      </c>
    </row>
    <row r="216" spans="11:13" x14ac:dyDescent="0.45">
      <c r="K216" s="74">
        <v>214</v>
      </c>
      <c r="L216" s="119">
        <v>-53.899999999999977</v>
      </c>
      <c r="M216" s="117">
        <v>1589.4923158079951</v>
      </c>
    </row>
    <row r="217" spans="11:13" x14ac:dyDescent="0.45">
      <c r="K217" s="74">
        <v>215</v>
      </c>
      <c r="L217" s="119">
        <v>-1.6999999999999744</v>
      </c>
      <c r="M217" s="117">
        <v>1598.705361913147</v>
      </c>
    </row>
    <row r="218" spans="11:13" x14ac:dyDescent="0.45">
      <c r="K218" s="74">
        <v>216</v>
      </c>
      <c r="L218" s="119">
        <v>2.55351295663786E-14</v>
      </c>
      <c r="M218" s="117">
        <v>1598.7731297416681</v>
      </c>
    </row>
    <row r="219" spans="11:13" x14ac:dyDescent="0.45">
      <c r="K219" s="74">
        <v>217</v>
      </c>
      <c r="L219" s="119">
        <v>-18.399999999999974</v>
      </c>
      <c r="M219" s="117">
        <v>1595.450490963218</v>
      </c>
    </row>
    <row r="220" spans="11:13" x14ac:dyDescent="0.45">
      <c r="K220" s="74">
        <v>218</v>
      </c>
      <c r="L220" s="119">
        <v>-16.799999999999972</v>
      </c>
      <c r="M220" s="117">
        <v>1595.7477880174388</v>
      </c>
    </row>
    <row r="221" spans="11:13" x14ac:dyDescent="0.45">
      <c r="K221" s="74">
        <v>219</v>
      </c>
      <c r="L221" s="119">
        <v>2.8421709430404007E-14</v>
      </c>
      <c r="M221" s="117">
        <v>1598.7793012893342</v>
      </c>
    </row>
    <row r="222" spans="11:13" x14ac:dyDescent="0.45">
      <c r="K222" s="74">
        <v>220</v>
      </c>
      <c r="L222" s="119">
        <v>36.200000000000031</v>
      </c>
      <c r="M222" s="117">
        <v>1605.5306254815982</v>
      </c>
    </row>
    <row r="223" spans="11:13" x14ac:dyDescent="0.45">
      <c r="K223" s="74">
        <v>221</v>
      </c>
      <c r="L223" s="119">
        <v>34.800000000000033</v>
      </c>
      <c r="M223" s="117">
        <v>1605.4734417287086</v>
      </c>
    </row>
    <row r="224" spans="11:13" x14ac:dyDescent="0.45">
      <c r="K224" s="74">
        <v>222</v>
      </c>
      <c r="L224" s="119">
        <v>3.5527136788005009E-14</v>
      </c>
      <c r="M224" s="117">
        <v>1599.4046010783363</v>
      </c>
    </row>
    <row r="225" spans="11:13" x14ac:dyDescent="0.45">
      <c r="K225" s="74">
        <v>223</v>
      </c>
      <c r="L225" s="119">
        <v>-24.499999999999964</v>
      </c>
      <c r="M225" s="117">
        <v>1595.0341734718663</v>
      </c>
    </row>
    <row r="226" spans="11:13" x14ac:dyDescent="0.45">
      <c r="K226" s="74">
        <v>224</v>
      </c>
      <c r="L226" s="119">
        <v>-0.59999999999996589</v>
      </c>
      <c r="M226" s="117">
        <v>1599.4019684310351</v>
      </c>
    </row>
    <row r="227" spans="11:13" x14ac:dyDescent="0.45">
      <c r="K227" s="74">
        <v>225</v>
      </c>
      <c r="L227" s="119">
        <v>3.4083846855992306E-14</v>
      </c>
      <c r="M227" s="117">
        <v>1599.5495566204488</v>
      </c>
    </row>
    <row r="228" spans="11:13" x14ac:dyDescent="0.45">
      <c r="K228" s="74">
        <v>226</v>
      </c>
      <c r="L228" s="119">
        <v>35.500000000000036</v>
      </c>
      <c r="M228" s="117">
        <v>1605.9782592807262</v>
      </c>
    </row>
    <row r="229" spans="11:13" x14ac:dyDescent="0.45">
      <c r="K229" s="74">
        <v>227</v>
      </c>
      <c r="L229" s="119">
        <v>10.000000000000036</v>
      </c>
      <c r="M229" s="117">
        <v>1601.3883897250419</v>
      </c>
    </row>
    <row r="230" spans="11:13" x14ac:dyDescent="0.45">
      <c r="K230" s="74">
        <v>228</v>
      </c>
      <c r="L230" s="119">
        <v>3.5527136788005009E-14</v>
      </c>
      <c r="M230" s="117">
        <v>1599.6160593866916</v>
      </c>
    </row>
    <row r="231" spans="11:13" x14ac:dyDescent="0.45">
      <c r="K231" s="74">
        <v>229</v>
      </c>
      <c r="L231" s="119">
        <v>14.300000000000036</v>
      </c>
      <c r="M231" s="117">
        <v>1602.4323630303716</v>
      </c>
    </row>
    <row r="232" spans="11:13" x14ac:dyDescent="0.45">
      <c r="K232" s="74">
        <v>230</v>
      </c>
      <c r="L232" s="119">
        <v>-3.3999999999999631</v>
      </c>
      <c r="M232" s="117">
        <v>1599.4717688521894</v>
      </c>
    </row>
    <row r="233" spans="11:13" x14ac:dyDescent="0.45">
      <c r="K233" s="74">
        <v>231</v>
      </c>
      <c r="L233" s="119">
        <v>3.6859404417555197E-14</v>
      </c>
      <c r="M233" s="117">
        <v>1600.3269382390763</v>
      </c>
    </row>
    <row r="234" spans="11:13" x14ac:dyDescent="0.45">
      <c r="K234" s="74">
        <v>232</v>
      </c>
      <c r="L234" s="119">
        <v>-22.699999999999964</v>
      </c>
      <c r="M234" s="117">
        <v>1596.4789766096419</v>
      </c>
    </row>
    <row r="235" spans="11:13" x14ac:dyDescent="0.45">
      <c r="K235" s="74">
        <v>233</v>
      </c>
      <c r="L235" s="119">
        <v>12.300000000000036</v>
      </c>
      <c r="M235" s="117">
        <v>1603.040102749984</v>
      </c>
    </row>
    <row r="236" spans="11:13" x14ac:dyDescent="0.45">
      <c r="K236" s="74">
        <v>234</v>
      </c>
      <c r="L236" s="119">
        <v>3.5527136788005009E-14</v>
      </c>
      <c r="M236" s="117">
        <v>1601.0478621334842</v>
      </c>
    </row>
    <row r="237" spans="11:13" x14ac:dyDescent="0.45">
      <c r="K237" s="74">
        <v>235</v>
      </c>
      <c r="L237" s="119">
        <v>-5.5999999999999641</v>
      </c>
      <c r="M237" s="117">
        <v>1600.2675749606833</v>
      </c>
    </row>
    <row r="238" spans="11:13" x14ac:dyDescent="0.45">
      <c r="K238" s="74">
        <v>236</v>
      </c>
      <c r="L238" s="119">
        <v>-22.199999999999967</v>
      </c>
      <c r="M238" s="117">
        <v>1597.5119695109192</v>
      </c>
    </row>
    <row r="239" spans="11:13" x14ac:dyDescent="0.45">
      <c r="K239" s="74">
        <v>237</v>
      </c>
      <c r="L239" s="119">
        <v>3.1974423109204508E-14</v>
      </c>
      <c r="M239" s="117">
        <v>1601.7568976938537</v>
      </c>
    </row>
    <row r="240" spans="11:13" x14ac:dyDescent="0.45">
      <c r="K240" s="74">
        <v>238</v>
      </c>
      <c r="L240" s="119">
        <v>50.900000000000034</v>
      </c>
      <c r="M240" s="117">
        <v>1611.1483563076906</v>
      </c>
    </row>
    <row r="241" spans="11:13" x14ac:dyDescent="0.45">
      <c r="K241" s="74">
        <v>239</v>
      </c>
      <c r="L241" s="119">
        <v>-1.9999999999999645</v>
      </c>
      <c r="M241" s="117">
        <v>1601.7994661698444</v>
      </c>
    </row>
    <row r="242" spans="11:13" x14ac:dyDescent="0.45">
      <c r="K242" s="74">
        <v>240</v>
      </c>
      <c r="L242" s="119">
        <v>3.5527136788005009E-14</v>
      </c>
      <c r="M242" s="117">
        <v>1602.3886693728255</v>
      </c>
    </row>
    <row r="243" spans="11:13" x14ac:dyDescent="0.45">
      <c r="K243" s="74">
        <v>241</v>
      </c>
      <c r="L243" s="119">
        <v>-25.999999999999964</v>
      </c>
      <c r="M243" s="117">
        <v>1597.9223373565885</v>
      </c>
    </row>
    <row r="244" spans="11:13" x14ac:dyDescent="0.45">
      <c r="K244" s="74">
        <v>242</v>
      </c>
      <c r="L244" s="119">
        <v>-4.4999999999999645</v>
      </c>
      <c r="M244" s="117">
        <v>1602.032803332449</v>
      </c>
    </row>
    <row r="245" spans="11:13" x14ac:dyDescent="0.45">
      <c r="K245" s="74">
        <v>243</v>
      </c>
      <c r="L245" s="119">
        <v>3.5527136788005009E-14</v>
      </c>
      <c r="M245" s="117">
        <v>1603.0586065124544</v>
      </c>
    </row>
    <row r="246" spans="11:13" x14ac:dyDescent="0.45">
      <c r="K246" s="74">
        <v>244</v>
      </c>
      <c r="L246" s="119">
        <v>-40.699999999999967</v>
      </c>
      <c r="M246" s="117">
        <v>1595.9422548733796</v>
      </c>
    </row>
    <row r="247" spans="11:13" x14ac:dyDescent="0.45">
      <c r="K247" s="74">
        <v>245</v>
      </c>
      <c r="L247" s="119">
        <v>-4.1999999999999673</v>
      </c>
      <c r="M247" s="117">
        <v>1602.7646013441392</v>
      </c>
    </row>
    <row r="248" spans="11:13" x14ac:dyDescent="0.45">
      <c r="K248" s="74">
        <v>246</v>
      </c>
      <c r="L248" s="119">
        <v>3.2862601528904634E-14</v>
      </c>
      <c r="M248" s="117">
        <v>1603.7320137360744</v>
      </c>
    </row>
    <row r="249" spans="11:13" x14ac:dyDescent="0.45">
      <c r="K249" s="74">
        <v>247</v>
      </c>
      <c r="L249" s="119">
        <v>4.700000000000033</v>
      </c>
      <c r="M249" s="117">
        <v>1604.783621653658</v>
      </c>
    </row>
    <row r="250" spans="11:13" x14ac:dyDescent="0.45">
      <c r="K250" s="74">
        <v>248</v>
      </c>
      <c r="L250" s="119">
        <v>44.60000000000003</v>
      </c>
      <c r="M250" s="117">
        <v>1612.1649199237361</v>
      </c>
    </row>
    <row r="251" spans="11:13" x14ac:dyDescent="0.45">
      <c r="K251" s="74">
        <v>249</v>
      </c>
      <c r="L251" s="119">
        <v>2.8421709430404007E-14</v>
      </c>
      <c r="M251" s="117">
        <v>1604.2919304041936</v>
      </c>
    </row>
    <row r="252" spans="11:13" x14ac:dyDescent="0.45">
      <c r="K252" s="74">
        <v>250</v>
      </c>
      <c r="L252" s="119">
        <v>15.400000000000029</v>
      </c>
      <c r="M252" s="117">
        <v>1607.1401788217686</v>
      </c>
    </row>
    <row r="253" spans="11:13" x14ac:dyDescent="0.45">
      <c r="K253" s="74">
        <v>251</v>
      </c>
      <c r="L253" s="119">
        <v>17.800000000000029</v>
      </c>
      <c r="M253" s="117">
        <v>1607.631337748838</v>
      </c>
    </row>
    <row r="254" spans="11:13" x14ac:dyDescent="0.45">
      <c r="K254" s="74">
        <v>252</v>
      </c>
      <c r="L254" s="119">
        <v>2.8421709430404007E-14</v>
      </c>
      <c r="M254" s="117">
        <v>1604.4835497223448</v>
      </c>
    </row>
    <row r="255" spans="11:13" x14ac:dyDescent="0.45">
      <c r="K255" s="74">
        <v>253</v>
      </c>
      <c r="L255" s="119">
        <v>5.1000000000000281</v>
      </c>
      <c r="M255" s="117">
        <v>1605.4766484240108</v>
      </c>
    </row>
    <row r="256" spans="11:13" x14ac:dyDescent="0.45">
      <c r="K256" s="74">
        <v>254</v>
      </c>
      <c r="L256" s="119">
        <v>22.900000000000027</v>
      </c>
      <c r="M256" s="117">
        <v>1608.7497885334667</v>
      </c>
    </row>
    <row r="257" spans="11:13" x14ac:dyDescent="0.45">
      <c r="K257" s="74">
        <v>255</v>
      </c>
      <c r="L257" s="119">
        <v>2.8421709430404007E-14</v>
      </c>
      <c r="M257" s="117">
        <v>1604.6772898022659</v>
      </c>
    </row>
    <row r="258" spans="11:13" x14ac:dyDescent="0.45">
      <c r="K258" s="74">
        <v>256</v>
      </c>
      <c r="L258" s="119">
        <v>-11.499999999999972</v>
      </c>
      <c r="M258" s="117">
        <v>1602.9392260634522</v>
      </c>
    </row>
    <row r="259" spans="11:13" x14ac:dyDescent="0.45">
      <c r="K259" s="74">
        <v>257</v>
      </c>
      <c r="L259" s="119">
        <v>-0.49999999999997158</v>
      </c>
      <c r="M259" s="117">
        <v>1605.2615907070715</v>
      </c>
    </row>
    <row r="260" spans="11:13" x14ac:dyDescent="0.45">
      <c r="K260" s="74">
        <v>258</v>
      </c>
      <c r="L260" s="119">
        <v>2.8421709430404007E-14</v>
      </c>
      <c r="M260" s="117">
        <v>1605.680021162829</v>
      </c>
    </row>
    <row r="261" spans="11:13" x14ac:dyDescent="0.45">
      <c r="K261" s="74">
        <v>259</v>
      </c>
      <c r="L261" s="119">
        <v>-5.0999999999999712</v>
      </c>
      <c r="M261" s="117">
        <v>1605.0879410358521</v>
      </c>
    </row>
    <row r="262" spans="11:13" x14ac:dyDescent="0.45">
      <c r="K262" s="74">
        <v>260</v>
      </c>
      <c r="L262" s="119">
        <v>45.300000000000026</v>
      </c>
      <c r="M262" s="117">
        <v>1614.4894133896369</v>
      </c>
    </row>
    <row r="263" spans="11:13" x14ac:dyDescent="0.45">
      <c r="K263" s="74">
        <v>261</v>
      </c>
      <c r="L263" s="119">
        <v>2.8421709430404007E-14</v>
      </c>
      <c r="M263" s="117">
        <v>1606.608476909299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F97BE-15B6-4A16-A834-1EA860E5E449}">
  <sheetPr codeName="Sheet7"/>
  <dimension ref="A1:R74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72</v>
      </c>
      <c r="C2" s="134"/>
      <c r="E2" s="26" t="s">
        <v>66</v>
      </c>
      <c r="F2" s="23" t="s">
        <v>22</v>
      </c>
      <c r="G2" s="11">
        <v>145</v>
      </c>
      <c r="H2" s="87">
        <f>IF(B$20=0,0,G2/B$20)</f>
        <v>0.77127659574468088</v>
      </c>
      <c r="I2" s="57">
        <v>6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29.166666666666668</v>
      </c>
      <c r="Q2" s="76">
        <v>72</v>
      </c>
      <c r="R2" s="63">
        <v>2100</v>
      </c>
    </row>
    <row r="3" spans="1:18" x14ac:dyDescent="0.45">
      <c r="A3" s="19" t="s">
        <v>8</v>
      </c>
      <c r="B3" s="135">
        <v>600</v>
      </c>
      <c r="C3" s="136"/>
      <c r="E3" s="27" t="s">
        <v>72</v>
      </c>
      <c r="F3" s="24" t="s">
        <v>27</v>
      </c>
      <c r="G3" s="12">
        <v>108</v>
      </c>
      <c r="H3" s="88">
        <f>IF(B$20=0,0,G3/B$20)</f>
        <v>0.57446808510638303</v>
      </c>
      <c r="I3" s="58">
        <v>8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-1215.9420289855072</v>
      </c>
      <c r="Q3" s="77">
        <v>69</v>
      </c>
      <c r="R3" s="64">
        <v>-83900</v>
      </c>
    </row>
    <row r="4" spans="1:18" x14ac:dyDescent="0.45">
      <c r="A4" s="19" t="s">
        <v>6</v>
      </c>
      <c r="B4" s="137">
        <v>18.699999999999957</v>
      </c>
      <c r="C4" s="138"/>
      <c r="E4" s="27" t="s">
        <v>64</v>
      </c>
      <c r="F4" s="24" t="s">
        <v>20</v>
      </c>
      <c r="G4" s="12">
        <v>78</v>
      </c>
      <c r="H4" s="88">
        <f>IF(B$20=0,0,G4/B$20)</f>
        <v>0.41489361702127658</v>
      </c>
      <c r="I4" s="58">
        <v>6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-755.71428571428567</v>
      </c>
      <c r="Q4" s="77">
        <v>70</v>
      </c>
      <c r="R4" s="64">
        <v>-52900</v>
      </c>
    </row>
    <row r="5" spans="1:18" x14ac:dyDescent="0.45">
      <c r="A5" s="19" t="s">
        <v>7</v>
      </c>
      <c r="B5" s="125">
        <f>IF(B$2=0,0,B$4/B$2)</f>
        <v>0.25972222222222163</v>
      </c>
      <c r="C5" s="126"/>
      <c r="E5" s="27" t="s">
        <v>159</v>
      </c>
      <c r="F5" s="24" t="s">
        <v>160</v>
      </c>
      <c r="G5" s="12">
        <v>67</v>
      </c>
      <c r="H5" s="88">
        <f>IF(B$20=0,0,G5/B$20)</f>
        <v>0.35638297872340424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244.11764705882354</v>
      </c>
      <c r="Q5" s="77">
        <v>68</v>
      </c>
      <c r="R5" s="64">
        <v>16600</v>
      </c>
    </row>
    <row r="6" spans="1:18" x14ac:dyDescent="0.45">
      <c r="A6" s="19" t="s">
        <v>196</v>
      </c>
      <c r="B6" s="129">
        <v>1762.6139683317003</v>
      </c>
      <c r="C6" s="130"/>
      <c r="E6" s="27" t="s">
        <v>68</v>
      </c>
      <c r="F6" s="24" t="s">
        <v>12</v>
      </c>
      <c r="G6" s="12">
        <v>54</v>
      </c>
      <c r="H6" s="88">
        <f>IF(B$20=0,0,G6/B$20)</f>
        <v>0.28723404255319152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209.67741935483872</v>
      </c>
      <c r="Q6" s="77">
        <v>62</v>
      </c>
      <c r="R6" s="64">
        <v>13000</v>
      </c>
    </row>
    <row r="7" spans="1:18" x14ac:dyDescent="0.45">
      <c r="A7" s="19" t="s">
        <v>1</v>
      </c>
      <c r="B7" s="139">
        <f>IF(B$2=0,0,(B$8*1+B$9*2+B$10*3)/B$2)</f>
        <v>2.0555555555555554</v>
      </c>
      <c r="C7" s="140"/>
      <c r="E7" s="27" t="s">
        <v>67</v>
      </c>
      <c r="F7" s="24" t="s">
        <v>23</v>
      </c>
      <c r="G7" s="12">
        <v>42</v>
      </c>
      <c r="H7" s="88">
        <f>IF(B$20=0,0,G7/B$20)</f>
        <v>0.22340425531914893</v>
      </c>
      <c r="I7" s="58">
        <v>6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-59.615384615384613</v>
      </c>
      <c r="Q7" s="78">
        <v>52</v>
      </c>
      <c r="R7" s="65">
        <v>-3100</v>
      </c>
    </row>
    <row r="8" spans="1:18" x14ac:dyDescent="0.45">
      <c r="A8" s="19" t="s">
        <v>2</v>
      </c>
      <c r="B8" s="12">
        <v>22</v>
      </c>
      <c r="C8" s="6">
        <f t="shared" ref="C8:C15" si="1">IF(B$2=0,0,B8/B$2)</f>
        <v>0.30555555555555558</v>
      </c>
      <c r="E8" s="27" t="s">
        <v>69</v>
      </c>
      <c r="F8" s="24" t="s">
        <v>24</v>
      </c>
      <c r="G8" s="12">
        <v>34</v>
      </c>
      <c r="H8" s="88">
        <f>IF(B$20=0,0,G8/B$20)</f>
        <v>0.18085106382978725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24</v>
      </c>
      <c r="C9" s="6">
        <f t="shared" si="1"/>
        <v>0.33333333333333331</v>
      </c>
      <c r="E9" s="27" t="s">
        <v>89</v>
      </c>
      <c r="F9" s="24" t="s">
        <v>44</v>
      </c>
      <c r="G9" s="12">
        <v>27</v>
      </c>
      <c r="H9" s="88">
        <f>IF(B$20=0,0,G9/B$20)</f>
        <v>0.14361702127659576</v>
      </c>
      <c r="I9" s="58">
        <v>7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26</v>
      </c>
      <c r="C10" s="7">
        <f t="shared" si="1"/>
        <v>0.3611111111111111</v>
      </c>
      <c r="E10" s="27" t="s">
        <v>70</v>
      </c>
      <c r="F10" s="24" t="s">
        <v>25</v>
      </c>
      <c r="G10" s="12">
        <v>24</v>
      </c>
      <c r="H10" s="88">
        <f>IF(B$20=0,0,G10/B$20)</f>
        <v>0.1276595744680851</v>
      </c>
      <c r="I10" s="58">
        <v>3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5.7159999999999993</v>
      </c>
      <c r="Q10" s="76">
        <v>25</v>
      </c>
      <c r="R10" s="67">
        <v>142.89999999999998</v>
      </c>
    </row>
    <row r="11" spans="1:18" x14ac:dyDescent="0.45">
      <c r="A11" s="20" t="s">
        <v>184</v>
      </c>
      <c r="B11" s="109">
        <f>IF(B8=0,0,C11/B8)</f>
        <v>37.159090909090907</v>
      </c>
      <c r="C11" s="110">
        <v>817.5</v>
      </c>
      <c r="E11" s="27" t="s">
        <v>65</v>
      </c>
      <c r="F11" s="24" t="s">
        <v>21</v>
      </c>
      <c r="G11" s="12">
        <v>15</v>
      </c>
      <c r="H11" s="88">
        <f>IF(B$20=0,0,G11/B$20)</f>
        <v>7.9787234042553196E-2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-7.1535714285714276</v>
      </c>
      <c r="Q11" s="77">
        <v>28</v>
      </c>
      <c r="R11" s="68">
        <v>-200.29999999999998</v>
      </c>
    </row>
    <row r="12" spans="1:18" x14ac:dyDescent="0.45">
      <c r="A12" s="20" t="s">
        <v>185</v>
      </c>
      <c r="B12" s="109">
        <f>IF(B9=0,0,C12/B9)</f>
        <v>-2.0999999999999996</v>
      </c>
      <c r="C12" s="110">
        <v>-50.399999999999991</v>
      </c>
      <c r="E12" s="27" t="s">
        <v>86</v>
      </c>
      <c r="F12" s="24" t="s">
        <v>41</v>
      </c>
      <c r="G12" s="12">
        <v>11</v>
      </c>
      <c r="H12" s="88">
        <f>IF(B$20=0,0,G12/B$20)</f>
        <v>5.8510638297872342E-2</v>
      </c>
      <c r="I12" s="58">
        <v>5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4.0052631578947375</v>
      </c>
      <c r="Q12" s="78">
        <v>19</v>
      </c>
      <c r="R12" s="69">
        <v>76.100000000000009</v>
      </c>
    </row>
    <row r="13" spans="1:18" x14ac:dyDescent="0.45">
      <c r="A13" s="20" t="s">
        <v>186</v>
      </c>
      <c r="B13" s="109">
        <f>IF(B10=0,0,C13/B10)</f>
        <v>-28.784615384615389</v>
      </c>
      <c r="C13" s="110">
        <v>-748.40000000000009</v>
      </c>
      <c r="E13" s="27" t="s">
        <v>83</v>
      </c>
      <c r="F13" s="24" t="s">
        <v>38</v>
      </c>
      <c r="G13" s="12">
        <v>10</v>
      </c>
      <c r="H13" s="88">
        <f>IF(B$20=0,0,G13/B$20)</f>
        <v>5.3191489361702128E-2</v>
      </c>
      <c r="I13" s="58">
        <v>3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2.0914918414918389</v>
      </c>
      <c r="C14" s="126"/>
      <c r="E14" s="27" t="s">
        <v>155</v>
      </c>
      <c r="F14" s="24" t="s">
        <v>156</v>
      </c>
      <c r="G14" s="12">
        <v>10</v>
      </c>
      <c r="H14" s="88">
        <f>IF(B$20=0,0,G14/B$20)</f>
        <v>5.3191489361702128E-2</v>
      </c>
      <c r="I14" s="58">
        <v>1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5</v>
      </c>
      <c r="C15" s="9">
        <f t="shared" si="1"/>
        <v>6.9444444444444448E-2</v>
      </c>
      <c r="E15" s="27" t="s">
        <v>71</v>
      </c>
      <c r="F15" s="24" t="s">
        <v>26</v>
      </c>
      <c r="G15" s="12">
        <v>9</v>
      </c>
      <c r="H15" s="88">
        <f>IF(B$20=0,0,G15/B$20)</f>
        <v>4.7872340425531915E-2</v>
      </c>
      <c r="I15" s="58">
        <v>6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5">
      <c r="A16" s="22" t="s">
        <v>121</v>
      </c>
      <c r="B16" s="15">
        <v>152</v>
      </c>
      <c r="C16" s="10">
        <f>IF(B$3=0,0,B16/B$3)</f>
        <v>0.25333333333333335</v>
      </c>
      <c r="E16" s="27" t="s">
        <v>81</v>
      </c>
      <c r="F16" s="24" t="s">
        <v>36</v>
      </c>
      <c r="G16" s="12">
        <v>4</v>
      </c>
      <c r="H16" s="88">
        <f>IF(B$20=0,0,G16/B$20)</f>
        <v>2.1276595744680851E-2</v>
      </c>
      <c r="I16" s="58">
        <v>10</v>
      </c>
      <c r="K16" s="74">
        <v>14</v>
      </c>
      <c r="L16" s="119">
        <v>222</v>
      </c>
      <c r="M16" s="117">
        <v>1861.6993429866839</v>
      </c>
      <c r="O16" s="74" t="s">
        <v>216</v>
      </c>
      <c r="P16" s="83">
        <f>IF(Q16=0,0,R16/Q16)</f>
        <v>11.879999999999999</v>
      </c>
      <c r="Q16" s="77">
        <v>10</v>
      </c>
      <c r="R16" s="68">
        <v>118.79999999999998</v>
      </c>
    </row>
    <row r="17" spans="1:18" x14ac:dyDescent="0.45">
      <c r="A17" s="19" t="s">
        <v>118</v>
      </c>
      <c r="B17" s="12">
        <v>127</v>
      </c>
      <c r="C17" s="6">
        <f>IF(B$3=0,0,B17/B$3)</f>
        <v>0.21166666666666667</v>
      </c>
      <c r="E17" s="27" t="s">
        <v>91</v>
      </c>
      <c r="F17" s="24" t="s">
        <v>46</v>
      </c>
      <c r="G17" s="12">
        <v>4</v>
      </c>
      <c r="H17" s="88">
        <f>IF(B$20=0,0,G17/B$20)</f>
        <v>2.1276595744680851E-2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>IF(Q17=0,0,R17/Q17)</f>
        <v>8.5656250000000025</v>
      </c>
      <c r="Q17" s="77">
        <v>32</v>
      </c>
      <c r="R17" s="68">
        <v>274.10000000000008</v>
      </c>
    </row>
    <row r="18" spans="1:18" x14ac:dyDescent="0.45">
      <c r="A18" s="18" t="s">
        <v>123</v>
      </c>
      <c r="B18" s="11">
        <f>B24</f>
        <v>86</v>
      </c>
      <c r="C18" s="5">
        <f>IF(B$16=0,0,B18/B$16)</f>
        <v>0.56578947368421051</v>
      </c>
      <c r="E18" s="27" t="s">
        <v>78</v>
      </c>
      <c r="F18" s="24" t="s">
        <v>33</v>
      </c>
      <c r="G18" s="12">
        <v>3</v>
      </c>
      <c r="H18" s="88">
        <f>IF(B$20=0,0,G18/B$20)</f>
        <v>1.5957446808510637E-2</v>
      </c>
      <c r="I18" s="58">
        <v>7</v>
      </c>
      <c r="K18" s="74">
        <v>16</v>
      </c>
      <c r="L18" s="119">
        <v>164.20000000000002</v>
      </c>
      <c r="M18" s="117">
        <v>1848.4372400471914</v>
      </c>
      <c r="O18" s="74" t="s">
        <v>211</v>
      </c>
      <c r="P18" s="83">
        <f>IF(Q18=0,0,R18/Q18)</f>
        <v>5.0631578947368423</v>
      </c>
      <c r="Q18" s="77">
        <v>19</v>
      </c>
      <c r="R18" s="68">
        <v>96.2</v>
      </c>
    </row>
    <row r="19" spans="1:18" x14ac:dyDescent="0.45">
      <c r="A19" s="18" t="s">
        <v>124</v>
      </c>
      <c r="B19" s="11">
        <f>B25</f>
        <v>58</v>
      </c>
      <c r="C19" s="5">
        <f>IF(B$17=0,0,B19/B$17)</f>
        <v>0.45669291338582679</v>
      </c>
      <c r="E19" s="27" t="s">
        <v>73</v>
      </c>
      <c r="F19" s="24" t="s">
        <v>28</v>
      </c>
      <c r="G19" s="12">
        <v>2</v>
      </c>
      <c r="H19" s="88">
        <f>IF(B$20=0,0,G19/B$20)</f>
        <v>1.0638297872340425E-2</v>
      </c>
      <c r="I19" s="58">
        <v>3</v>
      </c>
      <c r="K19" s="74">
        <v>17</v>
      </c>
      <c r="L19" s="119">
        <v>164.3</v>
      </c>
      <c r="M19" s="117">
        <v>1846.8986166069083</v>
      </c>
      <c r="O19" s="74" t="s">
        <v>190</v>
      </c>
      <c r="P19" s="83">
        <f>IF(Q19=0,0,R19/Q19)</f>
        <v>0.20714285714285655</v>
      </c>
      <c r="Q19" s="77">
        <v>14</v>
      </c>
      <c r="R19" s="68">
        <v>2.8999999999999915</v>
      </c>
    </row>
    <row r="20" spans="1:18" x14ac:dyDescent="0.45">
      <c r="A20" s="18" t="s">
        <v>10</v>
      </c>
      <c r="B20" s="11">
        <f>B23+B22</f>
        <v>188</v>
      </c>
      <c r="C20" s="5">
        <f>IF(B$3=0,0,B20/B$3)</f>
        <v>0.31333333333333335</v>
      </c>
      <c r="E20" s="27" t="s">
        <v>75</v>
      </c>
      <c r="F20" s="24" t="s">
        <v>30</v>
      </c>
      <c r="G20" s="12">
        <v>1</v>
      </c>
      <c r="H20" s="88">
        <f>IF(B$20=0,0,G20/B$20)</f>
        <v>5.3191489361702126E-3</v>
      </c>
      <c r="I20" s="58">
        <v>2</v>
      </c>
      <c r="K20" s="74">
        <v>18</v>
      </c>
      <c r="L20" s="119">
        <v>188.9</v>
      </c>
      <c r="M20" s="117">
        <v>1849.7792249072668</v>
      </c>
      <c r="O20" s="74" t="s">
        <v>195</v>
      </c>
      <c r="P20" s="83">
        <f>IF(Q20=0,0,R20/Q20)</f>
        <v>-0.44999999999999812</v>
      </c>
      <c r="Q20" s="77">
        <v>6</v>
      </c>
      <c r="R20" s="68">
        <v>-2.6999999999999886</v>
      </c>
    </row>
    <row r="21" spans="1:18" x14ac:dyDescent="0.45">
      <c r="A21" s="19" t="s">
        <v>13</v>
      </c>
      <c r="B21" s="12">
        <v>114</v>
      </c>
      <c r="C21" s="6">
        <f>IF(B$3=0,0,B21/B$3)</f>
        <v>0.19</v>
      </c>
      <c r="E21" s="27" t="s">
        <v>79</v>
      </c>
      <c r="F21" s="24" t="s">
        <v>34</v>
      </c>
      <c r="G21" s="12">
        <v>1</v>
      </c>
      <c r="H21" s="88">
        <f>IF(B$20=0,0,G21/B$20)</f>
        <v>5.3191489361702126E-3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-3.7137931034482756</v>
      </c>
      <c r="Q21" s="77">
        <v>29</v>
      </c>
      <c r="R21" s="68">
        <v>-107.69999999999999</v>
      </c>
    </row>
    <row r="22" spans="1:18" x14ac:dyDescent="0.45">
      <c r="A22" s="19" t="s">
        <v>12</v>
      </c>
      <c r="B22" s="12">
        <v>85</v>
      </c>
      <c r="C22" s="6">
        <f>IF(B$20=0,0,B22/B$20)</f>
        <v>0.4521276595744681</v>
      </c>
      <c r="E22" s="27" t="s">
        <v>80</v>
      </c>
      <c r="F22" s="24" t="s">
        <v>35</v>
      </c>
      <c r="G22" s="12">
        <v>1</v>
      </c>
      <c r="H22" s="88">
        <f>IF(B$20=0,0,G22/B$20)</f>
        <v>5.3191489361702126E-3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-11.978125</v>
      </c>
      <c r="Q22" s="77">
        <v>32</v>
      </c>
      <c r="R22" s="68">
        <v>-383.3</v>
      </c>
    </row>
    <row r="23" spans="1:18" x14ac:dyDescent="0.45">
      <c r="A23" s="19" t="s">
        <v>11</v>
      </c>
      <c r="B23" s="12">
        <v>103</v>
      </c>
      <c r="C23" s="6">
        <f>IF(B$20=0,0,B23/B$20)</f>
        <v>0.5478723404255319</v>
      </c>
      <c r="E23" s="27" t="s">
        <v>85</v>
      </c>
      <c r="F23" s="24" t="s">
        <v>40</v>
      </c>
      <c r="G23" s="12">
        <v>1</v>
      </c>
      <c r="H23" s="88">
        <f>IF(B$20=0,0,G23/B$20)</f>
        <v>5.3191489361702126E-3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86</v>
      </c>
      <c r="C24" s="6">
        <f>IF(B$20=0,0,B24/B$20)</f>
        <v>0.45744680851063829</v>
      </c>
      <c r="E24" s="27" t="s">
        <v>90</v>
      </c>
      <c r="F24" s="24" t="s">
        <v>45</v>
      </c>
      <c r="G24" s="12">
        <v>1</v>
      </c>
      <c r="H24" s="88">
        <f>IF(B$20=0,0,G24/B$20)</f>
        <v>5.3191489361702126E-3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58</v>
      </c>
      <c r="C25" s="6">
        <f>IF(B$20=0,0,B25/B$20)</f>
        <v>0.30851063829787234</v>
      </c>
      <c r="E25" s="27" t="s">
        <v>92</v>
      </c>
      <c r="F25" s="24" t="s">
        <v>47</v>
      </c>
      <c r="G25" s="12">
        <v>1</v>
      </c>
      <c r="H25" s="88">
        <f>IF(B$20=0,0,G25/B$20)</f>
        <v>5.3191489361702126E-3</v>
      </c>
      <c r="I25" s="58">
        <v>2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44</v>
      </c>
      <c r="C26" s="6">
        <f>IF(B$20=0,0,B26/B$20)</f>
        <v>0.23404255319148937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8221.2765957446809</v>
      </c>
      <c r="C27" s="8">
        <v>1545600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8563.0769230769238</v>
      </c>
      <c r="C28" s="96">
        <v>1113200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7455.1724137931033</v>
      </c>
      <c r="C29" s="96">
        <v>432400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-6893.8596491228072</v>
      </c>
      <c r="C30" s="96">
        <v>-785900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3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6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1.6666666666666668E-3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12</v>
      </c>
      <c r="C37" s="98">
        <f t="shared" ref="C37:C49" si="2">IF(B$20=0,0,B37/B$20)</f>
        <v>6.3829787234042548E-2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30</v>
      </c>
      <c r="C38" s="6">
        <f t="shared" si="2"/>
        <v>0.15957446808510639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42</v>
      </c>
      <c r="C39" s="6">
        <f t="shared" si="2"/>
        <v>0.22340425531914893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33</v>
      </c>
      <c r="C40" s="6">
        <f t="shared" si="2"/>
        <v>0.17553191489361702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32</v>
      </c>
      <c r="C41" s="6">
        <f t="shared" si="2"/>
        <v>0.1702127659574468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22</v>
      </c>
      <c r="C42" s="6">
        <f t="shared" si="2"/>
        <v>0.11702127659574468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8</v>
      </c>
      <c r="C43" s="6">
        <f t="shared" si="2"/>
        <v>4.2553191489361701E-2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2</v>
      </c>
      <c r="C44" s="6">
        <f t="shared" si="2"/>
        <v>1.0638297872340425E-2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4</v>
      </c>
      <c r="C45" s="6">
        <f t="shared" si="2"/>
        <v>2.1276595744680851E-2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1</v>
      </c>
      <c r="C46" s="6">
        <f t="shared" si="2"/>
        <v>5.3191489361702126E-3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117.99999999999997</v>
      </c>
      <c r="M46" s="117">
        <v>1805.5187097904541</v>
      </c>
    </row>
    <row r="47" spans="1:13" x14ac:dyDescent="0.45">
      <c r="A47" s="19" t="s">
        <v>177</v>
      </c>
      <c r="B47" s="124">
        <v>1</v>
      </c>
      <c r="C47" s="6">
        <f t="shared" si="2"/>
        <v>5.3191489361702126E-3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5">
      <c r="A49" s="21" t="s">
        <v>179</v>
      </c>
      <c r="B49" s="97">
        <v>1</v>
      </c>
      <c r="C49" s="9">
        <f t="shared" si="2"/>
        <v>5.3191489361702126E-3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5">
      <c r="K53" s="74">
        <v>51</v>
      </c>
      <c r="L53" s="119">
        <v>68.399999999999963</v>
      </c>
      <c r="M53" s="117">
        <v>1788.8356828322449</v>
      </c>
    </row>
    <row r="54" spans="1:13" x14ac:dyDescent="0.45">
      <c r="K54" s="74">
        <v>52</v>
      </c>
      <c r="L54" s="119">
        <v>22.599999999999966</v>
      </c>
      <c r="M54" s="117">
        <v>1779.6206687352515</v>
      </c>
    </row>
    <row r="55" spans="1:13" x14ac:dyDescent="0.45">
      <c r="K55" s="74">
        <v>53</v>
      </c>
      <c r="L55" s="119">
        <v>53.599999999999966</v>
      </c>
      <c r="M55" s="117">
        <v>1784.28494472284</v>
      </c>
    </row>
    <row r="56" spans="1:13" x14ac:dyDescent="0.45">
      <c r="K56" s="74">
        <v>54</v>
      </c>
      <c r="L56" s="119">
        <v>31.899999999999967</v>
      </c>
      <c r="M56" s="117">
        <v>1779.327235054503</v>
      </c>
    </row>
    <row r="57" spans="1:13" x14ac:dyDescent="0.45">
      <c r="K57" s="74">
        <v>55</v>
      </c>
      <c r="L57" s="119">
        <v>-8.8000000000000362</v>
      </c>
      <c r="M57" s="117">
        <v>1770.9792716441759</v>
      </c>
    </row>
    <row r="58" spans="1:13" x14ac:dyDescent="0.45">
      <c r="K58" s="74">
        <v>56</v>
      </c>
      <c r="L58" s="119">
        <v>-34.500000000000036</v>
      </c>
      <c r="M58" s="117">
        <v>1765.2973960143108</v>
      </c>
    </row>
    <row r="59" spans="1:13" x14ac:dyDescent="0.45">
      <c r="K59" s="74">
        <v>57</v>
      </c>
      <c r="L59" s="119">
        <v>-74.30000000000004</v>
      </c>
      <c r="M59" s="117">
        <v>1757.111611638225</v>
      </c>
    </row>
    <row r="60" spans="1:13" x14ac:dyDescent="0.45">
      <c r="K60" s="74">
        <v>58</v>
      </c>
      <c r="L60" s="119">
        <v>-72.700000000000045</v>
      </c>
      <c r="M60" s="117">
        <v>1756.4389419683957</v>
      </c>
    </row>
    <row r="61" spans="1:13" x14ac:dyDescent="0.45">
      <c r="K61" s="74">
        <v>59</v>
      </c>
      <c r="L61" s="119">
        <v>-36.500000000000043</v>
      </c>
      <c r="M61" s="117">
        <v>1762.2443083165854</v>
      </c>
    </row>
    <row r="62" spans="1:13" x14ac:dyDescent="0.45">
      <c r="K62" s="74">
        <v>60</v>
      </c>
      <c r="L62" s="119">
        <v>-35.900000000000041</v>
      </c>
      <c r="M62" s="117">
        <v>1761.414842466686</v>
      </c>
    </row>
    <row r="63" spans="1:13" x14ac:dyDescent="0.45">
      <c r="K63" s="74">
        <v>61</v>
      </c>
      <c r="L63" s="119">
        <v>-0.40000000000004121</v>
      </c>
      <c r="M63" s="117">
        <v>1766.8723534118858</v>
      </c>
    </row>
    <row r="64" spans="1:13" x14ac:dyDescent="0.45">
      <c r="K64" s="74">
        <v>62</v>
      </c>
      <c r="L64" s="119">
        <v>-18.100000000000041</v>
      </c>
      <c r="M64" s="117">
        <v>1762.9251192914144</v>
      </c>
    </row>
    <row r="65" spans="11:13" x14ac:dyDescent="0.45">
      <c r="K65" s="74">
        <v>63</v>
      </c>
      <c r="L65" s="119">
        <v>-40.80000000000004</v>
      </c>
      <c r="M65" s="117">
        <v>1758.1015685756659</v>
      </c>
    </row>
    <row r="66" spans="11:13" x14ac:dyDescent="0.45">
      <c r="K66" s="74">
        <v>64</v>
      </c>
      <c r="L66" s="119">
        <v>-18.600000000000041</v>
      </c>
      <c r="M66" s="117">
        <v>1761.3829591642118</v>
      </c>
    </row>
    <row r="67" spans="11:13" x14ac:dyDescent="0.45">
      <c r="K67" s="74">
        <v>65</v>
      </c>
      <c r="L67" s="119">
        <v>-71.500000000000043</v>
      </c>
      <c r="M67" s="117">
        <v>1751.1326614092266</v>
      </c>
    </row>
    <row r="68" spans="11:13" x14ac:dyDescent="0.45">
      <c r="K68" s="74">
        <v>66</v>
      </c>
      <c r="L68" s="119">
        <v>-97.500000000000043</v>
      </c>
      <c r="M68" s="117">
        <v>1745.7738654407713</v>
      </c>
    </row>
    <row r="69" spans="11:13" x14ac:dyDescent="0.45">
      <c r="K69" s="74">
        <v>67</v>
      </c>
      <c r="L69" s="119">
        <v>-93.30000000000004</v>
      </c>
      <c r="M69" s="117">
        <v>1745.8832222481267</v>
      </c>
    </row>
    <row r="70" spans="11:13" x14ac:dyDescent="0.45">
      <c r="K70" s="74">
        <v>68</v>
      </c>
      <c r="L70" s="119">
        <v>-53.400000000000041</v>
      </c>
      <c r="M70" s="117">
        <v>1752.417922914638</v>
      </c>
    </row>
    <row r="71" spans="11:13" x14ac:dyDescent="0.45">
      <c r="K71" s="74">
        <v>69</v>
      </c>
      <c r="L71" s="119">
        <v>-38.000000000000043</v>
      </c>
      <c r="M71" s="117">
        <v>1754.3774153771501</v>
      </c>
    </row>
    <row r="72" spans="11:13" x14ac:dyDescent="0.45">
      <c r="K72" s="74">
        <v>70</v>
      </c>
      <c r="L72" s="119">
        <v>-20.200000000000042</v>
      </c>
      <c r="M72" s="117">
        <v>1756.7571508848871</v>
      </c>
    </row>
    <row r="73" spans="11:13" x14ac:dyDescent="0.45">
      <c r="K73" s="74">
        <v>71</v>
      </c>
      <c r="L73" s="119">
        <v>-31.700000000000042</v>
      </c>
      <c r="M73" s="117">
        <v>1754.1066079795778</v>
      </c>
    </row>
    <row r="74" spans="11:13" x14ac:dyDescent="0.45">
      <c r="K74" s="74">
        <v>72</v>
      </c>
      <c r="L74" s="119">
        <v>18.699999999999957</v>
      </c>
      <c r="M74" s="117">
        <v>1762.6139683317003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DEC60-B58E-4A45-B092-D82BACCE0C59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39</v>
      </c>
      <c r="C2" s="134"/>
      <c r="E2" s="26" t="s">
        <v>66</v>
      </c>
      <c r="F2" s="23" t="s">
        <v>22</v>
      </c>
      <c r="G2" s="11">
        <v>86</v>
      </c>
      <c r="H2" s="87">
        <f>IF(B$20=0,0,G2/B$20)</f>
        <v>0.94505494505494503</v>
      </c>
      <c r="I2" s="57">
        <v>3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1466.6666666666667</v>
      </c>
      <c r="Q2" s="76">
        <v>39</v>
      </c>
      <c r="R2" s="63">
        <v>57200</v>
      </c>
    </row>
    <row r="3" spans="1:18" x14ac:dyDescent="0.45">
      <c r="A3" s="19" t="s">
        <v>8</v>
      </c>
      <c r="B3" s="135">
        <v>335</v>
      </c>
      <c r="C3" s="136"/>
      <c r="E3" s="27" t="s">
        <v>72</v>
      </c>
      <c r="F3" s="24" t="s">
        <v>27</v>
      </c>
      <c r="G3" s="12">
        <v>51</v>
      </c>
      <c r="H3" s="88">
        <f>IF(B$20=0,0,G3/B$20)</f>
        <v>0.56043956043956045</v>
      </c>
      <c r="I3" s="58">
        <v>9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-291.89189189189187</v>
      </c>
      <c r="Q3" s="77">
        <v>37</v>
      </c>
      <c r="R3" s="64">
        <v>-10800</v>
      </c>
    </row>
    <row r="4" spans="1:18" x14ac:dyDescent="0.45">
      <c r="A4" s="19" t="s">
        <v>6</v>
      </c>
      <c r="B4" s="137">
        <v>-120.20000000000003</v>
      </c>
      <c r="C4" s="138"/>
      <c r="E4" s="27" t="s">
        <v>64</v>
      </c>
      <c r="F4" s="24" t="s">
        <v>20</v>
      </c>
      <c r="G4" s="12">
        <v>38</v>
      </c>
      <c r="H4" s="88">
        <f>IF(B$20=0,0,G4/B$20)</f>
        <v>0.4175824175824176</v>
      </c>
      <c r="I4" s="58">
        <v>5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-475.67567567567568</v>
      </c>
      <c r="Q4" s="77">
        <v>37</v>
      </c>
      <c r="R4" s="64">
        <v>-17600</v>
      </c>
    </row>
    <row r="5" spans="1:18" x14ac:dyDescent="0.45">
      <c r="A5" s="19" t="s">
        <v>7</v>
      </c>
      <c r="B5" s="125">
        <f>IF(B$2=0,0,B$4/B$2)</f>
        <v>-3.0820512820512826</v>
      </c>
      <c r="C5" s="126"/>
      <c r="E5" s="27" t="s">
        <v>159</v>
      </c>
      <c r="F5" s="24" t="s">
        <v>160</v>
      </c>
      <c r="G5" s="12">
        <v>38</v>
      </c>
      <c r="H5" s="88">
        <f>IF(B$20=0,0,G5/B$20)</f>
        <v>0.4175824175824176</v>
      </c>
      <c r="I5" s="58">
        <v>4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-219.44444444444446</v>
      </c>
      <c r="Q5" s="77">
        <v>36</v>
      </c>
      <c r="R5" s="64">
        <v>-7900</v>
      </c>
    </row>
    <row r="6" spans="1:18" x14ac:dyDescent="0.45">
      <c r="A6" s="19" t="s">
        <v>196</v>
      </c>
      <c r="B6" s="129">
        <v>1628.6116498496403</v>
      </c>
      <c r="C6" s="130"/>
      <c r="E6" s="27" t="s">
        <v>68</v>
      </c>
      <c r="F6" s="24" t="s">
        <v>12</v>
      </c>
      <c r="G6" s="12">
        <v>31</v>
      </c>
      <c r="H6" s="88">
        <f>IF(B$20=0,0,G6/B$20)</f>
        <v>0.34065934065934067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175.75757575757575</v>
      </c>
      <c r="Q6" s="77">
        <v>33</v>
      </c>
      <c r="R6" s="64">
        <v>5800</v>
      </c>
    </row>
    <row r="7" spans="1:18" x14ac:dyDescent="0.45">
      <c r="A7" s="19" t="s">
        <v>1</v>
      </c>
      <c r="B7" s="139">
        <f>IF(B$2=0,0,(B$8*1+B$9*2+B$10*3)/B$2)</f>
        <v>2.0769230769230771</v>
      </c>
      <c r="C7" s="140"/>
      <c r="E7" s="27" t="s">
        <v>67</v>
      </c>
      <c r="F7" s="24" t="s">
        <v>23</v>
      </c>
      <c r="G7" s="12">
        <v>19</v>
      </c>
      <c r="H7" s="88">
        <f>IF(B$20=0,0,G7/B$20)</f>
        <v>0.2087912087912088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59.25925925925926</v>
      </c>
      <c r="Q7" s="78">
        <v>27</v>
      </c>
      <c r="R7" s="65">
        <v>1600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0.28205128205128205</v>
      </c>
      <c r="E8" s="27" t="s">
        <v>89</v>
      </c>
      <c r="F8" s="24" t="s">
        <v>44</v>
      </c>
      <c r="G8" s="12">
        <v>16</v>
      </c>
      <c r="H8" s="88">
        <f>IF(B$20=0,0,G8/B$20)</f>
        <v>0.17582417582417584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14</v>
      </c>
      <c r="C9" s="6">
        <f t="shared" si="1"/>
        <v>0.35897435897435898</v>
      </c>
      <c r="E9" s="27" t="s">
        <v>69</v>
      </c>
      <c r="F9" s="24" t="s">
        <v>24</v>
      </c>
      <c r="G9" s="12">
        <v>10</v>
      </c>
      <c r="H9" s="88">
        <f>IF(B$20=0,0,G9/B$20)</f>
        <v>0.10989010989010989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14</v>
      </c>
      <c r="C10" s="7">
        <f t="shared" si="1"/>
        <v>0.35897435897435898</v>
      </c>
      <c r="E10" s="27" t="s">
        <v>70</v>
      </c>
      <c r="F10" s="24" t="s">
        <v>25</v>
      </c>
      <c r="G10" s="12">
        <v>8</v>
      </c>
      <c r="H10" s="88">
        <f>IF(B$20=0,0,G10/B$20)</f>
        <v>8.7912087912087919E-2</v>
      </c>
      <c r="I10" s="58">
        <v>6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-2.8125</v>
      </c>
      <c r="Q10" s="76">
        <v>16</v>
      </c>
      <c r="R10" s="67">
        <v>-45</v>
      </c>
    </row>
    <row r="11" spans="1:18" x14ac:dyDescent="0.45">
      <c r="A11" s="20" t="s">
        <v>184</v>
      </c>
      <c r="B11" s="109">
        <f>IF(B8=0,0,C11/B8)</f>
        <v>36.518181818181809</v>
      </c>
      <c r="C11" s="110">
        <v>401.69999999999993</v>
      </c>
      <c r="E11" s="27" t="s">
        <v>65</v>
      </c>
      <c r="F11" s="24" t="s">
        <v>21</v>
      </c>
      <c r="G11" s="12">
        <v>7</v>
      </c>
      <c r="H11" s="88">
        <f>IF(B$20=0,0,G11/B$20)</f>
        <v>7.6923076923076927E-2</v>
      </c>
      <c r="I11" s="58">
        <v>8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0.64999999999999791</v>
      </c>
      <c r="Q11" s="77">
        <v>10</v>
      </c>
      <c r="R11" s="68">
        <v>6.4999999999999787</v>
      </c>
    </row>
    <row r="12" spans="1:18" x14ac:dyDescent="0.45">
      <c r="A12" s="20" t="s">
        <v>185</v>
      </c>
      <c r="B12" s="109">
        <f>IF(B9=0,0,C12/B9)</f>
        <v>1.4785714285714282</v>
      </c>
      <c r="C12" s="110">
        <v>20.699999999999996</v>
      </c>
      <c r="E12" s="27" t="s">
        <v>71</v>
      </c>
      <c r="F12" s="24" t="s">
        <v>26</v>
      </c>
      <c r="G12" s="12">
        <v>7</v>
      </c>
      <c r="H12" s="88">
        <f>IF(B$20=0,0,G12/B$20)</f>
        <v>7.6923076923076927E-2</v>
      </c>
      <c r="I12" s="58">
        <v>3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-6.2846153846153845</v>
      </c>
      <c r="Q12" s="78">
        <v>13</v>
      </c>
      <c r="R12" s="69">
        <v>-81.7</v>
      </c>
    </row>
    <row r="13" spans="1:18" x14ac:dyDescent="0.45">
      <c r="A13" s="20" t="s">
        <v>186</v>
      </c>
      <c r="B13" s="109">
        <f>IF(B10=0,0,C13/B10)</f>
        <v>-38.75714285714286</v>
      </c>
      <c r="C13" s="110">
        <v>-542.6</v>
      </c>
      <c r="E13" s="27" t="s">
        <v>86</v>
      </c>
      <c r="F13" s="24" t="s">
        <v>41</v>
      </c>
      <c r="G13" s="12">
        <v>6</v>
      </c>
      <c r="H13" s="88">
        <f>IF(B$20=0,0,G13/B$20)</f>
        <v>6.5934065934065936E-2</v>
      </c>
      <c r="I13" s="58">
        <v>3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-0.25346320346320778</v>
      </c>
      <c r="C14" s="126"/>
      <c r="E14" s="27" t="s">
        <v>81</v>
      </c>
      <c r="F14" s="24" t="s">
        <v>36</v>
      </c>
      <c r="G14" s="12">
        <v>5</v>
      </c>
      <c r="H14" s="88">
        <f>IF(B$20=0,0,G14/B$20)</f>
        <v>5.4945054945054944E-2</v>
      </c>
      <c r="I14" s="58">
        <v>2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5</v>
      </c>
      <c r="C15" s="9">
        <f t="shared" si="1"/>
        <v>0.12820512820512819</v>
      </c>
      <c r="E15" s="27" t="s">
        <v>83</v>
      </c>
      <c r="F15" s="24" t="s">
        <v>38</v>
      </c>
      <c r="G15" s="12">
        <v>4</v>
      </c>
      <c r="H15" s="88">
        <f>IF(B$20=0,0,G15/B$20)</f>
        <v>4.3956043956043959E-2</v>
      </c>
      <c r="I15" s="58">
        <v>5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5">
      <c r="A16" s="22" t="s">
        <v>121</v>
      </c>
      <c r="B16" s="15">
        <v>83</v>
      </c>
      <c r="C16" s="10">
        <f>IF(B$3=0,0,B16/B$3)</f>
        <v>0.24776119402985075</v>
      </c>
      <c r="E16" s="27" t="s">
        <v>78</v>
      </c>
      <c r="F16" s="24" t="s">
        <v>33</v>
      </c>
      <c r="G16" s="12">
        <v>3</v>
      </c>
      <c r="H16" s="88">
        <f>IF(B$20=0,0,G16/B$20)</f>
        <v>3.2967032967032968E-2</v>
      </c>
      <c r="I16" s="58">
        <v>4</v>
      </c>
      <c r="K16" s="74">
        <v>14</v>
      </c>
      <c r="L16" s="119">
        <v>-125.80000000000004</v>
      </c>
      <c r="M16" s="117">
        <v>1630.1668189337324</v>
      </c>
      <c r="O16" s="74" t="s">
        <v>190</v>
      </c>
      <c r="P16" s="83">
        <f>IF(Q16=0,0,R16/Q16)</f>
        <v>8.7333333333333361</v>
      </c>
      <c r="Q16" s="77">
        <v>6</v>
      </c>
      <c r="R16" s="68">
        <v>52.400000000000013</v>
      </c>
    </row>
    <row r="17" spans="1:18" x14ac:dyDescent="0.45">
      <c r="A17" s="19" t="s">
        <v>118</v>
      </c>
      <c r="B17" s="12">
        <v>81</v>
      </c>
      <c r="C17" s="6">
        <f>IF(B$3=0,0,B17/B$3)</f>
        <v>0.2417910447761194</v>
      </c>
      <c r="E17" s="27" t="s">
        <v>155</v>
      </c>
      <c r="F17" s="24" t="s">
        <v>156</v>
      </c>
      <c r="G17" s="12">
        <v>3</v>
      </c>
      <c r="H17" s="88">
        <f>IF(B$20=0,0,G17/B$20)</f>
        <v>3.2967032967032968E-2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211</v>
      </c>
      <c r="P17" s="83">
        <f>IF(Q17=0,0,R17/Q17)</f>
        <v>-3.9166666666666674</v>
      </c>
      <c r="Q17" s="77">
        <v>12</v>
      </c>
      <c r="R17" s="68">
        <v>-47.000000000000007</v>
      </c>
    </row>
    <row r="18" spans="1:18" x14ac:dyDescent="0.45">
      <c r="A18" s="18" t="s">
        <v>123</v>
      </c>
      <c r="B18" s="11">
        <f>B24</f>
        <v>39</v>
      </c>
      <c r="C18" s="5">
        <f>IF(B$16=0,0,B18/B$16)</f>
        <v>0.46987951807228917</v>
      </c>
      <c r="E18" s="27" t="s">
        <v>73</v>
      </c>
      <c r="F18" s="24" t="s">
        <v>28</v>
      </c>
      <c r="G18" s="12">
        <v>1</v>
      </c>
      <c r="H18" s="88">
        <f>IF(B$20=0,0,G18/B$20)</f>
        <v>1.098901098901099E-2</v>
      </c>
      <c r="I18" s="58">
        <v>2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-8.5656250000000025</v>
      </c>
      <c r="Q18" s="77">
        <v>32</v>
      </c>
      <c r="R18" s="68">
        <v>-274.10000000000008</v>
      </c>
    </row>
    <row r="19" spans="1:18" x14ac:dyDescent="0.45">
      <c r="A19" s="18" t="s">
        <v>124</v>
      </c>
      <c r="B19" s="11">
        <f>B25</f>
        <v>28</v>
      </c>
      <c r="C19" s="5">
        <f>IF(B$17=0,0,B19/B$17)</f>
        <v>0.34567901234567899</v>
      </c>
      <c r="E19" s="27" t="s">
        <v>79</v>
      </c>
      <c r="F19" s="24" t="s">
        <v>34</v>
      </c>
      <c r="G19" s="12">
        <v>1</v>
      </c>
      <c r="H19" s="88">
        <f>IF(B$20=0,0,G19/B$20)</f>
        <v>1.098901098901099E-2</v>
      </c>
      <c r="I19" s="58">
        <v>5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>IF(Q19=0,0,R19/Q19)</f>
        <v>-12.830000000000002</v>
      </c>
      <c r="Q19" s="77">
        <v>10</v>
      </c>
      <c r="R19" s="68">
        <v>-128.30000000000001</v>
      </c>
    </row>
    <row r="20" spans="1:18" x14ac:dyDescent="0.45">
      <c r="A20" s="18" t="s">
        <v>10</v>
      </c>
      <c r="B20" s="11">
        <f>B23+B22</f>
        <v>91</v>
      </c>
      <c r="C20" s="5">
        <f>IF(B$3=0,0,B20/B$3)</f>
        <v>0.27164179104477609</v>
      </c>
      <c r="E20" s="27" t="s">
        <v>85</v>
      </c>
      <c r="F20" s="24" t="s">
        <v>40</v>
      </c>
      <c r="G20" s="12">
        <v>1</v>
      </c>
      <c r="H20" s="88">
        <f>IF(B$20=0,0,G20/B$20)</f>
        <v>1.098901098901099E-2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192</v>
      </c>
      <c r="P20" s="83">
        <f>IF(Q20=0,0,R20/Q20)</f>
        <v>-14.800000000000002</v>
      </c>
      <c r="Q20" s="77">
        <v>9</v>
      </c>
      <c r="R20" s="68">
        <v>-133.20000000000002</v>
      </c>
    </row>
    <row r="21" spans="1:18" x14ac:dyDescent="0.45">
      <c r="A21" s="19" t="s">
        <v>13</v>
      </c>
      <c r="B21" s="12">
        <v>62</v>
      </c>
      <c r="C21" s="6">
        <f>IF(B$3=0,0,B21/B$3)</f>
        <v>0.18507462686567164</v>
      </c>
      <c r="E21" s="27" t="s">
        <v>88</v>
      </c>
      <c r="F21" s="24" t="s">
        <v>43</v>
      </c>
      <c r="G21" s="12">
        <v>1</v>
      </c>
      <c r="H21" s="88">
        <f>IF(B$20=0,0,G21/B$20)</f>
        <v>1.098901098901099E-2</v>
      </c>
      <c r="I21" s="58">
        <v>2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>IF(Q21=0,0,R21/Q21)</f>
        <v>-39.85</v>
      </c>
      <c r="Q21" s="77">
        <v>2</v>
      </c>
      <c r="R21" s="68">
        <v>-79.7</v>
      </c>
    </row>
    <row r="22" spans="1:18" x14ac:dyDescent="0.45">
      <c r="A22" s="19" t="s">
        <v>12</v>
      </c>
      <c r="B22" s="12">
        <v>42</v>
      </c>
      <c r="C22" s="6">
        <f>IF(B$20=0,0,B22/B$20)</f>
        <v>0.46153846153846156</v>
      </c>
      <c r="E22" s="27" t="s">
        <v>91</v>
      </c>
      <c r="F22" s="24" t="s">
        <v>46</v>
      </c>
      <c r="G22" s="12">
        <v>1</v>
      </c>
      <c r="H22" s="88">
        <f>IF(B$20=0,0,G22/B$20)</f>
        <v>1.098901098901099E-2</v>
      </c>
      <c r="I22" s="58">
        <v>5</v>
      </c>
      <c r="K22" s="74">
        <v>20</v>
      </c>
      <c r="L22" s="119">
        <v>-101.2</v>
      </c>
      <c r="M22" s="117">
        <v>1634.1175651983078</v>
      </c>
    </row>
    <row r="23" spans="1:18" x14ac:dyDescent="0.45">
      <c r="A23" s="19" t="s">
        <v>11</v>
      </c>
      <c r="B23" s="12">
        <v>49</v>
      </c>
      <c r="C23" s="6">
        <f>IF(B$20=0,0,B23/B$20)</f>
        <v>0.53846153846153844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-99.3</v>
      </c>
      <c r="M23" s="117">
        <v>1634.416859807118</v>
      </c>
    </row>
    <row r="24" spans="1:18" x14ac:dyDescent="0.45">
      <c r="A24" s="19" t="s">
        <v>183</v>
      </c>
      <c r="B24" s="12">
        <v>39</v>
      </c>
      <c r="C24" s="6">
        <f>IF(B$20=0,0,B24/B$20)</f>
        <v>0.42857142857142855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-95.2</v>
      </c>
      <c r="M24" s="117">
        <v>1635.1103586482752</v>
      </c>
    </row>
    <row r="25" spans="1:18" x14ac:dyDescent="0.45">
      <c r="A25" s="19" t="s">
        <v>181</v>
      </c>
      <c r="B25" s="12">
        <v>28</v>
      </c>
      <c r="C25" s="6">
        <f>IF(B$20=0,0,B25/B$20)</f>
        <v>0.30769230769230771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5">
      <c r="A26" s="19" t="s">
        <v>182</v>
      </c>
      <c r="B26" s="12">
        <v>24</v>
      </c>
      <c r="C26" s="6">
        <f>IF(B$20=0,0,B26/B$20)</f>
        <v>0.26373626373626374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-77.400000000000006</v>
      </c>
      <c r="M26" s="117">
        <v>1637.2144623174072</v>
      </c>
    </row>
    <row r="27" spans="1:18" x14ac:dyDescent="0.45">
      <c r="A27" s="19" t="s">
        <v>5</v>
      </c>
      <c r="B27" s="16">
        <f>IF(B$20=0,0,C27/B$20)</f>
        <v>8671.4285714285706</v>
      </c>
      <c r="C27" s="8">
        <v>789100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5">
      <c r="A28" s="20" t="s">
        <v>165</v>
      </c>
      <c r="B28" s="95">
        <f>IF($B$20-B$19=0,0,C28/($B$20-B$19))</f>
        <v>9119.0476190476184</v>
      </c>
      <c r="C28" s="96">
        <v>574500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5">
      <c r="A29" s="20" t="s">
        <v>166</v>
      </c>
      <c r="B29" s="95">
        <f>IF(B$19=0,0,C29/B$19)</f>
        <v>7664.2857142857147</v>
      </c>
      <c r="C29" s="96">
        <v>214600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5">
      <c r="A30" s="20" t="s">
        <v>164</v>
      </c>
      <c r="B30" s="95">
        <f>IF(B$21=0,0,C30/B$21)</f>
        <v>-8238.7096774193542</v>
      </c>
      <c r="C30" s="96">
        <v>-510800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5">
      <c r="A32" s="19" t="s">
        <v>158</v>
      </c>
      <c r="B32" s="12">
        <v>19</v>
      </c>
      <c r="C32" s="90">
        <v>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-92.600000000000023</v>
      </c>
      <c r="M33" s="117">
        <v>1633.5176593502431</v>
      </c>
    </row>
    <row r="34" spans="1:13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5">
      <c r="A35" s="21" t="s">
        <v>137</v>
      </c>
      <c r="B35" s="29">
        <v>1</v>
      </c>
      <c r="C35" s="9">
        <f>IF(B$3=0,0,B35/B$3)</f>
        <v>2.9850746268656717E-3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5">
      <c r="A37" s="54" t="s">
        <v>171</v>
      </c>
      <c r="B37" s="123">
        <v>8</v>
      </c>
      <c r="C37" s="98">
        <f t="shared" ref="C37:C49" si="2">IF(B$20=0,0,B37/B$20)</f>
        <v>8.7912087912087919E-2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5">
      <c r="A38" s="19" t="s">
        <v>167</v>
      </c>
      <c r="B38" s="12">
        <v>9</v>
      </c>
      <c r="C38" s="6">
        <f t="shared" si="2"/>
        <v>9.8901098901098897E-2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5">
      <c r="A39" s="19" t="s">
        <v>168</v>
      </c>
      <c r="B39" s="124">
        <v>17</v>
      </c>
      <c r="C39" s="6">
        <f t="shared" si="2"/>
        <v>0.18681318681318682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5">
      <c r="A40" s="19" t="s">
        <v>169</v>
      </c>
      <c r="B40" s="124">
        <v>18</v>
      </c>
      <c r="C40" s="6">
        <f t="shared" si="2"/>
        <v>0.19780219780219779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5">
      <c r="A41" s="19" t="s">
        <v>170</v>
      </c>
      <c r="B41" s="124">
        <v>17</v>
      </c>
      <c r="C41" s="6">
        <f t="shared" si="2"/>
        <v>0.18681318681318682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5">
      <c r="A42" s="19" t="s">
        <v>172</v>
      </c>
      <c r="B42" s="124">
        <v>10</v>
      </c>
      <c r="C42" s="6">
        <f t="shared" si="2"/>
        <v>0.10989010989010989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13" x14ac:dyDescent="0.45">
      <c r="A43" s="19" t="s">
        <v>173</v>
      </c>
      <c r="B43" s="124">
        <v>6</v>
      </c>
      <c r="C43" s="6">
        <f t="shared" si="2"/>
        <v>6.5934065934065936E-2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3</v>
      </c>
      <c r="C44" s="6">
        <f t="shared" si="2"/>
        <v>3.2967032967032968E-2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2</v>
      </c>
      <c r="C45" s="6">
        <f t="shared" si="2"/>
        <v>2.197802197802198E-2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1.098901098901099E-2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0954B-8BE5-402D-8C7B-31E367C741D4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32</v>
      </c>
      <c r="C2" s="134"/>
      <c r="E2" s="26" t="s">
        <v>66</v>
      </c>
      <c r="F2" s="23" t="s">
        <v>22</v>
      </c>
      <c r="G2" s="11">
        <v>56</v>
      </c>
      <c r="H2" s="87">
        <f>IF(B$20=0,0,G2/B$20)</f>
        <v>0.66666666666666663</v>
      </c>
      <c r="I2" s="57">
        <v>10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934.375</v>
      </c>
      <c r="Q2" s="76">
        <v>32</v>
      </c>
      <c r="R2" s="63">
        <v>29900</v>
      </c>
    </row>
    <row r="3" spans="1:18" x14ac:dyDescent="0.45">
      <c r="A3" s="19" t="s">
        <v>8</v>
      </c>
      <c r="B3" s="135">
        <v>284</v>
      </c>
      <c r="C3" s="136"/>
      <c r="E3" s="27" t="s">
        <v>72</v>
      </c>
      <c r="F3" s="24" t="s">
        <v>27</v>
      </c>
      <c r="G3" s="12">
        <v>53</v>
      </c>
      <c r="H3" s="88">
        <f>IF(B$20=0,0,G3/B$20)</f>
        <v>0.63095238095238093</v>
      </c>
      <c r="I3" s="58">
        <v>4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-1356.25</v>
      </c>
      <c r="Q3" s="77">
        <v>32</v>
      </c>
      <c r="R3" s="64">
        <v>-43400</v>
      </c>
    </row>
    <row r="4" spans="1:18" x14ac:dyDescent="0.45">
      <c r="A4" s="19" t="s">
        <v>6</v>
      </c>
      <c r="B4" s="137">
        <v>-9.3000000000000096</v>
      </c>
      <c r="C4" s="138"/>
      <c r="E4" s="27" t="s">
        <v>64</v>
      </c>
      <c r="F4" s="24" t="s">
        <v>20</v>
      </c>
      <c r="G4" s="12">
        <v>36</v>
      </c>
      <c r="H4" s="88">
        <f>IF(B$20=0,0,G4/B$20)</f>
        <v>0.42857142857142855</v>
      </c>
      <c r="I4" s="58">
        <v>4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1415.625</v>
      </c>
      <c r="Q4" s="77">
        <v>32</v>
      </c>
      <c r="R4" s="64">
        <v>45300</v>
      </c>
    </row>
    <row r="5" spans="1:18" x14ac:dyDescent="0.45">
      <c r="A5" s="19" t="s">
        <v>7</v>
      </c>
      <c r="B5" s="125">
        <f>IF(B$2=0,0,B$4/B$2)</f>
        <v>-0.2906250000000003</v>
      </c>
      <c r="C5" s="126"/>
      <c r="E5" s="27" t="s">
        <v>68</v>
      </c>
      <c r="F5" s="24" t="s">
        <v>12</v>
      </c>
      <c r="G5" s="12">
        <v>27</v>
      </c>
      <c r="H5" s="88">
        <f>IF(B$20=0,0,G5/B$20)</f>
        <v>0.32142857142857145</v>
      </c>
      <c r="I5" s="58">
        <v>4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206.25</v>
      </c>
      <c r="Q5" s="77">
        <v>32</v>
      </c>
      <c r="R5" s="64">
        <v>6600</v>
      </c>
    </row>
    <row r="6" spans="1:18" x14ac:dyDescent="0.45">
      <c r="A6" s="19" t="s">
        <v>196</v>
      </c>
      <c r="B6" s="129">
        <v>1459.5077988287719</v>
      </c>
      <c r="C6" s="130"/>
      <c r="E6" s="27" t="s">
        <v>159</v>
      </c>
      <c r="F6" s="24" t="s">
        <v>160</v>
      </c>
      <c r="G6" s="12">
        <v>26</v>
      </c>
      <c r="H6" s="88">
        <f>IF(B$20=0,0,G6/B$20)</f>
        <v>0.30952380952380953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-1350</v>
      </c>
      <c r="Q6" s="77">
        <v>32</v>
      </c>
      <c r="R6" s="64">
        <v>-43200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24</v>
      </c>
      <c r="H7" s="88">
        <f>IF(B$20=0,0,G7/B$20)</f>
        <v>0.2857142857142857</v>
      </c>
      <c r="I7" s="58">
        <v>2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-20</v>
      </c>
      <c r="Q7" s="78">
        <v>25</v>
      </c>
      <c r="R7" s="65">
        <v>-500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0.34375</v>
      </c>
      <c r="E8" s="27" t="s">
        <v>89</v>
      </c>
      <c r="F8" s="24" t="s">
        <v>44</v>
      </c>
      <c r="G8" s="12">
        <v>11</v>
      </c>
      <c r="H8" s="88">
        <f>IF(B$20=0,0,G8/B$20)</f>
        <v>0.13095238095238096</v>
      </c>
      <c r="I8" s="58">
        <v>8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10</v>
      </c>
      <c r="C9" s="6">
        <f t="shared" si="1"/>
        <v>0.3125</v>
      </c>
      <c r="E9" s="27" t="s">
        <v>70</v>
      </c>
      <c r="F9" s="24" t="s">
        <v>25</v>
      </c>
      <c r="G9" s="12">
        <v>9</v>
      </c>
      <c r="H9" s="88">
        <f>IF(B$20=0,0,G9/B$20)</f>
        <v>0.10714285714285714</v>
      </c>
      <c r="I9" s="58">
        <v>4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11</v>
      </c>
      <c r="C10" s="7">
        <f t="shared" si="1"/>
        <v>0.34375</v>
      </c>
      <c r="E10" s="27" t="s">
        <v>69</v>
      </c>
      <c r="F10" s="24" t="s">
        <v>24</v>
      </c>
      <c r="G10" s="12">
        <v>8</v>
      </c>
      <c r="H10" s="88">
        <f>IF(B$20=0,0,G10/B$20)</f>
        <v>9.5238095238095233E-2</v>
      </c>
      <c r="I10" s="58">
        <v>7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8.6333333333333329</v>
      </c>
      <c r="Q10" s="76">
        <v>9</v>
      </c>
      <c r="R10" s="67">
        <v>77.7</v>
      </c>
    </row>
    <row r="11" spans="1:18" x14ac:dyDescent="0.45">
      <c r="A11" s="20" t="s">
        <v>184</v>
      </c>
      <c r="B11" s="109">
        <f>IF(B8=0,0,C11/B8)</f>
        <v>26.454545454545453</v>
      </c>
      <c r="C11" s="110">
        <v>291</v>
      </c>
      <c r="E11" s="27" t="s">
        <v>65</v>
      </c>
      <c r="F11" s="24" t="s">
        <v>21</v>
      </c>
      <c r="G11" s="12">
        <v>7</v>
      </c>
      <c r="H11" s="88">
        <f>IF(B$20=0,0,G11/B$20)</f>
        <v>8.3333333333333329E-2</v>
      </c>
      <c r="I11" s="58">
        <v>5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-2.5700000000000003</v>
      </c>
      <c r="Q11" s="77">
        <v>10</v>
      </c>
      <c r="R11" s="68">
        <v>-25.700000000000003</v>
      </c>
    </row>
    <row r="12" spans="1:18" x14ac:dyDescent="0.45">
      <c r="A12" s="20" t="s">
        <v>185</v>
      </c>
      <c r="B12" s="109">
        <f>IF(B9=0,0,C12/B9)</f>
        <v>4.54</v>
      </c>
      <c r="C12" s="110">
        <v>45.4</v>
      </c>
      <c r="E12" s="27" t="s">
        <v>71</v>
      </c>
      <c r="F12" s="24" t="s">
        <v>26</v>
      </c>
      <c r="G12" s="12">
        <v>4</v>
      </c>
      <c r="H12" s="88">
        <f>IF(B$20=0,0,G12/B$20)</f>
        <v>4.7619047619047616E-2</v>
      </c>
      <c r="I12" s="58">
        <v>7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-4.7153846153846164</v>
      </c>
      <c r="Q12" s="78">
        <v>13</v>
      </c>
      <c r="R12" s="69">
        <v>-61.300000000000018</v>
      </c>
    </row>
    <row r="13" spans="1:18" x14ac:dyDescent="0.45">
      <c r="A13" s="20" t="s">
        <v>186</v>
      </c>
      <c r="B13" s="109">
        <f>IF(B10=0,0,C13/B10)</f>
        <v>-31.427272727272726</v>
      </c>
      <c r="C13" s="110">
        <v>-345.7</v>
      </c>
      <c r="E13" s="27" t="s">
        <v>81</v>
      </c>
      <c r="F13" s="24" t="s">
        <v>36</v>
      </c>
      <c r="G13" s="12">
        <v>4</v>
      </c>
      <c r="H13" s="88">
        <f>IF(B$20=0,0,G13/B$20)</f>
        <v>4.7619047619047616E-2</v>
      </c>
      <c r="I13" s="58">
        <v>4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-0.14424242424242451</v>
      </c>
      <c r="C14" s="126"/>
      <c r="E14" s="27" t="s">
        <v>83</v>
      </c>
      <c r="F14" s="24" t="s">
        <v>38</v>
      </c>
      <c r="G14" s="12">
        <v>4</v>
      </c>
      <c r="H14" s="88">
        <f>IF(B$20=0,0,G14/B$20)</f>
        <v>4.7619047619047616E-2</v>
      </c>
      <c r="I14" s="58">
        <v>4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3.125E-2</v>
      </c>
      <c r="E15" s="27" t="s">
        <v>79</v>
      </c>
      <c r="F15" s="24" t="s">
        <v>34</v>
      </c>
      <c r="G15" s="12">
        <v>3</v>
      </c>
      <c r="H15" s="88">
        <f>IF(B$20=0,0,G15/B$20)</f>
        <v>3.5714285714285712E-2</v>
      </c>
      <c r="I15" s="58">
        <v>2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 t="shared" ref="P15:P20" si="2"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78</v>
      </c>
      <c r="C16" s="10">
        <f>IF(B$3=0,0,B16/B$3)</f>
        <v>0.27464788732394368</v>
      </c>
      <c r="E16" s="27" t="s">
        <v>78</v>
      </c>
      <c r="F16" s="24" t="s">
        <v>33</v>
      </c>
      <c r="G16" s="12">
        <v>2</v>
      </c>
      <c r="H16" s="88">
        <f>IF(B$20=0,0,G16/B$20)</f>
        <v>2.3809523809523808E-2</v>
      </c>
      <c r="I16" s="58">
        <v>6</v>
      </c>
      <c r="K16" s="74">
        <v>14</v>
      </c>
      <c r="L16" s="119">
        <v>42.800000000000004</v>
      </c>
      <c r="M16" s="117">
        <v>1451.8303148943594</v>
      </c>
      <c r="O16" s="74" t="s">
        <v>190</v>
      </c>
      <c r="P16" s="83">
        <f t="shared" si="2"/>
        <v>13.200000000000003</v>
      </c>
      <c r="Q16" s="77">
        <v>2</v>
      </c>
      <c r="R16" s="68">
        <v>26.400000000000006</v>
      </c>
    </row>
    <row r="17" spans="1:18" x14ac:dyDescent="0.45">
      <c r="A17" s="19" t="s">
        <v>118</v>
      </c>
      <c r="B17" s="12">
        <v>84</v>
      </c>
      <c r="C17" s="6">
        <f>IF(B$3=0,0,B17/B$3)</f>
        <v>0.29577464788732394</v>
      </c>
      <c r="E17" s="27" t="s">
        <v>86</v>
      </c>
      <c r="F17" s="24" t="s">
        <v>41</v>
      </c>
      <c r="G17" s="12">
        <v>2</v>
      </c>
      <c r="H17" s="88">
        <f>IF(B$20=0,0,G17/B$20)</f>
        <v>2.3809523809523808E-2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163</v>
      </c>
      <c r="P17" s="83">
        <f t="shared" si="2"/>
        <v>12.830000000000004</v>
      </c>
      <c r="Q17" s="77">
        <v>10</v>
      </c>
      <c r="R17" s="68">
        <v>128.30000000000004</v>
      </c>
    </row>
    <row r="18" spans="1:18" x14ac:dyDescent="0.45">
      <c r="A18" s="18" t="s">
        <v>123</v>
      </c>
      <c r="B18" s="11">
        <f>B24</f>
        <v>37</v>
      </c>
      <c r="C18" s="5">
        <f>IF(B$16=0,0,B18/B$16)</f>
        <v>0.47435897435897434</v>
      </c>
      <c r="E18" s="27" t="s">
        <v>91</v>
      </c>
      <c r="F18" s="24" t="s">
        <v>46</v>
      </c>
      <c r="G18" s="12">
        <v>2</v>
      </c>
      <c r="H18" s="88">
        <f>IF(B$20=0,0,G18/B$20)</f>
        <v>2.3809523809523808E-2</v>
      </c>
      <c r="I18" s="58">
        <v>2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 t="shared" si="2"/>
        <v>3.7137931034482738</v>
      </c>
      <c r="Q18" s="77">
        <v>29</v>
      </c>
      <c r="R18" s="68">
        <v>107.69999999999995</v>
      </c>
    </row>
    <row r="19" spans="1:18" x14ac:dyDescent="0.45">
      <c r="A19" s="18" t="s">
        <v>124</v>
      </c>
      <c r="B19" s="11">
        <f>B25</f>
        <v>32</v>
      </c>
      <c r="C19" s="5">
        <f>IF(B$17=0,0,B19/B$17)</f>
        <v>0.38095238095238093</v>
      </c>
      <c r="E19" s="27" t="s">
        <v>88</v>
      </c>
      <c r="F19" s="24" t="s">
        <v>43</v>
      </c>
      <c r="G19" s="12">
        <v>1</v>
      </c>
      <c r="H19" s="88">
        <f>IF(B$20=0,0,G19/B$20)</f>
        <v>1.1904761904761904E-2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 t="shared" si="2"/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84</v>
      </c>
      <c r="C20" s="5">
        <f>IF(B$3=0,0,B20/B$3)</f>
        <v>0.29577464788732394</v>
      </c>
      <c r="E20" s="27" t="s">
        <v>93</v>
      </c>
      <c r="F20" s="24" t="s">
        <v>48</v>
      </c>
      <c r="G20" s="12">
        <v>1</v>
      </c>
      <c r="H20" s="88">
        <f>IF(B$20=0,0,G20/B$20)</f>
        <v>1.1904761904761904E-2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 t="shared" si="2"/>
        <v>-19.570588235294121</v>
      </c>
      <c r="Q20" s="77">
        <v>17</v>
      </c>
      <c r="R20" s="68">
        <v>-332.70000000000005</v>
      </c>
    </row>
    <row r="21" spans="1:18" x14ac:dyDescent="0.45">
      <c r="A21" s="19" t="s">
        <v>13</v>
      </c>
      <c r="B21" s="12">
        <v>50</v>
      </c>
      <c r="C21" s="6">
        <f>IF(B$3=0,0,B21/B$3)</f>
        <v>0.176056338028169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42.400000000000006</v>
      </c>
      <c r="M21" s="117">
        <v>1456.6902885878533</v>
      </c>
    </row>
    <row r="22" spans="1:18" x14ac:dyDescent="0.45">
      <c r="A22" s="19" t="s">
        <v>12</v>
      </c>
      <c r="B22" s="12">
        <v>41</v>
      </c>
      <c r="C22" s="6">
        <f>IF(B$20=0,0,B22/B$20)</f>
        <v>0.48809523809523808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81.5</v>
      </c>
      <c r="M22" s="117">
        <v>1464.7801468563262</v>
      </c>
    </row>
    <row r="23" spans="1:18" x14ac:dyDescent="0.45">
      <c r="A23" s="19" t="s">
        <v>11</v>
      </c>
      <c r="B23" s="12">
        <v>43</v>
      </c>
      <c r="C23" s="6">
        <f>IF(B$20=0,0,B23/B$20)</f>
        <v>0.51190476190476186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15.099999999999994</v>
      </c>
      <c r="M23" s="117">
        <v>1453.7114659751883</v>
      </c>
    </row>
    <row r="24" spans="1:18" x14ac:dyDescent="0.45">
      <c r="A24" s="19" t="s">
        <v>183</v>
      </c>
      <c r="B24" s="12">
        <v>37</v>
      </c>
      <c r="C24" s="6">
        <f>IF(B$20=0,0,B24/B$20)</f>
        <v>0.44047619047619047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17.999999999999993</v>
      </c>
      <c r="M24" s="117">
        <v>1455.1831971793372</v>
      </c>
    </row>
    <row r="25" spans="1:18" x14ac:dyDescent="0.45">
      <c r="A25" s="19" t="s">
        <v>181</v>
      </c>
      <c r="B25" s="12">
        <v>32</v>
      </c>
      <c r="C25" s="6">
        <f>IF(B$20=0,0,B25/B$20)</f>
        <v>0.38095238095238093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46.199999999999989</v>
      </c>
      <c r="M25" s="117">
        <v>1461.2000979962611</v>
      </c>
    </row>
    <row r="26" spans="1:18" x14ac:dyDescent="0.45">
      <c r="A26" s="19" t="s">
        <v>182</v>
      </c>
      <c r="B26" s="12">
        <v>15</v>
      </c>
      <c r="C26" s="6">
        <f>IF(B$20=0,0,B26/B$20)</f>
        <v>0.17857142857142858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16.79999999999999</v>
      </c>
      <c r="M26" s="117">
        <v>1456.9028974082835</v>
      </c>
    </row>
    <row r="27" spans="1:18" x14ac:dyDescent="0.45">
      <c r="A27" s="19" t="s">
        <v>5</v>
      </c>
      <c r="B27" s="16">
        <f>IF(B$20=0,0,C27/B$20)</f>
        <v>7473.8095238095239</v>
      </c>
      <c r="C27" s="8">
        <v>627800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60.699999999999989</v>
      </c>
      <c r="M27" s="117">
        <v>1465.8254800238337</v>
      </c>
    </row>
    <row r="28" spans="1:18" x14ac:dyDescent="0.45">
      <c r="A28" s="20" t="s">
        <v>165</v>
      </c>
      <c r="B28" s="95">
        <f>IF($B$20-B$19=0,0,C28/($B$20-B$19))</f>
        <v>8734.6153846153848</v>
      </c>
      <c r="C28" s="96">
        <v>454200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5">
      <c r="A29" s="20" t="s">
        <v>166</v>
      </c>
      <c r="B29" s="95">
        <f>IF(B$19=0,0,C29/B$19)</f>
        <v>5425</v>
      </c>
      <c r="C29" s="96">
        <v>173600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17.199999999999989</v>
      </c>
      <c r="M29" s="117">
        <v>1459.8536799808285</v>
      </c>
    </row>
    <row r="30" spans="1:18" x14ac:dyDescent="0.45">
      <c r="A30" s="20" t="s">
        <v>164</v>
      </c>
      <c r="B30" s="95">
        <f>IF(B$21=0,0,C30/B$21)</f>
        <v>-7708</v>
      </c>
      <c r="C30" s="96">
        <v>-385400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61.199999999999989</v>
      </c>
      <c r="M30" s="117">
        <v>1468.6685579009436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36.699999999999989</v>
      </c>
      <c r="M31" s="117">
        <v>1465.0825465535379</v>
      </c>
    </row>
    <row r="32" spans="1:18" x14ac:dyDescent="0.45">
      <c r="A32" s="19" t="s">
        <v>158</v>
      </c>
      <c r="B32" s="12">
        <v>21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11.199999999999989</v>
      </c>
      <c r="M32" s="117">
        <v>1461.3380512742167</v>
      </c>
    </row>
    <row r="33" spans="1:13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13.599999999999989</v>
      </c>
      <c r="M33" s="117">
        <v>1462.7040229665713</v>
      </c>
    </row>
    <row r="34" spans="1:13" x14ac:dyDescent="0.45">
      <c r="A34" s="22" t="s">
        <v>180</v>
      </c>
      <c r="B34" s="129">
        <v>69000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5">
      <c r="A35" s="21" t="s">
        <v>137</v>
      </c>
      <c r="B35" s="29">
        <v>1</v>
      </c>
      <c r="C35" s="9">
        <f>IF(B$3=0,0,B35/B$3)</f>
        <v>3.5211267605633804E-3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13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13" x14ac:dyDescent="0.45">
      <c r="A37" s="54" t="s">
        <v>171</v>
      </c>
      <c r="B37" s="123">
        <v>10</v>
      </c>
      <c r="C37" s="98">
        <f t="shared" ref="C37:C49" si="3">IF(B$20=0,0,B37/B$20)</f>
        <v>0.11904761904761904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13" x14ac:dyDescent="0.45">
      <c r="A38" s="19" t="s">
        <v>167</v>
      </c>
      <c r="B38" s="12">
        <v>21</v>
      </c>
      <c r="C38" s="6">
        <f t="shared" si="3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14</v>
      </c>
      <c r="C39" s="6">
        <f t="shared" si="3"/>
        <v>0.16666666666666666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16</v>
      </c>
      <c r="C40" s="6">
        <f t="shared" si="3"/>
        <v>0.19047619047619047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5</v>
      </c>
      <c r="C41" s="6">
        <f t="shared" si="3"/>
        <v>5.9523809523809521E-2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5">
      <c r="A42" s="19" t="s">
        <v>172</v>
      </c>
      <c r="B42" s="124">
        <v>4</v>
      </c>
      <c r="C42" s="6">
        <f t="shared" si="3"/>
        <v>4.7619047619047616E-2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4</v>
      </c>
      <c r="C43" s="6">
        <f t="shared" si="3"/>
        <v>4.7619047619047616E-2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3"/>
        <v>2.3809523809523808E-2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4</v>
      </c>
      <c r="C45" s="6">
        <f t="shared" si="3"/>
        <v>4.7619047619047616E-2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3</v>
      </c>
      <c r="C46" s="6">
        <f t="shared" si="3"/>
        <v>3.5714285714285712E-2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3"/>
        <v>1.1904761904761904E-2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B0CBF-76F1-4D97-B8FF-C0A3EC60F132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17</v>
      </c>
      <c r="C2" s="134"/>
      <c r="E2" s="26" t="s">
        <v>66</v>
      </c>
      <c r="F2" s="23" t="s">
        <v>22</v>
      </c>
      <c r="G2" s="11">
        <v>30</v>
      </c>
      <c r="H2" s="87">
        <f>IF(B$20=0,0,G2/B$20)</f>
        <v>0.967741935483871</v>
      </c>
      <c r="I2" s="57">
        <v>2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-458.8235294117647</v>
      </c>
      <c r="Q2" s="76">
        <v>17</v>
      </c>
      <c r="R2" s="63">
        <v>-7800</v>
      </c>
    </row>
    <row r="3" spans="1:18" x14ac:dyDescent="0.45">
      <c r="A3" s="19" t="s">
        <v>8</v>
      </c>
      <c r="B3" s="135">
        <v>136</v>
      </c>
      <c r="C3" s="136"/>
      <c r="E3" s="27" t="s">
        <v>72</v>
      </c>
      <c r="F3" s="24" t="s">
        <v>27</v>
      </c>
      <c r="G3" s="12">
        <v>18</v>
      </c>
      <c r="H3" s="88">
        <f>IF(B$20=0,0,G3/B$20)</f>
        <v>0.58064516129032262</v>
      </c>
      <c r="I3" s="58">
        <v>7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1423.5294117647059</v>
      </c>
      <c r="Q3" s="77">
        <v>17</v>
      </c>
      <c r="R3" s="64">
        <v>24200</v>
      </c>
    </row>
    <row r="4" spans="1:18" x14ac:dyDescent="0.45">
      <c r="A4" s="19" t="s">
        <v>6</v>
      </c>
      <c r="B4" s="137">
        <v>-47.800000000000018</v>
      </c>
      <c r="C4" s="138"/>
      <c r="E4" s="27" t="s">
        <v>64</v>
      </c>
      <c r="F4" s="24" t="s">
        <v>20</v>
      </c>
      <c r="G4" s="12">
        <v>17</v>
      </c>
      <c r="H4" s="88">
        <f>IF(B$20=0,0,G4/B$20)</f>
        <v>0.54838709677419351</v>
      </c>
      <c r="I4" s="58">
        <v>1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747.05882352941171</v>
      </c>
      <c r="Q4" s="77">
        <v>17</v>
      </c>
      <c r="R4" s="64">
        <v>12700</v>
      </c>
    </row>
    <row r="5" spans="1:18" x14ac:dyDescent="0.45">
      <c r="A5" s="19" t="s">
        <v>7</v>
      </c>
      <c r="B5" s="125">
        <f>IF(B$2=0,0,B$4/B$2)</f>
        <v>-2.8117647058823541</v>
      </c>
      <c r="C5" s="126"/>
      <c r="E5" s="27" t="s">
        <v>159</v>
      </c>
      <c r="F5" s="24" t="s">
        <v>160</v>
      </c>
      <c r="G5" s="12">
        <v>14</v>
      </c>
      <c r="H5" s="88">
        <f>IF(B$20=0,0,G5/B$20)</f>
        <v>0.45161290322580644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-3120</v>
      </c>
      <c r="Q5" s="77">
        <v>15</v>
      </c>
      <c r="R5" s="64">
        <v>-46800</v>
      </c>
    </row>
    <row r="6" spans="1:18" x14ac:dyDescent="0.45">
      <c r="A6" s="19" t="s">
        <v>196</v>
      </c>
      <c r="B6" s="129">
        <v>1524.9050618397528</v>
      </c>
      <c r="C6" s="130"/>
      <c r="E6" s="27" t="s">
        <v>67</v>
      </c>
      <c r="F6" s="24" t="s">
        <v>23</v>
      </c>
      <c r="G6" s="12">
        <v>8</v>
      </c>
      <c r="H6" s="88">
        <f>IF(B$20=0,0,G6/B$20)</f>
        <v>0.25806451612903225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528.57142857142856</v>
      </c>
      <c r="Q6" s="77">
        <v>14</v>
      </c>
      <c r="R6" s="64">
        <v>7400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65</v>
      </c>
      <c r="F7" s="24" t="s">
        <v>21</v>
      </c>
      <c r="G7" s="12">
        <v>7</v>
      </c>
      <c r="H7" s="88">
        <f>IF(B$20=0,0,G7/B$20)</f>
        <v>0.22580645161290322</v>
      </c>
      <c r="I7" s="58">
        <v>1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-2318.181818181818</v>
      </c>
      <c r="Q7" s="78">
        <v>11</v>
      </c>
      <c r="R7" s="65">
        <v>-25500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0.23529411764705882</v>
      </c>
      <c r="E8" s="27" t="s">
        <v>69</v>
      </c>
      <c r="F8" s="24" t="s">
        <v>24</v>
      </c>
      <c r="G8" s="12">
        <v>5</v>
      </c>
      <c r="H8" s="88">
        <f>IF(B$20=0,0,G8/B$20)</f>
        <v>0.16129032258064516</v>
      </c>
      <c r="I8" s="58">
        <v>3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0.52941176470588236</v>
      </c>
      <c r="E9" s="27" t="s">
        <v>68</v>
      </c>
      <c r="F9" s="24" t="s">
        <v>12</v>
      </c>
      <c r="G9" s="12">
        <v>4</v>
      </c>
      <c r="H9" s="88">
        <f>IF(B$20=0,0,G9/B$20)</f>
        <v>0.12903225806451613</v>
      </c>
      <c r="I9" s="58">
        <v>11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0.23529411764705882</v>
      </c>
      <c r="E10" s="27" t="s">
        <v>89</v>
      </c>
      <c r="F10" s="24" t="s">
        <v>44</v>
      </c>
      <c r="G10" s="12">
        <v>3</v>
      </c>
      <c r="H10" s="88">
        <f>IF(B$20=0,0,G10/B$20)</f>
        <v>9.6774193548387094E-2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-16.766666666666666</v>
      </c>
      <c r="Q10" s="76">
        <v>6</v>
      </c>
      <c r="R10" s="67">
        <v>-100.6</v>
      </c>
    </row>
    <row r="11" spans="1:18" x14ac:dyDescent="0.45">
      <c r="A11" s="20" t="s">
        <v>184</v>
      </c>
      <c r="B11" s="109">
        <f>IF(B8=0,0,C11/B8)</f>
        <v>30.274999999999999</v>
      </c>
      <c r="C11" s="110">
        <v>121.1</v>
      </c>
      <c r="E11" s="27" t="s">
        <v>79</v>
      </c>
      <c r="F11" s="24" t="s">
        <v>34</v>
      </c>
      <c r="G11" s="12">
        <v>2</v>
      </c>
      <c r="H11" s="88">
        <f>IF(B$20=0,0,G11/B$20)</f>
        <v>6.4516129032258063E-2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-1.6999999999999993</v>
      </c>
      <c r="Q11" s="77">
        <v>4</v>
      </c>
      <c r="R11" s="68">
        <v>-6.7999999999999972</v>
      </c>
    </row>
    <row r="12" spans="1:18" x14ac:dyDescent="0.45">
      <c r="A12" s="20" t="s">
        <v>185</v>
      </c>
      <c r="B12" s="109">
        <f>IF(B9=0,0,C12/B9)</f>
        <v>-2.0999999999999996</v>
      </c>
      <c r="C12" s="110">
        <v>-18.899999999999999</v>
      </c>
      <c r="E12" s="27" t="s">
        <v>86</v>
      </c>
      <c r="F12" s="24" t="s">
        <v>41</v>
      </c>
      <c r="G12" s="12">
        <v>2</v>
      </c>
      <c r="H12" s="88">
        <f>IF(B$20=0,0,G12/B$20)</f>
        <v>6.4516129032258063E-2</v>
      </c>
      <c r="I12" s="58">
        <v>4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8.514285714285716</v>
      </c>
      <c r="Q12" s="78">
        <v>7</v>
      </c>
      <c r="R12" s="69">
        <v>59.600000000000009</v>
      </c>
    </row>
    <row r="13" spans="1:18" x14ac:dyDescent="0.45">
      <c r="A13" s="20" t="s">
        <v>186</v>
      </c>
      <c r="B13" s="109">
        <f>IF(B10=0,0,C13/B10)</f>
        <v>-37.5</v>
      </c>
      <c r="C13" s="110">
        <v>-150</v>
      </c>
      <c r="E13" s="27" t="s">
        <v>70</v>
      </c>
      <c r="F13" s="24" t="s">
        <v>25</v>
      </c>
      <c r="G13" s="12">
        <v>1</v>
      </c>
      <c r="H13" s="88">
        <f>IF(B$20=0,0,G13/B$20)</f>
        <v>3.2258064516129031E-2</v>
      </c>
      <c r="I13" s="58">
        <v>9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-3.1083333333333343</v>
      </c>
      <c r="C14" s="126"/>
      <c r="E14" s="27" t="s">
        <v>81</v>
      </c>
      <c r="F14" s="24" t="s">
        <v>36</v>
      </c>
      <c r="G14" s="12">
        <v>1</v>
      </c>
      <c r="H14" s="88">
        <f>IF(B$20=0,0,G14/B$20)</f>
        <v>3.2258064516129031E-2</v>
      </c>
      <c r="I14" s="58">
        <v>8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5.8823529411764705E-2</v>
      </c>
      <c r="E15" s="27" t="s">
        <v>83</v>
      </c>
      <c r="F15" s="24" t="s">
        <v>38</v>
      </c>
      <c r="G15" s="12">
        <v>1</v>
      </c>
      <c r="H15" s="88">
        <f>IF(B$20=0,0,G15/B$20)</f>
        <v>3.2258064516129031E-2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126</v>
      </c>
      <c r="P15" s="82">
        <f>IF(Q15=0,0,R15/Q15)</f>
        <v>-0.20714285714285804</v>
      </c>
      <c r="Q15" s="76">
        <v>14</v>
      </c>
      <c r="R15" s="67">
        <v>-2.9000000000000128</v>
      </c>
    </row>
    <row r="16" spans="1:18" x14ac:dyDescent="0.45">
      <c r="A16" s="22" t="s">
        <v>121</v>
      </c>
      <c r="B16" s="15">
        <v>30</v>
      </c>
      <c r="C16" s="10">
        <f>IF(B$3=0,0,B16/B$3)</f>
        <v>0.22058823529411764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K16" s="74">
        <v>14</v>
      </c>
      <c r="L16" s="119">
        <v>-79.200000000000017</v>
      </c>
      <c r="M16" s="117">
        <v>1517.1299332658102</v>
      </c>
      <c r="O16" s="74" t="s">
        <v>192</v>
      </c>
      <c r="P16" s="83">
        <f>IF(Q16=0,0,R16/Q16)</f>
        <v>-3.0714285714285707</v>
      </c>
      <c r="Q16" s="77">
        <v>7</v>
      </c>
      <c r="R16" s="68">
        <v>-21.499999999999996</v>
      </c>
    </row>
    <row r="17" spans="1:18" x14ac:dyDescent="0.45">
      <c r="A17" s="19" t="s">
        <v>118</v>
      </c>
      <c r="B17" s="12">
        <v>28</v>
      </c>
      <c r="C17" s="6">
        <f>IF(B$3=0,0,B17/B$3)</f>
        <v>0.20588235294117646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>IF(Q17=0,0,R17/Q17)</f>
        <v>-8.0399999999999991</v>
      </c>
      <c r="Q17" s="77">
        <v>5</v>
      </c>
      <c r="R17" s="68">
        <v>-40.199999999999996</v>
      </c>
    </row>
    <row r="18" spans="1:18" x14ac:dyDescent="0.45">
      <c r="A18" s="18" t="s">
        <v>123</v>
      </c>
      <c r="B18" s="11">
        <f>B24</f>
        <v>17</v>
      </c>
      <c r="C18" s="5">
        <f>IF(B$16=0,0,B18/B$16)</f>
        <v>0.56666666666666665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163</v>
      </c>
      <c r="P18" s="83">
        <f>IF(Q18=0,0,R18/Q18)</f>
        <v>-8.7333333333333325</v>
      </c>
      <c r="Q18" s="77">
        <v>6</v>
      </c>
      <c r="R18" s="68">
        <v>-52.4</v>
      </c>
    </row>
    <row r="19" spans="1:18" x14ac:dyDescent="0.45">
      <c r="A19" s="18" t="s">
        <v>124</v>
      </c>
      <c r="B19" s="11">
        <f>B25</f>
        <v>11</v>
      </c>
      <c r="C19" s="5">
        <f>IF(B$17=0,0,B19/B$17)</f>
        <v>0.39285714285714285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K19" s="74">
        <v>17</v>
      </c>
      <c r="L19" s="119">
        <v>-47.800000000000018</v>
      </c>
      <c r="M19" s="117">
        <v>1524.9050618397528</v>
      </c>
      <c r="O19" s="74" t="s">
        <v>189</v>
      </c>
      <c r="P19" s="83">
        <f>IF(Q19=0,0,R19/Q19)</f>
        <v>-13.200000000000003</v>
      </c>
      <c r="Q19" s="77">
        <v>2</v>
      </c>
      <c r="R19" s="68">
        <v>-26.400000000000006</v>
      </c>
    </row>
    <row r="20" spans="1:18" x14ac:dyDescent="0.45">
      <c r="A20" s="18" t="s">
        <v>10</v>
      </c>
      <c r="B20" s="11">
        <f>B23+B22</f>
        <v>31</v>
      </c>
      <c r="C20" s="5">
        <f>IF(B$3=0,0,B20/B$3)</f>
        <v>0.22794117647058823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14</v>
      </c>
      <c r="C21" s="6">
        <f>IF(B$3=0,0,B21/B$3)</f>
        <v>0.10294117647058823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4</v>
      </c>
      <c r="C22" s="6">
        <f>IF(B$20=0,0,B22/B$20)</f>
        <v>0.12903225806451613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27</v>
      </c>
      <c r="C23" s="6">
        <f>IF(B$20=0,0,B23/B$20)</f>
        <v>0.87096774193548387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17</v>
      </c>
      <c r="C24" s="6">
        <f>IF(B$20=0,0,B24/B$20)</f>
        <v>0.54838709677419351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11</v>
      </c>
      <c r="C25" s="6">
        <f>IF(B$20=0,0,B25/B$20)</f>
        <v>0.35483870967741937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3</v>
      </c>
      <c r="C26" s="6">
        <f>IF(B$20=0,0,B26/B$20)</f>
        <v>9.6774193548387094E-2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7654.8387096774195</v>
      </c>
      <c r="C27" s="8">
        <v>237300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7600</v>
      </c>
      <c r="C28" s="96">
        <v>152000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7754.545454545455</v>
      </c>
      <c r="C29" s="96">
        <v>85300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-5385.7142857142853</v>
      </c>
      <c r="C30" s="96">
        <v>-75400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28</v>
      </c>
      <c r="C32" s="90">
        <v>13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3.2258064516129031E-2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7</v>
      </c>
      <c r="C38" s="6">
        <f t="shared" si="2"/>
        <v>0.22580645161290322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2"/>
        <v>0.22580645161290322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8</v>
      </c>
      <c r="C40" s="6">
        <f t="shared" si="2"/>
        <v>0.25806451612903225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9.6774193548387094E-2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6.4516129032258063E-2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6.4516129032258063E-2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3.2258064516129031E-2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F1CDB-2796-4712-AE74-C542B28C762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31</v>
      </c>
      <c r="C2" s="134"/>
      <c r="E2" s="26" t="s">
        <v>66</v>
      </c>
      <c r="F2" s="23" t="s">
        <v>22</v>
      </c>
      <c r="G2" s="11">
        <v>61</v>
      </c>
      <c r="H2" s="87">
        <f>IF(B$20=0,0,G2/B$20)</f>
        <v>0.76249999999999996</v>
      </c>
      <c r="I2" s="57">
        <v>7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306.45161290322579</v>
      </c>
      <c r="Q2" s="76">
        <v>31</v>
      </c>
      <c r="R2" s="63">
        <v>9500</v>
      </c>
    </row>
    <row r="3" spans="1:18" x14ac:dyDescent="0.45">
      <c r="A3" s="19" t="s">
        <v>8</v>
      </c>
      <c r="B3" s="135">
        <v>251</v>
      </c>
      <c r="C3" s="136"/>
      <c r="E3" s="27" t="s">
        <v>72</v>
      </c>
      <c r="F3" s="24" t="s">
        <v>27</v>
      </c>
      <c r="G3" s="12">
        <v>48</v>
      </c>
      <c r="H3" s="88">
        <f>IF(B$20=0,0,G3/B$20)</f>
        <v>0.6</v>
      </c>
      <c r="I3" s="58">
        <v>5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1396.7741935483871</v>
      </c>
      <c r="Q3" s="77">
        <v>31</v>
      </c>
      <c r="R3" s="64">
        <v>43300</v>
      </c>
    </row>
    <row r="4" spans="1:18" x14ac:dyDescent="0.45">
      <c r="A4" s="19" t="s">
        <v>6</v>
      </c>
      <c r="B4" s="137">
        <v>119.79999999999998</v>
      </c>
      <c r="C4" s="138"/>
      <c r="E4" s="27" t="s">
        <v>64</v>
      </c>
      <c r="F4" s="24" t="s">
        <v>20</v>
      </c>
      <c r="G4" s="12">
        <v>31</v>
      </c>
      <c r="H4" s="88">
        <f>IF(B$20=0,0,G4/B$20)</f>
        <v>0.38750000000000001</v>
      </c>
      <c r="I4" s="58">
        <v>8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2129.0322580645161</v>
      </c>
      <c r="Q4" s="77">
        <v>31</v>
      </c>
      <c r="R4" s="64">
        <v>66000</v>
      </c>
    </row>
    <row r="5" spans="1:18" x14ac:dyDescent="0.45">
      <c r="A5" s="19" t="s">
        <v>7</v>
      </c>
      <c r="B5" s="125">
        <f>IF(B$2=0,0,B$4/B$2)</f>
        <v>3.8645161290322574</v>
      </c>
      <c r="C5" s="126"/>
      <c r="E5" s="27" t="s">
        <v>67</v>
      </c>
      <c r="F5" s="24" t="s">
        <v>23</v>
      </c>
      <c r="G5" s="12">
        <v>20</v>
      </c>
      <c r="H5" s="88">
        <f>IF(B$20=0,0,G5/B$20)</f>
        <v>0.25</v>
      </c>
      <c r="I5" s="58">
        <v>4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189.28571428571428</v>
      </c>
      <c r="Q5" s="77">
        <v>28</v>
      </c>
      <c r="R5" s="64">
        <v>5300</v>
      </c>
    </row>
    <row r="6" spans="1:18" x14ac:dyDescent="0.45">
      <c r="A6" s="19" t="s">
        <v>196</v>
      </c>
      <c r="B6" s="129">
        <v>1524.7772705857617</v>
      </c>
      <c r="C6" s="130"/>
      <c r="E6" s="27" t="s">
        <v>159</v>
      </c>
      <c r="F6" s="24" t="s">
        <v>160</v>
      </c>
      <c r="G6" s="12">
        <v>20</v>
      </c>
      <c r="H6" s="88">
        <f>IF(B$20=0,0,G6/B$20)</f>
        <v>0.25</v>
      </c>
      <c r="I6" s="58">
        <v>10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-1412.5</v>
      </c>
      <c r="Q6" s="77">
        <v>24</v>
      </c>
      <c r="R6" s="64">
        <v>-33900</v>
      </c>
    </row>
    <row r="7" spans="1:18" x14ac:dyDescent="0.45">
      <c r="A7" s="19" t="s">
        <v>1</v>
      </c>
      <c r="B7" s="139">
        <f>IF(B$2=0,0,(B$8*1+B$9*2+B$10*3)/B$2)</f>
        <v>1.903225806451613</v>
      </c>
      <c r="C7" s="140"/>
      <c r="E7" s="27" t="s">
        <v>68</v>
      </c>
      <c r="F7" s="24" t="s">
        <v>12</v>
      </c>
      <c r="G7" s="12">
        <v>19</v>
      </c>
      <c r="H7" s="88">
        <f>IF(B$20=0,0,G7/B$20)</f>
        <v>0.23749999999999999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954.5454545454545</v>
      </c>
      <c r="Q7" s="78">
        <v>22</v>
      </c>
      <c r="R7" s="65">
        <v>21000</v>
      </c>
    </row>
    <row r="8" spans="1:18" x14ac:dyDescent="0.45">
      <c r="A8" s="19" t="s">
        <v>2</v>
      </c>
      <c r="B8" s="12">
        <v>13</v>
      </c>
      <c r="C8" s="6">
        <f t="shared" ref="C8:C15" si="1">IF(B$2=0,0,B8/B$2)</f>
        <v>0.41935483870967744</v>
      </c>
      <c r="E8" s="27" t="s">
        <v>89</v>
      </c>
      <c r="F8" s="24" t="s">
        <v>44</v>
      </c>
      <c r="G8" s="12">
        <v>15</v>
      </c>
      <c r="H8" s="88">
        <f>IF(B$20=0,0,G8/B$20)</f>
        <v>0.1875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8</v>
      </c>
      <c r="C9" s="6">
        <f t="shared" si="1"/>
        <v>0.25806451612903225</v>
      </c>
      <c r="E9" s="27" t="s">
        <v>69</v>
      </c>
      <c r="F9" s="24" t="s">
        <v>24</v>
      </c>
      <c r="G9" s="12">
        <v>11</v>
      </c>
      <c r="H9" s="88">
        <f>IF(B$20=0,0,G9/B$20)</f>
        <v>0.13750000000000001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10</v>
      </c>
      <c r="C10" s="7">
        <f t="shared" si="1"/>
        <v>0.32258064516129031</v>
      </c>
      <c r="E10" s="27" t="s">
        <v>71</v>
      </c>
      <c r="F10" s="24" t="s">
        <v>26</v>
      </c>
      <c r="G10" s="12">
        <v>7</v>
      </c>
      <c r="H10" s="88">
        <f>IF(B$20=0,0,G10/B$20)</f>
        <v>8.7499999999999994E-2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-6.5571428571428569</v>
      </c>
      <c r="Q10" s="76">
        <v>7</v>
      </c>
      <c r="R10" s="67">
        <v>-45.9</v>
      </c>
    </row>
    <row r="11" spans="1:18" x14ac:dyDescent="0.45">
      <c r="A11" s="20" t="s">
        <v>184</v>
      </c>
      <c r="B11" s="109">
        <f>IF(B8=0,0,C11/B8)</f>
        <v>31.938461538461539</v>
      </c>
      <c r="C11" s="110">
        <v>415.2</v>
      </c>
      <c r="E11" s="27" t="s">
        <v>86</v>
      </c>
      <c r="F11" s="24" t="s">
        <v>41</v>
      </c>
      <c r="G11" s="12">
        <v>7</v>
      </c>
      <c r="H11" s="88">
        <f>IF(B$20=0,0,G11/B$20)</f>
        <v>8.7499999999999994E-2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6.5700000000000021</v>
      </c>
      <c r="Q11" s="77">
        <v>10</v>
      </c>
      <c r="R11" s="68">
        <v>65.700000000000017</v>
      </c>
    </row>
    <row r="12" spans="1:18" x14ac:dyDescent="0.45">
      <c r="A12" s="20" t="s">
        <v>185</v>
      </c>
      <c r="B12" s="109">
        <f>IF(B9=0,0,C12/B9)</f>
        <v>0.77499999999999969</v>
      </c>
      <c r="C12" s="110">
        <v>6.1999999999999975</v>
      </c>
      <c r="E12" s="27" t="s">
        <v>83</v>
      </c>
      <c r="F12" s="24" t="s">
        <v>38</v>
      </c>
      <c r="G12" s="12">
        <v>5</v>
      </c>
      <c r="H12" s="88">
        <f>IF(B$20=0,0,G12/B$20)</f>
        <v>6.25E-2</v>
      </c>
      <c r="I12" s="58">
        <v>2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7.1428571428571432</v>
      </c>
      <c r="Q12" s="78">
        <v>14</v>
      </c>
      <c r="R12" s="69">
        <v>100</v>
      </c>
    </row>
    <row r="13" spans="1:18" x14ac:dyDescent="0.45">
      <c r="A13" s="20" t="s">
        <v>186</v>
      </c>
      <c r="B13" s="109">
        <f>IF(B10=0,0,C13/B10)</f>
        <v>-30.160000000000004</v>
      </c>
      <c r="C13" s="110">
        <v>-301.60000000000002</v>
      </c>
      <c r="E13" s="27" t="s">
        <v>91</v>
      </c>
      <c r="F13" s="24" t="s">
        <v>46</v>
      </c>
      <c r="G13" s="12">
        <v>5</v>
      </c>
      <c r="H13" s="88">
        <f>IF(B$20=0,0,G13/B$20)</f>
        <v>6.25E-2</v>
      </c>
      <c r="I13" s="58">
        <v>1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0.85115384615384448</v>
      </c>
      <c r="C14" s="126"/>
      <c r="E14" s="27" t="s">
        <v>65</v>
      </c>
      <c r="F14" s="24" t="s">
        <v>21</v>
      </c>
      <c r="G14" s="12">
        <v>3</v>
      </c>
      <c r="H14" s="88">
        <f>IF(B$20=0,0,G14/B$20)</f>
        <v>3.7499999999999999E-2</v>
      </c>
      <c r="I14" s="58">
        <v>10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6.4516129032258063E-2</v>
      </c>
      <c r="E15" s="27" t="s">
        <v>70</v>
      </c>
      <c r="F15" s="24" t="s">
        <v>25</v>
      </c>
      <c r="G15" s="12">
        <v>3</v>
      </c>
      <c r="H15" s="88">
        <f>IF(B$20=0,0,G15/B$20)</f>
        <v>3.7499999999999999E-2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 t="shared" ref="P15:P23" si="2"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52</v>
      </c>
      <c r="C16" s="10">
        <f>IF(B$3=0,0,B16/B$3)</f>
        <v>0.20717131474103587</v>
      </c>
      <c r="E16" s="27" t="s">
        <v>78</v>
      </c>
      <c r="F16" s="24" t="s">
        <v>33</v>
      </c>
      <c r="G16" s="12">
        <v>3</v>
      </c>
      <c r="H16" s="88">
        <f>IF(B$20=0,0,G16/B$20)</f>
        <v>3.7499999999999999E-2</v>
      </c>
      <c r="I16" s="58">
        <v>2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 t="shared" si="2"/>
        <v>28.800000000000004</v>
      </c>
      <c r="Q16" s="77">
        <v>4</v>
      </c>
      <c r="R16" s="68">
        <v>115.20000000000002</v>
      </c>
    </row>
    <row r="17" spans="1:18" x14ac:dyDescent="0.45">
      <c r="A17" s="19" t="s">
        <v>118</v>
      </c>
      <c r="B17" s="12">
        <v>60</v>
      </c>
      <c r="C17" s="6">
        <f>IF(B$3=0,0,B17/B$3)</f>
        <v>0.23904382470119523</v>
      </c>
      <c r="E17" s="27" t="s">
        <v>81</v>
      </c>
      <c r="F17" s="24" t="s">
        <v>36</v>
      </c>
      <c r="G17" s="12">
        <v>3</v>
      </c>
      <c r="H17" s="88">
        <f>IF(B$20=0,0,G17/B$20)</f>
        <v>3.7499999999999999E-2</v>
      </c>
      <c r="I17" s="58">
        <v>5</v>
      </c>
      <c r="K17" s="74">
        <v>15</v>
      </c>
      <c r="L17" s="119">
        <v>75.200000000000017</v>
      </c>
      <c r="M17" s="117">
        <v>1508.6093345703989</v>
      </c>
      <c r="O17" s="74" t="s">
        <v>216</v>
      </c>
      <c r="P17" s="83">
        <f t="shared" si="2"/>
        <v>16.453846153846158</v>
      </c>
      <c r="Q17" s="77">
        <v>13</v>
      </c>
      <c r="R17" s="68">
        <v>213.90000000000003</v>
      </c>
    </row>
    <row r="18" spans="1:18" x14ac:dyDescent="0.45">
      <c r="A18" s="18" t="s">
        <v>123</v>
      </c>
      <c r="B18" s="11">
        <f>B24</f>
        <v>30</v>
      </c>
      <c r="C18" s="5">
        <f>IF(B$16=0,0,B18/B$16)</f>
        <v>0.57692307692307687</v>
      </c>
      <c r="E18" s="27" t="s">
        <v>73</v>
      </c>
      <c r="F18" s="24" t="s">
        <v>28</v>
      </c>
      <c r="G18" s="12">
        <v>2</v>
      </c>
      <c r="H18" s="88">
        <f>IF(B$20=0,0,G18/B$20)</f>
        <v>2.5000000000000001E-2</v>
      </c>
      <c r="I18" s="58">
        <v>1</v>
      </c>
      <c r="K18" s="74">
        <v>16</v>
      </c>
      <c r="L18" s="119">
        <v>83.000000000000014</v>
      </c>
      <c r="M18" s="117">
        <v>1510.5676785629764</v>
      </c>
      <c r="O18" s="74" t="s">
        <v>221</v>
      </c>
      <c r="P18" s="83">
        <f t="shared" si="2"/>
        <v>16.2</v>
      </c>
      <c r="Q18" s="77">
        <v>1</v>
      </c>
      <c r="R18" s="68">
        <v>16.2</v>
      </c>
    </row>
    <row r="19" spans="1:18" x14ac:dyDescent="0.45">
      <c r="A19" s="18" t="s">
        <v>124</v>
      </c>
      <c r="B19" s="11">
        <f>B25</f>
        <v>31</v>
      </c>
      <c r="C19" s="5">
        <f>IF(B$17=0,0,B19/B$17)</f>
        <v>0.51666666666666672</v>
      </c>
      <c r="E19" s="27" t="s">
        <v>75</v>
      </c>
      <c r="F19" s="24" t="s">
        <v>30</v>
      </c>
      <c r="G19" s="12">
        <v>1</v>
      </c>
      <c r="H19" s="88">
        <f>IF(B$20=0,0,G19/B$20)</f>
        <v>1.2500000000000001E-2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190</v>
      </c>
      <c r="P19" s="83">
        <f t="shared" si="2"/>
        <v>8.0399999999999974</v>
      </c>
      <c r="Q19" s="77">
        <v>5</v>
      </c>
      <c r="R19" s="68">
        <v>40.199999999999989</v>
      </c>
    </row>
    <row r="20" spans="1:18" x14ac:dyDescent="0.45">
      <c r="A20" s="18" t="s">
        <v>10</v>
      </c>
      <c r="B20" s="11">
        <f>B23+B22</f>
        <v>80</v>
      </c>
      <c r="C20" s="5">
        <f>IF(B$3=0,0,B20/B$3)</f>
        <v>0.31872509960159362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163</v>
      </c>
      <c r="P20" s="83">
        <f t="shared" si="2"/>
        <v>3.9166666666666674</v>
      </c>
      <c r="Q20" s="77">
        <v>12</v>
      </c>
      <c r="R20" s="68">
        <v>47.000000000000007</v>
      </c>
    </row>
    <row r="21" spans="1:18" x14ac:dyDescent="0.45">
      <c r="A21" s="19" t="s">
        <v>13</v>
      </c>
      <c r="B21" s="12">
        <v>35</v>
      </c>
      <c r="C21" s="6">
        <f>IF(B$3=0,0,B21/B$3)</f>
        <v>0.1394422310756972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189</v>
      </c>
      <c r="P21" s="83">
        <f t="shared" si="2"/>
        <v>-1.3800000000000014</v>
      </c>
      <c r="Q21" s="77">
        <v>5</v>
      </c>
      <c r="R21" s="68">
        <v>-6.9000000000000075</v>
      </c>
    </row>
    <row r="22" spans="1:18" x14ac:dyDescent="0.45">
      <c r="A22" s="19" t="s">
        <v>12</v>
      </c>
      <c r="B22" s="12">
        <v>32</v>
      </c>
      <c r="C22" s="6">
        <f>IF(B$20=0,0,B22/B$20)</f>
        <v>0.4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126</v>
      </c>
      <c r="P22" s="83">
        <f t="shared" si="2"/>
        <v>-5.0631578947368414</v>
      </c>
      <c r="Q22" s="77">
        <v>19</v>
      </c>
      <c r="R22" s="68">
        <v>-96.199999999999989</v>
      </c>
    </row>
    <row r="23" spans="1:18" x14ac:dyDescent="0.45">
      <c r="A23" s="19" t="s">
        <v>11</v>
      </c>
      <c r="B23" s="12">
        <v>48</v>
      </c>
      <c r="C23" s="6">
        <f>IF(B$20=0,0,B23/B$20)</f>
        <v>0.6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30</v>
      </c>
      <c r="C24" s="6">
        <f>IF(B$20=0,0,B24/B$20)</f>
        <v>0.375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31</v>
      </c>
      <c r="C25" s="6">
        <f>IF(B$20=0,0,B25/B$20)</f>
        <v>0.38750000000000001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5">
      <c r="A26" s="19" t="s">
        <v>182</v>
      </c>
      <c r="B26" s="12">
        <v>19</v>
      </c>
      <c r="C26" s="6">
        <f>IF(B$20=0,0,B26/B$20)</f>
        <v>0.23749999999999999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5">
      <c r="A27" s="19" t="s">
        <v>5</v>
      </c>
      <c r="B27" s="16">
        <f>IF(B$20=0,0,C27/B$20)</f>
        <v>7840</v>
      </c>
      <c r="C27" s="8">
        <v>627200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5">
      <c r="A28" s="20" t="s">
        <v>165</v>
      </c>
      <c r="B28" s="95">
        <f>IF($B$20-B$19=0,0,C28/($B$20-B$19))</f>
        <v>8169.3877551020405</v>
      </c>
      <c r="C28" s="96">
        <v>400300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5">
      <c r="A29" s="20" t="s">
        <v>166</v>
      </c>
      <c r="B29" s="95">
        <f>IF(B$19=0,0,C29/B$19)</f>
        <v>7319.3548387096771</v>
      </c>
      <c r="C29" s="96">
        <v>226900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124.79999999999998</v>
      </c>
      <c r="M29" s="117">
        <v>1523.2151898103687</v>
      </c>
    </row>
    <row r="30" spans="1:18" x14ac:dyDescent="0.45">
      <c r="A30" s="20" t="s">
        <v>164</v>
      </c>
      <c r="B30" s="95">
        <f>IF(B$21=0,0,C30/B$21)</f>
        <v>-6771.4285714285716</v>
      </c>
      <c r="C30" s="96">
        <v>-237000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106.39999999999998</v>
      </c>
      <c r="M30" s="117">
        <v>1520.3458986715063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5">
      <c r="A32" s="19" t="s">
        <v>158</v>
      </c>
      <c r="B32" s="12">
        <v>30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164.39999999999998</v>
      </c>
      <c r="M32" s="117">
        <v>1532.1702923398004</v>
      </c>
    </row>
    <row r="33" spans="1:13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13" x14ac:dyDescent="0.45">
      <c r="A35" s="21" t="s">
        <v>137</v>
      </c>
      <c r="B35" s="29">
        <v>3</v>
      </c>
      <c r="C35" s="9">
        <f>IF(B$3=0,0,B35/B$3)</f>
        <v>1.1952191235059761E-2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13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13" x14ac:dyDescent="0.45">
      <c r="A37" s="54" t="s">
        <v>171</v>
      </c>
      <c r="B37" s="123">
        <v>7</v>
      </c>
      <c r="C37" s="98">
        <f t="shared" ref="C37:C49" si="3">IF(B$20=0,0,B37/B$20)</f>
        <v>8.7499999999999994E-2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13" x14ac:dyDescent="0.45">
      <c r="A38" s="19" t="s">
        <v>167</v>
      </c>
      <c r="B38" s="12">
        <v>19</v>
      </c>
      <c r="C38" s="6">
        <f t="shared" si="3"/>
        <v>0.23749999999999999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13</v>
      </c>
      <c r="C39" s="6">
        <f t="shared" si="3"/>
        <v>0.16250000000000001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11</v>
      </c>
      <c r="C40" s="6">
        <f t="shared" si="3"/>
        <v>0.13750000000000001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10</v>
      </c>
      <c r="C41" s="6">
        <f t="shared" si="3"/>
        <v>0.125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5">
      <c r="A42" s="19" t="s">
        <v>172</v>
      </c>
      <c r="B42" s="124">
        <v>8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5</v>
      </c>
      <c r="C43" s="6">
        <f t="shared" si="3"/>
        <v>6.25E-2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4</v>
      </c>
      <c r="C44" s="6">
        <f t="shared" si="3"/>
        <v>0.05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3"/>
        <v>1.2500000000000001E-2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3"/>
        <v>1.2500000000000001E-2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1</v>
      </c>
      <c r="C47" s="6">
        <f t="shared" si="3"/>
        <v>1.2500000000000001E-2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2F089-D714-4333-BBF8-559A58232910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38</v>
      </c>
      <c r="C2" s="134"/>
      <c r="E2" s="26" t="s">
        <v>66</v>
      </c>
      <c r="F2" s="23" t="s">
        <v>22</v>
      </c>
      <c r="G2" s="11">
        <v>84</v>
      </c>
      <c r="H2" s="87">
        <f>IF(B$20=0,0,G2/B$20)</f>
        <v>0.74336283185840712</v>
      </c>
      <c r="I2" s="57">
        <v>9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68.421052631578945</v>
      </c>
      <c r="Q2" s="76">
        <v>38</v>
      </c>
      <c r="R2" s="63">
        <v>2600</v>
      </c>
    </row>
    <row r="3" spans="1:18" x14ac:dyDescent="0.45">
      <c r="A3" s="19" t="s">
        <v>8</v>
      </c>
      <c r="B3" s="135">
        <v>326</v>
      </c>
      <c r="C3" s="136"/>
      <c r="E3" s="27" t="s">
        <v>72</v>
      </c>
      <c r="F3" s="24" t="s">
        <v>27</v>
      </c>
      <c r="G3" s="12">
        <v>72</v>
      </c>
      <c r="H3" s="88">
        <f>IF(B$20=0,0,G3/B$20)</f>
        <v>0.63716814159292035</v>
      </c>
      <c r="I3" s="58">
        <v>3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2065.7142857142858</v>
      </c>
      <c r="Q3" s="77">
        <v>35</v>
      </c>
      <c r="R3" s="64">
        <v>72300</v>
      </c>
    </row>
    <row r="4" spans="1:18" x14ac:dyDescent="0.45">
      <c r="A4" s="19" t="s">
        <v>6</v>
      </c>
      <c r="B4" s="137">
        <v>329.99999999999994</v>
      </c>
      <c r="C4" s="138"/>
      <c r="E4" s="27" t="s">
        <v>159</v>
      </c>
      <c r="F4" s="24" t="s">
        <v>160</v>
      </c>
      <c r="G4" s="12">
        <v>58</v>
      </c>
      <c r="H4" s="88">
        <f>IF(B$20=0,0,G4/B$20)</f>
        <v>0.51327433628318586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77.777777777777771</v>
      </c>
      <c r="Q4" s="77">
        <v>36</v>
      </c>
      <c r="R4" s="64">
        <v>2800</v>
      </c>
    </row>
    <row r="5" spans="1:18" x14ac:dyDescent="0.45">
      <c r="A5" s="19" t="s">
        <v>7</v>
      </c>
      <c r="B5" s="125">
        <f>IF(B$2=0,0,B$4/B$2)</f>
        <v>8.6842105263157876</v>
      </c>
      <c r="C5" s="126"/>
      <c r="E5" s="27" t="s">
        <v>64</v>
      </c>
      <c r="F5" s="24" t="s">
        <v>20</v>
      </c>
      <c r="G5" s="12">
        <v>37</v>
      </c>
      <c r="H5" s="88">
        <f>IF(B$20=0,0,G5/B$20)</f>
        <v>0.32743362831858408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2585.294117647059</v>
      </c>
      <c r="Q5" s="77">
        <v>34</v>
      </c>
      <c r="R5" s="64">
        <v>87900</v>
      </c>
    </row>
    <row r="6" spans="1:18" x14ac:dyDescent="0.45">
      <c r="A6" s="19" t="s">
        <v>196</v>
      </c>
      <c r="B6" s="129">
        <v>1589.912780417498</v>
      </c>
      <c r="C6" s="130"/>
      <c r="E6" s="27" t="s">
        <v>68</v>
      </c>
      <c r="F6" s="24" t="s">
        <v>12</v>
      </c>
      <c r="G6" s="12">
        <v>30</v>
      </c>
      <c r="H6" s="88">
        <f>IF(B$20=0,0,G6/B$20)</f>
        <v>0.26548672566371684</v>
      </c>
      <c r="I6" s="58">
        <v>8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1851.6129032258063</v>
      </c>
      <c r="Q6" s="77">
        <v>31</v>
      </c>
      <c r="R6" s="64">
        <v>57400</v>
      </c>
    </row>
    <row r="7" spans="1:18" x14ac:dyDescent="0.45">
      <c r="A7" s="19" t="s">
        <v>1</v>
      </c>
      <c r="B7" s="139">
        <f>IF(B$2=0,0,(B$8*1+B$9*2+B$10*3)/B$2)</f>
        <v>1.7105263157894737</v>
      </c>
      <c r="C7" s="140"/>
      <c r="E7" s="27" t="s">
        <v>70</v>
      </c>
      <c r="F7" s="24" t="s">
        <v>25</v>
      </c>
      <c r="G7" s="12">
        <v>16</v>
      </c>
      <c r="H7" s="88">
        <f>IF(B$20=0,0,G7/B$20)</f>
        <v>0.1415929203539823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-32</v>
      </c>
      <c r="Q7" s="78">
        <v>25</v>
      </c>
      <c r="R7" s="65">
        <v>-800</v>
      </c>
    </row>
    <row r="8" spans="1:18" x14ac:dyDescent="0.45">
      <c r="A8" s="19" t="s">
        <v>2</v>
      </c>
      <c r="B8" s="12">
        <v>18</v>
      </c>
      <c r="C8" s="6">
        <f t="shared" ref="C8:C15" si="1">IF(B$2=0,0,B8/B$2)</f>
        <v>0.47368421052631576</v>
      </c>
      <c r="E8" s="27" t="s">
        <v>67</v>
      </c>
      <c r="F8" s="24" t="s">
        <v>23</v>
      </c>
      <c r="G8" s="12">
        <v>15</v>
      </c>
      <c r="H8" s="88">
        <f>IF(B$20=0,0,G8/B$20)</f>
        <v>0.13274336283185842</v>
      </c>
      <c r="I8" s="58">
        <v>10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13</v>
      </c>
      <c r="C9" s="6">
        <f t="shared" si="1"/>
        <v>0.34210526315789475</v>
      </c>
      <c r="E9" s="27" t="s">
        <v>89</v>
      </c>
      <c r="F9" s="24" t="s">
        <v>44</v>
      </c>
      <c r="G9" s="12">
        <v>13</v>
      </c>
      <c r="H9" s="88">
        <f>IF(B$20=0,0,G9/B$20)</f>
        <v>0.11504424778761062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0.18421052631578946</v>
      </c>
      <c r="E10" s="27" t="s">
        <v>69</v>
      </c>
      <c r="F10" s="24" t="s">
        <v>24</v>
      </c>
      <c r="G10" s="12">
        <v>9</v>
      </c>
      <c r="H10" s="88">
        <f>IF(B$20=0,0,G10/B$20)</f>
        <v>7.9646017699115043E-2</v>
      </c>
      <c r="I10" s="58">
        <v>8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16.837499999999999</v>
      </c>
      <c r="Q10" s="76">
        <v>16</v>
      </c>
      <c r="R10" s="67">
        <v>269.39999999999998</v>
      </c>
    </row>
    <row r="11" spans="1:18" x14ac:dyDescent="0.45">
      <c r="A11" s="20" t="s">
        <v>184</v>
      </c>
      <c r="B11" s="109">
        <f>IF(B8=0,0,C11/B8)</f>
        <v>35.81111111111111</v>
      </c>
      <c r="C11" s="110">
        <v>644.6</v>
      </c>
      <c r="E11" s="27" t="s">
        <v>71</v>
      </c>
      <c r="F11" s="24" t="s">
        <v>26</v>
      </c>
      <c r="G11" s="12">
        <v>9</v>
      </c>
      <c r="H11" s="88">
        <f>IF(B$20=0,0,G11/B$20)</f>
        <v>7.9646017699115043E-2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0.52142857142857169</v>
      </c>
      <c r="Q11" s="77">
        <v>14</v>
      </c>
      <c r="R11" s="68">
        <v>7.3000000000000043</v>
      </c>
    </row>
    <row r="12" spans="1:18" x14ac:dyDescent="0.45">
      <c r="A12" s="20" t="s">
        <v>185</v>
      </c>
      <c r="B12" s="109">
        <f>IF(B9=0,0,C12/B9)</f>
        <v>-5.1307692307692303</v>
      </c>
      <c r="C12" s="110">
        <v>-66.699999999999989</v>
      </c>
      <c r="E12" s="27" t="s">
        <v>65</v>
      </c>
      <c r="F12" s="24" t="s">
        <v>21</v>
      </c>
      <c r="G12" s="12">
        <v>5</v>
      </c>
      <c r="H12" s="88">
        <f>IF(B$20=0,0,G12/B$20)</f>
        <v>4.4247787610619468E-2</v>
      </c>
      <c r="I12" s="58">
        <v>9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6.6624999999999996</v>
      </c>
      <c r="Q12" s="78">
        <v>8</v>
      </c>
      <c r="R12" s="69">
        <v>53.3</v>
      </c>
    </row>
    <row r="13" spans="1:18" x14ac:dyDescent="0.45">
      <c r="A13" s="20" t="s">
        <v>186</v>
      </c>
      <c r="B13" s="109">
        <f>IF(B10=0,0,C13/B10)</f>
        <v>-35.414285714285718</v>
      </c>
      <c r="C13" s="110">
        <v>-247.9</v>
      </c>
      <c r="E13" s="27" t="s">
        <v>78</v>
      </c>
      <c r="F13" s="24" t="s">
        <v>33</v>
      </c>
      <c r="G13" s="12">
        <v>4</v>
      </c>
      <c r="H13" s="88">
        <f>IF(B$20=0,0,G13/B$20)</f>
        <v>3.5398230088495575E-2</v>
      </c>
      <c r="I13" s="58">
        <v>3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-1.5779812779812801</v>
      </c>
      <c r="C14" s="126"/>
      <c r="E14" s="27" t="s">
        <v>86</v>
      </c>
      <c r="F14" s="24" t="s">
        <v>41</v>
      </c>
      <c r="G14" s="12">
        <v>4</v>
      </c>
      <c r="H14" s="88">
        <f>IF(B$20=0,0,G14/B$20)</f>
        <v>3.5398230088495575E-2</v>
      </c>
      <c r="I14" s="58">
        <v>7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5.2631578947368418E-2</v>
      </c>
      <c r="E15" s="27" t="s">
        <v>79</v>
      </c>
      <c r="F15" s="24" t="s">
        <v>34</v>
      </c>
      <c r="G15" s="12">
        <v>3</v>
      </c>
      <c r="H15" s="88">
        <f>IF(B$20=0,0,G15/B$20)</f>
        <v>2.6548672566371681E-2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68</v>
      </c>
      <c r="C16" s="10">
        <f>IF(B$3=0,0,B16/B$3)</f>
        <v>0.20858895705521471</v>
      </c>
      <c r="E16" s="27" t="s">
        <v>81</v>
      </c>
      <c r="F16" s="24" t="s">
        <v>36</v>
      </c>
      <c r="G16" s="12">
        <v>3</v>
      </c>
      <c r="H16" s="88">
        <f>IF(B$20=0,0,G16/B$20)</f>
        <v>2.6548672566371681E-2</v>
      </c>
      <c r="I16" s="58">
        <v>9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82</v>
      </c>
      <c r="C17" s="6">
        <f>IF(B$3=0,0,B17/B$3)</f>
        <v>0.25153374233128833</v>
      </c>
      <c r="E17" s="27" t="s">
        <v>83</v>
      </c>
      <c r="F17" s="24" t="s">
        <v>38</v>
      </c>
      <c r="G17" s="12">
        <v>2</v>
      </c>
      <c r="H17" s="88">
        <f>IF(B$20=0,0,G17/B$20)</f>
        <v>1.7699115044247787E-2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>IF(Q17=0,0,R17/Q17)</f>
        <v>19.570588235294117</v>
      </c>
      <c r="Q17" s="77">
        <v>17</v>
      </c>
      <c r="R17" s="68">
        <v>332.7</v>
      </c>
    </row>
    <row r="18" spans="1:18" x14ac:dyDescent="0.45">
      <c r="A18" s="18" t="s">
        <v>123</v>
      </c>
      <c r="B18" s="11">
        <f>B24</f>
        <v>36</v>
      </c>
      <c r="C18" s="5">
        <f>IF(B$16=0,0,B18/B$16)</f>
        <v>0.52941176470588236</v>
      </c>
      <c r="E18" s="27" t="s">
        <v>73</v>
      </c>
      <c r="F18" s="24" t="s">
        <v>28</v>
      </c>
      <c r="G18" s="12">
        <v>1</v>
      </c>
      <c r="H18" s="88">
        <f>IF(B$20=0,0,G18/B$20)</f>
        <v>8.8495575221238937E-3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>IF(Q18=0,0,R18/Q18)</f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39</v>
      </c>
      <c r="C19" s="5">
        <f>IF(B$17=0,0,B19/B$17)</f>
        <v>0.47560975609756095</v>
      </c>
      <c r="E19" s="27" t="s">
        <v>88</v>
      </c>
      <c r="F19" s="24" t="s">
        <v>43</v>
      </c>
      <c r="G19" s="12">
        <v>1</v>
      </c>
      <c r="H19" s="88">
        <f>IF(B$20=0,0,G19/B$20)</f>
        <v>8.8495575221238937E-3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>IF(Q19=0,0,R19/Q19)</f>
        <v>14.799999999999999</v>
      </c>
      <c r="Q19" s="77">
        <v>9</v>
      </c>
      <c r="R19" s="68">
        <v>133.19999999999999</v>
      </c>
    </row>
    <row r="20" spans="1:18" x14ac:dyDescent="0.45">
      <c r="A20" s="18" t="s">
        <v>10</v>
      </c>
      <c r="B20" s="11">
        <f>B23+B22</f>
        <v>113</v>
      </c>
      <c r="C20" s="5">
        <f>IF(B$3=0,0,B20/B$3)</f>
        <v>0.34662576687116564</v>
      </c>
      <c r="E20" s="27" t="s">
        <v>92</v>
      </c>
      <c r="F20" s="24" t="s">
        <v>47</v>
      </c>
      <c r="G20" s="12">
        <v>1</v>
      </c>
      <c r="H20" s="88">
        <f>IF(B$20=0,0,G20/B$20)</f>
        <v>8.8495575221238937E-3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>IF(Q20=0,0,R20/Q20)</f>
        <v>11.978124999999997</v>
      </c>
      <c r="Q20" s="77">
        <v>32</v>
      </c>
      <c r="R20" s="68">
        <v>383.2999999999999</v>
      </c>
    </row>
    <row r="21" spans="1:18" x14ac:dyDescent="0.45">
      <c r="A21" s="19" t="s">
        <v>13</v>
      </c>
      <c r="B21" s="12">
        <v>39</v>
      </c>
      <c r="C21" s="6">
        <f>IF(B$3=0,0,B21/B$3)</f>
        <v>0.1196319018404908</v>
      </c>
      <c r="E21" s="27" t="s">
        <v>102</v>
      </c>
      <c r="F21" s="24" t="s">
        <v>57</v>
      </c>
      <c r="G21" s="12">
        <v>1</v>
      </c>
      <c r="H21" s="88">
        <f>IF(B$20=0,0,G21/B$20)</f>
        <v>8.8495575221238937E-3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>IF(Q21=0,0,R21/Q21)</f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47</v>
      </c>
      <c r="C22" s="6">
        <f>IF(B$20=0,0,B22/B$20)</f>
        <v>0.41592920353982299</v>
      </c>
      <c r="E22" s="27" t="s">
        <v>155</v>
      </c>
      <c r="F22" s="24" t="s">
        <v>156</v>
      </c>
      <c r="G22" s="12">
        <v>1</v>
      </c>
      <c r="H22" s="88">
        <f>IF(B$20=0,0,G22/B$20)</f>
        <v>8.8495575221238937E-3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>IF(Q22=0,0,R22/Q22)</f>
        <v>-28.799999999999997</v>
      </c>
      <c r="Q22" s="77">
        <v>4</v>
      </c>
      <c r="R22" s="68">
        <v>-115.19999999999999</v>
      </c>
    </row>
    <row r="23" spans="1:18" x14ac:dyDescent="0.45">
      <c r="A23" s="19" t="s">
        <v>11</v>
      </c>
      <c r="B23" s="12">
        <v>66</v>
      </c>
      <c r="C23" s="6">
        <f>IF(B$20=0,0,B23/B$20)</f>
        <v>0.58407079646017701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36</v>
      </c>
      <c r="C24" s="6">
        <f>IF(B$20=0,0,B24/B$20)</f>
        <v>0.31858407079646017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39</v>
      </c>
      <c r="C25" s="6">
        <f>IF(B$20=0,0,B25/B$20)</f>
        <v>0.34513274336283184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38</v>
      </c>
      <c r="C26" s="6">
        <f>IF(B$20=0,0,B26/B$20)</f>
        <v>0.33628318584070799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7695.575221238938</v>
      </c>
      <c r="C27" s="8">
        <v>869600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9013.5135135135133</v>
      </c>
      <c r="C28" s="96">
        <v>667000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5194.8717948717949</v>
      </c>
      <c r="C29" s="96">
        <v>202600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-7448.7179487179483</v>
      </c>
      <c r="C30" s="96">
        <v>-290500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65</v>
      </c>
      <c r="C32" s="90">
        <v>65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5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5">
      <c r="A37" s="54" t="s">
        <v>171</v>
      </c>
      <c r="B37" s="123">
        <v>11</v>
      </c>
      <c r="C37" s="98">
        <f t="shared" ref="C37:C49" si="2">IF(B$20=0,0,B37/B$20)</f>
        <v>9.7345132743362831E-2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5">
      <c r="A38" s="19" t="s">
        <v>167</v>
      </c>
      <c r="B38" s="12">
        <v>25</v>
      </c>
      <c r="C38" s="6">
        <f t="shared" si="2"/>
        <v>0.22123893805309736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5">
      <c r="A39" s="19" t="s">
        <v>168</v>
      </c>
      <c r="B39" s="124">
        <v>26</v>
      </c>
      <c r="C39" s="6">
        <f t="shared" si="2"/>
        <v>0.23008849557522124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5">
      <c r="A40" s="19" t="s">
        <v>169</v>
      </c>
      <c r="B40" s="124">
        <v>17</v>
      </c>
      <c r="C40" s="6">
        <f t="shared" si="2"/>
        <v>0.15044247787610621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5">
      <c r="A41" s="19" t="s">
        <v>170</v>
      </c>
      <c r="B41" s="124">
        <v>17</v>
      </c>
      <c r="C41" s="6">
        <f t="shared" si="2"/>
        <v>0.15044247787610621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3</v>
      </c>
      <c r="C42" s="6">
        <f t="shared" si="2"/>
        <v>2.6548672566371681E-2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8</v>
      </c>
      <c r="C43" s="6">
        <f t="shared" si="2"/>
        <v>7.0796460176991149E-2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2"/>
        <v>1.7699115044247787E-2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2"/>
        <v>8.8495575221238937E-3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8.8495575221238937E-3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2</v>
      </c>
      <c r="C49" s="9">
        <f t="shared" si="2"/>
        <v>1.7699115044247787E-2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7BCF3-B003-419F-9A01-7D54A7803046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5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5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5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5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5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5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9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2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5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4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5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5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5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42F72-2CE2-4F00-9BF3-2E919059608B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8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4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54B0B-994B-4B66-9FB9-9E7AD05D511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8</v>
      </c>
      <c r="C2" s="134"/>
      <c r="E2" s="26" t="s">
        <v>66</v>
      </c>
      <c r="F2" s="23" t="s">
        <v>22</v>
      </c>
      <c r="G2" s="11">
        <v>16</v>
      </c>
      <c r="H2" s="87">
        <f>IF(B$20=0,0,G2/B$20)</f>
        <v>0.84210526315789469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-5575</v>
      </c>
      <c r="Q2" s="76">
        <v>8</v>
      </c>
      <c r="R2" s="63">
        <v>-44600</v>
      </c>
    </row>
    <row r="3" spans="1:18" x14ac:dyDescent="0.45">
      <c r="A3" s="19" t="s">
        <v>8</v>
      </c>
      <c r="B3" s="135">
        <v>65</v>
      </c>
      <c r="C3" s="136"/>
      <c r="E3" s="27" t="s">
        <v>159</v>
      </c>
      <c r="F3" s="24" t="s">
        <v>160</v>
      </c>
      <c r="G3" s="12">
        <v>12</v>
      </c>
      <c r="H3" s="88">
        <f>IF(B$20=0,0,G3/B$20)</f>
        <v>0.63157894736842102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6157.1428571428569</v>
      </c>
      <c r="Q3" s="77">
        <v>7</v>
      </c>
      <c r="R3" s="64">
        <v>43100</v>
      </c>
    </row>
    <row r="4" spans="1:18" x14ac:dyDescent="0.45">
      <c r="A4" s="19" t="s">
        <v>6</v>
      </c>
      <c r="B4" s="137">
        <v>-45.7</v>
      </c>
      <c r="C4" s="138"/>
      <c r="E4" s="27" t="s">
        <v>64</v>
      </c>
      <c r="F4" s="24" t="s">
        <v>20</v>
      </c>
      <c r="G4" s="12">
        <v>10</v>
      </c>
      <c r="H4" s="88">
        <f>IF(B$20=0,0,G4/B$20)</f>
        <v>0.52631578947368418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-1325</v>
      </c>
      <c r="Q4" s="77">
        <v>8</v>
      </c>
      <c r="R4" s="64">
        <v>-10600</v>
      </c>
    </row>
    <row r="5" spans="1:18" x14ac:dyDescent="0.45">
      <c r="A5" s="19" t="s">
        <v>7</v>
      </c>
      <c r="B5" s="125">
        <f>IF(B$2=0,0,B$4/B$2)</f>
        <v>-5.7125000000000004</v>
      </c>
      <c r="C5" s="126"/>
      <c r="E5" s="27" t="s">
        <v>68</v>
      </c>
      <c r="F5" s="24" t="s">
        <v>12</v>
      </c>
      <c r="G5" s="12">
        <v>9</v>
      </c>
      <c r="H5" s="88">
        <f>IF(B$20=0,0,G5/B$20)</f>
        <v>0.47368421052631576</v>
      </c>
      <c r="I5" s="58">
        <v>2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-6850</v>
      </c>
      <c r="Q5" s="77">
        <v>8</v>
      </c>
      <c r="R5" s="64">
        <v>-54800</v>
      </c>
    </row>
    <row r="6" spans="1:18" x14ac:dyDescent="0.45">
      <c r="A6" s="19" t="s">
        <v>196</v>
      </c>
      <c r="B6" s="129">
        <v>1392.9145746195986</v>
      </c>
      <c r="C6" s="130"/>
      <c r="E6" s="27" t="s">
        <v>72</v>
      </c>
      <c r="F6" s="24" t="s">
        <v>27</v>
      </c>
      <c r="G6" s="12">
        <v>8</v>
      </c>
      <c r="H6" s="88">
        <f>IF(B$20=0,0,G6/B$20)</f>
        <v>0.42105263157894735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1742.8571428571429</v>
      </c>
      <c r="Q6" s="77">
        <v>7</v>
      </c>
      <c r="R6" s="64">
        <v>12200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7</v>
      </c>
      <c r="H7" s="88">
        <f>IF(B$20=0,0,G7/B$20)</f>
        <v>0.36842105263157893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1285.7142857142858</v>
      </c>
      <c r="Q7" s="78">
        <v>7</v>
      </c>
      <c r="R7" s="65">
        <v>9000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6</v>
      </c>
      <c r="H8" s="88">
        <f>IF(B$20=0,0,G8/B$20)</f>
        <v>0.31578947368421051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3</v>
      </c>
      <c r="H9" s="88">
        <f>IF(B$20=0,0,G9/B$20)</f>
        <v>0.15789473684210525</v>
      </c>
      <c r="I9" s="58">
        <v>3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5.2631578947368418E-2</v>
      </c>
      <c r="I10" s="58">
        <v>7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28.724999999999998</v>
      </c>
      <c r="C11" s="110">
        <v>114.89999999999999</v>
      </c>
      <c r="E11" s="27" t="s">
        <v>81</v>
      </c>
      <c r="F11" s="24" t="s">
        <v>36</v>
      </c>
      <c r="G11" s="12">
        <v>1</v>
      </c>
      <c r="H11" s="88">
        <f>IF(B$20=0,0,G11/B$20)</f>
        <v>5.2631578947368418E-2</v>
      </c>
      <c r="I11" s="58">
        <v>3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89</v>
      </c>
      <c r="F12" s="24" t="s">
        <v>44</v>
      </c>
      <c r="G12" s="12">
        <v>1</v>
      </c>
      <c r="H12" s="88">
        <f>IF(B$20=0,0,G12/B$20)</f>
        <v>5.2631578947368418E-2</v>
      </c>
      <c r="I12" s="58">
        <v>11</v>
      </c>
      <c r="O12" s="75" t="s">
        <v>153</v>
      </c>
      <c r="P12" s="84">
        <f>IF(Q12=0,0,R12/Q12)</f>
        <v>-7.0250000000000004</v>
      </c>
      <c r="Q12" s="78">
        <v>4</v>
      </c>
      <c r="R12" s="69">
        <v>-28.1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-3.8083333333333336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0.25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39.850000000000009</v>
      </c>
      <c r="Q15" s="76">
        <v>2</v>
      </c>
      <c r="R15" s="67">
        <v>79.700000000000017</v>
      </c>
    </row>
    <row r="16" spans="1:18" x14ac:dyDescent="0.45">
      <c r="A16" s="22" t="s">
        <v>121</v>
      </c>
      <c r="B16" s="15">
        <v>13</v>
      </c>
      <c r="C16" s="10">
        <f>IF(B$3=0,0,B16/B$3)</f>
        <v>0.2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9</v>
      </c>
      <c r="C17" s="6">
        <f>IF(B$3=0,0,B17/B$3)</f>
        <v>0.13846153846153847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0.45000000000000046</v>
      </c>
      <c r="Q17" s="77">
        <v>6</v>
      </c>
      <c r="R17" s="68">
        <v>2.7000000000000028</v>
      </c>
    </row>
    <row r="18" spans="1:18" x14ac:dyDescent="0.45">
      <c r="A18" s="18" t="s">
        <v>123</v>
      </c>
      <c r="B18" s="11">
        <f>B24</f>
        <v>10</v>
      </c>
      <c r="C18" s="5">
        <f>IF(B$16=0,0,B18/B$16)</f>
        <v>0.76923076923076927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  <c r="O18" s="74" t="s">
        <v>192</v>
      </c>
      <c r="P18" s="83">
        <f>IF(Q18=0,0,R18/Q18)</f>
        <v>-36.479999999999997</v>
      </c>
      <c r="Q18" s="77">
        <v>5</v>
      </c>
      <c r="R18" s="68">
        <v>-182.39999999999998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0.44444444444444442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8</v>
      </c>
      <c r="O19" s="74" t="s">
        <v>211</v>
      </c>
      <c r="P19" s="83">
        <f>IF(Q19=0,0,R19/Q19)</f>
        <v>-44.4</v>
      </c>
      <c r="Q19" s="77">
        <v>1</v>
      </c>
      <c r="R19" s="68">
        <v>-44.4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0.29230769230769232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11</v>
      </c>
      <c r="C21" s="6">
        <f>IF(B$3=0,0,B21/B$3)</f>
        <v>0.16923076923076924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9</v>
      </c>
      <c r="C22" s="6">
        <f>IF(B$20=0,0,B22/B$20)</f>
        <v>0.47368421052631576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10</v>
      </c>
      <c r="C23" s="6">
        <f>IF(B$20=0,0,B23/B$20)</f>
        <v>0.52631578947368418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10</v>
      </c>
      <c r="C24" s="6">
        <f>IF(B$20=0,0,B24/B$20)</f>
        <v>0.52631578947368418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0.21052631578947367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5</v>
      </c>
      <c r="C26" s="6">
        <f>IF(B$20=0,0,B26/B$20)</f>
        <v>0.26315789473684209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8526.3157894736851</v>
      </c>
      <c r="C27" s="8">
        <v>162000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8720</v>
      </c>
      <c r="C28" s="96">
        <v>130800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7800</v>
      </c>
      <c r="C29" s="96">
        <v>31200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-7154.545454545455</v>
      </c>
      <c r="C30" s="96">
        <v>-78700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15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1.5384615384615385E-2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0.21052631578947367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4</v>
      </c>
      <c r="C39" s="6">
        <f t="shared" si="2"/>
        <v>0.21052631578947367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5</v>
      </c>
      <c r="C40" s="6">
        <f t="shared" si="2"/>
        <v>0.26315789473684209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0.10526315789473684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0.15789473684210525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5.2631578947368418E-2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1368-171F-4585-BDE9-E4BD1169404F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1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6419B-B8E6-4578-B5CA-AF41D426B576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B0188-87C9-4894-85F4-DA9C7887EC0B}">
  <sheetPr codeName="Sheet24"/>
  <dimension ref="A1:Q1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5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5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2DEA6-0140-44DE-BDE5-4A272D593F70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BF506-00EF-4F64-A889-066789A7275E}">
  <sheetPr codeName="Sheet20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5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5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5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5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A0CA8-74CF-4DF4-92EB-312E8B0E0C76}">
  <sheetPr codeName="Sheet18"/>
  <dimension ref="A1:Q4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5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5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5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5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5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5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5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5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5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AEE92-920B-4A70-9C5A-0A59F0437585}">
  <sheetPr codeName="Sheet16"/>
  <dimension ref="A1:Q3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5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5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5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5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5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5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5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5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5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23A6E-89C4-41B9-ADF1-DF16E443D252}">
  <sheetPr codeName="Sheet14"/>
  <dimension ref="A1:Q2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5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5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5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5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5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5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5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A71FC-2D2D-4931-B45C-2343D01D655B}">
  <sheetPr codeName="Sheet12"/>
  <dimension ref="A1:Q3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5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5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5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5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5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5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5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5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5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5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5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5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5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5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8395-EB67-482F-ACF4-8E4B7986C530}">
  <sheetPr codeName="Sheet10"/>
  <dimension ref="A1:Q4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5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5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5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5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5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5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5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5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5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5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5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5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5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5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5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5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5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5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5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5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5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5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EB820-E466-4097-BF53-FC57CA425394}">
  <sheetPr codeName="Sheet8"/>
  <dimension ref="A1:Q7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5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5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5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5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5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5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5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5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5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5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5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5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5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5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5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5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5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5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5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5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5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5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5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5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5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5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5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5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5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FE85-2393-4A76-90D7-7AC96D91B1D9}">
  <sheetPr codeName="Sheet6"/>
  <dimension ref="A1:Q9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5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5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5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5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5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5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5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5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5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5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5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5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5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5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5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5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5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5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5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5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5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5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5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5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5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5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5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5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5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5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5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5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2020-11-17T09:32:03Z</dcterms:modified>
</cp:coreProperties>
</file>