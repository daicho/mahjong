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7686778-649F-4EF8-A691-4CAE058075D9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わさび2" sheetId="7001" state="hidden" r:id="rId17"/>
    <sheet name="りくと2" sheetId="6999" state="hidden" r:id="rId18"/>
    <sheet name="のり2" sheetId="6997" state="hidden" r:id="rId19"/>
    <sheet name="たか2" sheetId="6995" state="hidden" r:id="rId20"/>
    <sheet name="ただ2" sheetId="6993" state="hidden" r:id="rId21"/>
    <sheet name="いちかわ2" sheetId="6991" state="hidden" r:id="rId22"/>
    <sheet name="まっつん2" sheetId="6989" state="hidden" r:id="rId23"/>
    <sheet name="たかの2" sheetId="6987" state="hidden" r:id="rId24"/>
    <sheet name="れんたろう2" sheetId="6985" state="hidden" r:id="rId25"/>
    <sheet name="だいち2" sheetId="6983" state="hidden" r:id="rId26"/>
    <sheet name="全体2" sheetId="698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98" l="1"/>
  <c r="P15" i="6986"/>
  <c r="P16" i="6998" l="1"/>
  <c r="P19" i="6988"/>
  <c r="P16" i="6984" l="1"/>
  <c r="P17" i="6988"/>
  <c r="P15" i="6998" l="1"/>
  <c r="P21" i="6984"/>
  <c r="P17" i="6986" l="1"/>
  <c r="P20" i="6988"/>
  <c r="P21" i="6992"/>
  <c r="P15" i="6988"/>
  <c r="P19" i="6994" l="1"/>
  <c r="P16" i="6986"/>
  <c r="P17" i="6998" l="1"/>
  <c r="P22" i="6982"/>
  <c r="P22" i="6990" l="1"/>
  <c r="P19" i="6986"/>
  <c r="P15" i="6992" l="1"/>
  <c r="P18" i="6992"/>
  <c r="P20" i="6998"/>
  <c r="P17" i="7000"/>
  <c r="P17" i="6990"/>
  <c r="P19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7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17" i="6984" l="1"/>
  <c r="P19" i="6992"/>
  <c r="P15" i="6990"/>
  <c r="P16" i="6992"/>
  <c r="P22" i="6992"/>
  <c r="P18" i="6994"/>
  <c r="P18" i="6990"/>
  <c r="P20" i="6994"/>
  <c r="P20" i="6984"/>
  <c r="P15" i="6984"/>
  <c r="P17" i="6996" l="1"/>
  <c r="P16" i="6994"/>
  <c r="P15" i="6982"/>
  <c r="P16" i="6982"/>
  <c r="P16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23" i="6990"/>
  <c r="P16" i="6990"/>
  <c r="P15" i="6980"/>
  <c r="P16" i="6980"/>
  <c r="B14" i="6994" l="1"/>
  <c r="B14" i="6996"/>
  <c r="C19" i="6996"/>
  <c r="C20" i="6996"/>
  <c r="H2" i="6996"/>
  <c r="H4" i="6996"/>
  <c r="C38" i="6996"/>
  <c r="H51" i="6996"/>
  <c r="H3" i="6996"/>
  <c r="H12" i="6996"/>
  <c r="H17" i="6996"/>
  <c r="H21" i="6996"/>
  <c r="C24" i="6996"/>
  <c r="B28" i="6996"/>
  <c r="H34" i="6996"/>
  <c r="H39" i="6996"/>
  <c r="H43" i="6996"/>
  <c r="H47" i="6996"/>
  <c r="H5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1" i="6996"/>
  <c r="H13" i="6996"/>
  <c r="H22" i="6996"/>
  <c r="H10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14" i="6996"/>
  <c r="H16" i="6996"/>
  <c r="H24" i="6996"/>
  <c r="H28" i="6996"/>
  <c r="H31" i="6996"/>
  <c r="C37" i="6996"/>
  <c r="C41" i="6996"/>
  <c r="C45" i="6996"/>
  <c r="C49" i="6996"/>
  <c r="H8" i="6996"/>
  <c r="H20" i="6996"/>
  <c r="H9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1" i="6982"/>
  <c r="P24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19" i="6982" l="1"/>
  <c r="P17" i="6982"/>
  <c r="P21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0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3" i="6980"/>
  <c r="C19" i="6988" l="1"/>
  <c r="B14" i="6988"/>
  <c r="B14" i="6990"/>
  <c r="C19" i="6990"/>
  <c r="C20" i="6990"/>
  <c r="H3" i="6990"/>
  <c r="H27" i="6990"/>
  <c r="H8" i="6990"/>
  <c r="C38" i="6990"/>
  <c r="C46" i="6990"/>
  <c r="H9" i="6990"/>
  <c r="H19" i="6990"/>
  <c r="H23" i="6990"/>
  <c r="C24" i="6990"/>
  <c r="B28" i="6990"/>
  <c r="H34" i="6990"/>
  <c r="H39" i="6990"/>
  <c r="H43" i="6990"/>
  <c r="H47" i="6990"/>
  <c r="H5" i="6990"/>
  <c r="H25" i="6990"/>
  <c r="H12" i="6990"/>
  <c r="H30" i="6990"/>
  <c r="H35" i="6990"/>
  <c r="C39" i="6990"/>
  <c r="C43" i="6990"/>
  <c r="C47" i="6990"/>
  <c r="H52" i="6990"/>
  <c r="H18" i="6990"/>
  <c r="H21" i="6990"/>
  <c r="C25" i="6990"/>
  <c r="H40" i="6990"/>
  <c r="H44" i="6990"/>
  <c r="H48" i="6990"/>
  <c r="H33" i="6990"/>
  <c r="C42" i="6990"/>
  <c r="H51" i="6990"/>
  <c r="H2" i="6990"/>
  <c r="H7" i="6990"/>
  <c r="H14" i="6990"/>
  <c r="H24" i="6990"/>
  <c r="H13" i="6990"/>
  <c r="H28" i="6990"/>
  <c r="H15" i="6990"/>
  <c r="H36" i="6990"/>
  <c r="C40" i="6990"/>
  <c r="C44" i="6990"/>
  <c r="C48" i="6990"/>
  <c r="H4" i="6990"/>
  <c r="H22" i="6990"/>
  <c r="C22" i="6990"/>
  <c r="C26" i="6990"/>
  <c r="H37" i="6990"/>
  <c r="H41" i="6990"/>
  <c r="H45" i="6990"/>
  <c r="H49" i="6990"/>
  <c r="H6" i="6990"/>
  <c r="H10" i="6990"/>
  <c r="H20" i="6990"/>
  <c r="H26" i="6990"/>
  <c r="H29" i="6990"/>
  <c r="H31" i="6990"/>
  <c r="C37" i="6990"/>
  <c r="C41" i="6990"/>
  <c r="C45" i="6990"/>
  <c r="C49" i="6990"/>
  <c r="H11" i="6990"/>
  <c r="H17" i="6990"/>
  <c r="H16" i="6990"/>
  <c r="C23" i="6990"/>
  <c r="B27" i="6990"/>
  <c r="H32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4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6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3" i="6988"/>
  <c r="H18" i="6988"/>
  <c r="H25" i="6988"/>
  <c r="H28" i="6988"/>
  <c r="H31" i="6988"/>
  <c r="C37" i="6988"/>
  <c r="C41" i="6988"/>
  <c r="C45" i="6988"/>
  <c r="C49" i="6988"/>
  <c r="H8" i="6988"/>
  <c r="H22" i="6988"/>
  <c r="H15" i="6988"/>
  <c r="C23" i="6988"/>
  <c r="B27" i="6988"/>
  <c r="H32" i="6988"/>
  <c r="H38" i="6988"/>
  <c r="H42" i="6988"/>
  <c r="H46" i="6988"/>
  <c r="P18" i="6986" l="1"/>
  <c r="P20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9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2" i="6980"/>
  <c r="P20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19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5" i="6984"/>
  <c r="H26" i="6984"/>
  <c r="H3" i="6984"/>
  <c r="H12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20" i="6984"/>
  <c r="C22" i="6984"/>
  <c r="H2" i="6984"/>
  <c r="H19" i="6984"/>
  <c r="H4" i="6984"/>
  <c r="H29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3" i="6984"/>
  <c r="H24" i="6984"/>
  <c r="C20" i="6984"/>
  <c r="H22" i="6984"/>
  <c r="C39" i="6984"/>
  <c r="C49" i="6984"/>
  <c r="H41" i="6984"/>
  <c r="H52" i="6984"/>
  <c r="H27" i="6984"/>
  <c r="H16" i="6984"/>
  <c r="H30" i="6984"/>
  <c r="H23" i="6984"/>
  <c r="H37" i="6984"/>
  <c r="C40" i="6984"/>
  <c r="C44" i="6984"/>
  <c r="C48" i="6984"/>
  <c r="H38" i="6984"/>
  <c r="H42" i="6984"/>
  <c r="H46" i="6984"/>
  <c r="H50" i="6984"/>
  <c r="H15" i="6984"/>
  <c r="H14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1" i="6982"/>
  <c r="H20" i="6982"/>
  <c r="C24" i="6982"/>
  <c r="B28" i="6982"/>
  <c r="H35" i="6982"/>
  <c r="H40" i="6982"/>
  <c r="H44" i="6982"/>
  <c r="H48" i="6982"/>
  <c r="H5" i="6982"/>
  <c r="H30" i="6982"/>
  <c r="H12" i="6982"/>
  <c r="H25" i="6982"/>
  <c r="H36" i="6982"/>
  <c r="C39" i="6982"/>
  <c r="C43" i="6982"/>
  <c r="C47" i="6982"/>
  <c r="H52" i="6982"/>
  <c r="H19" i="6982"/>
  <c r="H28" i="6982"/>
  <c r="C25" i="6982"/>
  <c r="H41" i="6982"/>
  <c r="H45" i="6982"/>
  <c r="H49" i="6982"/>
  <c r="H9" i="6982"/>
  <c r="C38" i="6982"/>
  <c r="C46" i="6982"/>
  <c r="H7" i="6982"/>
  <c r="H10" i="6982"/>
  <c r="H22" i="6982"/>
  <c r="H13" i="6982"/>
  <c r="H32" i="6982"/>
  <c r="H16" i="6982"/>
  <c r="H37" i="6982"/>
  <c r="C40" i="6982"/>
  <c r="C44" i="6982"/>
  <c r="C48" i="6982"/>
  <c r="H4" i="6982"/>
  <c r="H29" i="6982"/>
  <c r="C22" i="6982"/>
  <c r="C26" i="6982"/>
  <c r="H38" i="6982"/>
  <c r="H42" i="6982"/>
  <c r="H46" i="6982"/>
  <c r="H50" i="6982"/>
  <c r="H6" i="6982"/>
  <c r="H14" i="6982"/>
  <c r="H27" i="6982"/>
  <c r="H31" i="6982"/>
  <c r="H24" i="6982"/>
  <c r="H26" i="6982"/>
  <c r="C37" i="6982"/>
  <c r="C41" i="6982"/>
  <c r="C45" i="6982"/>
  <c r="C49" i="6982"/>
  <c r="H11" i="6982"/>
  <c r="H18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2" i="6980"/>
  <c r="H27" i="6980"/>
  <c r="H48" i="6980"/>
  <c r="H25" i="6980"/>
  <c r="H43" i="6980"/>
  <c r="C47" i="6980"/>
  <c r="H49" i="6980"/>
  <c r="H23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1" i="6980"/>
  <c r="H3" i="6980"/>
  <c r="H19" i="6980"/>
  <c r="B28" i="6980"/>
  <c r="H40" i="6980"/>
  <c r="C43" i="6980"/>
  <c r="H52" i="6980"/>
  <c r="H26" i="6980"/>
  <c r="H14" i="6980"/>
  <c r="H35" i="6980"/>
  <c r="H17" i="6980"/>
  <c r="H39" i="6980"/>
  <c r="C40" i="6980"/>
  <c r="C44" i="6980"/>
  <c r="C48" i="6980"/>
  <c r="H30" i="6980"/>
  <c r="H50" i="6980"/>
  <c r="H16" i="6980"/>
  <c r="H15" i="6980"/>
  <c r="C23" i="6980"/>
  <c r="B27" i="6980"/>
  <c r="H28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<sst xmlns="http://schemas.openxmlformats.org/spreadsheetml/2006/main" count="2999" uniqueCount="257">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</sst>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全体!$K$2:$K$323</c:f>
              <c:numCache>
                <c:formatCode>General</c:formatCode>
                <c:ptCount val="3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</c:numCache>
            </c:numRef>
          </c:xVal>
          <c:yVal>
            <c:numRef>
              <c:f>全体!$L$2:$L$323</c:f>
              <c:numCache>
                <c:formatCode>\+0.0;\-0.0;\±0</c:formatCode>
                <c:ptCount val="32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-37.383177570093459</c:v>
                </c:pt>
                <c:pt idx="1">
                  <c:v>28.846153846153847</c:v>
                </c:pt>
                <c:pt idx="2">
                  <c:v>-12.820512820512821</c:v>
                </c:pt>
                <c:pt idx="3">
                  <c:v>-3.3670033670033672</c:v>
                </c:pt>
                <c:pt idx="4">
                  <c:v>14.652014652014651</c:v>
                </c:pt>
                <c:pt idx="5">
                  <c:v>17.094017094017094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65</c:v>
                </c:pt>
                <c:pt idx="1">
                  <c:v>155</c:v>
                </c:pt>
                <c:pt idx="2">
                  <c:v>161</c:v>
                </c:pt>
                <c:pt idx="3">
                  <c:v>153</c:v>
                </c:pt>
                <c:pt idx="4">
                  <c:v>114</c:v>
                </c:pt>
                <c:pt idx="5">
                  <c:v>71</c:v>
                </c:pt>
                <c:pt idx="6">
                  <c:v>35</c:v>
                </c:pt>
                <c:pt idx="7">
                  <c:v>23</c:v>
                </c:pt>
                <c:pt idx="8">
                  <c:v>15</c:v>
                </c:pt>
                <c:pt idx="9">
                  <c:v>10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全体!$K$2:$K$323</c:f>
              <c:numCache>
                <c:formatCode>General</c:formatCode>
                <c:ptCount val="3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</c:numCache>
            </c:numRef>
          </c:xVal>
          <c:yVal>
            <c:numRef>
              <c:f>全体!$M$2:$M$323</c:f>
              <c:numCache>
                <c:formatCode>0</c:formatCode>
                <c:ptCount val="32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だいち!$L$2:$L$88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556.97674418604652</c:v>
                </c:pt>
                <c:pt idx="1">
                  <c:v>-709.63855421686742</c:v>
                </c:pt>
                <c:pt idx="2">
                  <c:v>-961.4457831325301</c:v>
                </c:pt>
                <c:pt idx="3">
                  <c:v>1397.5</c:v>
                </c:pt>
                <c:pt idx="4">
                  <c:v>54.794520547945204</c:v>
                </c:pt>
                <c:pt idx="5">
                  <c:v>83.870967741935488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43</c:v>
                </c:pt>
                <c:pt idx="2">
                  <c:v>49</c:v>
                </c:pt>
                <c:pt idx="3">
                  <c:v>43</c:v>
                </c:pt>
                <c:pt idx="4">
                  <c:v>38</c:v>
                </c:pt>
                <c:pt idx="5">
                  <c:v>26</c:v>
                </c:pt>
                <c:pt idx="6">
                  <c:v>8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だいち!$M$2:$M$88</c:f>
              <c:numCache>
                <c:formatCode>0</c:formatCode>
                <c:ptCount val="87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1248.936170212766</c:v>
                </c:pt>
                <c:pt idx="1">
                  <c:v>-237.77777777777777</c:v>
                </c:pt>
                <c:pt idx="2">
                  <c:v>275.55555555555554</c:v>
                </c:pt>
                <c:pt idx="3">
                  <c:v>-1084.090909090909</c:v>
                </c:pt>
                <c:pt idx="4">
                  <c:v>310</c:v>
                </c:pt>
                <c:pt idx="5">
                  <c:v>-906.06060606060601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23</c:v>
                </c:pt>
                <c:pt idx="3">
                  <c:v>23</c:v>
                </c:pt>
                <c:pt idx="4">
                  <c:v>20</c:v>
                </c:pt>
                <c:pt idx="5">
                  <c:v>11</c:v>
                </c:pt>
                <c:pt idx="6">
                  <c:v>6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れんたろう!$M$2:$M$49</c:f>
              <c:numCache>
                <c:formatCode>0</c:formatCode>
                <c:ptCount val="48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-145</c:v>
                </c:pt>
                <c:pt idx="1">
                  <c:v>-747.5</c:v>
                </c:pt>
                <c:pt idx="2">
                  <c:v>1038.4615384615386</c:v>
                </c:pt>
                <c:pt idx="3">
                  <c:v>-656.41025641025647</c:v>
                </c:pt>
                <c:pt idx="4">
                  <c:v>-848.71794871794873</c:v>
                </c:pt>
                <c:pt idx="5">
                  <c:v>528.125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26</c:v>
                </c:pt>
                <c:pt idx="2">
                  <c:v>21</c:v>
                </c:pt>
                <c:pt idx="3">
                  <c:v>20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たかの!$M$2:$M$42</c:f>
              <c:numCache>
                <c:formatCode>0</c:formatCode>
                <c:ptCount val="4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53.571428571428569</c:v>
                </c:pt>
                <c:pt idx="1">
                  <c:v>850</c:v>
                </c:pt>
                <c:pt idx="2">
                  <c:v>-840.74074074074076</c:v>
                </c:pt>
                <c:pt idx="3">
                  <c:v>-2895.8333333333335</c:v>
                </c:pt>
                <c:pt idx="4">
                  <c:v>2559.090909090909</c:v>
                </c:pt>
                <c:pt idx="5">
                  <c:v>-931.57894736842104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まっつん!$M$2:$M$30</c:f>
              <c:numCache>
                <c:formatCode>0</c:formatCode>
                <c:ptCount val="29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いちかわ!$L$2:$L$41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169.23076923076923</c:v>
                </c:pt>
                <c:pt idx="1">
                  <c:v>864.10256410256409</c:v>
                </c:pt>
                <c:pt idx="2">
                  <c:v>2102.5641025641025</c:v>
                </c:pt>
                <c:pt idx="3">
                  <c:v>-597.22222222222217</c:v>
                </c:pt>
                <c:pt idx="4">
                  <c:v>-912.5</c:v>
                </c:pt>
                <c:pt idx="5">
                  <c:v>1046.6666666666667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20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いちかわ!$M$2:$M$41</c:f>
              <c:numCache>
                <c:formatCode>0</c:formatCode>
                <c:ptCount val="4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-237.77777777777777</c:v>
                </c:pt>
                <c:pt idx="1">
                  <c:v>778.57142857142856</c:v>
                </c:pt>
                <c:pt idx="2">
                  <c:v>169.76744186046511</c:v>
                </c:pt>
                <c:pt idx="3">
                  <c:v>2455</c:v>
                </c:pt>
                <c:pt idx="4">
                  <c:v>629.72972972972968</c:v>
                </c:pt>
                <c:pt idx="5">
                  <c:v>76.666666666666671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31</c:v>
                </c:pt>
                <c:pt idx="2">
                  <c:v>27</c:v>
                </c:pt>
                <c:pt idx="3">
                  <c:v>20</c:v>
                </c:pt>
                <c:pt idx="4">
                  <c:v>20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まっつん2!$B$3:$B$31</c:f>
              <c:numCache>
                <c:formatCode>\+0.0;\-0.0;\±0</c:formatCode>
                <c:ptCount val="29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664535259100375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まっつん2!$C$3:$C$31</c:f>
              <c:numCache>
                <c:formatCode>\+0.0;\-0.0;\±0</c:formatCode>
                <c:ptCount val="29"/>
                <c:pt idx="1">
                  <c:v>-33.6</c:v>
                </c:pt>
                <c:pt idx="2">
                  <c:v>-18.45</c:v>
                </c:pt>
                <c:pt idx="3">
                  <c:v>-13.466666666666667</c:v>
                </c:pt>
                <c:pt idx="4">
                  <c:v>-9.1999999999999993</c:v>
                </c:pt>
                <c:pt idx="5">
                  <c:v>-14.780000000000001</c:v>
                </c:pt>
                <c:pt idx="6">
                  <c:v>-14.25</c:v>
                </c:pt>
                <c:pt idx="7">
                  <c:v>-11.114285714285714</c:v>
                </c:pt>
                <c:pt idx="8">
                  <c:v>-2.8499999999999996</c:v>
                </c:pt>
                <c:pt idx="9">
                  <c:v>-3.2888888888888888</c:v>
                </c:pt>
                <c:pt idx="10">
                  <c:v>-5.5</c:v>
                </c:pt>
                <c:pt idx="11">
                  <c:v>-9.9</c:v>
                </c:pt>
                <c:pt idx="12">
                  <c:v>-7.6750000000000007</c:v>
                </c:pt>
                <c:pt idx="13">
                  <c:v>-7.1923076923076934</c:v>
                </c:pt>
                <c:pt idx="14">
                  <c:v>-5.6571428571428584</c:v>
                </c:pt>
                <c:pt idx="15">
                  <c:v>-2.9466666666666677</c:v>
                </c:pt>
                <c:pt idx="16">
                  <c:v>-3.1125000000000012</c:v>
                </c:pt>
                <c:pt idx="17">
                  <c:v>-2.8117647058823541</c:v>
                </c:pt>
                <c:pt idx="18">
                  <c:v>-1.2277777777777787</c:v>
                </c:pt>
                <c:pt idx="19">
                  <c:v>-0.50526315789473786</c:v>
                </c:pt>
                <c:pt idx="20">
                  <c:v>-0.97000000000000097</c:v>
                </c:pt>
                <c:pt idx="21">
                  <c:v>1.4999999999999989</c:v>
                </c:pt>
                <c:pt idx="22">
                  <c:v>1.5136363636363626</c:v>
                </c:pt>
                <c:pt idx="23">
                  <c:v>1.2086956521739121</c:v>
                </c:pt>
                <c:pt idx="24">
                  <c:v>1.0458333333333323</c:v>
                </c:pt>
                <c:pt idx="25">
                  <c:v>-1.076000000000001</c:v>
                </c:pt>
                <c:pt idx="26">
                  <c:v>-1.1923076923076932</c:v>
                </c:pt>
                <c:pt idx="27">
                  <c:v>-1.4259259259259267</c:v>
                </c:pt>
                <c:pt idx="28">
                  <c:v>-2.4035714285714294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00732894393693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まっつん2!$D$3:$D$31</c:f>
              <c:numCache>
                <c:formatCode>0.00\ "位"</c:formatCode>
                <c:ptCount val="29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2.1111111111111112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1.9444444444444444</c:v>
                </c:pt>
                <c:pt idx="19">
                  <c:v>1.9473684210526316</c:v>
                </c:pt>
                <c:pt idx="20">
                  <c:v>1.95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1.9130434782608696</c:v>
                </c:pt>
                <c:pt idx="24">
                  <c:v>1.9166666666666667</c:v>
                </c:pt>
                <c:pt idx="25">
                  <c:v>1.96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8847352024923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まっつん2!$E$3:$E$31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4485981308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まっつん2!$F$3:$F$31</c:f>
              <c:numCache>
                <c:formatCode>0.0%</c:formatCode>
                <c:ptCount val="2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まっつん2!$G$3:$G$31</c:f>
              <c:numCache>
                <c:formatCode>0.0%</c:formatCode>
                <c:ptCount val="29"/>
                <c:pt idx="1">
                  <c:v>0.1</c:v>
                </c:pt>
                <c:pt idx="2">
                  <c:v>0.1875</c:v>
                </c:pt>
                <c:pt idx="3">
                  <c:v>0.14285714285714285</c:v>
                </c:pt>
                <c:pt idx="4">
                  <c:v>0.18518518518518517</c:v>
                </c:pt>
                <c:pt idx="5">
                  <c:v>0.17499999999999999</c:v>
                </c:pt>
                <c:pt idx="6">
                  <c:v>0.22</c:v>
                </c:pt>
                <c:pt idx="7">
                  <c:v>0.21052631578947367</c:v>
                </c:pt>
                <c:pt idx="8">
                  <c:v>0.24590163934426229</c:v>
                </c:pt>
                <c:pt idx="9">
                  <c:v>0.25352112676056338</c:v>
                </c:pt>
                <c:pt idx="10">
                  <c:v>0.24675324675324675</c:v>
                </c:pt>
                <c:pt idx="11">
                  <c:v>0.22093023255813954</c:v>
                </c:pt>
                <c:pt idx="12">
                  <c:v>0.23404255319148937</c:v>
                </c:pt>
                <c:pt idx="13">
                  <c:v>0.22641509433962265</c:v>
                </c:pt>
                <c:pt idx="14">
                  <c:v>0.23008849557522124</c:v>
                </c:pt>
                <c:pt idx="15">
                  <c:v>0.24166666666666667</c:v>
                </c:pt>
                <c:pt idx="16">
                  <c:v>0.23255813953488372</c:v>
                </c:pt>
                <c:pt idx="17">
                  <c:v>0.22794117647058823</c:v>
                </c:pt>
                <c:pt idx="18">
                  <c:v>0.24657534246575341</c:v>
                </c:pt>
                <c:pt idx="19">
                  <c:v>0.24516129032258063</c:v>
                </c:pt>
                <c:pt idx="20">
                  <c:v>0.24242424242424243</c:v>
                </c:pt>
                <c:pt idx="21">
                  <c:v>0.26136363636363635</c:v>
                </c:pt>
                <c:pt idx="22">
                  <c:v>0.26630434782608697</c:v>
                </c:pt>
                <c:pt idx="23">
                  <c:v>0.26063829787234044</c:v>
                </c:pt>
                <c:pt idx="24">
                  <c:v>0.26633165829145727</c:v>
                </c:pt>
                <c:pt idx="25">
                  <c:v>0.25728155339805825</c:v>
                </c:pt>
                <c:pt idx="26">
                  <c:v>0.24888888888888888</c:v>
                </c:pt>
                <c:pt idx="27">
                  <c:v>0.24786324786324787</c:v>
                </c:pt>
                <c:pt idx="28">
                  <c:v>0.23770491803278687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01890221737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まっつん2!$H$3:$H$31</c:f>
              <c:numCache>
                <c:formatCode>0.0%</c:formatCode>
                <c:ptCount val="29"/>
                <c:pt idx="1">
                  <c:v>0.1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0.1</c:v>
                </c:pt>
                <c:pt idx="6">
                  <c:v>0.1</c:v>
                </c:pt>
                <c:pt idx="7">
                  <c:v>8.771929824561403E-2</c:v>
                </c:pt>
                <c:pt idx="8">
                  <c:v>8.1967213114754092E-2</c:v>
                </c:pt>
                <c:pt idx="9">
                  <c:v>7.0422535211267609E-2</c:v>
                </c:pt>
                <c:pt idx="10">
                  <c:v>6.4935064935064929E-2</c:v>
                </c:pt>
                <c:pt idx="11">
                  <c:v>9.3023255813953487E-2</c:v>
                </c:pt>
                <c:pt idx="12">
                  <c:v>9.5744680851063829E-2</c:v>
                </c:pt>
                <c:pt idx="13">
                  <c:v>0.10377358490566038</c:v>
                </c:pt>
                <c:pt idx="14">
                  <c:v>9.7345132743362831E-2</c:v>
                </c:pt>
                <c:pt idx="15">
                  <c:v>0.1</c:v>
                </c:pt>
                <c:pt idx="16">
                  <c:v>0.10852713178294573</c:v>
                </c:pt>
                <c:pt idx="17">
                  <c:v>0.10294117647058823</c:v>
                </c:pt>
                <c:pt idx="18">
                  <c:v>0.10273972602739725</c:v>
                </c:pt>
                <c:pt idx="19">
                  <c:v>9.6774193548387094E-2</c:v>
                </c:pt>
                <c:pt idx="20">
                  <c:v>0.10303030303030303</c:v>
                </c:pt>
                <c:pt idx="21">
                  <c:v>0.10227272727272728</c:v>
                </c:pt>
                <c:pt idx="22">
                  <c:v>0.10326086956521739</c:v>
                </c:pt>
                <c:pt idx="23">
                  <c:v>0.10106382978723404</c:v>
                </c:pt>
                <c:pt idx="24">
                  <c:v>0.10552763819095477</c:v>
                </c:pt>
                <c:pt idx="25">
                  <c:v>0.10679611650485436</c:v>
                </c:pt>
                <c:pt idx="26">
                  <c:v>0.10666666666666667</c:v>
                </c:pt>
                <c:pt idx="27">
                  <c:v>0.10683760683760683</c:v>
                </c:pt>
                <c:pt idx="28">
                  <c:v>0.10245901639344263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39585605234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まっつん2!$I$3:$I$31</c:f>
              <c:numCache>
                <c:formatCode>0</c:formatCode>
                <c:ptCount val="29"/>
                <c:pt idx="1">
                  <c:v>7700</c:v>
                </c:pt>
                <c:pt idx="2">
                  <c:v>5800</c:v>
                </c:pt>
                <c:pt idx="3">
                  <c:v>5800</c:v>
                </c:pt>
                <c:pt idx="4">
                  <c:v>6300</c:v>
                </c:pt>
                <c:pt idx="5">
                  <c:v>6057.1428571428569</c:v>
                </c:pt>
                <c:pt idx="6">
                  <c:v>5072.727272727273</c:v>
                </c:pt>
                <c:pt idx="7">
                  <c:v>5316.666666666667</c:v>
                </c:pt>
                <c:pt idx="8">
                  <c:v>7453.333333333333</c:v>
                </c:pt>
                <c:pt idx="9">
                  <c:v>6666.666666666667</c:v>
                </c:pt>
                <c:pt idx="10">
                  <c:v>6452.6315789473683</c:v>
                </c:pt>
                <c:pt idx="11">
                  <c:v>6452.6315789473683</c:v>
                </c:pt>
                <c:pt idx="12">
                  <c:v>6600</c:v>
                </c:pt>
                <c:pt idx="13">
                  <c:v>7050</c:v>
                </c:pt>
                <c:pt idx="14">
                  <c:v>7003.8461538461543</c:v>
                </c:pt>
                <c:pt idx="15">
                  <c:v>7451.7241379310344</c:v>
                </c:pt>
                <c:pt idx="16">
                  <c:v>7376.666666666667</c:v>
                </c:pt>
                <c:pt idx="17">
                  <c:v>7654.8387096774195</c:v>
                </c:pt>
                <c:pt idx="18">
                  <c:v>7791.666666666667</c:v>
                </c:pt>
                <c:pt idx="19">
                  <c:v>8118.4210526315792</c:v>
                </c:pt>
                <c:pt idx="20">
                  <c:v>8145</c:v>
                </c:pt>
                <c:pt idx="21">
                  <c:v>8193.4782608695659</c:v>
                </c:pt>
                <c:pt idx="22">
                  <c:v>7989.7959183673465</c:v>
                </c:pt>
                <c:pt idx="23">
                  <c:v>7989.7959183673465</c:v>
                </c:pt>
                <c:pt idx="24">
                  <c:v>7824.5283018867922</c:v>
                </c:pt>
                <c:pt idx="25">
                  <c:v>7824.5283018867922</c:v>
                </c:pt>
                <c:pt idx="26">
                  <c:v>8112.5</c:v>
                </c:pt>
                <c:pt idx="27">
                  <c:v>8075.8620689655172</c:v>
                </c:pt>
                <c:pt idx="28">
                  <c:v>8075.8620689655172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56.7200986436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まっつん2!$J$3:$J$31</c:f>
              <c:numCache>
                <c:formatCode>0</c:formatCode>
                <c:ptCount val="29"/>
                <c:pt idx="1">
                  <c:v>-3900</c:v>
                </c:pt>
                <c:pt idx="2">
                  <c:v>-3900</c:v>
                </c:pt>
                <c:pt idx="3">
                  <c:v>-3900</c:v>
                </c:pt>
                <c:pt idx="4">
                  <c:v>-3900</c:v>
                </c:pt>
                <c:pt idx="5">
                  <c:v>-3975</c:v>
                </c:pt>
                <c:pt idx="6">
                  <c:v>-3380</c:v>
                </c:pt>
                <c:pt idx="7">
                  <c:v>-3380</c:v>
                </c:pt>
                <c:pt idx="8">
                  <c:v>-3380</c:v>
                </c:pt>
                <c:pt idx="9">
                  <c:v>-3380</c:v>
                </c:pt>
                <c:pt idx="10">
                  <c:v>-3380</c:v>
                </c:pt>
                <c:pt idx="11">
                  <c:v>-4812.5</c:v>
                </c:pt>
                <c:pt idx="12">
                  <c:v>-5611.1111111111113</c:v>
                </c:pt>
                <c:pt idx="13">
                  <c:v>-5827.272727272727</c:v>
                </c:pt>
                <c:pt idx="14">
                  <c:v>-5827.272727272727</c:v>
                </c:pt>
                <c:pt idx="15">
                  <c:v>-6008.333333333333</c:v>
                </c:pt>
                <c:pt idx="16">
                  <c:v>-5385.7142857142853</c:v>
                </c:pt>
                <c:pt idx="17">
                  <c:v>-5385.7142857142853</c:v>
                </c:pt>
                <c:pt idx="18">
                  <c:v>-5560</c:v>
                </c:pt>
                <c:pt idx="19">
                  <c:v>-5560</c:v>
                </c:pt>
                <c:pt idx="20">
                  <c:v>-5211.7647058823532</c:v>
                </c:pt>
                <c:pt idx="21">
                  <c:v>-5350</c:v>
                </c:pt>
                <c:pt idx="22">
                  <c:v>-5489.4736842105267</c:v>
                </c:pt>
                <c:pt idx="23">
                  <c:v>-5489.4736842105267</c:v>
                </c:pt>
                <c:pt idx="24">
                  <c:v>-5661.9047619047615</c:v>
                </c:pt>
                <c:pt idx="25">
                  <c:v>-6495.454545454545</c:v>
                </c:pt>
                <c:pt idx="26">
                  <c:v>-6279.166666666667</c:v>
                </c:pt>
                <c:pt idx="27">
                  <c:v>-6124</c:v>
                </c:pt>
                <c:pt idx="28">
                  <c:v>-6124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0.85585585585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まっつん2!$K$3:$K$31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72274143302180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まっつん2!$L$3:$L$31</c:f>
              <c:numCache>
                <c:formatCode>0.0%</c:formatCode>
                <c:ptCount val="29"/>
                <c:pt idx="1">
                  <c:v>0.1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0.1111111111111111</c:v>
                </c:pt>
                <c:pt idx="5">
                  <c:v>0.125</c:v>
                </c:pt>
                <c:pt idx="6">
                  <c:v>0.22</c:v>
                </c:pt>
                <c:pt idx="7">
                  <c:v>0.22807017543859648</c:v>
                </c:pt>
                <c:pt idx="8">
                  <c:v>0.24590163934426229</c:v>
                </c:pt>
                <c:pt idx="9">
                  <c:v>0.26760563380281688</c:v>
                </c:pt>
                <c:pt idx="10">
                  <c:v>0.27272727272727271</c:v>
                </c:pt>
                <c:pt idx="11">
                  <c:v>0.2441860465116279</c:v>
                </c:pt>
                <c:pt idx="12">
                  <c:v>0.24468085106382978</c:v>
                </c:pt>
                <c:pt idx="13">
                  <c:v>0.22641509433962265</c:v>
                </c:pt>
                <c:pt idx="14">
                  <c:v>0.23893805309734514</c:v>
                </c:pt>
                <c:pt idx="15">
                  <c:v>0.24166666666666667</c:v>
                </c:pt>
                <c:pt idx="16">
                  <c:v>0.23255813953488372</c:v>
                </c:pt>
                <c:pt idx="17">
                  <c:v>0.22058823529411764</c:v>
                </c:pt>
                <c:pt idx="18">
                  <c:v>0.23287671232876711</c:v>
                </c:pt>
                <c:pt idx="19">
                  <c:v>0.23225806451612904</c:v>
                </c:pt>
                <c:pt idx="20">
                  <c:v>0.23030303030303031</c:v>
                </c:pt>
                <c:pt idx="21">
                  <c:v>0.23295454545454544</c:v>
                </c:pt>
                <c:pt idx="22">
                  <c:v>0.2391304347826087</c:v>
                </c:pt>
                <c:pt idx="23">
                  <c:v>0.23404255319148937</c:v>
                </c:pt>
                <c:pt idx="24">
                  <c:v>0.23618090452261306</c:v>
                </c:pt>
                <c:pt idx="25">
                  <c:v>0.22815533980582525</c:v>
                </c:pt>
                <c:pt idx="26">
                  <c:v>0.23555555555555555</c:v>
                </c:pt>
                <c:pt idx="27">
                  <c:v>0.23076923076923078</c:v>
                </c:pt>
                <c:pt idx="28">
                  <c:v>0.22950819672131148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185750636132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まっつん2!$M$3:$M$31</c:f>
              <c:numCache>
                <c:formatCode>0.0%</c:formatCode>
                <c:ptCount val="29"/>
                <c:pt idx="1">
                  <c:v>0.2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0.25925925925925924</c:v>
                </c:pt>
                <c:pt idx="5">
                  <c:v>0.22500000000000001</c:v>
                </c:pt>
                <c:pt idx="6">
                  <c:v>0.22</c:v>
                </c:pt>
                <c:pt idx="7">
                  <c:v>0.21052631578947367</c:v>
                </c:pt>
                <c:pt idx="8">
                  <c:v>0.21311475409836064</c:v>
                </c:pt>
                <c:pt idx="9">
                  <c:v>0.19718309859154928</c:v>
                </c:pt>
                <c:pt idx="10">
                  <c:v>0.20779220779220781</c:v>
                </c:pt>
                <c:pt idx="11">
                  <c:v>0.19767441860465115</c:v>
                </c:pt>
                <c:pt idx="12">
                  <c:v>0.19148936170212766</c:v>
                </c:pt>
                <c:pt idx="13">
                  <c:v>0.18867924528301888</c:v>
                </c:pt>
                <c:pt idx="14">
                  <c:v>0.18584070796460178</c:v>
                </c:pt>
                <c:pt idx="15">
                  <c:v>0.18333333333333332</c:v>
                </c:pt>
                <c:pt idx="16">
                  <c:v>0.19379844961240311</c:v>
                </c:pt>
                <c:pt idx="17">
                  <c:v>0.20588235294117646</c:v>
                </c:pt>
                <c:pt idx="18">
                  <c:v>0.19178082191780821</c:v>
                </c:pt>
                <c:pt idx="19">
                  <c:v>0.2</c:v>
                </c:pt>
                <c:pt idx="20">
                  <c:v>0.19393939393939394</c:v>
                </c:pt>
                <c:pt idx="21">
                  <c:v>0.21022727272727273</c:v>
                </c:pt>
                <c:pt idx="22">
                  <c:v>0.20652173913043478</c:v>
                </c:pt>
                <c:pt idx="23">
                  <c:v>0.20744680851063829</c:v>
                </c:pt>
                <c:pt idx="24">
                  <c:v>0.21105527638190955</c:v>
                </c:pt>
                <c:pt idx="25">
                  <c:v>0.21844660194174756</c:v>
                </c:pt>
                <c:pt idx="26">
                  <c:v>0.21333333333333335</c:v>
                </c:pt>
                <c:pt idx="27">
                  <c:v>0.20512820512820512</c:v>
                </c:pt>
                <c:pt idx="28">
                  <c:v>0.20491803278688525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280625227190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まっつん2!$N$3:$N$31</c:f>
              <c:numCache>
                <c:formatCode>0.0%</c:formatCode>
                <c:ptCount val="29"/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0.66666666666666663</c:v>
                </c:pt>
                <c:pt idx="5">
                  <c:v>0.4</c:v>
                </c:pt>
                <c:pt idx="6">
                  <c:v>0.45454545454545453</c:v>
                </c:pt>
                <c:pt idx="7">
                  <c:v>0.46153846153846156</c:v>
                </c:pt>
                <c:pt idx="8">
                  <c:v>0.53333333333333333</c:v>
                </c:pt>
                <c:pt idx="9">
                  <c:v>0.52631578947368418</c:v>
                </c:pt>
                <c:pt idx="10">
                  <c:v>0.52380952380952384</c:v>
                </c:pt>
                <c:pt idx="11">
                  <c:v>0.52380952380952384</c:v>
                </c:pt>
                <c:pt idx="12">
                  <c:v>0.56521739130434778</c:v>
                </c:pt>
                <c:pt idx="13">
                  <c:v>0.54166666666666663</c:v>
                </c:pt>
                <c:pt idx="14">
                  <c:v>0.51851851851851849</c:v>
                </c:pt>
                <c:pt idx="15">
                  <c:v>0.55172413793103448</c:v>
                </c:pt>
                <c:pt idx="16">
                  <c:v>0.56666666666666665</c:v>
                </c:pt>
                <c:pt idx="17">
                  <c:v>0.56666666666666665</c:v>
                </c:pt>
                <c:pt idx="18">
                  <c:v>0.61764705882352944</c:v>
                </c:pt>
                <c:pt idx="19">
                  <c:v>0.58333333333333337</c:v>
                </c:pt>
                <c:pt idx="20">
                  <c:v>0.55263157894736847</c:v>
                </c:pt>
                <c:pt idx="21">
                  <c:v>0.56097560975609762</c:v>
                </c:pt>
                <c:pt idx="22">
                  <c:v>0.56818181818181823</c:v>
                </c:pt>
                <c:pt idx="23">
                  <c:v>0.56818181818181823</c:v>
                </c:pt>
                <c:pt idx="24">
                  <c:v>0.57446808510638303</c:v>
                </c:pt>
                <c:pt idx="25">
                  <c:v>0.57446808510638303</c:v>
                </c:pt>
                <c:pt idx="26">
                  <c:v>0.52830188679245282</c:v>
                </c:pt>
                <c:pt idx="27">
                  <c:v>0.51851851851851849</c:v>
                </c:pt>
                <c:pt idx="28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9756838905775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まっつん2!$O$3:$O$31</c:f>
              <c:numCache>
                <c:formatCode>0.0%</c:formatCode>
                <c:ptCount val="29"/>
                <c:pt idx="1">
                  <c:v>0.5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0.46153846153846156</c:v>
                </c:pt>
                <c:pt idx="9">
                  <c:v>0.5</c:v>
                </c:pt>
                <c:pt idx="10">
                  <c:v>0.4375</c:v>
                </c:pt>
                <c:pt idx="11">
                  <c:v>0.41176470588235292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0.47619047619047616</c:v>
                </c:pt>
                <c:pt idx="15">
                  <c:v>0.5</c:v>
                </c:pt>
                <c:pt idx="16">
                  <c:v>0.44</c:v>
                </c:pt>
                <c:pt idx="17">
                  <c:v>0.39285714285714285</c:v>
                </c:pt>
                <c:pt idx="18">
                  <c:v>0.39285714285714285</c:v>
                </c:pt>
                <c:pt idx="19">
                  <c:v>0.38709677419354838</c:v>
                </c:pt>
                <c:pt idx="20">
                  <c:v>0.40625</c:v>
                </c:pt>
                <c:pt idx="21">
                  <c:v>0.43243243243243246</c:v>
                </c:pt>
                <c:pt idx="22">
                  <c:v>0.42105263157894735</c:v>
                </c:pt>
                <c:pt idx="23">
                  <c:v>0.41025641025641024</c:v>
                </c:pt>
                <c:pt idx="24">
                  <c:v>0.40476190476190477</c:v>
                </c:pt>
                <c:pt idx="25">
                  <c:v>0.37777777777777777</c:v>
                </c:pt>
                <c:pt idx="26">
                  <c:v>0.375</c:v>
                </c:pt>
                <c:pt idx="27">
                  <c:v>0.375</c:v>
                </c:pt>
                <c:pt idx="28">
                  <c:v>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420382165605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まっつん2!$P$3:$P$31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9.0909090909090912E-2</c:v>
                </c:pt>
                <c:pt idx="7">
                  <c:v>8.3333333333333329E-2</c:v>
                </c:pt>
                <c:pt idx="8">
                  <c:v>0.13333333333333333</c:v>
                </c:pt>
                <c:pt idx="9">
                  <c:v>0.16666666666666666</c:v>
                </c:pt>
                <c:pt idx="10">
                  <c:v>0.15789473684210525</c:v>
                </c:pt>
                <c:pt idx="11">
                  <c:v>0.15789473684210525</c:v>
                </c:pt>
                <c:pt idx="12">
                  <c:v>0.13636363636363635</c:v>
                </c:pt>
                <c:pt idx="13">
                  <c:v>0.125</c:v>
                </c:pt>
                <c:pt idx="14">
                  <c:v>0.11538461538461539</c:v>
                </c:pt>
                <c:pt idx="15">
                  <c:v>0.13793103448275862</c:v>
                </c:pt>
                <c:pt idx="16">
                  <c:v>0.13333333333333333</c:v>
                </c:pt>
                <c:pt idx="17">
                  <c:v>0.12903225806451613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0.2391304347826087</c:v>
                </c:pt>
                <c:pt idx="22">
                  <c:v>0.24489795918367346</c:v>
                </c:pt>
                <c:pt idx="23">
                  <c:v>0.24489795918367346</c:v>
                </c:pt>
                <c:pt idx="24">
                  <c:v>0.30188679245283018</c:v>
                </c:pt>
                <c:pt idx="25">
                  <c:v>0.30188679245283018</c:v>
                </c:pt>
                <c:pt idx="26">
                  <c:v>0.30357142857142855</c:v>
                </c:pt>
                <c:pt idx="27">
                  <c:v>0.32758620689655171</c:v>
                </c:pt>
                <c:pt idx="28">
                  <c:v>0.32758620689655171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129469790382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253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254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255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256</v>
      </c>
      <c r="B40" s="3">
        <v>44161.672418981485</v>
      </c>
      <c r="C40" s="2" t="s">
        <v>127</v>
      </c>
      <c r="D40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86</v>
      </c>
      <c r="C2" s="120">
        <v>1842.3339395535957</v>
      </c>
    </row>
    <row r="3" spans="1:3" x14ac:dyDescent="0.4">
      <c r="A3" t="s">
        <v>163</v>
      </c>
      <c r="B3" s="120">
        <v>47</v>
      </c>
      <c r="C3" s="120">
        <v>1653.1699313523677</v>
      </c>
    </row>
    <row r="4" spans="1:3" x14ac:dyDescent="0.4">
      <c r="A4" t="s">
        <v>139</v>
      </c>
      <c r="B4" s="120">
        <v>321</v>
      </c>
      <c r="C4" s="120">
        <v>1594.5463045050694</v>
      </c>
    </row>
    <row r="5" spans="1:3" x14ac:dyDescent="0.4">
      <c r="A5" t="s">
        <v>190</v>
      </c>
      <c r="B5" s="120">
        <v>28</v>
      </c>
      <c r="C5" s="120">
        <v>1524.3778689305989</v>
      </c>
    </row>
    <row r="6" spans="1:3" x14ac:dyDescent="0.4">
      <c r="A6" t="s">
        <v>192</v>
      </c>
      <c r="B6" s="120">
        <v>45</v>
      </c>
      <c r="C6" s="120">
        <v>1517.1288342047803</v>
      </c>
    </row>
    <row r="7" spans="1:3" x14ac:dyDescent="0.4">
      <c r="A7" t="s">
        <v>211</v>
      </c>
      <c r="B7" s="120">
        <v>39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40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208</v>
      </c>
      <c r="B2" s="141">
        <v>0.94011510989649749</v>
      </c>
      <c r="C2" s="142"/>
      <c r="D2" s="141">
        <v>0.3797248229436202</v>
      </c>
      <c r="E2" s="142"/>
      <c r="F2" s="141">
        <v>0.37512074591295841</v>
      </c>
      <c r="G2" s="142"/>
      <c r="H2" s="147"/>
      <c r="I2" s="148"/>
      <c r="J2" s="141">
        <v>-5.4763600119703236E-2</v>
      </c>
      <c r="K2" s="142"/>
      <c r="L2" s="141">
        <v>-0.26577133098691758</v>
      </c>
      <c r="M2" s="142"/>
      <c r="N2" s="141">
        <v>0.25221970472020666</v>
      </c>
      <c r="O2" s="142"/>
      <c r="P2" s="141">
        <v>0.40597476836429647</v>
      </c>
      <c r="Q2" s="142"/>
      <c r="R2" s="141">
        <v>-0.11114848571929681</v>
      </c>
      <c r="S2" s="142"/>
      <c r="T2" s="141">
        <v>0.2604288015384526</v>
      </c>
      <c r="U2" s="142"/>
      <c r="V2" s="141">
        <v>4.0828739720621871E-2</v>
      </c>
      <c r="W2" s="142"/>
      <c r="X2" s="141">
        <v>0.17471932219838651</v>
      </c>
      <c r="Y2" s="142"/>
      <c r="Z2" s="141">
        <v>0.28448298749415979</v>
      </c>
      <c r="AA2" s="142"/>
      <c r="AB2" s="141">
        <v>0.21016719294688091</v>
      </c>
      <c r="AC2" s="142"/>
      <c r="AD2" s="141">
        <v>-0.13456173311341327</v>
      </c>
      <c r="AE2" s="142"/>
      <c r="AF2" s="141">
        <v>0.40285280628690662</v>
      </c>
      <c r="AG2" s="142"/>
      <c r="AH2" s="141">
        <v>-0.14864334237483748</v>
      </c>
      <c r="AI2" s="142"/>
      <c r="AJ2" s="141">
        <v>0.84021643256020839</v>
      </c>
      <c r="AK2" s="142"/>
    </row>
    <row r="3" spans="1:37" x14ac:dyDescent="0.4">
      <c r="A3" s="38">
        <v>1</v>
      </c>
      <c r="B3" s="41" t="s">
        <v>139</v>
      </c>
      <c r="C3" s="113">
        <v>107</v>
      </c>
      <c r="D3" s="39" t="s">
        <v>192</v>
      </c>
      <c r="E3" s="40">
        <v>228.89999999999995</v>
      </c>
      <c r="F3" s="41" t="s">
        <v>192</v>
      </c>
      <c r="G3" s="60">
        <v>5.0866666666666651</v>
      </c>
      <c r="H3" s="41" t="s">
        <v>126</v>
      </c>
      <c r="I3" s="45">
        <v>1773.6563781248926</v>
      </c>
      <c r="J3" s="41" t="s">
        <v>192</v>
      </c>
      <c r="K3" s="42">
        <v>1.8222222222222222</v>
      </c>
      <c r="L3" s="41" t="s">
        <v>195</v>
      </c>
      <c r="M3" s="43">
        <v>0.5</v>
      </c>
      <c r="N3" s="41" t="s">
        <v>190</v>
      </c>
      <c r="O3" s="43">
        <v>0.21428571428571427</v>
      </c>
      <c r="P3" s="41" t="s">
        <v>192</v>
      </c>
      <c r="Q3" s="44">
        <v>0.32736572890025578</v>
      </c>
      <c r="R3" s="41" t="s">
        <v>190</v>
      </c>
      <c r="S3" s="44">
        <v>0.10245901639344263</v>
      </c>
      <c r="T3" s="41" t="s">
        <v>221</v>
      </c>
      <c r="U3" s="45">
        <v>10925</v>
      </c>
      <c r="V3" s="41" t="s">
        <v>190</v>
      </c>
      <c r="W3" s="45">
        <v>-6124</v>
      </c>
      <c r="X3" s="41" t="s">
        <v>193</v>
      </c>
      <c r="Y3" s="43">
        <v>0</v>
      </c>
      <c r="Z3" s="41" t="s">
        <v>163</v>
      </c>
      <c r="AA3" s="44">
        <v>0.27710843373493976</v>
      </c>
      <c r="AB3" s="41" t="s">
        <v>189</v>
      </c>
      <c r="AC3" s="44">
        <v>0.30857142857142855</v>
      </c>
      <c r="AD3" s="41" t="s">
        <v>195</v>
      </c>
      <c r="AE3" s="44">
        <v>0.69565217391304346</v>
      </c>
      <c r="AF3" s="41" t="s">
        <v>211</v>
      </c>
      <c r="AG3" s="44">
        <v>0.48571428571428571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86</v>
      </c>
      <c r="D4" s="47" t="s">
        <v>126</v>
      </c>
      <c r="E4" s="48">
        <v>149.39999999999995</v>
      </c>
      <c r="F4" s="49" t="s">
        <v>211</v>
      </c>
      <c r="G4" s="61">
        <v>2.6051282051282048</v>
      </c>
      <c r="H4" s="49" t="s">
        <v>163</v>
      </c>
      <c r="I4" s="53">
        <v>1622.3192195826016</v>
      </c>
      <c r="J4" s="49" t="s">
        <v>195</v>
      </c>
      <c r="K4" s="50">
        <v>1.9166666666666667</v>
      </c>
      <c r="L4" s="49" t="s">
        <v>192</v>
      </c>
      <c r="M4" s="51">
        <v>0.42222222222222222</v>
      </c>
      <c r="N4" s="49" t="s">
        <v>192</v>
      </c>
      <c r="O4" s="51">
        <v>0.24444444444444444</v>
      </c>
      <c r="P4" s="49" t="s">
        <v>126</v>
      </c>
      <c r="Q4" s="52">
        <v>0.32635983263598328</v>
      </c>
      <c r="R4" s="49" t="s">
        <v>192</v>
      </c>
      <c r="S4" s="52">
        <v>0.11508951406649616</v>
      </c>
      <c r="T4" s="49" t="s">
        <v>163</v>
      </c>
      <c r="U4" s="53">
        <v>9082.7272727272721</v>
      </c>
      <c r="V4" s="49" t="s">
        <v>211</v>
      </c>
      <c r="W4" s="53">
        <v>-6708.8888888888887</v>
      </c>
      <c r="X4" s="49" t="s">
        <v>221</v>
      </c>
      <c r="Y4" s="51">
        <v>0</v>
      </c>
      <c r="Z4" s="49" t="s">
        <v>189</v>
      </c>
      <c r="AA4" s="52">
        <v>0.26</v>
      </c>
      <c r="AB4" s="49" t="s">
        <v>193</v>
      </c>
      <c r="AC4" s="52">
        <v>0.2857142857142857</v>
      </c>
      <c r="AD4" s="49" t="s">
        <v>211</v>
      </c>
      <c r="AE4" s="52">
        <v>0.57534246575342463</v>
      </c>
      <c r="AF4" s="49" t="s">
        <v>126</v>
      </c>
      <c r="AG4" s="52">
        <v>0.48344370860927155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47</v>
      </c>
      <c r="D5" s="47" t="s">
        <v>211</v>
      </c>
      <c r="E5" s="48">
        <v>101.59999999999998</v>
      </c>
      <c r="F5" s="49" t="s">
        <v>126</v>
      </c>
      <c r="G5" s="61">
        <v>1.7372093023255808</v>
      </c>
      <c r="H5" s="49" t="s">
        <v>139</v>
      </c>
      <c r="I5" s="53">
        <v>1600.3428693562523</v>
      </c>
      <c r="J5" s="49" t="s">
        <v>211</v>
      </c>
      <c r="K5" s="50">
        <v>1.9487179487179487</v>
      </c>
      <c r="L5" s="49" t="s">
        <v>211</v>
      </c>
      <c r="M5" s="51">
        <v>0.38461538461538464</v>
      </c>
      <c r="N5" s="49" t="s">
        <v>211</v>
      </c>
      <c r="O5" s="51">
        <v>0.33333333333333331</v>
      </c>
      <c r="P5" s="49" t="s">
        <v>189</v>
      </c>
      <c r="Q5" s="52">
        <v>0.30571428571428572</v>
      </c>
      <c r="R5" s="49" t="s">
        <v>211</v>
      </c>
      <c r="S5" s="52">
        <v>0.13313609467455623</v>
      </c>
      <c r="T5" s="49" t="s">
        <v>195</v>
      </c>
      <c r="U5" s="53">
        <v>8606.8965517241377</v>
      </c>
      <c r="V5" s="49" t="s">
        <v>126</v>
      </c>
      <c r="W5" s="53">
        <v>-7239.0977443609027</v>
      </c>
      <c r="X5" s="49" t="s">
        <v>189</v>
      </c>
      <c r="Y5" s="51">
        <v>0.05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0.56818181818181823</v>
      </c>
      <c r="AF5" s="49" t="s">
        <v>189</v>
      </c>
      <c r="AG5" s="52">
        <v>0.41666666666666669</v>
      </c>
      <c r="AH5" s="49" t="s">
        <v>126</v>
      </c>
      <c r="AI5" s="52">
        <v>0.47435897435897434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45</v>
      </c>
      <c r="D6" s="47" t="s">
        <v>189</v>
      </c>
      <c r="E6" s="48">
        <v>25.700000000000003</v>
      </c>
      <c r="F6" s="49" t="s">
        <v>189</v>
      </c>
      <c r="G6" s="61">
        <v>0.64250000000000007</v>
      </c>
      <c r="H6" s="49" t="s">
        <v>192</v>
      </c>
      <c r="I6" s="53">
        <v>1573.325689506974</v>
      </c>
      <c r="J6" s="49" t="s">
        <v>189</v>
      </c>
      <c r="K6" s="50">
        <v>1.9750000000000001</v>
      </c>
      <c r="L6" s="49" t="s">
        <v>189</v>
      </c>
      <c r="M6" s="51">
        <v>0.375</v>
      </c>
      <c r="N6" s="49" t="s">
        <v>139</v>
      </c>
      <c r="O6" s="51">
        <v>0.33333333333333331</v>
      </c>
      <c r="P6" s="49" t="s">
        <v>211</v>
      </c>
      <c r="Q6" s="52">
        <v>0.30473372781065089</v>
      </c>
      <c r="R6" s="49" t="s">
        <v>139</v>
      </c>
      <c r="S6" s="52">
        <v>0.16139585605234461</v>
      </c>
      <c r="T6" s="49" t="s">
        <v>126</v>
      </c>
      <c r="U6" s="53">
        <v>8257.6923076923085</v>
      </c>
      <c r="V6" s="49" t="s">
        <v>195</v>
      </c>
      <c r="W6" s="53">
        <v>-7629.411764705882</v>
      </c>
      <c r="X6" s="49" t="s">
        <v>211</v>
      </c>
      <c r="Y6" s="51">
        <v>5.128205128205128E-2</v>
      </c>
      <c r="Z6" s="49" t="s">
        <v>126</v>
      </c>
      <c r="AA6" s="52">
        <v>0.24546722454672246</v>
      </c>
      <c r="AB6" s="49" t="s">
        <v>192</v>
      </c>
      <c r="AC6" s="52">
        <v>0.26854219948849106</v>
      </c>
      <c r="AD6" s="49" t="s">
        <v>192</v>
      </c>
      <c r="AE6" s="52">
        <v>0.54430379746835444</v>
      </c>
      <c r="AF6" s="49" t="s">
        <v>139</v>
      </c>
      <c r="AG6" s="52">
        <v>0.41242038216560511</v>
      </c>
      <c r="AH6" s="49" t="s">
        <v>189</v>
      </c>
      <c r="AI6" s="52">
        <v>0.46728971962616822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189</v>
      </c>
      <c r="C7" s="114">
        <v>40</v>
      </c>
      <c r="D7" s="47" t="s">
        <v>139</v>
      </c>
      <c r="E7" s="48">
        <v>2.6645352591003757E-14</v>
      </c>
      <c r="F7" s="49" t="s">
        <v>139</v>
      </c>
      <c r="G7" s="61">
        <v>8.3007328943936934E-17</v>
      </c>
      <c r="H7" s="49" t="s">
        <v>190</v>
      </c>
      <c r="I7" s="53">
        <v>1525.2391528138457</v>
      </c>
      <c r="J7" s="49" t="s">
        <v>139</v>
      </c>
      <c r="K7" s="50">
        <v>1.9968847352024923</v>
      </c>
      <c r="L7" s="49" t="s">
        <v>139</v>
      </c>
      <c r="M7" s="51">
        <v>0.3364485981308411</v>
      </c>
      <c r="N7" s="49" t="s">
        <v>126</v>
      </c>
      <c r="O7" s="51">
        <v>0.34883720930232559</v>
      </c>
      <c r="P7" s="49" t="s">
        <v>139</v>
      </c>
      <c r="Q7" s="52">
        <v>0.29480189022173753</v>
      </c>
      <c r="R7" s="49" t="s">
        <v>195</v>
      </c>
      <c r="S7" s="52">
        <v>0.1650485436893204</v>
      </c>
      <c r="T7" s="49" t="s">
        <v>193</v>
      </c>
      <c r="U7" s="53">
        <v>8212.5</v>
      </c>
      <c r="V7" s="49" t="s">
        <v>139</v>
      </c>
      <c r="W7" s="53">
        <v>-7630.8558558558561</v>
      </c>
      <c r="X7" s="49" t="s">
        <v>190</v>
      </c>
      <c r="Y7" s="51">
        <v>7.1428571428571425E-2</v>
      </c>
      <c r="Z7" s="49" t="s">
        <v>139</v>
      </c>
      <c r="AA7" s="52">
        <v>0.23918575063613232</v>
      </c>
      <c r="AB7" s="49" t="s">
        <v>139</v>
      </c>
      <c r="AC7" s="52">
        <v>0.22828062522719011</v>
      </c>
      <c r="AD7" s="49" t="s">
        <v>139</v>
      </c>
      <c r="AE7" s="52">
        <v>0.51975683890577506</v>
      </c>
      <c r="AF7" s="49" t="s">
        <v>192</v>
      </c>
      <c r="AG7" s="52">
        <v>0.40952380952380951</v>
      </c>
      <c r="AH7" s="49" t="s">
        <v>163</v>
      </c>
      <c r="AI7" s="52">
        <v>0.45454545454545453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211</v>
      </c>
      <c r="C8" s="114">
        <v>39</v>
      </c>
      <c r="D8" s="47" t="s">
        <v>221</v>
      </c>
      <c r="E8" s="48">
        <v>-13.5</v>
      </c>
      <c r="F8" s="49" t="s">
        <v>190</v>
      </c>
      <c r="G8" s="61">
        <v>-2.4035714285714294</v>
      </c>
      <c r="H8" s="49" t="s">
        <v>211</v>
      </c>
      <c r="I8" s="53">
        <v>1522.0163768209231</v>
      </c>
      <c r="J8" s="49" t="s">
        <v>190</v>
      </c>
      <c r="K8" s="50">
        <v>2</v>
      </c>
      <c r="L8" s="49" t="s">
        <v>126</v>
      </c>
      <c r="M8" s="51">
        <v>0.32558139534883723</v>
      </c>
      <c r="N8" s="49" t="s">
        <v>189</v>
      </c>
      <c r="O8" s="51">
        <v>0.35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8075.8620689655172</v>
      </c>
      <c r="V8" s="49" t="s">
        <v>216</v>
      </c>
      <c r="W8" s="53">
        <v>-7886.2068965517237</v>
      </c>
      <c r="X8" s="49" t="s">
        <v>126</v>
      </c>
      <c r="Y8" s="51">
        <v>8.1395348837209308E-2</v>
      </c>
      <c r="Z8" s="49" t="s">
        <v>190</v>
      </c>
      <c r="AA8" s="52">
        <v>0.22950819672131148</v>
      </c>
      <c r="AB8" s="49" t="s">
        <v>163</v>
      </c>
      <c r="AC8" s="52">
        <v>0.21927710843373494</v>
      </c>
      <c r="AD8" s="49" t="s">
        <v>190</v>
      </c>
      <c r="AE8" s="52">
        <v>0.5</v>
      </c>
      <c r="AF8" s="49" t="s">
        <v>193</v>
      </c>
      <c r="AG8" s="52">
        <v>0.4</v>
      </c>
      <c r="AH8" s="49" t="s">
        <v>139</v>
      </c>
      <c r="AI8" s="52">
        <v>0.44512946979038226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28</v>
      </c>
      <c r="D9" s="47" t="s">
        <v>195</v>
      </c>
      <c r="E9" s="48">
        <v>-39.5</v>
      </c>
      <c r="F9" s="49" t="s">
        <v>163</v>
      </c>
      <c r="G9" s="61">
        <v>-3.2617021276595746</v>
      </c>
      <c r="H9" s="49" t="s">
        <v>221</v>
      </c>
      <c r="I9" s="53">
        <v>1497.379788</v>
      </c>
      <c r="J9" s="49" t="s">
        <v>126</v>
      </c>
      <c r="K9" s="50">
        <v>2.0232558139534884</v>
      </c>
      <c r="L9" s="49" t="s">
        <v>163</v>
      </c>
      <c r="M9" s="51">
        <v>0.2978723404255319</v>
      </c>
      <c r="N9" s="49" t="s">
        <v>163</v>
      </c>
      <c r="O9" s="51">
        <v>0.36170212765957449</v>
      </c>
      <c r="P9" s="49" t="s">
        <v>163</v>
      </c>
      <c r="Q9" s="52">
        <v>0.26506024096385544</v>
      </c>
      <c r="R9" s="49" t="s">
        <v>189</v>
      </c>
      <c r="S9" s="52">
        <v>0.17428571428571429</v>
      </c>
      <c r="T9" s="49" t="s">
        <v>139</v>
      </c>
      <c r="U9" s="53">
        <v>8056.7200986436501</v>
      </c>
      <c r="V9" s="49" t="s">
        <v>192</v>
      </c>
      <c r="W9" s="53">
        <v>-8017.7777777777774</v>
      </c>
      <c r="X9" s="49" t="s">
        <v>139</v>
      </c>
      <c r="Y9" s="51">
        <v>8.7227414330218064E-2</v>
      </c>
      <c r="Z9" s="49" t="s">
        <v>216</v>
      </c>
      <c r="AA9" s="52">
        <v>0.22857142857142856</v>
      </c>
      <c r="AB9" s="49" t="s">
        <v>126</v>
      </c>
      <c r="AC9" s="52">
        <v>0.2105997210599721</v>
      </c>
      <c r="AD9" s="49" t="s">
        <v>163</v>
      </c>
      <c r="AE9" s="52">
        <v>0.46956521739130436</v>
      </c>
      <c r="AF9" s="49" t="s">
        <v>221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193</v>
      </c>
      <c r="E10" s="48">
        <v>-51.699999999999996</v>
      </c>
      <c r="F10" s="49" t="s">
        <v>195</v>
      </c>
      <c r="G10" s="61">
        <v>-3.2916666666666665</v>
      </c>
      <c r="H10" s="49" t="s">
        <v>216</v>
      </c>
      <c r="I10" s="53">
        <v>1475.2783888604056</v>
      </c>
      <c r="J10" s="49" t="s">
        <v>163</v>
      </c>
      <c r="K10" s="50">
        <v>2.0638297872340425</v>
      </c>
      <c r="L10" s="49" t="s">
        <v>193</v>
      </c>
      <c r="M10" s="51">
        <v>0.25</v>
      </c>
      <c r="N10" s="49" t="s">
        <v>195</v>
      </c>
      <c r="O10" s="51">
        <v>0.41666666666666669</v>
      </c>
      <c r="P10" s="49" t="s">
        <v>190</v>
      </c>
      <c r="Q10" s="52">
        <v>0.23770491803278687</v>
      </c>
      <c r="R10" s="49" t="s">
        <v>126</v>
      </c>
      <c r="S10" s="52">
        <v>0.18549511854951187</v>
      </c>
      <c r="T10" s="49" t="s">
        <v>211</v>
      </c>
      <c r="U10" s="53">
        <v>7706.7961165048546</v>
      </c>
      <c r="V10" s="49" t="s">
        <v>189</v>
      </c>
      <c r="W10" s="53">
        <v>-8100</v>
      </c>
      <c r="X10" s="49" t="s">
        <v>192</v>
      </c>
      <c r="Y10" s="51">
        <v>8.8888888888888892E-2</v>
      </c>
      <c r="Z10" s="49" t="s">
        <v>195</v>
      </c>
      <c r="AA10" s="52">
        <v>0.22330097087378642</v>
      </c>
      <c r="AB10" s="49" t="s">
        <v>211</v>
      </c>
      <c r="AC10" s="52">
        <v>0.20710059171597633</v>
      </c>
      <c r="AD10" s="49" t="s">
        <v>189</v>
      </c>
      <c r="AE10" s="52">
        <v>0.46153846153846156</v>
      </c>
      <c r="AF10" s="49" t="s">
        <v>190</v>
      </c>
      <c r="AG10" s="52">
        <v>0.36</v>
      </c>
      <c r="AH10" s="49" t="s">
        <v>211</v>
      </c>
      <c r="AI10" s="52">
        <v>0.42718446601941745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190</v>
      </c>
      <c r="E11" s="48">
        <v>-67.300000000000026</v>
      </c>
      <c r="F11" s="49" t="s">
        <v>221</v>
      </c>
      <c r="G11" s="61">
        <v>-6.75</v>
      </c>
      <c r="H11" s="49" t="s">
        <v>189</v>
      </c>
      <c r="I11" s="53">
        <v>1470.3574394374596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0.18795180722891566</v>
      </c>
      <c r="T11" s="49" t="s">
        <v>189</v>
      </c>
      <c r="U11" s="53">
        <v>7552.336448598131</v>
      </c>
      <c r="V11" s="49" t="s">
        <v>163</v>
      </c>
      <c r="W11" s="53">
        <v>-8346.1538461538457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0.20491803278688525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192</v>
      </c>
      <c r="AI11" s="52">
        <v>0.40625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-153.30000000000001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190</v>
      </c>
      <c r="M12" s="51">
        <v>0.21428571428571427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192</v>
      </c>
      <c r="U12" s="53">
        <v>7482.8125</v>
      </c>
      <c r="V12" s="49" t="s">
        <v>193</v>
      </c>
      <c r="W12" s="53">
        <v>-9387.5</v>
      </c>
      <c r="X12" s="49" t="s">
        <v>163</v>
      </c>
      <c r="Y12" s="51">
        <v>0.14893617021276595</v>
      </c>
      <c r="Z12" s="49" t="s">
        <v>211</v>
      </c>
      <c r="AA12" s="52">
        <v>0.21597633136094674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0.30769230769230771</v>
      </c>
      <c r="AH12" s="49" t="s">
        <v>190</v>
      </c>
      <c r="AI12" s="52">
        <v>0.32758620689655171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192</v>
      </c>
      <c r="AA13" s="52">
        <v>0.20204603580562661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193</v>
      </c>
      <c r="AI13" s="52">
        <v>0.25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321</v>
      </c>
      <c r="C2" s="134"/>
      <c r="E2" s="26" t="s">
        <v>66</v>
      </c>
      <c r="F2" s="23" t="s">
        <v>22</v>
      </c>
      <c r="G2" s="11">
        <v>635</v>
      </c>
      <c r="H2" s="87">
        <f>IF(B$20=0,0,G2/B$20)</f>
        <v>0.78298397040690504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-37.383177570093459</v>
      </c>
      <c r="Q2" s="76">
        <v>321</v>
      </c>
      <c r="R2" s="63">
        <v>-12000</v>
      </c>
    </row>
    <row r="3" spans="1:18" x14ac:dyDescent="0.4">
      <c r="A3" s="19" t="s">
        <v>8</v>
      </c>
      <c r="B3" s="135">
        <v>2751</v>
      </c>
      <c r="C3" s="136"/>
      <c r="E3" s="27" t="s">
        <v>72</v>
      </c>
      <c r="F3" s="24" t="s">
        <v>27</v>
      </c>
      <c r="G3" s="12">
        <v>480</v>
      </c>
      <c r="H3" s="88">
        <f>IF(B$20=0,0,G3/B$20)</f>
        <v>0.59186189889025898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28.846153846153847</v>
      </c>
      <c r="Q3" s="77">
        <v>312</v>
      </c>
      <c r="R3" s="64">
        <v>9000</v>
      </c>
    </row>
    <row r="4" spans="1:18" x14ac:dyDescent="0.4">
      <c r="A4" s="19" t="s">
        <v>6</v>
      </c>
      <c r="B4" s="137">
        <v>2.6645352591003757E-14</v>
      </c>
      <c r="C4" s="138"/>
      <c r="E4" s="27" t="s">
        <v>64</v>
      </c>
      <c r="F4" s="24" t="s">
        <v>20</v>
      </c>
      <c r="G4" s="12">
        <v>332</v>
      </c>
      <c r="H4" s="88">
        <f>IF(B$20=0,0,G4/B$20)</f>
        <v>0.40937114673242908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-12.820512820512821</v>
      </c>
      <c r="Q4" s="77">
        <v>312</v>
      </c>
      <c r="R4" s="64">
        <v>-4000</v>
      </c>
    </row>
    <row r="5" spans="1:18" x14ac:dyDescent="0.4">
      <c r="A5" s="19" t="s">
        <v>7</v>
      </c>
      <c r="B5" s="125">
        <f>IF(B$2=0,0,B$4/B$2)</f>
        <v>8.3007328943936934E-17</v>
      </c>
      <c r="C5" s="126"/>
      <c r="E5" s="27" t="s">
        <v>159</v>
      </c>
      <c r="F5" s="24" t="s">
        <v>160</v>
      </c>
      <c r="G5" s="12">
        <v>323</v>
      </c>
      <c r="H5" s="88">
        <f>IF(B$20=0,0,G5/B$20)</f>
        <v>0.39827373612823674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-3.3670033670033672</v>
      </c>
      <c r="Q5" s="77">
        <v>297</v>
      </c>
      <c r="R5" s="64">
        <v>-1000</v>
      </c>
    </row>
    <row r="6" spans="1:18" x14ac:dyDescent="0.4">
      <c r="A6" s="19" t="s">
        <v>196</v>
      </c>
      <c r="B6" s="129">
        <v>1600.3428693562523</v>
      </c>
      <c r="C6" s="130"/>
      <c r="E6" s="27" t="s">
        <v>68</v>
      </c>
      <c r="F6" s="24" t="s">
        <v>12</v>
      </c>
      <c r="G6" s="12">
        <v>245</v>
      </c>
      <c r="H6" s="88">
        <f>IF(B$20=0,0,G6/B$20)</f>
        <v>0.30209617755856966</v>
      </c>
      <c r="I6" s="58">
        <v>5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14.652014652014651</v>
      </c>
      <c r="Q6" s="77">
        <v>273</v>
      </c>
      <c r="R6" s="64">
        <v>4000</v>
      </c>
    </row>
    <row r="7" spans="1:18" x14ac:dyDescent="0.4">
      <c r="A7" s="19" t="s">
        <v>1</v>
      </c>
      <c r="B7" s="139">
        <f>IF(B$2=0,0,(B$8*1+B$9*2+B$10*3)/B$2)</f>
        <v>1.9968847352024923</v>
      </c>
      <c r="C7" s="140"/>
      <c r="E7" s="27" t="s">
        <v>67</v>
      </c>
      <c r="F7" s="24" t="s">
        <v>23</v>
      </c>
      <c r="G7" s="12">
        <v>178</v>
      </c>
      <c r="H7" s="88">
        <f>IF(B$20=0,0,G7/B$20)</f>
        <v>0.21948212083847102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17.094017094017094</v>
      </c>
      <c r="Q7" s="78">
        <v>234</v>
      </c>
      <c r="R7" s="65">
        <v>4000</v>
      </c>
    </row>
    <row r="8" spans="1:18" x14ac:dyDescent="0.4">
      <c r="A8" s="19" t="s">
        <v>2</v>
      </c>
      <c r="B8" s="12">
        <v>108</v>
      </c>
      <c r="C8" s="6">
        <f t="shared" ref="C8:C15" si="1">IF(B$2=0,0,B8/B$2)</f>
        <v>0.3364485981308411</v>
      </c>
      <c r="E8" s="27" t="s">
        <v>89</v>
      </c>
      <c r="F8" s="24" t="s">
        <v>44</v>
      </c>
      <c r="G8" s="12">
        <v>112</v>
      </c>
      <c r="H8" s="88">
        <f>IF(B$20=0,0,G8/B$20)</f>
        <v>0.13810110974106041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106</v>
      </c>
      <c r="C9" s="6">
        <f t="shared" si="1"/>
        <v>0.33021806853582553</v>
      </c>
      <c r="E9" s="27" t="s">
        <v>69</v>
      </c>
      <c r="F9" s="24" t="s">
        <v>24</v>
      </c>
      <c r="G9" s="12">
        <v>101</v>
      </c>
      <c r="H9" s="88">
        <f>IF(B$20=0,0,G9/B$20)</f>
        <v>0.12453760789149199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107</v>
      </c>
      <c r="C10" s="7">
        <f t="shared" si="1"/>
        <v>0.33333333333333331</v>
      </c>
      <c r="E10" s="27" t="s">
        <v>70</v>
      </c>
      <c r="F10" s="24" t="s">
        <v>25</v>
      </c>
      <c r="G10" s="12">
        <v>84</v>
      </c>
      <c r="H10" s="88">
        <f>IF(B$20=0,0,G10/B$20)</f>
        <v>0.10357583230579531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2.4504672897196254</v>
      </c>
      <c r="Q10" s="76">
        <v>107</v>
      </c>
      <c r="R10" s="67">
        <v>262.19999999999993</v>
      </c>
    </row>
    <row r="11" spans="1:18" x14ac:dyDescent="0.4">
      <c r="A11" s="20" t="s">
        <v>184</v>
      </c>
      <c r="B11" s="109">
        <f>IF(B8=0,0,C11/B8)</f>
        <v>34.73888888888888</v>
      </c>
      <c r="C11" s="110">
        <v>3751.7999999999993</v>
      </c>
      <c r="E11" s="27" t="s">
        <v>65</v>
      </c>
      <c r="F11" s="24" t="s">
        <v>21</v>
      </c>
      <c r="G11" s="12">
        <v>69</v>
      </c>
      <c r="H11" s="88">
        <f>IF(B$20=0,0,G11/B$20)</f>
        <v>8.5080147965474723E-2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-3.6514018691588777</v>
      </c>
      <c r="Q11" s="77">
        <v>107</v>
      </c>
      <c r="R11" s="68">
        <v>-390.69999999999993</v>
      </c>
    </row>
    <row r="12" spans="1:18" x14ac:dyDescent="0.4">
      <c r="A12" s="20" t="s">
        <v>185</v>
      </c>
      <c r="B12" s="109">
        <f>IF(B9=0,0,C12/B9)</f>
        <v>-1.0113207547169811</v>
      </c>
      <c r="C12" s="110">
        <v>-107.19999999999999</v>
      </c>
      <c r="E12" s="27" t="s">
        <v>71</v>
      </c>
      <c r="F12" s="24" t="s">
        <v>26</v>
      </c>
      <c r="G12" s="12">
        <v>47</v>
      </c>
      <c r="H12" s="88">
        <f>IF(B$20=0,0,G12/B$20)</f>
        <v>5.7953144266337853E-2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1.2009345794392525</v>
      </c>
      <c r="Q12" s="78">
        <v>107</v>
      </c>
      <c r="R12" s="69">
        <v>128.50000000000003</v>
      </c>
    </row>
    <row r="13" spans="1:18" x14ac:dyDescent="0.4">
      <c r="A13" s="20" t="s">
        <v>186</v>
      </c>
      <c r="B13" s="109">
        <f>IF(B10=0,0,C13/B10)</f>
        <v>-34.061682242990656</v>
      </c>
      <c r="C13" s="110">
        <v>-3644.6000000000004</v>
      </c>
      <c r="E13" s="27" t="s">
        <v>86</v>
      </c>
      <c r="F13" s="24" t="s">
        <v>41</v>
      </c>
      <c r="G13" s="12">
        <v>46</v>
      </c>
      <c r="H13" s="88">
        <f>IF(B$20=0,0,G13/B$20)</f>
        <v>5.6720098643649818E-2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-0.11137136960625327</v>
      </c>
      <c r="C14" s="126"/>
      <c r="E14" s="27" t="s">
        <v>83</v>
      </c>
      <c r="F14" s="24" t="s">
        <v>38</v>
      </c>
      <c r="G14" s="12">
        <v>35</v>
      </c>
      <c r="H14" s="88">
        <f>IF(B$20=0,0,G14/B$20)</f>
        <v>4.3156596794081382E-2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28</v>
      </c>
      <c r="C15" s="9">
        <f t="shared" si="1"/>
        <v>8.7227414330218064E-2</v>
      </c>
      <c r="E15" s="27" t="s">
        <v>81</v>
      </c>
      <c r="F15" s="24" t="s">
        <v>36</v>
      </c>
      <c r="G15" s="12">
        <v>26</v>
      </c>
      <c r="H15" s="88">
        <f>IF(B$20=0,0,G15/B$20)</f>
        <v>3.2059186189889025E-2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658</v>
      </c>
      <c r="C16" s="10">
        <f>IF(B$3=0,0,B16/B$3)</f>
        <v>0.23918575063613232</v>
      </c>
      <c r="E16" s="27" t="s">
        <v>78</v>
      </c>
      <c r="F16" s="24" t="s">
        <v>33</v>
      </c>
      <c r="G16" s="12">
        <v>21</v>
      </c>
      <c r="H16" s="88">
        <f>IF(B$20=0,0,G16/B$20)</f>
        <v>2.5893958076448828E-2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628</v>
      </c>
      <c r="C17" s="6">
        <f>IF(B$3=0,0,B17/B$3)</f>
        <v>0.22828062522719011</v>
      </c>
      <c r="E17" s="27" t="s">
        <v>91</v>
      </c>
      <c r="F17" s="24" t="s">
        <v>46</v>
      </c>
      <c r="G17" s="12">
        <v>15</v>
      </c>
      <c r="H17" s="88">
        <f>IF(B$20=0,0,G17/B$20)</f>
        <v>1.8495684340320593E-2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342</v>
      </c>
      <c r="C18" s="5">
        <f>IF(B$16=0,0,B18/B$16)</f>
        <v>0.51975683890577506</v>
      </c>
      <c r="E18" s="27" t="s">
        <v>155</v>
      </c>
      <c r="F18" s="24" t="s">
        <v>156</v>
      </c>
      <c r="G18" s="12">
        <v>15</v>
      </c>
      <c r="H18" s="88">
        <f>IF(B$20=0,0,G18/B$20)</f>
        <v>1.8495684340320593E-2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4.9375000000000036</v>
      </c>
      <c r="Q18" s="77">
        <v>24</v>
      </c>
      <c r="R18" s="68">
        <v>118.50000000000009</v>
      </c>
    </row>
    <row r="19" spans="1:18" x14ac:dyDescent="0.4">
      <c r="A19" s="18" t="s">
        <v>124</v>
      </c>
      <c r="B19" s="11">
        <f>B25</f>
        <v>259</v>
      </c>
      <c r="C19" s="5">
        <f>IF(B$17=0,0,B19/B$17)</f>
        <v>0.41242038216560511</v>
      </c>
      <c r="E19" s="27" t="s">
        <v>79</v>
      </c>
      <c r="F19" s="24" t="s">
        <v>34</v>
      </c>
      <c r="G19" s="12">
        <v>11</v>
      </c>
      <c r="H19" s="88">
        <f>IF(B$20=0,0,G19/B$20)</f>
        <v>1.3563501849568433E-2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163</v>
      </c>
      <c r="P19" s="83">
        <f>IF(Q19=0,0,R19/Q19)</f>
        <v>4.8925531914893643</v>
      </c>
      <c r="Q19" s="77">
        <v>94</v>
      </c>
      <c r="R19" s="68">
        <v>459.9000000000002</v>
      </c>
    </row>
    <row r="20" spans="1:18" x14ac:dyDescent="0.4">
      <c r="A20" s="18" t="s">
        <v>10</v>
      </c>
      <c r="B20" s="11">
        <f>B23+B22</f>
        <v>811</v>
      </c>
      <c r="C20" s="5">
        <f>IF(B$3=0,0,B20/B$3)</f>
        <v>0.29480189022173753</v>
      </c>
      <c r="E20" s="27" t="s">
        <v>73</v>
      </c>
      <c r="F20" s="24" t="s">
        <v>28</v>
      </c>
      <c r="G20" s="12">
        <v>7</v>
      </c>
      <c r="H20" s="88">
        <f>IF(B$20=0,0,G20/B$20)</f>
        <v>8.6313193588162754E-3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3.6053571428571431</v>
      </c>
      <c r="Q20" s="77">
        <v>56</v>
      </c>
      <c r="R20" s="68">
        <v>201.9</v>
      </c>
    </row>
    <row r="21" spans="1:18" x14ac:dyDescent="0.4">
      <c r="A21" s="19" t="s">
        <v>13</v>
      </c>
      <c r="B21" s="12">
        <v>444</v>
      </c>
      <c r="C21" s="6">
        <f>IF(B$3=0,0,B21/B$3)</f>
        <v>0.16139585605234461</v>
      </c>
      <c r="E21" s="27" t="s">
        <v>88</v>
      </c>
      <c r="F21" s="24" t="s">
        <v>43</v>
      </c>
      <c r="G21" s="12">
        <v>4</v>
      </c>
      <c r="H21" s="88">
        <f>IF(B$20=0,0,G21/B$20)</f>
        <v>4.9321824907521579E-3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-0.96374999999999889</v>
      </c>
      <c r="Q21" s="77">
        <v>80</v>
      </c>
      <c r="R21" s="68">
        <v>-77.099999999999909</v>
      </c>
    </row>
    <row r="22" spans="1:18" x14ac:dyDescent="0.4">
      <c r="A22" s="19" t="s">
        <v>12</v>
      </c>
      <c r="B22" s="12">
        <v>361</v>
      </c>
      <c r="C22" s="6">
        <f>IF(B$20=0,0,B22/B$20)</f>
        <v>0.44512946979038226</v>
      </c>
      <c r="E22" s="27" t="s">
        <v>75</v>
      </c>
      <c r="F22" s="24" t="s">
        <v>30</v>
      </c>
      <c r="G22" s="12">
        <v>3</v>
      </c>
      <c r="H22" s="88">
        <f>IF(B$20=0,0,G22/B$20)</f>
        <v>3.6991368680641184E-3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-2.60581395348837</v>
      </c>
      <c r="Q22" s="77">
        <v>172</v>
      </c>
      <c r="R22" s="68">
        <v>-448.19999999999965</v>
      </c>
    </row>
    <row r="23" spans="1:18" x14ac:dyDescent="0.4">
      <c r="A23" s="19" t="s">
        <v>11</v>
      </c>
      <c r="B23" s="12">
        <v>450</v>
      </c>
      <c r="C23" s="6">
        <f>IF(B$20=0,0,B23/B$20)</f>
        <v>0.55487053020961774</v>
      </c>
      <c r="E23" s="27" t="s">
        <v>77</v>
      </c>
      <c r="F23" s="24" t="s">
        <v>32</v>
      </c>
      <c r="G23" s="12">
        <v>3</v>
      </c>
      <c r="H23" s="88">
        <f>IF(B$20=0,0,G23/B$20)</f>
        <v>3.6991368680641184E-3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-3.9076923076923094</v>
      </c>
      <c r="Q23" s="77">
        <v>78</v>
      </c>
      <c r="R23" s="68">
        <v>-304.80000000000013</v>
      </c>
    </row>
    <row r="24" spans="1:18" x14ac:dyDescent="0.4">
      <c r="A24" s="19" t="s">
        <v>183</v>
      </c>
      <c r="B24" s="12">
        <v>342</v>
      </c>
      <c r="C24" s="6">
        <f>IF(B$20=0,0,B24/B$20)</f>
        <v>0.42170160295930947</v>
      </c>
      <c r="E24" s="27" t="s">
        <v>85</v>
      </c>
      <c r="F24" s="24" t="s">
        <v>40</v>
      </c>
      <c r="G24" s="12">
        <v>3</v>
      </c>
      <c r="H24" s="88">
        <f>IF(B$20=0,0,G24/B$20)</f>
        <v>3.6991368680641184E-3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-7.6300000000000043</v>
      </c>
      <c r="Q24" s="77">
        <v>90</v>
      </c>
      <c r="R24" s="68">
        <v>-686.70000000000039</v>
      </c>
    </row>
    <row r="25" spans="1:18" x14ac:dyDescent="0.4">
      <c r="A25" s="19" t="s">
        <v>181</v>
      </c>
      <c r="B25" s="12">
        <v>259</v>
      </c>
      <c r="C25" s="6">
        <f>IF(B$20=0,0,B25/B$20)</f>
        <v>0.31935881627620222</v>
      </c>
      <c r="E25" s="27" t="s">
        <v>92</v>
      </c>
      <c r="F25" s="24" t="s">
        <v>47</v>
      </c>
      <c r="G25" s="12">
        <v>2</v>
      </c>
      <c r="H25" s="88">
        <f>IF(B$20=0,0,G25/B$20)</f>
        <v>2.4660912453760789E-3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210</v>
      </c>
      <c r="C26" s="6">
        <f>IF(B$20=0,0,B26/B$20)</f>
        <v>0.25893958076448831</v>
      </c>
      <c r="E26" s="27" t="s">
        <v>80</v>
      </c>
      <c r="F26" s="24" t="s">
        <v>35</v>
      </c>
      <c r="G26" s="12">
        <v>1</v>
      </c>
      <c r="H26" s="88">
        <f>IF(B$20=0,0,G26/B$20)</f>
        <v>1.2330456226880395E-3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8056.7200986436501</v>
      </c>
      <c r="C27" s="8">
        <v>6534000</v>
      </c>
      <c r="E27" s="27" t="s">
        <v>90</v>
      </c>
      <c r="F27" s="24" t="s">
        <v>45</v>
      </c>
      <c r="G27" s="12">
        <v>1</v>
      </c>
      <c r="H27" s="88">
        <f>IF(B$20=0,0,G27/B$20)</f>
        <v>1.2330456226880395E-3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8606.3405797101441</v>
      </c>
      <c r="C28" s="96">
        <v>4750700</v>
      </c>
      <c r="E28" s="27" t="s">
        <v>93</v>
      </c>
      <c r="F28" s="24" t="s">
        <v>48</v>
      </c>
      <c r="G28" s="12">
        <v>1</v>
      </c>
      <c r="H28" s="88">
        <f>IF(B$20=0,0,G28/B$20)</f>
        <v>1.2330456226880395E-3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6885.3281853281851</v>
      </c>
      <c r="C29" s="96">
        <v>1783300</v>
      </c>
      <c r="E29" s="27" t="s">
        <v>102</v>
      </c>
      <c r="F29" s="24" t="s">
        <v>57</v>
      </c>
      <c r="G29" s="12">
        <v>1</v>
      </c>
      <c r="H29" s="88">
        <f>IF(B$20=0,0,G29/B$20)</f>
        <v>1.2330456226880395E-3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-7630.8558558558561</v>
      </c>
      <c r="C30" s="96">
        <v>-3388100</v>
      </c>
      <c r="E30" s="27" t="s">
        <v>106</v>
      </c>
      <c r="F30" s="24" t="s">
        <v>113</v>
      </c>
      <c r="G30" s="12">
        <v>1</v>
      </c>
      <c r="H30" s="88">
        <f>IF(B$20=0,0,G30/B$20)</f>
        <v>1.2330456226880395E-3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0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2.5445292620865142E-3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65</v>
      </c>
      <c r="C37" s="98">
        <f t="shared" ref="C37:C49" si="2">IF(B$20=0,0,B37/B$20)</f>
        <v>8.0147965474722568E-2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155</v>
      </c>
      <c r="C38" s="6">
        <f t="shared" si="2"/>
        <v>0.19112207151664612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161</v>
      </c>
      <c r="C39" s="6">
        <f t="shared" si="2"/>
        <v>0.19852034525277434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153</v>
      </c>
      <c r="C40" s="6">
        <f t="shared" si="2"/>
        <v>0.18865598027127004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114</v>
      </c>
      <c r="C41" s="6">
        <f t="shared" si="2"/>
        <v>0.14056720098643649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71</v>
      </c>
      <c r="C42" s="6">
        <f t="shared" si="2"/>
        <v>8.7546239210850807E-2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35</v>
      </c>
      <c r="C43" s="6">
        <f t="shared" si="2"/>
        <v>4.3156596794081382E-2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23</v>
      </c>
      <c r="C44" s="6">
        <f t="shared" si="2"/>
        <v>2.8360049321824909E-2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15</v>
      </c>
      <c r="C45" s="6">
        <f t="shared" si="2"/>
        <v>1.8495684340320593E-2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1.2330456226880395E-2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2.4660912453760789E-3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1.2330456226880395E-3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6</v>
      </c>
      <c r="C49" s="9">
        <f t="shared" si="2"/>
        <v>7.3982737361282368E-3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8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86</v>
      </c>
      <c r="C2" s="134"/>
      <c r="E2" s="26" t="s">
        <v>66</v>
      </c>
      <c r="F2" s="23" t="s">
        <v>22</v>
      </c>
      <c r="G2" s="11">
        <v>178</v>
      </c>
      <c r="H2" s="87">
        <f>IF(B$20=0,0,G2/B$20)</f>
        <v>0.76068376068376065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556.97674418604652</v>
      </c>
      <c r="Q2" s="76">
        <v>86</v>
      </c>
      <c r="R2" s="63">
        <v>47900</v>
      </c>
    </row>
    <row r="3" spans="1:18" x14ac:dyDescent="0.4">
      <c r="A3" s="19" t="s">
        <v>8</v>
      </c>
      <c r="B3" s="135">
        <v>717</v>
      </c>
      <c r="C3" s="136"/>
      <c r="E3" s="27" t="s">
        <v>72</v>
      </c>
      <c r="F3" s="24" t="s">
        <v>27</v>
      </c>
      <c r="G3" s="12">
        <v>129</v>
      </c>
      <c r="H3" s="88">
        <f>IF(B$20=0,0,G3/B$20)</f>
        <v>0.55128205128205132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-709.63855421686742</v>
      </c>
      <c r="Q3" s="77">
        <v>83</v>
      </c>
      <c r="R3" s="64">
        <v>-58900</v>
      </c>
    </row>
    <row r="4" spans="1:18" x14ac:dyDescent="0.4">
      <c r="A4" s="19" t="s">
        <v>6</v>
      </c>
      <c r="B4" s="137">
        <v>149.39999999999995</v>
      </c>
      <c r="C4" s="138"/>
      <c r="E4" s="27" t="s">
        <v>64</v>
      </c>
      <c r="F4" s="24" t="s">
        <v>20</v>
      </c>
      <c r="G4" s="12">
        <v>93</v>
      </c>
      <c r="H4" s="88">
        <f>IF(B$20=0,0,G4/B$20)</f>
        <v>0.39743589743589741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-961.4457831325301</v>
      </c>
      <c r="Q4" s="77">
        <v>83</v>
      </c>
      <c r="R4" s="64">
        <v>-79800</v>
      </c>
    </row>
    <row r="5" spans="1:18" x14ac:dyDescent="0.4">
      <c r="A5" s="19" t="s">
        <v>7</v>
      </c>
      <c r="B5" s="125">
        <f>IF(B$2=0,0,B$4/B$2)</f>
        <v>1.7372093023255808</v>
      </c>
      <c r="C5" s="126"/>
      <c r="E5" s="27" t="s">
        <v>159</v>
      </c>
      <c r="F5" s="24" t="s">
        <v>160</v>
      </c>
      <c r="G5" s="12">
        <v>85</v>
      </c>
      <c r="H5" s="88">
        <f>IF(B$20=0,0,G5/B$20)</f>
        <v>0.36324786324786323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1397.5</v>
      </c>
      <c r="Q5" s="77">
        <v>80</v>
      </c>
      <c r="R5" s="64">
        <v>111800</v>
      </c>
    </row>
    <row r="6" spans="1:18" x14ac:dyDescent="0.4">
      <c r="A6" s="19" t="s">
        <v>196</v>
      </c>
      <c r="B6" s="129">
        <v>1773.6563781248926</v>
      </c>
      <c r="C6" s="130"/>
      <c r="E6" s="27" t="s">
        <v>68</v>
      </c>
      <c r="F6" s="24" t="s">
        <v>12</v>
      </c>
      <c r="G6" s="12">
        <v>73</v>
      </c>
      <c r="H6" s="88">
        <f>IF(B$20=0,0,G6/B$20)</f>
        <v>0.31196581196581197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54.794520547945204</v>
      </c>
      <c r="Q6" s="77">
        <v>73</v>
      </c>
      <c r="R6" s="64">
        <v>4000</v>
      </c>
    </row>
    <row r="7" spans="1:18" x14ac:dyDescent="0.4">
      <c r="A7" s="19" t="s">
        <v>1</v>
      </c>
      <c r="B7" s="139">
        <f>IF(B$2=0,0,(B$8*1+B$9*2+B$10*3)/B$2)</f>
        <v>2.0232558139534884</v>
      </c>
      <c r="C7" s="140"/>
      <c r="E7" s="27" t="s">
        <v>67</v>
      </c>
      <c r="F7" s="24" t="s">
        <v>23</v>
      </c>
      <c r="G7" s="12">
        <v>46</v>
      </c>
      <c r="H7" s="88">
        <f>IF(B$20=0,0,G7/B$20)</f>
        <v>0.19658119658119658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83.870967741935488</v>
      </c>
      <c r="Q7" s="78">
        <v>62</v>
      </c>
      <c r="R7" s="65">
        <v>5200</v>
      </c>
    </row>
    <row r="8" spans="1:18" x14ac:dyDescent="0.4">
      <c r="A8" s="19" t="s">
        <v>2</v>
      </c>
      <c r="B8" s="12">
        <v>28</v>
      </c>
      <c r="C8" s="6">
        <f t="shared" ref="C8:C15" si="1">IF(B$2=0,0,B8/B$2)</f>
        <v>0.32558139534883723</v>
      </c>
      <c r="E8" s="27" t="s">
        <v>69</v>
      </c>
      <c r="F8" s="24" t="s">
        <v>24</v>
      </c>
      <c r="G8" s="12">
        <v>39</v>
      </c>
      <c r="H8" s="88">
        <f>IF(B$20=0,0,G8/B$20)</f>
        <v>0.16666666666666666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28</v>
      </c>
      <c r="C9" s="6">
        <f t="shared" si="1"/>
        <v>0.32558139534883723</v>
      </c>
      <c r="E9" s="27" t="s">
        <v>89</v>
      </c>
      <c r="F9" s="24" t="s">
        <v>44</v>
      </c>
      <c r="G9" s="12">
        <v>33</v>
      </c>
      <c r="H9" s="88">
        <f>IF(B$20=0,0,G9/B$20)</f>
        <v>0.14102564102564102</v>
      </c>
      <c r="I9" s="58">
        <v>6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30</v>
      </c>
      <c r="C10" s="7">
        <f t="shared" si="1"/>
        <v>0.34883720930232559</v>
      </c>
      <c r="E10" s="27" t="s">
        <v>70</v>
      </c>
      <c r="F10" s="24" t="s">
        <v>25</v>
      </c>
      <c r="G10" s="12">
        <v>32</v>
      </c>
      <c r="H10" s="88">
        <f>IF(B$20=0,0,G10/B$20)</f>
        <v>0.13675213675213677</v>
      </c>
      <c r="I10" s="58">
        <v>1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7.3312499999999998</v>
      </c>
      <c r="Q10" s="76">
        <v>32</v>
      </c>
      <c r="R10" s="67">
        <v>234.6</v>
      </c>
    </row>
    <row r="11" spans="1:18" x14ac:dyDescent="0.4">
      <c r="A11" s="20" t="s">
        <v>184</v>
      </c>
      <c r="B11" s="109">
        <f>IF(B8=0,0,C11/B8)</f>
        <v>39.407142857142858</v>
      </c>
      <c r="C11" s="110">
        <v>1103.4000000000001</v>
      </c>
      <c r="E11" s="27" t="s">
        <v>65</v>
      </c>
      <c r="F11" s="24" t="s">
        <v>21</v>
      </c>
      <c r="G11" s="12">
        <v>17</v>
      </c>
      <c r="H11" s="88">
        <f>IF(B$20=0,0,G11/B$20)</f>
        <v>7.2649572649572655E-2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-6.8033333333333328</v>
      </c>
      <c r="Q11" s="77">
        <v>30</v>
      </c>
      <c r="R11" s="68">
        <v>-204.1</v>
      </c>
    </row>
    <row r="12" spans="1:18" x14ac:dyDescent="0.4">
      <c r="A12" s="20" t="s">
        <v>185</v>
      </c>
      <c r="B12" s="109">
        <f>IF(B9=0,0,C12/B9)</f>
        <v>-1.9928571428571424</v>
      </c>
      <c r="C12" s="110">
        <v>-55.79999999999999</v>
      </c>
      <c r="E12" s="27" t="s">
        <v>86</v>
      </c>
      <c r="F12" s="24" t="s">
        <v>41</v>
      </c>
      <c r="G12" s="12">
        <v>16</v>
      </c>
      <c r="H12" s="88">
        <f>IF(B$20=0,0,G12/B$20)</f>
        <v>6.8376068376068383E-2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4.9541666666666684</v>
      </c>
      <c r="Q12" s="78">
        <v>24</v>
      </c>
      <c r="R12" s="69">
        <v>118.90000000000003</v>
      </c>
    </row>
    <row r="13" spans="1:18" x14ac:dyDescent="0.4">
      <c r="A13" s="20" t="s">
        <v>186</v>
      </c>
      <c r="B13" s="109">
        <f>IF(B10=0,0,C13/B10)</f>
        <v>-29.94</v>
      </c>
      <c r="C13" s="110">
        <v>-898.2</v>
      </c>
      <c r="E13" s="27" t="s">
        <v>83</v>
      </c>
      <c r="F13" s="24" t="s">
        <v>38</v>
      </c>
      <c r="G13" s="12">
        <v>13</v>
      </c>
      <c r="H13" s="88">
        <f>IF(B$20=0,0,G13/B$20)</f>
        <v>5.5555555555555552E-2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2.4914285714285724</v>
      </c>
      <c r="C14" s="126"/>
      <c r="E14" s="27" t="s">
        <v>71</v>
      </c>
      <c r="F14" s="24" t="s">
        <v>26</v>
      </c>
      <c r="G14" s="12">
        <v>11</v>
      </c>
      <c r="H14" s="88">
        <f>IF(B$20=0,0,G14/B$20)</f>
        <v>4.7008547008547008E-2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8.1395348837209308E-2</v>
      </c>
      <c r="E15" s="27" t="s">
        <v>155</v>
      </c>
      <c r="F15" s="24" t="s">
        <v>156</v>
      </c>
      <c r="G15" s="12">
        <v>10</v>
      </c>
      <c r="H15" s="88">
        <f>IF(B$20=0,0,G15/B$20)</f>
        <v>4.2735042735042736E-2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176</v>
      </c>
      <c r="C16" s="10">
        <f>IF(B$3=0,0,B16/B$3)</f>
        <v>0.24546722454672246</v>
      </c>
      <c r="E16" s="27" t="s">
        <v>91</v>
      </c>
      <c r="F16" s="24" t="s">
        <v>46</v>
      </c>
      <c r="G16" s="12">
        <v>7</v>
      </c>
      <c r="H16" s="88">
        <f>IF(B$20=0,0,G16/B$20)</f>
        <v>2.9914529914529916E-2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151</v>
      </c>
      <c r="C17" s="6">
        <f>IF(B$3=0,0,B17/B$3)</f>
        <v>0.2105997210599721</v>
      </c>
      <c r="E17" s="27" t="s">
        <v>81</v>
      </c>
      <c r="F17" s="24" t="s">
        <v>36</v>
      </c>
      <c r="G17" s="12">
        <v>5</v>
      </c>
      <c r="H17" s="88">
        <f>IF(B$20=0,0,G17/B$20)</f>
        <v>2.1367521367521368E-2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190</v>
      </c>
      <c r="P17" s="83">
        <f>IF(Q17=0,0,R17/Q17)</f>
        <v>9.7818181818181831</v>
      </c>
      <c r="Q17" s="77">
        <v>22</v>
      </c>
      <c r="R17" s="68">
        <v>215.20000000000002</v>
      </c>
    </row>
    <row r="18" spans="1:18" x14ac:dyDescent="0.4">
      <c r="A18" s="18" t="s">
        <v>123</v>
      </c>
      <c r="B18" s="11">
        <f>B24</f>
        <v>100</v>
      </c>
      <c r="C18" s="5">
        <f>IF(B$16=0,0,B18/B$16)</f>
        <v>0.56818181818181823</v>
      </c>
      <c r="E18" s="27" t="s">
        <v>78</v>
      </c>
      <c r="F18" s="24" t="s">
        <v>33</v>
      </c>
      <c r="G18" s="12">
        <v>4</v>
      </c>
      <c r="H18" s="88">
        <f>IF(B$20=0,0,G18/B$20)</f>
        <v>1.7094017094017096E-2</v>
      </c>
      <c r="I18" s="58">
        <v>8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8.0394736842105292</v>
      </c>
      <c r="Q18" s="77">
        <v>38</v>
      </c>
      <c r="R18" s="68">
        <v>305.50000000000011</v>
      </c>
    </row>
    <row r="19" spans="1:18" x14ac:dyDescent="0.4">
      <c r="A19" s="18" t="s">
        <v>124</v>
      </c>
      <c r="B19" s="11">
        <f>B25</f>
        <v>73</v>
      </c>
      <c r="C19" s="5">
        <f>IF(B$17=0,0,B19/B$17)</f>
        <v>0.48344370860927155</v>
      </c>
      <c r="E19" s="27" t="s">
        <v>73</v>
      </c>
      <c r="F19" s="24" t="s">
        <v>28</v>
      </c>
      <c r="G19" s="12">
        <v>3</v>
      </c>
      <c r="H19" s="88">
        <f>IF(B$20=0,0,G19/B$20)</f>
        <v>1.282051282051282E-2</v>
      </c>
      <c r="I19" s="58">
        <v>2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4.1523809523809527</v>
      </c>
      <c r="Q19" s="77">
        <v>21</v>
      </c>
      <c r="R19" s="68">
        <v>87.2</v>
      </c>
    </row>
    <row r="20" spans="1:18" x14ac:dyDescent="0.4">
      <c r="A20" s="18" t="s">
        <v>10</v>
      </c>
      <c r="B20" s="11">
        <f>B23+B22</f>
        <v>234</v>
      </c>
      <c r="C20" s="5">
        <f>IF(B$3=0,0,B20/B$3)</f>
        <v>0.32635983263598328</v>
      </c>
      <c r="E20" s="27" t="s">
        <v>79</v>
      </c>
      <c r="F20" s="24" t="s">
        <v>34</v>
      </c>
      <c r="G20" s="12">
        <v>2</v>
      </c>
      <c r="H20" s="88">
        <f>IF(B$20=0,0,G20/B$20)</f>
        <v>8.5470085470085479E-3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133</v>
      </c>
      <c r="C21" s="6">
        <f>IF(B$3=0,0,B21/B$3)</f>
        <v>0.18549511854951187</v>
      </c>
      <c r="E21" s="27" t="s">
        <v>75</v>
      </c>
      <c r="F21" s="24" t="s">
        <v>30</v>
      </c>
      <c r="G21" s="12">
        <v>1</v>
      </c>
      <c r="H21" s="88">
        <f>IF(B$20=0,0,G21/B$20)</f>
        <v>4.2735042735042739E-3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192</v>
      </c>
      <c r="P21" s="83">
        <f>IF(Q21=0,0,R21/Q21)</f>
        <v>-4.8605263157894738</v>
      </c>
      <c r="Q21" s="77">
        <v>38</v>
      </c>
      <c r="R21" s="68">
        <v>-184.70000000000002</v>
      </c>
    </row>
    <row r="22" spans="1:18" x14ac:dyDescent="0.4">
      <c r="A22" s="19" t="s">
        <v>12</v>
      </c>
      <c r="B22" s="12">
        <v>111</v>
      </c>
      <c r="C22" s="6">
        <f>IF(B$20=0,0,B22/B$20)</f>
        <v>0.47435897435897434</v>
      </c>
      <c r="E22" s="27" t="s">
        <v>80</v>
      </c>
      <c r="F22" s="24" t="s">
        <v>35</v>
      </c>
      <c r="G22" s="12">
        <v>1</v>
      </c>
      <c r="H22" s="88">
        <f>IF(B$20=0,0,G22/B$20)</f>
        <v>4.2735042735042739E-3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195</v>
      </c>
      <c r="P22" s="83">
        <f>IF(Q22=0,0,R22/Q22)</f>
        <v>-4.8999999999999986</v>
      </c>
      <c r="Q22" s="77">
        <v>7</v>
      </c>
      <c r="R22" s="68">
        <v>-34.29999999999999</v>
      </c>
    </row>
    <row r="23" spans="1:18" x14ac:dyDescent="0.4">
      <c r="A23" s="19" t="s">
        <v>11</v>
      </c>
      <c r="B23" s="12">
        <v>123</v>
      </c>
      <c r="C23" s="6">
        <f>IF(B$20=0,0,B23/B$20)</f>
        <v>0.52564102564102566</v>
      </c>
      <c r="E23" s="27" t="s">
        <v>85</v>
      </c>
      <c r="F23" s="24" t="s">
        <v>40</v>
      </c>
      <c r="G23" s="12">
        <v>1</v>
      </c>
      <c r="H23" s="88">
        <f>IF(B$20=0,0,G23/B$20)</f>
        <v>4.2735042735042739E-3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100</v>
      </c>
      <c r="C24" s="6">
        <f>IF(B$20=0,0,B24/B$20)</f>
        <v>0.42735042735042733</v>
      </c>
      <c r="E24" s="27" t="s">
        <v>88</v>
      </c>
      <c r="F24" s="24" t="s">
        <v>43</v>
      </c>
      <c r="G24" s="12">
        <v>1</v>
      </c>
      <c r="H24" s="88">
        <f>IF(B$20=0,0,G24/B$20)</f>
        <v>4.2735042735042739E-3</v>
      </c>
      <c r="I24" s="58">
        <v>5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73</v>
      </c>
      <c r="C25" s="6">
        <f>IF(B$20=0,0,B25/B$20)</f>
        <v>0.31196581196581197</v>
      </c>
      <c r="E25" s="27" t="s">
        <v>90</v>
      </c>
      <c r="F25" s="24" t="s">
        <v>45</v>
      </c>
      <c r="G25" s="12">
        <v>1</v>
      </c>
      <c r="H25" s="88">
        <f>IF(B$20=0,0,G25/B$20)</f>
        <v>4.2735042735042739E-3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61</v>
      </c>
      <c r="C26" s="6">
        <f>IF(B$20=0,0,B26/B$20)</f>
        <v>0.2606837606837607</v>
      </c>
      <c r="E26" s="27" t="s">
        <v>92</v>
      </c>
      <c r="F26" s="24" t="s">
        <v>47</v>
      </c>
      <c r="G26" s="12">
        <v>1</v>
      </c>
      <c r="H26" s="88">
        <f>IF(B$20=0,0,G26/B$20)</f>
        <v>4.2735042735042739E-3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8257.6923076923085</v>
      </c>
      <c r="C27" s="8">
        <v>1932300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8504.347826086956</v>
      </c>
      <c r="C28" s="96">
        <v>1369200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7713.6986301369861</v>
      </c>
      <c r="C29" s="96">
        <v>563100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-7239.0977443609027</v>
      </c>
      <c r="C30" s="96">
        <v>-962800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1.3947001394700139E-3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5.9829059829059832E-2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43</v>
      </c>
      <c r="C38" s="6">
        <f t="shared" si="2"/>
        <v>0.18376068376068377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49</v>
      </c>
      <c r="C39" s="6">
        <f t="shared" si="2"/>
        <v>0.20940170940170941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43</v>
      </c>
      <c r="C40" s="6">
        <f t="shared" si="2"/>
        <v>0.18376068376068377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38</v>
      </c>
      <c r="C41" s="6">
        <f t="shared" si="2"/>
        <v>0.1623931623931624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26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3.4188034188034191E-2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3</v>
      </c>
      <c r="C44" s="6">
        <f t="shared" si="2"/>
        <v>1.282051282051282E-2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2.1367521367521368E-2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8.5470085470085479E-3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4.2735042735042739E-3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4.2735042735042739E-3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4.2735042735042739E-3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47</v>
      </c>
      <c r="C2" s="134"/>
      <c r="E2" s="26" t="s">
        <v>66</v>
      </c>
      <c r="F2" s="23" t="s">
        <v>22</v>
      </c>
      <c r="G2" s="11">
        <v>106</v>
      </c>
      <c r="H2" s="87">
        <f>IF(B$20=0,0,G2/B$20)</f>
        <v>0.96363636363636362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1248.936170212766</v>
      </c>
      <c r="Q2" s="76">
        <v>47</v>
      </c>
      <c r="R2" s="63">
        <v>58700</v>
      </c>
    </row>
    <row r="3" spans="1:18" x14ac:dyDescent="0.4">
      <c r="A3" s="19" t="s">
        <v>8</v>
      </c>
      <c r="B3" s="135">
        <v>415</v>
      </c>
      <c r="C3" s="136"/>
      <c r="E3" s="27" t="s">
        <v>72</v>
      </c>
      <c r="F3" s="24" t="s">
        <v>27</v>
      </c>
      <c r="G3" s="12">
        <v>64</v>
      </c>
      <c r="H3" s="88">
        <f>IF(B$20=0,0,G3/B$20)</f>
        <v>0.58181818181818179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-237.77777777777777</v>
      </c>
      <c r="Q3" s="77">
        <v>45</v>
      </c>
      <c r="R3" s="64">
        <v>-10700</v>
      </c>
    </row>
    <row r="4" spans="1:18" x14ac:dyDescent="0.4">
      <c r="A4" s="19" t="s">
        <v>6</v>
      </c>
      <c r="B4" s="137">
        <v>-153.30000000000001</v>
      </c>
      <c r="C4" s="138"/>
      <c r="E4" s="27" t="s">
        <v>64</v>
      </c>
      <c r="F4" s="24" t="s">
        <v>20</v>
      </c>
      <c r="G4" s="12">
        <v>50</v>
      </c>
      <c r="H4" s="88">
        <f>IF(B$20=0,0,G4/B$20)</f>
        <v>0.45454545454545453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275.55555555555554</v>
      </c>
      <c r="Q4" s="77">
        <v>45</v>
      </c>
      <c r="R4" s="64">
        <v>12400</v>
      </c>
    </row>
    <row r="5" spans="1:18" x14ac:dyDescent="0.4">
      <c r="A5" s="19" t="s">
        <v>7</v>
      </c>
      <c r="B5" s="125">
        <f>IF(B$2=0,0,B$4/B$2)</f>
        <v>-3.2617021276595746</v>
      </c>
      <c r="C5" s="126"/>
      <c r="E5" s="27" t="s">
        <v>159</v>
      </c>
      <c r="F5" s="24" t="s">
        <v>160</v>
      </c>
      <c r="G5" s="12">
        <v>44</v>
      </c>
      <c r="H5" s="88">
        <f>IF(B$20=0,0,G5/B$20)</f>
        <v>0.4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-1084.090909090909</v>
      </c>
      <c r="Q5" s="77">
        <v>44</v>
      </c>
      <c r="R5" s="64">
        <v>-47700</v>
      </c>
    </row>
    <row r="6" spans="1:18" x14ac:dyDescent="0.4">
      <c r="A6" s="19" t="s">
        <v>196</v>
      </c>
      <c r="B6" s="129">
        <v>1622.3192195826016</v>
      </c>
      <c r="C6" s="130"/>
      <c r="E6" s="27" t="s">
        <v>68</v>
      </c>
      <c r="F6" s="24" t="s">
        <v>12</v>
      </c>
      <c r="G6" s="12">
        <v>40</v>
      </c>
      <c r="H6" s="88">
        <f>IF(B$20=0,0,G6/B$20)</f>
        <v>0.36363636363636365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310</v>
      </c>
      <c r="Q6" s="77">
        <v>40</v>
      </c>
      <c r="R6" s="64">
        <v>12400</v>
      </c>
    </row>
    <row r="7" spans="1:18" x14ac:dyDescent="0.4">
      <c r="A7" s="19" t="s">
        <v>1</v>
      </c>
      <c r="B7" s="139">
        <f>IF(B$2=0,0,(B$8*1+B$9*2+B$10*3)/B$2)</f>
        <v>2.0638297872340425</v>
      </c>
      <c r="C7" s="140"/>
      <c r="E7" s="27" t="s">
        <v>67</v>
      </c>
      <c r="F7" s="24" t="s">
        <v>23</v>
      </c>
      <c r="G7" s="12">
        <v>31</v>
      </c>
      <c r="H7" s="88">
        <f>IF(B$20=0,0,G7/B$20)</f>
        <v>0.2818181818181818</v>
      </c>
      <c r="I7" s="58">
        <v>2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-906.06060606060601</v>
      </c>
      <c r="Q7" s="78">
        <v>33</v>
      </c>
      <c r="R7" s="65">
        <v>-29900</v>
      </c>
    </row>
    <row r="8" spans="1:18" x14ac:dyDescent="0.4">
      <c r="A8" s="19" t="s">
        <v>2</v>
      </c>
      <c r="B8" s="12">
        <v>14</v>
      </c>
      <c r="C8" s="6">
        <f t="shared" ref="C8:C15" si="1">IF(B$2=0,0,B8/B$2)</f>
        <v>0.2978723404255319</v>
      </c>
      <c r="E8" s="27" t="s">
        <v>89</v>
      </c>
      <c r="F8" s="24" t="s">
        <v>44</v>
      </c>
      <c r="G8" s="12">
        <v>19</v>
      </c>
      <c r="H8" s="88">
        <f>IF(B$20=0,0,G8/B$20)</f>
        <v>0.17272727272727273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0.34042553191489361</v>
      </c>
      <c r="E9" s="27" t="s">
        <v>69</v>
      </c>
      <c r="F9" s="24" t="s">
        <v>24</v>
      </c>
      <c r="G9" s="12">
        <v>12</v>
      </c>
      <c r="H9" s="88">
        <f>IF(B$20=0,0,G9/B$20)</f>
        <v>0.10909090909090909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0.36170212765957449</v>
      </c>
      <c r="E10" s="27" t="s">
        <v>65</v>
      </c>
      <c r="F10" s="24" t="s">
        <v>21</v>
      </c>
      <c r="G10" s="12">
        <v>11</v>
      </c>
      <c r="H10" s="88">
        <f>IF(B$20=0,0,G10/B$20)</f>
        <v>0.1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-3.2631578947368425</v>
      </c>
      <c r="Q10" s="76">
        <v>19</v>
      </c>
      <c r="R10" s="67">
        <v>-62.000000000000007</v>
      </c>
    </row>
    <row r="11" spans="1:18" x14ac:dyDescent="0.4">
      <c r="A11" s="20" t="s">
        <v>184</v>
      </c>
      <c r="B11" s="109">
        <f>IF(B8=0,0,C11/B8)</f>
        <v>35.778571428571425</v>
      </c>
      <c r="C11" s="110">
        <v>500.89999999999992</v>
      </c>
      <c r="E11" s="27" t="s">
        <v>70</v>
      </c>
      <c r="F11" s="24" t="s">
        <v>25</v>
      </c>
      <c r="G11" s="12">
        <v>9</v>
      </c>
      <c r="H11" s="88">
        <f>IF(B$20=0,0,G11/B$20)</f>
        <v>8.1818181818181818E-2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1.9083333333333317</v>
      </c>
      <c r="Q11" s="77">
        <v>12</v>
      </c>
      <c r="R11" s="68">
        <v>22.899999999999981</v>
      </c>
    </row>
    <row r="12" spans="1:18" x14ac:dyDescent="0.4">
      <c r="A12" s="20" t="s">
        <v>185</v>
      </c>
      <c r="B12" s="109">
        <f>IF(B9=0,0,C12/B9)</f>
        <v>1.6687499999999997</v>
      </c>
      <c r="C12" s="110">
        <v>26.699999999999996</v>
      </c>
      <c r="E12" s="27" t="s">
        <v>86</v>
      </c>
      <c r="F12" s="24" t="s">
        <v>41</v>
      </c>
      <c r="G12" s="12">
        <v>8</v>
      </c>
      <c r="H12" s="88">
        <f>IF(B$20=0,0,G12/B$20)</f>
        <v>7.2727272727272724E-2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-7.1375000000000002</v>
      </c>
      <c r="Q12" s="78">
        <v>16</v>
      </c>
      <c r="R12" s="69">
        <v>-114.2</v>
      </c>
    </row>
    <row r="13" spans="1:18" x14ac:dyDescent="0.4">
      <c r="A13" s="20" t="s">
        <v>186</v>
      </c>
      <c r="B13" s="109">
        <f>IF(B10=0,0,C13/B10)</f>
        <v>-40.052941176470597</v>
      </c>
      <c r="C13" s="110">
        <v>-680.90000000000009</v>
      </c>
      <c r="E13" s="27" t="s">
        <v>71</v>
      </c>
      <c r="F13" s="24" t="s">
        <v>26</v>
      </c>
      <c r="G13" s="12">
        <v>7</v>
      </c>
      <c r="H13" s="88">
        <f>IF(B$20=0,0,G13/B$20)</f>
        <v>6.363636363636363E-2</v>
      </c>
      <c r="I13" s="58">
        <v>4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-0.86853991596638969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4.5454545454545456E-2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0.14893617021276595</v>
      </c>
      <c r="E15" s="27" t="s">
        <v>78</v>
      </c>
      <c r="F15" s="24" t="s">
        <v>33</v>
      </c>
      <c r="G15" s="12">
        <v>4</v>
      </c>
      <c r="H15" s="88">
        <f>IF(B$20=0,0,G15/B$20)</f>
        <v>3.6363636363636362E-2</v>
      </c>
      <c r="I15" s="58">
        <v>3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115</v>
      </c>
      <c r="C16" s="10">
        <f>IF(B$3=0,0,B16/B$3)</f>
        <v>0.27710843373493976</v>
      </c>
      <c r="E16" s="27" t="s">
        <v>83</v>
      </c>
      <c r="F16" s="24" t="s">
        <v>38</v>
      </c>
      <c r="G16" s="12">
        <v>4</v>
      </c>
      <c r="H16" s="88">
        <f>IF(B$20=0,0,G16/B$20)</f>
        <v>3.6363636363636362E-2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2.7888888888888901</v>
      </c>
      <c r="Q16" s="77">
        <v>9</v>
      </c>
      <c r="R16" s="68">
        <v>25.100000000000012</v>
      </c>
    </row>
    <row r="17" spans="1:18" x14ac:dyDescent="0.4">
      <c r="A17" s="19" t="s">
        <v>118</v>
      </c>
      <c r="B17" s="12">
        <v>91</v>
      </c>
      <c r="C17" s="6">
        <f>IF(B$3=0,0,B17/B$3)</f>
        <v>0.21927710843373494</v>
      </c>
      <c r="E17" s="27" t="s">
        <v>155</v>
      </c>
      <c r="F17" s="24" t="s">
        <v>156</v>
      </c>
      <c r="G17" s="12">
        <v>4</v>
      </c>
      <c r="H17" s="88">
        <f>IF(B$20=0,0,G17/B$20)</f>
        <v>3.6363636363636362E-2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-6.2454545454545469</v>
      </c>
      <c r="Q17" s="77">
        <v>11</v>
      </c>
      <c r="R17" s="68">
        <v>-68.700000000000017</v>
      </c>
    </row>
    <row r="18" spans="1:18" x14ac:dyDescent="0.4">
      <c r="A18" s="18" t="s">
        <v>123</v>
      </c>
      <c r="B18" s="11">
        <f>B24</f>
        <v>54</v>
      </c>
      <c r="C18" s="5">
        <f>IF(B$16=0,0,B18/B$16)</f>
        <v>0.46956521739130436</v>
      </c>
      <c r="E18" s="27" t="s">
        <v>73</v>
      </c>
      <c r="F18" s="24" t="s">
        <v>28</v>
      </c>
      <c r="G18" s="12">
        <v>1</v>
      </c>
      <c r="H18" s="88">
        <f>IF(B$20=0,0,G18/B$20)</f>
        <v>9.0909090909090905E-3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-7.4307692307692301</v>
      </c>
      <c r="Q18" s="77">
        <v>13</v>
      </c>
      <c r="R18" s="68">
        <v>-96.6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0.30769230769230771</v>
      </c>
      <c r="E19" s="27" t="s">
        <v>77</v>
      </c>
      <c r="F19" s="24" t="s">
        <v>32</v>
      </c>
      <c r="G19" s="12">
        <v>1</v>
      </c>
      <c r="H19" s="88">
        <f>IF(B$20=0,0,G19/B$20)</f>
        <v>9.0909090909090905E-3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126</v>
      </c>
      <c r="P19" s="83">
        <f>IF(Q19=0,0,R19/Q19)</f>
        <v>-8.0394736842105292</v>
      </c>
      <c r="Q19" s="77">
        <v>38</v>
      </c>
      <c r="R19" s="68">
        <v>-305.50000000000011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0.26506024096385544</v>
      </c>
      <c r="E20" s="27" t="s">
        <v>79</v>
      </c>
      <c r="F20" s="24" t="s">
        <v>34</v>
      </c>
      <c r="G20" s="12">
        <v>1</v>
      </c>
      <c r="H20" s="88">
        <f>IF(B$20=0,0,G20/B$20)</f>
        <v>9.0909090909090905E-3</v>
      </c>
      <c r="I20" s="58">
        <v>5</v>
      </c>
      <c r="K20" s="74">
        <v>18</v>
      </c>
      <c r="L20" s="119">
        <v>-91.000000000000014</v>
      </c>
      <c r="M20" s="117">
        <v>1635.974524408329</v>
      </c>
      <c r="O20" s="74" t="s">
        <v>211</v>
      </c>
      <c r="P20" s="83">
        <f>IF(Q20=0,0,R20/Q20)</f>
        <v>-13.12857142857143</v>
      </c>
      <c r="Q20" s="77">
        <v>14</v>
      </c>
      <c r="R20" s="68">
        <v>-183.8</v>
      </c>
    </row>
    <row r="21" spans="1:18" x14ac:dyDescent="0.4">
      <c r="A21" s="19" t="s">
        <v>13</v>
      </c>
      <c r="B21" s="12">
        <v>78</v>
      </c>
      <c r="C21" s="6">
        <f>IF(B$3=0,0,B21/B$3)</f>
        <v>0.18795180722891566</v>
      </c>
      <c r="E21" s="27" t="s">
        <v>85</v>
      </c>
      <c r="F21" s="24" t="s">
        <v>40</v>
      </c>
      <c r="G21" s="12">
        <v>1</v>
      </c>
      <c r="H21" s="88">
        <f>IF(B$20=0,0,G21/B$20)</f>
        <v>9.0909090909090905E-3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50</v>
      </c>
      <c r="C22" s="6">
        <f>IF(B$20=0,0,B22/B$20)</f>
        <v>0.45454545454545453</v>
      </c>
      <c r="E22" s="27" t="s">
        <v>88</v>
      </c>
      <c r="F22" s="24" t="s">
        <v>43</v>
      </c>
      <c r="G22" s="12">
        <v>1</v>
      </c>
      <c r="H22" s="88">
        <f>IF(B$20=0,0,G22/B$20)</f>
        <v>9.0909090909090905E-3</v>
      </c>
      <c r="I22" s="58">
        <v>2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60</v>
      </c>
      <c r="C23" s="6">
        <f>IF(B$20=0,0,B23/B$20)</f>
        <v>0.54545454545454541</v>
      </c>
      <c r="E23" s="27" t="s">
        <v>91</v>
      </c>
      <c r="F23" s="24" t="s">
        <v>46</v>
      </c>
      <c r="G23" s="12">
        <v>1</v>
      </c>
      <c r="H23" s="88">
        <f>IF(B$20=0,0,G23/B$20)</f>
        <v>9.0909090909090905E-3</v>
      </c>
      <c r="I23" s="58">
        <v>5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54</v>
      </c>
      <c r="C24" s="6">
        <f>IF(B$20=0,0,B24/B$20)</f>
        <v>0.49090909090909091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28</v>
      </c>
      <c r="C25" s="6">
        <f>IF(B$20=0,0,B25/B$20)</f>
        <v>0.25454545454545452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28</v>
      </c>
      <c r="C26" s="6">
        <f>IF(B$20=0,0,B26/B$20)</f>
        <v>0.25454545454545452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9082.7272727272721</v>
      </c>
      <c r="C27" s="8">
        <v>999100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9567.0731707317082</v>
      </c>
      <c r="C28" s="96">
        <v>784500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-8346.1538461538457</v>
      </c>
      <c r="C30" s="96">
        <v>-651000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8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2.4096385542168677E-3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7.2727272727272724E-2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2"/>
        <v>8.1818181818181818E-2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23</v>
      </c>
      <c r="C39" s="6">
        <f t="shared" si="2"/>
        <v>0.20909090909090908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23</v>
      </c>
      <c r="C40" s="6">
        <f t="shared" si="2"/>
        <v>0.20909090909090908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20</v>
      </c>
      <c r="C41" s="6">
        <f t="shared" si="2"/>
        <v>0.18181818181818182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11</v>
      </c>
      <c r="C42" s="6">
        <f t="shared" si="2"/>
        <v>0.1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2"/>
        <v>5.4545454545454543E-2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5</v>
      </c>
      <c r="C44" s="6">
        <f t="shared" si="2"/>
        <v>4.5454545454545456E-2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2.7272727272727271E-2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9.0909090909090905E-3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1</v>
      </c>
      <c r="C49" s="9">
        <f t="shared" si="2"/>
        <v>9.0909090909090905E-3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40</v>
      </c>
      <c r="C2" s="134"/>
      <c r="E2" s="26" t="s">
        <v>72</v>
      </c>
      <c r="F2" s="23" t="s">
        <v>27</v>
      </c>
      <c r="G2" s="11">
        <v>75</v>
      </c>
      <c r="H2" s="87">
        <f>IF(B$20=0,0,G2/B$20)</f>
        <v>0.7009345794392523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-145</v>
      </c>
      <c r="Q2" s="76">
        <v>40</v>
      </c>
      <c r="R2" s="63">
        <v>-5800</v>
      </c>
    </row>
    <row r="3" spans="1:18" x14ac:dyDescent="0.4">
      <c r="A3" s="19" t="s">
        <v>8</v>
      </c>
      <c r="B3" s="135">
        <v>350</v>
      </c>
      <c r="C3" s="136"/>
      <c r="E3" s="27" t="s">
        <v>66</v>
      </c>
      <c r="F3" s="24" t="s">
        <v>22</v>
      </c>
      <c r="G3" s="12">
        <v>67</v>
      </c>
      <c r="H3" s="88">
        <f>IF(B$20=0,0,G3/B$20)</f>
        <v>0.62616822429906538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-747.5</v>
      </c>
      <c r="Q3" s="77">
        <v>40</v>
      </c>
      <c r="R3" s="64">
        <v>-29900</v>
      </c>
    </row>
    <row r="4" spans="1:18" x14ac:dyDescent="0.4">
      <c r="A4" s="19" t="s">
        <v>6</v>
      </c>
      <c r="B4" s="137">
        <v>25.700000000000003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0.3925233644859813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1038.4615384615386</v>
      </c>
      <c r="Q4" s="77">
        <v>39</v>
      </c>
      <c r="R4" s="64">
        <v>40500</v>
      </c>
    </row>
    <row r="5" spans="1:18" x14ac:dyDescent="0.4">
      <c r="A5" s="19" t="s">
        <v>7</v>
      </c>
      <c r="B5" s="125">
        <f>IF(B$2=0,0,B$4/B$2)</f>
        <v>0.64250000000000007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0.3364485981308411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-656.41025641025647</v>
      </c>
      <c r="Q5" s="77">
        <v>39</v>
      </c>
      <c r="R5" s="64">
        <v>-25600</v>
      </c>
    </row>
    <row r="6" spans="1:18" x14ac:dyDescent="0.4">
      <c r="A6" s="19" t="s">
        <v>196</v>
      </c>
      <c r="B6" s="129">
        <v>1470.3574394374596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0.27102803738317754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-848.71794871794873</v>
      </c>
      <c r="Q6" s="77">
        <v>39</v>
      </c>
      <c r="R6" s="64">
        <v>-33100</v>
      </c>
    </row>
    <row r="7" spans="1:18" x14ac:dyDescent="0.4">
      <c r="A7" s="19" t="s">
        <v>1</v>
      </c>
      <c r="B7" s="139">
        <f>IF(B$2=0,0,(B$8*1+B$9*2+B$10*3)/B$2)</f>
        <v>1.9750000000000001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0.26168224299065418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528.125</v>
      </c>
      <c r="Q7" s="78">
        <v>32</v>
      </c>
      <c r="R7" s="65">
        <v>16900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11</v>
      </c>
      <c r="H8" s="88">
        <f>IF(B$20=0,0,G8/B$20)</f>
        <v>0.10280373831775701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0.27500000000000002</v>
      </c>
      <c r="E9" s="27" t="s">
        <v>70</v>
      </c>
      <c r="F9" s="24" t="s">
        <v>25</v>
      </c>
      <c r="G9" s="12">
        <v>10</v>
      </c>
      <c r="H9" s="88">
        <f>IF(B$20=0,0,G9/B$20)</f>
        <v>9.3457943925233641E-2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0.35</v>
      </c>
      <c r="E10" s="27" t="s">
        <v>65</v>
      </c>
      <c r="F10" s="24" t="s">
        <v>21</v>
      </c>
      <c r="G10" s="12">
        <v>9</v>
      </c>
      <c r="H10" s="88">
        <f>IF(B$20=0,0,G10/B$20)</f>
        <v>8.4112149532710276E-2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8</v>
      </c>
      <c r="H11" s="88">
        <f>IF(B$20=0,0,G11/B$20)</f>
        <v>7.476635514018691E-2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-3.85</v>
      </c>
      <c r="Q11" s="77">
        <v>14</v>
      </c>
      <c r="R11" s="68">
        <v>-53.9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6.5420560747663545E-2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-33.114285714285714</v>
      </c>
      <c r="C13" s="110">
        <v>-463.6</v>
      </c>
      <c r="E13" s="27" t="s">
        <v>71</v>
      </c>
      <c r="F13" s="24" t="s">
        <v>26</v>
      </c>
      <c r="G13" s="12">
        <v>4</v>
      </c>
      <c r="H13" s="88">
        <f>IF(B$20=0,0,G13/B$20)</f>
        <v>3.7383177570093455E-2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0.27240981240981438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3.7383177570093455E-2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0.05</v>
      </c>
      <c r="E15" s="27" t="s">
        <v>81</v>
      </c>
      <c r="F15" s="24" t="s">
        <v>36</v>
      </c>
      <c r="G15" s="12">
        <v>4</v>
      </c>
      <c r="H15" s="88">
        <f>IF(B$20=0,0,G15/B$20)</f>
        <v>3.7383177570093455E-2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91</v>
      </c>
      <c r="C16" s="10">
        <f>IF(B$3=0,0,B16/B$3)</f>
        <v>0.26</v>
      </c>
      <c r="E16" s="27" t="s">
        <v>79</v>
      </c>
      <c r="F16" s="24" t="s">
        <v>34</v>
      </c>
      <c r="G16" s="12">
        <v>3</v>
      </c>
      <c r="H16" s="88">
        <f>IF(B$20=0,0,G16/B$20)</f>
        <v>2.8037383177570093E-2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108</v>
      </c>
      <c r="C17" s="6">
        <f>IF(B$3=0,0,B17/B$3)</f>
        <v>0.30857142857142855</v>
      </c>
      <c r="E17" s="27" t="s">
        <v>86</v>
      </c>
      <c r="F17" s="24" t="s">
        <v>41</v>
      </c>
      <c r="G17" s="12">
        <v>2</v>
      </c>
      <c r="H17" s="88">
        <f>IF(B$20=0,0,G17/B$20)</f>
        <v>1.8691588785046728E-2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0.46153846153846156</v>
      </c>
      <c r="E18" s="27" t="s">
        <v>91</v>
      </c>
      <c r="F18" s="24" t="s">
        <v>46</v>
      </c>
      <c r="G18" s="12">
        <v>2</v>
      </c>
      <c r="H18" s="88">
        <f>IF(B$20=0,0,G18/B$20)</f>
        <v>1.8691588785046728E-2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163</v>
      </c>
      <c r="P18" s="83">
        <f t="shared" si="2"/>
        <v>7.4307692307692337</v>
      </c>
      <c r="Q18" s="77">
        <v>13</v>
      </c>
      <c r="R18" s="68">
        <v>96.600000000000037</v>
      </c>
    </row>
    <row r="19" spans="1:18" x14ac:dyDescent="0.4">
      <c r="A19" s="18" t="s">
        <v>124</v>
      </c>
      <c r="B19" s="11">
        <f>B25</f>
        <v>45</v>
      </c>
      <c r="C19" s="5">
        <f>IF(B$17=0,0,B19/B$17)</f>
        <v>0.41666666666666669</v>
      </c>
      <c r="E19" s="27" t="s">
        <v>88</v>
      </c>
      <c r="F19" s="24" t="s">
        <v>43</v>
      </c>
      <c r="G19" s="12">
        <v>1</v>
      </c>
      <c r="H19" s="88">
        <f>IF(B$20=0,0,G19/B$20)</f>
        <v>9.3457943925233638E-3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6.9000000000000012</v>
      </c>
      <c r="Q19" s="77">
        <v>9</v>
      </c>
      <c r="R19" s="68">
        <v>62.100000000000009</v>
      </c>
    </row>
    <row r="20" spans="1:18" x14ac:dyDescent="0.4">
      <c r="A20" s="18" t="s">
        <v>10</v>
      </c>
      <c r="B20" s="11">
        <f>B23+B22</f>
        <v>107</v>
      </c>
      <c r="C20" s="5">
        <f>IF(B$3=0,0,B20/B$3)</f>
        <v>0.30571428571428572</v>
      </c>
      <c r="E20" s="27" t="s">
        <v>93</v>
      </c>
      <c r="F20" s="24" t="s">
        <v>48</v>
      </c>
      <c r="G20" s="12">
        <v>1</v>
      </c>
      <c r="H20" s="88">
        <f>IF(B$20=0,0,G20/B$20)</f>
        <v>9.3457943925233638E-3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126</v>
      </c>
      <c r="P20" s="83">
        <f t="shared" si="2"/>
        <v>3.4499999999999993</v>
      </c>
      <c r="Q20" s="77">
        <v>34</v>
      </c>
      <c r="R20" s="68">
        <v>117.29999999999998</v>
      </c>
    </row>
    <row r="21" spans="1:18" x14ac:dyDescent="0.4">
      <c r="A21" s="19" t="s">
        <v>13</v>
      </c>
      <c r="B21" s="12">
        <v>61</v>
      </c>
      <c r="C21" s="6">
        <f>IF(B$3=0,0,B21/B$3)</f>
        <v>0.17428571428571429</v>
      </c>
      <c r="E21" s="27" t="s">
        <v>106</v>
      </c>
      <c r="F21" s="24" t="s">
        <v>113</v>
      </c>
      <c r="G21" s="12">
        <v>1</v>
      </c>
      <c r="H21" s="88">
        <f>IF(B$20=0,0,G21/B$20)</f>
        <v>9.3457943925233638E-3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50</v>
      </c>
      <c r="C22" s="6">
        <f>IF(B$20=0,0,B22/B$20)</f>
        <v>0.46728971962616822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57</v>
      </c>
      <c r="C23" s="6">
        <f>IF(B$20=0,0,B23/B$20)</f>
        <v>0.53271028037383172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42</v>
      </c>
      <c r="C24" s="6">
        <f>IF(B$20=0,0,B24/B$20)</f>
        <v>0.3925233644859813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45</v>
      </c>
      <c r="C25" s="6">
        <f>IF(B$20=0,0,B25/B$20)</f>
        <v>0.42056074766355139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0.18691588785046728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7552.336448598131</v>
      </c>
      <c r="C27" s="8">
        <v>808100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9332.2580645161288</v>
      </c>
      <c r="C28" s="96">
        <v>578600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5100</v>
      </c>
      <c r="C29" s="96">
        <v>229500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-8100</v>
      </c>
      <c r="C30" s="96">
        <v>-494100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0.13084112149532709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26</v>
      </c>
      <c r="C38" s="6">
        <f t="shared" si="3"/>
        <v>0.24299065420560748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3"/>
        <v>0.19626168224299065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0.18691588785046728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4.6728971962616821E-2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4</v>
      </c>
      <c r="C42" s="6">
        <f t="shared" si="3"/>
        <v>3.7383177570093455E-2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4.6728971962616821E-2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3"/>
        <v>1.8691588785046728E-2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3"/>
        <v>3.7383177570093455E-2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3"/>
        <v>3.7383177570093455E-2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1.8691588785046728E-2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0.91379310344827591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53.571428571428569</v>
      </c>
      <c r="Q2" s="76">
        <v>28</v>
      </c>
      <c r="R2" s="63">
        <v>1500</v>
      </c>
    </row>
    <row r="3" spans="1:18" x14ac:dyDescent="0.4">
      <c r="A3" s="19" t="s">
        <v>8</v>
      </c>
      <c r="B3" s="135">
        <v>244</v>
      </c>
      <c r="C3" s="136"/>
      <c r="E3" s="27" t="s">
        <v>72</v>
      </c>
      <c r="F3" s="24" t="s">
        <v>27</v>
      </c>
      <c r="G3" s="12">
        <v>36</v>
      </c>
      <c r="H3" s="88">
        <f>IF(B$20=0,0,G3/B$20)</f>
        <v>0.62068965517241381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850</v>
      </c>
      <c r="Q3" s="77">
        <v>28</v>
      </c>
      <c r="R3" s="64">
        <v>23800</v>
      </c>
    </row>
    <row r="4" spans="1:18" x14ac:dyDescent="0.4">
      <c r="A4" s="19" t="s">
        <v>6</v>
      </c>
      <c r="B4" s="137">
        <v>-67.300000000000026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0.48275862068965519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-840.74074074074076</v>
      </c>
      <c r="Q4" s="77">
        <v>27</v>
      </c>
      <c r="R4" s="64">
        <v>-22700</v>
      </c>
    </row>
    <row r="5" spans="1:18" x14ac:dyDescent="0.4">
      <c r="A5" s="19" t="s">
        <v>7</v>
      </c>
      <c r="B5" s="125">
        <f>IF(B$2=0,0,B$4/B$2)</f>
        <v>-2.4035714285714294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0.46551724137931033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-2895.8333333333335</v>
      </c>
      <c r="Q5" s="77">
        <v>24</v>
      </c>
      <c r="R5" s="64">
        <v>-69500</v>
      </c>
    </row>
    <row r="6" spans="1:18" x14ac:dyDescent="0.4">
      <c r="A6" s="19" t="s">
        <v>196</v>
      </c>
      <c r="B6" s="129">
        <v>1525.2391528138457</v>
      </c>
      <c r="C6" s="130"/>
      <c r="E6" s="27" t="s">
        <v>67</v>
      </c>
      <c r="F6" s="24" t="s">
        <v>23</v>
      </c>
      <c r="G6" s="12">
        <v>15</v>
      </c>
      <c r="H6" s="88">
        <f>IF(B$20=0,0,G6/B$20)</f>
        <v>0.25862068965517243</v>
      </c>
      <c r="I6" s="58">
        <v>5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2559.090909090909</v>
      </c>
      <c r="Q6" s="77">
        <v>22</v>
      </c>
      <c r="R6" s="64">
        <v>56300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14</v>
      </c>
      <c r="H7" s="88">
        <f>IF(B$20=0,0,G7/B$20)</f>
        <v>0.2413793103448276</v>
      </c>
      <c r="I7" s="58">
        <v>11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-931.57894736842104</v>
      </c>
      <c r="Q7" s="78">
        <v>19</v>
      </c>
      <c r="R7" s="65">
        <v>-17700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0.21428571428571427</v>
      </c>
      <c r="E8" s="27" t="s">
        <v>65</v>
      </c>
      <c r="F8" s="24" t="s">
        <v>21</v>
      </c>
      <c r="G8" s="12">
        <v>11</v>
      </c>
      <c r="H8" s="88">
        <f>IF(B$20=0,0,G8/B$20)</f>
        <v>0.18965517241379309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0.5714285714285714</v>
      </c>
      <c r="E9" s="27" t="s">
        <v>89</v>
      </c>
      <c r="F9" s="24" t="s">
        <v>44</v>
      </c>
      <c r="G9" s="12">
        <v>7</v>
      </c>
      <c r="H9" s="88">
        <f>IF(B$20=0,0,G9/B$20)</f>
        <v>0.1206896551724138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0.21428571428571427</v>
      </c>
      <c r="E10" s="27" t="s">
        <v>69</v>
      </c>
      <c r="F10" s="24" t="s">
        <v>24</v>
      </c>
      <c r="G10" s="12">
        <v>6</v>
      </c>
      <c r="H10" s="88">
        <f>IF(B$20=0,0,G10/B$20)</f>
        <v>0.10344827586206896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8.6206896551724144E-2</v>
      </c>
      <c r="I11" s="58">
        <v>6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-7.4090909090909092</v>
      </c>
      <c r="Q11" s="77">
        <v>11</v>
      </c>
      <c r="R11" s="68">
        <v>-81.5</v>
      </c>
    </row>
    <row r="12" spans="1:18" x14ac:dyDescent="0.4">
      <c r="A12" s="20" t="s">
        <v>185</v>
      </c>
      <c r="B12" s="109">
        <f>IF(B9=0,0,C12/B9)</f>
        <v>-2.1374999999999997</v>
      </c>
      <c r="C12" s="110">
        <v>-34.199999999999996</v>
      </c>
      <c r="E12" s="27" t="s">
        <v>86</v>
      </c>
      <c r="F12" s="24" t="s">
        <v>41</v>
      </c>
      <c r="G12" s="12">
        <v>5</v>
      </c>
      <c r="H12" s="88">
        <f>IF(B$20=0,0,G12/B$20)</f>
        <v>8.6206896551724144E-2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-38.466666666666669</v>
      </c>
      <c r="C13" s="110">
        <v>-230.8</v>
      </c>
      <c r="E13" s="27" t="s">
        <v>71</v>
      </c>
      <c r="F13" s="24" t="s">
        <v>26</v>
      </c>
      <c r="G13" s="12">
        <v>2</v>
      </c>
      <c r="H13" s="88">
        <f>IF(B$20=0,0,G13/B$20)</f>
        <v>3.4482758620689655E-2</v>
      </c>
      <c r="I13" s="58">
        <v>8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-2.5513888888888907</v>
      </c>
      <c r="C14" s="126"/>
      <c r="E14" s="27" t="s">
        <v>79</v>
      </c>
      <c r="F14" s="24" t="s">
        <v>34</v>
      </c>
      <c r="G14" s="12">
        <v>2</v>
      </c>
      <c r="H14" s="88">
        <f>IF(B$20=0,0,G14/B$20)</f>
        <v>3.4482758620689655E-2</v>
      </c>
      <c r="I14" s="58">
        <v>1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7.1428571428571425E-2</v>
      </c>
      <c r="E15" s="27" t="s">
        <v>81</v>
      </c>
      <c r="F15" s="24" t="s">
        <v>36</v>
      </c>
      <c r="G15" s="12">
        <v>2</v>
      </c>
      <c r="H15" s="88">
        <f>IF(B$20=0,0,G15/B$20)</f>
        <v>3.4482758620689655E-2</v>
      </c>
      <c r="I15" s="58">
        <v>5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56</v>
      </c>
      <c r="C16" s="10">
        <f>IF(B$3=0,0,B16/B$3)</f>
        <v>0.22950819672131148</v>
      </c>
      <c r="E16" s="27" t="s">
        <v>83</v>
      </c>
      <c r="F16" s="24" t="s">
        <v>38</v>
      </c>
      <c r="G16" s="12">
        <v>2</v>
      </c>
      <c r="H16" s="88">
        <f>IF(B$20=0,0,G16/B$20)</f>
        <v>3.4482758620689655E-2</v>
      </c>
      <c r="I16" s="58">
        <v>7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>IF(Q16=0,0,R16/Q16)</f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50</v>
      </c>
      <c r="C17" s="6">
        <f>IF(B$3=0,0,B17/B$3)</f>
        <v>0.20491803278688525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>IF(Q17=0,0,R17/Q17)</f>
        <v>-2.7888888888888888</v>
      </c>
      <c r="Q17" s="77">
        <v>9</v>
      </c>
      <c r="R17" s="68">
        <v>-25.099999999999998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>IF(Q18=0,0,R18/Q18)</f>
        <v>-9.7818181818181831</v>
      </c>
      <c r="Q18" s="77">
        <v>22</v>
      </c>
      <c r="R18" s="68">
        <v>-215.20000000000002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58</v>
      </c>
      <c r="C20" s="5">
        <f>IF(B$3=0,0,B20/B$3)</f>
        <v>0.23770491803278687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25</v>
      </c>
      <c r="C21" s="6">
        <f>IF(B$3=0,0,B21/B$3)</f>
        <v>0.10245901639344263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19</v>
      </c>
      <c r="C22" s="6">
        <f>IF(B$20=0,0,B22/B$20)</f>
        <v>0.32758620689655171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0.67241379310344829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0.48275862068965519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0.31034482758620691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12</v>
      </c>
      <c r="C26" s="6">
        <f>IF(B$20=0,0,B26/B$20)</f>
        <v>0.20689655172413793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8075.8620689655172</v>
      </c>
      <c r="C27" s="8">
        <v>468400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7792.5</v>
      </c>
      <c r="C28" s="96">
        <v>311700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-6124</v>
      </c>
      <c r="C30" s="96">
        <v>-153100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11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1.7241379310344827E-2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10</v>
      </c>
      <c r="C38" s="6">
        <f t="shared" si="2"/>
        <v>0.17241379310344829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2"/>
        <v>0.2413793103448276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2"/>
        <v>0.27586206896551724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2"/>
        <v>0.1206896551724138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2"/>
        <v>8.6206896551724144E-2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1.7241379310344827E-2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5.1724137931034482E-2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1.7241379310344827E-2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77</v>
      </c>
      <c r="H2" s="87">
        <f>IF(B$20=0,0,G2/B$20)</f>
        <v>0.74757281553398058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169.23076923076923</v>
      </c>
      <c r="Q2" s="76">
        <v>39</v>
      </c>
      <c r="R2" s="63">
        <v>6600</v>
      </c>
    </row>
    <row r="3" spans="1:18" x14ac:dyDescent="0.4">
      <c r="A3" s="19" t="s">
        <v>8</v>
      </c>
      <c r="B3" s="135">
        <v>338</v>
      </c>
      <c r="C3" s="136"/>
      <c r="E3" s="27" t="s">
        <v>72</v>
      </c>
      <c r="F3" s="24" t="s">
        <v>27</v>
      </c>
      <c r="G3" s="12">
        <v>57</v>
      </c>
      <c r="H3" s="88">
        <f>IF(B$20=0,0,G3/B$20)</f>
        <v>0.55339805825242716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864.10256410256409</v>
      </c>
      <c r="Q3" s="77">
        <v>39</v>
      </c>
      <c r="R3" s="64">
        <v>33700</v>
      </c>
    </row>
    <row r="4" spans="1:18" x14ac:dyDescent="0.4">
      <c r="A4" s="19" t="s">
        <v>6</v>
      </c>
      <c r="B4" s="137">
        <v>101.59999999999998</v>
      </c>
      <c r="C4" s="138"/>
      <c r="E4" s="27" t="s">
        <v>64</v>
      </c>
      <c r="F4" s="24" t="s">
        <v>20</v>
      </c>
      <c r="G4" s="12">
        <v>44</v>
      </c>
      <c r="H4" s="88">
        <f>IF(B$20=0,0,G4/B$20)</f>
        <v>0.42718446601941745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2102.5641025641025</v>
      </c>
      <c r="Q4" s="77">
        <v>39</v>
      </c>
      <c r="R4" s="64">
        <v>82000</v>
      </c>
    </row>
    <row r="5" spans="1:18" x14ac:dyDescent="0.4">
      <c r="A5" s="19" t="s">
        <v>7</v>
      </c>
      <c r="B5" s="125">
        <f>IF(B$2=0,0,B$4/B$2)</f>
        <v>2.6051282051282048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0.3300970873786408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-597.22222222222217</v>
      </c>
      <c r="Q5" s="77">
        <v>36</v>
      </c>
      <c r="R5" s="64">
        <v>-21500</v>
      </c>
    </row>
    <row r="6" spans="1:18" x14ac:dyDescent="0.4">
      <c r="A6" s="19" t="s">
        <v>196</v>
      </c>
      <c r="B6" s="129">
        <v>1522.0163768209231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0.28155339805825241</v>
      </c>
      <c r="I6" s="58">
        <v>7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-912.5</v>
      </c>
      <c r="Q6" s="77">
        <v>32</v>
      </c>
      <c r="R6" s="64">
        <v>-29200</v>
      </c>
    </row>
    <row r="7" spans="1:18" x14ac:dyDescent="0.4">
      <c r="A7" s="19" t="s">
        <v>1</v>
      </c>
      <c r="B7" s="139">
        <f>IF(B$2=0,0,(B$8*1+B$9*2+B$10*3)/B$2)</f>
        <v>1.9487179487179487</v>
      </c>
      <c r="C7" s="140"/>
      <c r="E7" s="27" t="s">
        <v>67</v>
      </c>
      <c r="F7" s="24" t="s">
        <v>23</v>
      </c>
      <c r="G7" s="12">
        <v>27</v>
      </c>
      <c r="H7" s="88">
        <f>IF(B$20=0,0,G7/B$20)</f>
        <v>0.26213592233009708</v>
      </c>
      <c r="I7" s="58">
        <v>3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1046.6666666666667</v>
      </c>
      <c r="Q7" s="78">
        <v>30</v>
      </c>
      <c r="R7" s="65">
        <v>31400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17</v>
      </c>
      <c r="H8" s="88">
        <f>IF(B$20=0,0,G8/B$20)</f>
        <v>0.1650485436893204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0.28205128205128205</v>
      </c>
      <c r="E9" s="27" t="s">
        <v>69</v>
      </c>
      <c r="F9" s="24" t="s">
        <v>24</v>
      </c>
      <c r="G9" s="12">
        <v>14</v>
      </c>
      <c r="H9" s="88">
        <f>IF(B$20=0,0,G9/B$20)</f>
        <v>0.13592233009708737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0.33333333333333331</v>
      </c>
      <c r="E10" s="27" t="s">
        <v>71</v>
      </c>
      <c r="F10" s="24" t="s">
        <v>26</v>
      </c>
      <c r="G10" s="12">
        <v>8</v>
      </c>
      <c r="H10" s="88">
        <f>IF(B$20=0,0,G10/B$20)</f>
        <v>7.7669902912621352E-2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-8.2555555555555546</v>
      </c>
      <c r="Q10" s="76">
        <v>9</v>
      </c>
      <c r="R10" s="67">
        <v>-74.3</v>
      </c>
    </row>
    <row r="11" spans="1:18" x14ac:dyDescent="0.4">
      <c r="A11" s="20" t="s">
        <v>184</v>
      </c>
      <c r="B11" s="109">
        <f>IF(B8=0,0,C11/B8)</f>
        <v>33.313333333333333</v>
      </c>
      <c r="C11" s="110">
        <v>499.7</v>
      </c>
      <c r="E11" s="27" t="s">
        <v>65</v>
      </c>
      <c r="F11" s="24" t="s">
        <v>21</v>
      </c>
      <c r="G11" s="12">
        <v>7</v>
      </c>
      <c r="H11" s="88">
        <f>IF(B$20=0,0,G11/B$20)</f>
        <v>6.7961165048543687E-2</v>
      </c>
      <c r="I11" s="58">
        <v>9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2.3571428571428581</v>
      </c>
      <c r="Q11" s="77">
        <v>14</v>
      </c>
      <c r="R11" s="68">
        <v>33.000000000000014</v>
      </c>
    </row>
    <row r="12" spans="1:18" x14ac:dyDescent="0.4">
      <c r="A12" s="20" t="s">
        <v>185</v>
      </c>
      <c r="B12" s="109">
        <f>IF(B9=0,0,C12/B9)</f>
        <v>-1.5545454545454549</v>
      </c>
      <c r="C12" s="110">
        <v>-17.100000000000005</v>
      </c>
      <c r="E12" s="27" t="s">
        <v>86</v>
      </c>
      <c r="F12" s="24" t="s">
        <v>41</v>
      </c>
      <c r="G12" s="12">
        <v>7</v>
      </c>
      <c r="H12" s="88">
        <f>IF(B$20=0,0,G12/B$20)</f>
        <v>6.7961165048543687E-2</v>
      </c>
      <c r="I12" s="58">
        <v>5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8.9312500000000004</v>
      </c>
      <c r="Q12" s="78">
        <v>16</v>
      </c>
      <c r="R12" s="69">
        <v>142.9</v>
      </c>
    </row>
    <row r="13" spans="1:18" x14ac:dyDescent="0.4">
      <c r="A13" s="20" t="s">
        <v>186</v>
      </c>
      <c r="B13" s="109">
        <f>IF(B10=0,0,C13/B10)</f>
        <v>-29.307692307692314</v>
      </c>
      <c r="C13" s="110">
        <v>-381.00000000000006</v>
      </c>
      <c r="E13" s="27" t="s">
        <v>83</v>
      </c>
      <c r="F13" s="24" t="s">
        <v>38</v>
      </c>
      <c r="G13" s="12">
        <v>6</v>
      </c>
      <c r="H13" s="88">
        <f>IF(B$20=0,0,G13/B$20)</f>
        <v>5.8252427184466021E-2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0.81703185703185477</v>
      </c>
      <c r="C14" s="126"/>
      <c r="E14" s="27" t="s">
        <v>70</v>
      </c>
      <c r="F14" s="24" t="s">
        <v>25</v>
      </c>
      <c r="G14" s="12">
        <v>5</v>
      </c>
      <c r="H14" s="88">
        <f>IF(B$20=0,0,G14/B$20)</f>
        <v>4.8543689320388349E-2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5.128205128205128E-2</v>
      </c>
      <c r="E15" s="27" t="s">
        <v>91</v>
      </c>
      <c r="F15" s="24" t="s">
        <v>46</v>
      </c>
      <c r="G15" s="12">
        <v>5</v>
      </c>
      <c r="H15" s="88">
        <f>IF(B$20=0,0,G15/B$20)</f>
        <v>4.8543689320388349E-2</v>
      </c>
      <c r="I15" s="58">
        <v>1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73</v>
      </c>
      <c r="C16" s="10">
        <f>IF(B$3=0,0,B16/B$3)</f>
        <v>0.21597633136094674</v>
      </c>
      <c r="E16" s="27" t="s">
        <v>81</v>
      </c>
      <c r="F16" s="24" t="s">
        <v>36</v>
      </c>
      <c r="G16" s="12">
        <v>4</v>
      </c>
      <c r="H16" s="88">
        <f>IF(B$20=0,0,G16/B$20)</f>
        <v>3.8834951456310676E-2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70</v>
      </c>
      <c r="C17" s="6">
        <f>IF(B$3=0,0,B17/B$3)</f>
        <v>0.20710059171597633</v>
      </c>
      <c r="E17" s="27" t="s">
        <v>78</v>
      </c>
      <c r="F17" s="24" t="s">
        <v>33</v>
      </c>
      <c r="G17" s="12">
        <v>3</v>
      </c>
      <c r="H17" s="88">
        <f>IF(B$20=0,0,G17/B$20)</f>
        <v>2.9126213592233011E-2</v>
      </c>
      <c r="I17" s="58">
        <v>6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0.57534246575342463</v>
      </c>
      <c r="E18" s="27" t="s">
        <v>73</v>
      </c>
      <c r="F18" s="24" t="s">
        <v>28</v>
      </c>
      <c r="G18" s="12">
        <v>2</v>
      </c>
      <c r="H18" s="88">
        <f>IF(B$20=0,0,G18/B$20)</f>
        <v>1.9417475728155338E-2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13.12857142857143</v>
      </c>
      <c r="Q18" s="77">
        <v>14</v>
      </c>
      <c r="R18" s="68">
        <v>183.8</v>
      </c>
    </row>
    <row r="19" spans="1:18" x14ac:dyDescent="0.4">
      <c r="A19" s="18" t="s">
        <v>124</v>
      </c>
      <c r="B19" s="11">
        <f>B25</f>
        <v>34</v>
      </c>
      <c r="C19" s="5">
        <f>IF(B$17=0,0,B19/B$17)</f>
        <v>0.48571428571428571</v>
      </c>
      <c r="E19" s="27" t="s">
        <v>75</v>
      </c>
      <c r="F19" s="24" t="s">
        <v>30</v>
      </c>
      <c r="G19" s="12">
        <v>1</v>
      </c>
      <c r="H19" s="88">
        <f>IF(B$20=0,0,G19/B$20)</f>
        <v>9.7087378640776691E-3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195</v>
      </c>
      <c r="P19" s="83">
        <f t="shared" si="2"/>
        <v>-3.0750000000000011</v>
      </c>
      <c r="Q19" s="77">
        <v>4</v>
      </c>
      <c r="R19" s="68">
        <v>-12.300000000000004</v>
      </c>
    </row>
    <row r="20" spans="1:18" x14ac:dyDescent="0.4">
      <c r="A20" s="18" t="s">
        <v>10</v>
      </c>
      <c r="B20" s="11">
        <f>B23+B22</f>
        <v>103</v>
      </c>
      <c r="C20" s="5">
        <f>IF(B$3=0,0,B20/B$3)</f>
        <v>0.30473372781065089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-4.1523809523809518</v>
      </c>
      <c r="Q20" s="77">
        <v>21</v>
      </c>
      <c r="R20" s="68">
        <v>-87.199999999999989</v>
      </c>
    </row>
    <row r="21" spans="1:18" x14ac:dyDescent="0.4">
      <c r="A21" s="19" t="s">
        <v>13</v>
      </c>
      <c r="B21" s="12">
        <v>45</v>
      </c>
      <c r="C21" s="6">
        <f>IF(B$3=0,0,B21/B$3)</f>
        <v>0.13313609467455623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190</v>
      </c>
      <c r="P21" s="83">
        <f t="shared" si="2"/>
        <v>-6.5555555555555562</v>
      </c>
      <c r="Q21" s="77">
        <v>9</v>
      </c>
      <c r="R21" s="68">
        <v>-59.000000000000007</v>
      </c>
    </row>
    <row r="22" spans="1:18" x14ac:dyDescent="0.4">
      <c r="A22" s="19" t="s">
        <v>12</v>
      </c>
      <c r="B22" s="12">
        <v>44</v>
      </c>
      <c r="C22" s="6">
        <f>IF(B$20=0,0,B22/B$20)</f>
        <v>0.42718446601941745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 t="shared" si="2"/>
        <v>-6.9</v>
      </c>
      <c r="Q22" s="77">
        <v>9</v>
      </c>
      <c r="R22" s="68">
        <v>-62.1</v>
      </c>
    </row>
    <row r="23" spans="1:18" x14ac:dyDescent="0.4">
      <c r="A23" s="19" t="s">
        <v>11</v>
      </c>
      <c r="B23" s="12">
        <v>59</v>
      </c>
      <c r="C23" s="6">
        <f>IF(B$20=0,0,B23/B$20)</f>
        <v>0.57281553398058249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">
      <c r="A24" s="19" t="s">
        <v>183</v>
      </c>
      <c r="B24" s="12">
        <v>42</v>
      </c>
      <c r="C24" s="6">
        <f>IF(B$20=0,0,B24/B$20)</f>
        <v>0.40776699029126212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34</v>
      </c>
      <c r="C25" s="6">
        <f>IF(B$20=0,0,B25/B$20)</f>
        <v>0.3300970873786408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27</v>
      </c>
      <c r="C26" s="6">
        <f>IF(B$20=0,0,B26/B$20)</f>
        <v>0.26213592233009708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7706.7961165048546</v>
      </c>
      <c r="C27" s="8">
        <v>793800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7957.971014492754</v>
      </c>
      <c r="C28" s="96">
        <v>549100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7197.0588235294117</v>
      </c>
      <c r="C29" s="96">
        <v>244700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-6708.8888888888887</v>
      </c>
      <c r="C30" s="96">
        <v>-301900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86700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8.8757396449704144E-3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7.7669902912621352E-2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24</v>
      </c>
      <c r="C38" s="6">
        <f t="shared" si="3"/>
        <v>0.23300970873786409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20</v>
      </c>
      <c r="C39" s="6">
        <f t="shared" si="3"/>
        <v>0.1941747572815534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13</v>
      </c>
      <c r="C40" s="6">
        <f t="shared" si="3"/>
        <v>0.12621359223300971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14</v>
      </c>
      <c r="C41" s="6">
        <f t="shared" si="3"/>
        <v>0.13592233009708737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11</v>
      </c>
      <c r="C42" s="6">
        <f t="shared" si="3"/>
        <v>0.10679611650485436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3"/>
        <v>4.8543689320388349E-2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3.8834951456310676E-2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9.7087378640776691E-3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2</v>
      </c>
      <c r="C46" s="6">
        <f t="shared" si="3"/>
        <v>1.9417475728155338E-2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3"/>
        <v>9.7087378640776691E-3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101</v>
      </c>
      <c r="H2" s="87">
        <f>IF(B$20=0,0,G2/B$20)</f>
        <v>0.7890625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-237.77777777777777</v>
      </c>
      <c r="Q2" s="76">
        <v>45</v>
      </c>
      <c r="R2" s="63">
        <v>-10700</v>
      </c>
    </row>
    <row r="3" spans="1:18" x14ac:dyDescent="0.4">
      <c r="A3" s="19" t="s">
        <v>8</v>
      </c>
      <c r="B3" s="135">
        <v>391</v>
      </c>
      <c r="C3" s="136"/>
      <c r="E3" s="27" t="s">
        <v>72</v>
      </c>
      <c r="F3" s="24" t="s">
        <v>27</v>
      </c>
      <c r="G3" s="12">
        <v>79</v>
      </c>
      <c r="H3" s="88">
        <f>IF(B$20=0,0,G3/B$20)</f>
        <v>0.6171875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778.57142857142856</v>
      </c>
      <c r="Q3" s="77">
        <v>42</v>
      </c>
      <c r="R3" s="64">
        <v>32700</v>
      </c>
    </row>
    <row r="4" spans="1:18" x14ac:dyDescent="0.4">
      <c r="A4" s="19" t="s">
        <v>6</v>
      </c>
      <c r="B4" s="137">
        <v>228.89999999999995</v>
      </c>
      <c r="C4" s="138"/>
      <c r="E4" s="27" t="s">
        <v>159</v>
      </c>
      <c r="F4" s="24" t="s">
        <v>160</v>
      </c>
      <c r="G4" s="12">
        <v>62</v>
      </c>
      <c r="H4" s="88">
        <f>IF(B$20=0,0,G4/B$20)</f>
        <v>0.484375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169.76744186046511</v>
      </c>
      <c r="Q4" s="77">
        <v>43</v>
      </c>
      <c r="R4" s="64">
        <v>7300</v>
      </c>
    </row>
    <row r="5" spans="1:18" x14ac:dyDescent="0.4">
      <c r="A5" s="19" t="s">
        <v>7</v>
      </c>
      <c r="B5" s="125">
        <f>IF(B$2=0,0,B$4/B$2)</f>
        <v>5.0866666666666651</v>
      </c>
      <c r="C5" s="126"/>
      <c r="E5" s="27" t="s">
        <v>64</v>
      </c>
      <c r="F5" s="24" t="s">
        <v>20</v>
      </c>
      <c r="G5" s="12">
        <v>43</v>
      </c>
      <c r="H5" s="88">
        <f>IF(B$20=0,0,G5/B$20)</f>
        <v>0.3359375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2455</v>
      </c>
      <c r="Q5" s="77">
        <v>40</v>
      </c>
      <c r="R5" s="64">
        <v>98200</v>
      </c>
    </row>
    <row r="6" spans="1:18" x14ac:dyDescent="0.4">
      <c r="A6" s="19" t="s">
        <v>196</v>
      </c>
      <c r="B6" s="129">
        <v>1573.325689506974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0.25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629.72972972972968</v>
      </c>
      <c r="Q6" s="77">
        <v>37</v>
      </c>
      <c r="R6" s="64">
        <v>23300</v>
      </c>
    </row>
    <row r="7" spans="1:18" x14ac:dyDescent="0.4">
      <c r="A7" s="19" t="s">
        <v>1</v>
      </c>
      <c r="B7" s="139">
        <f>IF(B$2=0,0,(B$8*1+B$9*2+B$10*3)/B$2)</f>
        <v>1.8222222222222222</v>
      </c>
      <c r="C7" s="140"/>
      <c r="E7" s="27" t="s">
        <v>67</v>
      </c>
      <c r="F7" s="24" t="s">
        <v>23</v>
      </c>
      <c r="G7" s="12">
        <v>17</v>
      </c>
      <c r="H7" s="88">
        <f>IF(B$20=0,0,G7/B$20)</f>
        <v>0.1328125</v>
      </c>
      <c r="I7" s="58">
        <v>10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76.666666666666671</v>
      </c>
      <c r="Q7" s="78">
        <v>30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0.42222222222222222</v>
      </c>
      <c r="E8" s="27" t="s">
        <v>70</v>
      </c>
      <c r="F8" s="24" t="s">
        <v>25</v>
      </c>
      <c r="G8" s="12">
        <v>17</v>
      </c>
      <c r="H8" s="88">
        <f>IF(B$20=0,0,G8/B$20)</f>
        <v>0.1328125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0.33333333333333331</v>
      </c>
      <c r="E9" s="27" t="s">
        <v>89</v>
      </c>
      <c r="F9" s="24" t="s">
        <v>44</v>
      </c>
      <c r="G9" s="12">
        <v>14</v>
      </c>
      <c r="H9" s="88">
        <f>IF(B$20=0,0,G9/B$20)</f>
        <v>0.109375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0.24444444444444444</v>
      </c>
      <c r="E10" s="27" t="s">
        <v>71</v>
      </c>
      <c r="F10" s="24" t="s">
        <v>26</v>
      </c>
      <c r="G10" s="12">
        <v>13</v>
      </c>
      <c r="H10" s="88">
        <f>IF(B$20=0,0,G10/B$20)</f>
        <v>0.1015625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8.59375E-2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-0.3466666666666664</v>
      </c>
      <c r="Q11" s="77">
        <v>15</v>
      </c>
      <c r="R11" s="68">
        <v>-5.1999999999999957</v>
      </c>
    </row>
    <row r="12" spans="1:18" x14ac:dyDescent="0.4">
      <c r="A12" s="20" t="s">
        <v>185</v>
      </c>
      <c r="B12" s="109">
        <f>IF(B9=0,0,C12/B9)</f>
        <v>-3.9266666666666663</v>
      </c>
      <c r="C12" s="110">
        <v>-58.899999999999991</v>
      </c>
      <c r="E12" s="27" t="s">
        <v>65</v>
      </c>
      <c r="F12" s="24" t="s">
        <v>21</v>
      </c>
      <c r="G12" s="12">
        <v>5</v>
      </c>
      <c r="H12" s="88">
        <f>IF(B$20=0,0,G12/B$20)</f>
        <v>3.90625E-2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-1.9083333333333339</v>
      </c>
      <c r="Q12" s="78">
        <v>12</v>
      </c>
      <c r="R12" s="69">
        <v>-22.900000000000006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3.90625E-2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-1.3289845826687927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3.125E-2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79</v>
      </c>
      <c r="F15" s="24" t="s">
        <v>34</v>
      </c>
      <c r="G15" s="12">
        <v>3</v>
      </c>
      <c r="H15" s="88">
        <f>IF(B$20=0,0,G15/B$20)</f>
        <v>2.34375E-2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79</v>
      </c>
      <c r="C16" s="10">
        <f>IF(B$3=0,0,B16/B$3)</f>
        <v>0.20204603580562661</v>
      </c>
      <c r="E16" s="27" t="s">
        <v>81</v>
      </c>
      <c r="F16" s="24" t="s">
        <v>36</v>
      </c>
      <c r="G16" s="12">
        <v>3</v>
      </c>
      <c r="H16" s="88">
        <f>IF(B$20=0,0,G16/B$20)</f>
        <v>2.34375E-2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105</v>
      </c>
      <c r="C17" s="6">
        <f>IF(B$3=0,0,B17/B$3)</f>
        <v>0.26854219948849106</v>
      </c>
      <c r="E17" s="27" t="s">
        <v>83</v>
      </c>
      <c r="F17" s="24" t="s">
        <v>38</v>
      </c>
      <c r="G17" s="12">
        <v>2</v>
      </c>
      <c r="H17" s="88">
        <f>IF(B$20=0,0,G17/B$20)</f>
        <v>1.5625E-2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0.54430379746835444</v>
      </c>
      <c r="E18" s="27" t="s">
        <v>73</v>
      </c>
      <c r="F18" s="24" t="s">
        <v>28</v>
      </c>
      <c r="G18" s="12">
        <v>1</v>
      </c>
      <c r="H18" s="88">
        <f>IF(B$20=0,0,G18/B$20)</f>
        <v>7.8125E-3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43</v>
      </c>
      <c r="C19" s="5">
        <f>IF(B$17=0,0,B19/B$17)</f>
        <v>0.40952380952380951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6.245454545454546</v>
      </c>
      <c r="Q19" s="77">
        <v>11</v>
      </c>
      <c r="R19" s="68">
        <v>68.7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0.32736572890025578</v>
      </c>
      <c r="E20" s="27" t="s">
        <v>92</v>
      </c>
      <c r="F20" s="24" t="s">
        <v>47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4.8605263157894711</v>
      </c>
      <c r="Q20" s="77">
        <v>38</v>
      </c>
      <c r="R20" s="68">
        <v>184.6999999999999</v>
      </c>
    </row>
    <row r="21" spans="1:18" x14ac:dyDescent="0.4">
      <c r="A21" s="19" t="s">
        <v>13</v>
      </c>
      <c r="B21" s="12">
        <v>45</v>
      </c>
      <c r="C21" s="6">
        <f>IF(B$3=0,0,B21/B$3)</f>
        <v>0.11508951406649616</v>
      </c>
      <c r="E21" s="27" t="s">
        <v>102</v>
      </c>
      <c r="F21" s="24" t="s">
        <v>57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52</v>
      </c>
      <c r="C22" s="6">
        <f>IF(B$20=0,0,B22/B$20)</f>
        <v>0.40625</v>
      </c>
      <c r="E22" s="27" t="s">
        <v>155</v>
      </c>
      <c r="F22" s="24" t="s">
        <v>156</v>
      </c>
      <c r="G22" s="12">
        <v>1</v>
      </c>
      <c r="H22" s="88">
        <f>IF(B$20=0,0,G22/B$20)</f>
        <v>7.8125E-3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76</v>
      </c>
      <c r="C23" s="6">
        <f>IF(B$20=0,0,B23/B$20)</f>
        <v>0.59375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43</v>
      </c>
      <c r="C24" s="6">
        <f>IF(B$20=0,0,B24/B$20)</f>
        <v>0.3359375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43</v>
      </c>
      <c r="C25" s="6">
        <f>IF(B$20=0,0,B25/B$20)</f>
        <v>0.3359375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42</v>
      </c>
      <c r="C26" s="6">
        <f>IF(B$20=0,0,B26/B$20)</f>
        <v>0.328125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7482.8125</v>
      </c>
      <c r="C27" s="8">
        <v>957800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8463.5294117647063</v>
      </c>
      <c r="C28" s="96">
        <v>719400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5544.1860465116279</v>
      </c>
      <c r="C29" s="96">
        <v>238400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12</v>
      </c>
      <c r="C37" s="98">
        <f t="shared" ref="C37:C49" si="3">IF(B$20=0,0,B37/B$20)</f>
        <v>9.375E-2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31</v>
      </c>
      <c r="C38" s="6">
        <f t="shared" si="3"/>
        <v>0.2421875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3"/>
        <v>0.2109375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0.15625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20</v>
      </c>
      <c r="C41" s="6">
        <f t="shared" si="3"/>
        <v>0.15625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3.125E-2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3"/>
        <v>7.8125E-3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7.8125E-3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4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5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5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8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2020-11-26T07:08:52Z</dcterms:modified>
</cp:coreProperties>
</file>