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15A2069B-8EBB-40AA-87C8-00E30E7D3126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848" r:id="rId6"/>
    <sheet name="だいち" sheetId="6850" r:id="rId7"/>
    <sheet name="れんたろう" sheetId="6852" r:id="rId8"/>
    <sheet name="たかの" sheetId="6854" r:id="rId9"/>
    <sheet name="まっつん" sheetId="6856" r:id="rId10"/>
    <sheet name="いちかわ" sheetId="6858" r:id="rId11"/>
    <sheet name="ただ" sheetId="6860" r:id="rId12"/>
    <sheet name="たか" sheetId="6862" r:id="rId13"/>
    <sheet name="のり" sheetId="6864" r:id="rId14"/>
    <sheet name="りくと" sheetId="6866" r:id="rId15"/>
    <sheet name="わさび" sheetId="6868" r:id="rId16"/>
    <sheet name="わさび2" sheetId="6869" state="hidden" r:id="rId17"/>
    <sheet name="りくと2" sheetId="6867" state="hidden" r:id="rId18"/>
    <sheet name="のり2" sheetId="6865" state="hidden" r:id="rId19"/>
    <sheet name="たか2" sheetId="6863" state="hidden" r:id="rId20"/>
    <sheet name="ただ2" sheetId="6861" state="hidden" r:id="rId21"/>
    <sheet name="いちかわ2" sheetId="6859" state="hidden" r:id="rId22"/>
    <sheet name="まっつん2" sheetId="6857" state="hidden" r:id="rId23"/>
    <sheet name="たかの2" sheetId="6855" state="hidden" r:id="rId24"/>
    <sheet name="れんたろう2" sheetId="6853" state="hidden" r:id="rId25"/>
    <sheet name="だいち2" sheetId="6851" state="hidden" r:id="rId26"/>
    <sheet name="全体2" sheetId="6849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6854" l="1"/>
  <c r="P18" i="6856"/>
  <c r="P19" i="6860"/>
  <c r="P15" i="6856"/>
  <c r="P19" i="6862" l="1"/>
  <c r="P15" i="6854"/>
  <c r="P17" i="6866" l="1"/>
  <c r="P17" i="6850"/>
  <c r="P22" i="6858" l="1"/>
  <c r="P19" i="6854"/>
  <c r="P21" i="6860" l="1"/>
  <c r="P17" i="6860"/>
  <c r="P15" i="6866"/>
  <c r="P17" i="6868"/>
  <c r="P18" i="6858"/>
  <c r="P15" i="6858"/>
  <c r="P15" i="6868"/>
  <c r="P16" i="6868"/>
  <c r="C35" i="6868"/>
  <c r="B30" i="6868"/>
  <c r="C21" i="6868"/>
  <c r="B20" i="6868"/>
  <c r="H9" i="6868" s="1"/>
  <c r="B19" i="6868"/>
  <c r="B29" i="6868" s="1"/>
  <c r="C18" i="6868"/>
  <c r="B18" i="6868"/>
  <c r="C17" i="6868"/>
  <c r="C16" i="6868"/>
  <c r="C15" i="6868"/>
  <c r="B13" i="6868"/>
  <c r="P12" i="6868"/>
  <c r="B12" i="6868"/>
  <c r="P11" i="6868"/>
  <c r="B11" i="6868"/>
  <c r="P10" i="6868"/>
  <c r="C10" i="6868"/>
  <c r="C9" i="6868"/>
  <c r="C8" i="6868"/>
  <c r="P7" i="6868"/>
  <c r="B7" i="6868"/>
  <c r="P6" i="6868"/>
  <c r="P5" i="6868"/>
  <c r="B5" i="6868"/>
  <c r="P4" i="6868"/>
  <c r="P3" i="6868"/>
  <c r="P2" i="6868"/>
  <c r="P20" i="6848"/>
  <c r="P18" i="6866"/>
  <c r="P16" i="6866"/>
  <c r="C35" i="6866"/>
  <c r="H34" i="6866"/>
  <c r="B30" i="6866"/>
  <c r="C21" i="6866"/>
  <c r="B20" i="6866"/>
  <c r="H52" i="6866" s="1"/>
  <c r="C19" i="6866"/>
  <c r="B19" i="6866"/>
  <c r="B29" i="6866" s="1"/>
  <c r="B18" i="6866"/>
  <c r="C18" i="6866" s="1"/>
  <c r="C17" i="6866"/>
  <c r="C16" i="6866"/>
  <c r="C15" i="6866"/>
  <c r="B13" i="6866"/>
  <c r="P12" i="6866"/>
  <c r="B12" i="6866"/>
  <c r="P11" i="6866"/>
  <c r="H12" i="6866"/>
  <c r="B11" i="6866"/>
  <c r="B14" i="6866" s="1"/>
  <c r="P10" i="6866"/>
  <c r="C10" i="6866"/>
  <c r="C9" i="6866"/>
  <c r="C8" i="6866"/>
  <c r="P7" i="6866"/>
  <c r="B7" i="6866"/>
  <c r="P6" i="6866"/>
  <c r="P5" i="6866"/>
  <c r="B5" i="6866"/>
  <c r="P4" i="6866"/>
  <c r="P3" i="6866"/>
  <c r="P2" i="6866"/>
  <c r="P18" i="6848"/>
  <c r="H25" i="6866" l="1"/>
  <c r="H31" i="6866"/>
  <c r="H15" i="6866"/>
  <c r="C24" i="6866"/>
  <c r="B14" i="6868"/>
  <c r="C19" i="6868"/>
  <c r="H5" i="6868"/>
  <c r="H6" i="6868"/>
  <c r="H35" i="6868"/>
  <c r="H44" i="6868"/>
  <c r="H22" i="6868"/>
  <c r="C45" i="6868"/>
  <c r="H12" i="6868"/>
  <c r="H36" i="6868"/>
  <c r="H15" i="6868"/>
  <c r="C44" i="6868"/>
  <c r="H10" i="6868"/>
  <c r="H29" i="6868"/>
  <c r="H3" i="6868"/>
  <c r="H23" i="6868"/>
  <c r="C39" i="6868"/>
  <c r="H11" i="6868"/>
  <c r="H20" i="6868"/>
  <c r="C22" i="6868"/>
  <c r="H30" i="6868"/>
  <c r="H40" i="6868"/>
  <c r="C48" i="6868"/>
  <c r="C43" i="6868"/>
  <c r="H27" i="6868"/>
  <c r="H13" i="6868"/>
  <c r="C47" i="6868"/>
  <c r="H2" i="6868"/>
  <c r="H17" i="6868"/>
  <c r="H24" i="6868"/>
  <c r="C40" i="6868"/>
  <c r="C49" i="6868"/>
  <c r="H18" i="6868"/>
  <c r="C25" i="6868"/>
  <c r="C20" i="6868"/>
  <c r="H4" i="6868"/>
  <c r="H28" i="6868"/>
  <c r="C37" i="6868"/>
  <c r="H14" i="6868"/>
  <c r="H26" i="6868"/>
  <c r="H31" i="6868"/>
  <c r="C41" i="6868"/>
  <c r="H52" i="6868"/>
  <c r="H48" i="6868"/>
  <c r="C26" i="6868"/>
  <c r="H37" i="6868"/>
  <c r="H41" i="6868"/>
  <c r="H45" i="6868"/>
  <c r="H49" i="6868"/>
  <c r="H7" i="6868"/>
  <c r="H21" i="6868"/>
  <c r="C23" i="6868"/>
  <c r="B27" i="6868"/>
  <c r="H32" i="6868"/>
  <c r="H38" i="6868"/>
  <c r="H42" i="6868"/>
  <c r="H46" i="6868"/>
  <c r="H50" i="6868"/>
  <c r="H25" i="6868"/>
  <c r="H8" i="6868"/>
  <c r="H33" i="6868"/>
  <c r="C38" i="6868"/>
  <c r="C42" i="6868"/>
  <c r="C46" i="6868"/>
  <c r="H51" i="6868"/>
  <c r="H16" i="6868"/>
  <c r="H19" i="6868"/>
  <c r="C24" i="6868"/>
  <c r="B28" i="6868"/>
  <c r="H34" i="6868"/>
  <c r="H39" i="6868"/>
  <c r="H43" i="6868"/>
  <c r="H47" i="6868"/>
  <c r="H41" i="6866"/>
  <c r="H43" i="6866"/>
  <c r="H35" i="6866"/>
  <c r="H44" i="6866"/>
  <c r="H45" i="6866"/>
  <c r="H21" i="6866"/>
  <c r="H10" i="6866"/>
  <c r="C25" i="6866"/>
  <c r="H2" i="6866"/>
  <c r="C26" i="6866"/>
  <c r="H4" i="6866"/>
  <c r="H13" i="6866"/>
  <c r="H27" i="6866"/>
  <c r="H37" i="6866"/>
  <c r="H18" i="6866"/>
  <c r="B28" i="6866"/>
  <c r="C37" i="6866"/>
  <c r="H48" i="6866"/>
  <c r="H47" i="6866"/>
  <c r="H9" i="6866"/>
  <c r="C22" i="6866"/>
  <c r="H29" i="6866"/>
  <c r="H39" i="6866"/>
  <c r="H49" i="6866"/>
  <c r="H3" i="6866"/>
  <c r="H16" i="6866"/>
  <c r="C20" i="6866"/>
  <c r="H11" i="6866"/>
  <c r="H8" i="6866"/>
  <c r="H5" i="6866"/>
  <c r="H7" i="6866"/>
  <c r="H14" i="6866"/>
  <c r="H23" i="6866"/>
  <c r="H40" i="6866"/>
  <c r="H6" i="6866"/>
  <c r="H19" i="6866"/>
  <c r="H22" i="6866"/>
  <c r="H26" i="6866"/>
  <c r="H30" i="6866"/>
  <c r="H36" i="6866"/>
  <c r="C40" i="6866"/>
  <c r="C44" i="6866"/>
  <c r="C48" i="6866"/>
  <c r="C41" i="6866"/>
  <c r="C45" i="6866"/>
  <c r="C49" i="6866"/>
  <c r="H17" i="6866"/>
  <c r="H20" i="6866"/>
  <c r="C23" i="6866"/>
  <c r="B27" i="6866"/>
  <c r="H32" i="6866"/>
  <c r="H38" i="6866"/>
  <c r="H42" i="6866"/>
  <c r="H46" i="6866"/>
  <c r="H50" i="6866"/>
  <c r="H24" i="6866"/>
  <c r="H28" i="6866"/>
  <c r="H33" i="6866"/>
  <c r="C38" i="6866"/>
  <c r="C42" i="6866"/>
  <c r="C46" i="6866"/>
  <c r="H51" i="6866"/>
  <c r="C39" i="6866"/>
  <c r="C43" i="6866"/>
  <c r="C47" i="6866"/>
  <c r="P19" i="6852" l="1"/>
  <c r="P15" i="6860"/>
  <c r="P17" i="6858"/>
  <c r="P16" i="6860"/>
  <c r="P22" i="6860"/>
  <c r="P18" i="6862"/>
  <c r="P16" i="6858"/>
  <c r="P20" i="6862"/>
  <c r="P18" i="6852"/>
  <c r="P15" i="6852"/>
  <c r="P17" i="6864" l="1"/>
  <c r="P16" i="6862"/>
  <c r="P16" i="6850"/>
  <c r="P21" i="6850"/>
  <c r="P16" i="6864"/>
  <c r="P15" i="6864"/>
  <c r="C35" i="6864"/>
  <c r="B30" i="6864"/>
  <c r="C21" i="6864"/>
  <c r="B20" i="6864"/>
  <c r="H52" i="6864" s="1"/>
  <c r="B19" i="6864"/>
  <c r="B29" i="6864" s="1"/>
  <c r="B18" i="6864"/>
  <c r="C18" i="6864" s="1"/>
  <c r="C17" i="6864"/>
  <c r="C16" i="6864"/>
  <c r="C15" i="6864"/>
  <c r="B13" i="6864"/>
  <c r="P12" i="6864"/>
  <c r="B12" i="6864"/>
  <c r="P11" i="6864"/>
  <c r="B11" i="6864"/>
  <c r="P10" i="6864"/>
  <c r="C10" i="6864"/>
  <c r="C9" i="6864"/>
  <c r="C8" i="6864"/>
  <c r="P7" i="6864"/>
  <c r="B7" i="6864"/>
  <c r="P6" i="6864"/>
  <c r="P5" i="6864"/>
  <c r="B5" i="6864"/>
  <c r="P4" i="6864"/>
  <c r="P3" i="6864"/>
  <c r="P2" i="6864"/>
  <c r="P17" i="6862"/>
  <c r="P15" i="6862"/>
  <c r="C35" i="6862"/>
  <c r="B30" i="6862"/>
  <c r="C21" i="6862"/>
  <c r="B20" i="6862"/>
  <c r="H52" i="6862" s="1"/>
  <c r="B19" i="6862"/>
  <c r="C19" i="6862" s="1"/>
  <c r="B18" i="6862"/>
  <c r="C18" i="6862" s="1"/>
  <c r="C17" i="6862"/>
  <c r="C16" i="6862"/>
  <c r="C15" i="6862"/>
  <c r="B13" i="6862"/>
  <c r="P12" i="6862"/>
  <c r="B12" i="6862"/>
  <c r="P11" i="6862"/>
  <c r="B11" i="6862"/>
  <c r="B14" i="6862" s="1"/>
  <c r="P10" i="6862"/>
  <c r="C10" i="6862"/>
  <c r="C9" i="6862"/>
  <c r="C8" i="6862"/>
  <c r="P7" i="6862"/>
  <c r="B7" i="6862"/>
  <c r="P6" i="6862"/>
  <c r="P5" i="6862"/>
  <c r="B5" i="6862"/>
  <c r="P4" i="6862"/>
  <c r="P3" i="6862"/>
  <c r="P2" i="6862"/>
  <c r="P23" i="6858"/>
  <c r="P19" i="6858"/>
  <c r="P15" i="6848"/>
  <c r="P17" i="6848"/>
  <c r="B14" i="6864" l="1"/>
  <c r="C19" i="6864"/>
  <c r="C20" i="6864"/>
  <c r="H33" i="6864"/>
  <c r="C42" i="6864"/>
  <c r="H51" i="6864"/>
  <c r="H15" i="6864"/>
  <c r="H18" i="6864"/>
  <c r="C25" i="6864"/>
  <c r="H40" i="6864"/>
  <c r="H44" i="6864"/>
  <c r="H48" i="6864"/>
  <c r="H2" i="6864"/>
  <c r="H4" i="6864"/>
  <c r="H13" i="6864"/>
  <c r="H10" i="6864"/>
  <c r="H30" i="6864"/>
  <c r="C40" i="6864"/>
  <c r="C44" i="6864"/>
  <c r="H19" i="6864"/>
  <c r="C26" i="6864"/>
  <c r="H37" i="6864"/>
  <c r="H41" i="6864"/>
  <c r="H45" i="6864"/>
  <c r="H49" i="6864"/>
  <c r="H7" i="6864"/>
  <c r="H14" i="6864"/>
  <c r="H16" i="6864"/>
  <c r="H24" i="6864"/>
  <c r="H28" i="6864"/>
  <c r="H31" i="6864"/>
  <c r="C37" i="6864"/>
  <c r="C41" i="6864"/>
  <c r="C45" i="6864"/>
  <c r="C49" i="6864"/>
  <c r="H11" i="6864"/>
  <c r="H22" i="6864"/>
  <c r="H27" i="6864"/>
  <c r="H36" i="6864"/>
  <c r="C48" i="6864"/>
  <c r="H6" i="6864"/>
  <c r="C22" i="6864"/>
  <c r="H8" i="6864"/>
  <c r="H20" i="6864"/>
  <c r="H9" i="6864"/>
  <c r="C23" i="6864"/>
  <c r="B27" i="6864"/>
  <c r="H32" i="6864"/>
  <c r="H38" i="6864"/>
  <c r="H42" i="6864"/>
  <c r="H46" i="6864"/>
  <c r="H50" i="6864"/>
  <c r="H25" i="6864"/>
  <c r="C38" i="6864"/>
  <c r="C46" i="6864"/>
  <c r="H3" i="6864"/>
  <c r="H12" i="6864"/>
  <c r="H17" i="6864"/>
  <c r="H21" i="6864"/>
  <c r="C24" i="6864"/>
  <c r="B28" i="6864"/>
  <c r="H34" i="6864"/>
  <c r="H39" i="6864"/>
  <c r="H43" i="6864"/>
  <c r="H47" i="6864"/>
  <c r="H5" i="6864"/>
  <c r="H23" i="6864"/>
  <c r="H26" i="6864"/>
  <c r="H29" i="6864"/>
  <c r="H35" i="6864"/>
  <c r="C39" i="6864"/>
  <c r="C43" i="6864"/>
  <c r="C47" i="6864"/>
  <c r="H10" i="6862"/>
  <c r="H19" i="6862"/>
  <c r="H9" i="6862"/>
  <c r="H4" i="6862"/>
  <c r="H3" i="6862"/>
  <c r="H14" i="6862"/>
  <c r="H31" i="6862"/>
  <c r="H34" i="6862"/>
  <c r="C37" i="6862"/>
  <c r="H25" i="6862"/>
  <c r="H43" i="6862"/>
  <c r="H12" i="6862"/>
  <c r="C41" i="6862"/>
  <c r="H2" i="6862"/>
  <c r="C22" i="6862"/>
  <c r="C25" i="6862"/>
  <c r="C49" i="6862"/>
  <c r="H5" i="6862"/>
  <c r="H20" i="6862"/>
  <c r="H23" i="6862"/>
  <c r="H26" i="6862"/>
  <c r="H44" i="6862"/>
  <c r="H17" i="6862"/>
  <c r="B28" i="6862"/>
  <c r="C24" i="6862"/>
  <c r="H37" i="6862"/>
  <c r="H45" i="6862"/>
  <c r="C45" i="6862"/>
  <c r="C26" i="6862"/>
  <c r="H39" i="6862"/>
  <c r="H47" i="6862"/>
  <c r="H6" i="6862"/>
  <c r="H13" i="6862"/>
  <c r="H18" i="6862"/>
  <c r="C20" i="6862"/>
  <c r="H28" i="6862"/>
  <c r="H40" i="6862"/>
  <c r="H48" i="6862"/>
  <c r="H8" i="6862"/>
  <c r="H22" i="6862"/>
  <c r="H41" i="6862"/>
  <c r="H49" i="6862"/>
  <c r="B29" i="6862"/>
  <c r="H27" i="6862"/>
  <c r="H30" i="6862"/>
  <c r="H36" i="6862"/>
  <c r="C40" i="6862"/>
  <c r="C44" i="6862"/>
  <c r="C48" i="6862"/>
  <c r="H21" i="6862"/>
  <c r="H15" i="6862"/>
  <c r="C23" i="6862"/>
  <c r="B27" i="6862"/>
  <c r="H32" i="6862"/>
  <c r="H38" i="6862"/>
  <c r="H42" i="6862"/>
  <c r="H46" i="6862"/>
  <c r="H50" i="6862"/>
  <c r="H16" i="6862"/>
  <c r="H7" i="6862"/>
  <c r="H33" i="6862"/>
  <c r="C38" i="6862"/>
  <c r="C42" i="6862"/>
  <c r="C46" i="6862"/>
  <c r="H51" i="6862"/>
  <c r="H24" i="6862"/>
  <c r="H11" i="6862"/>
  <c r="H29" i="6862"/>
  <c r="H35" i="6862"/>
  <c r="C39" i="6862"/>
  <c r="C43" i="6862"/>
  <c r="C47" i="6862"/>
  <c r="P20" i="6854" l="1"/>
  <c r="P20" i="6860"/>
  <c r="P18" i="6860"/>
  <c r="H46" i="6860"/>
  <c r="C39" i="6860"/>
  <c r="C35" i="6860"/>
  <c r="B30" i="6860"/>
  <c r="C24" i="6860"/>
  <c r="C21" i="6860"/>
  <c r="B20" i="6860"/>
  <c r="H19" i="6860" s="1"/>
  <c r="B19" i="6860"/>
  <c r="B29" i="6860" s="1"/>
  <c r="B18" i="6860"/>
  <c r="C18" i="6860" s="1"/>
  <c r="C17" i="6860"/>
  <c r="C16" i="6860"/>
  <c r="C15" i="6860"/>
  <c r="B13" i="6860"/>
  <c r="P12" i="6860"/>
  <c r="B12" i="6860"/>
  <c r="P11" i="6860"/>
  <c r="B11" i="6860"/>
  <c r="P10" i="6860"/>
  <c r="C10" i="6860"/>
  <c r="C9" i="6860"/>
  <c r="C8" i="6860"/>
  <c r="P7" i="6860"/>
  <c r="B7" i="6860"/>
  <c r="P6" i="6860"/>
  <c r="P5" i="6860"/>
  <c r="B5" i="6860"/>
  <c r="P4" i="6860"/>
  <c r="P3" i="6860"/>
  <c r="P2" i="6860"/>
  <c r="P19" i="6850"/>
  <c r="P22" i="6848"/>
  <c r="B14" i="6860" l="1"/>
  <c r="H21" i="6860"/>
  <c r="H11" i="6860"/>
  <c r="C19" i="6860"/>
  <c r="H6" i="6860"/>
  <c r="H20" i="6860"/>
  <c r="C47" i="6860"/>
  <c r="H12" i="6860"/>
  <c r="H41" i="6860"/>
  <c r="C40" i="6860"/>
  <c r="H16" i="6860"/>
  <c r="H49" i="6860"/>
  <c r="C45" i="6860"/>
  <c r="C48" i="6860"/>
  <c r="C20" i="6860"/>
  <c r="H2" i="6860"/>
  <c r="H26" i="6860"/>
  <c r="H36" i="6860"/>
  <c r="H42" i="6860"/>
  <c r="H18" i="6860"/>
  <c r="H23" i="6860"/>
  <c r="H13" i="6860"/>
  <c r="B28" i="6860"/>
  <c r="H37" i="6860"/>
  <c r="H44" i="6860"/>
  <c r="C49" i="6860"/>
  <c r="C25" i="6860"/>
  <c r="H29" i="6860"/>
  <c r="H10" i="6860"/>
  <c r="H15" i="6860"/>
  <c r="H9" i="6860"/>
  <c r="H7" i="6860"/>
  <c r="H25" i="6860"/>
  <c r="C22" i="6860"/>
  <c r="H30" i="6860"/>
  <c r="H38" i="6860"/>
  <c r="C43" i="6860"/>
  <c r="H4" i="6860"/>
  <c r="H32" i="6860"/>
  <c r="H3" i="6860"/>
  <c r="H35" i="6860"/>
  <c r="H22" i="6860"/>
  <c r="C26" i="6860"/>
  <c r="C41" i="6860"/>
  <c r="H5" i="6860"/>
  <c r="H24" i="6860"/>
  <c r="H27" i="6860"/>
  <c r="H31" i="6860"/>
  <c r="C37" i="6860"/>
  <c r="C44" i="6860"/>
  <c r="H52" i="6860"/>
  <c r="H48" i="6860"/>
  <c r="H14" i="6860"/>
  <c r="H40" i="6860"/>
  <c r="H45" i="6860"/>
  <c r="H50" i="6860"/>
  <c r="H17" i="6860"/>
  <c r="C23" i="6860"/>
  <c r="B27" i="6860"/>
  <c r="H33" i="6860"/>
  <c r="H39" i="6860"/>
  <c r="H43" i="6860"/>
  <c r="H47" i="6860"/>
  <c r="H51" i="6860"/>
  <c r="H28" i="6860"/>
  <c r="H8" i="6860"/>
  <c r="H34" i="6860"/>
  <c r="C38" i="6860"/>
  <c r="C42" i="6860"/>
  <c r="C46" i="6860"/>
  <c r="P20" i="6850" l="1"/>
  <c r="P18" i="6850"/>
  <c r="P20" i="6858"/>
  <c r="P21" i="6858"/>
  <c r="C35" i="6858"/>
  <c r="B30" i="6858"/>
  <c r="C21" i="6858"/>
  <c r="B20" i="6858"/>
  <c r="H51" i="6858" s="1"/>
  <c r="B19" i="6858"/>
  <c r="B29" i="6858" s="1"/>
  <c r="B18" i="6858"/>
  <c r="C18" i="6858" s="1"/>
  <c r="C17" i="6858"/>
  <c r="C16" i="6858"/>
  <c r="C15" i="6858"/>
  <c r="B13" i="6858"/>
  <c r="P12" i="6858"/>
  <c r="B12" i="6858"/>
  <c r="P11" i="6858"/>
  <c r="B11" i="6858"/>
  <c r="P10" i="6858"/>
  <c r="C10" i="6858"/>
  <c r="C9" i="6858"/>
  <c r="C8" i="6858"/>
  <c r="P7" i="6858"/>
  <c r="B7" i="6858"/>
  <c r="P6" i="6858"/>
  <c r="P5" i="6858"/>
  <c r="B5" i="6858"/>
  <c r="P4" i="6858"/>
  <c r="P3" i="6858"/>
  <c r="P2" i="6858"/>
  <c r="P19" i="6848"/>
  <c r="P17" i="6856"/>
  <c r="P16" i="6856"/>
  <c r="C35" i="6856"/>
  <c r="B30" i="6856"/>
  <c r="C21" i="6856"/>
  <c r="B20" i="6856"/>
  <c r="H51" i="6856" s="1"/>
  <c r="B19" i="6856"/>
  <c r="B29" i="6856" s="1"/>
  <c r="B18" i="6856"/>
  <c r="C18" i="6856" s="1"/>
  <c r="C17" i="6856"/>
  <c r="C16" i="6856"/>
  <c r="C15" i="6856"/>
  <c r="B13" i="6856"/>
  <c r="P12" i="6856"/>
  <c r="B12" i="6856"/>
  <c r="P11" i="6856"/>
  <c r="B11" i="6856"/>
  <c r="P10" i="6856"/>
  <c r="C10" i="6856"/>
  <c r="C9" i="6856"/>
  <c r="C8" i="6856"/>
  <c r="P7" i="6856"/>
  <c r="B7" i="6856"/>
  <c r="P6" i="6856"/>
  <c r="P5" i="6856"/>
  <c r="B5" i="6856"/>
  <c r="P4" i="6856"/>
  <c r="P3" i="6856"/>
  <c r="P2" i="6856"/>
  <c r="P24" i="6848"/>
  <c r="B14" i="6856" l="1"/>
  <c r="C19" i="6856"/>
  <c r="H7" i="6856"/>
  <c r="B14" i="6858"/>
  <c r="C19" i="6858"/>
  <c r="H4" i="6858"/>
  <c r="H12" i="6858"/>
  <c r="C39" i="6858"/>
  <c r="C45" i="6858"/>
  <c r="C24" i="6858"/>
  <c r="C20" i="6858"/>
  <c r="C25" i="6858"/>
  <c r="H34" i="6858"/>
  <c r="H41" i="6858"/>
  <c r="C47" i="6858"/>
  <c r="H20" i="6858"/>
  <c r="H47" i="6858"/>
  <c r="H23" i="6858"/>
  <c r="C41" i="6858"/>
  <c r="H48" i="6858"/>
  <c r="H10" i="6858"/>
  <c r="H40" i="6858"/>
  <c r="C26" i="6858"/>
  <c r="H9" i="6858"/>
  <c r="H19" i="6858"/>
  <c r="H29" i="6858"/>
  <c r="H43" i="6858"/>
  <c r="H49" i="6858"/>
  <c r="H21" i="6858"/>
  <c r="C22" i="6858"/>
  <c r="B27" i="6858"/>
  <c r="H37" i="6858"/>
  <c r="C43" i="6858"/>
  <c r="C49" i="6858"/>
  <c r="H14" i="6858"/>
  <c r="H25" i="6858"/>
  <c r="H26" i="6858"/>
  <c r="C37" i="6858"/>
  <c r="H44" i="6858"/>
  <c r="H6" i="6858"/>
  <c r="H7" i="6858"/>
  <c r="H18" i="6858"/>
  <c r="H31" i="6858"/>
  <c r="H15" i="6858"/>
  <c r="H3" i="6858"/>
  <c r="H35" i="6858"/>
  <c r="H2" i="6858"/>
  <c r="H17" i="6858"/>
  <c r="B28" i="6858"/>
  <c r="H5" i="6858"/>
  <c r="H16" i="6858"/>
  <c r="H22" i="6858"/>
  <c r="C23" i="6858"/>
  <c r="H30" i="6858"/>
  <c r="H39" i="6858"/>
  <c r="H45" i="6858"/>
  <c r="H52" i="6858"/>
  <c r="H24" i="6858"/>
  <c r="H13" i="6858"/>
  <c r="H28" i="6858"/>
  <c r="H11" i="6858"/>
  <c r="H36" i="6858"/>
  <c r="C40" i="6858"/>
  <c r="C44" i="6858"/>
  <c r="C48" i="6858"/>
  <c r="H32" i="6858"/>
  <c r="H38" i="6858"/>
  <c r="H42" i="6858"/>
  <c r="H46" i="6858"/>
  <c r="H50" i="6858"/>
  <c r="H27" i="6858"/>
  <c r="H8" i="6858"/>
  <c r="H33" i="6858"/>
  <c r="C38" i="6858"/>
  <c r="C42" i="6858"/>
  <c r="C46" i="6858"/>
  <c r="H47" i="6856"/>
  <c r="H29" i="6856"/>
  <c r="H30" i="6856"/>
  <c r="H2" i="6856"/>
  <c r="C48" i="6856"/>
  <c r="C24" i="6856"/>
  <c r="C20" i="6856"/>
  <c r="C47" i="6856"/>
  <c r="C37" i="6856"/>
  <c r="H20" i="6856"/>
  <c r="H27" i="6856"/>
  <c r="H31" i="6856"/>
  <c r="H38" i="6856"/>
  <c r="C43" i="6856"/>
  <c r="H49" i="6856"/>
  <c r="C41" i="6856"/>
  <c r="H9" i="6856"/>
  <c r="C49" i="6856"/>
  <c r="H43" i="6856"/>
  <c r="H23" i="6856"/>
  <c r="C26" i="6856"/>
  <c r="H39" i="6856"/>
  <c r="C44" i="6856"/>
  <c r="H6" i="6856"/>
  <c r="H15" i="6856"/>
  <c r="H21" i="6856"/>
  <c r="C22" i="6856"/>
  <c r="H28" i="6856"/>
  <c r="H34" i="6856"/>
  <c r="C39" i="6856"/>
  <c r="H45" i="6856"/>
  <c r="H50" i="6856"/>
  <c r="H36" i="6856"/>
  <c r="H11" i="6856"/>
  <c r="H37" i="6856"/>
  <c r="C25" i="6856"/>
  <c r="H13" i="6856"/>
  <c r="H3" i="6856"/>
  <c r="H25" i="6856"/>
  <c r="B27" i="6856"/>
  <c r="H35" i="6856"/>
  <c r="C40" i="6856"/>
  <c r="C45" i="6856"/>
  <c r="H5" i="6856"/>
  <c r="H4" i="6856"/>
  <c r="H14" i="6856"/>
  <c r="H42" i="6856"/>
  <c r="H19" i="6856"/>
  <c r="H24" i="6856"/>
  <c r="H17" i="6856"/>
  <c r="H32" i="6856"/>
  <c r="H8" i="6856"/>
  <c r="H16" i="6856"/>
  <c r="H18" i="6856"/>
  <c r="H22" i="6856"/>
  <c r="H12" i="6856"/>
  <c r="C23" i="6856"/>
  <c r="B28" i="6856"/>
  <c r="H41" i="6856"/>
  <c r="H46" i="6856"/>
  <c r="H52" i="6856"/>
  <c r="H40" i="6856"/>
  <c r="H44" i="6856"/>
  <c r="H48" i="6856"/>
  <c r="H26" i="6856"/>
  <c r="H10" i="6856"/>
  <c r="H33" i="6856"/>
  <c r="C38" i="6856"/>
  <c r="C42" i="6856"/>
  <c r="C46" i="6856"/>
  <c r="P16" i="6854" l="1"/>
  <c r="P18" i="6854"/>
  <c r="C35" i="6854"/>
  <c r="B30" i="6854"/>
  <c r="C21" i="6854"/>
  <c r="B20" i="6854"/>
  <c r="H51" i="6854" s="1"/>
  <c r="B19" i="6854"/>
  <c r="B29" i="6854" s="1"/>
  <c r="C18" i="6854"/>
  <c r="B18" i="6854"/>
  <c r="C17" i="6854"/>
  <c r="C16" i="6854"/>
  <c r="C15" i="6854"/>
  <c r="B13" i="6854"/>
  <c r="P12" i="6854"/>
  <c r="B12" i="6854"/>
  <c r="P11" i="6854"/>
  <c r="B11" i="6854"/>
  <c r="P10" i="6854"/>
  <c r="C10" i="6854"/>
  <c r="C9" i="6854"/>
  <c r="C8" i="6854"/>
  <c r="P7" i="6854"/>
  <c r="B7" i="6854"/>
  <c r="P6" i="6854"/>
  <c r="P5" i="6854"/>
  <c r="B5" i="6854"/>
  <c r="P4" i="6854"/>
  <c r="P3" i="6854"/>
  <c r="P2" i="6854"/>
  <c r="P17" i="6852"/>
  <c r="P16" i="6852"/>
  <c r="C35" i="6852"/>
  <c r="B30" i="6852"/>
  <c r="C21" i="6852"/>
  <c r="B20" i="6852"/>
  <c r="H51" i="6852" s="1"/>
  <c r="B19" i="6852"/>
  <c r="B29" i="6852" s="1"/>
  <c r="B18" i="6852"/>
  <c r="C18" i="6852" s="1"/>
  <c r="C17" i="6852"/>
  <c r="C16" i="6852"/>
  <c r="C15" i="6852"/>
  <c r="B13" i="6852"/>
  <c r="P12" i="6852"/>
  <c r="B12" i="6852"/>
  <c r="P11" i="6852"/>
  <c r="B11" i="6852"/>
  <c r="P10" i="6852"/>
  <c r="C10" i="6852"/>
  <c r="C9" i="6852"/>
  <c r="C8" i="6852"/>
  <c r="P7" i="6852"/>
  <c r="B7" i="6852"/>
  <c r="P6" i="6852"/>
  <c r="P5" i="6852"/>
  <c r="B5" i="6852"/>
  <c r="P4" i="6852"/>
  <c r="P3" i="6852"/>
  <c r="P2" i="6852"/>
  <c r="P23" i="6848"/>
  <c r="P22" i="6850"/>
  <c r="P15" i="6850"/>
  <c r="C35" i="6850"/>
  <c r="B30" i="6850"/>
  <c r="C21" i="6850"/>
  <c r="B20" i="6850"/>
  <c r="H14" i="6850" s="1"/>
  <c r="B19" i="6850"/>
  <c r="B29" i="6850" s="1"/>
  <c r="B18" i="6850"/>
  <c r="C18" i="6850" s="1"/>
  <c r="C17" i="6850"/>
  <c r="C16" i="6850"/>
  <c r="C15" i="6850"/>
  <c r="B13" i="6850"/>
  <c r="P12" i="6850"/>
  <c r="B12" i="6850"/>
  <c r="P11" i="6850"/>
  <c r="B11" i="6850"/>
  <c r="P10" i="6850"/>
  <c r="C10" i="6850"/>
  <c r="C9" i="6850"/>
  <c r="C8" i="6850"/>
  <c r="P7" i="6850"/>
  <c r="B7" i="6850"/>
  <c r="P6" i="6850"/>
  <c r="P5" i="6850"/>
  <c r="B5" i="6850"/>
  <c r="P4" i="6850"/>
  <c r="P3" i="6850"/>
  <c r="P2" i="6850"/>
  <c r="P21" i="6848"/>
  <c r="P16" i="6848"/>
  <c r="C35" i="6848"/>
  <c r="B30" i="6848"/>
  <c r="C21" i="6848"/>
  <c r="B20" i="6848"/>
  <c r="H51" i="6848" s="1"/>
  <c r="B19" i="6848"/>
  <c r="B29" i="6848" s="1"/>
  <c r="B18" i="6848"/>
  <c r="C18" i="6848" s="1"/>
  <c r="C17" i="6848"/>
  <c r="C16" i="6848"/>
  <c r="C15" i="6848"/>
  <c r="B13" i="6848"/>
  <c r="P12" i="6848"/>
  <c r="B12" i="6848"/>
  <c r="P11" i="6848"/>
  <c r="B11" i="6848"/>
  <c r="P10" i="6848"/>
  <c r="C10" i="6848"/>
  <c r="C9" i="6848"/>
  <c r="C8" i="6848"/>
  <c r="P7" i="6848"/>
  <c r="B7" i="6848"/>
  <c r="P6" i="6848"/>
  <c r="P5" i="6848"/>
  <c r="B5" i="6848"/>
  <c r="P4" i="6848"/>
  <c r="P3" i="6848"/>
  <c r="P2" i="6848"/>
  <c r="B14" i="6854" l="1"/>
  <c r="B14" i="6852"/>
  <c r="C19" i="6852"/>
  <c r="B14" i="6850"/>
  <c r="H23" i="6850"/>
  <c r="C19" i="6850"/>
  <c r="B14" i="6848"/>
  <c r="C19" i="6854"/>
  <c r="H30" i="6854"/>
  <c r="H7" i="6854"/>
  <c r="H11" i="6854"/>
  <c r="C20" i="6854"/>
  <c r="H16" i="6854"/>
  <c r="H14" i="6854"/>
  <c r="H37" i="6854"/>
  <c r="C41" i="6854"/>
  <c r="H46" i="6854"/>
  <c r="H52" i="6854"/>
  <c r="H26" i="6854"/>
  <c r="C25" i="6854"/>
  <c r="C37" i="6854"/>
  <c r="H42" i="6854"/>
  <c r="H47" i="6854"/>
  <c r="H18" i="6854"/>
  <c r="H21" i="6854"/>
  <c r="H29" i="6854"/>
  <c r="H31" i="6854"/>
  <c r="H38" i="6854"/>
  <c r="H43" i="6854"/>
  <c r="C47" i="6854"/>
  <c r="C24" i="6854"/>
  <c r="H41" i="6854"/>
  <c r="H20" i="6854"/>
  <c r="H6" i="6854"/>
  <c r="C26" i="6854"/>
  <c r="C43" i="6854"/>
  <c r="H4" i="6854"/>
  <c r="H22" i="6854"/>
  <c r="C22" i="6854"/>
  <c r="H17" i="6854"/>
  <c r="H34" i="6854"/>
  <c r="C39" i="6854"/>
  <c r="H44" i="6854"/>
  <c r="C48" i="6854"/>
  <c r="H2" i="6854"/>
  <c r="H36" i="6854"/>
  <c r="C45" i="6854"/>
  <c r="H3" i="6854"/>
  <c r="H12" i="6854"/>
  <c r="H10" i="6854"/>
  <c r="H24" i="6854"/>
  <c r="H13" i="6854"/>
  <c r="H32" i="6854"/>
  <c r="H39" i="6854"/>
  <c r="H48" i="6854"/>
  <c r="H5" i="6854"/>
  <c r="H15" i="6854"/>
  <c r="H19" i="6854"/>
  <c r="H27" i="6854"/>
  <c r="B27" i="6854"/>
  <c r="H35" i="6854"/>
  <c r="H40" i="6854"/>
  <c r="C44" i="6854"/>
  <c r="H49" i="6854"/>
  <c r="H9" i="6854"/>
  <c r="H23" i="6854"/>
  <c r="H25" i="6854"/>
  <c r="C23" i="6854"/>
  <c r="B28" i="6854"/>
  <c r="C40" i="6854"/>
  <c r="H45" i="6854"/>
  <c r="H50" i="6854"/>
  <c r="C49" i="6854"/>
  <c r="H28" i="6854"/>
  <c r="H8" i="6854"/>
  <c r="H33" i="6854"/>
  <c r="C38" i="6854"/>
  <c r="C42" i="6854"/>
  <c r="C46" i="6854"/>
  <c r="H13" i="6852"/>
  <c r="H36" i="6852"/>
  <c r="H41" i="6852"/>
  <c r="H47" i="6852"/>
  <c r="H16" i="6852"/>
  <c r="H12" i="6852"/>
  <c r="H21" i="6852"/>
  <c r="C25" i="6852"/>
  <c r="H43" i="6852"/>
  <c r="H48" i="6852"/>
  <c r="C20" i="6852"/>
  <c r="H37" i="6852"/>
  <c r="H9" i="6852"/>
  <c r="C37" i="6852"/>
  <c r="H22" i="6852"/>
  <c r="H27" i="6852"/>
  <c r="H31" i="6852"/>
  <c r="H38" i="6852"/>
  <c r="C43" i="6852"/>
  <c r="C48" i="6852"/>
  <c r="C47" i="6852"/>
  <c r="H19" i="6852"/>
  <c r="C26" i="6852"/>
  <c r="H49" i="6852"/>
  <c r="H29" i="6852"/>
  <c r="H24" i="6852"/>
  <c r="H32" i="6852"/>
  <c r="H6" i="6852"/>
  <c r="H14" i="6852"/>
  <c r="H23" i="6852"/>
  <c r="C22" i="6852"/>
  <c r="H28" i="6852"/>
  <c r="H34" i="6852"/>
  <c r="C39" i="6852"/>
  <c r="C44" i="6852"/>
  <c r="C49" i="6852"/>
  <c r="C24" i="6852"/>
  <c r="H30" i="6852"/>
  <c r="H25" i="6852"/>
  <c r="H39" i="6852"/>
  <c r="H5" i="6852"/>
  <c r="H26" i="6852"/>
  <c r="B27" i="6852"/>
  <c r="H35" i="6852"/>
  <c r="H40" i="6852"/>
  <c r="H45" i="6852"/>
  <c r="H4" i="6852"/>
  <c r="H3" i="6852"/>
  <c r="C41" i="6852"/>
  <c r="H2" i="6852"/>
  <c r="H11" i="6852"/>
  <c r="H44" i="6852"/>
  <c r="H7" i="6852"/>
  <c r="H15" i="6852"/>
  <c r="H20" i="6852"/>
  <c r="H10" i="6852"/>
  <c r="H17" i="6852"/>
  <c r="C23" i="6852"/>
  <c r="B28" i="6852"/>
  <c r="C40" i="6852"/>
  <c r="C45" i="6852"/>
  <c r="H52" i="6852"/>
  <c r="H42" i="6852"/>
  <c r="H46" i="6852"/>
  <c r="H50" i="6852"/>
  <c r="H18" i="6852"/>
  <c r="H8" i="6852"/>
  <c r="H33" i="6852"/>
  <c r="C38" i="6852"/>
  <c r="C42" i="6852"/>
  <c r="C46" i="6852"/>
  <c r="C19" i="6848"/>
  <c r="H13" i="6850"/>
  <c r="H6" i="6850"/>
  <c r="H46" i="6850"/>
  <c r="H11" i="6850"/>
  <c r="H22" i="6850"/>
  <c r="H20" i="6850"/>
  <c r="H48" i="6850"/>
  <c r="C25" i="6850"/>
  <c r="C40" i="6850"/>
  <c r="C26" i="6850"/>
  <c r="H36" i="6850"/>
  <c r="H42" i="6850"/>
  <c r="C47" i="6850"/>
  <c r="C20" i="6850"/>
  <c r="H50" i="6850"/>
  <c r="H30" i="6850"/>
  <c r="H8" i="6850"/>
  <c r="H31" i="6850"/>
  <c r="C41" i="6850"/>
  <c r="H19" i="6850"/>
  <c r="H27" i="6850"/>
  <c r="C22" i="6850"/>
  <c r="B28" i="6850"/>
  <c r="H37" i="6850"/>
  <c r="H44" i="6850"/>
  <c r="C49" i="6850"/>
  <c r="H16" i="6850"/>
  <c r="C45" i="6850"/>
  <c r="H28" i="6850"/>
  <c r="H24" i="6850"/>
  <c r="H25" i="6850"/>
  <c r="H7" i="6850"/>
  <c r="H10" i="6850"/>
  <c r="H29" i="6850"/>
  <c r="H32" i="6850"/>
  <c r="H38" i="6850"/>
  <c r="C43" i="6850"/>
  <c r="H5" i="6850"/>
  <c r="H40" i="6850"/>
  <c r="C39" i="6850"/>
  <c r="H2" i="6850"/>
  <c r="H35" i="6850"/>
  <c r="H3" i="6850"/>
  <c r="H12" i="6850"/>
  <c r="H4" i="6850"/>
  <c r="H26" i="6850"/>
  <c r="C24" i="6850"/>
  <c r="H17" i="6850"/>
  <c r="C37" i="6850"/>
  <c r="C44" i="6850"/>
  <c r="H52" i="6850"/>
  <c r="H41" i="6850"/>
  <c r="H45" i="6850"/>
  <c r="H49" i="6850"/>
  <c r="C48" i="6850"/>
  <c r="H18" i="6850"/>
  <c r="H15" i="6850"/>
  <c r="C23" i="6850"/>
  <c r="B27" i="6850"/>
  <c r="H33" i="6850"/>
  <c r="H39" i="6850"/>
  <c r="H43" i="6850"/>
  <c r="H47" i="6850"/>
  <c r="H51" i="6850"/>
  <c r="H21" i="6850"/>
  <c r="H9" i="6850"/>
  <c r="H34" i="6850"/>
  <c r="C38" i="6850"/>
  <c r="C42" i="6850"/>
  <c r="C46" i="6850"/>
  <c r="C20" i="6848"/>
  <c r="H3" i="6848"/>
  <c r="H21" i="6848"/>
  <c r="H34" i="6848"/>
  <c r="C42" i="6848"/>
  <c r="H19" i="6848"/>
  <c r="H9" i="6848"/>
  <c r="H23" i="6848"/>
  <c r="B28" i="6848"/>
  <c r="H35" i="6848"/>
  <c r="H40" i="6848"/>
  <c r="H44" i="6848"/>
  <c r="H48" i="6848"/>
  <c r="H5" i="6848"/>
  <c r="H29" i="6848"/>
  <c r="H14" i="6848"/>
  <c r="H32" i="6848"/>
  <c r="H36" i="6848"/>
  <c r="C39" i="6848"/>
  <c r="C43" i="6848"/>
  <c r="C47" i="6848"/>
  <c r="H52" i="6848"/>
  <c r="H20" i="6848"/>
  <c r="H27" i="6848"/>
  <c r="C25" i="6848"/>
  <c r="H41" i="6848"/>
  <c r="H45" i="6848"/>
  <c r="H49" i="6848"/>
  <c r="H8" i="6848"/>
  <c r="C38" i="6848"/>
  <c r="C46" i="6848"/>
  <c r="H2" i="6848"/>
  <c r="H18" i="6848"/>
  <c r="C24" i="6848"/>
  <c r="H7" i="6848"/>
  <c r="H10" i="6848"/>
  <c r="H28" i="6848"/>
  <c r="H13" i="6848"/>
  <c r="H31" i="6848"/>
  <c r="H17" i="6848"/>
  <c r="H37" i="6848"/>
  <c r="C40" i="6848"/>
  <c r="C44" i="6848"/>
  <c r="C48" i="6848"/>
  <c r="H4" i="6848"/>
  <c r="H24" i="6848"/>
  <c r="C22" i="6848"/>
  <c r="C26" i="6848"/>
  <c r="H38" i="6848"/>
  <c r="H42" i="6848"/>
  <c r="H46" i="6848"/>
  <c r="H50" i="6848"/>
  <c r="H6" i="6848"/>
  <c r="H12" i="6848"/>
  <c r="H26" i="6848"/>
  <c r="H30" i="6848"/>
  <c r="H22" i="6848"/>
  <c r="H25" i="6848"/>
  <c r="C37" i="6848"/>
  <c r="C41" i="6848"/>
  <c r="C45" i="6848"/>
  <c r="C49" i="6848"/>
  <c r="H11" i="6848"/>
  <c r="H16" i="6848"/>
  <c r="H15" i="6848"/>
  <c r="C23" i="6848"/>
  <c r="B27" i="6848"/>
  <c r="H33" i="6848"/>
  <c r="H39" i="6848"/>
  <c r="H43" i="6848"/>
  <c r="H47" i="6848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<sst xmlns="http://schemas.openxmlformats.org/spreadsheetml/2006/main" count="2910" uniqueCount="233">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</sst>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全体!$K$2:$K$143</c:f>
              <c:numCache>
                <c:formatCode>General</c:formatCode>
                <c:ptCount val="1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</c:numCache>
            </c:numRef>
          </c:xVal>
          <c:yVal>
            <c:numRef>
              <c:f>全体!$L$2:$L$143</c:f>
              <c:numCache>
                <c:formatCode>\+0.0;\-0.0;\±0</c:formatCode>
                <c:ptCount val="142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1C-4BD1-892C-8936F5321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-42.553191489361701</c:v>
                </c:pt>
                <c:pt idx="1">
                  <c:v>43.478260869565219</c:v>
                </c:pt>
                <c:pt idx="2">
                  <c:v>-21.739130434782609</c:v>
                </c:pt>
                <c:pt idx="3">
                  <c:v>23.255813953488371</c:v>
                </c:pt>
                <c:pt idx="4">
                  <c:v>-25.641025641025642</c:v>
                </c:pt>
                <c:pt idx="5">
                  <c:v>28.571428571428573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99-40D1-8A93-53C1C7202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27</c:v>
                </c:pt>
                <c:pt idx="1">
                  <c:v>75</c:v>
                </c:pt>
                <c:pt idx="2">
                  <c:v>65</c:v>
                </c:pt>
                <c:pt idx="3">
                  <c:v>58</c:v>
                </c:pt>
                <c:pt idx="4">
                  <c:v>43</c:v>
                </c:pt>
                <c:pt idx="5">
                  <c:v>31</c:v>
                </c:pt>
                <c:pt idx="6">
                  <c:v>22</c:v>
                </c:pt>
                <c:pt idx="7">
                  <c:v>11</c:v>
                </c:pt>
                <c:pt idx="8">
                  <c:v>7</c:v>
                </c:pt>
                <c:pt idx="9">
                  <c:v>4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99-4A66-83D7-AB5E64D2B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全体!$K$2:$K$143</c:f>
              <c:numCache>
                <c:formatCode>General</c:formatCode>
                <c:ptCount val="1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</c:numCache>
            </c:numRef>
          </c:xVal>
          <c:yVal>
            <c:numRef>
              <c:f>全体!$M$2:$M$143</c:f>
              <c:numCache>
                <c:formatCode>0</c:formatCode>
                <c:ptCount val="142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7E-40CA-95D4-CBE145ED8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だいち!$L$2:$L$39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9F-4879-B429-71850465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2702.7027027027025</c:v>
                </c:pt>
                <c:pt idx="1">
                  <c:v>-758.33333333333337</c:v>
                </c:pt>
                <c:pt idx="2">
                  <c:v>-916.66666666666663</c:v>
                </c:pt>
                <c:pt idx="3">
                  <c:v>1791.1764705882354</c:v>
                </c:pt>
                <c:pt idx="4">
                  <c:v>-648.38709677419354</c:v>
                </c:pt>
                <c:pt idx="5">
                  <c:v>-1400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3-4063-A52A-53E5C56F0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5</c:v>
                </c:pt>
                <c:pt idx="1">
                  <c:v>17</c:v>
                </c:pt>
                <c:pt idx="2">
                  <c:v>23</c:v>
                </c:pt>
                <c:pt idx="3">
                  <c:v>14</c:v>
                </c:pt>
                <c:pt idx="4">
                  <c:v>15</c:v>
                </c:pt>
                <c:pt idx="5">
                  <c:v>12</c:v>
                </c:pt>
                <c:pt idx="6">
                  <c:v>7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57-4D39-BBEC-1F7FA8F45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だいち!$M$2:$M$39</c:f>
              <c:numCache>
                <c:formatCode>0</c:formatCode>
                <c:ptCount val="38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50-4D56-936B-2C285DEE4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れんたろう!$L$2:$L$14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46-4EBC-B5A9-9AD008CA7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-1133.3333333333333</c:v>
                </c:pt>
                <c:pt idx="1">
                  <c:v>2536.3636363636365</c:v>
                </c:pt>
                <c:pt idx="2">
                  <c:v>-2836.3636363636365</c:v>
                </c:pt>
                <c:pt idx="3">
                  <c:v>-1109.090909090909</c:v>
                </c:pt>
                <c:pt idx="4">
                  <c:v>-1077.7777777777778</c:v>
                </c:pt>
                <c:pt idx="5">
                  <c:v>-985.71428571428567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5-49D1-A647-DB756DAC4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8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FE-4011-855E-3183F97D0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れんたろう!$M$2:$M$14</c:f>
              <c:numCache>
                <c:formatCode>0</c:formatCode>
                <c:ptCount val="13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52-40C3-A0A3-54334CBA7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たかの!$L$2:$L$20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5-4429-AA40-AB72E5B44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-1650</c:v>
                </c:pt>
                <c:pt idx="1">
                  <c:v>-527.77777777777783</c:v>
                </c:pt>
                <c:pt idx="2">
                  <c:v>1511.1111111111111</c:v>
                </c:pt>
                <c:pt idx="3">
                  <c:v>211.11111111111111</c:v>
                </c:pt>
                <c:pt idx="4">
                  <c:v>-83.333333333333329</c:v>
                </c:pt>
                <c:pt idx="5">
                  <c:v>2053.3333333333335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B-4AF7-8E5D-A38C49F63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7</c:v>
                </c:pt>
                <c:pt idx="3">
                  <c:v>8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4-441D-B8C7-895F05595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たかの!$M$2:$M$20</c:f>
              <c:numCache>
                <c:formatCode>0</c:formatCode>
                <c:ptCount val="19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90-4868-9691-0DF4BF4B8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まっつん!$L$2:$L$12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B-4BF0-AA2D-469E013D7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1420</c:v>
                </c:pt>
                <c:pt idx="1">
                  <c:v>2270</c:v>
                </c:pt>
                <c:pt idx="2">
                  <c:v>1590</c:v>
                </c:pt>
                <c:pt idx="3">
                  <c:v>-4062.5</c:v>
                </c:pt>
                <c:pt idx="4">
                  <c:v>-3385.7142857142858</c:v>
                </c:pt>
                <c:pt idx="5">
                  <c:v>-3266.6666666666665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5-4A8D-8522-69EFC60B6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5</c:v>
                </c:pt>
                <c:pt idx="3">
                  <c:v>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EC-4EDE-8465-97AA30620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まっつん!$M$2:$M$12</c:f>
              <c:numCache>
                <c:formatCode>0</c:formatCode>
                <c:ptCount val="11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2C-40E8-A61E-C31A6B42E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いちかわ!$L$2:$L$21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7E-4E27-AD21-19C0230A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189.47368421052633</c:v>
                </c:pt>
                <c:pt idx="1">
                  <c:v>452.63157894736844</c:v>
                </c:pt>
                <c:pt idx="2">
                  <c:v>3657.8947368421054</c:v>
                </c:pt>
                <c:pt idx="3">
                  <c:v>-1035.2941176470588</c:v>
                </c:pt>
                <c:pt idx="4">
                  <c:v>2328.5714285714284</c:v>
                </c:pt>
                <c:pt idx="5">
                  <c:v>940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7-412D-9000-E7E5A6BDE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3</c:v>
                </c:pt>
                <c:pt idx="1">
                  <c:v>13</c:v>
                </c:pt>
                <c:pt idx="2">
                  <c:v>9</c:v>
                </c:pt>
                <c:pt idx="3">
                  <c:v>9</c:v>
                </c:pt>
                <c:pt idx="4">
                  <c:v>3</c:v>
                </c:pt>
                <c:pt idx="5">
                  <c:v>5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5-48DE-B7EE-6D3AD2079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いちかわ!$M$2:$M$21</c:f>
              <c:numCache>
                <c:formatCode>0</c:formatCode>
                <c:ptCount val="20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6-4899-9F14-58F4F9E17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ただ!$L$2:$L$23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63-4067-BDA2-6E6B9CF6D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-133.33333333333334</c:v>
                </c:pt>
                <c:pt idx="1">
                  <c:v>-260</c:v>
                </c:pt>
                <c:pt idx="2">
                  <c:v>-80</c:v>
                </c:pt>
                <c:pt idx="3">
                  <c:v>457.89473684210526</c:v>
                </c:pt>
                <c:pt idx="4">
                  <c:v>1605.5555555555557</c:v>
                </c:pt>
                <c:pt idx="5">
                  <c:v>-493.33333333333331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6-4D6D-A4D8-5B54C3CA4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12</c:v>
                </c:pt>
                <c:pt idx="3">
                  <c:v>9</c:v>
                </c:pt>
                <c:pt idx="4">
                  <c:v>9</c:v>
                </c:pt>
                <c:pt idx="5">
                  <c:v>1</c:v>
                </c:pt>
                <c:pt idx="6">
                  <c:v>6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7-48AD-B2A2-541B676F8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ただ!$M$2:$M$23</c:f>
              <c:numCache>
                <c:formatCode>0</c:formatCode>
                <c:ptCount val="22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BD-48F3-A31A-9AC692BBA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FA-4425-8CA0-3E0548B92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-1221.4285714285713</c:v>
                </c:pt>
                <c:pt idx="1">
                  <c:v>-907.14285714285711</c:v>
                </c:pt>
                <c:pt idx="2">
                  <c:v>-4335.7142857142853</c:v>
                </c:pt>
                <c:pt idx="3">
                  <c:v>-161.53846153846155</c:v>
                </c:pt>
                <c:pt idx="4">
                  <c:v>-581.81818181818187</c:v>
                </c:pt>
                <c:pt idx="5">
                  <c:v>2945.4545454545455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8A-47F8-B3D6-21ABAA80E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6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6-4FAD-85BE-023A9BBFA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たか!$M$2:$M$16</c:f>
              <c:numCache>
                <c:formatCode>0</c:formatCode>
                <c:ptCount val="15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55-42E4-9DDF-ACA6C38A5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CC-4856-B97E-ED7794FBA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34-4743-AA9E-72F56D896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1A-4A09-B677-323045CB6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4-43DF-B5A7-CCC410FF6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C1-4B29-91B3-8B5C371DC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-6700</c:v>
                </c:pt>
                <c:pt idx="1">
                  <c:v>1925</c:v>
                </c:pt>
                <c:pt idx="2">
                  <c:v>-1950</c:v>
                </c:pt>
                <c:pt idx="3">
                  <c:v>-2375</c:v>
                </c:pt>
                <c:pt idx="4">
                  <c:v>1300</c:v>
                </c:pt>
                <c:pt idx="5">
                  <c:v>4125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CE-4834-AC95-71BA5741A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1-473B-B75C-232893104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りくと!$M$2:$M$6</c:f>
              <c:numCache>
                <c:formatCode>0</c:formatCode>
                <c:ptCount val="5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9-443C-B8E7-DC7185B2B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B0-4CF1-9044-E488B5770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FF-48B5-A195-29F499B37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A2-4914-AE4B-6F92DF3BA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9-4A15-9587-6AE26C4F0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たか2!$B$1:$B$2</c:f>
              <c:strCache>
                <c:ptCount val="2"/>
                <c:pt idx="0">
                  <c:v>たか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たか2!$B$3:$B$17</c:f>
              <c:numCache>
                <c:formatCode>\+0.0;\-0.0;\±0</c:formatCode>
                <c:ptCount val="15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486899575160350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たか2!$C$1:$C$2</c:f>
              <c:strCache>
                <c:ptCount val="2"/>
                <c:pt idx="0">
                  <c:v>たか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たか2!$C$3:$C$17</c:f>
              <c:numCache>
                <c:formatCode>\+0.0;\-0.0;\±0</c:formatCode>
                <c:ptCount val="15"/>
                <c:pt idx="1">
                  <c:v>42.4</c:v>
                </c:pt>
                <c:pt idx="2">
                  <c:v>25.2</c:v>
                </c:pt>
                <c:pt idx="3">
                  <c:v>3.4666666666666663</c:v>
                </c:pt>
                <c:pt idx="4">
                  <c:v>15</c:v>
                </c:pt>
                <c:pt idx="5">
                  <c:v>1.2400000000000007</c:v>
                </c:pt>
                <c:pt idx="6">
                  <c:v>5.0000000000000009</c:v>
                </c:pt>
                <c:pt idx="7">
                  <c:v>0.17142857142857185</c:v>
                </c:pt>
                <c:pt idx="8">
                  <c:v>5.1125000000000007</c:v>
                </c:pt>
                <c:pt idx="9">
                  <c:v>2.344444444444445</c:v>
                </c:pt>
                <c:pt idx="10">
                  <c:v>1.4100000000000006</c:v>
                </c:pt>
                <c:pt idx="11">
                  <c:v>-1.8545454545454541</c:v>
                </c:pt>
                <c:pt idx="12">
                  <c:v>-1.3583333333333332</c:v>
                </c:pt>
                <c:pt idx="13">
                  <c:v>-4.1692307692307686</c:v>
                </c:pt>
                <c:pt idx="14">
                  <c:v>-6.8285714285714283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7637585639435112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たか2!$D$1:$D$2</c:f>
              <c:strCache>
                <c:ptCount val="2"/>
                <c:pt idx="0">
                  <c:v>たか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たか2!$D$3:$D$17</c:f>
              <c:numCache>
                <c:formatCode>0.00\ "位"</c:formatCode>
                <c:ptCount val="15"/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2</c:v>
                </c:pt>
                <c:pt idx="6">
                  <c:v>1.8333333333333333</c:v>
                </c:pt>
                <c:pt idx="7">
                  <c:v>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1.9</c:v>
                </c:pt>
                <c:pt idx="11">
                  <c:v>2</c:v>
                </c:pt>
                <c:pt idx="12">
                  <c:v>2</c:v>
                </c:pt>
                <c:pt idx="13">
                  <c:v>2.0769230769230771</c:v>
                </c:pt>
                <c:pt idx="14">
                  <c:v>2.1428571428571428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29078014184398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たか2!$E$1:$E$2</c:f>
              <c:strCache>
                <c:ptCount val="2"/>
                <c:pt idx="0">
                  <c:v>たか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たか2!$E$3:$E$17</c:f>
              <c:numCache>
                <c:formatCode>0.0%</c:formatCode>
                <c:ptCount val="1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40425531914893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たか2!$F$1:$F$2</c:f>
              <c:strCache>
                <c:ptCount val="2"/>
                <c:pt idx="0">
                  <c:v>たか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たか2!$F$3:$F$17</c:f>
              <c:numCache>
                <c:formatCode>0.0%</c:formatCode>
                <c:ptCount val="15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たか2!$G$1:$G$2</c:f>
              <c:strCache>
                <c:ptCount val="2"/>
                <c:pt idx="0">
                  <c:v>たか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たか2!$G$3:$G$17</c:f>
              <c:numCache>
                <c:formatCode>0.0%</c:formatCode>
                <c:ptCount val="15"/>
                <c:pt idx="1">
                  <c:v>0.35714285714285715</c:v>
                </c:pt>
                <c:pt idx="2">
                  <c:v>0.35294117647058826</c:v>
                </c:pt>
                <c:pt idx="3">
                  <c:v>0.25</c:v>
                </c:pt>
                <c:pt idx="4">
                  <c:v>0.34285714285714286</c:v>
                </c:pt>
                <c:pt idx="5">
                  <c:v>0.27272727272727271</c:v>
                </c:pt>
                <c:pt idx="6">
                  <c:v>0.3</c:v>
                </c:pt>
                <c:pt idx="7">
                  <c:v>0.25862068965517243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0.24358974358974358</c:v>
                </c:pt>
                <c:pt idx="11">
                  <c:v>0.23529411764705882</c:v>
                </c:pt>
                <c:pt idx="12">
                  <c:v>0.24468085106382978</c:v>
                </c:pt>
                <c:pt idx="13">
                  <c:v>0.23529411764705882</c:v>
                </c:pt>
                <c:pt idx="14">
                  <c:v>0.22522522522522523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726495726495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たか2!$H$1:$H$2</c:f>
              <c:strCache>
                <c:ptCount val="2"/>
                <c:pt idx="0">
                  <c:v>たか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たか2!$H$3:$H$17</c:f>
              <c:numCache>
                <c:formatCode>0.0%</c:formatCode>
                <c:ptCount val="15"/>
                <c:pt idx="1">
                  <c:v>7.1428571428571425E-2</c:v>
                </c:pt>
                <c:pt idx="2">
                  <c:v>5.8823529411764705E-2</c:v>
                </c:pt>
                <c:pt idx="3">
                  <c:v>0.10714285714285714</c:v>
                </c:pt>
                <c:pt idx="4">
                  <c:v>0.11428571428571428</c:v>
                </c:pt>
                <c:pt idx="5">
                  <c:v>0.18181818181818182</c:v>
                </c:pt>
                <c:pt idx="6">
                  <c:v>0.16</c:v>
                </c:pt>
                <c:pt idx="7">
                  <c:v>0.17241379310344829</c:v>
                </c:pt>
                <c:pt idx="8">
                  <c:v>0.16923076923076924</c:v>
                </c:pt>
                <c:pt idx="9">
                  <c:v>0.18055555555555555</c:v>
                </c:pt>
                <c:pt idx="10">
                  <c:v>0.16666666666666666</c:v>
                </c:pt>
                <c:pt idx="11">
                  <c:v>0.21176470588235294</c:v>
                </c:pt>
                <c:pt idx="12">
                  <c:v>0.21276595744680851</c:v>
                </c:pt>
                <c:pt idx="13">
                  <c:v>0.21568627450980393</c:v>
                </c:pt>
                <c:pt idx="14">
                  <c:v>0.21621621621621623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521367521367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たか2!$I$1:$I$2</c:f>
              <c:strCache>
                <c:ptCount val="2"/>
                <c:pt idx="0">
                  <c:v>たか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たか2!$I$3:$I$17</c:f>
              <c:numCache>
                <c:formatCode>0</c:formatCode>
                <c:ptCount val="15"/>
                <c:pt idx="1">
                  <c:v>8980</c:v>
                </c:pt>
                <c:pt idx="2">
                  <c:v>8816.6666666666661</c:v>
                </c:pt>
                <c:pt idx="3">
                  <c:v>7857.1428571428569</c:v>
                </c:pt>
                <c:pt idx="4">
                  <c:v>8625</c:v>
                </c:pt>
                <c:pt idx="5">
                  <c:v>8625</c:v>
                </c:pt>
                <c:pt idx="6">
                  <c:v>7693.333333333333</c:v>
                </c:pt>
                <c:pt idx="7">
                  <c:v>7693.333333333333</c:v>
                </c:pt>
                <c:pt idx="8">
                  <c:v>7905.5555555555557</c:v>
                </c:pt>
                <c:pt idx="9">
                  <c:v>7905.5555555555557</c:v>
                </c:pt>
                <c:pt idx="10">
                  <c:v>7557.894736842105</c:v>
                </c:pt>
                <c:pt idx="11">
                  <c:v>7580</c:v>
                </c:pt>
                <c:pt idx="12">
                  <c:v>7778.260869565217</c:v>
                </c:pt>
                <c:pt idx="13">
                  <c:v>7787.5</c:v>
                </c:pt>
                <c:pt idx="14">
                  <c:v>7796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02.0231213872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たか2!$J$1:$J$2</c:f>
              <c:strCache>
                <c:ptCount val="2"/>
                <c:pt idx="0">
                  <c:v>たか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たか2!$J$3:$J$17</c:f>
              <c:numCache>
                <c:formatCode>0</c:formatCode>
                <c:ptCount val="15"/>
                <c:pt idx="1">
                  <c:v>-12000</c:v>
                </c:pt>
                <c:pt idx="2">
                  <c:v>-12000</c:v>
                </c:pt>
                <c:pt idx="3">
                  <c:v>-9933.3333333333339</c:v>
                </c:pt>
                <c:pt idx="4">
                  <c:v>-8425</c:v>
                </c:pt>
                <c:pt idx="5">
                  <c:v>-8400</c:v>
                </c:pt>
                <c:pt idx="6">
                  <c:v>-8400</c:v>
                </c:pt>
                <c:pt idx="7">
                  <c:v>-7820</c:v>
                </c:pt>
                <c:pt idx="8">
                  <c:v>-7227.272727272727</c:v>
                </c:pt>
                <c:pt idx="9">
                  <c:v>-6907.6923076923076</c:v>
                </c:pt>
                <c:pt idx="10">
                  <c:v>-6907.6923076923076</c:v>
                </c:pt>
                <c:pt idx="11">
                  <c:v>-6738.8888888888887</c:v>
                </c:pt>
                <c:pt idx="12">
                  <c:v>-6725</c:v>
                </c:pt>
                <c:pt idx="13">
                  <c:v>-7004.545454545455</c:v>
                </c:pt>
                <c:pt idx="14">
                  <c:v>-7654.166666666667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269.38775510204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たか2!$K$1:$K$2</c:f>
              <c:strCache>
                <c:ptCount val="2"/>
                <c:pt idx="0">
                  <c:v>たか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たか2!$K$3:$K$17</c:f>
              <c:numCache>
                <c:formatCode>0.0%</c:formatCode>
                <c:ptCount val="1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673758865248226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たか2!$L$1:$L$2</c:f>
              <c:strCache>
                <c:ptCount val="2"/>
                <c:pt idx="0">
                  <c:v>たか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たか2!$L$3:$L$17</c:f>
              <c:numCache>
                <c:formatCode>0.0%</c:formatCode>
                <c:ptCount val="15"/>
                <c:pt idx="1">
                  <c:v>0.42857142857142855</c:v>
                </c:pt>
                <c:pt idx="2">
                  <c:v>0.41176470588235292</c:v>
                </c:pt>
                <c:pt idx="3">
                  <c:v>0.39285714285714285</c:v>
                </c:pt>
                <c:pt idx="4">
                  <c:v>0.4</c:v>
                </c:pt>
                <c:pt idx="5">
                  <c:v>0.36363636363636365</c:v>
                </c:pt>
                <c:pt idx="6">
                  <c:v>0.34</c:v>
                </c:pt>
                <c:pt idx="7">
                  <c:v>0.29310344827586204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0.26923076923076922</c:v>
                </c:pt>
                <c:pt idx="11">
                  <c:v>0.24705882352941178</c:v>
                </c:pt>
                <c:pt idx="12">
                  <c:v>0.25531914893617019</c:v>
                </c:pt>
                <c:pt idx="13">
                  <c:v>0.24509803921568626</c:v>
                </c:pt>
                <c:pt idx="14">
                  <c:v>0.23423423423423423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1025641025641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たか2!$M$1:$M$2</c:f>
              <c:strCache>
                <c:ptCount val="2"/>
                <c:pt idx="0">
                  <c:v>たか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たか2!$M$3:$M$17</c:f>
              <c:numCache>
                <c:formatCode>0.0%</c:formatCode>
                <c:ptCount val="15"/>
                <c:pt idx="1">
                  <c:v>0.21428571428571427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0.22857142857142856</c:v>
                </c:pt>
                <c:pt idx="5">
                  <c:v>0.18181818181818182</c:v>
                </c:pt>
                <c:pt idx="6">
                  <c:v>0.18</c:v>
                </c:pt>
                <c:pt idx="7">
                  <c:v>0.18965517241379309</c:v>
                </c:pt>
                <c:pt idx="8">
                  <c:v>0.2</c:v>
                </c:pt>
                <c:pt idx="9">
                  <c:v>0.20833333333333334</c:v>
                </c:pt>
                <c:pt idx="10">
                  <c:v>0.21794871794871795</c:v>
                </c:pt>
                <c:pt idx="11">
                  <c:v>0.23529411764705882</c:v>
                </c:pt>
                <c:pt idx="12">
                  <c:v>0.23404255319148937</c:v>
                </c:pt>
                <c:pt idx="13">
                  <c:v>0.21568627450980393</c:v>
                </c:pt>
                <c:pt idx="14">
                  <c:v>0.2072072072072072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4444444444444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たか2!$N$1:$N$2</c:f>
              <c:strCache>
                <c:ptCount val="2"/>
                <c:pt idx="0">
                  <c:v>たか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たか2!$N$3:$N$17</c:f>
              <c:numCache>
                <c:formatCode>0.0%</c:formatCode>
                <c:ptCount val="15"/>
                <c:pt idx="1">
                  <c:v>0.33333333333333331</c:v>
                </c:pt>
                <c:pt idx="2">
                  <c:v>0.42857142857142855</c:v>
                </c:pt>
                <c:pt idx="3">
                  <c:v>0.27272727272727271</c:v>
                </c:pt>
                <c:pt idx="4">
                  <c:v>0.42857142857142855</c:v>
                </c:pt>
                <c:pt idx="5">
                  <c:v>0.375</c:v>
                </c:pt>
                <c:pt idx="6">
                  <c:v>0.41176470588235292</c:v>
                </c:pt>
                <c:pt idx="7">
                  <c:v>0.41176470588235292</c:v>
                </c:pt>
                <c:pt idx="8">
                  <c:v>0.44444444444444442</c:v>
                </c:pt>
                <c:pt idx="9">
                  <c:v>0.44444444444444442</c:v>
                </c:pt>
                <c:pt idx="10">
                  <c:v>0.42857142857142855</c:v>
                </c:pt>
                <c:pt idx="11">
                  <c:v>0.42857142857142855</c:v>
                </c:pt>
                <c:pt idx="12">
                  <c:v>0.5</c:v>
                </c:pt>
                <c:pt idx="13">
                  <c:v>0.48</c:v>
                </c:pt>
                <c:pt idx="14">
                  <c:v>0.46153846153846156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たか2!$O$1:$O$2</c:f>
              <c:strCache>
                <c:ptCount val="2"/>
                <c:pt idx="0">
                  <c:v>たか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たか2!$O$3:$O$17</c:f>
              <c:numCache>
                <c:formatCode>0.0%</c:formatCode>
                <c:ptCount val="15"/>
                <c:pt idx="1">
                  <c:v>1</c:v>
                </c:pt>
                <c:pt idx="2">
                  <c:v>1</c:v>
                </c:pt>
                <c:pt idx="3">
                  <c:v>0.5714285714285714</c:v>
                </c:pt>
                <c:pt idx="4">
                  <c:v>0.625</c:v>
                </c:pt>
                <c:pt idx="5">
                  <c:v>0.625</c:v>
                </c:pt>
                <c:pt idx="6">
                  <c:v>0.66666666666666663</c:v>
                </c:pt>
                <c:pt idx="7">
                  <c:v>0.54545454545454541</c:v>
                </c:pt>
                <c:pt idx="8">
                  <c:v>0.46153846153846156</c:v>
                </c:pt>
                <c:pt idx="9">
                  <c:v>0.4</c:v>
                </c:pt>
                <c:pt idx="10">
                  <c:v>0.35294117647058826</c:v>
                </c:pt>
                <c:pt idx="11">
                  <c:v>0.35</c:v>
                </c:pt>
                <c:pt idx="12">
                  <c:v>0.31818181818181818</c:v>
                </c:pt>
                <c:pt idx="13">
                  <c:v>0.31818181818181818</c:v>
                </c:pt>
                <c:pt idx="14">
                  <c:v>0.30434782608695654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8041958041958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たか2!$P$1:$P$2</c:f>
              <c:strCache>
                <c:ptCount val="2"/>
                <c:pt idx="0">
                  <c:v>たか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たか2!$P$3:$P$17</c:f>
              <c:numCache>
                <c:formatCode>0.0%</c:formatCode>
                <c:ptCount val="15"/>
                <c:pt idx="1">
                  <c:v>0.2</c:v>
                </c:pt>
                <c:pt idx="2">
                  <c:v>0.16666666666666666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0.4</c:v>
                </c:pt>
                <c:pt idx="7">
                  <c:v>0.4</c:v>
                </c:pt>
                <c:pt idx="8">
                  <c:v>0.5</c:v>
                </c:pt>
                <c:pt idx="9">
                  <c:v>0.5</c:v>
                </c:pt>
                <c:pt idx="10">
                  <c:v>0.47368421052631576</c:v>
                </c:pt>
                <c:pt idx="11">
                  <c:v>0.45</c:v>
                </c:pt>
                <c:pt idx="12">
                  <c:v>0.47826086956521741</c:v>
                </c:pt>
                <c:pt idx="13">
                  <c:v>0.45833333333333331</c:v>
                </c:pt>
                <c:pt idx="14">
                  <c:v>0.44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06358381502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DE0CB48-E345-4E24-9687-8AC86BBC4D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6E188EE-7AD7-432C-9A57-958564C323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43962F3-9B25-430D-A23B-8CF85D88F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464CFC1-6A80-4BBE-A40C-3EA93ED35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21E6387-19A0-44EC-BF15-BEE772D7E9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F9D81AD-E366-497B-B76A-F086C5B2A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496ABE2-7B91-4230-ACD3-5C751665EE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D294AD4-752A-4EFA-AAD4-D10DD6B262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FEEE5A0-D618-40B3-A9E0-22D7895558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8B28C99-5930-45CD-8CBB-013D995B57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465EA59-7A1B-4942-89B4-95FB53141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7315D31-A6A0-40CB-8C01-AEA31BB45C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3262518-8B5E-48B2-83F9-E12607A560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4A83E5A-37C2-41B4-8847-339F145F4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EE1C11D-A548-4A05-8C25-AF5EAB2FFD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BFE3EBB-8A64-4FA0-820F-4D9D6D1566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210A108-31F9-402D-8E6A-E5DCF8746D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E799C3B-783C-45EB-9665-FD591CB400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482AD27-7163-44A5-BFA9-0C6D619805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40F8E76-EB1F-4F4E-B325-25EE8F67D3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5724298-5D31-44F4-AA63-16EC944F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9A80689-0CC2-4392-AADF-9CA537E98C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B7DCFA1-935A-44DC-BFD7-FC209E451D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D57B791-377C-4C93-8826-018B874D7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936ED04-C5E5-4074-8397-1E639F5345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3FCB090-7E86-4603-9A86-6B4359F875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6C61816-CE10-4946-9A26-B10A5F7C30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0A41CF6-15CD-4222-B531-FA0B3F4E82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EFC1631-E248-4365-99BF-C383EEEF7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375923F-5DBE-4FF2-98BB-726D69F175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5F2D53E-7D06-41A0-9B0A-1CCE7E6360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2874F31-B90A-45D0-84B9-449B03A83A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74A6F2A-5B8E-4DD0-BB4F-7678C95A7A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9CD7DB9-CCC2-4F45-9D6F-5DF849CF2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A767B5E-B034-411E-B52A-EBC5F340DC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4FE6DBF-12E5-4295-800D-B769D38FD3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01D9B78-3F25-478D-95D2-BB1B7CE449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B1F887C-D1C9-45BF-9A85-2711535E2A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5D25065-C376-41C4-84DF-6D83C81E9D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B529C88-8EA3-4420-AE83-D623249FB8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6C446C0-90FB-4013-A485-225CF8782A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7A8C8CC-0FE0-428D-900E-400E289DC5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74061E6-339F-4553-A8E5-19563AF9E3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6AC76F4-0C5E-4378-BD00-4F750A3B6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19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5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5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5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5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5">
      <c r="A7" s="2" t="s">
        <v>218</v>
      </c>
      <c r="B7" s="3">
        <v>44118.006006944444</v>
      </c>
      <c r="C7" s="2" t="s">
        <v>127</v>
      </c>
    </row>
    <row r="8" spans="1:6" x14ac:dyDescent="0.45">
      <c r="A8" s="2" t="s">
        <v>219</v>
      </c>
      <c r="B8" s="3">
        <v>44118.006006944444</v>
      </c>
      <c r="C8" s="2" t="s">
        <v>127</v>
      </c>
    </row>
    <row r="9" spans="1:6" x14ac:dyDescent="0.45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5">
      <c r="A10" s="2" t="s">
        <v>222</v>
      </c>
      <c r="B10" s="3">
        <v>44118.006006944444</v>
      </c>
      <c r="C10" s="2" t="s">
        <v>127</v>
      </c>
    </row>
    <row r="11" spans="1:6" x14ac:dyDescent="0.45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5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5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5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5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5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6" x14ac:dyDescent="0.45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6" x14ac:dyDescent="0.45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6" x14ac:dyDescent="0.45">
      <c r="A19" s="2" t="s">
        <v>232</v>
      </c>
      <c r="B19" s="3">
        <v>44126.860625000001</v>
      </c>
      <c r="C19" s="2" t="s">
        <v>127</v>
      </c>
      <c r="D19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" x14ac:dyDescent="0.45"/>
  <cols>
    <col min="1" max="1" width="11" customWidth="1"/>
    <col min="2" max="2" width="9" style="120" customWidth="1"/>
    <col min="3" max="3" width="9" style="120"/>
  </cols>
  <sheetData>
    <row r="1" spans="1:3" x14ac:dyDescent="0.45">
      <c r="A1" t="s">
        <v>225</v>
      </c>
    </row>
    <row r="2" spans="1:3" x14ac:dyDescent="0.45">
      <c r="A2" t="s">
        <v>126</v>
      </c>
      <c r="B2" s="120">
        <v>37</v>
      </c>
      <c r="C2" s="120">
        <v>1842.3339395535957</v>
      </c>
    </row>
    <row r="3" spans="1:3" x14ac:dyDescent="0.45">
      <c r="A3" t="s">
        <v>163</v>
      </c>
      <c r="B3" s="120">
        <v>12</v>
      </c>
      <c r="C3" s="120">
        <v>1653.1699313523677</v>
      </c>
    </row>
    <row r="4" spans="1:3" x14ac:dyDescent="0.45">
      <c r="A4" t="s">
        <v>139</v>
      </c>
      <c r="B4" s="120">
        <v>141</v>
      </c>
      <c r="C4" s="120">
        <v>1594.5463045050694</v>
      </c>
    </row>
    <row r="5" spans="1:3" x14ac:dyDescent="0.45">
      <c r="A5" t="s">
        <v>190</v>
      </c>
      <c r="B5" s="120">
        <v>10</v>
      </c>
      <c r="C5" s="120">
        <v>1524.3778689305989</v>
      </c>
    </row>
    <row r="6" spans="1:3" x14ac:dyDescent="0.45">
      <c r="A6" t="s">
        <v>192</v>
      </c>
      <c r="B6" s="120">
        <v>21</v>
      </c>
      <c r="C6" s="120">
        <v>1517.1288342047803</v>
      </c>
    </row>
    <row r="7" spans="1:3" x14ac:dyDescent="0.45">
      <c r="A7" t="s">
        <v>211</v>
      </c>
      <c r="B7" s="120">
        <v>19</v>
      </c>
      <c r="C7" s="120">
        <v>1488.8318648771276</v>
      </c>
    </row>
    <row r="8" spans="1:3" x14ac:dyDescent="0.45">
      <c r="A8" t="s">
        <v>210</v>
      </c>
      <c r="C8" s="120">
        <v>1483.0119085897741</v>
      </c>
    </row>
    <row r="9" spans="1:3" x14ac:dyDescent="0.45">
      <c r="A9" t="s">
        <v>198</v>
      </c>
      <c r="C9" s="120">
        <v>1463.4239467393418</v>
      </c>
    </row>
    <row r="10" spans="1:3" x14ac:dyDescent="0.45">
      <c r="A10" t="s">
        <v>189</v>
      </c>
      <c r="B10" s="120">
        <v>18</v>
      </c>
      <c r="C10" s="120">
        <v>1433.30445236539</v>
      </c>
    </row>
    <row r="11" spans="1:3" x14ac:dyDescent="0.45">
      <c r="A11" t="s">
        <v>195</v>
      </c>
      <c r="B11" s="120">
        <v>4</v>
      </c>
      <c r="C11" s="120">
        <v>1392.8042574192286</v>
      </c>
    </row>
    <row r="12" spans="1:3" x14ac:dyDescent="0.45">
      <c r="A12" t="s">
        <v>199</v>
      </c>
      <c r="C12" s="120">
        <v>1382.1789004547948</v>
      </c>
    </row>
    <row r="13" spans="1:3" x14ac:dyDescent="0.45">
      <c r="A13" t="s">
        <v>193</v>
      </c>
      <c r="B13" s="120">
        <v>4</v>
      </c>
      <c r="C13" s="120">
        <v>1348.2487416206377</v>
      </c>
    </row>
    <row r="14" spans="1:3" x14ac:dyDescent="0.45">
      <c r="A14" t="s">
        <v>201</v>
      </c>
      <c r="C14" s="120">
        <v>1500.437982464869</v>
      </c>
    </row>
    <row r="15" spans="1:3" x14ac:dyDescent="0.45">
      <c r="A15" t="s">
        <v>202</v>
      </c>
      <c r="C15" s="120">
        <v>1491.5152195648213</v>
      </c>
    </row>
    <row r="16" spans="1:3" x14ac:dyDescent="0.45">
      <c r="A16" t="s">
        <v>209</v>
      </c>
      <c r="C16" s="120">
        <v>1484.4200922656562</v>
      </c>
    </row>
    <row r="17" spans="1:8" x14ac:dyDescent="0.45">
      <c r="A17" t="s">
        <v>204</v>
      </c>
      <c r="C17" s="120">
        <v>1519.3079580555725</v>
      </c>
      <c r="G17" s="120"/>
      <c r="H17" s="120"/>
    </row>
    <row r="18" spans="1:8" x14ac:dyDescent="0.45">
      <c r="A18" t="s">
        <v>200</v>
      </c>
      <c r="C18" s="120">
        <v>1519.2052586122145</v>
      </c>
      <c r="G18" s="120"/>
      <c r="H18" s="120"/>
    </row>
    <row r="19" spans="1:8" x14ac:dyDescent="0.45">
      <c r="A19" t="s">
        <v>203</v>
      </c>
      <c r="C19" s="120">
        <v>1503.1020000000001</v>
      </c>
      <c r="G19" s="120"/>
      <c r="H19" s="120"/>
    </row>
    <row r="20" spans="1:8" x14ac:dyDescent="0.45">
      <c r="A20" t="s">
        <v>205</v>
      </c>
      <c r="C20" s="120">
        <v>1489.2889468180317</v>
      </c>
      <c r="G20" s="120"/>
      <c r="H20" s="120"/>
    </row>
    <row r="21" spans="1:8" x14ac:dyDescent="0.45">
      <c r="A21" t="s">
        <v>207</v>
      </c>
      <c r="C21" s="120">
        <v>1484.6521503082251</v>
      </c>
      <c r="G21" s="120"/>
      <c r="H21" s="120"/>
    </row>
    <row r="22" spans="1:8" x14ac:dyDescent="0.45">
      <c r="A22" t="s">
        <v>206</v>
      </c>
      <c r="C22" s="120">
        <v>1476.2954110473599</v>
      </c>
      <c r="G22" s="120"/>
      <c r="H22" s="120"/>
    </row>
    <row r="23" spans="1:8" x14ac:dyDescent="0.45">
      <c r="A23" t="s">
        <v>221</v>
      </c>
      <c r="B23" s="120">
        <v>2</v>
      </c>
      <c r="C23" s="120">
        <v>1500</v>
      </c>
    </row>
    <row r="24" spans="1:8" x14ac:dyDescent="0.45">
      <c r="A24" t="s">
        <v>216</v>
      </c>
      <c r="B24" s="120">
        <v>14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196</v>
      </c>
      <c r="I1" s="146"/>
      <c r="J1" s="143" t="s">
        <v>15</v>
      </c>
      <c r="K1" s="144"/>
      <c r="L1" s="143" t="s">
        <v>14</v>
      </c>
      <c r="M1" s="144"/>
      <c r="N1" s="143" t="s">
        <v>149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180</v>
      </c>
      <c r="AK1" s="144"/>
    </row>
    <row r="2" spans="1:37" x14ac:dyDescent="0.45">
      <c r="A2" s="36" t="s">
        <v>208</v>
      </c>
      <c r="B2" s="141">
        <v>0.74979089495810525</v>
      </c>
      <c r="C2" s="142"/>
      <c r="D2" s="141">
        <v>0.39307757877990734</v>
      </c>
      <c r="E2" s="142"/>
      <c r="F2" s="141">
        <v>0.13992723495368969</v>
      </c>
      <c r="G2" s="142"/>
      <c r="H2" s="147"/>
      <c r="I2" s="148"/>
      <c r="J2" s="141">
        <v>-1.4676713466348384E-2</v>
      </c>
      <c r="K2" s="142"/>
      <c r="L2" s="141">
        <v>0.12437795500001039</v>
      </c>
      <c r="M2" s="142"/>
      <c r="N2" s="141">
        <v>-0.13619186999806729</v>
      </c>
      <c r="O2" s="142"/>
      <c r="P2" s="141">
        <v>0.2413522733124133</v>
      </c>
      <c r="Q2" s="142"/>
      <c r="R2" s="141">
        <v>-0.14862216578453294</v>
      </c>
      <c r="S2" s="142"/>
      <c r="T2" s="141">
        <v>0.60606026497919074</v>
      </c>
      <c r="U2" s="142"/>
      <c r="V2" s="141">
        <v>-0.12337380757376651</v>
      </c>
      <c r="W2" s="142"/>
      <c r="X2" s="141">
        <v>-0.17542424719297833</v>
      </c>
      <c r="Y2" s="142"/>
      <c r="Z2" s="141">
        <v>7.6203421810690744E-2</v>
      </c>
      <c r="AA2" s="142"/>
      <c r="AB2" s="141">
        <v>-0.3449937569663345</v>
      </c>
      <c r="AC2" s="142"/>
      <c r="AD2" s="141">
        <v>0.30418655094095076</v>
      </c>
      <c r="AE2" s="142"/>
      <c r="AF2" s="141">
        <v>9.9679983506815936E-2</v>
      </c>
      <c r="AG2" s="142"/>
      <c r="AH2" s="141">
        <v>0.21718261858599466</v>
      </c>
      <c r="AI2" s="142"/>
      <c r="AJ2" s="141">
        <v>0.85694756832960106</v>
      </c>
      <c r="AK2" s="142"/>
    </row>
    <row r="3" spans="1:37" x14ac:dyDescent="0.45">
      <c r="A3" s="38">
        <v>1</v>
      </c>
      <c r="B3" s="41" t="s">
        <v>139</v>
      </c>
      <c r="C3" s="113">
        <v>47</v>
      </c>
      <c r="D3" s="39" t="s">
        <v>126</v>
      </c>
      <c r="E3" s="40">
        <v>162.6</v>
      </c>
      <c r="F3" s="41" t="s">
        <v>211</v>
      </c>
      <c r="G3" s="60">
        <v>6.6736842105263161</v>
      </c>
      <c r="H3" s="41" t="s">
        <v>126</v>
      </c>
      <c r="I3" s="45">
        <v>1821.0249780179229</v>
      </c>
      <c r="J3" s="41" t="s">
        <v>192</v>
      </c>
      <c r="K3" s="42">
        <v>1.8095238095238095</v>
      </c>
      <c r="L3" s="41" t="s">
        <v>195</v>
      </c>
      <c r="M3" s="43">
        <v>0.5</v>
      </c>
      <c r="N3" s="41" t="s">
        <v>192</v>
      </c>
      <c r="O3" s="43">
        <v>0.23809523809523808</v>
      </c>
      <c r="P3" s="41" t="s">
        <v>211</v>
      </c>
      <c r="Q3" s="44">
        <v>0.33774834437086093</v>
      </c>
      <c r="R3" s="41" t="s">
        <v>190</v>
      </c>
      <c r="S3" s="44">
        <v>6.4935064935064929E-2</v>
      </c>
      <c r="T3" s="41" t="s">
        <v>221</v>
      </c>
      <c r="U3" s="45">
        <v>10925</v>
      </c>
      <c r="V3" s="41" t="s">
        <v>190</v>
      </c>
      <c r="W3" s="45">
        <v>-3380</v>
      </c>
      <c r="X3" s="41" t="s">
        <v>190</v>
      </c>
      <c r="Y3" s="43">
        <v>0</v>
      </c>
      <c r="Z3" s="41" t="s">
        <v>190</v>
      </c>
      <c r="AA3" s="44">
        <v>0.27272727272727271</v>
      </c>
      <c r="AB3" s="41" t="s">
        <v>189</v>
      </c>
      <c r="AC3" s="44">
        <v>0.32075471698113206</v>
      </c>
      <c r="AD3" s="41" t="s">
        <v>195</v>
      </c>
      <c r="AE3" s="44">
        <v>0.77777777777777779</v>
      </c>
      <c r="AF3" s="41" t="s">
        <v>211</v>
      </c>
      <c r="AG3" s="44">
        <v>0.58974358974358976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37</v>
      </c>
      <c r="D4" s="47" t="s">
        <v>211</v>
      </c>
      <c r="E4" s="48">
        <v>126.80000000000001</v>
      </c>
      <c r="F4" s="49" t="s">
        <v>126</v>
      </c>
      <c r="G4" s="61">
        <v>4.3945945945945946</v>
      </c>
      <c r="H4" s="49" t="s">
        <v>163</v>
      </c>
      <c r="I4" s="53">
        <v>1627.1676972637965</v>
      </c>
      <c r="J4" s="49" t="s">
        <v>211</v>
      </c>
      <c r="K4" s="50">
        <v>1.8421052631578947</v>
      </c>
      <c r="L4" s="49" t="s">
        <v>192</v>
      </c>
      <c r="M4" s="51">
        <v>0.42857142857142855</v>
      </c>
      <c r="N4" s="49" t="s">
        <v>211</v>
      </c>
      <c r="O4" s="51">
        <v>0.26315789473684209</v>
      </c>
      <c r="P4" s="49" t="s">
        <v>192</v>
      </c>
      <c r="Q4" s="52">
        <v>0.32960893854748602</v>
      </c>
      <c r="R4" s="49" t="s">
        <v>195</v>
      </c>
      <c r="S4" s="52">
        <v>0.1388888888888889</v>
      </c>
      <c r="T4" s="49" t="s">
        <v>163</v>
      </c>
      <c r="U4" s="53">
        <v>9504</v>
      </c>
      <c r="V4" s="49" t="s">
        <v>195</v>
      </c>
      <c r="W4" s="53">
        <v>-6380</v>
      </c>
      <c r="X4" s="49" t="s">
        <v>189</v>
      </c>
      <c r="Y4" s="51">
        <v>0</v>
      </c>
      <c r="Z4" s="49" t="s">
        <v>193</v>
      </c>
      <c r="AA4" s="52">
        <v>0.25714285714285712</v>
      </c>
      <c r="AB4" s="49" t="s">
        <v>193</v>
      </c>
      <c r="AC4" s="52">
        <v>0.2857142857142857</v>
      </c>
      <c r="AD4" s="49" t="s">
        <v>126</v>
      </c>
      <c r="AE4" s="52">
        <v>0.5714285714285714</v>
      </c>
      <c r="AF4" s="49" t="s">
        <v>195</v>
      </c>
      <c r="AG4" s="52">
        <v>0.5</v>
      </c>
      <c r="AH4" s="49" t="s">
        <v>195</v>
      </c>
      <c r="AI4" s="52">
        <v>0.77777777777777779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192</v>
      </c>
      <c r="C5" s="114">
        <v>21</v>
      </c>
      <c r="D5" s="47" t="s">
        <v>192</v>
      </c>
      <c r="E5" s="48">
        <v>66.2</v>
      </c>
      <c r="F5" s="49" t="s">
        <v>192</v>
      </c>
      <c r="G5" s="61">
        <v>3.1523809523809527</v>
      </c>
      <c r="H5" s="49" t="s">
        <v>139</v>
      </c>
      <c r="I5" s="53">
        <v>1595.3028687562085</v>
      </c>
      <c r="J5" s="49" t="s">
        <v>189</v>
      </c>
      <c r="K5" s="50">
        <v>1.9444444444444444</v>
      </c>
      <c r="L5" s="49" t="s">
        <v>211</v>
      </c>
      <c r="M5" s="51">
        <v>0.42105263157894735</v>
      </c>
      <c r="N5" s="49" t="s">
        <v>189</v>
      </c>
      <c r="O5" s="51">
        <v>0.27777777777777779</v>
      </c>
      <c r="P5" s="49" t="s">
        <v>126</v>
      </c>
      <c r="Q5" s="52">
        <v>0.32450331125827814</v>
      </c>
      <c r="R5" s="49" t="s">
        <v>211</v>
      </c>
      <c r="S5" s="52">
        <v>0.15231788079470199</v>
      </c>
      <c r="T5" s="49" t="s">
        <v>195</v>
      </c>
      <c r="U5" s="53">
        <v>9022.2222222222226</v>
      </c>
      <c r="V5" s="49" t="s">
        <v>126</v>
      </c>
      <c r="W5" s="53">
        <v>-6562.7450980392159</v>
      </c>
      <c r="X5" s="49" t="s">
        <v>195</v>
      </c>
      <c r="Y5" s="51">
        <v>0</v>
      </c>
      <c r="Z5" s="49" t="s">
        <v>126</v>
      </c>
      <c r="AA5" s="52">
        <v>0.25496688741721857</v>
      </c>
      <c r="AB5" s="49" t="s">
        <v>221</v>
      </c>
      <c r="AC5" s="52">
        <v>0.27777777777777779</v>
      </c>
      <c r="AD5" s="49" t="s">
        <v>211</v>
      </c>
      <c r="AE5" s="52">
        <v>0.54545454545454541</v>
      </c>
      <c r="AF5" s="49" t="s">
        <v>126</v>
      </c>
      <c r="AG5" s="52">
        <v>0.48529411764705882</v>
      </c>
      <c r="AH5" s="49" t="s">
        <v>189</v>
      </c>
      <c r="AI5" s="52">
        <v>0.5</v>
      </c>
      <c r="AJ5" s="49" t="s">
        <v>211</v>
      </c>
      <c r="AK5" s="56">
        <v>80600</v>
      </c>
    </row>
    <row r="6" spans="1:37" x14ac:dyDescent="0.45">
      <c r="A6" s="46">
        <v>4</v>
      </c>
      <c r="B6" s="49" t="s">
        <v>211</v>
      </c>
      <c r="C6" s="114">
        <v>19</v>
      </c>
      <c r="D6" s="47" t="s">
        <v>189</v>
      </c>
      <c r="E6" s="48">
        <v>15.100000000000009</v>
      </c>
      <c r="F6" s="49" t="s">
        <v>189</v>
      </c>
      <c r="G6" s="61">
        <v>0.83888888888888935</v>
      </c>
      <c r="H6" s="49" t="s">
        <v>192</v>
      </c>
      <c r="I6" s="53">
        <v>1537.7029460272888</v>
      </c>
      <c r="J6" s="49" t="s">
        <v>126</v>
      </c>
      <c r="K6" s="50">
        <v>1.972972972972973</v>
      </c>
      <c r="L6" s="49" t="s">
        <v>163</v>
      </c>
      <c r="M6" s="51">
        <v>0.41666666666666669</v>
      </c>
      <c r="N6" s="49" t="s">
        <v>126</v>
      </c>
      <c r="O6" s="51">
        <v>0.29729729729729731</v>
      </c>
      <c r="P6" s="49" t="s">
        <v>189</v>
      </c>
      <c r="Q6" s="52">
        <v>0.30188679245283018</v>
      </c>
      <c r="R6" s="49" t="s">
        <v>192</v>
      </c>
      <c r="S6" s="52">
        <v>0.16201117318435754</v>
      </c>
      <c r="T6" s="49" t="s">
        <v>126</v>
      </c>
      <c r="U6" s="53">
        <v>8594.8979591836742</v>
      </c>
      <c r="V6" s="49" t="s">
        <v>189</v>
      </c>
      <c r="W6" s="53">
        <v>-6669.2307692307695</v>
      </c>
      <c r="X6" s="49" t="s">
        <v>193</v>
      </c>
      <c r="Y6" s="51">
        <v>0</v>
      </c>
      <c r="Z6" s="49" t="s">
        <v>189</v>
      </c>
      <c r="AA6" s="52">
        <v>0.25157232704402516</v>
      </c>
      <c r="AB6" s="49" t="s">
        <v>192</v>
      </c>
      <c r="AC6" s="52">
        <v>0.26256983240223464</v>
      </c>
      <c r="AD6" s="49" t="s">
        <v>190</v>
      </c>
      <c r="AE6" s="52">
        <v>0.52380952380952384</v>
      </c>
      <c r="AF6" s="49" t="s">
        <v>189</v>
      </c>
      <c r="AG6" s="52">
        <v>0.47058823529411764</v>
      </c>
      <c r="AH6" s="49" t="s">
        <v>126</v>
      </c>
      <c r="AI6" s="52">
        <v>0.48979591836734693</v>
      </c>
      <c r="AJ6" s="49" t="s">
        <v>190</v>
      </c>
      <c r="AK6" s="56">
        <v>80000</v>
      </c>
    </row>
    <row r="7" spans="1:37" x14ac:dyDescent="0.45">
      <c r="A7" s="46">
        <v>5</v>
      </c>
      <c r="B7" s="49" t="s">
        <v>189</v>
      </c>
      <c r="C7" s="114">
        <v>18</v>
      </c>
      <c r="D7" s="47" t="s">
        <v>139</v>
      </c>
      <c r="E7" s="48">
        <v>2.4868995751603507E-14</v>
      </c>
      <c r="F7" s="49" t="s">
        <v>139</v>
      </c>
      <c r="G7" s="61">
        <v>1.7637585639435112E-16</v>
      </c>
      <c r="H7" s="49" t="s">
        <v>211</v>
      </c>
      <c r="I7" s="53">
        <v>1520.8008041195092</v>
      </c>
      <c r="J7" s="49" t="s">
        <v>139</v>
      </c>
      <c r="K7" s="50">
        <v>1.9929078014184398</v>
      </c>
      <c r="L7" s="49" t="s">
        <v>139</v>
      </c>
      <c r="M7" s="51">
        <v>0.34042553191489361</v>
      </c>
      <c r="N7" s="49" t="s">
        <v>190</v>
      </c>
      <c r="O7" s="51">
        <v>0.3</v>
      </c>
      <c r="P7" s="49" t="s">
        <v>139</v>
      </c>
      <c r="Q7" s="52">
        <v>0.29572649572649573</v>
      </c>
      <c r="R7" s="49" t="s">
        <v>189</v>
      </c>
      <c r="S7" s="52">
        <v>0.16352201257861634</v>
      </c>
      <c r="T7" s="49" t="s">
        <v>193</v>
      </c>
      <c r="U7" s="53">
        <v>8212.5</v>
      </c>
      <c r="V7" s="49" t="s">
        <v>192</v>
      </c>
      <c r="W7" s="53">
        <v>-7089.6551724137935</v>
      </c>
      <c r="X7" s="49" t="s">
        <v>221</v>
      </c>
      <c r="Y7" s="51">
        <v>0</v>
      </c>
      <c r="Z7" s="49" t="s">
        <v>195</v>
      </c>
      <c r="AA7" s="52">
        <v>0.25</v>
      </c>
      <c r="AB7" s="49" t="s">
        <v>211</v>
      </c>
      <c r="AC7" s="52">
        <v>0.25827814569536423</v>
      </c>
      <c r="AD7" s="49" t="s">
        <v>139</v>
      </c>
      <c r="AE7" s="52">
        <v>0.5</v>
      </c>
      <c r="AF7" s="49" t="s">
        <v>139</v>
      </c>
      <c r="AG7" s="52">
        <v>0.45804195804195802</v>
      </c>
      <c r="AH7" s="49" t="s">
        <v>216</v>
      </c>
      <c r="AI7" s="52">
        <v>0.44</v>
      </c>
      <c r="AJ7" s="49" t="s">
        <v>163</v>
      </c>
      <c r="AK7" s="56">
        <v>74600</v>
      </c>
    </row>
    <row r="8" spans="1:37" x14ac:dyDescent="0.45">
      <c r="A8" s="46">
        <v>6</v>
      </c>
      <c r="B8" s="49" t="s">
        <v>216</v>
      </c>
      <c r="C8" s="114">
        <v>14</v>
      </c>
      <c r="D8" s="47" t="s">
        <v>221</v>
      </c>
      <c r="E8" s="48">
        <v>-13.5</v>
      </c>
      <c r="F8" s="49" t="s">
        <v>195</v>
      </c>
      <c r="G8" s="61">
        <v>-3.6749999999999989</v>
      </c>
      <c r="H8" s="49" t="s">
        <v>190</v>
      </c>
      <c r="I8" s="53">
        <v>1519.2183815819624</v>
      </c>
      <c r="J8" s="49" t="s">
        <v>195</v>
      </c>
      <c r="K8" s="50">
        <v>2</v>
      </c>
      <c r="L8" s="49" t="s">
        <v>189</v>
      </c>
      <c r="M8" s="51">
        <v>0.33333333333333331</v>
      </c>
      <c r="N8" s="49" t="s">
        <v>139</v>
      </c>
      <c r="O8" s="51">
        <v>0.33333333333333331</v>
      </c>
      <c r="P8" s="49" t="s">
        <v>195</v>
      </c>
      <c r="Q8" s="52">
        <v>0.25</v>
      </c>
      <c r="R8" s="49" t="s">
        <v>221</v>
      </c>
      <c r="S8" s="52">
        <v>0.16666666666666666</v>
      </c>
      <c r="T8" s="49" t="s">
        <v>211</v>
      </c>
      <c r="U8" s="53">
        <v>8115.6862745098042</v>
      </c>
      <c r="V8" s="49" t="s">
        <v>139</v>
      </c>
      <c r="W8" s="53">
        <v>-7269.3877551020405</v>
      </c>
      <c r="X8" s="49" t="s">
        <v>126</v>
      </c>
      <c r="Y8" s="51">
        <v>2.7027027027027029E-2</v>
      </c>
      <c r="Z8" s="49" t="s">
        <v>139</v>
      </c>
      <c r="AA8" s="52">
        <v>0.24102564102564103</v>
      </c>
      <c r="AB8" s="49" t="s">
        <v>163</v>
      </c>
      <c r="AC8" s="52">
        <v>0.24509803921568626</v>
      </c>
      <c r="AD8" s="49" t="s">
        <v>192</v>
      </c>
      <c r="AE8" s="52">
        <v>0.48780487804878048</v>
      </c>
      <c r="AF8" s="49" t="s">
        <v>192</v>
      </c>
      <c r="AG8" s="52">
        <v>0.44680851063829785</v>
      </c>
      <c r="AH8" s="49" t="s">
        <v>139</v>
      </c>
      <c r="AI8" s="52">
        <v>0.430635838150289</v>
      </c>
      <c r="AJ8" s="49" t="s">
        <v>216</v>
      </c>
      <c r="AK8" s="56">
        <v>74600</v>
      </c>
    </row>
    <row r="9" spans="1:37" x14ac:dyDescent="0.45">
      <c r="A9" s="46">
        <v>7</v>
      </c>
      <c r="B9" s="49" t="s">
        <v>163</v>
      </c>
      <c r="C9" s="114">
        <v>12</v>
      </c>
      <c r="D9" s="47" t="s">
        <v>195</v>
      </c>
      <c r="E9" s="48">
        <v>-14.699999999999996</v>
      </c>
      <c r="F9" s="49" t="s">
        <v>190</v>
      </c>
      <c r="G9" s="61">
        <v>-5.5</v>
      </c>
      <c r="H9" s="49" t="s">
        <v>221</v>
      </c>
      <c r="I9" s="53">
        <v>1497.379788</v>
      </c>
      <c r="J9" s="49" t="s">
        <v>216</v>
      </c>
      <c r="K9" s="50">
        <v>2.1428571428571428</v>
      </c>
      <c r="L9" s="49" t="s">
        <v>126</v>
      </c>
      <c r="M9" s="51">
        <v>0.32432432432432434</v>
      </c>
      <c r="N9" s="49" t="s">
        <v>216</v>
      </c>
      <c r="O9" s="51">
        <v>0.42857142857142855</v>
      </c>
      <c r="P9" s="49" t="s">
        <v>190</v>
      </c>
      <c r="Q9" s="52">
        <v>0.24675324675324675</v>
      </c>
      <c r="R9" s="49" t="s">
        <v>139</v>
      </c>
      <c r="S9" s="52">
        <v>0.16752136752136751</v>
      </c>
      <c r="T9" s="49" t="s">
        <v>139</v>
      </c>
      <c r="U9" s="53">
        <v>8002.023121387283</v>
      </c>
      <c r="V9" s="49" t="s">
        <v>211</v>
      </c>
      <c r="W9" s="53">
        <v>-7365.217391304348</v>
      </c>
      <c r="X9" s="49" t="s">
        <v>211</v>
      </c>
      <c r="Y9" s="51">
        <v>5.2631578947368418E-2</v>
      </c>
      <c r="Z9" s="49" t="s">
        <v>216</v>
      </c>
      <c r="AA9" s="52">
        <v>0.23423423423423423</v>
      </c>
      <c r="AB9" s="49" t="s">
        <v>139</v>
      </c>
      <c r="AC9" s="52">
        <v>0.24444444444444444</v>
      </c>
      <c r="AD9" s="49" t="s">
        <v>216</v>
      </c>
      <c r="AE9" s="52">
        <v>0.46153846153846156</v>
      </c>
      <c r="AF9" s="49" t="s">
        <v>190</v>
      </c>
      <c r="AG9" s="52">
        <v>0.4375</v>
      </c>
      <c r="AH9" s="49" t="s">
        <v>211</v>
      </c>
      <c r="AI9" s="52">
        <v>0.39215686274509803</v>
      </c>
      <c r="AJ9" s="49" t="s">
        <v>192</v>
      </c>
      <c r="AK9" s="56">
        <v>67700</v>
      </c>
    </row>
    <row r="10" spans="1:37" x14ac:dyDescent="0.45">
      <c r="A10" s="46">
        <v>8</v>
      </c>
      <c r="B10" s="49" t="s">
        <v>190</v>
      </c>
      <c r="C10" s="114">
        <v>10</v>
      </c>
      <c r="D10" s="47" t="s">
        <v>193</v>
      </c>
      <c r="E10" s="48">
        <v>-51.699999999999996</v>
      </c>
      <c r="F10" s="49" t="s">
        <v>221</v>
      </c>
      <c r="G10" s="61">
        <v>-6.75</v>
      </c>
      <c r="H10" s="49" t="s">
        <v>216</v>
      </c>
      <c r="I10" s="53">
        <v>1488.317150804671</v>
      </c>
      <c r="J10" s="49" t="s">
        <v>163</v>
      </c>
      <c r="K10" s="50">
        <v>2.1666666666666665</v>
      </c>
      <c r="L10" s="49" t="s">
        <v>216</v>
      </c>
      <c r="M10" s="51">
        <v>0.2857142857142857</v>
      </c>
      <c r="N10" s="49" t="s">
        <v>195</v>
      </c>
      <c r="O10" s="51">
        <v>0.5</v>
      </c>
      <c r="P10" s="49" t="s">
        <v>163</v>
      </c>
      <c r="Q10" s="52">
        <v>0.24509803921568626</v>
      </c>
      <c r="R10" s="49" t="s">
        <v>126</v>
      </c>
      <c r="S10" s="52">
        <v>0.16887417218543047</v>
      </c>
      <c r="T10" s="49" t="s">
        <v>216</v>
      </c>
      <c r="U10" s="53">
        <v>7796</v>
      </c>
      <c r="V10" s="49" t="s">
        <v>216</v>
      </c>
      <c r="W10" s="53">
        <v>-7654.166666666667</v>
      </c>
      <c r="X10" s="49" t="s">
        <v>139</v>
      </c>
      <c r="Y10" s="51">
        <v>5.6737588652482268E-2</v>
      </c>
      <c r="Z10" s="49" t="s">
        <v>192</v>
      </c>
      <c r="AA10" s="52">
        <v>0.22905027932960895</v>
      </c>
      <c r="AB10" s="49" t="s">
        <v>126</v>
      </c>
      <c r="AC10" s="52">
        <v>0.2251655629139073</v>
      </c>
      <c r="AD10" s="49" t="s">
        <v>189</v>
      </c>
      <c r="AE10" s="52">
        <v>0.45</v>
      </c>
      <c r="AF10" s="49" t="s">
        <v>193</v>
      </c>
      <c r="AG10" s="52">
        <v>0.4</v>
      </c>
      <c r="AH10" s="49" t="s">
        <v>163</v>
      </c>
      <c r="AI10" s="52">
        <v>0.36</v>
      </c>
      <c r="AJ10" s="49" t="s">
        <v>189</v>
      </c>
      <c r="AK10" s="56">
        <v>61300</v>
      </c>
    </row>
    <row r="11" spans="1:37" x14ac:dyDescent="0.45">
      <c r="A11" s="46">
        <v>9</v>
      </c>
      <c r="B11" s="49" t="s">
        <v>195</v>
      </c>
      <c r="C11" s="114">
        <v>4</v>
      </c>
      <c r="D11" s="47" t="s">
        <v>190</v>
      </c>
      <c r="E11" s="48">
        <v>-55</v>
      </c>
      <c r="F11" s="49" t="s">
        <v>216</v>
      </c>
      <c r="G11" s="61">
        <v>-6.8285714285714283</v>
      </c>
      <c r="H11" s="49" t="s">
        <v>189</v>
      </c>
      <c r="I11" s="53">
        <v>1450.6884191024681</v>
      </c>
      <c r="J11" s="49" t="s">
        <v>190</v>
      </c>
      <c r="K11" s="50">
        <v>2.2000000000000002</v>
      </c>
      <c r="L11" s="49" t="s">
        <v>193</v>
      </c>
      <c r="M11" s="51">
        <v>0.25</v>
      </c>
      <c r="N11" s="49" t="s">
        <v>193</v>
      </c>
      <c r="O11" s="51">
        <v>0.5</v>
      </c>
      <c r="P11" s="49" t="s">
        <v>193</v>
      </c>
      <c r="Q11" s="52">
        <v>0.22857142857142856</v>
      </c>
      <c r="R11" s="49" t="s">
        <v>163</v>
      </c>
      <c r="S11" s="52">
        <v>0.21568627450980393</v>
      </c>
      <c r="T11" s="49" t="s">
        <v>192</v>
      </c>
      <c r="U11" s="53">
        <v>7345.7627118644068</v>
      </c>
      <c r="V11" s="49" t="s">
        <v>163</v>
      </c>
      <c r="W11" s="53">
        <v>-9236.363636363636</v>
      </c>
      <c r="X11" s="49" t="s">
        <v>216</v>
      </c>
      <c r="Y11" s="51">
        <v>7.1428571428571425E-2</v>
      </c>
      <c r="Z11" s="49" t="s">
        <v>221</v>
      </c>
      <c r="AA11" s="52">
        <v>0.22222222222222221</v>
      </c>
      <c r="AB11" s="49" t="s">
        <v>190</v>
      </c>
      <c r="AC11" s="52">
        <v>0.20779220779220781</v>
      </c>
      <c r="AD11" s="49" t="s">
        <v>163</v>
      </c>
      <c r="AE11" s="52">
        <v>0.36363636363636365</v>
      </c>
      <c r="AF11" s="49" t="s">
        <v>221</v>
      </c>
      <c r="AG11" s="52">
        <v>0.4</v>
      </c>
      <c r="AH11" s="49" t="s">
        <v>192</v>
      </c>
      <c r="AI11" s="52">
        <v>0.3559322033898305</v>
      </c>
      <c r="AJ11" s="49" t="s">
        <v>195</v>
      </c>
      <c r="AK11" s="56">
        <v>49300</v>
      </c>
    </row>
    <row r="12" spans="1:37" x14ac:dyDescent="0.45">
      <c r="A12" s="46">
        <v>10</v>
      </c>
      <c r="B12" s="49" t="s">
        <v>193</v>
      </c>
      <c r="C12" s="114">
        <v>4</v>
      </c>
      <c r="D12" s="47" t="s">
        <v>216</v>
      </c>
      <c r="E12" s="48">
        <v>-95.6</v>
      </c>
      <c r="F12" s="49" t="s">
        <v>163</v>
      </c>
      <c r="G12" s="61">
        <v>-11.683333333333337</v>
      </c>
      <c r="H12" s="49" t="s">
        <v>195</v>
      </c>
      <c r="I12" s="53">
        <v>1393.6019525837494</v>
      </c>
      <c r="J12" s="49" t="s">
        <v>193</v>
      </c>
      <c r="K12" s="50">
        <v>2.25</v>
      </c>
      <c r="L12" s="49" t="s">
        <v>190</v>
      </c>
      <c r="M12" s="51">
        <v>0.1</v>
      </c>
      <c r="N12" s="49" t="s">
        <v>221</v>
      </c>
      <c r="O12" s="51">
        <v>0.5</v>
      </c>
      <c r="P12" s="49" t="s">
        <v>216</v>
      </c>
      <c r="Q12" s="52">
        <v>0.22522522522522523</v>
      </c>
      <c r="R12" s="49" t="s">
        <v>216</v>
      </c>
      <c r="S12" s="52">
        <v>0.21621621621621623</v>
      </c>
      <c r="T12" s="49" t="s">
        <v>189</v>
      </c>
      <c r="U12" s="53">
        <v>6945.833333333333</v>
      </c>
      <c r="V12" s="49" t="s">
        <v>193</v>
      </c>
      <c r="W12" s="53">
        <v>-9387.5</v>
      </c>
      <c r="X12" s="49" t="s">
        <v>192</v>
      </c>
      <c r="Y12" s="51">
        <v>9.5238095238095233E-2</v>
      </c>
      <c r="Z12" s="49" t="s">
        <v>211</v>
      </c>
      <c r="AA12" s="52">
        <v>0.2185430463576159</v>
      </c>
      <c r="AB12" s="49" t="s">
        <v>216</v>
      </c>
      <c r="AC12" s="52">
        <v>0.2072072072072072</v>
      </c>
      <c r="AD12" s="49" t="s">
        <v>221</v>
      </c>
      <c r="AE12" s="52">
        <v>0.25</v>
      </c>
      <c r="AF12" s="49" t="s">
        <v>163</v>
      </c>
      <c r="AG12" s="52">
        <v>0.36</v>
      </c>
      <c r="AH12" s="49" t="s">
        <v>193</v>
      </c>
      <c r="AI12" s="52">
        <v>0.25</v>
      </c>
      <c r="AJ12" s="49" t="s">
        <v>193</v>
      </c>
      <c r="AK12" s="56">
        <v>45000</v>
      </c>
    </row>
    <row r="13" spans="1:37" x14ac:dyDescent="0.45">
      <c r="A13" s="46">
        <v>11</v>
      </c>
      <c r="B13" s="49" t="s">
        <v>221</v>
      </c>
      <c r="C13" s="114">
        <v>2</v>
      </c>
      <c r="D13" s="47" t="s">
        <v>163</v>
      </c>
      <c r="E13" s="48">
        <v>-140.20000000000005</v>
      </c>
      <c r="F13" s="49" t="s">
        <v>193</v>
      </c>
      <c r="G13" s="61">
        <v>-12.924999999999999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163</v>
      </c>
      <c r="O13" s="51">
        <v>0.58333333333333337</v>
      </c>
      <c r="P13" s="49" t="s">
        <v>221</v>
      </c>
      <c r="Q13" s="52">
        <v>0.22222222222222221</v>
      </c>
      <c r="R13" s="49" t="s">
        <v>193</v>
      </c>
      <c r="S13" s="52">
        <v>0.22857142857142856</v>
      </c>
      <c r="T13" s="49" t="s">
        <v>190</v>
      </c>
      <c r="U13" s="53">
        <v>6452.6315789473683</v>
      </c>
      <c r="V13" s="49" t="s">
        <v>221</v>
      </c>
      <c r="W13" s="53">
        <v>-10300</v>
      </c>
      <c r="X13" s="49" t="s">
        <v>163</v>
      </c>
      <c r="Y13" s="51">
        <v>0.25</v>
      </c>
      <c r="Z13" s="49" t="s">
        <v>163</v>
      </c>
      <c r="AA13" s="52">
        <v>0.21568627450980393</v>
      </c>
      <c r="AB13" s="49" t="s">
        <v>195</v>
      </c>
      <c r="AC13" s="52">
        <v>5.5555555555555552E-2</v>
      </c>
      <c r="AD13" s="49" t="s">
        <v>193</v>
      </c>
      <c r="AE13" s="52">
        <v>0.22222222222222221</v>
      </c>
      <c r="AF13" s="49" t="s">
        <v>216</v>
      </c>
      <c r="AG13" s="52">
        <v>0.30434782608695654</v>
      </c>
      <c r="AH13" s="49" t="s">
        <v>190</v>
      </c>
      <c r="AI13" s="52">
        <v>0.15789473684210525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8D309-CAFA-4228-8F2C-7CE1BF196150}">
  <sheetPr codeName="Sheet4"/>
  <dimension ref="A1:R143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141</v>
      </c>
      <c r="C2" s="134"/>
      <c r="E2" s="26" t="s">
        <v>66</v>
      </c>
      <c r="F2" s="23" t="s">
        <v>22</v>
      </c>
      <c r="G2" s="11">
        <v>270</v>
      </c>
      <c r="H2" s="87">
        <f>IF(B$20=0,0,G2/B$20)</f>
        <v>0.78034682080924855</v>
      </c>
      <c r="I2" s="57">
        <v>5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-42.553191489361701</v>
      </c>
      <c r="Q2" s="76">
        <v>141</v>
      </c>
      <c r="R2" s="63">
        <v>-6000</v>
      </c>
    </row>
    <row r="3" spans="1:18" x14ac:dyDescent="0.45">
      <c r="A3" s="19" t="s">
        <v>8</v>
      </c>
      <c r="B3" s="135">
        <v>1170</v>
      </c>
      <c r="C3" s="136"/>
      <c r="E3" s="27" t="s">
        <v>72</v>
      </c>
      <c r="F3" s="24" t="s">
        <v>27</v>
      </c>
      <c r="G3" s="12">
        <v>229</v>
      </c>
      <c r="H3" s="88">
        <f>IF(B$20=0,0,G3/B$20)</f>
        <v>0.66184971098265899</v>
      </c>
      <c r="I3" s="58">
        <v>7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43.478260869565219</v>
      </c>
      <c r="Q3" s="77">
        <v>138</v>
      </c>
      <c r="R3" s="64">
        <v>6000</v>
      </c>
    </row>
    <row r="4" spans="1:18" x14ac:dyDescent="0.45">
      <c r="A4" s="19" t="s">
        <v>6</v>
      </c>
      <c r="B4" s="137">
        <v>2.4868995751603507E-14</v>
      </c>
      <c r="C4" s="138"/>
      <c r="E4" s="27" t="s">
        <v>64</v>
      </c>
      <c r="F4" s="24" t="s">
        <v>20</v>
      </c>
      <c r="G4" s="12">
        <v>133</v>
      </c>
      <c r="H4" s="88">
        <f>IF(B$20=0,0,G4/B$20)</f>
        <v>0.38439306358381503</v>
      </c>
      <c r="I4" s="58">
        <v>5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-21.739130434782609</v>
      </c>
      <c r="Q4" s="77">
        <v>138</v>
      </c>
      <c r="R4" s="64">
        <v>-3000</v>
      </c>
    </row>
    <row r="5" spans="1:18" x14ac:dyDescent="0.45">
      <c r="A5" s="19" t="s">
        <v>7</v>
      </c>
      <c r="B5" s="125">
        <f>IF(B$2=0,0,B$4/B$2)</f>
        <v>1.7637585639435112E-16</v>
      </c>
      <c r="C5" s="126"/>
      <c r="E5" s="27" t="s">
        <v>159</v>
      </c>
      <c r="F5" s="24" t="s">
        <v>160</v>
      </c>
      <c r="G5" s="12">
        <v>126</v>
      </c>
      <c r="H5" s="88">
        <f>IF(B$20=0,0,G5/B$20)</f>
        <v>0.36416184971098264</v>
      </c>
      <c r="I5" s="58">
        <v>7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23.255813953488371</v>
      </c>
      <c r="Q5" s="77">
        <v>129</v>
      </c>
      <c r="R5" s="64">
        <v>3000</v>
      </c>
    </row>
    <row r="6" spans="1:18" x14ac:dyDescent="0.45">
      <c r="A6" s="19" t="s">
        <v>196</v>
      </c>
      <c r="B6" s="129">
        <v>1595.3028687562085</v>
      </c>
      <c r="C6" s="130"/>
      <c r="E6" s="27" t="s">
        <v>68</v>
      </c>
      <c r="F6" s="24" t="s">
        <v>12</v>
      </c>
      <c r="G6" s="12">
        <v>100</v>
      </c>
      <c r="H6" s="88">
        <f>IF(B$20=0,0,G6/B$20)</f>
        <v>0.28901734104046245</v>
      </c>
      <c r="I6" s="58">
        <v>5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-25.641025641025642</v>
      </c>
      <c r="Q6" s="77">
        <v>117</v>
      </c>
      <c r="R6" s="64">
        <v>-3000</v>
      </c>
    </row>
    <row r="7" spans="1:18" x14ac:dyDescent="0.45">
      <c r="A7" s="19" t="s">
        <v>1</v>
      </c>
      <c r="B7" s="139">
        <f>IF(B$2=0,0,(B$8*1+B$9*2+B$10*3)/B$2)</f>
        <v>1.9929078014184398</v>
      </c>
      <c r="C7" s="140"/>
      <c r="E7" s="27" t="s">
        <v>67</v>
      </c>
      <c r="F7" s="24" t="s">
        <v>23</v>
      </c>
      <c r="G7" s="12">
        <v>74</v>
      </c>
      <c r="H7" s="88">
        <f>IF(B$20=0,0,G7/B$20)</f>
        <v>0.2138728323699422</v>
      </c>
      <c r="I7" s="58">
        <v>7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28.571428571428573</v>
      </c>
      <c r="Q7" s="78">
        <v>105</v>
      </c>
      <c r="R7" s="65">
        <v>3000</v>
      </c>
    </row>
    <row r="8" spans="1:18" x14ac:dyDescent="0.45">
      <c r="A8" s="19" t="s">
        <v>2</v>
      </c>
      <c r="B8" s="12">
        <v>48</v>
      </c>
      <c r="C8" s="6">
        <f t="shared" ref="C8:C15" si="1">IF(B$2=0,0,B8/B$2)</f>
        <v>0.34042553191489361</v>
      </c>
      <c r="E8" s="27" t="s">
        <v>89</v>
      </c>
      <c r="F8" s="24" t="s">
        <v>44</v>
      </c>
      <c r="G8" s="12">
        <v>57</v>
      </c>
      <c r="H8" s="88">
        <f>IF(B$20=0,0,G8/B$20)</f>
        <v>0.16473988439306358</v>
      </c>
      <c r="I8" s="58">
        <v>5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5">
      <c r="A9" s="19" t="s">
        <v>3</v>
      </c>
      <c r="B9" s="12">
        <v>46</v>
      </c>
      <c r="C9" s="6">
        <f t="shared" si="1"/>
        <v>0.32624113475177308</v>
      </c>
      <c r="E9" s="27" t="s">
        <v>69</v>
      </c>
      <c r="F9" s="24" t="s">
        <v>24</v>
      </c>
      <c r="G9" s="12">
        <v>41</v>
      </c>
      <c r="H9" s="88">
        <f>IF(B$20=0,0,G9/B$20)</f>
        <v>0.11849710982658959</v>
      </c>
      <c r="I9" s="58">
        <v>5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47</v>
      </c>
      <c r="C10" s="7">
        <f t="shared" si="1"/>
        <v>0.33333333333333331</v>
      </c>
      <c r="E10" s="27" t="s">
        <v>70</v>
      </c>
      <c r="F10" s="24" t="s">
        <v>25</v>
      </c>
      <c r="G10" s="12">
        <v>32</v>
      </c>
      <c r="H10" s="88">
        <f>IF(B$20=0,0,G10/B$20)</f>
        <v>9.2485549132947972E-2</v>
      </c>
      <c r="I10" s="58">
        <v>5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-1.2957446808510638</v>
      </c>
      <c r="Q10" s="76">
        <v>47</v>
      </c>
      <c r="R10" s="67">
        <v>-60.899999999999991</v>
      </c>
    </row>
    <row r="11" spans="1:18" x14ac:dyDescent="0.45">
      <c r="A11" s="20" t="s">
        <v>184</v>
      </c>
      <c r="B11" s="109">
        <f>IF(B8=0,0,C11/B8)</f>
        <v>32.577083333333334</v>
      </c>
      <c r="C11" s="110">
        <v>1563.7</v>
      </c>
      <c r="E11" s="27" t="s">
        <v>65</v>
      </c>
      <c r="F11" s="24" t="s">
        <v>21</v>
      </c>
      <c r="G11" s="12">
        <v>25</v>
      </c>
      <c r="H11" s="88">
        <f>IF(B$20=0,0,G11/B$20)</f>
        <v>7.2254335260115612E-2</v>
      </c>
      <c r="I11" s="58">
        <v>7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-6.3212765957446804</v>
      </c>
      <c r="Q11" s="77">
        <v>47</v>
      </c>
      <c r="R11" s="68">
        <v>-297.09999999999997</v>
      </c>
    </row>
    <row r="12" spans="1:18" x14ac:dyDescent="0.45">
      <c r="A12" s="20" t="s">
        <v>185</v>
      </c>
      <c r="B12" s="109">
        <f>IF(B9=0,0,C12/B9)</f>
        <v>-1.026086956521739</v>
      </c>
      <c r="C12" s="110">
        <v>-47.199999999999996</v>
      </c>
      <c r="E12" s="27" t="s">
        <v>71</v>
      </c>
      <c r="F12" s="24" t="s">
        <v>26</v>
      </c>
      <c r="G12" s="12">
        <v>21</v>
      </c>
      <c r="H12" s="88">
        <f>IF(B$20=0,0,G12/B$20)</f>
        <v>6.0693641618497107E-2</v>
      </c>
      <c r="I12" s="58">
        <v>4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7.6170212765957457</v>
      </c>
      <c r="Q12" s="78">
        <v>47</v>
      </c>
      <c r="R12" s="69">
        <v>358.00000000000006</v>
      </c>
    </row>
    <row r="13" spans="1:18" x14ac:dyDescent="0.45">
      <c r="A13" s="20" t="s">
        <v>186</v>
      </c>
      <c r="B13" s="109">
        <f>IF(B10=0,0,C13/B10)</f>
        <v>-32.265957446808514</v>
      </c>
      <c r="C13" s="110">
        <v>-1516.5</v>
      </c>
      <c r="E13" s="27" t="s">
        <v>83</v>
      </c>
      <c r="F13" s="24" t="s">
        <v>38</v>
      </c>
      <c r="G13" s="12">
        <v>17</v>
      </c>
      <c r="H13" s="88">
        <f>IF(B$20=0,0,G13/B$20)</f>
        <v>4.9132947976878616E-2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-0.23832035666563911</v>
      </c>
      <c r="C14" s="126"/>
      <c r="E14" s="27" t="s">
        <v>86</v>
      </c>
      <c r="F14" s="24" t="s">
        <v>41</v>
      </c>
      <c r="G14" s="12">
        <v>15</v>
      </c>
      <c r="H14" s="88">
        <f>IF(B$20=0,0,G14/B$20)</f>
        <v>4.3352601156069363E-2</v>
      </c>
      <c r="I14" s="58">
        <v>5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8</v>
      </c>
      <c r="C15" s="9">
        <f t="shared" si="1"/>
        <v>5.6737588652482268E-2</v>
      </c>
      <c r="E15" s="27" t="s">
        <v>81</v>
      </c>
      <c r="F15" s="24" t="s">
        <v>36</v>
      </c>
      <c r="G15" s="12">
        <v>11</v>
      </c>
      <c r="H15" s="88">
        <f>IF(B$20=0,0,G15/B$20)</f>
        <v>3.1791907514450865E-2</v>
      </c>
      <c r="I15" s="58">
        <v>6</v>
      </c>
      <c r="K15" s="74">
        <v>13</v>
      </c>
      <c r="L15" s="119">
        <v>48.999999999999993</v>
      </c>
      <c r="M15" s="117">
        <v>1603.6953056015411</v>
      </c>
      <c r="O15" s="73" t="s">
        <v>193</v>
      </c>
      <c r="P15" s="82">
        <f>IF(Q15=0,0,R15/Q15)</f>
        <v>19.387500000000003</v>
      </c>
      <c r="Q15" s="76">
        <v>8</v>
      </c>
      <c r="R15" s="67">
        <v>155.10000000000002</v>
      </c>
    </row>
    <row r="16" spans="1:18" x14ac:dyDescent="0.45">
      <c r="A16" s="22" t="s">
        <v>121</v>
      </c>
      <c r="B16" s="15">
        <v>282</v>
      </c>
      <c r="C16" s="10">
        <f>IF(B$3=0,0,B16/B$3)</f>
        <v>0.24102564102564103</v>
      </c>
      <c r="E16" s="27" t="s">
        <v>78</v>
      </c>
      <c r="F16" s="24" t="s">
        <v>33</v>
      </c>
      <c r="G16" s="12">
        <v>10</v>
      </c>
      <c r="H16" s="88">
        <f>IF(B$20=0,0,G16/B$20)</f>
        <v>2.8901734104046242E-2</v>
      </c>
      <c r="I16" s="58">
        <v>5</v>
      </c>
      <c r="K16" s="74">
        <v>14</v>
      </c>
      <c r="L16" s="119">
        <v>3.4999999999999929</v>
      </c>
      <c r="M16" s="117">
        <v>1595.6091337679318</v>
      </c>
      <c r="O16" s="74" t="s">
        <v>163</v>
      </c>
      <c r="P16" s="83">
        <f>IF(Q16=0,0,R16/Q16)</f>
        <v>17.524999999999999</v>
      </c>
      <c r="Q16" s="77">
        <v>24</v>
      </c>
      <c r="R16" s="68">
        <v>420.59999999999997</v>
      </c>
    </row>
    <row r="17" spans="1:18" x14ac:dyDescent="0.45">
      <c r="A17" s="19" t="s">
        <v>118</v>
      </c>
      <c r="B17" s="12">
        <v>286</v>
      </c>
      <c r="C17" s="6">
        <f>IF(B$3=0,0,B17/B$3)</f>
        <v>0.24444444444444444</v>
      </c>
      <c r="E17" s="27" t="s">
        <v>91</v>
      </c>
      <c r="F17" s="24" t="s">
        <v>46</v>
      </c>
      <c r="G17" s="12">
        <v>9</v>
      </c>
      <c r="H17" s="88">
        <f>IF(B$20=0,0,G17/B$20)</f>
        <v>2.6011560693641619E-2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216</v>
      </c>
      <c r="P17" s="83">
        <f>IF(Q17=0,0,R17/Q17)</f>
        <v>10.242857142857144</v>
      </c>
      <c r="Q17" s="77">
        <v>28</v>
      </c>
      <c r="R17" s="68">
        <v>286.8</v>
      </c>
    </row>
    <row r="18" spans="1:18" x14ac:dyDescent="0.45">
      <c r="A18" s="18" t="s">
        <v>123</v>
      </c>
      <c r="B18" s="11">
        <f>B24</f>
        <v>141</v>
      </c>
      <c r="C18" s="5">
        <f>IF(B$16=0,0,B18/B$16)</f>
        <v>0.5</v>
      </c>
      <c r="E18" s="27" t="s">
        <v>79</v>
      </c>
      <c r="F18" s="24" t="s">
        <v>34</v>
      </c>
      <c r="G18" s="12">
        <v>6</v>
      </c>
      <c r="H18" s="88">
        <f>IF(B$20=0,0,G18/B$20)</f>
        <v>1.7341040462427744E-2</v>
      </c>
      <c r="I18" s="58">
        <v>4</v>
      </c>
      <c r="K18" s="74">
        <v>16</v>
      </c>
      <c r="L18" s="119">
        <v>-11.600000000000007</v>
      </c>
      <c r="M18" s="117">
        <v>1593.0666900915323</v>
      </c>
      <c r="O18" s="74" t="s">
        <v>221</v>
      </c>
      <c r="P18" s="83">
        <f>IF(Q18=0,0,R18/Q18)</f>
        <v>10.125</v>
      </c>
      <c r="Q18" s="77">
        <v>4</v>
      </c>
      <c r="R18" s="68">
        <v>40.5</v>
      </c>
    </row>
    <row r="19" spans="1:18" x14ac:dyDescent="0.45">
      <c r="A19" s="18" t="s">
        <v>124</v>
      </c>
      <c r="B19" s="11">
        <f>B25</f>
        <v>131</v>
      </c>
      <c r="C19" s="5">
        <f>IF(B$17=0,0,B19/B$17)</f>
        <v>0.45804195804195802</v>
      </c>
      <c r="E19" s="27" t="s">
        <v>155</v>
      </c>
      <c r="F19" s="24" t="s">
        <v>156</v>
      </c>
      <c r="G19" s="12">
        <v>6</v>
      </c>
      <c r="H19" s="88">
        <f>IF(B$20=0,0,G19/B$20)</f>
        <v>1.7341040462427744E-2</v>
      </c>
      <c r="I19" s="58">
        <v>2</v>
      </c>
      <c r="K19" s="74">
        <v>17</v>
      </c>
      <c r="L19" s="119">
        <v>-7.1054273576010019E-15</v>
      </c>
      <c r="M19" s="117">
        <v>1595.1902899509832</v>
      </c>
      <c r="O19" s="74" t="s">
        <v>190</v>
      </c>
      <c r="P19" s="83">
        <f>IF(Q19=0,0,R19/Q19)</f>
        <v>8.2500000000000036</v>
      </c>
      <c r="Q19" s="77">
        <v>20</v>
      </c>
      <c r="R19" s="68">
        <v>165.00000000000009</v>
      </c>
    </row>
    <row r="20" spans="1:18" x14ac:dyDescent="0.45">
      <c r="A20" s="18" t="s">
        <v>10</v>
      </c>
      <c r="B20" s="11">
        <f>B23+B22</f>
        <v>346</v>
      </c>
      <c r="C20" s="5">
        <f>IF(B$3=0,0,B20/B$3)</f>
        <v>0.29572649572649573</v>
      </c>
      <c r="E20" s="27" t="s">
        <v>73</v>
      </c>
      <c r="F20" s="24" t="s">
        <v>28</v>
      </c>
      <c r="G20" s="12">
        <v>4</v>
      </c>
      <c r="H20" s="88">
        <f>IF(B$20=0,0,G20/B$20)</f>
        <v>1.1560693641618497E-2</v>
      </c>
      <c r="I20" s="58">
        <v>3</v>
      </c>
      <c r="K20" s="74">
        <v>18</v>
      </c>
      <c r="L20" s="119">
        <v>-7.1054273576010019E-15</v>
      </c>
      <c r="M20" s="117">
        <v>1595.2131482112773</v>
      </c>
      <c r="O20" s="74" t="s">
        <v>195</v>
      </c>
      <c r="P20" s="83">
        <f>IF(Q20=0,0,R20/Q20)</f>
        <v>5.5124999999999984</v>
      </c>
      <c r="Q20" s="77">
        <v>8</v>
      </c>
      <c r="R20" s="68">
        <v>44.099999999999987</v>
      </c>
    </row>
    <row r="21" spans="1:18" x14ac:dyDescent="0.45">
      <c r="A21" s="19" t="s">
        <v>13</v>
      </c>
      <c r="B21" s="12">
        <v>196</v>
      </c>
      <c r="C21" s="6">
        <f>IF(B$3=0,0,B21/B$3)</f>
        <v>0.16752136752136751</v>
      </c>
      <c r="E21" s="27" t="s">
        <v>85</v>
      </c>
      <c r="F21" s="24" t="s">
        <v>40</v>
      </c>
      <c r="G21" s="12">
        <v>3</v>
      </c>
      <c r="H21" s="88">
        <f>IF(B$20=0,0,G21/B$20)</f>
        <v>8.670520231213872E-3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189</v>
      </c>
      <c r="P21" s="83">
        <f>IF(Q21=0,0,R21/Q21)</f>
        <v>-1.2583333333333322</v>
      </c>
      <c r="Q21" s="77">
        <v>36</v>
      </c>
      <c r="R21" s="68">
        <v>-45.299999999999962</v>
      </c>
    </row>
    <row r="22" spans="1:18" x14ac:dyDescent="0.45">
      <c r="A22" s="19" t="s">
        <v>12</v>
      </c>
      <c r="B22" s="12">
        <v>149</v>
      </c>
      <c r="C22" s="6">
        <f>IF(B$20=0,0,B22/B$20)</f>
        <v>0.430635838150289</v>
      </c>
      <c r="E22" s="27" t="s">
        <v>88</v>
      </c>
      <c r="F22" s="24" t="s">
        <v>43</v>
      </c>
      <c r="G22" s="12">
        <v>2</v>
      </c>
      <c r="H22" s="88">
        <f>IF(B$20=0,0,G22/B$20)</f>
        <v>5.7803468208092483E-3</v>
      </c>
      <c r="I22" s="58">
        <v>3</v>
      </c>
      <c r="K22" s="74">
        <v>20</v>
      </c>
      <c r="L22" s="119">
        <v>-31.300000000000008</v>
      </c>
      <c r="M22" s="117">
        <v>1589.7211861060775</v>
      </c>
      <c r="O22" s="74" t="s">
        <v>192</v>
      </c>
      <c r="P22" s="83">
        <f>IF(Q22=0,0,R22/Q22)</f>
        <v>-4.7285714285714295</v>
      </c>
      <c r="Q22" s="77">
        <v>42</v>
      </c>
      <c r="R22" s="68">
        <v>-198.60000000000005</v>
      </c>
    </row>
    <row r="23" spans="1:18" x14ac:dyDescent="0.45">
      <c r="A23" s="19" t="s">
        <v>11</v>
      </c>
      <c r="B23" s="12">
        <v>197</v>
      </c>
      <c r="C23" s="6">
        <f>IF(B$20=0,0,B23/B$20)</f>
        <v>0.56936416184971095</v>
      </c>
      <c r="E23" s="27" t="s">
        <v>75</v>
      </c>
      <c r="F23" s="24" t="s">
        <v>30</v>
      </c>
      <c r="G23" s="12">
        <v>1</v>
      </c>
      <c r="H23" s="88">
        <f>IF(B$20=0,0,G23/B$20)</f>
        <v>2.8901734104046241E-3</v>
      </c>
      <c r="I23" s="58">
        <v>2</v>
      </c>
      <c r="K23" s="74">
        <v>21</v>
      </c>
      <c r="L23" s="119">
        <v>-7.1054273576010019E-15</v>
      </c>
      <c r="M23" s="117">
        <v>1595.4468589894411</v>
      </c>
      <c r="O23" s="74" t="s">
        <v>126</v>
      </c>
      <c r="P23" s="83">
        <f>IF(Q23=0,0,R23/Q23)</f>
        <v>-6.5918918918918878</v>
      </c>
      <c r="Q23" s="77">
        <v>74</v>
      </c>
      <c r="R23" s="68">
        <v>-487.79999999999973</v>
      </c>
    </row>
    <row r="24" spans="1:18" x14ac:dyDescent="0.45">
      <c r="A24" s="19" t="s">
        <v>183</v>
      </c>
      <c r="B24" s="12">
        <v>141</v>
      </c>
      <c r="C24" s="6">
        <f>IF(B$20=0,0,B24/B$20)</f>
        <v>0.40751445086705201</v>
      </c>
      <c r="E24" s="27" t="s">
        <v>77</v>
      </c>
      <c r="F24" s="24" t="s">
        <v>32</v>
      </c>
      <c r="G24" s="12">
        <v>1</v>
      </c>
      <c r="H24" s="88">
        <f>IF(B$20=0,0,G24/B$20)</f>
        <v>2.8901734104046241E-3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211</v>
      </c>
      <c r="P24" s="83">
        <f>IF(Q24=0,0,R24/Q24)</f>
        <v>-10.010526315789475</v>
      </c>
      <c r="Q24" s="77">
        <v>38</v>
      </c>
      <c r="R24" s="68">
        <v>-380.40000000000003</v>
      </c>
    </row>
    <row r="25" spans="1:18" x14ac:dyDescent="0.45">
      <c r="A25" s="19" t="s">
        <v>181</v>
      </c>
      <c r="B25" s="12">
        <v>131</v>
      </c>
      <c r="C25" s="6">
        <f>IF(B$20=0,0,B25/B$20)</f>
        <v>0.37861271676300579</v>
      </c>
      <c r="E25" s="27" t="s">
        <v>92</v>
      </c>
      <c r="F25" s="24" t="s">
        <v>47</v>
      </c>
      <c r="G25" s="12">
        <v>1</v>
      </c>
      <c r="H25" s="88">
        <f>IF(B$20=0,0,G25/B$20)</f>
        <v>2.8901734104046241E-3</v>
      </c>
      <c r="I25" s="58">
        <v>2</v>
      </c>
      <c r="K25" s="74">
        <v>23</v>
      </c>
      <c r="L25" s="119">
        <v>37.999999999999993</v>
      </c>
      <c r="M25" s="117">
        <v>1601.1018287684915</v>
      </c>
    </row>
    <row r="26" spans="1:18" x14ac:dyDescent="0.45">
      <c r="A26" s="19" t="s">
        <v>182</v>
      </c>
      <c r="B26" s="12">
        <v>74</v>
      </c>
      <c r="C26" s="6">
        <f>IF(B$20=0,0,B26/B$20)</f>
        <v>0.2138728323699422</v>
      </c>
      <c r="E26" s="27" t="s">
        <v>74</v>
      </c>
      <c r="F26" s="24" t="s">
        <v>29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-7.1054273576010019E-15</v>
      </c>
      <c r="M26" s="117">
        <v>1593.6312177958805</v>
      </c>
    </row>
    <row r="27" spans="1:18" x14ac:dyDescent="0.45">
      <c r="A27" s="19" t="s">
        <v>5</v>
      </c>
      <c r="B27" s="16">
        <f>IF(B$20=0,0,C27/B$20)</f>
        <v>8002.023121387283</v>
      </c>
      <c r="C27" s="8">
        <v>2768700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-28.000000000000007</v>
      </c>
      <c r="M27" s="117">
        <v>1587.7054304891053</v>
      </c>
    </row>
    <row r="28" spans="1:18" x14ac:dyDescent="0.45">
      <c r="A28" s="20" t="s">
        <v>165</v>
      </c>
      <c r="B28" s="95">
        <f>IF($B$20-B$19=0,0,C28/($B$20-B$19))</f>
        <v>8603.7209302325573</v>
      </c>
      <c r="C28" s="96">
        <v>1849800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-8.0000000000000071</v>
      </c>
      <c r="M28" s="117">
        <v>1590.4551979061707</v>
      </c>
    </row>
    <row r="29" spans="1:18" x14ac:dyDescent="0.45">
      <c r="A29" s="20" t="s">
        <v>166</v>
      </c>
      <c r="B29" s="95">
        <f>IF(B$19=0,0,C29/B$19)</f>
        <v>7014.5038167938928</v>
      </c>
      <c r="C29" s="96">
        <v>918900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-7.1054273576010019E-15</v>
      </c>
      <c r="M29" s="117">
        <v>1591.0284667187336</v>
      </c>
    </row>
    <row r="30" spans="1:18" x14ac:dyDescent="0.45">
      <c r="A30" s="20" t="s">
        <v>164</v>
      </c>
      <c r="B30" s="95">
        <f>IF(B$21=0,0,C30/B$21)</f>
        <v>-7269.3877551020405</v>
      </c>
      <c r="C30" s="96">
        <v>-1424800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5">
      <c r="A31" s="19" t="s">
        <v>157</v>
      </c>
      <c r="B31" s="12">
        <v>6</v>
      </c>
      <c r="C31" s="90">
        <v>1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5">
      <c r="A32" s="19" t="s">
        <v>158</v>
      </c>
      <c r="B32" s="12">
        <v>25</v>
      </c>
      <c r="C32" s="90">
        <v>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5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5">
      <c r="A35" s="21" t="s">
        <v>137</v>
      </c>
      <c r="B35" s="29">
        <v>4</v>
      </c>
      <c r="C35" s="9">
        <f>IF(B$3=0,0,B35/B$3)</f>
        <v>3.4188034188034188E-3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5">
      <c r="A37" s="54" t="s">
        <v>171</v>
      </c>
      <c r="B37" s="123">
        <v>27</v>
      </c>
      <c r="C37" s="98">
        <f t="shared" ref="C37:C49" si="2">IF(B$20=0,0,B37/B$20)</f>
        <v>7.8034682080924858E-2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5">
      <c r="A38" s="19" t="s">
        <v>167</v>
      </c>
      <c r="B38" s="12">
        <v>75</v>
      </c>
      <c r="C38" s="6">
        <f t="shared" si="2"/>
        <v>0.21676300578034682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5">
      <c r="A39" s="19" t="s">
        <v>168</v>
      </c>
      <c r="B39" s="124">
        <v>65</v>
      </c>
      <c r="C39" s="6">
        <f t="shared" si="2"/>
        <v>0.18786127167630057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5">
      <c r="A40" s="19" t="s">
        <v>169</v>
      </c>
      <c r="B40" s="124">
        <v>58</v>
      </c>
      <c r="C40" s="6">
        <f t="shared" si="2"/>
        <v>0.16763005780346821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5">
      <c r="A41" s="19" t="s">
        <v>170</v>
      </c>
      <c r="B41" s="124">
        <v>43</v>
      </c>
      <c r="C41" s="6">
        <f t="shared" si="2"/>
        <v>0.12427745664739884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5">
      <c r="A42" s="19" t="s">
        <v>172</v>
      </c>
      <c r="B42" s="124">
        <v>31</v>
      </c>
      <c r="C42" s="6">
        <f t="shared" si="2"/>
        <v>8.9595375722543349E-2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5">
      <c r="A43" s="19" t="s">
        <v>173</v>
      </c>
      <c r="B43" s="124">
        <v>22</v>
      </c>
      <c r="C43" s="6">
        <f t="shared" si="2"/>
        <v>6.358381502890173E-2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5">
      <c r="A44" s="19" t="s">
        <v>174</v>
      </c>
      <c r="B44" s="124">
        <v>11</v>
      </c>
      <c r="C44" s="6">
        <f t="shared" si="2"/>
        <v>3.1791907514450865E-2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5">
      <c r="A45" s="19" t="s">
        <v>175</v>
      </c>
      <c r="B45" s="124">
        <v>7</v>
      </c>
      <c r="C45" s="6">
        <f t="shared" si="2"/>
        <v>2.023121387283237E-2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5">
      <c r="A46" s="19" t="s">
        <v>176</v>
      </c>
      <c r="B46" s="124">
        <v>4</v>
      </c>
      <c r="C46" s="6">
        <f t="shared" si="2"/>
        <v>1.1560693641618497E-2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5">
      <c r="A47" s="19" t="s">
        <v>177</v>
      </c>
      <c r="B47" s="124">
        <v>2</v>
      </c>
      <c r="C47" s="6">
        <f t="shared" si="2"/>
        <v>5.7803468208092483E-3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5">
      <c r="A49" s="21" t="s">
        <v>179</v>
      </c>
      <c r="B49" s="97">
        <v>1</v>
      </c>
      <c r="C49" s="9">
        <f t="shared" si="2"/>
        <v>2.8901734104046241E-3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5">
      <c r="K53" s="74">
        <v>51</v>
      </c>
      <c r="L53" s="119">
        <v>1.0658141036401503E-14</v>
      </c>
      <c r="M53" s="117">
        <v>1590.4180304736462</v>
      </c>
    </row>
    <row r="54" spans="1:13" x14ac:dyDescent="0.45">
      <c r="K54" s="74">
        <v>52</v>
      </c>
      <c r="L54" s="119">
        <v>-24.199999999999989</v>
      </c>
      <c r="M54" s="117">
        <v>1585.5015222908044</v>
      </c>
    </row>
    <row r="55" spans="1:13" x14ac:dyDescent="0.45">
      <c r="K55" s="74">
        <v>53</v>
      </c>
      <c r="L55" s="119">
        <v>-20.199999999999989</v>
      </c>
      <c r="M55" s="117">
        <v>1585.6905131570595</v>
      </c>
    </row>
    <row r="56" spans="1:13" x14ac:dyDescent="0.45">
      <c r="K56" s="74">
        <v>54</v>
      </c>
      <c r="L56" s="119">
        <v>1.0658141036401503E-14</v>
      </c>
      <c r="M56" s="117">
        <v>1588.7943700781173</v>
      </c>
    </row>
    <row r="57" spans="1:13" x14ac:dyDescent="0.45">
      <c r="K57" s="74">
        <v>55</v>
      </c>
      <c r="L57" s="119">
        <v>-17.499999999999989</v>
      </c>
      <c r="M57" s="117">
        <v>1584.9436038576484</v>
      </c>
    </row>
    <row r="58" spans="1:13" x14ac:dyDescent="0.45">
      <c r="K58" s="74">
        <v>56</v>
      </c>
      <c r="L58" s="119">
        <v>0.50000000000001066</v>
      </c>
      <c r="M58" s="117">
        <v>1587.5059422345025</v>
      </c>
    </row>
    <row r="59" spans="1:13" x14ac:dyDescent="0.45">
      <c r="K59" s="74">
        <v>57</v>
      </c>
      <c r="L59" s="119">
        <v>1.0658141036401503E-14</v>
      </c>
      <c r="M59" s="117">
        <v>1586.7229065810955</v>
      </c>
    </row>
    <row r="60" spans="1:13" x14ac:dyDescent="0.45">
      <c r="K60" s="74">
        <v>58</v>
      </c>
      <c r="L60" s="119">
        <v>16.600000000000012</v>
      </c>
      <c r="M60" s="117">
        <v>1589.7965691416089</v>
      </c>
    </row>
    <row r="61" spans="1:13" x14ac:dyDescent="0.45">
      <c r="K61" s="74">
        <v>59</v>
      </c>
      <c r="L61" s="119">
        <v>13.600000000000012</v>
      </c>
      <c r="M61" s="117">
        <v>1589.3237897267593</v>
      </c>
    </row>
    <row r="62" spans="1:13" x14ac:dyDescent="0.45">
      <c r="K62" s="74">
        <v>60</v>
      </c>
      <c r="L62" s="119">
        <v>1.2434497875801753E-14</v>
      </c>
      <c r="M62" s="117">
        <v>1586.9458469883987</v>
      </c>
    </row>
    <row r="63" spans="1:13" x14ac:dyDescent="0.45">
      <c r="K63" s="74">
        <v>61</v>
      </c>
      <c r="L63" s="119">
        <v>-13.999999999999988</v>
      </c>
      <c r="M63" s="117">
        <v>1584.6241719064683</v>
      </c>
    </row>
    <row r="64" spans="1:13" x14ac:dyDescent="0.45">
      <c r="K64" s="74">
        <v>62</v>
      </c>
      <c r="L64" s="119">
        <v>-39.699999999999989</v>
      </c>
      <c r="M64" s="117">
        <v>1580.2104268750295</v>
      </c>
    </row>
    <row r="65" spans="11:13" x14ac:dyDescent="0.45">
      <c r="K65" s="74">
        <v>63</v>
      </c>
      <c r="L65" s="119">
        <v>1.4210854715202004E-14</v>
      </c>
      <c r="M65" s="117">
        <v>1587.5951643137794</v>
      </c>
    </row>
    <row r="66" spans="11:13" x14ac:dyDescent="0.45">
      <c r="K66" s="74">
        <v>64</v>
      </c>
      <c r="L66" s="119">
        <v>-19.799999999999986</v>
      </c>
      <c r="M66" s="117">
        <v>1584.2255933278966</v>
      </c>
    </row>
    <row r="67" spans="11:13" x14ac:dyDescent="0.45">
      <c r="K67" s="74">
        <v>65</v>
      </c>
      <c r="L67" s="119">
        <v>-50.899999999999991</v>
      </c>
      <c r="M67" s="117">
        <v>1578.8422397679292</v>
      </c>
    </row>
    <row r="68" spans="11:13" x14ac:dyDescent="0.45">
      <c r="K68" s="74">
        <v>66</v>
      </c>
      <c r="L68" s="119">
        <v>7.1054273576010019E-15</v>
      </c>
      <c r="M68" s="117">
        <v>1588.2511863293216</v>
      </c>
    </row>
    <row r="69" spans="11:13" x14ac:dyDescent="0.45">
      <c r="K69" s="74">
        <v>67</v>
      </c>
      <c r="L69" s="119">
        <v>-26.699999999999992</v>
      </c>
      <c r="M69" s="117">
        <v>1583.6356792113456</v>
      </c>
    </row>
    <row r="70" spans="11:13" x14ac:dyDescent="0.45">
      <c r="K70" s="74">
        <v>68</v>
      </c>
      <c r="L70" s="119">
        <v>7.0000000000000107</v>
      </c>
      <c r="M70" s="117">
        <v>1589.9198651360775</v>
      </c>
    </row>
    <row r="71" spans="11:13" x14ac:dyDescent="0.45">
      <c r="K71" s="74">
        <v>69</v>
      </c>
      <c r="L71" s="119">
        <v>1.0658141036401503E-14</v>
      </c>
      <c r="M71" s="117">
        <v>1588.8403459452611</v>
      </c>
    </row>
    <row r="72" spans="11:13" x14ac:dyDescent="0.45">
      <c r="K72" s="74">
        <v>70</v>
      </c>
      <c r="L72" s="119">
        <v>-24.399999999999988</v>
      </c>
      <c r="M72" s="117">
        <v>1584.4493038695896</v>
      </c>
    </row>
    <row r="73" spans="11:13" x14ac:dyDescent="0.45">
      <c r="K73" s="74">
        <v>71</v>
      </c>
      <c r="L73" s="119">
        <v>-24.299999999999986</v>
      </c>
      <c r="M73" s="117">
        <v>1584.4946080463722</v>
      </c>
    </row>
    <row r="74" spans="11:13" x14ac:dyDescent="0.45">
      <c r="K74" s="74">
        <v>72</v>
      </c>
      <c r="L74" s="119">
        <v>1.4210854715202004E-14</v>
      </c>
      <c r="M74" s="117">
        <v>1588.895640398094</v>
      </c>
    </row>
    <row r="75" spans="11:13" x14ac:dyDescent="0.45">
      <c r="K75" s="74">
        <v>73</v>
      </c>
      <c r="L75" s="119">
        <v>8.2000000000000135</v>
      </c>
      <c r="M75" s="117">
        <v>1590.3722665557054</v>
      </c>
    </row>
    <row r="76" spans="11:13" x14ac:dyDescent="0.45">
      <c r="K76" s="74">
        <v>74</v>
      </c>
      <c r="L76" s="119">
        <v>32.800000000000011</v>
      </c>
      <c r="M76" s="117">
        <v>1594.7920329563713</v>
      </c>
    </row>
    <row r="77" spans="11:13" x14ac:dyDescent="0.45">
      <c r="K77" s="74">
        <v>75</v>
      </c>
      <c r="L77" s="119">
        <v>1.4210854715202004E-14</v>
      </c>
      <c r="M77" s="117">
        <v>1588.853280758633</v>
      </c>
    </row>
    <row r="78" spans="11:13" x14ac:dyDescent="0.45">
      <c r="K78" s="74">
        <v>76</v>
      </c>
      <c r="L78" s="119">
        <v>-14.299999999999986</v>
      </c>
      <c r="M78" s="117">
        <v>1586.3761610740812</v>
      </c>
    </row>
    <row r="79" spans="11:13" x14ac:dyDescent="0.45">
      <c r="K79" s="74">
        <v>77</v>
      </c>
      <c r="L79" s="119">
        <v>-14.799999999999986</v>
      </c>
      <c r="M79" s="117">
        <v>1586.3979041076368</v>
      </c>
    </row>
    <row r="80" spans="11:13" x14ac:dyDescent="0.45">
      <c r="K80" s="74">
        <v>78</v>
      </c>
      <c r="L80" s="119">
        <v>1.4210854715202004E-14</v>
      </c>
      <c r="M80" s="117">
        <v>1589.173516682991</v>
      </c>
    </row>
    <row r="81" spans="11:13" x14ac:dyDescent="0.45">
      <c r="K81" s="74">
        <v>79</v>
      </c>
      <c r="L81" s="119">
        <v>-6.8999999999999861</v>
      </c>
      <c r="M81" s="117">
        <v>1588.026475582893</v>
      </c>
    </row>
    <row r="82" spans="11:13" x14ac:dyDescent="0.45">
      <c r="K82" s="74">
        <v>80</v>
      </c>
      <c r="L82" s="119">
        <v>20.100000000000016</v>
      </c>
      <c r="M82" s="117">
        <v>1592.9883167293956</v>
      </c>
    </row>
    <row r="83" spans="11:13" x14ac:dyDescent="0.45">
      <c r="K83" s="74">
        <v>81</v>
      </c>
      <c r="L83" s="119">
        <v>1.4210854715202004E-14</v>
      </c>
      <c r="M83" s="117">
        <v>1589.4423868290191</v>
      </c>
    </row>
    <row r="84" spans="11:13" x14ac:dyDescent="0.45">
      <c r="K84" s="74">
        <v>82</v>
      </c>
      <c r="L84" s="119">
        <v>-0.69999999999998574</v>
      </c>
      <c r="M84" s="117">
        <v>1589.409732508045</v>
      </c>
    </row>
    <row r="85" spans="11:13" x14ac:dyDescent="0.45">
      <c r="K85" s="74">
        <v>83</v>
      </c>
      <c r="L85" s="119">
        <v>-24.199999999999985</v>
      </c>
      <c r="M85" s="117">
        <v>1585.2732741129967</v>
      </c>
    </row>
    <row r="86" spans="11:13" x14ac:dyDescent="0.45">
      <c r="K86" s="74">
        <v>84</v>
      </c>
      <c r="L86" s="119">
        <v>1.4210854715202004E-14</v>
      </c>
      <c r="M86" s="117">
        <v>1589.7476344683187</v>
      </c>
    </row>
    <row r="87" spans="11:13" x14ac:dyDescent="0.45">
      <c r="K87" s="74">
        <v>85</v>
      </c>
      <c r="L87" s="119">
        <v>33.500000000000014</v>
      </c>
      <c r="M87" s="117">
        <v>1595.1791486615089</v>
      </c>
    </row>
    <row r="88" spans="11:13" x14ac:dyDescent="0.45">
      <c r="K88" s="74">
        <v>86</v>
      </c>
      <c r="L88" s="119">
        <v>34.500000000000014</v>
      </c>
      <c r="M88" s="117">
        <v>1594.7280737695398</v>
      </c>
    </row>
    <row r="89" spans="11:13" x14ac:dyDescent="0.45">
      <c r="K89" s="74">
        <v>87</v>
      </c>
      <c r="L89" s="119">
        <v>1.4210854715202004E-14</v>
      </c>
      <c r="M89" s="117">
        <v>1587.8897053269227</v>
      </c>
    </row>
    <row r="90" spans="11:13" x14ac:dyDescent="0.45">
      <c r="K90" s="74">
        <v>88</v>
      </c>
      <c r="L90" s="119">
        <v>-24.699999999999985</v>
      </c>
      <c r="M90" s="117">
        <v>1583.8223670949612</v>
      </c>
    </row>
    <row r="91" spans="11:13" x14ac:dyDescent="0.45">
      <c r="K91" s="74">
        <v>89</v>
      </c>
      <c r="L91" s="119">
        <v>-4.0999999999999837</v>
      </c>
      <c r="M91" s="117">
        <v>1587.9334328923915</v>
      </c>
    </row>
    <row r="92" spans="11:13" x14ac:dyDescent="0.45">
      <c r="K92" s="74">
        <v>90</v>
      </c>
      <c r="L92" s="119">
        <v>1.5987211554602254E-14</v>
      </c>
      <c r="M92" s="117">
        <v>1589.049832295037</v>
      </c>
    </row>
    <row r="93" spans="11:13" x14ac:dyDescent="0.45">
      <c r="K93" s="74">
        <v>91</v>
      </c>
      <c r="L93" s="119">
        <v>-37.899999999999984</v>
      </c>
      <c r="M93" s="117">
        <v>1582.5995333012668</v>
      </c>
    </row>
    <row r="94" spans="11:13" x14ac:dyDescent="0.45">
      <c r="K94" s="74">
        <v>92</v>
      </c>
      <c r="L94" s="119">
        <v>-13.099999999999984</v>
      </c>
      <c r="M94" s="117">
        <v>1587.4739361014592</v>
      </c>
    </row>
    <row r="95" spans="11:13" x14ac:dyDescent="0.45">
      <c r="K95" s="74">
        <v>93</v>
      </c>
      <c r="L95" s="119">
        <v>1.5987211554602254E-14</v>
      </c>
      <c r="M95" s="117">
        <v>1590.2130924848504</v>
      </c>
    </row>
    <row r="96" spans="11:13" x14ac:dyDescent="0.45">
      <c r="K96" s="74">
        <v>94</v>
      </c>
      <c r="L96" s="119">
        <v>-41.399999999999984</v>
      </c>
      <c r="M96" s="117">
        <v>1583.1258139299414</v>
      </c>
    </row>
    <row r="97" spans="11:13" x14ac:dyDescent="0.45">
      <c r="K97" s="74">
        <v>95</v>
      </c>
      <c r="L97" s="119">
        <v>-49.59999999999998</v>
      </c>
      <c r="M97" s="117">
        <v>1582.0570590463617</v>
      </c>
    </row>
    <row r="98" spans="11:13" x14ac:dyDescent="0.45">
      <c r="K98" s="74">
        <v>96</v>
      </c>
      <c r="L98" s="119">
        <v>2.1316282072803006E-14</v>
      </c>
      <c r="M98" s="117">
        <v>1591.3987166920836</v>
      </c>
    </row>
    <row r="99" spans="11:13" x14ac:dyDescent="0.45">
      <c r="K99" s="74">
        <v>97</v>
      </c>
      <c r="L99" s="119">
        <v>3.6000000000000214</v>
      </c>
      <c r="M99" s="117">
        <v>1592.236324391931</v>
      </c>
    </row>
    <row r="100" spans="11:13" x14ac:dyDescent="0.45">
      <c r="K100" s="74">
        <v>98</v>
      </c>
      <c r="L100" s="119">
        <v>-46.499999999999979</v>
      </c>
      <c r="M100" s="117">
        <v>1583.4029064455794</v>
      </c>
    </row>
    <row r="101" spans="11:13" x14ac:dyDescent="0.45">
      <c r="K101" s="74">
        <v>99</v>
      </c>
      <c r="L101" s="119">
        <v>2.1316282072803006E-14</v>
      </c>
      <c r="M101" s="117">
        <v>1592.010489006906</v>
      </c>
    </row>
    <row r="102" spans="11:13" x14ac:dyDescent="0.45">
      <c r="K102" s="74">
        <v>100</v>
      </c>
      <c r="L102" s="119">
        <v>28.300000000000022</v>
      </c>
      <c r="M102" s="117">
        <v>1596.5344260728646</v>
      </c>
    </row>
    <row r="103" spans="11:13" x14ac:dyDescent="0.45">
      <c r="K103" s="74">
        <v>101</v>
      </c>
      <c r="L103" s="119">
        <v>-8.7999999999999794</v>
      </c>
      <c r="M103" s="117">
        <v>1589.2592195164273</v>
      </c>
    </row>
    <row r="104" spans="11:13" x14ac:dyDescent="0.45">
      <c r="K104" s="74">
        <v>102</v>
      </c>
      <c r="L104" s="119">
        <v>2.1316282072803006E-14</v>
      </c>
      <c r="M104" s="117">
        <v>1590.2896641993286</v>
      </c>
    </row>
    <row r="105" spans="11:13" x14ac:dyDescent="0.45">
      <c r="K105" s="74">
        <v>103</v>
      </c>
      <c r="L105" s="119">
        <v>-31.09999999999998</v>
      </c>
      <c r="M105" s="117">
        <v>1584.1319262141326</v>
      </c>
    </row>
    <row r="106" spans="11:13" x14ac:dyDescent="0.45">
      <c r="K106" s="74">
        <v>104</v>
      </c>
      <c r="L106" s="119">
        <v>11.600000000000023</v>
      </c>
      <c r="M106" s="117">
        <v>1591.2951346568477</v>
      </c>
    </row>
    <row r="107" spans="11:13" x14ac:dyDescent="0.45">
      <c r="K107" s="74">
        <v>105</v>
      </c>
      <c r="L107" s="119">
        <v>2.3092638912203256E-14</v>
      </c>
      <c r="M107" s="117">
        <v>1588.6413638489066</v>
      </c>
    </row>
    <row r="108" spans="11:13" x14ac:dyDescent="0.45">
      <c r="K108" s="74">
        <v>106</v>
      </c>
      <c r="L108" s="119">
        <v>58.500000000000021</v>
      </c>
      <c r="M108" s="117">
        <v>1599.2455156658132</v>
      </c>
    </row>
    <row r="109" spans="11:13" x14ac:dyDescent="0.45">
      <c r="K109" s="74">
        <v>107</v>
      </c>
      <c r="L109" s="119">
        <v>24.100000000000023</v>
      </c>
      <c r="M109" s="117">
        <v>1593.0640425718184</v>
      </c>
    </row>
    <row r="110" spans="11:13" x14ac:dyDescent="0.45">
      <c r="K110" s="74">
        <v>108</v>
      </c>
      <c r="L110" s="119">
        <v>2.1316282072803006E-14</v>
      </c>
      <c r="M110" s="117">
        <v>1588.7736583163876</v>
      </c>
    </row>
    <row r="111" spans="11:13" x14ac:dyDescent="0.45">
      <c r="K111" s="74">
        <v>109</v>
      </c>
      <c r="L111" s="119">
        <v>-15.599999999999978</v>
      </c>
      <c r="M111" s="117">
        <v>1586.0390163664892</v>
      </c>
    </row>
    <row r="112" spans="11:13" x14ac:dyDescent="0.45">
      <c r="K112" s="74">
        <v>110</v>
      </c>
      <c r="L112" s="119">
        <v>-7.7999999999999785</v>
      </c>
      <c r="M112" s="117">
        <v>1587.5327822682902</v>
      </c>
    </row>
    <row r="113" spans="11:13" x14ac:dyDescent="0.45">
      <c r="K113" s="74">
        <v>111</v>
      </c>
      <c r="L113" s="119">
        <v>2.1316282072803006E-14</v>
      </c>
      <c r="M113" s="117">
        <v>1589.0175855746804</v>
      </c>
    </row>
    <row r="114" spans="11:13" x14ac:dyDescent="0.45">
      <c r="K114" s="74">
        <v>112</v>
      </c>
      <c r="L114" s="119">
        <v>18.100000000000023</v>
      </c>
      <c r="M114" s="117">
        <v>1592.3474800612323</v>
      </c>
    </row>
    <row r="115" spans="11:13" x14ac:dyDescent="0.45">
      <c r="K115" s="74">
        <v>113</v>
      </c>
      <c r="L115" s="119">
        <v>1.4000000000000234</v>
      </c>
      <c r="M115" s="117">
        <v>1589.3933951808649</v>
      </c>
    </row>
    <row r="116" spans="11:13" x14ac:dyDescent="0.45">
      <c r="K116" s="74">
        <v>114</v>
      </c>
      <c r="L116" s="119">
        <v>2.3536728122053319E-14</v>
      </c>
      <c r="M116" s="117">
        <v>1589.2110348097797</v>
      </c>
    </row>
    <row r="117" spans="11:13" x14ac:dyDescent="0.45">
      <c r="K117" s="74">
        <v>115</v>
      </c>
      <c r="L117" s="119">
        <v>-4.5999999999999766</v>
      </c>
      <c r="M117" s="117">
        <v>1588.7057686009209</v>
      </c>
    </row>
    <row r="118" spans="11:13" x14ac:dyDescent="0.45">
      <c r="K118" s="74">
        <v>116</v>
      </c>
      <c r="L118" s="119">
        <v>-26.899999999999977</v>
      </c>
      <c r="M118" s="117">
        <v>1585.0175339893153</v>
      </c>
    </row>
    <row r="119" spans="11:13" x14ac:dyDescent="0.45">
      <c r="K119" s="74">
        <v>117</v>
      </c>
      <c r="L119" s="119">
        <v>2.1316282072803006E-14</v>
      </c>
      <c r="M119" s="117">
        <v>1590.2074287853795</v>
      </c>
    </row>
    <row r="120" spans="11:13" x14ac:dyDescent="0.45">
      <c r="K120" s="74">
        <v>118</v>
      </c>
      <c r="L120" s="119">
        <v>31.90000000000002</v>
      </c>
      <c r="M120" s="117">
        <v>1596.3801842126672</v>
      </c>
    </row>
    <row r="121" spans="11:13" x14ac:dyDescent="0.45">
      <c r="K121" s="74">
        <v>119</v>
      </c>
      <c r="L121" s="119">
        <v>33.500000000000021</v>
      </c>
      <c r="M121" s="117">
        <v>1597.0619031073913</v>
      </c>
    </row>
    <row r="122" spans="11:13" x14ac:dyDescent="0.45">
      <c r="K122" s="74">
        <v>120</v>
      </c>
      <c r="L122" s="119">
        <v>2.1316282072803006E-14</v>
      </c>
      <c r="M122" s="117">
        <v>1591.4215316887471</v>
      </c>
    </row>
    <row r="123" spans="11:13" x14ac:dyDescent="0.45">
      <c r="K123" s="74">
        <v>121</v>
      </c>
      <c r="L123" s="119">
        <v>-45.699999999999982</v>
      </c>
      <c r="M123" s="117">
        <v>1583.6190024986147</v>
      </c>
    </row>
    <row r="124" spans="11:13" x14ac:dyDescent="0.45">
      <c r="K124" s="74">
        <v>122</v>
      </c>
      <c r="L124" s="119">
        <v>-43.59999999999998</v>
      </c>
      <c r="M124" s="117">
        <v>1584.467288483623</v>
      </c>
    </row>
    <row r="125" spans="11:13" x14ac:dyDescent="0.45">
      <c r="K125" s="74">
        <v>123</v>
      </c>
      <c r="L125" s="119">
        <v>2.1316282072803006E-14</v>
      </c>
      <c r="M125" s="117">
        <v>1592.7804847527211</v>
      </c>
    </row>
    <row r="126" spans="11:13" x14ac:dyDescent="0.45">
      <c r="K126" s="74">
        <v>124</v>
      </c>
      <c r="L126" s="119">
        <v>42.000000000000021</v>
      </c>
      <c r="M126" s="117">
        <v>1600.5338018442048</v>
      </c>
    </row>
    <row r="127" spans="11:13" x14ac:dyDescent="0.45">
      <c r="K127" s="74">
        <v>125</v>
      </c>
      <c r="L127" s="119">
        <v>-7.6999999999999815</v>
      </c>
      <c r="M127" s="117">
        <v>1591.7345990331396</v>
      </c>
    </row>
    <row r="128" spans="11:13" x14ac:dyDescent="0.45">
      <c r="K128" s="74">
        <v>126</v>
      </c>
      <c r="L128" s="119">
        <v>1.865174681370263E-14</v>
      </c>
      <c r="M128" s="117">
        <v>1593.3201914389408</v>
      </c>
    </row>
    <row r="129" spans="11:13" x14ac:dyDescent="0.45">
      <c r="K129" s="74">
        <v>127</v>
      </c>
      <c r="L129" s="119">
        <v>-0.99999999999998135</v>
      </c>
      <c r="M129" s="117">
        <v>1593.3302702903072</v>
      </c>
    </row>
    <row r="130" spans="11:13" x14ac:dyDescent="0.45">
      <c r="K130" s="74">
        <v>128</v>
      </c>
      <c r="L130" s="119">
        <v>-54.999999999999979</v>
      </c>
      <c r="M130" s="117">
        <v>1583.8002886685654</v>
      </c>
    </row>
    <row r="131" spans="11:13" x14ac:dyDescent="0.45">
      <c r="K131" s="74">
        <v>129</v>
      </c>
      <c r="L131" s="119">
        <v>2.1316282072803006E-14</v>
      </c>
      <c r="M131" s="117">
        <v>1593.947486936554</v>
      </c>
    </row>
    <row r="132" spans="11:13" x14ac:dyDescent="0.45">
      <c r="K132" s="74">
        <v>130</v>
      </c>
      <c r="L132" s="119">
        <v>39.600000000000023</v>
      </c>
      <c r="M132" s="117">
        <v>1601.2618020149348</v>
      </c>
    </row>
    <row r="133" spans="11:13" x14ac:dyDescent="0.45">
      <c r="K133" s="74">
        <v>131</v>
      </c>
      <c r="L133" s="119">
        <v>6.8000000000000256</v>
      </c>
      <c r="M133" s="117">
        <v>1595.5002312028453</v>
      </c>
    </row>
    <row r="134" spans="11:13" x14ac:dyDescent="0.45">
      <c r="K134" s="74">
        <v>132</v>
      </c>
      <c r="L134" s="119">
        <v>2.5757174171303632E-14</v>
      </c>
      <c r="M134" s="117">
        <v>1594.4532298156282</v>
      </c>
    </row>
    <row r="135" spans="11:13" x14ac:dyDescent="0.45">
      <c r="K135" s="74">
        <v>133</v>
      </c>
      <c r="L135" s="119">
        <v>-25.399999999999974</v>
      </c>
      <c r="M135" s="117">
        <v>1590.0645104367345</v>
      </c>
    </row>
    <row r="136" spans="11:13" x14ac:dyDescent="0.45">
      <c r="K136" s="74">
        <v>134</v>
      </c>
      <c r="L136" s="119">
        <v>-30.799999999999976</v>
      </c>
      <c r="M136" s="117">
        <v>1589.302123374114</v>
      </c>
    </row>
    <row r="137" spans="11:13" x14ac:dyDescent="0.45">
      <c r="K137" s="74">
        <v>135</v>
      </c>
      <c r="L137" s="119">
        <v>2.4868995751603507E-14</v>
      </c>
      <c r="M137" s="117">
        <v>1595.0603106338692</v>
      </c>
    </row>
    <row r="138" spans="11:13" x14ac:dyDescent="0.45">
      <c r="K138" s="74">
        <v>136</v>
      </c>
      <c r="L138" s="119">
        <v>28.300000000000026</v>
      </c>
      <c r="M138" s="117">
        <v>1600.2019487700661</v>
      </c>
    </row>
    <row r="139" spans="11:13" x14ac:dyDescent="0.45">
      <c r="K139" s="74">
        <v>137</v>
      </c>
      <c r="L139" s="119">
        <v>31.000000000000025</v>
      </c>
      <c r="M139" s="117">
        <v>1600.7047370774458</v>
      </c>
    </row>
    <row r="140" spans="11:13" x14ac:dyDescent="0.45">
      <c r="K140" s="74">
        <v>138</v>
      </c>
      <c r="L140" s="119">
        <v>2.4868995751603507E-14</v>
      </c>
      <c r="M140" s="117">
        <v>1595.138508654981</v>
      </c>
    </row>
    <row r="141" spans="11:13" x14ac:dyDescent="0.45">
      <c r="K141" s="74">
        <v>139</v>
      </c>
      <c r="L141" s="119">
        <v>7.5000000000000249</v>
      </c>
      <c r="M141" s="117">
        <v>1596.5356776030512</v>
      </c>
    </row>
    <row r="142" spans="11:13" x14ac:dyDescent="0.45">
      <c r="K142" s="74">
        <v>140</v>
      </c>
      <c r="L142" s="119">
        <v>-29.399999999999974</v>
      </c>
      <c r="M142" s="117">
        <v>1589.932463537433</v>
      </c>
    </row>
    <row r="143" spans="11:13" x14ac:dyDescent="0.45">
      <c r="K143" s="74">
        <v>141</v>
      </c>
      <c r="L143" s="119">
        <v>2.4868995751603507E-14</v>
      </c>
      <c r="M143" s="117">
        <v>1595.3028687562085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A4E7F-FA9C-4E27-97F8-F221A20F4388}">
  <sheetPr codeName="Sheet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37</v>
      </c>
      <c r="C2" s="134"/>
      <c r="E2" s="26" t="s">
        <v>72</v>
      </c>
      <c r="F2" s="23" t="s">
        <v>27</v>
      </c>
      <c r="G2" s="11">
        <v>70</v>
      </c>
      <c r="H2" s="87">
        <f>IF(B$20=0,0,G2/B$20)</f>
        <v>0.7142857142857143</v>
      </c>
      <c r="I2" s="57">
        <v>4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2702.7027027027025</v>
      </c>
      <c r="Q2" s="76">
        <v>37</v>
      </c>
      <c r="R2" s="63">
        <v>100000</v>
      </c>
    </row>
    <row r="3" spans="1:18" x14ac:dyDescent="0.45">
      <c r="A3" s="19" t="s">
        <v>8</v>
      </c>
      <c r="B3" s="135">
        <v>302</v>
      </c>
      <c r="C3" s="136"/>
      <c r="E3" s="27" t="s">
        <v>66</v>
      </c>
      <c r="F3" s="24" t="s">
        <v>22</v>
      </c>
      <c r="G3" s="12">
        <v>68</v>
      </c>
      <c r="H3" s="88">
        <f>IF(B$20=0,0,G3/B$20)</f>
        <v>0.69387755102040816</v>
      </c>
      <c r="I3" s="58">
        <v>8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-758.33333333333337</v>
      </c>
      <c r="Q3" s="77">
        <v>36</v>
      </c>
      <c r="R3" s="64">
        <v>-27300</v>
      </c>
    </row>
    <row r="4" spans="1:18" x14ac:dyDescent="0.45">
      <c r="A4" s="19" t="s">
        <v>6</v>
      </c>
      <c r="B4" s="137">
        <v>162.6</v>
      </c>
      <c r="C4" s="138"/>
      <c r="E4" s="27" t="s">
        <v>64</v>
      </c>
      <c r="F4" s="24" t="s">
        <v>20</v>
      </c>
      <c r="G4" s="12">
        <v>39</v>
      </c>
      <c r="H4" s="88">
        <f>IF(B$20=0,0,G4/B$20)</f>
        <v>0.39795918367346939</v>
      </c>
      <c r="I4" s="58">
        <v>4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-916.66666666666663</v>
      </c>
      <c r="Q4" s="77">
        <v>36</v>
      </c>
      <c r="R4" s="64">
        <v>-33000</v>
      </c>
    </row>
    <row r="5" spans="1:18" x14ac:dyDescent="0.45">
      <c r="A5" s="19" t="s">
        <v>7</v>
      </c>
      <c r="B5" s="125">
        <f>IF(B$2=0,0,B$4/B$2)</f>
        <v>4.3945945945945946</v>
      </c>
      <c r="C5" s="126"/>
      <c r="E5" s="27" t="s">
        <v>159</v>
      </c>
      <c r="F5" s="24" t="s">
        <v>160</v>
      </c>
      <c r="G5" s="12">
        <v>36</v>
      </c>
      <c r="H5" s="88">
        <f>IF(B$20=0,0,G5/B$20)</f>
        <v>0.36734693877551022</v>
      </c>
      <c r="I5" s="58">
        <v>6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1791.1764705882354</v>
      </c>
      <c r="Q5" s="77">
        <v>34</v>
      </c>
      <c r="R5" s="64">
        <v>60900</v>
      </c>
    </row>
    <row r="6" spans="1:18" x14ac:dyDescent="0.45">
      <c r="A6" s="19" t="s">
        <v>196</v>
      </c>
      <c r="B6" s="129">
        <v>1821.0249780179229</v>
      </c>
      <c r="C6" s="130"/>
      <c r="E6" s="27" t="s">
        <v>68</v>
      </c>
      <c r="F6" s="24" t="s">
        <v>12</v>
      </c>
      <c r="G6" s="12">
        <v>33</v>
      </c>
      <c r="H6" s="88">
        <f>IF(B$20=0,0,G6/B$20)</f>
        <v>0.33673469387755101</v>
      </c>
      <c r="I6" s="58">
        <v>3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-648.38709677419354</v>
      </c>
      <c r="Q6" s="77">
        <v>31</v>
      </c>
      <c r="R6" s="64">
        <v>-20100</v>
      </c>
    </row>
    <row r="7" spans="1:18" x14ac:dyDescent="0.45">
      <c r="A7" s="19" t="s">
        <v>1</v>
      </c>
      <c r="B7" s="139">
        <f>IF(B$2=0,0,(B$8*1+B$9*2+B$10*3)/B$2)</f>
        <v>1.972972972972973</v>
      </c>
      <c r="C7" s="140"/>
      <c r="E7" s="27" t="s">
        <v>67</v>
      </c>
      <c r="F7" s="24" t="s">
        <v>23</v>
      </c>
      <c r="G7" s="12">
        <v>18</v>
      </c>
      <c r="H7" s="88">
        <f>IF(B$20=0,0,G7/B$20)</f>
        <v>0.18367346938775511</v>
      </c>
      <c r="I7" s="58">
        <v>8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-1400</v>
      </c>
      <c r="Q7" s="78">
        <v>27</v>
      </c>
      <c r="R7" s="65">
        <v>-37800</v>
      </c>
    </row>
    <row r="8" spans="1:18" x14ac:dyDescent="0.45">
      <c r="A8" s="19" t="s">
        <v>2</v>
      </c>
      <c r="B8" s="12">
        <v>12</v>
      </c>
      <c r="C8" s="6">
        <f t="shared" ref="C8:C15" si="1">IF(B$2=0,0,B8/B$2)</f>
        <v>0.32432432432432434</v>
      </c>
      <c r="E8" s="27" t="s">
        <v>69</v>
      </c>
      <c r="F8" s="24" t="s">
        <v>24</v>
      </c>
      <c r="G8" s="12">
        <v>16</v>
      </c>
      <c r="H8" s="88">
        <f>IF(B$20=0,0,G8/B$20)</f>
        <v>0.16326530612244897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5">
      <c r="A9" s="19" t="s">
        <v>3</v>
      </c>
      <c r="B9" s="12">
        <v>14</v>
      </c>
      <c r="C9" s="6">
        <f t="shared" si="1"/>
        <v>0.3783783783783784</v>
      </c>
      <c r="E9" s="27" t="s">
        <v>89</v>
      </c>
      <c r="F9" s="24" t="s">
        <v>44</v>
      </c>
      <c r="G9" s="12">
        <v>15</v>
      </c>
      <c r="H9" s="88">
        <f>IF(B$20=0,0,G9/B$20)</f>
        <v>0.15306122448979592</v>
      </c>
      <c r="I9" s="58">
        <v>7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11</v>
      </c>
      <c r="C10" s="7">
        <f t="shared" si="1"/>
        <v>0.29729729729729731</v>
      </c>
      <c r="E10" s="27" t="s">
        <v>70</v>
      </c>
      <c r="F10" s="24" t="s">
        <v>25</v>
      </c>
      <c r="G10" s="12">
        <v>12</v>
      </c>
      <c r="H10" s="88">
        <f>IF(B$20=0,0,G10/B$20)</f>
        <v>0.12244897959183673</v>
      </c>
      <c r="I10" s="58">
        <v>2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8.8785714285714281</v>
      </c>
      <c r="Q10" s="76">
        <v>14</v>
      </c>
      <c r="R10" s="67">
        <v>124.29999999999998</v>
      </c>
    </row>
    <row r="11" spans="1:18" x14ac:dyDescent="0.45">
      <c r="A11" s="20" t="s">
        <v>184</v>
      </c>
      <c r="B11" s="109">
        <f>IF(B8=0,0,C11/B8)</f>
        <v>40.675000000000004</v>
      </c>
      <c r="C11" s="110">
        <v>488.1</v>
      </c>
      <c r="E11" s="27" t="s">
        <v>65</v>
      </c>
      <c r="F11" s="24" t="s">
        <v>21</v>
      </c>
      <c r="G11" s="12">
        <v>8</v>
      </c>
      <c r="H11" s="88">
        <f>IF(B$20=0,0,G11/B$20)</f>
        <v>8.1632653061224483E-2</v>
      </c>
      <c r="I11" s="58">
        <v>6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-5.8666666666666663</v>
      </c>
      <c r="Q11" s="77">
        <v>15</v>
      </c>
      <c r="R11" s="68">
        <v>-88</v>
      </c>
    </row>
    <row r="12" spans="1:18" x14ac:dyDescent="0.45">
      <c r="A12" s="20" t="s">
        <v>185</v>
      </c>
      <c r="B12" s="109">
        <f>IF(B9=0,0,C12/B9)</f>
        <v>-3.899999999999999</v>
      </c>
      <c r="C12" s="110">
        <v>-54.599999999999987</v>
      </c>
      <c r="E12" s="27" t="s">
        <v>83</v>
      </c>
      <c r="F12" s="24" t="s">
        <v>38</v>
      </c>
      <c r="G12" s="12">
        <v>6</v>
      </c>
      <c r="H12" s="88">
        <f>IF(B$20=0,0,G12/B$20)</f>
        <v>6.1224489795918366E-2</v>
      </c>
      <c r="I12" s="58">
        <v>3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15.787500000000001</v>
      </c>
      <c r="Q12" s="78">
        <v>8</v>
      </c>
      <c r="R12" s="69">
        <v>126.30000000000001</v>
      </c>
    </row>
    <row r="13" spans="1:18" x14ac:dyDescent="0.45">
      <c r="A13" s="20" t="s">
        <v>186</v>
      </c>
      <c r="B13" s="109">
        <f>IF(B10=0,0,C13/B10)</f>
        <v>-24.627272727272725</v>
      </c>
      <c r="C13" s="110">
        <v>-270.89999999999998</v>
      </c>
      <c r="E13" s="27" t="s">
        <v>71</v>
      </c>
      <c r="F13" s="24" t="s">
        <v>26</v>
      </c>
      <c r="G13" s="12">
        <v>5</v>
      </c>
      <c r="H13" s="88">
        <f>IF(B$20=0,0,G13/B$20)</f>
        <v>5.1020408163265307E-2</v>
      </c>
      <c r="I13" s="58">
        <v>5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4.0492424242424265</v>
      </c>
      <c r="C14" s="126"/>
      <c r="E14" s="27" t="s">
        <v>155</v>
      </c>
      <c r="F14" s="24" t="s">
        <v>156</v>
      </c>
      <c r="G14" s="12">
        <v>5</v>
      </c>
      <c r="H14" s="88">
        <f>IF(B$20=0,0,G14/B$20)</f>
        <v>5.1020408163265307E-2</v>
      </c>
      <c r="I14" s="58">
        <v>1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2.7027027027027029E-2</v>
      </c>
      <c r="E15" s="27" t="s">
        <v>81</v>
      </c>
      <c r="F15" s="24" t="s">
        <v>36</v>
      </c>
      <c r="G15" s="12">
        <v>3</v>
      </c>
      <c r="H15" s="88">
        <f>IF(B$20=0,0,G15/B$20)</f>
        <v>3.0612244897959183E-2</v>
      </c>
      <c r="I15" s="58">
        <v>7</v>
      </c>
      <c r="K15" s="74">
        <v>13</v>
      </c>
      <c r="L15" s="119">
        <v>236</v>
      </c>
      <c r="M15" s="117">
        <v>1865.6935040107483</v>
      </c>
      <c r="O15" s="73" t="s">
        <v>163</v>
      </c>
      <c r="P15" s="82">
        <f>IF(Q15=0,0,R15/Q15)</f>
        <v>29.610000000000003</v>
      </c>
      <c r="Q15" s="76">
        <v>10</v>
      </c>
      <c r="R15" s="67">
        <v>296.10000000000002</v>
      </c>
    </row>
    <row r="16" spans="1:18" x14ac:dyDescent="0.45">
      <c r="A16" s="22" t="s">
        <v>121</v>
      </c>
      <c r="B16" s="15">
        <v>77</v>
      </c>
      <c r="C16" s="10">
        <f>IF(B$3=0,0,B16/B$3)</f>
        <v>0.25496688741721857</v>
      </c>
      <c r="E16" s="27" t="s">
        <v>86</v>
      </c>
      <c r="F16" s="24" t="s">
        <v>41</v>
      </c>
      <c r="G16" s="12">
        <v>3</v>
      </c>
      <c r="H16" s="88">
        <f>IF(B$20=0,0,G16/B$20)</f>
        <v>3.0612244897959183E-2</v>
      </c>
      <c r="I16" s="58">
        <v>7</v>
      </c>
      <c r="K16" s="74">
        <v>14</v>
      </c>
      <c r="L16" s="119">
        <v>222</v>
      </c>
      <c r="M16" s="117">
        <v>1861.6993429866839</v>
      </c>
      <c r="O16" s="74" t="s">
        <v>193</v>
      </c>
      <c r="P16" s="83">
        <f>IF(Q16=0,0,R16/Q16)</f>
        <v>28.9</v>
      </c>
      <c r="Q16" s="77">
        <v>2</v>
      </c>
      <c r="R16" s="68">
        <v>57.8</v>
      </c>
    </row>
    <row r="17" spans="1:18" x14ac:dyDescent="0.45">
      <c r="A17" s="19" t="s">
        <v>118</v>
      </c>
      <c r="B17" s="12">
        <v>68</v>
      </c>
      <c r="C17" s="6">
        <f>IF(B$3=0,0,B17/B$3)</f>
        <v>0.2251655629139073</v>
      </c>
      <c r="E17" s="27" t="s">
        <v>91</v>
      </c>
      <c r="F17" s="24" t="s">
        <v>46</v>
      </c>
      <c r="G17" s="12">
        <v>3</v>
      </c>
      <c r="H17" s="88">
        <f>IF(B$20=0,0,G17/B$20)</f>
        <v>3.0612244897959183E-2</v>
      </c>
      <c r="I17" s="58">
        <v>3</v>
      </c>
      <c r="K17" s="74">
        <v>15</v>
      </c>
      <c r="L17" s="119">
        <v>190.9</v>
      </c>
      <c r="M17" s="117">
        <v>1854.6511469287639</v>
      </c>
      <c r="O17" s="74" t="s">
        <v>195</v>
      </c>
      <c r="P17" s="83">
        <f>IF(Q17=0,0,R17/Q17)</f>
        <v>16.600000000000001</v>
      </c>
      <c r="Q17" s="77">
        <v>2</v>
      </c>
      <c r="R17" s="68">
        <v>33.200000000000003</v>
      </c>
    </row>
    <row r="18" spans="1:18" x14ac:dyDescent="0.45">
      <c r="A18" s="18" t="s">
        <v>123</v>
      </c>
      <c r="B18" s="11">
        <f>B24</f>
        <v>44</v>
      </c>
      <c r="C18" s="5">
        <f>IF(B$16=0,0,B18/B$16)</f>
        <v>0.5714285714285714</v>
      </c>
      <c r="E18" s="27" t="s">
        <v>78</v>
      </c>
      <c r="F18" s="24" t="s">
        <v>33</v>
      </c>
      <c r="G18" s="12">
        <v>2</v>
      </c>
      <c r="H18" s="88">
        <f>IF(B$20=0,0,G18/B$20)</f>
        <v>2.0408163265306121E-2</v>
      </c>
      <c r="I18" s="58">
        <v>6</v>
      </c>
      <c r="K18" s="74">
        <v>16</v>
      </c>
      <c r="L18" s="119">
        <v>164.20000000000002</v>
      </c>
      <c r="M18" s="117">
        <v>1848.4372400471914</v>
      </c>
      <c r="O18" s="74" t="s">
        <v>190</v>
      </c>
      <c r="P18" s="83">
        <f>IF(Q18=0,0,R18/Q18)</f>
        <v>12.162499999999998</v>
      </c>
      <c r="Q18" s="77">
        <v>8</v>
      </c>
      <c r="R18" s="68">
        <v>97.299999999999983</v>
      </c>
    </row>
    <row r="19" spans="1:18" x14ac:dyDescent="0.45">
      <c r="A19" s="18" t="s">
        <v>124</v>
      </c>
      <c r="B19" s="11">
        <f>B25</f>
        <v>33</v>
      </c>
      <c r="C19" s="5">
        <f>IF(B$17=0,0,B19/B$17)</f>
        <v>0.48529411764705882</v>
      </c>
      <c r="E19" s="27" t="s">
        <v>73</v>
      </c>
      <c r="F19" s="24" t="s">
        <v>28</v>
      </c>
      <c r="G19" s="12">
        <v>1</v>
      </c>
      <c r="H19" s="88">
        <f>IF(B$20=0,0,G19/B$20)</f>
        <v>1.020408163265306E-2</v>
      </c>
      <c r="I19" s="58">
        <v>4</v>
      </c>
      <c r="K19" s="74">
        <v>17</v>
      </c>
      <c r="L19" s="119">
        <v>164.3</v>
      </c>
      <c r="M19" s="117">
        <v>1846.8986166069083</v>
      </c>
      <c r="O19" s="74" t="s">
        <v>192</v>
      </c>
      <c r="P19" s="83">
        <f>IF(Q19=0,0,R19/Q19)</f>
        <v>3.7999999999999963</v>
      </c>
      <c r="Q19" s="77">
        <v>17</v>
      </c>
      <c r="R19" s="68">
        <v>64.599999999999937</v>
      </c>
    </row>
    <row r="20" spans="1:18" x14ac:dyDescent="0.45">
      <c r="A20" s="18" t="s">
        <v>10</v>
      </c>
      <c r="B20" s="11">
        <f>B23+B22</f>
        <v>98</v>
      </c>
      <c r="C20" s="5">
        <f>IF(B$3=0,0,B20/B$3)</f>
        <v>0.32450331125827814</v>
      </c>
      <c r="E20" s="27" t="s">
        <v>79</v>
      </c>
      <c r="F20" s="24" t="s">
        <v>34</v>
      </c>
      <c r="G20" s="12">
        <v>1</v>
      </c>
      <c r="H20" s="88">
        <f>IF(B$20=0,0,G20/B$20)</f>
        <v>1.020408163265306E-2</v>
      </c>
      <c r="I20" s="58">
        <v>6</v>
      </c>
      <c r="K20" s="74">
        <v>18</v>
      </c>
      <c r="L20" s="119">
        <v>188.9</v>
      </c>
      <c r="M20" s="117">
        <v>1849.7792249072668</v>
      </c>
      <c r="O20" s="74" t="s">
        <v>211</v>
      </c>
      <c r="P20" s="83">
        <f>IF(Q20=0,0,R20/Q20)</f>
        <v>-0.4833333333333325</v>
      </c>
      <c r="Q20" s="77">
        <v>12</v>
      </c>
      <c r="R20" s="68">
        <v>-5.7999999999999901</v>
      </c>
    </row>
    <row r="21" spans="1:18" x14ac:dyDescent="0.45">
      <c r="A21" s="19" t="s">
        <v>13</v>
      </c>
      <c r="B21" s="12">
        <v>51</v>
      </c>
      <c r="C21" s="6">
        <f>IF(B$3=0,0,B21/B$3)</f>
        <v>0.16887417218543047</v>
      </c>
      <c r="E21" s="27" t="s">
        <v>85</v>
      </c>
      <c r="F21" s="24" t="s">
        <v>40</v>
      </c>
      <c r="G21" s="12">
        <v>1</v>
      </c>
      <c r="H21" s="88">
        <f>IF(B$20=0,0,G21/B$20)</f>
        <v>1.020408163265306E-2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216</v>
      </c>
      <c r="P21" s="83">
        <f>IF(Q21=0,0,R21/Q21)</f>
        <v>-1.8500000000000005</v>
      </c>
      <c r="Q21" s="77">
        <v>8</v>
      </c>
      <c r="R21" s="68">
        <v>-14.800000000000004</v>
      </c>
    </row>
    <row r="22" spans="1:18" x14ac:dyDescent="0.45">
      <c r="A22" s="19" t="s">
        <v>12</v>
      </c>
      <c r="B22" s="12">
        <v>48</v>
      </c>
      <c r="C22" s="6">
        <f>IF(B$20=0,0,B22/B$20)</f>
        <v>0.48979591836734693</v>
      </c>
      <c r="E22" s="27" t="s">
        <v>92</v>
      </c>
      <c r="F22" s="24" t="s">
        <v>47</v>
      </c>
      <c r="G22" s="12">
        <v>1</v>
      </c>
      <c r="H22" s="88">
        <f>IF(B$20=0,0,G22/B$20)</f>
        <v>1.020408163265306E-2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189</v>
      </c>
      <c r="P22" s="83">
        <f>IF(Q22=0,0,R22/Q22)</f>
        <v>-2.7066666666666661</v>
      </c>
      <c r="Q22" s="77">
        <v>15</v>
      </c>
      <c r="R22" s="68">
        <v>-40.599999999999994</v>
      </c>
    </row>
    <row r="23" spans="1:18" x14ac:dyDescent="0.45">
      <c r="A23" s="19" t="s">
        <v>11</v>
      </c>
      <c r="B23" s="12">
        <v>50</v>
      </c>
      <c r="C23" s="6">
        <f>IF(B$20=0,0,B23/B$20)</f>
        <v>0.51020408163265307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131</v>
      </c>
      <c r="M23" s="117">
        <v>1835.0300854789134</v>
      </c>
    </row>
    <row r="24" spans="1:18" x14ac:dyDescent="0.45">
      <c r="A24" s="19" t="s">
        <v>183</v>
      </c>
      <c r="B24" s="12">
        <v>44</v>
      </c>
      <c r="C24" s="6">
        <f>IF(B$20=0,0,B24/B$20)</f>
        <v>0.44897959183673469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106.3</v>
      </c>
      <c r="M24" s="117">
        <v>1829.4799049660398</v>
      </c>
    </row>
    <row r="25" spans="1:18" x14ac:dyDescent="0.45">
      <c r="A25" s="19" t="s">
        <v>181</v>
      </c>
      <c r="B25" s="12">
        <v>33</v>
      </c>
      <c r="C25" s="6">
        <f>IF(B$20=0,0,B25/B$20)</f>
        <v>0.33673469387755101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119.39999999999999</v>
      </c>
      <c r="M25" s="117">
        <v>1830.7670255362436</v>
      </c>
    </row>
    <row r="26" spans="1:18" x14ac:dyDescent="0.45">
      <c r="A26" s="19" t="s">
        <v>182</v>
      </c>
      <c r="B26" s="12">
        <v>21</v>
      </c>
      <c r="C26" s="6">
        <f>IF(B$20=0,0,B26/B$20)</f>
        <v>0.21428571428571427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111.19999999999999</v>
      </c>
      <c r="M26" s="117">
        <v>1828.2124233830261</v>
      </c>
    </row>
    <row r="27" spans="1:18" x14ac:dyDescent="0.45">
      <c r="A27" s="19" t="s">
        <v>5</v>
      </c>
      <c r="B27" s="16">
        <f>IF(B$20=0,0,C27/B$20)</f>
        <v>8594.8979591836742</v>
      </c>
      <c r="C27" s="8">
        <v>842300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5">
      <c r="A28" s="20" t="s">
        <v>165</v>
      </c>
      <c r="B28" s="95">
        <f>IF($B$20-B$19=0,0,C28/($B$20-B$19))</f>
        <v>8887.6923076923085</v>
      </c>
      <c r="C28" s="96">
        <v>577700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5">
      <c r="A29" s="20" t="s">
        <v>166</v>
      </c>
      <c r="B29" s="95">
        <f>IF(B$19=0,0,C29/B$19)</f>
        <v>8018.181818181818</v>
      </c>
      <c r="C29" s="96">
        <v>264600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5">
      <c r="A30" s="20" t="s">
        <v>164</v>
      </c>
      <c r="B30" s="95">
        <f>IF(B$21=0,0,C30/B$21)</f>
        <v>-6562.7450980392159</v>
      </c>
      <c r="C30" s="96">
        <v>-334700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4</v>
      </c>
      <c r="K31" s="74">
        <v>29</v>
      </c>
      <c r="L31" s="119">
        <v>179.3</v>
      </c>
      <c r="M31" s="117">
        <v>1833.780364820499</v>
      </c>
    </row>
    <row r="32" spans="1:18" x14ac:dyDescent="0.45">
      <c r="A32" s="19" t="s">
        <v>158</v>
      </c>
      <c r="B32" s="12">
        <v>17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213.3</v>
      </c>
      <c r="M33" s="117">
        <v>1837.8107325357864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5">
      <c r="A35" s="21" t="s">
        <v>137</v>
      </c>
      <c r="B35" s="29">
        <v>1</v>
      </c>
      <c r="C35" s="9">
        <f>IF(B$3=0,0,B35/B$3)</f>
        <v>3.3112582781456954E-3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5">
      <c r="A37" s="54" t="s">
        <v>171</v>
      </c>
      <c r="B37" s="123">
        <v>5</v>
      </c>
      <c r="C37" s="98">
        <f t="shared" ref="C37:C49" si="2">IF(B$20=0,0,B37/B$20)</f>
        <v>5.1020408163265307E-2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5">
      <c r="A38" s="19" t="s">
        <v>167</v>
      </c>
      <c r="B38" s="12">
        <v>17</v>
      </c>
      <c r="C38" s="6">
        <f t="shared" si="2"/>
        <v>0.17346938775510204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5">
      <c r="A39" s="19" t="s">
        <v>168</v>
      </c>
      <c r="B39" s="124">
        <v>23</v>
      </c>
      <c r="C39" s="6">
        <f t="shared" si="2"/>
        <v>0.23469387755102042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5">
      <c r="A40" s="19" t="s">
        <v>169</v>
      </c>
      <c r="B40" s="124">
        <v>14</v>
      </c>
      <c r="C40" s="6">
        <f t="shared" si="2"/>
        <v>0.14285714285714285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13" x14ac:dyDescent="0.45">
      <c r="A41" s="19" t="s">
        <v>170</v>
      </c>
      <c r="B41" s="124">
        <v>15</v>
      </c>
      <c r="C41" s="6">
        <f t="shared" si="2"/>
        <v>0.15306122448979592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13" x14ac:dyDescent="0.45">
      <c r="A42" s="19" t="s">
        <v>172</v>
      </c>
      <c r="B42" s="124">
        <v>12</v>
      </c>
      <c r="C42" s="6">
        <f t="shared" si="2"/>
        <v>0.12244897959183673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13" x14ac:dyDescent="0.45">
      <c r="A43" s="19" t="s">
        <v>173</v>
      </c>
      <c r="B43" s="124">
        <v>7</v>
      </c>
      <c r="C43" s="6">
        <f t="shared" si="2"/>
        <v>7.1428571428571425E-2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2</v>
      </c>
      <c r="C45" s="6">
        <f t="shared" si="2"/>
        <v>2.0408163265306121E-2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2"/>
        <v>1.020408163265306E-2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1</v>
      </c>
      <c r="C47" s="6">
        <f t="shared" si="2"/>
        <v>1.020408163265306E-2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1</v>
      </c>
      <c r="C49" s="9">
        <f t="shared" si="2"/>
        <v>1.020408163265306E-2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B57C2-DBCF-4F24-8F8C-26919C3789F2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12</v>
      </c>
      <c r="C2" s="134"/>
      <c r="E2" s="26" t="s">
        <v>66</v>
      </c>
      <c r="F2" s="23" t="s">
        <v>22</v>
      </c>
      <c r="G2" s="11">
        <v>21</v>
      </c>
      <c r="H2" s="87">
        <f>IF(B$20=0,0,G2/B$20)</f>
        <v>0.84</v>
      </c>
      <c r="I2" s="57">
        <v>4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-1133.3333333333333</v>
      </c>
      <c r="Q2" s="76">
        <v>12</v>
      </c>
      <c r="R2" s="63">
        <v>-13600</v>
      </c>
    </row>
    <row r="3" spans="1:18" x14ac:dyDescent="0.45">
      <c r="A3" s="19" t="s">
        <v>8</v>
      </c>
      <c r="B3" s="135">
        <v>102</v>
      </c>
      <c r="C3" s="136"/>
      <c r="E3" s="27" t="s">
        <v>72</v>
      </c>
      <c r="F3" s="24" t="s">
        <v>27</v>
      </c>
      <c r="G3" s="12">
        <v>17</v>
      </c>
      <c r="H3" s="88">
        <f>IF(B$20=0,0,G3/B$20)</f>
        <v>0.68</v>
      </c>
      <c r="I3" s="58">
        <v>5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2536.3636363636365</v>
      </c>
      <c r="Q3" s="77">
        <v>11</v>
      </c>
      <c r="R3" s="64">
        <v>27900</v>
      </c>
    </row>
    <row r="4" spans="1:18" x14ac:dyDescent="0.45">
      <c r="A4" s="19" t="s">
        <v>6</v>
      </c>
      <c r="B4" s="137">
        <v>-140.20000000000005</v>
      </c>
      <c r="C4" s="138"/>
      <c r="E4" s="27" t="s">
        <v>159</v>
      </c>
      <c r="F4" s="24" t="s">
        <v>160</v>
      </c>
      <c r="G4" s="12">
        <v>11</v>
      </c>
      <c r="H4" s="88">
        <f>IF(B$20=0,0,G4/B$20)</f>
        <v>0.44</v>
      </c>
      <c r="I4" s="58">
        <v>3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-2836.3636363636365</v>
      </c>
      <c r="Q4" s="77">
        <v>11</v>
      </c>
      <c r="R4" s="64">
        <v>-31200</v>
      </c>
    </row>
    <row r="5" spans="1:18" x14ac:dyDescent="0.45">
      <c r="A5" s="19" t="s">
        <v>7</v>
      </c>
      <c r="B5" s="125">
        <f>IF(B$2=0,0,B$4/B$2)</f>
        <v>-11.683333333333337</v>
      </c>
      <c r="C5" s="126"/>
      <c r="E5" s="27" t="s">
        <v>64</v>
      </c>
      <c r="F5" s="24" t="s">
        <v>20</v>
      </c>
      <c r="G5" s="12">
        <v>8</v>
      </c>
      <c r="H5" s="88">
        <f>IF(B$20=0,0,G5/B$20)</f>
        <v>0.32</v>
      </c>
      <c r="I5" s="58">
        <v>9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-1109.090909090909</v>
      </c>
      <c r="Q5" s="77">
        <v>11</v>
      </c>
      <c r="R5" s="64">
        <v>-12200</v>
      </c>
    </row>
    <row r="6" spans="1:18" x14ac:dyDescent="0.45">
      <c r="A6" s="19" t="s">
        <v>196</v>
      </c>
      <c r="B6" s="129">
        <v>1627.1676972637965</v>
      </c>
      <c r="C6" s="130"/>
      <c r="E6" s="27" t="s">
        <v>67</v>
      </c>
      <c r="F6" s="24" t="s">
        <v>23</v>
      </c>
      <c r="G6" s="12">
        <v>6</v>
      </c>
      <c r="H6" s="88">
        <f>IF(B$20=0,0,G6/B$20)</f>
        <v>0.24</v>
      </c>
      <c r="I6" s="58">
        <v>5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-1077.7777777777778</v>
      </c>
      <c r="Q6" s="77">
        <v>9</v>
      </c>
      <c r="R6" s="64">
        <v>-9700</v>
      </c>
    </row>
    <row r="7" spans="1:18" x14ac:dyDescent="0.45">
      <c r="A7" s="19" t="s">
        <v>1</v>
      </c>
      <c r="B7" s="139">
        <f>IF(B$2=0,0,(B$8*1+B$9*2+B$10*3)/B$2)</f>
        <v>2.1666666666666665</v>
      </c>
      <c r="C7" s="140"/>
      <c r="E7" s="27" t="s">
        <v>68</v>
      </c>
      <c r="F7" s="24" t="s">
        <v>12</v>
      </c>
      <c r="G7" s="12">
        <v>6</v>
      </c>
      <c r="H7" s="88">
        <f>IF(B$20=0,0,G7/B$20)</f>
        <v>0.24</v>
      </c>
      <c r="I7" s="58">
        <v>8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-985.71428571428567</v>
      </c>
      <c r="Q7" s="78">
        <v>7</v>
      </c>
      <c r="R7" s="65">
        <v>-6900</v>
      </c>
    </row>
    <row r="8" spans="1:18" x14ac:dyDescent="0.45">
      <c r="A8" s="19" t="s">
        <v>2</v>
      </c>
      <c r="B8" s="12">
        <v>5</v>
      </c>
      <c r="C8" s="6">
        <f t="shared" ref="C8:C15" si="1">IF(B$2=0,0,B8/B$2)</f>
        <v>0.41666666666666669</v>
      </c>
      <c r="E8" s="27" t="s">
        <v>89</v>
      </c>
      <c r="F8" s="24" t="s">
        <v>44</v>
      </c>
      <c r="G8" s="12">
        <v>6</v>
      </c>
      <c r="H8" s="88">
        <f>IF(B$20=0,0,G8/B$20)</f>
        <v>0.24</v>
      </c>
      <c r="I8" s="58">
        <v>3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69</v>
      </c>
      <c r="F9" s="24" t="s">
        <v>24</v>
      </c>
      <c r="G9" s="12">
        <v>3</v>
      </c>
      <c r="H9" s="88">
        <f>IF(B$20=0,0,G9/B$20)</f>
        <v>0.12</v>
      </c>
      <c r="I9" s="58">
        <v>4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0.58333333333333337</v>
      </c>
      <c r="E10" s="27" t="s">
        <v>78</v>
      </c>
      <c r="F10" s="24" t="s">
        <v>33</v>
      </c>
      <c r="G10" s="12">
        <v>3</v>
      </c>
      <c r="H10" s="88">
        <f>IF(B$20=0,0,G10/B$20)</f>
        <v>0.12</v>
      </c>
      <c r="I10" s="58">
        <v>2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-15.5</v>
      </c>
      <c r="Q10" s="76">
        <v>3</v>
      </c>
      <c r="R10" s="67">
        <v>-46.5</v>
      </c>
    </row>
    <row r="11" spans="1:18" x14ac:dyDescent="0.45">
      <c r="A11" s="20" t="s">
        <v>184</v>
      </c>
      <c r="B11" s="109">
        <f>IF(B8=0,0,C11/B8)</f>
        <v>31.1</v>
      </c>
      <c r="C11" s="110">
        <v>155.5</v>
      </c>
      <c r="E11" s="27" t="s">
        <v>83</v>
      </c>
      <c r="F11" s="24" t="s">
        <v>38</v>
      </c>
      <c r="G11" s="12">
        <v>2</v>
      </c>
      <c r="H11" s="88">
        <f>IF(B$20=0,0,G11/B$20)</f>
        <v>0.08</v>
      </c>
      <c r="I11" s="58">
        <v>2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-17.340000000000007</v>
      </c>
      <c r="Q11" s="77">
        <v>5</v>
      </c>
      <c r="R11" s="68">
        <v>-86.700000000000031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86</v>
      </c>
      <c r="F12" s="24" t="s">
        <v>41</v>
      </c>
      <c r="G12" s="12">
        <v>2</v>
      </c>
      <c r="H12" s="88">
        <f>IF(B$20=0,0,G12/B$20)</f>
        <v>0.08</v>
      </c>
      <c r="I12" s="58">
        <v>2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-1.75</v>
      </c>
      <c r="Q12" s="78">
        <v>4</v>
      </c>
      <c r="R12" s="69">
        <v>-7</v>
      </c>
    </row>
    <row r="13" spans="1:18" x14ac:dyDescent="0.45">
      <c r="A13" s="20" t="s">
        <v>186</v>
      </c>
      <c r="B13" s="109">
        <f>IF(B10=0,0,C13/B10)</f>
        <v>-42.24285714285714</v>
      </c>
      <c r="C13" s="110">
        <v>-295.7</v>
      </c>
      <c r="E13" s="27" t="s">
        <v>65</v>
      </c>
      <c r="F13" s="24" t="s">
        <v>21</v>
      </c>
      <c r="G13" s="12">
        <v>1</v>
      </c>
      <c r="H13" s="88">
        <f>IF(B$20=0,0,G13/B$20)</f>
        <v>0.04</v>
      </c>
      <c r="I13" s="58">
        <v>8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-3.7142857142857131</v>
      </c>
      <c r="C14" s="126"/>
      <c r="E14" s="27" t="s">
        <v>70</v>
      </c>
      <c r="F14" s="24" t="s">
        <v>25</v>
      </c>
      <c r="G14" s="12">
        <v>1</v>
      </c>
      <c r="H14" s="88">
        <f>IF(B$20=0,0,G14/B$20)</f>
        <v>0.04</v>
      </c>
      <c r="I14" s="58">
        <v>7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3</v>
      </c>
      <c r="C15" s="9">
        <f t="shared" si="1"/>
        <v>0.25</v>
      </c>
      <c r="E15" s="27" t="s">
        <v>71</v>
      </c>
      <c r="F15" s="24" t="s">
        <v>26</v>
      </c>
      <c r="G15" s="12">
        <v>1</v>
      </c>
      <c r="H15" s="88">
        <f>IF(B$20=0,0,G15/B$20)</f>
        <v>0.04</v>
      </c>
      <c r="I15" s="58">
        <v>6</v>
      </c>
      <c r="O15" s="73" t="s">
        <v>216</v>
      </c>
      <c r="P15" s="82">
        <f>IF(Q15=0,0,R15/Q15)</f>
        <v>39.880000000000003</v>
      </c>
      <c r="Q15" s="76">
        <v>5</v>
      </c>
      <c r="R15" s="67">
        <v>199.4</v>
      </c>
    </row>
    <row r="16" spans="1:18" x14ac:dyDescent="0.45">
      <c r="A16" s="22" t="s">
        <v>121</v>
      </c>
      <c r="B16" s="15">
        <v>22</v>
      </c>
      <c r="C16" s="10">
        <f>IF(B$3=0,0,B16/B$3)</f>
        <v>0.21568627450980393</v>
      </c>
      <c r="E16" s="27" t="s">
        <v>79</v>
      </c>
      <c r="F16" s="24" t="s">
        <v>34</v>
      </c>
      <c r="G16" s="12">
        <v>1</v>
      </c>
      <c r="H16" s="88">
        <f>IF(B$20=0,0,G16/B$20)</f>
        <v>0.04</v>
      </c>
      <c r="I16" s="58">
        <v>3</v>
      </c>
      <c r="O16" s="74" t="s">
        <v>189</v>
      </c>
      <c r="P16" s="83">
        <f>IF(Q16=0,0,R16/Q16)</f>
        <v>-28.700000000000003</v>
      </c>
      <c r="Q16" s="77">
        <v>3</v>
      </c>
      <c r="R16" s="68">
        <v>-86.100000000000009</v>
      </c>
    </row>
    <row r="17" spans="1:18" x14ac:dyDescent="0.45">
      <c r="A17" s="19" t="s">
        <v>118</v>
      </c>
      <c r="B17" s="12">
        <v>25</v>
      </c>
      <c r="C17" s="6">
        <f>IF(B$3=0,0,B17/B$3)</f>
        <v>0.24509803921568626</v>
      </c>
      <c r="E17" s="27" t="s">
        <v>81</v>
      </c>
      <c r="F17" s="24" t="s">
        <v>36</v>
      </c>
      <c r="G17" s="12">
        <v>1</v>
      </c>
      <c r="H17" s="88">
        <f>IF(B$20=0,0,G17/B$20)</f>
        <v>0.04</v>
      </c>
      <c r="I17" s="58">
        <v>4</v>
      </c>
      <c r="O17" s="74" t="s">
        <v>126</v>
      </c>
      <c r="P17" s="83">
        <f>IF(Q17=0,0,R17/Q17)</f>
        <v>-29.610000000000007</v>
      </c>
      <c r="Q17" s="77">
        <v>10</v>
      </c>
      <c r="R17" s="68">
        <v>-296.10000000000008</v>
      </c>
    </row>
    <row r="18" spans="1:18" x14ac:dyDescent="0.45">
      <c r="A18" s="18" t="s">
        <v>123</v>
      </c>
      <c r="B18" s="11">
        <f>B24</f>
        <v>8</v>
      </c>
      <c r="C18" s="5">
        <f>IF(B$16=0,0,B18/B$16)</f>
        <v>0.36363636363636365</v>
      </c>
      <c r="E18" s="27" t="s">
        <v>85</v>
      </c>
      <c r="F18" s="24" t="s">
        <v>40</v>
      </c>
      <c r="G18" s="12">
        <v>1</v>
      </c>
      <c r="H18" s="88">
        <f>IF(B$20=0,0,G18/B$20)</f>
        <v>0.04</v>
      </c>
      <c r="I18" s="58">
        <v>1</v>
      </c>
      <c r="O18" s="74" t="s">
        <v>211</v>
      </c>
      <c r="P18" s="83">
        <f>IF(Q18=0,0,R18/Q18)</f>
        <v>-39</v>
      </c>
      <c r="Q18" s="77">
        <v>4</v>
      </c>
      <c r="R18" s="68">
        <v>-156</v>
      </c>
    </row>
    <row r="19" spans="1:18" x14ac:dyDescent="0.45">
      <c r="A19" s="18" t="s">
        <v>124</v>
      </c>
      <c r="B19" s="11">
        <f>B25</f>
        <v>9</v>
      </c>
      <c r="C19" s="5">
        <f>IF(B$17=0,0,B19/B$17)</f>
        <v>0.36</v>
      </c>
      <c r="E19" s="27" t="s">
        <v>73</v>
      </c>
      <c r="F19" s="24" t="s">
        <v>28</v>
      </c>
      <c r="G19" s="12">
        <v>0</v>
      </c>
      <c r="H19" s="88">
        <f>IF(B$20=0,0,G19/B$20)</f>
        <v>0</v>
      </c>
      <c r="I19" s="58">
        <v>5</v>
      </c>
      <c r="O19" s="74" t="s">
        <v>192</v>
      </c>
      <c r="P19" s="83">
        <f>IF(Q19=0,0,R19/Q19)</f>
        <v>-40.900000000000006</v>
      </c>
      <c r="Q19" s="77">
        <v>2</v>
      </c>
      <c r="R19" s="68">
        <v>-81.800000000000011</v>
      </c>
    </row>
    <row r="20" spans="1:18" x14ac:dyDescent="0.45">
      <c r="A20" s="18" t="s">
        <v>10</v>
      </c>
      <c r="B20" s="11">
        <f>B23+B22</f>
        <v>25</v>
      </c>
      <c r="C20" s="5">
        <f>IF(B$3=0,0,B20/B$3)</f>
        <v>0.24509803921568626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22</v>
      </c>
      <c r="C21" s="6">
        <f>IF(B$3=0,0,B21/B$3)</f>
        <v>0.21568627450980393</v>
      </c>
      <c r="E21" s="27" t="s">
        <v>75</v>
      </c>
      <c r="F21" s="24" t="s">
        <v>30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9</v>
      </c>
      <c r="C22" s="6">
        <f>IF(B$20=0,0,B22/B$20)</f>
        <v>0.36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16</v>
      </c>
      <c r="C23" s="6">
        <f>IF(B$20=0,0,B23/B$20)</f>
        <v>0.64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8</v>
      </c>
      <c r="C24" s="6">
        <f>IF(B$20=0,0,B24/B$20)</f>
        <v>0.32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9</v>
      </c>
      <c r="C25" s="6">
        <f>IF(B$20=0,0,B25/B$20)</f>
        <v>0.36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8</v>
      </c>
      <c r="C26" s="6">
        <f>IF(B$20=0,0,B26/B$20)</f>
        <v>0.32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9504</v>
      </c>
      <c r="C27" s="8">
        <v>237600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9875</v>
      </c>
      <c r="C28" s="96">
        <v>158000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4</v>
      </c>
    </row>
    <row r="29" spans="1:18" x14ac:dyDescent="0.45">
      <c r="A29" s="20" t="s">
        <v>166</v>
      </c>
      <c r="B29" s="95">
        <f>IF(B$19=0,0,C29/B$19)</f>
        <v>8844.4444444444453</v>
      </c>
      <c r="C29" s="96">
        <v>79600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-9236.363636363636</v>
      </c>
      <c r="C30" s="96">
        <v>-203200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8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9.8039215686274508E-3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0.04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3</v>
      </c>
      <c r="C38" s="6">
        <f t="shared" si="2"/>
        <v>0.12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4</v>
      </c>
      <c r="C39" s="6">
        <f t="shared" si="2"/>
        <v>0.16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4</v>
      </c>
      <c r="C40" s="6">
        <f t="shared" si="2"/>
        <v>0.16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8</v>
      </c>
      <c r="C41" s="6">
        <f t="shared" si="2"/>
        <v>0.32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3</v>
      </c>
      <c r="C42" s="6">
        <f t="shared" si="2"/>
        <v>0.12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0.08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F3857-7CF9-4DAA-9CBD-A76C7B1FBCB0}">
  <sheetPr codeName="Sheet1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18</v>
      </c>
      <c r="C2" s="134"/>
      <c r="E2" s="26" t="s">
        <v>72</v>
      </c>
      <c r="F2" s="23" t="s">
        <v>27</v>
      </c>
      <c r="G2" s="11">
        <v>40</v>
      </c>
      <c r="H2" s="87">
        <f>IF(B$20=0,0,G2/B$20)</f>
        <v>0.83333333333333337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-1650</v>
      </c>
      <c r="Q2" s="76">
        <v>18</v>
      </c>
      <c r="R2" s="63">
        <v>-29700</v>
      </c>
    </row>
    <row r="3" spans="1:18" x14ac:dyDescent="0.45">
      <c r="A3" s="19" t="s">
        <v>8</v>
      </c>
      <c r="B3" s="135">
        <v>159</v>
      </c>
      <c r="C3" s="136"/>
      <c r="E3" s="27" t="s">
        <v>66</v>
      </c>
      <c r="F3" s="24" t="s">
        <v>22</v>
      </c>
      <c r="G3" s="12">
        <v>30</v>
      </c>
      <c r="H3" s="88">
        <f>IF(B$20=0,0,G3/B$20)</f>
        <v>0.625</v>
      </c>
      <c r="I3" s="58">
        <v>9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-527.77777777777783</v>
      </c>
      <c r="Q3" s="77">
        <v>18</v>
      </c>
      <c r="R3" s="64">
        <v>-9500</v>
      </c>
    </row>
    <row r="4" spans="1:18" x14ac:dyDescent="0.45">
      <c r="A4" s="19" t="s">
        <v>6</v>
      </c>
      <c r="B4" s="137">
        <v>15.100000000000009</v>
      </c>
      <c r="C4" s="138"/>
      <c r="E4" s="27" t="s">
        <v>64</v>
      </c>
      <c r="F4" s="24" t="s">
        <v>20</v>
      </c>
      <c r="G4" s="12">
        <v>17</v>
      </c>
      <c r="H4" s="88">
        <f>IF(B$20=0,0,G4/B$20)</f>
        <v>0.35416666666666669</v>
      </c>
      <c r="I4" s="58">
        <v>6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1511.1111111111111</v>
      </c>
      <c r="Q4" s="77">
        <v>18</v>
      </c>
      <c r="R4" s="64">
        <v>27200</v>
      </c>
    </row>
    <row r="5" spans="1:18" x14ac:dyDescent="0.45">
      <c r="A5" s="19" t="s">
        <v>7</v>
      </c>
      <c r="B5" s="125">
        <f>IF(B$2=0,0,B$4/B$2)</f>
        <v>0.83888888888888935</v>
      </c>
      <c r="C5" s="126"/>
      <c r="E5" s="27" t="s">
        <v>68</v>
      </c>
      <c r="F5" s="24" t="s">
        <v>12</v>
      </c>
      <c r="G5" s="12">
        <v>15</v>
      </c>
      <c r="H5" s="88">
        <f>IF(B$20=0,0,G5/B$20)</f>
        <v>0.3125</v>
      </c>
      <c r="I5" s="58">
        <v>4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211.11111111111111</v>
      </c>
      <c r="Q5" s="77">
        <v>18</v>
      </c>
      <c r="R5" s="64">
        <v>3800</v>
      </c>
    </row>
    <row r="6" spans="1:18" x14ac:dyDescent="0.45">
      <c r="A6" s="19" t="s">
        <v>196</v>
      </c>
      <c r="B6" s="129">
        <v>1450.6884191024681</v>
      </c>
      <c r="C6" s="130"/>
      <c r="E6" s="27" t="s">
        <v>67</v>
      </c>
      <c r="F6" s="24" t="s">
        <v>23</v>
      </c>
      <c r="G6" s="12">
        <v>14</v>
      </c>
      <c r="H6" s="88">
        <f>IF(B$20=0,0,G6/B$20)</f>
        <v>0.29166666666666669</v>
      </c>
      <c r="I6" s="58">
        <v>2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-83.333333333333329</v>
      </c>
      <c r="Q6" s="77">
        <v>18</v>
      </c>
      <c r="R6" s="64">
        <v>-1500</v>
      </c>
    </row>
    <row r="7" spans="1:18" x14ac:dyDescent="0.45">
      <c r="A7" s="19" t="s">
        <v>1</v>
      </c>
      <c r="B7" s="139">
        <f>IF(B$2=0,0,(B$8*1+B$9*2+B$10*3)/B$2)</f>
        <v>1.9444444444444444</v>
      </c>
      <c r="C7" s="140"/>
      <c r="E7" s="27" t="s">
        <v>159</v>
      </c>
      <c r="F7" s="24" t="s">
        <v>160</v>
      </c>
      <c r="G7" s="12">
        <v>14</v>
      </c>
      <c r="H7" s="88">
        <f>IF(B$20=0,0,G7/B$20)</f>
        <v>0.29166666666666669</v>
      </c>
      <c r="I7" s="58">
        <v>9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2053.3333333333335</v>
      </c>
      <c r="Q7" s="78">
        <v>15</v>
      </c>
      <c r="R7" s="65">
        <v>30800</v>
      </c>
    </row>
    <row r="8" spans="1:18" x14ac:dyDescent="0.45">
      <c r="A8" s="19" t="s">
        <v>2</v>
      </c>
      <c r="B8" s="12">
        <v>6</v>
      </c>
      <c r="C8" s="6">
        <f t="shared" ref="C8:C15" si="1">IF(B$2=0,0,B8/B$2)</f>
        <v>0.33333333333333331</v>
      </c>
      <c r="E8" s="27" t="s">
        <v>89</v>
      </c>
      <c r="F8" s="24" t="s">
        <v>44</v>
      </c>
      <c r="G8" s="12">
        <v>7</v>
      </c>
      <c r="H8" s="88">
        <f>IF(B$20=0,0,G8/B$20)</f>
        <v>0.14583333333333334</v>
      </c>
      <c r="I8" s="58">
        <v>9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0.3888888888888889</v>
      </c>
      <c r="E9" s="27" t="s">
        <v>65</v>
      </c>
      <c r="F9" s="24" t="s">
        <v>21</v>
      </c>
      <c r="G9" s="12">
        <v>4</v>
      </c>
      <c r="H9" s="88">
        <f>IF(B$20=0,0,G9/B$20)</f>
        <v>8.3333333333333329E-2</v>
      </c>
      <c r="I9" s="58">
        <v>5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0.27777777777777779</v>
      </c>
      <c r="E10" s="27" t="s">
        <v>70</v>
      </c>
      <c r="F10" s="24" t="s">
        <v>25</v>
      </c>
      <c r="G10" s="12">
        <v>4</v>
      </c>
      <c r="H10" s="88">
        <f>IF(B$20=0,0,G10/B$20)</f>
        <v>8.3333333333333329E-2</v>
      </c>
      <c r="I10" s="58">
        <v>6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2.3833333333333333</v>
      </c>
      <c r="Q10" s="76">
        <v>6</v>
      </c>
      <c r="R10" s="67">
        <v>14.3</v>
      </c>
    </row>
    <row r="11" spans="1:18" x14ac:dyDescent="0.45">
      <c r="A11" s="20" t="s">
        <v>184</v>
      </c>
      <c r="B11" s="109">
        <f>IF(B8=0,0,C11/B8)</f>
        <v>18.083333333333332</v>
      </c>
      <c r="C11" s="110">
        <v>108.5</v>
      </c>
      <c r="E11" s="27" t="s">
        <v>69</v>
      </c>
      <c r="F11" s="24" t="s">
        <v>24</v>
      </c>
      <c r="G11" s="12">
        <v>2</v>
      </c>
      <c r="H11" s="88">
        <f>IF(B$20=0,0,G11/B$20)</f>
        <v>4.1666666666666664E-2</v>
      </c>
      <c r="I11" s="58">
        <v>9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-6.7799999999999994</v>
      </c>
      <c r="Q11" s="77">
        <v>5</v>
      </c>
      <c r="R11" s="68">
        <v>-33.9</v>
      </c>
    </row>
    <row r="12" spans="1:18" x14ac:dyDescent="0.45">
      <c r="A12" s="20" t="s">
        <v>185</v>
      </c>
      <c r="B12" s="109">
        <f>IF(B9=0,0,C12/B9)</f>
        <v>6.9285714285714288</v>
      </c>
      <c r="C12" s="110">
        <v>48.5</v>
      </c>
      <c r="E12" s="27" t="s">
        <v>79</v>
      </c>
      <c r="F12" s="24" t="s">
        <v>34</v>
      </c>
      <c r="G12" s="12">
        <v>2</v>
      </c>
      <c r="H12" s="88">
        <f>IF(B$20=0,0,G12/B$20)</f>
        <v>4.1666666666666664E-2</v>
      </c>
      <c r="I12" s="58">
        <v>2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4.9571428571428555</v>
      </c>
      <c r="Q12" s="78">
        <v>7</v>
      </c>
      <c r="R12" s="69">
        <v>34.699999999999989</v>
      </c>
    </row>
    <row r="13" spans="1:18" x14ac:dyDescent="0.45">
      <c r="A13" s="20" t="s">
        <v>186</v>
      </c>
      <c r="B13" s="109">
        <f>IF(B10=0,0,C13/B10)</f>
        <v>-28.379999999999995</v>
      </c>
      <c r="C13" s="110">
        <v>-141.89999999999998</v>
      </c>
      <c r="E13" s="27" t="s">
        <v>83</v>
      </c>
      <c r="F13" s="24" t="s">
        <v>38</v>
      </c>
      <c r="G13" s="12">
        <v>2</v>
      </c>
      <c r="H13" s="88">
        <f>IF(B$20=0,0,G13/B$20)</f>
        <v>4.1666666666666664E-2</v>
      </c>
      <c r="I13" s="58">
        <v>7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-1.1226984126984121</v>
      </c>
      <c r="C14" s="126"/>
      <c r="E14" s="27" t="s">
        <v>91</v>
      </c>
      <c r="F14" s="24" t="s">
        <v>46</v>
      </c>
      <c r="G14" s="12">
        <v>2</v>
      </c>
      <c r="H14" s="88">
        <f>IF(B$20=0,0,G14/B$20)</f>
        <v>4.1666666666666664E-2</v>
      </c>
      <c r="I14" s="58">
        <v>2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71</v>
      </c>
      <c r="F15" s="24" t="s">
        <v>26</v>
      </c>
      <c r="G15" s="12">
        <v>1</v>
      </c>
      <c r="H15" s="88">
        <f>IF(B$20=0,0,G15/B$20)</f>
        <v>2.0833333333333332E-2</v>
      </c>
      <c r="I15" s="58">
        <v>7</v>
      </c>
      <c r="K15" s="74">
        <v>13</v>
      </c>
      <c r="L15" s="119">
        <v>35.000000000000007</v>
      </c>
      <c r="M15" s="117">
        <v>1449.5174194108242</v>
      </c>
      <c r="O15" s="73" t="s">
        <v>216</v>
      </c>
      <c r="P15" s="82">
        <f>IF(Q15=0,0,R15/Q15)</f>
        <v>35.5</v>
      </c>
      <c r="Q15" s="76">
        <v>1</v>
      </c>
      <c r="R15" s="67">
        <v>35.5</v>
      </c>
    </row>
    <row r="16" spans="1:18" x14ac:dyDescent="0.45">
      <c r="A16" s="22" t="s">
        <v>121</v>
      </c>
      <c r="B16" s="15">
        <v>40</v>
      </c>
      <c r="C16" s="10">
        <f>IF(B$3=0,0,B16/B$3)</f>
        <v>0.25157232704402516</v>
      </c>
      <c r="E16" s="27" t="s">
        <v>86</v>
      </c>
      <c r="F16" s="24" t="s">
        <v>41</v>
      </c>
      <c r="G16" s="12">
        <v>1</v>
      </c>
      <c r="H16" s="88">
        <f>IF(B$20=0,0,G16/B$20)</f>
        <v>2.0833333333333332E-2</v>
      </c>
      <c r="I16" s="58">
        <v>8</v>
      </c>
      <c r="K16" s="74">
        <v>14</v>
      </c>
      <c r="L16" s="119">
        <v>42.800000000000004</v>
      </c>
      <c r="M16" s="117">
        <v>1451.8303148943594</v>
      </c>
      <c r="O16" s="74" t="s">
        <v>163</v>
      </c>
      <c r="P16" s="83">
        <f>IF(Q16=0,0,R16/Q16)</f>
        <v>28.700000000000006</v>
      </c>
      <c r="Q16" s="77">
        <v>3</v>
      </c>
      <c r="R16" s="68">
        <v>86.100000000000023</v>
      </c>
    </row>
    <row r="17" spans="1:18" x14ac:dyDescent="0.45">
      <c r="A17" s="19" t="s">
        <v>118</v>
      </c>
      <c r="B17" s="12">
        <v>51</v>
      </c>
      <c r="C17" s="6">
        <f>IF(B$3=0,0,B17/B$3)</f>
        <v>0.32075471698113206</v>
      </c>
      <c r="E17" s="27" t="s">
        <v>88</v>
      </c>
      <c r="F17" s="24" t="s">
        <v>43</v>
      </c>
      <c r="G17" s="12">
        <v>1</v>
      </c>
      <c r="H17" s="88">
        <f>IF(B$20=0,0,G17/B$20)</f>
        <v>2.0833333333333332E-2</v>
      </c>
      <c r="I17" s="58">
        <v>1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>IF(Q17=0,0,R17/Q17)</f>
        <v>13.200000000000003</v>
      </c>
      <c r="Q17" s="77">
        <v>2</v>
      </c>
      <c r="R17" s="68">
        <v>26.400000000000006</v>
      </c>
    </row>
    <row r="18" spans="1:18" x14ac:dyDescent="0.45">
      <c r="A18" s="18" t="s">
        <v>123</v>
      </c>
      <c r="B18" s="11">
        <f>B24</f>
        <v>18</v>
      </c>
      <c r="C18" s="5">
        <f>IF(B$16=0,0,B18/B$16)</f>
        <v>0.45</v>
      </c>
      <c r="E18" s="27" t="s">
        <v>73</v>
      </c>
      <c r="F18" s="24" t="s">
        <v>28</v>
      </c>
      <c r="G18" s="12">
        <v>0</v>
      </c>
      <c r="H18" s="88">
        <f>IF(B$20=0,0,G18/B$20)</f>
        <v>0</v>
      </c>
      <c r="I18" s="58">
        <v>5</v>
      </c>
      <c r="K18" s="74">
        <v>16</v>
      </c>
      <c r="L18" s="119">
        <v>38.600000000000009</v>
      </c>
      <c r="M18" s="117">
        <v>1453.0914330069634</v>
      </c>
      <c r="O18" s="74" t="s">
        <v>126</v>
      </c>
      <c r="P18" s="83">
        <f>IF(Q18=0,0,R18/Q18)</f>
        <v>2.7066666666666657</v>
      </c>
      <c r="Q18" s="77">
        <v>15</v>
      </c>
      <c r="R18" s="68">
        <v>40.599999999999987</v>
      </c>
    </row>
    <row r="19" spans="1:18" x14ac:dyDescent="0.45">
      <c r="A19" s="18" t="s">
        <v>124</v>
      </c>
      <c r="B19" s="11">
        <f>B25</f>
        <v>24</v>
      </c>
      <c r="C19" s="5">
        <f>IF(B$17=0,0,B19/B$17)</f>
        <v>0.47058823529411764</v>
      </c>
      <c r="E19" s="27" t="s">
        <v>74</v>
      </c>
      <c r="F19" s="24" t="s">
        <v>29</v>
      </c>
      <c r="G19" s="12">
        <v>0</v>
      </c>
      <c r="H19" s="88">
        <f>IF(B$20=0,0,G19/B$20)</f>
        <v>0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211</v>
      </c>
      <c r="P19" s="83">
        <f>IF(Q19=0,0,R19/Q19)</f>
        <v>1.3800000000000014</v>
      </c>
      <c r="Q19" s="77">
        <v>5</v>
      </c>
      <c r="R19" s="68">
        <v>6.9000000000000075</v>
      </c>
    </row>
    <row r="20" spans="1:18" x14ac:dyDescent="0.45">
      <c r="A20" s="18" t="s">
        <v>10</v>
      </c>
      <c r="B20" s="11">
        <f>B23+B22</f>
        <v>48</v>
      </c>
      <c r="C20" s="5">
        <f>IF(B$3=0,0,B20/B$3)</f>
        <v>0.30188679245283018</v>
      </c>
      <c r="E20" s="27" t="s">
        <v>75</v>
      </c>
      <c r="F20" s="24" t="s">
        <v>30</v>
      </c>
      <c r="G20" s="12">
        <v>0</v>
      </c>
      <c r="H20" s="88">
        <f>IF(B$20=0,0,G20/B$20)</f>
        <v>0</v>
      </c>
      <c r="I20" s="58">
        <v>3</v>
      </c>
      <c r="K20" s="74">
        <v>18</v>
      </c>
      <c r="L20" s="119">
        <v>15.100000000000009</v>
      </c>
      <c r="M20" s="117">
        <v>1450.6884191024681</v>
      </c>
      <c r="O20" s="74" t="s">
        <v>192</v>
      </c>
      <c r="P20" s="83">
        <f>IF(Q20=0,0,R20/Q20)</f>
        <v>-15.020000000000001</v>
      </c>
      <c r="Q20" s="77">
        <v>10</v>
      </c>
      <c r="R20" s="68">
        <v>-150.20000000000002</v>
      </c>
    </row>
    <row r="21" spans="1:18" x14ac:dyDescent="0.45">
      <c r="A21" s="19" t="s">
        <v>13</v>
      </c>
      <c r="B21" s="12">
        <v>26</v>
      </c>
      <c r="C21" s="6">
        <f>IF(B$3=0,0,B21/B$3)</f>
        <v>0.16352201257861634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24</v>
      </c>
      <c r="C22" s="6">
        <f>IF(B$20=0,0,B22/B$20)</f>
        <v>0.5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</row>
    <row r="23" spans="1:18" x14ac:dyDescent="0.45">
      <c r="A23" s="19" t="s">
        <v>11</v>
      </c>
      <c r="B23" s="12">
        <v>24</v>
      </c>
      <c r="C23" s="6">
        <f>IF(B$20=0,0,B23/B$20)</f>
        <v>0.5</v>
      </c>
      <c r="E23" s="27" t="s">
        <v>78</v>
      </c>
      <c r="F23" s="24" t="s">
        <v>33</v>
      </c>
      <c r="G23" s="12">
        <v>0</v>
      </c>
      <c r="H23" s="88">
        <f>IF(B$20=0,0,G23/B$20)</f>
        <v>0</v>
      </c>
      <c r="I23" s="58">
        <v>7</v>
      </c>
    </row>
    <row r="24" spans="1:18" x14ac:dyDescent="0.45">
      <c r="A24" s="19" t="s">
        <v>183</v>
      </c>
      <c r="B24" s="12">
        <v>18</v>
      </c>
      <c r="C24" s="6">
        <f>IF(B$20=0,0,B24/B$20)</f>
        <v>0.375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24</v>
      </c>
      <c r="C25" s="6">
        <f>IF(B$20=0,0,B25/B$20)</f>
        <v>0.5</v>
      </c>
      <c r="E25" s="27" t="s">
        <v>81</v>
      </c>
      <c r="F25" s="24" t="s">
        <v>36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6</v>
      </c>
      <c r="C26" s="6">
        <f>IF(B$20=0,0,B26/B$20)</f>
        <v>0.125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6945.833333333333</v>
      </c>
      <c r="C27" s="8">
        <v>333400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8095.833333333333</v>
      </c>
      <c r="C28" s="96">
        <v>194300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5795.833333333333</v>
      </c>
      <c r="C29" s="96">
        <v>139100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-6669.2307692307695</v>
      </c>
      <c r="C30" s="96">
        <v>-173400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21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61300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6.2893081761006293E-3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6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15</v>
      </c>
      <c r="C38" s="6">
        <f t="shared" si="2"/>
        <v>0.3125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7</v>
      </c>
      <c r="C39" s="6">
        <f t="shared" si="2"/>
        <v>0.14583333333333334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8</v>
      </c>
      <c r="C40" s="6">
        <f t="shared" si="2"/>
        <v>0.16666666666666666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4.1666666666666664E-2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4.1666666666666664E-2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4.1666666666666664E-2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2.0833333333333332E-2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3</v>
      </c>
      <c r="C45" s="6">
        <f t="shared" si="2"/>
        <v>6.25E-2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2</v>
      </c>
      <c r="C46" s="6">
        <f t="shared" si="2"/>
        <v>4.1666666666666664E-2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2D4CE-3B68-45F7-969C-D17C8E0B87DB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10</v>
      </c>
      <c r="C2" s="134"/>
      <c r="E2" s="26" t="s">
        <v>66</v>
      </c>
      <c r="F2" s="23" t="s">
        <v>22</v>
      </c>
      <c r="G2" s="11">
        <v>14</v>
      </c>
      <c r="H2" s="87">
        <f>IF(B$20=0,0,G2/B$20)</f>
        <v>0.73684210526315785</v>
      </c>
      <c r="I2" s="57">
        <v>7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1420</v>
      </c>
      <c r="Q2" s="76">
        <v>10</v>
      </c>
      <c r="R2" s="63">
        <v>14200</v>
      </c>
    </row>
    <row r="3" spans="1:18" x14ac:dyDescent="0.45">
      <c r="A3" s="19" t="s">
        <v>8</v>
      </c>
      <c r="B3" s="135">
        <v>77</v>
      </c>
      <c r="C3" s="136"/>
      <c r="E3" s="27" t="s">
        <v>64</v>
      </c>
      <c r="F3" s="24" t="s">
        <v>20</v>
      </c>
      <c r="G3" s="12">
        <v>11</v>
      </c>
      <c r="H3" s="88">
        <f>IF(B$20=0,0,G3/B$20)</f>
        <v>0.57894736842105265</v>
      </c>
      <c r="I3" s="58">
        <v>2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2270</v>
      </c>
      <c r="Q3" s="77">
        <v>10</v>
      </c>
      <c r="R3" s="64">
        <v>22700</v>
      </c>
    </row>
    <row r="4" spans="1:18" x14ac:dyDescent="0.45">
      <c r="A4" s="19" t="s">
        <v>6</v>
      </c>
      <c r="B4" s="137">
        <v>-55</v>
      </c>
      <c r="C4" s="138"/>
      <c r="E4" s="27" t="s">
        <v>72</v>
      </c>
      <c r="F4" s="24" t="s">
        <v>27</v>
      </c>
      <c r="G4" s="12">
        <v>9</v>
      </c>
      <c r="H4" s="88">
        <f>IF(B$20=0,0,G4/B$20)</f>
        <v>0.47368421052631576</v>
      </c>
      <c r="I4" s="58">
        <v>10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1590</v>
      </c>
      <c r="Q4" s="77">
        <v>10</v>
      </c>
      <c r="R4" s="64">
        <v>15900</v>
      </c>
    </row>
    <row r="5" spans="1:18" x14ac:dyDescent="0.45">
      <c r="A5" s="19" t="s">
        <v>7</v>
      </c>
      <c r="B5" s="125">
        <f>IF(B$2=0,0,B$4/B$2)</f>
        <v>-5.5</v>
      </c>
      <c r="C5" s="126"/>
      <c r="E5" s="27" t="s">
        <v>159</v>
      </c>
      <c r="F5" s="24" t="s">
        <v>160</v>
      </c>
      <c r="G5" s="12">
        <v>7</v>
      </c>
      <c r="H5" s="88">
        <f>IF(B$20=0,0,G5/B$20)</f>
        <v>0.36842105263157893</v>
      </c>
      <c r="I5" s="58">
        <v>5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-4062.5</v>
      </c>
      <c r="Q5" s="77">
        <v>8</v>
      </c>
      <c r="R5" s="64">
        <v>-32500</v>
      </c>
    </row>
    <row r="6" spans="1:18" x14ac:dyDescent="0.45">
      <c r="A6" s="19" t="s">
        <v>196</v>
      </c>
      <c r="B6" s="129">
        <v>1519.2183815819624</v>
      </c>
      <c r="C6" s="130"/>
      <c r="E6" s="27" t="s">
        <v>67</v>
      </c>
      <c r="F6" s="24" t="s">
        <v>23</v>
      </c>
      <c r="G6" s="12">
        <v>5</v>
      </c>
      <c r="H6" s="88">
        <f>IF(B$20=0,0,G6/B$20)</f>
        <v>0.26315789473684209</v>
      </c>
      <c r="I6" s="58">
        <v>3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-3385.7142857142858</v>
      </c>
      <c r="Q6" s="77">
        <v>7</v>
      </c>
      <c r="R6" s="64">
        <v>-23700</v>
      </c>
    </row>
    <row r="7" spans="1:18" x14ac:dyDescent="0.45">
      <c r="A7" s="19" t="s">
        <v>1</v>
      </c>
      <c r="B7" s="139">
        <f>IF(B$2=0,0,(B$8*1+B$9*2+B$10*3)/B$2)</f>
        <v>2.2000000000000002</v>
      </c>
      <c r="C7" s="140"/>
      <c r="E7" s="27" t="s">
        <v>65</v>
      </c>
      <c r="F7" s="24" t="s">
        <v>21</v>
      </c>
      <c r="G7" s="12">
        <v>3</v>
      </c>
      <c r="H7" s="88">
        <f>IF(B$20=0,0,G7/B$20)</f>
        <v>0.15789473684210525</v>
      </c>
      <c r="I7" s="58">
        <v>3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-3266.6666666666665</v>
      </c>
      <c r="Q7" s="78">
        <v>6</v>
      </c>
      <c r="R7" s="65">
        <v>-19600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0.1</v>
      </c>
      <c r="E8" s="27" t="s">
        <v>68</v>
      </c>
      <c r="F8" s="24" t="s">
        <v>12</v>
      </c>
      <c r="G8" s="12">
        <v>3</v>
      </c>
      <c r="H8" s="88">
        <f>IF(B$20=0,0,G8/B$20)</f>
        <v>0.15789473684210525</v>
      </c>
      <c r="I8" s="58">
        <v>11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0.6</v>
      </c>
      <c r="E9" s="27" t="s">
        <v>69</v>
      </c>
      <c r="F9" s="24" t="s">
        <v>24</v>
      </c>
      <c r="G9" s="12">
        <v>2</v>
      </c>
      <c r="H9" s="88">
        <f>IF(B$20=0,0,G9/B$20)</f>
        <v>0.10526315789473684</v>
      </c>
      <c r="I9" s="58">
        <v>6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3</v>
      </c>
      <c r="C10" s="7">
        <f t="shared" si="1"/>
        <v>0.3</v>
      </c>
      <c r="E10" s="27" t="s">
        <v>89</v>
      </c>
      <c r="F10" s="24" t="s">
        <v>44</v>
      </c>
      <c r="G10" s="12">
        <v>2</v>
      </c>
      <c r="H10" s="88">
        <f>IF(B$20=0,0,G10/B$20)</f>
        <v>0.10526315789473684</v>
      </c>
      <c r="I10" s="58">
        <v>10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-18.466666666666665</v>
      </c>
      <c r="Q10" s="76">
        <v>3</v>
      </c>
      <c r="R10" s="67">
        <v>-55.4</v>
      </c>
    </row>
    <row r="11" spans="1:18" x14ac:dyDescent="0.45">
      <c r="A11" s="20" t="s">
        <v>184</v>
      </c>
      <c r="B11" s="109">
        <f>IF(B8=0,0,C11/B8)</f>
        <v>55</v>
      </c>
      <c r="C11" s="110">
        <v>55</v>
      </c>
      <c r="E11" s="27" t="s">
        <v>79</v>
      </c>
      <c r="F11" s="24" t="s">
        <v>34</v>
      </c>
      <c r="G11" s="12">
        <v>1</v>
      </c>
      <c r="H11" s="88">
        <f>IF(B$20=0,0,G11/B$20)</f>
        <v>5.2631578947368418E-2</v>
      </c>
      <c r="I11" s="58">
        <v>1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-20.2</v>
      </c>
      <c r="Q11" s="77">
        <v>2</v>
      </c>
      <c r="R11" s="68">
        <v>-40.4</v>
      </c>
    </row>
    <row r="12" spans="1:18" x14ac:dyDescent="0.45">
      <c r="A12" s="20" t="s">
        <v>185</v>
      </c>
      <c r="B12" s="109">
        <f>IF(B9=0,0,C12/B9)</f>
        <v>-2.3166666666666664</v>
      </c>
      <c r="C12" s="110">
        <v>-13.899999999999999</v>
      </c>
      <c r="E12" s="27" t="s">
        <v>81</v>
      </c>
      <c r="F12" s="24" t="s">
        <v>36</v>
      </c>
      <c r="G12" s="12">
        <v>1</v>
      </c>
      <c r="H12" s="88">
        <f>IF(B$20=0,0,G12/B$20)</f>
        <v>5.2631578947368418E-2</v>
      </c>
      <c r="I12" s="58">
        <v>3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8.16</v>
      </c>
      <c r="Q12" s="78">
        <v>5</v>
      </c>
      <c r="R12" s="69">
        <v>40.800000000000004</v>
      </c>
    </row>
    <row r="13" spans="1:18" x14ac:dyDescent="0.45">
      <c r="A13" s="20" t="s">
        <v>186</v>
      </c>
      <c r="B13" s="109">
        <f>IF(B10=0,0,C13/B10)</f>
        <v>-32.033333333333331</v>
      </c>
      <c r="C13" s="110">
        <v>-96.1</v>
      </c>
      <c r="E13" s="27" t="s">
        <v>83</v>
      </c>
      <c r="F13" s="24" t="s">
        <v>38</v>
      </c>
      <c r="G13" s="12">
        <v>1</v>
      </c>
      <c r="H13" s="88">
        <f>IF(B$20=0,0,G13/B$20)</f>
        <v>5.2631578947368418E-2</v>
      </c>
      <c r="I13" s="58">
        <v>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6.8833333333333355</v>
      </c>
      <c r="C14" s="126"/>
      <c r="E14" s="27" t="s">
        <v>86</v>
      </c>
      <c r="F14" s="24" t="s">
        <v>41</v>
      </c>
      <c r="G14" s="12">
        <v>1</v>
      </c>
      <c r="H14" s="88">
        <f>IF(B$20=0,0,G14/B$20)</f>
        <v>5.2631578947368418E-2</v>
      </c>
      <c r="I14" s="58">
        <v>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70</v>
      </c>
      <c r="F15" s="24" t="s">
        <v>25</v>
      </c>
      <c r="G15" s="12">
        <v>0</v>
      </c>
      <c r="H15" s="88">
        <f>IF(B$20=0,0,G15/B$20)</f>
        <v>0</v>
      </c>
      <c r="I15" s="58">
        <v>9</v>
      </c>
      <c r="O15" s="73" t="s">
        <v>192</v>
      </c>
      <c r="P15" s="82">
        <f>IF(Q15=0,0,R15/Q15)</f>
        <v>-3.0714285714285707</v>
      </c>
      <c r="Q15" s="76">
        <v>7</v>
      </c>
      <c r="R15" s="67">
        <v>-21.499999999999996</v>
      </c>
    </row>
    <row r="16" spans="1:18" x14ac:dyDescent="0.45">
      <c r="A16" s="22" t="s">
        <v>121</v>
      </c>
      <c r="B16" s="15">
        <v>21</v>
      </c>
      <c r="C16" s="10">
        <f>IF(B$3=0,0,B16/B$3)</f>
        <v>0.27272727272727271</v>
      </c>
      <c r="E16" s="27" t="s">
        <v>71</v>
      </c>
      <c r="F16" s="24" t="s">
        <v>26</v>
      </c>
      <c r="G16" s="12">
        <v>0</v>
      </c>
      <c r="H16" s="88">
        <f>IF(B$20=0,0,G16/B$20)</f>
        <v>0</v>
      </c>
      <c r="I16" s="58">
        <v>8</v>
      </c>
      <c r="O16" s="74" t="s">
        <v>211</v>
      </c>
      <c r="P16" s="83">
        <f>IF(Q16=0,0,R16/Q16)</f>
        <v>-6.5999999999999988</v>
      </c>
      <c r="Q16" s="77">
        <v>3</v>
      </c>
      <c r="R16" s="68">
        <v>-19.799999999999997</v>
      </c>
    </row>
    <row r="17" spans="1:18" x14ac:dyDescent="0.45">
      <c r="A17" s="19" t="s">
        <v>118</v>
      </c>
      <c r="B17" s="12">
        <v>16</v>
      </c>
      <c r="C17" s="6">
        <f>IF(B$3=0,0,B17/B$3)</f>
        <v>0.20779220779220781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5</v>
      </c>
      <c r="O17" s="74" t="s">
        <v>126</v>
      </c>
      <c r="P17" s="83">
        <f>IF(Q17=0,0,R17/Q17)</f>
        <v>-12.162500000000001</v>
      </c>
      <c r="Q17" s="77">
        <v>8</v>
      </c>
      <c r="R17" s="68">
        <v>-97.300000000000011</v>
      </c>
    </row>
    <row r="18" spans="1:18" x14ac:dyDescent="0.45">
      <c r="A18" s="18" t="s">
        <v>123</v>
      </c>
      <c r="B18" s="11">
        <f>B24</f>
        <v>11</v>
      </c>
      <c r="C18" s="5">
        <f>IF(B$16=0,0,B18/B$16)</f>
        <v>0.52380952380952384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189</v>
      </c>
      <c r="P18" s="83">
        <f>IF(Q18=0,0,R18/Q18)</f>
        <v>-13.200000000000003</v>
      </c>
      <c r="Q18" s="77">
        <v>2</v>
      </c>
      <c r="R18" s="68">
        <v>-26.400000000000006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0.4375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19</v>
      </c>
      <c r="C20" s="5">
        <f>IF(B$3=0,0,B20/B$3)</f>
        <v>0.24675324675324675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5</v>
      </c>
      <c r="C21" s="6">
        <f>IF(B$3=0,0,B21/B$3)</f>
        <v>6.4935064935064929E-2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3</v>
      </c>
      <c r="C22" s="6">
        <f>IF(B$20=0,0,B22/B$20)</f>
        <v>0.15789473684210525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16</v>
      </c>
      <c r="C23" s="6">
        <f>IF(B$20=0,0,B23/B$20)</f>
        <v>0.84210526315789469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11</v>
      </c>
      <c r="C24" s="6">
        <f>IF(B$20=0,0,B24/B$20)</f>
        <v>0.57894736842105265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0.36842105263157893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</v>
      </c>
      <c r="C26" s="6">
        <f>IF(B$20=0,0,B26/B$20)</f>
        <v>5.2631578947368418E-2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18" x14ac:dyDescent="0.45">
      <c r="A27" s="19" t="s">
        <v>5</v>
      </c>
      <c r="B27" s="16">
        <f>IF(B$20=0,0,C27/B$20)</f>
        <v>6452.6315789473683</v>
      </c>
      <c r="C27" s="8">
        <v>122600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6283.333333333333</v>
      </c>
      <c r="C28" s="96">
        <v>75400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4</v>
      </c>
    </row>
    <row r="29" spans="1:18" x14ac:dyDescent="0.45">
      <c r="A29" s="20" t="s">
        <v>166</v>
      </c>
      <c r="B29" s="95">
        <f>IF(B$19=0,0,C29/B$19)</f>
        <v>6742.8571428571431</v>
      </c>
      <c r="C29" s="96">
        <v>47200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-3380</v>
      </c>
      <c r="C30" s="96">
        <v>-16900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27</v>
      </c>
      <c r="C32" s="90">
        <v>27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5.2631578947368418E-2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6</v>
      </c>
      <c r="C38" s="6">
        <f t="shared" si="2"/>
        <v>0.31578947368421051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5</v>
      </c>
      <c r="C39" s="6">
        <f t="shared" si="2"/>
        <v>0.26315789473684209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4</v>
      </c>
      <c r="C40" s="6">
        <f t="shared" si="2"/>
        <v>0.21052631578947367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</v>
      </c>
      <c r="C41" s="6">
        <f t="shared" si="2"/>
        <v>5.2631578947368418E-2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0.10526315789473684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58A01-4BF0-4459-806B-DD777DF002AF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19</v>
      </c>
      <c r="C2" s="134"/>
      <c r="E2" s="26" t="s">
        <v>66</v>
      </c>
      <c r="F2" s="23" t="s">
        <v>22</v>
      </c>
      <c r="G2" s="11">
        <v>48</v>
      </c>
      <c r="H2" s="87">
        <f>IF(B$20=0,0,G2/B$20)</f>
        <v>0.94117647058823528</v>
      </c>
      <c r="I2" s="57">
        <v>3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189.47368421052633</v>
      </c>
      <c r="Q2" s="76">
        <v>19</v>
      </c>
      <c r="R2" s="63">
        <v>3600</v>
      </c>
    </row>
    <row r="3" spans="1:18" x14ac:dyDescent="0.45">
      <c r="A3" s="19" t="s">
        <v>8</v>
      </c>
      <c r="B3" s="135">
        <v>151</v>
      </c>
      <c r="C3" s="136"/>
      <c r="E3" s="27" t="s">
        <v>72</v>
      </c>
      <c r="F3" s="24" t="s">
        <v>27</v>
      </c>
      <c r="G3" s="12">
        <v>34</v>
      </c>
      <c r="H3" s="88">
        <f>IF(B$20=0,0,G3/B$20)</f>
        <v>0.66666666666666663</v>
      </c>
      <c r="I3" s="58">
        <v>6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452.63157894736844</v>
      </c>
      <c r="Q3" s="77">
        <v>19</v>
      </c>
      <c r="R3" s="64">
        <v>8600</v>
      </c>
    </row>
    <row r="4" spans="1:18" x14ac:dyDescent="0.45">
      <c r="A4" s="19" t="s">
        <v>6</v>
      </c>
      <c r="B4" s="137">
        <v>126.80000000000001</v>
      </c>
      <c r="C4" s="138"/>
      <c r="E4" s="27" t="s">
        <v>64</v>
      </c>
      <c r="F4" s="24" t="s">
        <v>20</v>
      </c>
      <c r="G4" s="12">
        <v>18</v>
      </c>
      <c r="H4" s="88">
        <f>IF(B$20=0,0,G4/B$20)</f>
        <v>0.35294117647058826</v>
      </c>
      <c r="I4" s="58">
        <v>7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3657.8947368421054</v>
      </c>
      <c r="Q4" s="77">
        <v>19</v>
      </c>
      <c r="R4" s="64">
        <v>69500</v>
      </c>
    </row>
    <row r="5" spans="1:18" x14ac:dyDescent="0.45">
      <c r="A5" s="19" t="s">
        <v>7</v>
      </c>
      <c r="B5" s="125">
        <f>IF(B$2=0,0,B$4/B$2)</f>
        <v>6.6736842105263161</v>
      </c>
      <c r="C5" s="126"/>
      <c r="E5" s="27" t="s">
        <v>67</v>
      </c>
      <c r="F5" s="24" t="s">
        <v>23</v>
      </c>
      <c r="G5" s="12">
        <v>12</v>
      </c>
      <c r="H5" s="88">
        <f>IF(B$20=0,0,G5/B$20)</f>
        <v>0.23529411764705882</v>
      </c>
      <c r="I5" s="58">
        <v>6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-1035.2941176470588</v>
      </c>
      <c r="Q5" s="77">
        <v>17</v>
      </c>
      <c r="R5" s="64">
        <v>-17600</v>
      </c>
    </row>
    <row r="6" spans="1:18" x14ac:dyDescent="0.45">
      <c r="A6" s="19" t="s">
        <v>196</v>
      </c>
      <c r="B6" s="129">
        <v>1520.8008041195092</v>
      </c>
      <c r="C6" s="130"/>
      <c r="E6" s="27" t="s">
        <v>159</v>
      </c>
      <c r="F6" s="24" t="s">
        <v>160</v>
      </c>
      <c r="G6" s="12">
        <v>11</v>
      </c>
      <c r="H6" s="88">
        <f>IF(B$20=0,0,G6/B$20)</f>
        <v>0.21568627450980393</v>
      </c>
      <c r="I6" s="58">
        <v>11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2328.5714285714284</v>
      </c>
      <c r="Q6" s="77">
        <v>14</v>
      </c>
      <c r="R6" s="64">
        <v>32600</v>
      </c>
    </row>
    <row r="7" spans="1:18" x14ac:dyDescent="0.45">
      <c r="A7" s="19" t="s">
        <v>1</v>
      </c>
      <c r="B7" s="139">
        <f>IF(B$2=0,0,(B$8*1+B$9*2+B$10*3)/B$2)</f>
        <v>1.8421052631578947</v>
      </c>
      <c r="C7" s="140"/>
      <c r="E7" s="27" t="s">
        <v>68</v>
      </c>
      <c r="F7" s="24" t="s">
        <v>12</v>
      </c>
      <c r="G7" s="12">
        <v>9</v>
      </c>
      <c r="H7" s="88">
        <f>IF(B$20=0,0,G7/B$20)</f>
        <v>0.17647058823529413</v>
      </c>
      <c r="I7" s="58">
        <v>10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940</v>
      </c>
      <c r="Q7" s="78">
        <v>15</v>
      </c>
      <c r="R7" s="65">
        <v>14100</v>
      </c>
    </row>
    <row r="8" spans="1:18" x14ac:dyDescent="0.45">
      <c r="A8" s="19" t="s">
        <v>2</v>
      </c>
      <c r="B8" s="12">
        <v>8</v>
      </c>
      <c r="C8" s="6">
        <f t="shared" ref="C8:C15" si="1">IF(B$2=0,0,B8/B$2)</f>
        <v>0.42105263157894735</v>
      </c>
      <c r="E8" s="27" t="s">
        <v>89</v>
      </c>
      <c r="F8" s="24" t="s">
        <v>44</v>
      </c>
      <c r="G8" s="12">
        <v>8</v>
      </c>
      <c r="H8" s="88">
        <f>IF(B$20=0,0,G8/B$20)</f>
        <v>0.15686274509803921</v>
      </c>
      <c r="I8" s="58">
        <v>6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0.31578947368421051</v>
      </c>
      <c r="E9" s="27" t="s">
        <v>69</v>
      </c>
      <c r="F9" s="24" t="s">
        <v>24</v>
      </c>
      <c r="G9" s="12">
        <v>7</v>
      </c>
      <c r="H9" s="88">
        <f>IF(B$20=0,0,G9/B$20)</f>
        <v>0.13725490196078433</v>
      </c>
      <c r="I9" s="58">
        <v>3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0.26315789473684209</v>
      </c>
      <c r="E10" s="27" t="s">
        <v>71</v>
      </c>
      <c r="F10" s="24" t="s">
        <v>26</v>
      </c>
      <c r="G10" s="12">
        <v>6</v>
      </c>
      <c r="H10" s="88">
        <f>IF(B$20=0,0,G10/B$20)</f>
        <v>0.11764705882352941</v>
      </c>
      <c r="I10" s="58">
        <v>1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-7.4</v>
      </c>
      <c r="Q10" s="76">
        <v>4</v>
      </c>
      <c r="R10" s="67">
        <v>-29.6</v>
      </c>
    </row>
    <row r="11" spans="1:18" x14ac:dyDescent="0.45">
      <c r="A11" s="20" t="s">
        <v>184</v>
      </c>
      <c r="B11" s="109">
        <f>IF(B8=0,0,C11/B8)</f>
        <v>33.475000000000001</v>
      </c>
      <c r="C11" s="110">
        <v>267.8</v>
      </c>
      <c r="E11" s="27" t="s">
        <v>91</v>
      </c>
      <c r="F11" s="24" t="s">
        <v>46</v>
      </c>
      <c r="G11" s="12">
        <v>4</v>
      </c>
      <c r="H11" s="88">
        <f>IF(B$20=0,0,G11/B$20)</f>
        <v>7.8431372549019607E-2</v>
      </c>
      <c r="I11" s="58">
        <v>1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5.4428571428571439</v>
      </c>
      <c r="Q11" s="77">
        <v>7</v>
      </c>
      <c r="R11" s="68">
        <v>38.100000000000009</v>
      </c>
    </row>
    <row r="12" spans="1:18" x14ac:dyDescent="0.45">
      <c r="A12" s="20" t="s">
        <v>185</v>
      </c>
      <c r="B12" s="109">
        <f>IF(B9=0,0,C12/B9)</f>
        <v>0.41666666666666624</v>
      </c>
      <c r="C12" s="110">
        <v>2.4999999999999973</v>
      </c>
      <c r="E12" s="27" t="s">
        <v>81</v>
      </c>
      <c r="F12" s="24" t="s">
        <v>36</v>
      </c>
      <c r="G12" s="12">
        <v>3</v>
      </c>
      <c r="H12" s="88">
        <f>IF(B$20=0,0,G12/B$20)</f>
        <v>5.8823529411764705E-2</v>
      </c>
      <c r="I12" s="58">
        <v>2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14.787499999999998</v>
      </c>
      <c r="Q12" s="78">
        <v>8</v>
      </c>
      <c r="R12" s="69">
        <v>118.29999999999998</v>
      </c>
    </row>
    <row r="13" spans="1:18" x14ac:dyDescent="0.45">
      <c r="A13" s="20" t="s">
        <v>186</v>
      </c>
      <c r="B13" s="109">
        <f>IF(B10=0,0,C13/B10)</f>
        <v>-28.7</v>
      </c>
      <c r="C13" s="110">
        <v>-143.5</v>
      </c>
      <c r="E13" s="27" t="s">
        <v>83</v>
      </c>
      <c r="F13" s="24" t="s">
        <v>38</v>
      </c>
      <c r="G13" s="12">
        <v>3</v>
      </c>
      <c r="H13" s="88">
        <f>IF(B$20=0,0,G13/B$20)</f>
        <v>5.8823529411764705E-2</v>
      </c>
      <c r="I13" s="58">
        <v>4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1.7305555555555554</v>
      </c>
      <c r="C14" s="126"/>
      <c r="E14" s="27" t="s">
        <v>86</v>
      </c>
      <c r="F14" s="24" t="s">
        <v>41</v>
      </c>
      <c r="G14" s="12">
        <v>3</v>
      </c>
      <c r="H14" s="88">
        <f>IF(B$20=0,0,G14/B$20)</f>
        <v>5.8823529411764705E-2</v>
      </c>
      <c r="I14" s="58">
        <v>3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5.2631578947368418E-2</v>
      </c>
      <c r="E15" s="27" t="s">
        <v>65</v>
      </c>
      <c r="F15" s="24" t="s">
        <v>21</v>
      </c>
      <c r="G15" s="12">
        <v>2</v>
      </c>
      <c r="H15" s="88">
        <f>IF(B$20=0,0,G15/B$20)</f>
        <v>3.9215686274509803E-2</v>
      </c>
      <c r="I15" s="58">
        <v>9</v>
      </c>
      <c r="K15" s="74">
        <v>13</v>
      </c>
      <c r="L15" s="119">
        <v>65.800000000000011</v>
      </c>
      <c r="M15" s="117">
        <v>1506.4847379755383</v>
      </c>
      <c r="O15" s="73" t="s">
        <v>195</v>
      </c>
      <c r="P15" s="82">
        <f>IF(Q15=0,0,R15/Q15)</f>
        <v>44.4</v>
      </c>
      <c r="Q15" s="76">
        <v>1</v>
      </c>
      <c r="R15" s="67">
        <v>44.4</v>
      </c>
    </row>
    <row r="16" spans="1:18" x14ac:dyDescent="0.45">
      <c r="A16" s="22" t="s">
        <v>121</v>
      </c>
      <c r="B16" s="15">
        <v>33</v>
      </c>
      <c r="C16" s="10">
        <f>IF(B$3=0,0,B16/B$3)</f>
        <v>0.2185430463576159</v>
      </c>
      <c r="E16" s="27" t="s">
        <v>70</v>
      </c>
      <c r="F16" s="24" t="s">
        <v>25</v>
      </c>
      <c r="G16" s="12">
        <v>2</v>
      </c>
      <c r="H16" s="88">
        <f>IF(B$20=0,0,G16/B$20)</f>
        <v>3.9215686274509803E-2</v>
      </c>
      <c r="I16" s="58">
        <v>8</v>
      </c>
      <c r="K16" s="74">
        <v>14</v>
      </c>
      <c r="L16" s="119">
        <v>99.300000000000011</v>
      </c>
      <c r="M16" s="117">
        <v>1512.415829547685</v>
      </c>
      <c r="O16" s="74" t="s">
        <v>163</v>
      </c>
      <c r="P16" s="83">
        <f>IF(Q16=0,0,R16/Q16)</f>
        <v>39</v>
      </c>
      <c r="Q16" s="77">
        <v>4</v>
      </c>
      <c r="R16" s="68">
        <v>156</v>
      </c>
    </row>
    <row r="17" spans="1:18" x14ac:dyDescent="0.45">
      <c r="A17" s="19" t="s">
        <v>118</v>
      </c>
      <c r="B17" s="12">
        <v>39</v>
      </c>
      <c r="C17" s="6">
        <f>IF(B$3=0,0,B17/B$3)</f>
        <v>0.25827814569536423</v>
      </c>
      <c r="E17" s="27" t="s">
        <v>73</v>
      </c>
      <c r="F17" s="24" t="s">
        <v>28</v>
      </c>
      <c r="G17" s="12">
        <v>2</v>
      </c>
      <c r="H17" s="88">
        <f>IF(B$20=0,0,G17/B$20)</f>
        <v>3.9215686274509803E-2</v>
      </c>
      <c r="I17" s="58">
        <v>1</v>
      </c>
      <c r="K17" s="74">
        <v>15</v>
      </c>
      <c r="L17" s="119">
        <v>75.200000000000017</v>
      </c>
      <c r="M17" s="117">
        <v>1508.6093345703989</v>
      </c>
      <c r="O17" s="74" t="s">
        <v>192</v>
      </c>
      <c r="P17" s="83">
        <f>IF(Q17=0,0,R17/Q17)</f>
        <v>16.2</v>
      </c>
      <c r="Q17" s="77">
        <v>1</v>
      </c>
      <c r="R17" s="68">
        <v>16.2</v>
      </c>
    </row>
    <row r="18" spans="1:18" x14ac:dyDescent="0.45">
      <c r="A18" s="18" t="s">
        <v>123</v>
      </c>
      <c r="B18" s="11">
        <f>B24</f>
        <v>18</v>
      </c>
      <c r="C18" s="5">
        <f>IF(B$16=0,0,B18/B$16)</f>
        <v>0.54545454545454541</v>
      </c>
      <c r="E18" s="27" t="s">
        <v>78</v>
      </c>
      <c r="F18" s="24" t="s">
        <v>33</v>
      </c>
      <c r="G18" s="12">
        <v>2</v>
      </c>
      <c r="H18" s="88">
        <f>IF(B$20=0,0,G18/B$20)</f>
        <v>3.9215686274509803E-2</v>
      </c>
      <c r="I18" s="58">
        <v>3</v>
      </c>
      <c r="K18" s="74">
        <v>16</v>
      </c>
      <c r="L18" s="119">
        <v>83.000000000000014</v>
      </c>
      <c r="M18" s="117">
        <v>1510.5676785629764</v>
      </c>
      <c r="O18" s="74" t="s">
        <v>221</v>
      </c>
      <c r="P18" s="83">
        <f>IF(Q18=0,0,R18/Q18)</f>
        <v>16.2</v>
      </c>
      <c r="Q18" s="77">
        <v>1</v>
      </c>
      <c r="R18" s="68">
        <v>16.2</v>
      </c>
    </row>
    <row r="19" spans="1:18" x14ac:dyDescent="0.45">
      <c r="A19" s="18" t="s">
        <v>124</v>
      </c>
      <c r="B19" s="11">
        <f>B25</f>
        <v>23</v>
      </c>
      <c r="C19" s="5">
        <f>IF(B$17=0,0,B19/B$17)</f>
        <v>0.58974358974358976</v>
      </c>
      <c r="E19" s="27" t="s">
        <v>75</v>
      </c>
      <c r="F19" s="24" t="s">
        <v>30</v>
      </c>
      <c r="G19" s="12">
        <v>1</v>
      </c>
      <c r="H19" s="88">
        <f>IF(B$20=0,0,G19/B$20)</f>
        <v>1.9607843137254902E-2</v>
      </c>
      <c r="I19" s="58">
        <v>1</v>
      </c>
      <c r="K19" s="74">
        <v>17</v>
      </c>
      <c r="L19" s="119">
        <v>81.600000000000009</v>
      </c>
      <c r="M19" s="117">
        <v>1510.8582724915987</v>
      </c>
      <c r="O19" s="74" t="s">
        <v>216</v>
      </c>
      <c r="P19" s="83">
        <f>IF(Q19=0,0,R19/Q19)</f>
        <v>15.922222222222224</v>
      </c>
      <c r="Q19" s="77">
        <v>9</v>
      </c>
      <c r="R19" s="68">
        <v>143.30000000000001</v>
      </c>
    </row>
    <row r="20" spans="1:18" x14ac:dyDescent="0.45">
      <c r="A20" s="18" t="s">
        <v>10</v>
      </c>
      <c r="B20" s="11">
        <f>B23+B22</f>
        <v>51</v>
      </c>
      <c r="C20" s="5">
        <f>IF(B$3=0,0,B20/B$3)</f>
        <v>0.33774834437086093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190</v>
      </c>
      <c r="P20" s="83">
        <f>IF(Q20=0,0,R20/Q20)</f>
        <v>6.5999999999999988</v>
      </c>
      <c r="Q20" s="77">
        <v>3</v>
      </c>
      <c r="R20" s="68">
        <v>19.799999999999997</v>
      </c>
    </row>
    <row r="21" spans="1:18" x14ac:dyDescent="0.45">
      <c r="A21" s="19" t="s">
        <v>13</v>
      </c>
      <c r="B21" s="12">
        <v>23</v>
      </c>
      <c r="C21" s="6">
        <f>IF(B$3=0,0,B21/B$3)</f>
        <v>0.15231788079470199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126</v>
      </c>
      <c r="P21" s="83">
        <f>IF(Q21=0,0,R21/Q21)</f>
        <v>0.48333333333333323</v>
      </c>
      <c r="Q21" s="77">
        <v>12</v>
      </c>
      <c r="R21" s="68">
        <v>5.7999999999999989</v>
      </c>
    </row>
    <row r="22" spans="1:18" x14ac:dyDescent="0.45">
      <c r="A22" s="19" t="s">
        <v>12</v>
      </c>
      <c r="B22" s="12">
        <v>20</v>
      </c>
      <c r="C22" s="6">
        <f>IF(B$20=0,0,B22/B$20)</f>
        <v>0.39215686274509803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O22" s="74" t="s">
        <v>189</v>
      </c>
      <c r="P22" s="83">
        <f>IF(Q22=0,0,R22/Q22)</f>
        <v>-1.3800000000000014</v>
      </c>
      <c r="Q22" s="77">
        <v>5</v>
      </c>
      <c r="R22" s="68">
        <v>-6.9000000000000075</v>
      </c>
    </row>
    <row r="23" spans="1:18" x14ac:dyDescent="0.45">
      <c r="A23" s="19" t="s">
        <v>11</v>
      </c>
      <c r="B23" s="12">
        <v>31</v>
      </c>
      <c r="C23" s="6">
        <f>IF(B$20=0,0,B23/B$20)</f>
        <v>0.60784313725490191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7</v>
      </c>
      <c r="O23" s="74" t="s">
        <v>193</v>
      </c>
      <c r="P23" s="83">
        <f>IF(Q23=0,0,R23/Q23)</f>
        <v>-7.1999999999999993</v>
      </c>
      <c r="Q23" s="77">
        <v>2</v>
      </c>
      <c r="R23" s="68">
        <v>-14.399999999999999</v>
      </c>
    </row>
    <row r="24" spans="1:18" x14ac:dyDescent="0.45">
      <c r="A24" s="19" t="s">
        <v>183</v>
      </c>
      <c r="B24" s="12">
        <v>18</v>
      </c>
      <c r="C24" s="6">
        <f>IF(B$20=0,0,B24/B$20)</f>
        <v>0.35294117647058826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23</v>
      </c>
      <c r="C25" s="6">
        <f>IF(B$20=0,0,B25/B$20)</f>
        <v>0.45098039215686275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10</v>
      </c>
      <c r="C26" s="6">
        <f>IF(B$20=0,0,B26/B$20)</f>
        <v>0.19607843137254902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8115.6862745098042</v>
      </c>
      <c r="C27" s="8">
        <v>413900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</row>
    <row r="28" spans="1:18" x14ac:dyDescent="0.45">
      <c r="A28" s="20" t="s">
        <v>165</v>
      </c>
      <c r="B28" s="95">
        <f>IF($B$20-B$19=0,0,C28/($B$20-B$19))</f>
        <v>8725</v>
      </c>
      <c r="C28" s="96">
        <v>244300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7373.913043478261</v>
      </c>
      <c r="C29" s="96">
        <v>169600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4</v>
      </c>
    </row>
    <row r="30" spans="1:18" x14ac:dyDescent="0.45">
      <c r="A30" s="20" t="s">
        <v>164</v>
      </c>
      <c r="B30" s="95">
        <f>IF(B$21=0,0,C30/B$21)</f>
        <v>-7365.217391304348</v>
      </c>
      <c r="C30" s="96">
        <v>-169400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30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6.6225165562913907E-3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3</v>
      </c>
      <c r="C37" s="98">
        <f t="shared" ref="C37:C49" si="2">IF(B$20=0,0,B37/B$20)</f>
        <v>5.8823529411764705E-2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13</v>
      </c>
      <c r="C38" s="6">
        <f t="shared" si="2"/>
        <v>0.25490196078431371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9</v>
      </c>
      <c r="C39" s="6">
        <f t="shared" si="2"/>
        <v>0.17647058823529413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9</v>
      </c>
      <c r="C40" s="6">
        <f t="shared" si="2"/>
        <v>0.17647058823529413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2"/>
        <v>5.8823529411764705E-2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5</v>
      </c>
      <c r="C42" s="6">
        <f t="shared" si="2"/>
        <v>9.8039215686274508E-2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3</v>
      </c>
      <c r="C43" s="6">
        <f t="shared" si="2"/>
        <v>5.8823529411764705E-2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3</v>
      </c>
      <c r="C44" s="6">
        <f t="shared" si="2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1.9607843137254902E-2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2"/>
        <v>1.9607843137254902E-2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1</v>
      </c>
      <c r="C47" s="6">
        <f t="shared" si="2"/>
        <v>1.9607843137254902E-2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3DF6E-1B51-4CC6-B000-E82FF9DCEBDF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21</v>
      </c>
      <c r="C2" s="134"/>
      <c r="E2" s="26" t="s">
        <v>66</v>
      </c>
      <c r="F2" s="23" t="s">
        <v>22</v>
      </c>
      <c r="G2" s="11">
        <v>56</v>
      </c>
      <c r="H2" s="87">
        <f>IF(B$20=0,0,G2/B$20)</f>
        <v>0.94915254237288138</v>
      </c>
      <c r="I2" s="57">
        <v>2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-133.33333333333334</v>
      </c>
      <c r="Q2" s="76">
        <v>21</v>
      </c>
      <c r="R2" s="63">
        <v>-2800</v>
      </c>
    </row>
    <row r="3" spans="1:18" x14ac:dyDescent="0.45">
      <c r="A3" s="19" t="s">
        <v>8</v>
      </c>
      <c r="B3" s="135">
        <v>179</v>
      </c>
      <c r="C3" s="136"/>
      <c r="E3" s="27" t="s">
        <v>72</v>
      </c>
      <c r="F3" s="24" t="s">
        <v>27</v>
      </c>
      <c r="G3" s="12">
        <v>31</v>
      </c>
      <c r="H3" s="88">
        <f>IF(B$20=0,0,G3/B$20)</f>
        <v>0.52542372881355937</v>
      </c>
      <c r="I3" s="58">
        <v>9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-260</v>
      </c>
      <c r="Q3" s="77">
        <v>20</v>
      </c>
      <c r="R3" s="64">
        <v>-5200</v>
      </c>
    </row>
    <row r="4" spans="1:18" x14ac:dyDescent="0.45">
      <c r="A4" s="19" t="s">
        <v>6</v>
      </c>
      <c r="B4" s="137">
        <v>66.2</v>
      </c>
      <c r="C4" s="138"/>
      <c r="E4" s="27" t="s">
        <v>159</v>
      </c>
      <c r="F4" s="24" t="s">
        <v>160</v>
      </c>
      <c r="G4" s="12">
        <v>30</v>
      </c>
      <c r="H4" s="88">
        <f>IF(B$20=0,0,G4/B$20)</f>
        <v>0.50847457627118642</v>
      </c>
      <c r="I4" s="58">
        <v>1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-80</v>
      </c>
      <c r="Q4" s="77">
        <v>20</v>
      </c>
      <c r="R4" s="64">
        <v>-1600</v>
      </c>
    </row>
    <row r="5" spans="1:18" x14ac:dyDescent="0.45">
      <c r="A5" s="19" t="s">
        <v>7</v>
      </c>
      <c r="B5" s="125">
        <f>IF(B$2=0,0,B$4/B$2)</f>
        <v>3.1523809523809527</v>
      </c>
      <c r="C5" s="126"/>
      <c r="E5" s="27" t="s">
        <v>64</v>
      </c>
      <c r="F5" s="24" t="s">
        <v>20</v>
      </c>
      <c r="G5" s="12">
        <v>19</v>
      </c>
      <c r="H5" s="88">
        <f>IF(B$20=0,0,G5/B$20)</f>
        <v>0.32203389830508472</v>
      </c>
      <c r="I5" s="58">
        <v>8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457.89473684210526</v>
      </c>
      <c r="Q5" s="77">
        <v>19</v>
      </c>
      <c r="R5" s="64">
        <v>8700</v>
      </c>
    </row>
    <row r="6" spans="1:18" x14ac:dyDescent="0.45">
      <c r="A6" s="19" t="s">
        <v>196</v>
      </c>
      <c r="B6" s="129">
        <v>1537.7029460272888</v>
      </c>
      <c r="C6" s="130"/>
      <c r="E6" s="27" t="s">
        <v>68</v>
      </c>
      <c r="F6" s="24" t="s">
        <v>12</v>
      </c>
      <c r="G6" s="12">
        <v>17</v>
      </c>
      <c r="H6" s="88">
        <f>IF(B$20=0,0,G6/B$20)</f>
        <v>0.28813559322033899</v>
      </c>
      <c r="I6" s="58">
        <v>6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1605.5555555555557</v>
      </c>
      <c r="Q6" s="77">
        <v>18</v>
      </c>
      <c r="R6" s="64">
        <v>28900</v>
      </c>
    </row>
    <row r="7" spans="1:18" x14ac:dyDescent="0.45">
      <c r="A7" s="19" t="s">
        <v>1</v>
      </c>
      <c r="B7" s="139">
        <f>IF(B$2=0,0,(B$8*1+B$9*2+B$10*3)/B$2)</f>
        <v>1.8095238095238095</v>
      </c>
      <c r="C7" s="140"/>
      <c r="E7" s="27" t="s">
        <v>70</v>
      </c>
      <c r="F7" s="24" t="s">
        <v>25</v>
      </c>
      <c r="G7" s="12">
        <v>9</v>
      </c>
      <c r="H7" s="88">
        <f>IF(B$20=0,0,G7/B$20)</f>
        <v>0.15254237288135594</v>
      </c>
      <c r="I7" s="58">
        <v>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-493.33333333333331</v>
      </c>
      <c r="Q7" s="78">
        <v>15</v>
      </c>
      <c r="R7" s="65">
        <v>-7400</v>
      </c>
    </row>
    <row r="8" spans="1:18" x14ac:dyDescent="0.45">
      <c r="A8" s="19" t="s">
        <v>2</v>
      </c>
      <c r="B8" s="12">
        <v>9</v>
      </c>
      <c r="C8" s="6">
        <f t="shared" ref="C8:C15" si="1">IF(B$2=0,0,B8/B$2)</f>
        <v>0.42857142857142855</v>
      </c>
      <c r="E8" s="27" t="s">
        <v>89</v>
      </c>
      <c r="F8" s="24" t="s">
        <v>44</v>
      </c>
      <c r="G8" s="12">
        <v>9</v>
      </c>
      <c r="H8" s="88">
        <f>IF(B$20=0,0,G8/B$20)</f>
        <v>0.15254237288135594</v>
      </c>
      <c r="I8" s="58">
        <v>8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0.33333333333333331</v>
      </c>
      <c r="E9" s="27" t="s">
        <v>67</v>
      </c>
      <c r="F9" s="24" t="s">
        <v>23</v>
      </c>
      <c r="G9" s="12">
        <v>8</v>
      </c>
      <c r="H9" s="88">
        <f>IF(B$20=0,0,G9/B$20)</f>
        <v>0.13559322033898305</v>
      </c>
      <c r="I9" s="58">
        <v>9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0.23809523809523808</v>
      </c>
      <c r="E10" s="27" t="s">
        <v>69</v>
      </c>
      <c r="F10" s="24" t="s">
        <v>24</v>
      </c>
      <c r="G10" s="12">
        <v>6</v>
      </c>
      <c r="H10" s="88">
        <f>IF(B$20=0,0,G10/B$20)</f>
        <v>0.10169491525423729</v>
      </c>
      <c r="I10" s="58">
        <v>7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5.2</v>
      </c>
      <c r="Q10" s="76">
        <v>10</v>
      </c>
      <c r="R10" s="67">
        <v>52</v>
      </c>
    </row>
    <row r="11" spans="1:18" x14ac:dyDescent="0.45">
      <c r="A11" s="20" t="s">
        <v>184</v>
      </c>
      <c r="B11" s="109">
        <f>IF(B8=0,0,C11/B8)</f>
        <v>30.111111111111111</v>
      </c>
      <c r="C11" s="110">
        <v>271</v>
      </c>
      <c r="E11" s="27" t="s">
        <v>71</v>
      </c>
      <c r="F11" s="24" t="s">
        <v>26</v>
      </c>
      <c r="G11" s="12">
        <v>6</v>
      </c>
      <c r="H11" s="88">
        <f>IF(B$20=0,0,G11/B$20)</f>
        <v>0.10169491525423729</v>
      </c>
      <c r="I11" s="58">
        <v>2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-10.971428571428572</v>
      </c>
      <c r="Q11" s="77">
        <v>7</v>
      </c>
      <c r="R11" s="68">
        <v>-76.8</v>
      </c>
    </row>
    <row r="12" spans="1:18" x14ac:dyDescent="0.45">
      <c r="A12" s="20" t="s">
        <v>185</v>
      </c>
      <c r="B12" s="109">
        <f>IF(B9=0,0,C12/B9)</f>
        <v>-3.157142857142857</v>
      </c>
      <c r="C12" s="110">
        <v>-22.099999999999998</v>
      </c>
      <c r="E12" s="27" t="s">
        <v>78</v>
      </c>
      <c r="F12" s="24" t="s">
        <v>33</v>
      </c>
      <c r="G12" s="12">
        <v>2</v>
      </c>
      <c r="H12" s="88">
        <f>IF(B$20=0,0,G12/B$20)</f>
        <v>3.3898305084745763E-2</v>
      </c>
      <c r="I12" s="58">
        <v>4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22.75</v>
      </c>
      <c r="Q12" s="78">
        <v>4</v>
      </c>
      <c r="R12" s="69">
        <v>91</v>
      </c>
    </row>
    <row r="13" spans="1:18" x14ac:dyDescent="0.45">
      <c r="A13" s="20" t="s">
        <v>186</v>
      </c>
      <c r="B13" s="109">
        <f>IF(B10=0,0,C13/B10)</f>
        <v>-36.54</v>
      </c>
      <c r="C13" s="110">
        <v>-182.7</v>
      </c>
      <c r="E13" s="27" t="s">
        <v>83</v>
      </c>
      <c r="F13" s="24" t="s">
        <v>38</v>
      </c>
      <c r="G13" s="12">
        <v>2</v>
      </c>
      <c r="H13" s="88">
        <f>IF(B$20=0,0,G13/B$20)</f>
        <v>3.3898305084745763E-2</v>
      </c>
      <c r="I13" s="58">
        <v>8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-3.1953439153439156</v>
      </c>
      <c r="C14" s="126"/>
      <c r="E14" s="27" t="s">
        <v>86</v>
      </c>
      <c r="F14" s="24" t="s">
        <v>41</v>
      </c>
      <c r="G14" s="12">
        <v>2</v>
      </c>
      <c r="H14" s="88">
        <f>IF(B$20=0,0,G14/B$20)</f>
        <v>3.3898305084745763E-2</v>
      </c>
      <c r="I14" s="58">
        <v>6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9.5238095238095233E-2</v>
      </c>
      <c r="E15" s="27" t="s">
        <v>73</v>
      </c>
      <c r="F15" s="24" t="s">
        <v>28</v>
      </c>
      <c r="G15" s="12">
        <v>1</v>
      </c>
      <c r="H15" s="88">
        <f>IF(B$20=0,0,G15/B$20)</f>
        <v>1.6949152542372881E-2</v>
      </c>
      <c r="I15" s="58">
        <v>2</v>
      </c>
      <c r="K15" s="74">
        <v>13</v>
      </c>
      <c r="L15" s="119">
        <v>-48.5</v>
      </c>
      <c r="M15" s="117">
        <v>1514.0489698444221</v>
      </c>
      <c r="O15" s="73" t="s">
        <v>163</v>
      </c>
      <c r="P15" s="82">
        <f>IF(Q15=0,0,R15/Q15)</f>
        <v>40.900000000000006</v>
      </c>
      <c r="Q15" s="76">
        <v>2</v>
      </c>
      <c r="R15" s="67">
        <v>81.800000000000011</v>
      </c>
    </row>
    <row r="16" spans="1:18" x14ac:dyDescent="0.45">
      <c r="A16" s="22" t="s">
        <v>121</v>
      </c>
      <c r="B16" s="15">
        <v>41</v>
      </c>
      <c r="C16" s="10">
        <f>IF(B$3=0,0,B16/B$3)</f>
        <v>0.22905027932960895</v>
      </c>
      <c r="E16" s="27" t="s">
        <v>79</v>
      </c>
      <c r="F16" s="24" t="s">
        <v>34</v>
      </c>
      <c r="G16" s="12">
        <v>1</v>
      </c>
      <c r="H16" s="88">
        <f>IF(B$20=0,0,G16/B$20)</f>
        <v>1.6949152542372881E-2</v>
      </c>
      <c r="I16" s="58">
        <v>5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>IF(Q16=0,0,R16/Q16)</f>
        <v>35.1</v>
      </c>
      <c r="Q16" s="77">
        <v>1</v>
      </c>
      <c r="R16" s="68">
        <v>35.1</v>
      </c>
    </row>
    <row r="17" spans="1:18" x14ac:dyDescent="0.45">
      <c r="A17" s="19" t="s">
        <v>118</v>
      </c>
      <c r="B17" s="12">
        <v>47</v>
      </c>
      <c r="C17" s="6">
        <f>IF(B$3=0,0,B17/B$3)</f>
        <v>0.26256983240223464</v>
      </c>
      <c r="E17" s="27" t="s">
        <v>81</v>
      </c>
      <c r="F17" s="24" t="s">
        <v>36</v>
      </c>
      <c r="G17" s="12">
        <v>1</v>
      </c>
      <c r="H17" s="88">
        <f>IF(B$20=0,0,G17/B$20)</f>
        <v>1.6949152542372881E-2</v>
      </c>
      <c r="I17" s="58">
        <v>8</v>
      </c>
      <c r="K17" s="74">
        <v>15</v>
      </c>
      <c r="L17" s="119">
        <v>22.500000000000004</v>
      </c>
      <c r="M17" s="117">
        <v>1526.5944319692035</v>
      </c>
      <c r="O17" s="74" t="s">
        <v>221</v>
      </c>
      <c r="P17" s="83">
        <f>IF(Q17=0,0,R17/Q17)</f>
        <v>17</v>
      </c>
      <c r="Q17" s="77">
        <v>1</v>
      </c>
      <c r="R17" s="68">
        <v>17</v>
      </c>
    </row>
    <row r="18" spans="1:18" x14ac:dyDescent="0.45">
      <c r="A18" s="18" t="s">
        <v>123</v>
      </c>
      <c r="B18" s="11">
        <f>B24</f>
        <v>20</v>
      </c>
      <c r="C18" s="5">
        <f>IF(B$16=0,0,B18/B$16)</f>
        <v>0.48780487804878048</v>
      </c>
      <c r="E18" s="27" t="s">
        <v>88</v>
      </c>
      <c r="F18" s="24" t="s">
        <v>43</v>
      </c>
      <c r="G18" s="12">
        <v>1</v>
      </c>
      <c r="H18" s="88">
        <f>IF(B$20=0,0,G18/B$20)</f>
        <v>1.6949152542372881E-2</v>
      </c>
      <c r="I18" s="58">
        <v>2</v>
      </c>
      <c r="K18" s="74">
        <v>16</v>
      </c>
      <c r="L18" s="119">
        <v>64.5</v>
      </c>
      <c r="M18" s="117">
        <v>1534.7448653773884</v>
      </c>
      <c r="O18" s="74" t="s">
        <v>189</v>
      </c>
      <c r="P18" s="83">
        <f>IF(Q18=0,0,R18/Q18)</f>
        <v>15.020000000000001</v>
      </c>
      <c r="Q18" s="77">
        <v>10</v>
      </c>
      <c r="R18" s="68">
        <v>150.20000000000002</v>
      </c>
    </row>
    <row r="19" spans="1:18" x14ac:dyDescent="0.45">
      <c r="A19" s="18" t="s">
        <v>124</v>
      </c>
      <c r="B19" s="11">
        <f>B25</f>
        <v>21</v>
      </c>
      <c r="C19" s="5">
        <f>IF(B$17=0,0,B19/B$17)</f>
        <v>0.44680851063829785</v>
      </c>
      <c r="E19" s="27" t="s">
        <v>155</v>
      </c>
      <c r="F19" s="24" t="s">
        <v>156</v>
      </c>
      <c r="G19" s="12">
        <v>1</v>
      </c>
      <c r="H19" s="88">
        <f>IF(B$20=0,0,G19/B$20)</f>
        <v>1.6949152542372881E-2</v>
      </c>
      <c r="I19" s="58">
        <v>3</v>
      </c>
      <c r="K19" s="74">
        <v>17</v>
      </c>
      <c r="L19" s="119">
        <v>10.5</v>
      </c>
      <c r="M19" s="117">
        <v>1525.5663961851239</v>
      </c>
      <c r="O19" s="74" t="s">
        <v>190</v>
      </c>
      <c r="P19" s="83">
        <f>IF(Q19=0,0,R19/Q19)</f>
        <v>3.0714285714285707</v>
      </c>
      <c r="Q19" s="77">
        <v>7</v>
      </c>
      <c r="R19" s="68">
        <v>21.499999999999996</v>
      </c>
    </row>
    <row r="20" spans="1:18" x14ac:dyDescent="0.45">
      <c r="A20" s="18" t="s">
        <v>10</v>
      </c>
      <c r="B20" s="11">
        <f>B23+B22</f>
        <v>59</v>
      </c>
      <c r="C20" s="5">
        <f>IF(B$3=0,0,B20/B$3)</f>
        <v>0.32960893854748602</v>
      </c>
      <c r="E20" s="27" t="s">
        <v>65</v>
      </c>
      <c r="F20" s="24" t="s">
        <v>21</v>
      </c>
      <c r="G20" s="12">
        <v>0</v>
      </c>
      <c r="H20" s="88">
        <f>IF(B$20=0,0,G20/B$20)</f>
        <v>0</v>
      </c>
      <c r="I20" s="58">
        <v>10</v>
      </c>
      <c r="K20" s="74">
        <v>18</v>
      </c>
      <c r="L20" s="119">
        <v>-22.299999999999997</v>
      </c>
      <c r="M20" s="117">
        <v>1520.2589978080132</v>
      </c>
      <c r="O20" s="74" t="s">
        <v>126</v>
      </c>
      <c r="P20" s="83">
        <f>IF(Q20=0,0,R20/Q20)</f>
        <v>-3.7999999999999963</v>
      </c>
      <c r="Q20" s="77">
        <v>17</v>
      </c>
      <c r="R20" s="68">
        <v>-64.599999999999937</v>
      </c>
    </row>
    <row r="21" spans="1:18" x14ac:dyDescent="0.45">
      <c r="A21" s="19" t="s">
        <v>13</v>
      </c>
      <c r="B21" s="12">
        <v>29</v>
      </c>
      <c r="C21" s="6">
        <f>IF(B$3=0,0,B21/B$3)</f>
        <v>0.16201117318435754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195</v>
      </c>
      <c r="P21" s="83">
        <f>IF(Q21=0,0,R21/Q21)</f>
        <v>-8.7333333333333343</v>
      </c>
      <c r="Q21" s="77">
        <v>3</v>
      </c>
      <c r="R21" s="68">
        <v>-26.200000000000003</v>
      </c>
    </row>
    <row r="22" spans="1:18" x14ac:dyDescent="0.45">
      <c r="A22" s="19" t="s">
        <v>12</v>
      </c>
      <c r="B22" s="12">
        <v>21</v>
      </c>
      <c r="C22" s="6">
        <f>IF(B$20=0,0,B22/B$20)</f>
        <v>0.3559322033898305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>IF(Q22=0,0,R22/Q22)</f>
        <v>-16.2</v>
      </c>
      <c r="Q22" s="77">
        <v>1</v>
      </c>
      <c r="R22" s="68">
        <v>-16.2</v>
      </c>
    </row>
    <row r="23" spans="1:18" x14ac:dyDescent="0.45">
      <c r="A23" s="19" t="s">
        <v>11</v>
      </c>
      <c r="B23" s="12">
        <v>38</v>
      </c>
      <c r="C23" s="6">
        <f>IF(B$20=0,0,B23/B$20)</f>
        <v>0.64406779661016944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</row>
    <row r="24" spans="1:18" x14ac:dyDescent="0.45">
      <c r="A24" s="19" t="s">
        <v>183</v>
      </c>
      <c r="B24" s="12">
        <v>20</v>
      </c>
      <c r="C24" s="6">
        <f>IF(B$20=0,0,B24/B$20)</f>
        <v>0.33898305084745761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3</v>
      </c>
    </row>
    <row r="25" spans="1:18" x14ac:dyDescent="0.45">
      <c r="A25" s="19" t="s">
        <v>181</v>
      </c>
      <c r="B25" s="12">
        <v>21</v>
      </c>
      <c r="C25" s="6">
        <f>IF(B$20=0,0,B25/B$20)</f>
        <v>0.3559322033898305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18</v>
      </c>
      <c r="C26" s="6">
        <f>IF(B$20=0,0,B26/B$20)</f>
        <v>0.30508474576271188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7345.7627118644068</v>
      </c>
      <c r="C27" s="8">
        <v>433400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8200</v>
      </c>
      <c r="C28" s="96">
        <v>311600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5800</v>
      </c>
      <c r="C29" s="96">
        <v>121800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-7089.6551724137935</v>
      </c>
      <c r="C30" s="96">
        <v>-205600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6</v>
      </c>
      <c r="C31" s="90">
        <v>1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5</v>
      </c>
    </row>
    <row r="32" spans="1:18" x14ac:dyDescent="0.45">
      <c r="A32" s="19" t="s">
        <v>158</v>
      </c>
      <c r="B32" s="12">
        <v>16</v>
      </c>
      <c r="C32" s="90">
        <v>1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67700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6</v>
      </c>
      <c r="C37" s="98">
        <f t="shared" ref="C37:C49" si="2">IF(B$20=0,0,B37/B$20)</f>
        <v>0.10169491525423729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13</v>
      </c>
      <c r="C38" s="6">
        <f t="shared" si="2"/>
        <v>0.22033898305084745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12</v>
      </c>
      <c r="C39" s="6">
        <f t="shared" si="2"/>
        <v>0.20338983050847459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9</v>
      </c>
      <c r="C40" s="6">
        <f t="shared" si="2"/>
        <v>0.15254237288135594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9</v>
      </c>
      <c r="C41" s="6">
        <f t="shared" si="2"/>
        <v>0.15254237288135594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</v>
      </c>
      <c r="C42" s="6">
        <f t="shared" si="2"/>
        <v>1.6949152542372881E-2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6</v>
      </c>
      <c r="C43" s="6">
        <f t="shared" si="2"/>
        <v>0.10169491525423729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3.3898305084745763E-2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1.6949152542372881E-2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53932-1757-4D90-9AFE-BC2EB9350461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14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0.6</v>
      </c>
      <c r="I2" s="57">
        <v>10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-1221.4285714285713</v>
      </c>
      <c r="Q2" s="76">
        <v>14</v>
      </c>
      <c r="R2" s="63">
        <v>-17100</v>
      </c>
    </row>
    <row r="3" spans="1:18" x14ac:dyDescent="0.45">
      <c r="A3" s="19" t="s">
        <v>8</v>
      </c>
      <c r="B3" s="135">
        <v>111</v>
      </c>
      <c r="C3" s="136"/>
      <c r="E3" s="27" t="s">
        <v>72</v>
      </c>
      <c r="F3" s="24" t="s">
        <v>27</v>
      </c>
      <c r="G3" s="12">
        <v>14</v>
      </c>
      <c r="H3" s="88">
        <f>IF(B$20=0,0,G3/B$20)</f>
        <v>0.56000000000000005</v>
      </c>
      <c r="I3" s="58">
        <v>8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-907.14285714285711</v>
      </c>
      <c r="Q3" s="77">
        <v>14</v>
      </c>
      <c r="R3" s="64">
        <v>-12700</v>
      </c>
    </row>
    <row r="4" spans="1:18" x14ac:dyDescent="0.45">
      <c r="A4" s="19" t="s">
        <v>6</v>
      </c>
      <c r="B4" s="137">
        <v>-95.6</v>
      </c>
      <c r="C4" s="138"/>
      <c r="E4" s="27" t="s">
        <v>64</v>
      </c>
      <c r="F4" s="24" t="s">
        <v>20</v>
      </c>
      <c r="G4" s="12">
        <v>11</v>
      </c>
      <c r="H4" s="88">
        <f>IF(B$20=0,0,G4/B$20)</f>
        <v>0.44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-4335.7142857142853</v>
      </c>
      <c r="Q4" s="77">
        <v>14</v>
      </c>
      <c r="R4" s="64">
        <v>-60700</v>
      </c>
    </row>
    <row r="5" spans="1:18" x14ac:dyDescent="0.45">
      <c r="A5" s="19" t="s">
        <v>7</v>
      </c>
      <c r="B5" s="125">
        <f>IF(B$2=0,0,B$4/B$2)</f>
        <v>-6.8285714285714283</v>
      </c>
      <c r="C5" s="126"/>
      <c r="E5" s="27" t="s">
        <v>159</v>
      </c>
      <c r="F5" s="24" t="s">
        <v>160</v>
      </c>
      <c r="G5" s="12">
        <v>9</v>
      </c>
      <c r="H5" s="88">
        <f>IF(B$20=0,0,G5/B$20)</f>
        <v>0.36</v>
      </c>
      <c r="I5" s="58">
        <v>8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-161.53846153846155</v>
      </c>
      <c r="Q5" s="77">
        <v>13</v>
      </c>
      <c r="R5" s="64">
        <v>-2100</v>
      </c>
    </row>
    <row r="6" spans="1:18" x14ac:dyDescent="0.45">
      <c r="A6" s="19" t="s">
        <v>196</v>
      </c>
      <c r="B6" s="129">
        <v>1488.317150804671</v>
      </c>
      <c r="C6" s="130"/>
      <c r="E6" s="27" t="s">
        <v>68</v>
      </c>
      <c r="F6" s="24" t="s">
        <v>12</v>
      </c>
      <c r="G6" s="12">
        <v>6</v>
      </c>
      <c r="H6" s="88">
        <f>IF(B$20=0,0,G6/B$20)</f>
        <v>0.24</v>
      </c>
      <c r="I6" s="58">
        <v>8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-581.81818181818187</v>
      </c>
      <c r="Q6" s="77">
        <v>11</v>
      </c>
      <c r="R6" s="64">
        <v>-6400</v>
      </c>
    </row>
    <row r="7" spans="1:18" x14ac:dyDescent="0.45">
      <c r="A7" s="19" t="s">
        <v>1</v>
      </c>
      <c r="B7" s="139">
        <f>IF(B$2=0,0,(B$8*1+B$9*2+B$10*3)/B$2)</f>
        <v>2.1428571428571428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0.24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2945.4545454545455</v>
      </c>
      <c r="Q7" s="78">
        <v>11</v>
      </c>
      <c r="R7" s="65">
        <v>32400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0.2857142857142857</v>
      </c>
      <c r="E8" s="27" t="s">
        <v>65</v>
      </c>
      <c r="F8" s="24" t="s">
        <v>21</v>
      </c>
      <c r="G8" s="12">
        <v>4</v>
      </c>
      <c r="H8" s="88">
        <f>IF(B$20=0,0,G8/B$20)</f>
        <v>0.16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5">
      <c r="A9" s="19" t="s">
        <v>3</v>
      </c>
      <c r="B9" s="12">
        <v>4</v>
      </c>
      <c r="C9" s="6">
        <f t="shared" si="1"/>
        <v>0.2857142857142857</v>
      </c>
      <c r="E9" s="27" t="s">
        <v>67</v>
      </c>
      <c r="F9" s="24" t="s">
        <v>23</v>
      </c>
      <c r="G9" s="12">
        <v>3</v>
      </c>
      <c r="H9" s="88">
        <f>IF(B$20=0,0,G9/B$20)</f>
        <v>0.12</v>
      </c>
      <c r="I9" s="58">
        <v>10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6</v>
      </c>
      <c r="C10" s="7">
        <f t="shared" si="1"/>
        <v>0.42857142857142855</v>
      </c>
      <c r="E10" s="27" t="s">
        <v>70</v>
      </c>
      <c r="F10" s="24" t="s">
        <v>25</v>
      </c>
      <c r="G10" s="12">
        <v>3</v>
      </c>
      <c r="H10" s="88">
        <f>IF(B$20=0,0,G10/B$20)</f>
        <v>0.12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-15.66</v>
      </c>
      <c r="Q10" s="76">
        <v>5</v>
      </c>
      <c r="R10" s="67">
        <v>-78.3</v>
      </c>
    </row>
    <row r="11" spans="1:18" x14ac:dyDescent="0.45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0.12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-17.133333333333333</v>
      </c>
      <c r="Q11" s="77">
        <v>3</v>
      </c>
      <c r="R11" s="68">
        <v>-51.4</v>
      </c>
    </row>
    <row r="12" spans="1:18" x14ac:dyDescent="0.45">
      <c r="A12" s="20" t="s">
        <v>185</v>
      </c>
      <c r="B12" s="109">
        <f>IF(B9=0,0,C12/B9)</f>
        <v>-3.6750000000000003</v>
      </c>
      <c r="C12" s="110">
        <v>-14.700000000000001</v>
      </c>
      <c r="E12" s="27" t="s">
        <v>69</v>
      </c>
      <c r="F12" s="24" t="s">
        <v>24</v>
      </c>
      <c r="G12" s="12">
        <v>2</v>
      </c>
      <c r="H12" s="88">
        <f>IF(B$20=0,0,G12/B$20)</f>
        <v>0.08</v>
      </c>
      <c r="I12" s="58">
        <v>8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5">
      <c r="A13" s="20" t="s">
        <v>186</v>
      </c>
      <c r="B13" s="109">
        <f>IF(B10=0,0,C13/B10)</f>
        <v>-39.4</v>
      </c>
      <c r="C13" s="110">
        <v>-236.4</v>
      </c>
      <c r="E13" s="27" t="s">
        <v>71</v>
      </c>
      <c r="F13" s="24" t="s">
        <v>26</v>
      </c>
      <c r="G13" s="12">
        <v>2</v>
      </c>
      <c r="H13" s="88">
        <f>IF(B$20=0,0,G13/B$20)</f>
        <v>0.08</v>
      </c>
      <c r="I13" s="58">
        <v>3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-1.3999999999999986</v>
      </c>
      <c r="C14" s="126"/>
      <c r="E14" s="27" t="s">
        <v>77</v>
      </c>
      <c r="F14" s="24" t="s">
        <v>32</v>
      </c>
      <c r="G14" s="12">
        <v>1</v>
      </c>
      <c r="H14" s="88">
        <f>IF(B$20=0,0,G14/B$20)</f>
        <v>0.04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7.1428571428571425E-2</v>
      </c>
      <c r="E15" s="27" t="s">
        <v>81</v>
      </c>
      <c r="F15" s="24" t="s">
        <v>36</v>
      </c>
      <c r="G15" s="12">
        <v>1</v>
      </c>
      <c r="H15" s="88">
        <f>IF(B$20=0,0,G15/B$20)</f>
        <v>0.04</v>
      </c>
      <c r="I15" s="58">
        <v>4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26</v>
      </c>
      <c r="C16" s="10">
        <f>IF(B$3=0,0,B16/B$3)</f>
        <v>0.23423423423423423</v>
      </c>
      <c r="E16" s="27" t="s">
        <v>85</v>
      </c>
      <c r="F16" s="24" t="s">
        <v>40</v>
      </c>
      <c r="G16" s="12">
        <v>1</v>
      </c>
      <c r="H16" s="88">
        <f>IF(B$20=0,0,G16/B$20)</f>
        <v>0.04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>IF(Q16=0,0,R16/Q16)</f>
        <v>1.85</v>
      </c>
      <c r="Q16" s="77">
        <v>8</v>
      </c>
      <c r="R16" s="68">
        <v>14.8</v>
      </c>
    </row>
    <row r="17" spans="1:18" x14ac:dyDescent="0.45">
      <c r="A17" s="19" t="s">
        <v>118</v>
      </c>
      <c r="B17" s="12">
        <v>23</v>
      </c>
      <c r="C17" s="6">
        <f>IF(B$3=0,0,B17/B$3)</f>
        <v>0.2072072072072072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5</v>
      </c>
      <c r="O17" s="74" t="s">
        <v>211</v>
      </c>
      <c r="P17" s="83">
        <f>IF(Q17=0,0,R17/Q17)</f>
        <v>-15.922222222222224</v>
      </c>
      <c r="Q17" s="77">
        <v>9</v>
      </c>
      <c r="R17" s="68">
        <v>-143.30000000000001</v>
      </c>
    </row>
    <row r="18" spans="1:18" x14ac:dyDescent="0.45">
      <c r="A18" s="18" t="s">
        <v>123</v>
      </c>
      <c r="B18" s="11">
        <f>B24</f>
        <v>12</v>
      </c>
      <c r="C18" s="5">
        <f>IF(B$16=0,0,B18/B$16)</f>
        <v>0.46153846153846156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192</v>
      </c>
      <c r="P18" s="83">
        <f>IF(Q18=0,0,R18/Q18)</f>
        <v>-35.1</v>
      </c>
      <c r="Q18" s="77">
        <v>1</v>
      </c>
      <c r="R18" s="68">
        <v>-35.1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0.30434782608695654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  <c r="O19" s="74" t="s">
        <v>189</v>
      </c>
      <c r="P19" s="83">
        <f>IF(Q19=0,0,R19/Q19)</f>
        <v>-35.5</v>
      </c>
      <c r="Q19" s="77">
        <v>1</v>
      </c>
      <c r="R19" s="68">
        <v>-35.5</v>
      </c>
    </row>
    <row r="20" spans="1:18" x14ac:dyDescent="0.45">
      <c r="A20" s="18" t="s">
        <v>10</v>
      </c>
      <c r="B20" s="11">
        <f>B23+B22</f>
        <v>25</v>
      </c>
      <c r="C20" s="5">
        <f>IF(B$3=0,0,B20/B$3)</f>
        <v>0.22522522522522523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O20" s="74" t="s">
        <v>163</v>
      </c>
      <c r="P20" s="83">
        <f>IF(Q20=0,0,R20/Q20)</f>
        <v>-39.880000000000003</v>
      </c>
      <c r="Q20" s="77">
        <v>5</v>
      </c>
      <c r="R20" s="68">
        <v>-199.4</v>
      </c>
    </row>
    <row r="21" spans="1:18" x14ac:dyDescent="0.45">
      <c r="A21" s="19" t="s">
        <v>13</v>
      </c>
      <c r="B21" s="12">
        <v>24</v>
      </c>
      <c r="C21" s="6">
        <f>IF(B$3=0,0,B21/B$3)</f>
        <v>0.21621621621621623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11</v>
      </c>
      <c r="C22" s="6">
        <f>IF(B$20=0,0,B22/B$20)</f>
        <v>0.44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14</v>
      </c>
      <c r="C23" s="6">
        <f>IF(B$20=0,0,B23/B$20)</f>
        <v>0.56000000000000005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12</v>
      </c>
      <c r="C24" s="6">
        <f>IF(B$20=0,0,B24/B$20)</f>
        <v>0.48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0.28000000000000003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6</v>
      </c>
      <c r="C26" s="6">
        <f>IF(B$20=0,0,B26/B$20)</f>
        <v>0.24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7796</v>
      </c>
      <c r="C27" s="8">
        <v>194900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8922.2222222222226</v>
      </c>
      <c r="C28" s="96">
        <v>160600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4</v>
      </c>
    </row>
    <row r="29" spans="1:18" x14ac:dyDescent="0.45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-7654.166666666667</v>
      </c>
      <c r="C30" s="96">
        <v>-183700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17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2">IF(B$20=0,0,B37/B$20)</f>
        <v>0.16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5</v>
      </c>
      <c r="C38" s="6">
        <f t="shared" si="2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0.04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2"/>
        <v>0.24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2"/>
        <v>0.12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3</v>
      </c>
      <c r="C42" s="6">
        <f t="shared" si="2"/>
        <v>0.12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0.08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0.04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B3BB-0E90-4935-8404-B50392BE42B2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6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4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7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4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5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3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7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4</v>
      </c>
    </row>
    <row r="29" spans="1:18" x14ac:dyDescent="0.45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48DB-9B7B-4D79-A163-CE0BCBD5527D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64</v>
      </c>
      <c r="F2" s="23" t="s">
        <v>20</v>
      </c>
      <c r="G2" s="11">
        <v>7</v>
      </c>
      <c r="H2" s="87">
        <f>IF(B$20=0,0,G2/B$20)</f>
        <v>0.77777777777777779</v>
      </c>
      <c r="I2" s="57">
        <v>1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-6700</v>
      </c>
      <c r="Q2" s="76">
        <v>4</v>
      </c>
      <c r="R2" s="63">
        <v>-26800</v>
      </c>
    </row>
    <row r="3" spans="1:18" x14ac:dyDescent="0.45">
      <c r="A3" s="19" t="s">
        <v>8</v>
      </c>
      <c r="B3" s="135">
        <v>36</v>
      </c>
      <c r="C3" s="136"/>
      <c r="E3" s="27" t="s">
        <v>67</v>
      </c>
      <c r="F3" s="24" t="s">
        <v>23</v>
      </c>
      <c r="G3" s="12">
        <v>7</v>
      </c>
      <c r="H3" s="88">
        <f>IF(B$20=0,0,G3/B$20)</f>
        <v>0.77777777777777779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1925</v>
      </c>
      <c r="Q3" s="77">
        <v>4</v>
      </c>
      <c r="R3" s="64">
        <v>7700</v>
      </c>
    </row>
    <row r="4" spans="1:18" x14ac:dyDescent="0.45">
      <c r="A4" s="19" t="s">
        <v>6</v>
      </c>
      <c r="B4" s="137">
        <v>-14.699999999999996</v>
      </c>
      <c r="C4" s="138"/>
      <c r="E4" s="27" t="s">
        <v>68</v>
      </c>
      <c r="F4" s="24" t="s">
        <v>12</v>
      </c>
      <c r="G4" s="12">
        <v>7</v>
      </c>
      <c r="H4" s="88">
        <f>IF(B$20=0,0,G4/B$20)</f>
        <v>0.77777777777777779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-1950</v>
      </c>
      <c r="Q4" s="77">
        <v>4</v>
      </c>
      <c r="R4" s="64">
        <v>-7800</v>
      </c>
    </row>
    <row r="5" spans="1:18" x14ac:dyDescent="0.45">
      <c r="A5" s="19" t="s">
        <v>7</v>
      </c>
      <c r="B5" s="125">
        <f>IF(B$2=0,0,B$4/B$2)</f>
        <v>-3.6749999999999989</v>
      </c>
      <c r="C5" s="126"/>
      <c r="E5" s="27" t="s">
        <v>66</v>
      </c>
      <c r="F5" s="24" t="s">
        <v>22</v>
      </c>
      <c r="G5" s="12">
        <v>5</v>
      </c>
      <c r="H5" s="88">
        <f>IF(B$20=0,0,G5/B$20)</f>
        <v>0.55555555555555558</v>
      </c>
      <c r="I5" s="58">
        <v>11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-2375</v>
      </c>
      <c r="Q5" s="77">
        <v>4</v>
      </c>
      <c r="R5" s="64">
        <v>-9500</v>
      </c>
    </row>
    <row r="6" spans="1:18" x14ac:dyDescent="0.45">
      <c r="A6" s="19" t="s">
        <v>196</v>
      </c>
      <c r="B6" s="129">
        <v>1393.6019525837494</v>
      </c>
      <c r="C6" s="130"/>
      <c r="E6" s="27" t="s">
        <v>159</v>
      </c>
      <c r="F6" s="24" t="s">
        <v>160</v>
      </c>
      <c r="G6" s="12">
        <v>4</v>
      </c>
      <c r="H6" s="88">
        <f>IF(B$20=0,0,G6/B$20)</f>
        <v>0.44444444444444442</v>
      </c>
      <c r="I6" s="58">
        <v>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1300</v>
      </c>
      <c r="Q6" s="77">
        <v>4</v>
      </c>
      <c r="R6" s="64">
        <v>5200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69</v>
      </c>
      <c r="F7" s="24" t="s">
        <v>24</v>
      </c>
      <c r="G7" s="12">
        <v>3</v>
      </c>
      <c r="H7" s="88">
        <f>IF(B$20=0,0,G7/B$20)</f>
        <v>0.33333333333333331</v>
      </c>
      <c r="I7" s="58">
        <v>1</v>
      </c>
      <c r="O7" s="75" t="s">
        <v>133</v>
      </c>
      <c r="P7" s="81">
        <f t="shared" si="0"/>
        <v>4125</v>
      </c>
      <c r="Q7" s="78">
        <v>4</v>
      </c>
      <c r="R7" s="65">
        <v>16500</v>
      </c>
    </row>
    <row r="8" spans="1:18" x14ac:dyDescent="0.45">
      <c r="A8" s="19" t="s">
        <v>2</v>
      </c>
      <c r="B8" s="12">
        <v>2</v>
      </c>
      <c r="C8" s="6">
        <f t="shared" ref="C8:C15" si="1">IF(B$2=0,0,B8/B$2)</f>
        <v>0.5</v>
      </c>
      <c r="E8" s="27" t="s">
        <v>72</v>
      </c>
      <c r="F8" s="24" t="s">
        <v>27</v>
      </c>
      <c r="G8" s="12">
        <v>3</v>
      </c>
      <c r="H8" s="88">
        <f>IF(B$20=0,0,G8/B$20)</f>
        <v>0.33333333333333331</v>
      </c>
      <c r="I8" s="58">
        <v>11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2</v>
      </c>
      <c r="H9" s="88">
        <f>IF(B$20=0,0,G9/B$20)</f>
        <v>0.22222222222222221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70</v>
      </c>
      <c r="F10" s="24" t="s">
        <v>25</v>
      </c>
      <c r="G10" s="12">
        <v>1</v>
      </c>
      <c r="H10" s="88">
        <f>IF(B$20=0,0,G10/B$20)</f>
        <v>0.1111111111111111</v>
      </c>
      <c r="I10" s="58">
        <v>4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184</v>
      </c>
      <c r="B11" s="109">
        <f>IF(B8=0,0,C11/B8)</f>
        <v>21.15</v>
      </c>
      <c r="C11" s="110">
        <v>42.3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8</v>
      </c>
      <c r="O11" s="74" t="s">
        <v>152</v>
      </c>
      <c r="P11" s="83">
        <f>IF(Q11=0,0,R11/Q11)</f>
        <v>18</v>
      </c>
      <c r="Q11" s="77">
        <v>1</v>
      </c>
      <c r="R11" s="68">
        <v>18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5</v>
      </c>
      <c r="O12" s="75" t="s">
        <v>153</v>
      </c>
      <c r="P12" s="84">
        <f>IF(Q12=0,0,R12/Q12)</f>
        <v>-4.2499999999999982</v>
      </c>
      <c r="Q12" s="78">
        <v>2</v>
      </c>
      <c r="R12" s="69">
        <v>-8.4999999999999964</v>
      </c>
    </row>
    <row r="13" spans="1:18" x14ac:dyDescent="0.45">
      <c r="A13" s="20" t="s">
        <v>186</v>
      </c>
      <c r="B13" s="109">
        <f>IF(B10=0,0,C13/B10)</f>
        <v>-28.5</v>
      </c>
      <c r="C13" s="110">
        <v>-57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-2.4500000000000006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192</v>
      </c>
      <c r="P15" s="82">
        <f>IF(Q15=0,0,R15/Q15)</f>
        <v>8.7333333333333307</v>
      </c>
      <c r="Q15" s="76">
        <v>3</v>
      </c>
      <c r="R15" s="67">
        <v>26.199999999999992</v>
      </c>
    </row>
    <row r="16" spans="1:18" x14ac:dyDescent="0.45">
      <c r="A16" s="22" t="s">
        <v>121</v>
      </c>
      <c r="B16" s="15">
        <v>9</v>
      </c>
      <c r="C16" s="10">
        <f>IF(B$3=0,0,B16/B$3)</f>
        <v>0.25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3</v>
      </c>
      <c r="O16" s="74" t="s">
        <v>221</v>
      </c>
      <c r="P16" s="83">
        <f>IF(Q16=0,0,R16/Q16)</f>
        <v>3.6500000000000004</v>
      </c>
      <c r="Q16" s="77">
        <v>2</v>
      </c>
      <c r="R16" s="68">
        <v>7.3000000000000007</v>
      </c>
    </row>
    <row r="17" spans="1:18" x14ac:dyDescent="0.45">
      <c r="A17" s="19" t="s">
        <v>118</v>
      </c>
      <c r="B17" s="12">
        <v>2</v>
      </c>
      <c r="C17" s="6">
        <f>IF(B$3=0,0,B17/B$3)</f>
        <v>5.5555555555555552E-2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7</v>
      </c>
      <c r="O17" s="74" t="s">
        <v>126</v>
      </c>
      <c r="P17" s="83">
        <f>IF(Q17=0,0,R17/Q17)</f>
        <v>-16.600000000000001</v>
      </c>
      <c r="Q17" s="77">
        <v>2</v>
      </c>
      <c r="R17" s="68">
        <v>-33.200000000000003</v>
      </c>
    </row>
    <row r="18" spans="1:18" x14ac:dyDescent="0.45">
      <c r="A18" s="18" t="s">
        <v>123</v>
      </c>
      <c r="B18" s="11">
        <f>B24</f>
        <v>7</v>
      </c>
      <c r="C18" s="5">
        <f>IF(B$16=0,0,B18/B$16)</f>
        <v>0.77777777777777779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7</v>
      </c>
      <c r="O18" s="74" t="s">
        <v>211</v>
      </c>
      <c r="P18" s="83">
        <f>IF(Q18=0,0,R18/Q18)</f>
        <v>-44.4</v>
      </c>
      <c r="Q18" s="77">
        <v>1</v>
      </c>
      <c r="R18" s="68">
        <v>-44.4</v>
      </c>
    </row>
    <row r="19" spans="1:18" x14ac:dyDescent="0.45">
      <c r="A19" s="18" t="s">
        <v>124</v>
      </c>
      <c r="B19" s="11">
        <f>B25</f>
        <v>1</v>
      </c>
      <c r="C19" s="5">
        <f>IF(B$17=0,0,B19/B$17)</f>
        <v>0.5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18" x14ac:dyDescent="0.45">
      <c r="A20" s="18" t="s">
        <v>10</v>
      </c>
      <c r="B20" s="11">
        <f>B23+B22</f>
        <v>9</v>
      </c>
      <c r="C20" s="5">
        <f>IF(B$3=0,0,B20/B$3)</f>
        <v>0.25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9</v>
      </c>
    </row>
    <row r="21" spans="1:18" x14ac:dyDescent="0.45">
      <c r="A21" s="19" t="s">
        <v>13</v>
      </c>
      <c r="B21" s="12">
        <v>5</v>
      </c>
      <c r="C21" s="6">
        <f>IF(B$3=0,0,B21/B$3)</f>
        <v>0.1388888888888889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7</v>
      </c>
      <c r="C22" s="6">
        <f>IF(B$20=0,0,B22/B$20)</f>
        <v>0.77777777777777779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9</v>
      </c>
    </row>
    <row r="23" spans="1:18" x14ac:dyDescent="0.45">
      <c r="A23" s="19" t="s">
        <v>11</v>
      </c>
      <c r="B23" s="12">
        <v>2</v>
      </c>
      <c r="C23" s="6">
        <f>IF(B$20=0,0,B23/B$20)</f>
        <v>0.22222222222222221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7</v>
      </c>
      <c r="C24" s="6">
        <f>IF(B$20=0,0,B24/B$20)</f>
        <v>0.77777777777777779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5">
      <c r="A25" s="19" t="s">
        <v>181</v>
      </c>
      <c r="B25" s="12">
        <v>1</v>
      </c>
      <c r="C25" s="6">
        <f>IF(B$20=0,0,B25/B$20)</f>
        <v>0.1111111111111111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1</v>
      </c>
      <c r="C26" s="6">
        <f>IF(B$20=0,0,B26/B$20)</f>
        <v>0.1111111111111111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9022.2222222222226</v>
      </c>
      <c r="C27" s="8">
        <v>81200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4</v>
      </c>
    </row>
    <row r="28" spans="1:18" x14ac:dyDescent="0.45">
      <c r="A28" s="20" t="s">
        <v>165</v>
      </c>
      <c r="B28" s="95">
        <f>IF($B$20-B$19=0,0,C28/($B$20-B$19))</f>
        <v>9662.5</v>
      </c>
      <c r="C28" s="96">
        <v>77300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11</v>
      </c>
    </row>
    <row r="29" spans="1:18" x14ac:dyDescent="0.45">
      <c r="A29" s="20" t="s">
        <v>166</v>
      </c>
      <c r="B29" s="95">
        <f>IF(B$19=0,0,C29/B$19)</f>
        <v>3900</v>
      </c>
      <c r="C29" s="96">
        <v>3900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-6380</v>
      </c>
      <c r="C30" s="96">
        <v>-31900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15</v>
      </c>
      <c r="C32" s="90">
        <v>15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49300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</v>
      </c>
      <c r="C38" s="6">
        <f t="shared" si="2"/>
        <v>0.1111111111111111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3</v>
      </c>
      <c r="C39" s="6">
        <f t="shared" si="2"/>
        <v>0.33333333333333331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0.22222222222222221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0.1111111111111111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9A7DE-DB73-4373-94A4-5221EAA383FD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4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10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10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3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9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4</v>
      </c>
    </row>
    <row r="29" spans="1:18" x14ac:dyDescent="0.45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07D52-816F-490F-96CA-82AAB86153E1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F3C86-77D7-4C79-B4C9-9BAFDB655C8B}">
  <sheetPr codeName="Sheet24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E6A7C-8328-4D99-ABE9-F9F6880A75EE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8FCE-C98F-48B2-B7A7-D69D1B8AF486}">
  <sheetPr codeName="Sheet20"/>
  <dimension ref="A1:Q1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5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5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5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5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783D5-B4E2-4583-AD25-72CA202ACB3F}">
  <sheetPr codeName="Sheet18"/>
  <dimension ref="A1:Q24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5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5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5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5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5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5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5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5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5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5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5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5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9370D-2606-4D49-A722-84B46D015DED}">
  <sheetPr codeName="Sheet16"/>
  <dimension ref="A1:Q2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5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5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5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5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5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5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8B6E-A762-4A06-8278-0902BD877EF4}">
  <sheetPr codeName="Sheet14"/>
  <dimension ref="A1:Q1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5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5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5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5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5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5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5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07C99-293E-4A3B-A36B-7F855B545B70}">
  <sheetPr codeName="Sheet12"/>
  <dimension ref="A1:Q2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5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5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5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5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5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5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5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5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5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5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5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5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4E192-D1BC-4BCE-A65B-1B7B311C1AC6}">
  <sheetPr codeName="Sheet10"/>
  <dimension ref="A1:Q1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5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5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5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5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5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5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993A5-F60B-4D48-9692-6BE0A77DFDDB}">
  <sheetPr codeName="Sheet8"/>
  <dimension ref="A1:Q40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5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5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5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5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5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5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5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5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5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5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5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5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5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5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5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5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5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5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5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5F574-7687-4D17-95BF-14186DDFC98C}">
  <sheetPr codeName="Sheet6"/>
  <dimension ref="A1:Q50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5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5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5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5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5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5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5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5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5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5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5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5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5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5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5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5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5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5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5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5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5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5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2020-10-22T11:40:01Z</dcterms:modified>
</cp:coreProperties>
</file>