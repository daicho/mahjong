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220739F0-A150-43C5-B073-E8C239B406C7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9" i="6998" l="1"/>
  <c r="P18" i="6988"/>
  <c r="P21" i="6984" l="1"/>
  <c r="P16" i="6988"/>
  <c r="P15" i="6998" l="1"/>
  <c r="P24" i="6984"/>
  <c r="P17" i="6986" l="1"/>
  <c r="P20" i="6988"/>
  <c r="P22" i="6992"/>
  <c r="P15" i="6988"/>
  <c r="P19" i="6994" l="1"/>
  <c r="P16" i="6986"/>
  <c r="P18" i="6998" l="1"/>
  <c r="P20" i="6982"/>
  <c r="P23" i="6990" l="1"/>
  <c r="P18" i="6986"/>
  <c r="P15" i="6992" l="1"/>
  <c r="P19" i="6992"/>
  <c r="P20" i="6998"/>
  <c r="P17" i="7000"/>
  <c r="P17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20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41" i="6998" l="1"/>
  <c r="C23" i="6998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2" i="6998"/>
  <c r="H17" i="6998"/>
  <c r="H15" i="6998"/>
  <c r="C24" i="6998"/>
  <c r="H38" i="6998"/>
  <c r="C43" i="6998"/>
  <c r="C49" i="6998"/>
  <c r="H26" i="6998"/>
  <c r="H39" i="6998"/>
  <c r="H44" i="6998"/>
  <c r="H50" i="6998"/>
  <c r="H14" i="6998"/>
  <c r="C20" i="6998"/>
  <c r="C25" i="6998"/>
  <c r="H32" i="6998"/>
  <c r="C39" i="6998"/>
  <c r="H45" i="6998"/>
  <c r="H3" i="6998"/>
  <c r="H31" i="6998"/>
  <c r="H6" i="6998"/>
  <c r="H2" i="6998"/>
  <c r="H8" i="6998"/>
  <c r="H13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1" i="6998"/>
  <c r="H33" i="6998"/>
  <c r="C38" i="6998"/>
  <c r="C42" i="6998"/>
  <c r="C46" i="6998"/>
  <c r="P22" i="6984" l="1"/>
  <c r="P20" i="6992"/>
  <c r="P15" i="6990"/>
  <c r="P16" i="6992"/>
  <c r="P23" i="6992"/>
  <c r="P18" i="6994"/>
  <c r="P18" i="6990"/>
  <c r="P20" i="6994"/>
  <c r="P23" i="6984"/>
  <c r="P15" i="6984"/>
  <c r="P18" i="6996" l="1"/>
  <c r="P16" i="6994"/>
  <c r="P17" i="6982"/>
  <c r="P18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6" i="6990"/>
  <c r="P17" i="6980"/>
  <c r="P18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2" i="6982" l="1"/>
  <c r="P23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3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6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0" i="6990"/>
  <c r="H22" i="6990"/>
  <c r="H27" i="6990"/>
  <c r="H30" i="6990"/>
  <c r="H32" i="6990"/>
  <c r="C37" i="6990"/>
  <c r="C41" i="6990"/>
  <c r="C45" i="6990"/>
  <c r="C49" i="6990"/>
  <c r="H11" i="6990"/>
  <c r="H17" i="6990"/>
  <c r="H15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0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1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5" i="6988"/>
  <c r="H22" i="6988"/>
  <c r="H27" i="6988"/>
  <c r="H30" i="6988"/>
  <c r="H31" i="6988"/>
  <c r="C37" i="6988"/>
  <c r="C41" i="6988"/>
  <c r="C45" i="6988"/>
  <c r="C49" i="6988"/>
  <c r="H8" i="6988"/>
  <c r="H16" i="6988"/>
  <c r="H14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4" i="6980"/>
  <c r="P21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22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1" i="6984"/>
  <c r="C22" i="6984"/>
  <c r="H2" i="6984"/>
  <c r="H20" i="6984"/>
  <c r="H4" i="6984"/>
  <c r="H30" i="6984"/>
  <c r="C41" i="6984"/>
  <c r="C19" i="6986"/>
  <c r="C20" i="6986"/>
  <c r="H2" i="6986"/>
  <c r="H30" i="6986"/>
  <c r="H9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8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5" i="6986"/>
  <c r="H14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8" i="6984"/>
  <c r="H37" i="6984"/>
  <c r="C40" i="6984"/>
  <c r="C44" i="6984"/>
  <c r="C48" i="6984"/>
  <c r="H38" i="6984"/>
  <c r="H42" i="6984"/>
  <c r="H46" i="6984"/>
  <c r="H50" i="6984"/>
  <c r="H17" i="6984"/>
  <c r="H15" i="6984"/>
  <c r="C23" i="6984"/>
  <c r="B27" i="6984"/>
  <c r="H33" i="6984"/>
  <c r="H39" i="6984"/>
  <c r="H43" i="6984"/>
  <c r="H47" i="6984"/>
  <c r="H51" i="6984"/>
  <c r="H22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2" i="6982"/>
  <c r="H34" i="6982"/>
  <c r="C42" i="6982"/>
  <c r="H15" i="6982"/>
  <c r="H2" i="6982"/>
  <c r="H8" i="6982"/>
  <c r="H21" i="6982"/>
  <c r="H18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3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4" i="6982"/>
  <c r="H25" i="6982"/>
  <c r="H27" i="6982"/>
  <c r="C37" i="6982"/>
  <c r="C41" i="6982"/>
  <c r="C45" i="6982"/>
  <c r="C49" i="6982"/>
  <c r="H11" i="6982"/>
  <c r="H16" i="6982"/>
  <c r="H19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8" i="6980"/>
  <c r="H2" i="6980"/>
  <c r="H10" i="6980"/>
  <c r="H46" i="6980"/>
  <c r="H7" i="6980"/>
  <c r="H13" i="6980"/>
  <c r="H21" i="6980"/>
  <c r="H26" i="6980"/>
  <c r="H48" i="6980"/>
  <c r="H25" i="6980"/>
  <c r="H43" i="6980"/>
  <c r="C47" i="6980"/>
  <c r="H49" i="6980"/>
  <c r="H22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7" i="6980"/>
  <c r="H41" i="6980"/>
  <c r="H44" i="6980"/>
  <c r="H47" i="6980"/>
  <c r="H51" i="6980"/>
  <c r="H23" i="6980"/>
  <c r="H9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<sst xmlns="http://schemas.openxmlformats.org/spreadsheetml/2006/main" count="3514" uniqueCount="268">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</sst>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全体!$K$2:$K$407</c:f>
              <c:numCache>
                <c:formatCode>General</c:formatCode>
                <c:ptCount val="4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</c:numCache>
            </c:numRef>
          </c:xVal>
          <c:yVal>
            <c:numRef>
              <c:f>全体!$L$2:$L$407</c:f>
              <c:numCache>
                <c:formatCode>\+0.0;\-0.0;\±0</c:formatCode>
                <c:ptCount val="40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-37.037037037037038</c:v>
                </c:pt>
                <c:pt idx="1">
                  <c:v>17.676767676767678</c:v>
                </c:pt>
                <c:pt idx="2">
                  <c:v>0</c:v>
                </c:pt>
                <c:pt idx="3">
                  <c:v>-5.333333333333333</c:v>
                </c:pt>
                <c:pt idx="4">
                  <c:v>14.492753623188406</c:v>
                </c:pt>
                <c:pt idx="5">
                  <c:v>16.835016835016834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76</c:v>
                </c:pt>
                <c:pt idx="1">
                  <c:v>188</c:v>
                </c:pt>
                <c:pt idx="2">
                  <c:v>204</c:v>
                </c:pt>
                <c:pt idx="3">
                  <c:v>202</c:v>
                </c:pt>
                <c:pt idx="4">
                  <c:v>144</c:v>
                </c:pt>
                <c:pt idx="5">
                  <c:v>93</c:v>
                </c:pt>
                <c:pt idx="6">
                  <c:v>42</c:v>
                </c:pt>
                <c:pt idx="7">
                  <c:v>34</c:v>
                </c:pt>
                <c:pt idx="8">
                  <c:v>17</c:v>
                </c:pt>
                <c:pt idx="9">
                  <c:v>11</c:v>
                </c:pt>
                <c:pt idx="10">
                  <c:v>2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全体!$K$2:$K$407</c:f>
              <c:numCache>
                <c:formatCode>General</c:formatCode>
                <c:ptCount val="4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</c:numCache>
            </c:numRef>
          </c:xVal>
          <c:yVal>
            <c:numRef>
              <c:f>全体!$M$2:$M$407</c:f>
              <c:numCache>
                <c:formatCode>0</c:formatCode>
                <c:ptCount val="406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だいち!$L$2:$L$113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806.30630630630628</c:v>
                </c:pt>
                <c:pt idx="1">
                  <c:v>-523.14814814814815</c:v>
                </c:pt>
                <c:pt idx="2">
                  <c:v>-987.96296296296293</c:v>
                </c:pt>
                <c:pt idx="3">
                  <c:v>1260.1941747572816</c:v>
                </c:pt>
                <c:pt idx="4">
                  <c:v>268.08510638297872</c:v>
                </c:pt>
                <c:pt idx="5">
                  <c:v>155.55555555555554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</c:v>
                </c:pt>
                <c:pt idx="1">
                  <c:v>58</c:v>
                </c:pt>
                <c:pt idx="2">
                  <c:v>61</c:v>
                </c:pt>
                <c:pt idx="3">
                  <c:v>60</c:v>
                </c:pt>
                <c:pt idx="4">
                  <c:v>44</c:v>
                </c:pt>
                <c:pt idx="5">
                  <c:v>36</c:v>
                </c:pt>
                <c:pt idx="6">
                  <c:v>10</c:v>
                </c:pt>
                <c:pt idx="7">
                  <c:v>6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だいち!$M$2:$M$113</c:f>
              <c:numCache>
                <c:formatCode>0</c:formatCode>
                <c:ptCount val="112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1175</c:v>
                </c:pt>
                <c:pt idx="1">
                  <c:v>-134.28571428571428</c:v>
                </c:pt>
                <c:pt idx="2">
                  <c:v>-810</c:v>
                </c:pt>
                <c:pt idx="3">
                  <c:v>-182.08955223880596</c:v>
                </c:pt>
                <c:pt idx="4">
                  <c:v>260.65573770491801</c:v>
                </c:pt>
                <c:pt idx="5">
                  <c:v>296.15384615384613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14</c:v>
                </c:pt>
                <c:pt idx="2">
                  <c:v>33</c:v>
                </c:pt>
                <c:pt idx="3">
                  <c:v>35</c:v>
                </c:pt>
                <c:pt idx="4">
                  <c:v>35</c:v>
                </c:pt>
                <c:pt idx="5">
                  <c:v>17</c:v>
                </c:pt>
                <c:pt idx="6">
                  <c:v>9</c:v>
                </c:pt>
                <c:pt idx="7">
                  <c:v>8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れんたろう!$M$2:$M$74</c:f>
              <c:numCache>
                <c:formatCode>0</c:formatCode>
                <c:ptCount val="73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-597.77777777777783</c:v>
                </c:pt>
                <c:pt idx="1">
                  <c:v>-900</c:v>
                </c:pt>
                <c:pt idx="2">
                  <c:v>663.63636363636363</c:v>
                </c:pt>
                <c:pt idx="3">
                  <c:v>-1022.7272727272727</c:v>
                </c:pt>
                <c:pt idx="4">
                  <c:v>-1293.0232558139535</c:v>
                </c:pt>
                <c:pt idx="5">
                  <c:v>-572.22222222222217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15</c:v>
                </c:pt>
                <c:pt idx="1">
                  <c:v>27</c:v>
                </c:pt>
                <c:pt idx="2">
                  <c:v>24</c:v>
                </c:pt>
                <c:pt idx="3">
                  <c:v>22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たかの!$M$2:$M$47</c:f>
              <c:numCache>
                <c:formatCode>0</c:formatCode>
                <c:ptCount val="46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975</c:v>
                </c:pt>
                <c:pt idx="1">
                  <c:v>644.44444444444446</c:v>
                </c:pt>
                <c:pt idx="2">
                  <c:v>1114.2857142857142</c:v>
                </c:pt>
                <c:pt idx="3">
                  <c:v>-2609.6774193548385</c:v>
                </c:pt>
                <c:pt idx="4">
                  <c:v>2142.8571428571427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6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まっつん!$M$2:$M$38</c:f>
              <c:numCache>
                <c:formatCode>0</c:formatCode>
                <c:ptCount val="37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-564.44444444444446</c:v>
                </c:pt>
                <c:pt idx="1">
                  <c:v>786.66666666666663</c:v>
                </c:pt>
                <c:pt idx="2">
                  <c:v>1477.7777777777778</c:v>
                </c:pt>
                <c:pt idx="3">
                  <c:v>-152.38095238095238</c:v>
                </c:pt>
                <c:pt idx="4">
                  <c:v>402.63157894736844</c:v>
                </c:pt>
                <c:pt idx="5">
                  <c:v>1491.6666666666667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26</c:v>
                </c:pt>
                <c:pt idx="2">
                  <c:v>23</c:v>
                </c:pt>
                <c:pt idx="3">
                  <c:v>19</c:v>
                </c:pt>
                <c:pt idx="4">
                  <c:v>15</c:v>
                </c:pt>
                <c:pt idx="5">
                  <c:v>13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いちかわ!$M$2:$M$47</c:f>
              <c:numCache>
                <c:formatCode>0</c:formatCode>
                <c:ptCount val="46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-334.69387755102042</c:v>
                </c:pt>
                <c:pt idx="1">
                  <c:v>676.08695652173913</c:v>
                </c:pt>
                <c:pt idx="2">
                  <c:v>985.10638297872345</c:v>
                </c:pt>
                <c:pt idx="3">
                  <c:v>2222.7272727272725</c:v>
                </c:pt>
                <c:pt idx="4">
                  <c:v>163.41463414634146</c:v>
                </c:pt>
                <c:pt idx="5">
                  <c:v>-57.575757575757578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32</c:v>
                </c:pt>
                <c:pt idx="3">
                  <c:v>20</c:v>
                </c:pt>
                <c:pt idx="4">
                  <c:v>21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ただ!$M$2:$M$51</c:f>
              <c:numCache>
                <c:formatCode>0</c:formatCode>
                <c:ptCount val="50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-2878.5714285714284</c:v>
                </c:pt>
                <c:pt idx="1">
                  <c:v>4084.6153846153848</c:v>
                </c:pt>
                <c:pt idx="2">
                  <c:v>642.85714285714289</c:v>
                </c:pt>
                <c:pt idx="3">
                  <c:v>-3464.2857142857142</c:v>
                </c:pt>
                <c:pt idx="4">
                  <c:v>-1953.8461538461538</c:v>
                </c:pt>
                <c:pt idx="5">
                  <c:v>-708.33333333333337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りくと!$M$2:$M$16</c:f>
              <c:numCache>
                <c:formatCode>0</c:formatCode>
                <c:ptCount val="1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りくと2!$B$3:$B$17</c:f>
              <c:numCache>
                <c:formatCode>\+0.0;\-0.0;\±0</c:formatCode>
                <c:ptCount val="1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りくと2!$C$3:$C$17</c:f>
              <c:numCache>
                <c:formatCode>\+0.0;\-0.0;\±0</c:formatCode>
                <c:ptCount val="15"/>
                <c:pt idx="1">
                  <c:v>-24.2</c:v>
                </c:pt>
                <c:pt idx="2">
                  <c:v>-3.0999999999999996</c:v>
                </c:pt>
                <c:pt idx="3">
                  <c:v>6.0333333333333341</c:v>
                </c:pt>
                <c:pt idx="4">
                  <c:v>-3.6749999999999989</c:v>
                </c:pt>
                <c:pt idx="5">
                  <c:v>-13.36</c:v>
                </c:pt>
                <c:pt idx="6">
                  <c:v>-19.716666666666665</c:v>
                </c:pt>
                <c:pt idx="7">
                  <c:v>-12.342857142857143</c:v>
                </c:pt>
                <c:pt idx="8">
                  <c:v>-5.7125000000000004</c:v>
                </c:pt>
                <c:pt idx="9">
                  <c:v>-2.3555555555555561</c:v>
                </c:pt>
                <c:pt idx="10">
                  <c:v>-0.63000000000000023</c:v>
                </c:pt>
                <c:pt idx="11">
                  <c:v>-2.7727272727272729</c:v>
                </c:pt>
                <c:pt idx="12">
                  <c:v>-3.2916666666666665</c:v>
                </c:pt>
                <c:pt idx="13">
                  <c:v>-5.8153846153846152</c:v>
                </c:pt>
                <c:pt idx="14">
                  <c:v>-5.1857142857142851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40377230232259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りくと2!$D$3:$D$17</c:f>
              <c:numCache>
                <c:formatCode>0.00\ "位"</c:formatCode>
                <c:ptCount val="15"/>
                <c:pt idx="1">
                  <c:v>3</c:v>
                </c:pt>
                <c:pt idx="2">
                  <c:v>2</c:v>
                </c:pt>
                <c:pt idx="3">
                  <c:v>1.6666666666666667</c:v>
                </c:pt>
                <c:pt idx="4">
                  <c:v>2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</c:v>
                </c:pt>
                <c:pt idx="9">
                  <c:v>1.8888888888888888</c:v>
                </c:pt>
                <c:pt idx="10">
                  <c:v>1.8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5308641975309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りくと2!$E$3:$E$17</c:f>
              <c:numCache>
                <c:formatCode>0.0%</c:formatCode>
                <c:ptCount val="15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802469135802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りくと2!$F$3:$F$17</c:f>
              <c:numCache>
                <c:formatCode>0.0%</c:formatCode>
                <c:ptCount val="1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りくと2!$G$3:$G$17</c:f>
              <c:numCache>
                <c:formatCode>0.0%</c:formatCode>
                <c:ptCount val="15"/>
                <c:pt idx="1">
                  <c:v>0.2</c:v>
                </c:pt>
                <c:pt idx="2">
                  <c:v>0.27777777777777779</c:v>
                </c:pt>
                <c:pt idx="3">
                  <c:v>0.29166666666666669</c:v>
                </c:pt>
                <c:pt idx="4">
                  <c:v>0.25</c:v>
                </c:pt>
                <c:pt idx="5">
                  <c:v>0.25</c:v>
                </c:pt>
                <c:pt idx="6">
                  <c:v>0.22448979591836735</c:v>
                </c:pt>
                <c:pt idx="7">
                  <c:v>0.26315789473684209</c:v>
                </c:pt>
                <c:pt idx="8">
                  <c:v>0.29230769230769232</c:v>
                </c:pt>
                <c:pt idx="9">
                  <c:v>0.29729729729729731</c:v>
                </c:pt>
                <c:pt idx="10">
                  <c:v>0.29268292682926828</c:v>
                </c:pt>
                <c:pt idx="11">
                  <c:v>0.27777777777777779</c:v>
                </c:pt>
                <c:pt idx="12">
                  <c:v>0.28155339805825241</c:v>
                </c:pt>
                <c:pt idx="13">
                  <c:v>0.26126126126126126</c:v>
                </c:pt>
                <c:pt idx="14">
                  <c:v>0.256198347107438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78160919540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りくと2!$H$3:$H$17</c:f>
              <c:numCache>
                <c:formatCode>0.0%</c:formatCode>
                <c:ptCount val="15"/>
                <c:pt idx="1">
                  <c:v>0.1</c:v>
                </c:pt>
                <c:pt idx="2">
                  <c:v>0.16666666666666666</c:v>
                </c:pt>
                <c:pt idx="3">
                  <c:v>0.20833333333333334</c:v>
                </c:pt>
                <c:pt idx="4">
                  <c:v>0.1388888888888889</c:v>
                </c:pt>
                <c:pt idx="5">
                  <c:v>0.15</c:v>
                </c:pt>
                <c:pt idx="6">
                  <c:v>0.18367346938775511</c:v>
                </c:pt>
                <c:pt idx="7">
                  <c:v>0.17543859649122806</c:v>
                </c:pt>
                <c:pt idx="8">
                  <c:v>0.16923076923076924</c:v>
                </c:pt>
                <c:pt idx="9">
                  <c:v>0.14864864864864866</c:v>
                </c:pt>
                <c:pt idx="10">
                  <c:v>0.14634146341463414</c:v>
                </c:pt>
                <c:pt idx="11">
                  <c:v>0.15555555555555556</c:v>
                </c:pt>
                <c:pt idx="12">
                  <c:v>0.1650485436893204</c:v>
                </c:pt>
                <c:pt idx="13">
                  <c:v>0.17117117117117117</c:v>
                </c:pt>
                <c:pt idx="14">
                  <c:v>0.17355371900826447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78160919540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りくと2!$I$3:$I$17</c:f>
              <c:numCache>
                <c:formatCode>0</c:formatCode>
                <c:ptCount val="15"/>
                <c:pt idx="1">
                  <c:v>4400</c:v>
                </c:pt>
                <c:pt idx="2">
                  <c:v>7460</c:v>
                </c:pt>
                <c:pt idx="3">
                  <c:v>9314.2857142857138</c:v>
                </c:pt>
                <c:pt idx="4">
                  <c:v>9022.2222222222226</c:v>
                </c:pt>
                <c:pt idx="5">
                  <c:v>8330</c:v>
                </c:pt>
                <c:pt idx="6">
                  <c:v>8272.7272727272721</c:v>
                </c:pt>
                <c:pt idx="7">
                  <c:v>7946.666666666667</c:v>
                </c:pt>
                <c:pt idx="8">
                  <c:v>8526.3157894736851</c:v>
                </c:pt>
                <c:pt idx="9">
                  <c:v>8727.2727272727279</c:v>
                </c:pt>
                <c:pt idx="10">
                  <c:v>8720.8333333333339</c:v>
                </c:pt>
                <c:pt idx="11">
                  <c:v>8680</c:v>
                </c:pt>
                <c:pt idx="12">
                  <c:v>8606.8965517241377</c:v>
                </c:pt>
                <c:pt idx="13">
                  <c:v>8606.8965517241377</c:v>
                </c:pt>
                <c:pt idx="14">
                  <c:v>8954.8387096774186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12.81800391389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りくと2!$J$3:$J$17</c:f>
              <c:numCache>
                <c:formatCode>0</c:formatCode>
                <c:ptCount val="15"/>
                <c:pt idx="1">
                  <c:v>-1300</c:v>
                </c:pt>
                <c:pt idx="2">
                  <c:v>-5766.666666666667</c:v>
                </c:pt>
                <c:pt idx="3">
                  <c:v>-6380</c:v>
                </c:pt>
                <c:pt idx="4">
                  <c:v>-6380</c:v>
                </c:pt>
                <c:pt idx="5">
                  <c:v>-5966.666666666667</c:v>
                </c:pt>
                <c:pt idx="6">
                  <c:v>-7666.666666666667</c:v>
                </c:pt>
                <c:pt idx="7">
                  <c:v>-7480</c:v>
                </c:pt>
                <c:pt idx="8">
                  <c:v>-7154.545454545455</c:v>
                </c:pt>
                <c:pt idx="9">
                  <c:v>-7154.545454545455</c:v>
                </c:pt>
                <c:pt idx="10">
                  <c:v>-7225</c:v>
                </c:pt>
                <c:pt idx="11">
                  <c:v>-7114.2857142857147</c:v>
                </c:pt>
                <c:pt idx="12">
                  <c:v>-7629.411764705882</c:v>
                </c:pt>
                <c:pt idx="13">
                  <c:v>-7568.4210526315792</c:v>
                </c:pt>
                <c:pt idx="14">
                  <c:v>-7990.4761904761908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39.78685612788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りくと2!$K$3:$K$17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641975308641974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りくと2!$L$3:$L$17</c:f>
              <c:numCache>
                <c:formatCode>0.0%</c:formatCode>
                <c:ptCount val="15"/>
                <c:pt idx="1">
                  <c:v>0.1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0.20408163265306123</c:v>
                </c:pt>
                <c:pt idx="7">
                  <c:v>0.21052631578947367</c:v>
                </c:pt>
                <c:pt idx="8">
                  <c:v>0.2</c:v>
                </c:pt>
                <c:pt idx="9">
                  <c:v>0.21621621621621623</c:v>
                </c:pt>
                <c:pt idx="10">
                  <c:v>0.23170731707317074</c:v>
                </c:pt>
                <c:pt idx="11">
                  <c:v>0.22222222222222221</c:v>
                </c:pt>
                <c:pt idx="12">
                  <c:v>0.22330097087378642</c:v>
                </c:pt>
                <c:pt idx="13">
                  <c:v>0.22522522522522523</c:v>
                </c:pt>
                <c:pt idx="14">
                  <c:v>0.21487603305785125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96551724137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りくと2!$M$3:$M$17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8.3333333333333329E-2</c:v>
                </c:pt>
                <c:pt idx="4">
                  <c:v>5.5555555555555552E-2</c:v>
                </c:pt>
                <c:pt idx="5">
                  <c:v>0.05</c:v>
                </c:pt>
                <c:pt idx="6">
                  <c:v>6.1224489795918366E-2</c:v>
                </c:pt>
                <c:pt idx="7">
                  <c:v>0.10526315789473684</c:v>
                </c:pt>
                <c:pt idx="8">
                  <c:v>0.13846153846153847</c:v>
                </c:pt>
                <c:pt idx="9">
                  <c:v>0.12162162162162163</c:v>
                </c:pt>
                <c:pt idx="10">
                  <c:v>0.12195121951219512</c:v>
                </c:pt>
                <c:pt idx="11">
                  <c:v>0.13333333333333333</c:v>
                </c:pt>
                <c:pt idx="12">
                  <c:v>0.13592233009708737</c:v>
                </c:pt>
                <c:pt idx="13">
                  <c:v>0.15315315315315314</c:v>
                </c:pt>
                <c:pt idx="14">
                  <c:v>0.14049586776859505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7298850574712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りくと2!$N$3:$N$17</c:f>
              <c:numCache>
                <c:formatCode>0.0%</c:formatCode>
                <c:ptCount val="15"/>
                <c:pt idx="1">
                  <c:v>1</c:v>
                </c:pt>
                <c:pt idx="2">
                  <c:v>1</c:v>
                </c:pt>
                <c:pt idx="3">
                  <c:v>0.83333333333333337</c:v>
                </c:pt>
                <c:pt idx="4">
                  <c:v>0.77777777777777779</c:v>
                </c:pt>
                <c:pt idx="5">
                  <c:v>0.7</c:v>
                </c:pt>
                <c:pt idx="6">
                  <c:v>0.7</c:v>
                </c:pt>
                <c:pt idx="7">
                  <c:v>0.75</c:v>
                </c:pt>
                <c:pt idx="8">
                  <c:v>0.76923076923076927</c:v>
                </c:pt>
                <c:pt idx="9">
                  <c:v>0.6875</c:v>
                </c:pt>
                <c:pt idx="10">
                  <c:v>0.68421052631578949</c:v>
                </c:pt>
                <c:pt idx="11">
                  <c:v>0.7</c:v>
                </c:pt>
                <c:pt idx="12">
                  <c:v>0.69565217391304346</c:v>
                </c:pt>
                <c:pt idx="13">
                  <c:v>0.64</c:v>
                </c:pt>
                <c:pt idx="14">
                  <c:v>0.65384615384615385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0612485276796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りくと2!$O$3:$O$17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0.66666666666666663</c:v>
                </c:pt>
                <c:pt idx="7">
                  <c:v>0.33333333333333331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0.33333333333333331</c:v>
                </c:pt>
                <c:pt idx="12">
                  <c:v>0.35714285714285715</c:v>
                </c:pt>
                <c:pt idx="13">
                  <c:v>0.29411764705882354</c:v>
                </c:pt>
                <c:pt idx="14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4551201011377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りくと2!$P$3:$P$17</c:f>
              <c:numCache>
                <c:formatCode>0.0%</c:formatCode>
                <c:ptCount val="15"/>
                <c:pt idx="1">
                  <c:v>1</c:v>
                </c:pt>
                <c:pt idx="2">
                  <c:v>0.8</c:v>
                </c:pt>
                <c:pt idx="3">
                  <c:v>0.7142857142857143</c:v>
                </c:pt>
                <c:pt idx="4">
                  <c:v>0.77777777777777779</c:v>
                </c:pt>
                <c:pt idx="5">
                  <c:v>0.8</c:v>
                </c:pt>
                <c:pt idx="6">
                  <c:v>0.72727272727272729</c:v>
                </c:pt>
                <c:pt idx="7">
                  <c:v>0.6</c:v>
                </c:pt>
                <c:pt idx="8">
                  <c:v>0.47368421052631576</c:v>
                </c:pt>
                <c:pt idx="9">
                  <c:v>0.54545454545454541</c:v>
                </c:pt>
                <c:pt idx="10">
                  <c:v>0.54166666666666663</c:v>
                </c:pt>
                <c:pt idx="11">
                  <c:v>0.52</c:v>
                </c:pt>
                <c:pt idx="12">
                  <c:v>0.55172413793103448</c:v>
                </c:pt>
                <c:pt idx="13">
                  <c:v>0.55172413793103448</c:v>
                </c:pt>
                <c:pt idx="14">
                  <c:v>0.5161290322580645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270058708414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50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4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4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111</v>
      </c>
      <c r="C2" s="120">
        <v>1842.3339395535957</v>
      </c>
    </row>
    <row r="3" spans="1:3" x14ac:dyDescent="0.4">
      <c r="A3" t="s">
        <v>163</v>
      </c>
      <c r="B3" s="120">
        <v>72</v>
      </c>
      <c r="C3" s="120">
        <v>1653.1699313523677</v>
      </c>
    </row>
    <row r="4" spans="1:3" x14ac:dyDescent="0.4">
      <c r="A4" t="s">
        <v>139</v>
      </c>
      <c r="B4" s="120">
        <v>405</v>
      </c>
      <c r="C4" s="120">
        <v>1594.5463045050694</v>
      </c>
    </row>
    <row r="5" spans="1:3" x14ac:dyDescent="0.4">
      <c r="A5" t="s">
        <v>190</v>
      </c>
      <c r="B5" s="120">
        <v>36</v>
      </c>
      <c r="C5" s="120">
        <v>1524.3778689305989</v>
      </c>
    </row>
    <row r="6" spans="1:3" x14ac:dyDescent="0.4">
      <c r="A6" t="s">
        <v>192</v>
      </c>
      <c r="B6" s="120">
        <v>49</v>
      </c>
      <c r="C6" s="120">
        <v>1517.1288342047803</v>
      </c>
    </row>
    <row r="7" spans="1:3" x14ac:dyDescent="0.4">
      <c r="A7" t="s">
        <v>211</v>
      </c>
      <c r="B7" s="120">
        <v>45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45</v>
      </c>
      <c r="C10" s="120">
        <v>1433.30445236539</v>
      </c>
    </row>
    <row r="11" spans="1:3" x14ac:dyDescent="0.4">
      <c r="A11" t="s">
        <v>195</v>
      </c>
      <c r="B11" s="120">
        <v>14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3" t="s">
        <v>9</v>
      </c>
      <c r="C1" s="154"/>
      <c r="D1" s="151" t="s">
        <v>6</v>
      </c>
      <c r="E1" s="152"/>
      <c r="F1" s="151" t="s">
        <v>7</v>
      </c>
      <c r="G1" s="152"/>
      <c r="H1" s="153" t="s">
        <v>196</v>
      </c>
      <c r="I1" s="154"/>
      <c r="J1" s="151" t="s">
        <v>15</v>
      </c>
      <c r="K1" s="152"/>
      <c r="L1" s="151" t="s">
        <v>14</v>
      </c>
      <c r="M1" s="152"/>
      <c r="N1" s="151" t="s">
        <v>149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180</v>
      </c>
      <c r="AK1" s="152"/>
    </row>
    <row r="2" spans="1:37" x14ac:dyDescent="0.4">
      <c r="A2" s="36" t="s">
        <v>208</v>
      </c>
      <c r="B2" s="149">
        <v>0.92497438414472455</v>
      </c>
      <c r="C2" s="150"/>
      <c r="D2" s="149">
        <v>0.63092355374754983</v>
      </c>
      <c r="E2" s="150"/>
      <c r="F2" s="149">
        <v>0.56251049577656687</v>
      </c>
      <c r="G2" s="150"/>
      <c r="H2" s="155"/>
      <c r="I2" s="156"/>
      <c r="J2" s="149">
        <v>0.29664428668262105</v>
      </c>
      <c r="K2" s="150"/>
      <c r="L2" s="149">
        <v>-9.9982914409456433E-2</v>
      </c>
      <c r="M2" s="150"/>
      <c r="N2" s="149">
        <v>0.47559219779895051</v>
      </c>
      <c r="O2" s="150"/>
      <c r="P2" s="149">
        <v>0.53409037309092955</v>
      </c>
      <c r="Q2" s="150"/>
      <c r="R2" s="149">
        <v>4.9654551341355276E-2</v>
      </c>
      <c r="S2" s="150"/>
      <c r="T2" s="149">
        <v>0.15537642048693734</v>
      </c>
      <c r="U2" s="150"/>
      <c r="V2" s="149">
        <v>0.37130774077905615</v>
      </c>
      <c r="W2" s="150"/>
      <c r="X2" s="149">
        <v>0.30822015254530571</v>
      </c>
      <c r="Y2" s="150"/>
      <c r="Z2" s="149">
        <v>0.27546373281756281</v>
      </c>
      <c r="AA2" s="150"/>
      <c r="AB2" s="149">
        <v>0.19533776329214805</v>
      </c>
      <c r="AC2" s="150"/>
      <c r="AD2" s="149">
        <v>1.7874353602218739E-2</v>
      </c>
      <c r="AE2" s="150"/>
      <c r="AF2" s="149">
        <v>0.52605494492738847</v>
      </c>
      <c r="AG2" s="150"/>
      <c r="AH2" s="149">
        <v>-0.15433215386140545</v>
      </c>
      <c r="AI2" s="150"/>
      <c r="AJ2" s="149">
        <v>0.82678810047534179</v>
      </c>
      <c r="AK2" s="150"/>
    </row>
    <row r="3" spans="1:37" x14ac:dyDescent="0.4">
      <c r="A3" s="38">
        <v>1</v>
      </c>
      <c r="B3" s="41" t="s">
        <v>139</v>
      </c>
      <c r="C3" s="113">
        <v>135</v>
      </c>
      <c r="D3" s="39" t="s">
        <v>192</v>
      </c>
      <c r="E3" s="40">
        <v>248.19999999999993</v>
      </c>
      <c r="F3" s="41" t="s">
        <v>192</v>
      </c>
      <c r="G3" s="60">
        <v>5.0653061224489786</v>
      </c>
      <c r="H3" s="41" t="s">
        <v>126</v>
      </c>
      <c r="I3" s="45">
        <v>1767.7550131096805</v>
      </c>
      <c r="J3" s="41" t="s">
        <v>192</v>
      </c>
      <c r="K3" s="42">
        <v>1.8367346938775511</v>
      </c>
      <c r="L3" s="41" t="s">
        <v>195</v>
      </c>
      <c r="M3" s="43">
        <v>0.42857142857142855</v>
      </c>
      <c r="N3" s="41" t="s">
        <v>190</v>
      </c>
      <c r="O3" s="43">
        <v>0.19444444444444445</v>
      </c>
      <c r="P3" s="41" t="s">
        <v>192</v>
      </c>
      <c r="Q3" s="44">
        <v>0.33412322274881517</v>
      </c>
      <c r="R3" s="41" t="s">
        <v>190</v>
      </c>
      <c r="S3" s="44">
        <v>0.10191082802547771</v>
      </c>
      <c r="T3" s="41" t="s">
        <v>221</v>
      </c>
      <c r="U3" s="45">
        <v>10925</v>
      </c>
      <c r="V3" s="41" t="s">
        <v>190</v>
      </c>
      <c r="W3" s="45">
        <v>-6562.5</v>
      </c>
      <c r="X3" s="41" t="s">
        <v>193</v>
      </c>
      <c r="Y3" s="43">
        <v>0</v>
      </c>
      <c r="Z3" s="41" t="s">
        <v>163</v>
      </c>
      <c r="AA3" s="44">
        <v>0.28639240506329117</v>
      </c>
      <c r="AB3" s="41" t="s">
        <v>189</v>
      </c>
      <c r="AC3" s="44">
        <v>0.29749999999999999</v>
      </c>
      <c r="AD3" s="41" t="s">
        <v>201</v>
      </c>
      <c r="AE3" s="44">
        <v>0.66666666666666663</v>
      </c>
      <c r="AF3" s="41" t="s">
        <v>211</v>
      </c>
      <c r="AG3" s="44">
        <v>0.48192771084337349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111</v>
      </c>
      <c r="D4" s="47" t="s">
        <v>126</v>
      </c>
      <c r="E4" s="48">
        <v>233.09999999999988</v>
      </c>
      <c r="F4" s="49" t="s">
        <v>211</v>
      </c>
      <c r="G4" s="61">
        <v>3.5044444444444443</v>
      </c>
      <c r="H4" s="49" t="s">
        <v>163</v>
      </c>
      <c r="I4" s="53">
        <v>1633.2149258932193</v>
      </c>
      <c r="J4" s="49" t="s">
        <v>190</v>
      </c>
      <c r="K4" s="50">
        <v>1.8888888888888888</v>
      </c>
      <c r="L4" s="49" t="s">
        <v>192</v>
      </c>
      <c r="M4" s="51">
        <v>0.40816326530612246</v>
      </c>
      <c r="N4" s="49" t="s">
        <v>192</v>
      </c>
      <c r="O4" s="51">
        <v>0.24489795918367346</v>
      </c>
      <c r="P4" s="49" t="s">
        <v>126</v>
      </c>
      <c r="Q4" s="52">
        <v>0.32403433476394849</v>
      </c>
      <c r="R4" s="49" t="s">
        <v>192</v>
      </c>
      <c r="S4" s="52">
        <v>0.11611374407582939</v>
      </c>
      <c r="T4" s="49" t="s">
        <v>163</v>
      </c>
      <c r="U4" s="53">
        <v>9362.7218934911234</v>
      </c>
      <c r="V4" s="49" t="s">
        <v>211</v>
      </c>
      <c r="W4" s="53">
        <v>-6656.6037735849059</v>
      </c>
      <c r="X4" s="49" t="s">
        <v>221</v>
      </c>
      <c r="Y4" s="51">
        <v>0</v>
      </c>
      <c r="Z4" s="49" t="s">
        <v>190</v>
      </c>
      <c r="AA4" s="52">
        <v>0.2643312101910828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126</v>
      </c>
      <c r="AG4" s="52">
        <v>0.45454545454545453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72</v>
      </c>
      <c r="D5" s="47" t="s">
        <v>211</v>
      </c>
      <c r="E5" s="48">
        <v>157.69999999999999</v>
      </c>
      <c r="F5" s="49" t="s">
        <v>126</v>
      </c>
      <c r="G5" s="61">
        <v>2.0999999999999988</v>
      </c>
      <c r="H5" s="49" t="s">
        <v>139</v>
      </c>
      <c r="I5" s="53">
        <v>1607.4262325560462</v>
      </c>
      <c r="J5" s="49" t="s">
        <v>211</v>
      </c>
      <c r="K5" s="50">
        <v>1.9111111111111112</v>
      </c>
      <c r="L5" s="49" t="s">
        <v>211</v>
      </c>
      <c r="M5" s="51">
        <v>0.4</v>
      </c>
      <c r="N5" s="49" t="s">
        <v>211</v>
      </c>
      <c r="O5" s="51">
        <v>0.31111111111111112</v>
      </c>
      <c r="P5" s="49" t="s">
        <v>211</v>
      </c>
      <c r="Q5" s="52">
        <v>0.30569948186528495</v>
      </c>
      <c r="R5" s="49" t="s">
        <v>211</v>
      </c>
      <c r="S5" s="52">
        <v>0.13730569948186527</v>
      </c>
      <c r="T5" s="49" t="s">
        <v>195</v>
      </c>
      <c r="U5" s="53">
        <v>8954.8387096774186</v>
      </c>
      <c r="V5" s="49" t="s">
        <v>126</v>
      </c>
      <c r="W5" s="53">
        <v>-7282.9268292682927</v>
      </c>
      <c r="X5" s="49" t="s">
        <v>259</v>
      </c>
      <c r="Y5" s="51">
        <v>0</v>
      </c>
      <c r="Z5" s="49" t="s">
        <v>189</v>
      </c>
      <c r="AA5" s="52">
        <v>0.26250000000000001</v>
      </c>
      <c r="AB5" s="49" t="s">
        <v>192</v>
      </c>
      <c r="AC5" s="52">
        <v>0.27488151658767773</v>
      </c>
      <c r="AD5" s="49" t="s">
        <v>195</v>
      </c>
      <c r="AE5" s="52">
        <v>0.65384615384615385</v>
      </c>
      <c r="AF5" s="49" t="s">
        <v>193</v>
      </c>
      <c r="AG5" s="52">
        <v>0.41666666666666669</v>
      </c>
      <c r="AH5" s="49" t="s">
        <v>195</v>
      </c>
      <c r="AI5" s="52">
        <v>0.5161290322580645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49</v>
      </c>
      <c r="D6" s="47" t="s">
        <v>190</v>
      </c>
      <c r="E6" s="48">
        <v>67.69999999999996</v>
      </c>
      <c r="F6" s="49" t="s">
        <v>190</v>
      </c>
      <c r="G6" s="61">
        <v>1.8805555555555544</v>
      </c>
      <c r="H6" s="49" t="s">
        <v>192</v>
      </c>
      <c r="I6" s="53">
        <v>1578.1244171430706</v>
      </c>
      <c r="J6" s="49" t="s">
        <v>139</v>
      </c>
      <c r="K6" s="50">
        <v>1.9975308641975309</v>
      </c>
      <c r="L6" s="49" t="s">
        <v>139</v>
      </c>
      <c r="M6" s="51">
        <v>0.33580246913580247</v>
      </c>
      <c r="N6" s="49" t="s">
        <v>126</v>
      </c>
      <c r="O6" s="51">
        <v>0.33333333333333331</v>
      </c>
      <c r="P6" s="49" t="s">
        <v>139</v>
      </c>
      <c r="Q6" s="52">
        <v>0.29367816091954024</v>
      </c>
      <c r="R6" s="49" t="s">
        <v>139</v>
      </c>
      <c r="S6" s="52">
        <v>0.1617816091954023</v>
      </c>
      <c r="T6" s="49" t="s">
        <v>126</v>
      </c>
      <c r="U6" s="53">
        <v>8182.1192052980132</v>
      </c>
      <c r="V6" s="49" t="s">
        <v>201</v>
      </c>
      <c r="W6" s="53">
        <v>-7370</v>
      </c>
      <c r="X6" s="49" t="s">
        <v>211</v>
      </c>
      <c r="Y6" s="51">
        <v>4.4444444444444446E-2</v>
      </c>
      <c r="Z6" s="49" t="s">
        <v>126</v>
      </c>
      <c r="AA6" s="52">
        <v>0.24463519313304721</v>
      </c>
      <c r="AB6" s="49" t="s">
        <v>139</v>
      </c>
      <c r="AC6" s="52">
        <v>0.22729885057471264</v>
      </c>
      <c r="AD6" s="49" t="s">
        <v>211</v>
      </c>
      <c r="AE6" s="52">
        <v>0.59523809523809523</v>
      </c>
      <c r="AF6" s="49" t="s">
        <v>192</v>
      </c>
      <c r="AG6" s="52">
        <v>0.41379310344827586</v>
      </c>
      <c r="AH6" s="49" t="s">
        <v>259</v>
      </c>
      <c r="AI6" s="52">
        <v>0.5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211</v>
      </c>
      <c r="C7" s="114">
        <v>45</v>
      </c>
      <c r="D7" s="47" t="s">
        <v>139</v>
      </c>
      <c r="E7" s="48">
        <v>4.6185277824406512E-14</v>
      </c>
      <c r="F7" s="49" t="s">
        <v>139</v>
      </c>
      <c r="G7" s="61">
        <v>1.1403772302322596E-16</v>
      </c>
      <c r="H7" s="49" t="s">
        <v>190</v>
      </c>
      <c r="I7" s="53">
        <v>1553.703793626174</v>
      </c>
      <c r="J7" s="49" t="s">
        <v>126</v>
      </c>
      <c r="K7" s="50">
        <v>2</v>
      </c>
      <c r="L7" s="49" t="s">
        <v>126</v>
      </c>
      <c r="M7" s="51">
        <v>0.33333333333333331</v>
      </c>
      <c r="N7" s="49" t="s">
        <v>163</v>
      </c>
      <c r="O7" s="51">
        <v>0.33333333333333331</v>
      </c>
      <c r="P7" s="49" t="s">
        <v>189</v>
      </c>
      <c r="Q7" s="52">
        <v>0.28999999999999998</v>
      </c>
      <c r="R7" s="49" t="s">
        <v>189</v>
      </c>
      <c r="S7" s="52">
        <v>0.16500000000000001</v>
      </c>
      <c r="T7" s="49" t="s">
        <v>139</v>
      </c>
      <c r="U7" s="53">
        <v>8112.8180039138942</v>
      </c>
      <c r="V7" s="49" t="s">
        <v>139</v>
      </c>
      <c r="W7" s="53">
        <v>-7639.7868561278865</v>
      </c>
      <c r="X7" s="49" t="s">
        <v>190</v>
      </c>
      <c r="Y7" s="51">
        <v>5.5555555555555552E-2</v>
      </c>
      <c r="Z7" s="49" t="s">
        <v>139</v>
      </c>
      <c r="AA7" s="52">
        <v>0.2439655172413793</v>
      </c>
      <c r="AB7" s="49" t="s">
        <v>163</v>
      </c>
      <c r="AC7" s="52">
        <v>0.22468354430379747</v>
      </c>
      <c r="AD7" s="49" t="s">
        <v>126</v>
      </c>
      <c r="AE7" s="52">
        <v>0.57894736842105265</v>
      </c>
      <c r="AF7" s="49" t="s">
        <v>139</v>
      </c>
      <c r="AG7" s="52">
        <v>0.40455120101137798</v>
      </c>
      <c r="AH7" s="49" t="s">
        <v>126</v>
      </c>
      <c r="AI7" s="52">
        <v>0.47019867549668876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189</v>
      </c>
      <c r="C8" s="114">
        <v>45</v>
      </c>
      <c r="D8" s="47" t="s">
        <v>221</v>
      </c>
      <c r="E8" s="48">
        <v>-13.5</v>
      </c>
      <c r="F8" s="49" t="s">
        <v>163</v>
      </c>
      <c r="G8" s="61">
        <v>-1.2180555555555554</v>
      </c>
      <c r="H8" s="49" t="s">
        <v>211</v>
      </c>
      <c r="I8" s="53">
        <v>1534.3633776946201</v>
      </c>
      <c r="J8" s="49" t="s">
        <v>163</v>
      </c>
      <c r="K8" s="50">
        <v>2</v>
      </c>
      <c r="L8" s="49" t="s">
        <v>163</v>
      </c>
      <c r="M8" s="51">
        <v>0.33333333333333331</v>
      </c>
      <c r="N8" s="49" t="s">
        <v>139</v>
      </c>
      <c r="O8" s="51">
        <v>0.33333333333333331</v>
      </c>
      <c r="P8" s="49" t="s">
        <v>190</v>
      </c>
      <c r="Q8" s="52">
        <v>0.26751592356687898</v>
      </c>
      <c r="R8" s="49" t="s">
        <v>221</v>
      </c>
      <c r="S8" s="52">
        <v>0.16666666666666666</v>
      </c>
      <c r="T8" s="49" t="s">
        <v>190</v>
      </c>
      <c r="U8" s="53">
        <v>8045.2380952380954</v>
      </c>
      <c r="V8" s="49" t="s">
        <v>192</v>
      </c>
      <c r="W8" s="53">
        <v>-7693.8775510204077</v>
      </c>
      <c r="X8" s="49" t="s">
        <v>126</v>
      </c>
      <c r="Y8" s="51">
        <v>7.2072072072072071E-2</v>
      </c>
      <c r="Z8" s="49" t="s">
        <v>259</v>
      </c>
      <c r="AA8" s="52">
        <v>0.24</v>
      </c>
      <c r="AB8" s="49" t="s">
        <v>193</v>
      </c>
      <c r="AC8" s="52">
        <v>0.22222222222222221</v>
      </c>
      <c r="AD8" s="49" t="s">
        <v>192</v>
      </c>
      <c r="AE8" s="52">
        <v>0.52941176470588236</v>
      </c>
      <c r="AF8" s="49" t="s">
        <v>189</v>
      </c>
      <c r="AG8" s="52">
        <v>0.40336134453781514</v>
      </c>
      <c r="AH8" s="49" t="s">
        <v>189</v>
      </c>
      <c r="AI8" s="52">
        <v>0.46551724137931033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36</v>
      </c>
      <c r="D9" s="47" t="s">
        <v>259</v>
      </c>
      <c r="E9" s="48">
        <v>-50</v>
      </c>
      <c r="F9" s="49" t="s">
        <v>189</v>
      </c>
      <c r="G9" s="61">
        <v>-3.26</v>
      </c>
      <c r="H9" s="49" t="s">
        <v>221</v>
      </c>
      <c r="I9" s="53">
        <v>1497.379788</v>
      </c>
      <c r="J9" s="49" t="s">
        <v>195</v>
      </c>
      <c r="K9" s="50">
        <v>2</v>
      </c>
      <c r="L9" s="49" t="s">
        <v>189</v>
      </c>
      <c r="M9" s="51">
        <v>0.33333333333333331</v>
      </c>
      <c r="N9" s="49" t="s">
        <v>189</v>
      </c>
      <c r="O9" s="51">
        <v>0.42222222222222222</v>
      </c>
      <c r="P9" s="49" t="s">
        <v>163</v>
      </c>
      <c r="Q9" s="52">
        <v>0.26740506329113922</v>
      </c>
      <c r="R9" s="49" t="s">
        <v>195</v>
      </c>
      <c r="S9" s="52">
        <v>0.17355371900826447</v>
      </c>
      <c r="T9" s="49" t="s">
        <v>193</v>
      </c>
      <c r="U9" s="53">
        <v>7866.666666666667</v>
      </c>
      <c r="V9" s="49" t="s">
        <v>216</v>
      </c>
      <c r="W9" s="53">
        <v>-7886.2068965517237</v>
      </c>
      <c r="X9" s="49" t="s">
        <v>192</v>
      </c>
      <c r="Y9" s="51">
        <v>8.1632653061224483E-2</v>
      </c>
      <c r="Z9" s="49" t="s">
        <v>216</v>
      </c>
      <c r="AA9" s="52">
        <v>0.22857142857142856</v>
      </c>
      <c r="AB9" s="49" t="s">
        <v>201</v>
      </c>
      <c r="AC9" s="52">
        <v>0.22222222222222221</v>
      </c>
      <c r="AD9" s="49" t="s">
        <v>139</v>
      </c>
      <c r="AE9" s="52">
        <v>0.52061248527679627</v>
      </c>
      <c r="AF9" s="49" t="s">
        <v>221</v>
      </c>
      <c r="AG9" s="52">
        <v>0.4</v>
      </c>
      <c r="AH9" s="49" t="s">
        <v>163</v>
      </c>
      <c r="AI9" s="52">
        <v>0.46153846153846156</v>
      </c>
      <c r="AJ9" s="49" t="s">
        <v>190</v>
      </c>
      <c r="AK9" s="56">
        <v>85000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195</v>
      </c>
      <c r="E10" s="48">
        <v>-72.599999999999994</v>
      </c>
      <c r="F10" s="49" t="s">
        <v>195</v>
      </c>
      <c r="G10" s="61">
        <v>-5.1857142857142851</v>
      </c>
      <c r="H10" s="49" t="s">
        <v>259</v>
      </c>
      <c r="I10" s="53">
        <v>1493.0891304000002</v>
      </c>
      <c r="J10" s="49" t="s">
        <v>189</v>
      </c>
      <c r="K10" s="50">
        <v>2.088888888888889</v>
      </c>
      <c r="L10" s="49" t="s">
        <v>190</v>
      </c>
      <c r="M10" s="51">
        <v>0.30555555555555558</v>
      </c>
      <c r="N10" s="49" t="s">
        <v>195</v>
      </c>
      <c r="O10" s="51">
        <v>0.42857142857142855</v>
      </c>
      <c r="P10" s="49" t="s">
        <v>195</v>
      </c>
      <c r="Q10" s="52">
        <v>0.256198347107438</v>
      </c>
      <c r="R10" s="49" t="s">
        <v>126</v>
      </c>
      <c r="S10" s="52">
        <v>0.17596566523605151</v>
      </c>
      <c r="T10" s="49" t="s">
        <v>211</v>
      </c>
      <c r="U10" s="53">
        <v>7850</v>
      </c>
      <c r="V10" s="49" t="s">
        <v>163</v>
      </c>
      <c r="W10" s="53">
        <v>-7953.7815126050418</v>
      </c>
      <c r="X10" s="49" t="s">
        <v>139</v>
      </c>
      <c r="Y10" s="51">
        <v>8.6419753086419748E-2</v>
      </c>
      <c r="Z10" s="49" t="s">
        <v>221</v>
      </c>
      <c r="AA10" s="52">
        <v>0.22222222222222221</v>
      </c>
      <c r="AB10" s="49" t="s">
        <v>211</v>
      </c>
      <c r="AC10" s="52">
        <v>0.21502590673575128</v>
      </c>
      <c r="AD10" s="49" t="s">
        <v>190</v>
      </c>
      <c r="AE10" s="52">
        <v>0.51807228915662651</v>
      </c>
      <c r="AF10" s="49" t="s">
        <v>190</v>
      </c>
      <c r="AG10" s="52">
        <v>0.36507936507936506</v>
      </c>
      <c r="AH10" s="49" t="s">
        <v>139</v>
      </c>
      <c r="AI10" s="52">
        <v>0.44227005870841485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14</v>
      </c>
      <c r="D11" s="47" t="s">
        <v>201</v>
      </c>
      <c r="E11" s="48">
        <v>-77.699999999999989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216</v>
      </c>
      <c r="O11" s="51">
        <v>0.44444444444444442</v>
      </c>
      <c r="P11" s="49" t="s">
        <v>201</v>
      </c>
      <c r="Q11" s="52">
        <v>0.25</v>
      </c>
      <c r="R11" s="49" t="s">
        <v>163</v>
      </c>
      <c r="S11" s="52">
        <v>0.18829113924050633</v>
      </c>
      <c r="T11" s="49" t="s">
        <v>189</v>
      </c>
      <c r="U11" s="53">
        <v>7512.0689655172409</v>
      </c>
      <c r="V11" s="49" t="s">
        <v>195</v>
      </c>
      <c r="W11" s="53">
        <v>-7990.4761904761908</v>
      </c>
      <c r="X11" s="49" t="s">
        <v>189</v>
      </c>
      <c r="Y11" s="51">
        <v>8.8888888888888892E-2</v>
      </c>
      <c r="Z11" s="49" t="s">
        <v>211</v>
      </c>
      <c r="AA11" s="52">
        <v>0.21761658031088082</v>
      </c>
      <c r="AB11" s="49" t="s">
        <v>126</v>
      </c>
      <c r="AC11" s="52">
        <v>0.21244635193133046</v>
      </c>
      <c r="AD11" s="49" t="s">
        <v>163</v>
      </c>
      <c r="AE11" s="52">
        <v>0.46408839779005523</v>
      </c>
      <c r="AF11" s="49" t="s">
        <v>163</v>
      </c>
      <c r="AG11" s="52">
        <v>0.34507042253521125</v>
      </c>
      <c r="AH11" s="49" t="s">
        <v>216</v>
      </c>
      <c r="AI11" s="52">
        <v>0.43333333333333335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216</v>
      </c>
      <c r="G12" s="61">
        <v>-10.016666666666667</v>
      </c>
      <c r="H12" s="49" t="s">
        <v>216</v>
      </c>
      <c r="I12" s="53">
        <v>1475.2783888604056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259</v>
      </c>
      <c r="S12" s="52">
        <v>0.2</v>
      </c>
      <c r="T12" s="49" t="s">
        <v>192</v>
      </c>
      <c r="U12" s="53">
        <v>7300</v>
      </c>
      <c r="V12" s="49" t="s">
        <v>189</v>
      </c>
      <c r="W12" s="53">
        <v>-8572.7272727272721</v>
      </c>
      <c r="X12" s="49" t="s">
        <v>216</v>
      </c>
      <c r="Y12" s="51">
        <v>0.1111111111111111</v>
      </c>
      <c r="Z12" s="49" t="s">
        <v>195</v>
      </c>
      <c r="AA12" s="52">
        <v>0.21487603305785125</v>
      </c>
      <c r="AB12" s="49" t="s">
        <v>190</v>
      </c>
      <c r="AC12" s="52">
        <v>0.20063694267515925</v>
      </c>
      <c r="AD12" s="49" t="s">
        <v>189</v>
      </c>
      <c r="AE12" s="52">
        <v>0.43809523809523809</v>
      </c>
      <c r="AF12" s="49" t="s">
        <v>195</v>
      </c>
      <c r="AG12" s="52">
        <v>0.29411764705882354</v>
      </c>
      <c r="AH12" s="49" t="s">
        <v>211</v>
      </c>
      <c r="AI12" s="52">
        <v>0.43220338983050849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163</v>
      </c>
      <c r="E13" s="48">
        <v>-87.699999999999989</v>
      </c>
      <c r="F13" s="49" t="s">
        <v>193</v>
      </c>
      <c r="G13" s="61">
        <v>-13.033333333333331</v>
      </c>
      <c r="H13" s="49" t="s">
        <v>189</v>
      </c>
      <c r="I13" s="53">
        <v>1444.1642121350767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193</v>
      </c>
      <c r="Q13" s="52">
        <v>0.22222222222222221</v>
      </c>
      <c r="R13" s="49" t="s">
        <v>216</v>
      </c>
      <c r="S13" s="52">
        <v>0.20714285714285716</v>
      </c>
      <c r="T13" s="49" t="s">
        <v>259</v>
      </c>
      <c r="U13" s="53">
        <v>7216.666666666667</v>
      </c>
      <c r="V13" s="49" t="s">
        <v>193</v>
      </c>
      <c r="W13" s="53">
        <v>-8875</v>
      </c>
      <c r="X13" s="49" t="s">
        <v>163</v>
      </c>
      <c r="Y13" s="51">
        <v>0.1388888888888889</v>
      </c>
      <c r="Z13" s="49" t="s">
        <v>192</v>
      </c>
      <c r="AA13" s="52">
        <v>0.2014218009478673</v>
      </c>
      <c r="AB13" s="49" t="s">
        <v>216</v>
      </c>
      <c r="AC13" s="52">
        <v>0.17142857142857143</v>
      </c>
      <c r="AD13" s="49" t="s">
        <v>216</v>
      </c>
      <c r="AE13" s="52">
        <v>0.4375</v>
      </c>
      <c r="AF13" s="49" t="s">
        <v>216</v>
      </c>
      <c r="AG13" s="52">
        <v>0.29166666666666669</v>
      </c>
      <c r="AH13" s="49" t="s">
        <v>192</v>
      </c>
      <c r="AI13" s="52">
        <v>0.3971631205673759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189</v>
      </c>
      <c r="E14" s="48">
        <v>-146.69999999999999</v>
      </c>
      <c r="F14" s="49" t="s">
        <v>259</v>
      </c>
      <c r="G14" s="61">
        <v>-16.666666666666668</v>
      </c>
      <c r="H14" s="49" t="s">
        <v>195</v>
      </c>
      <c r="I14" s="53">
        <v>1392.4879372401474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221</v>
      </c>
      <c r="Q14" s="52">
        <v>0.22222222222222221</v>
      </c>
      <c r="R14" s="49" t="s">
        <v>193</v>
      </c>
      <c r="S14" s="52">
        <v>0.22222222222222221</v>
      </c>
      <c r="T14" s="49" t="s">
        <v>216</v>
      </c>
      <c r="U14" s="53">
        <v>7183.333333333333</v>
      </c>
      <c r="V14" s="49" t="s">
        <v>259</v>
      </c>
      <c r="W14" s="53">
        <v>-9420</v>
      </c>
      <c r="X14" s="49" t="s">
        <v>195</v>
      </c>
      <c r="Y14" s="51">
        <v>0.14285714285714285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0.32142857142857145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216</v>
      </c>
      <c r="E15" s="48">
        <v>-180.3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216</v>
      </c>
      <c r="Q15" s="52">
        <v>0.21428571428571427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0.14049586776859505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0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405</v>
      </c>
      <c r="C2" s="142"/>
      <c r="E2" s="26" t="s">
        <v>66</v>
      </c>
      <c r="F2" s="23" t="s">
        <v>22</v>
      </c>
      <c r="G2" s="11">
        <v>797</v>
      </c>
      <c r="H2" s="87">
        <f>IF(B$20=0,0,G2/B$20)</f>
        <v>0.77984344422700591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-37.037037037037038</v>
      </c>
      <c r="Q2" s="76">
        <v>405</v>
      </c>
      <c r="R2" s="63">
        <v>-15000</v>
      </c>
    </row>
    <row r="3" spans="1:18" x14ac:dyDescent="0.4">
      <c r="A3" s="19" t="s">
        <v>8</v>
      </c>
      <c r="B3" s="143">
        <v>3480</v>
      </c>
      <c r="C3" s="144"/>
      <c r="E3" s="27" t="s">
        <v>72</v>
      </c>
      <c r="F3" s="24" t="s">
        <v>27</v>
      </c>
      <c r="G3" s="12">
        <v>610</v>
      </c>
      <c r="H3" s="88">
        <f>IF(B$20=0,0,G3/B$20)</f>
        <v>0.59686888454011744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17.676767676767678</v>
      </c>
      <c r="Q3" s="77">
        <v>396</v>
      </c>
      <c r="R3" s="64">
        <v>7000</v>
      </c>
    </row>
    <row r="4" spans="1:18" x14ac:dyDescent="0.4">
      <c r="A4" s="19" t="s">
        <v>6</v>
      </c>
      <c r="B4" s="145">
        <v>4.6185277824406512E-14</v>
      </c>
      <c r="C4" s="146"/>
      <c r="E4" s="27" t="s">
        <v>64</v>
      </c>
      <c r="F4" s="24" t="s">
        <v>20</v>
      </c>
      <c r="G4" s="12">
        <v>427</v>
      </c>
      <c r="H4" s="88">
        <f>IF(B$20=0,0,G4/B$20)</f>
        <v>0.4178082191780822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396</v>
      </c>
      <c r="R4" s="64">
        <v>0</v>
      </c>
    </row>
    <row r="5" spans="1:18" x14ac:dyDescent="0.4">
      <c r="A5" s="19" t="s">
        <v>7</v>
      </c>
      <c r="B5" s="133">
        <f>IF(B$2=0,0,B$4/B$2)</f>
        <v>1.1403772302322596E-16</v>
      </c>
      <c r="C5" s="134"/>
      <c r="E5" s="27" t="s">
        <v>159</v>
      </c>
      <c r="F5" s="24" t="s">
        <v>160</v>
      </c>
      <c r="G5" s="12">
        <v>411</v>
      </c>
      <c r="H5" s="88">
        <f>IF(B$20=0,0,G5/B$20)</f>
        <v>0.40215264187866928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-5.333333333333333</v>
      </c>
      <c r="Q5" s="77">
        <v>375</v>
      </c>
      <c r="R5" s="64">
        <v>-2000</v>
      </c>
    </row>
    <row r="6" spans="1:18" x14ac:dyDescent="0.4">
      <c r="A6" s="19" t="s">
        <v>196</v>
      </c>
      <c r="B6" s="137">
        <v>1607.4262325560462</v>
      </c>
      <c r="C6" s="138"/>
      <c r="E6" s="27" t="s">
        <v>68</v>
      </c>
      <c r="F6" s="24" t="s">
        <v>12</v>
      </c>
      <c r="G6" s="12">
        <v>307</v>
      </c>
      <c r="H6" s="88">
        <f>IF(B$20=0,0,G6/B$20)</f>
        <v>0.30039138943248533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14.492753623188406</v>
      </c>
      <c r="Q6" s="77">
        <v>345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1.9975308641975309</v>
      </c>
      <c r="C7" s="148"/>
      <c r="E7" s="27" t="s">
        <v>67</v>
      </c>
      <c r="F7" s="24" t="s">
        <v>23</v>
      </c>
      <c r="G7" s="12">
        <v>220</v>
      </c>
      <c r="H7" s="88">
        <f>IF(B$20=0,0,G7/B$20)</f>
        <v>0.21526418786692758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16.835016835016834</v>
      </c>
      <c r="Q7" s="78">
        <v>297</v>
      </c>
      <c r="R7" s="65">
        <v>5000</v>
      </c>
    </row>
    <row r="8" spans="1:18" x14ac:dyDescent="0.4">
      <c r="A8" s="19" t="s">
        <v>2</v>
      </c>
      <c r="B8" s="12">
        <v>136</v>
      </c>
      <c r="C8" s="6">
        <f t="shared" ref="C8:C15" si="1">IF(B$2=0,0,B8/B$2)</f>
        <v>0.33580246913580247</v>
      </c>
      <c r="E8" s="27" t="s">
        <v>69</v>
      </c>
      <c r="F8" s="24" t="s">
        <v>24</v>
      </c>
      <c r="G8" s="12">
        <v>135</v>
      </c>
      <c r="H8" s="88">
        <f>IF(B$20=0,0,G8/B$20)</f>
        <v>0.13209393346379647</v>
      </c>
      <c r="I8" s="58">
        <v>5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134</v>
      </c>
      <c r="C9" s="6">
        <f t="shared" si="1"/>
        <v>0.33086419753086421</v>
      </c>
      <c r="E9" s="27" t="s">
        <v>89</v>
      </c>
      <c r="F9" s="24" t="s">
        <v>44</v>
      </c>
      <c r="G9" s="12">
        <v>135</v>
      </c>
      <c r="H9" s="88">
        <f>IF(B$20=0,0,G9/B$20)</f>
        <v>0.13209393346379647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135</v>
      </c>
      <c r="C10" s="7">
        <f t="shared" si="1"/>
        <v>0.33333333333333331</v>
      </c>
      <c r="E10" s="27" t="s">
        <v>70</v>
      </c>
      <c r="F10" s="24" t="s">
        <v>25</v>
      </c>
      <c r="G10" s="12">
        <v>102</v>
      </c>
      <c r="H10" s="88">
        <f>IF(B$20=0,0,G10/B$20)</f>
        <v>9.9804305283757333E-2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3.0718518518518518</v>
      </c>
      <c r="Q10" s="76">
        <v>135</v>
      </c>
      <c r="R10" s="67">
        <v>414.7</v>
      </c>
    </row>
    <row r="11" spans="1:18" x14ac:dyDescent="0.4">
      <c r="A11" s="20" t="s">
        <v>184</v>
      </c>
      <c r="B11" s="109">
        <f>IF(B8=0,0,C11/B8)</f>
        <v>34.233823529411751</v>
      </c>
      <c r="C11" s="110">
        <v>4655.7999999999984</v>
      </c>
      <c r="E11" s="27" t="s">
        <v>65</v>
      </c>
      <c r="F11" s="24" t="s">
        <v>21</v>
      </c>
      <c r="G11" s="12">
        <v>94</v>
      </c>
      <c r="H11" s="88">
        <f>IF(B$20=0,0,G11/B$20)</f>
        <v>9.1976516634050876E-2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-3.2340740740740728</v>
      </c>
      <c r="Q11" s="77">
        <v>135</v>
      </c>
      <c r="R11" s="68">
        <v>-436.59999999999985</v>
      </c>
    </row>
    <row r="12" spans="1:18" x14ac:dyDescent="0.4">
      <c r="A12" s="20" t="s">
        <v>185</v>
      </c>
      <c r="B12" s="109">
        <f>IF(B9=0,0,C12/B9)</f>
        <v>-0.89179104477611937</v>
      </c>
      <c r="C12" s="110">
        <v>-119.5</v>
      </c>
      <c r="E12" s="27" t="s">
        <v>71</v>
      </c>
      <c r="F12" s="24" t="s">
        <v>26</v>
      </c>
      <c r="G12" s="12">
        <v>64</v>
      </c>
      <c r="H12" s="88">
        <f>IF(B$20=0,0,G12/B$20)</f>
        <v>6.262230919765166E-2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0.16222222222222246</v>
      </c>
      <c r="Q12" s="78">
        <v>135</v>
      </c>
      <c r="R12" s="69">
        <v>21.900000000000031</v>
      </c>
    </row>
    <row r="13" spans="1:18" x14ac:dyDescent="0.4">
      <c r="A13" s="20" t="s">
        <v>186</v>
      </c>
      <c r="B13" s="109">
        <f>IF(B10=0,0,C13/B10)</f>
        <v>-33.602222222222217</v>
      </c>
      <c r="C13" s="110">
        <v>-4536.2999999999993</v>
      </c>
      <c r="E13" s="27" t="s">
        <v>86</v>
      </c>
      <c r="F13" s="24" t="s">
        <v>41</v>
      </c>
      <c r="G13" s="12">
        <v>56</v>
      </c>
      <c r="H13" s="88">
        <f>IF(B$20=0,0,G13/B$20)</f>
        <v>5.4794520547945202E-2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-8.6729912528862016E-2</v>
      </c>
      <c r="C14" s="134"/>
      <c r="E14" s="27" t="s">
        <v>83</v>
      </c>
      <c r="F14" s="24" t="s">
        <v>38</v>
      </c>
      <c r="G14" s="12">
        <v>45</v>
      </c>
      <c r="H14" s="88">
        <f>IF(B$20=0,0,G14/B$20)</f>
        <v>4.4031311154598823E-2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35</v>
      </c>
      <c r="C15" s="9">
        <f t="shared" si="1"/>
        <v>8.6419753086419748E-2</v>
      </c>
      <c r="E15" s="27" t="s">
        <v>81</v>
      </c>
      <c r="F15" s="24" t="s">
        <v>36</v>
      </c>
      <c r="G15" s="12">
        <v>32</v>
      </c>
      <c r="H15" s="88">
        <f>IF(B$20=0,0,G15/B$20)</f>
        <v>3.131115459882583E-2</v>
      </c>
      <c r="I15" s="58">
        <v>9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849</v>
      </c>
      <c r="C16" s="10">
        <f>IF(B$3=0,0,B16/B$3)</f>
        <v>0.2439655172413793</v>
      </c>
      <c r="E16" s="27" t="s">
        <v>78</v>
      </c>
      <c r="F16" s="24" t="s">
        <v>33</v>
      </c>
      <c r="G16" s="12">
        <v>29</v>
      </c>
      <c r="H16" s="88">
        <f>IF(B$20=0,0,G16/B$20)</f>
        <v>2.8375733855185908E-2</v>
      </c>
      <c r="I16" s="58">
        <v>6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791</v>
      </c>
      <c r="C17" s="6">
        <f>IF(B$3=0,0,B17/B$3)</f>
        <v>0.22729885057471264</v>
      </c>
      <c r="E17" s="27" t="s">
        <v>91</v>
      </c>
      <c r="F17" s="24" t="s">
        <v>46</v>
      </c>
      <c r="G17" s="12">
        <v>20</v>
      </c>
      <c r="H17" s="88">
        <f>IF(B$20=0,0,G17/B$20)</f>
        <v>1.9569471624266144E-2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442</v>
      </c>
      <c r="C18" s="5">
        <f>IF(B$16=0,0,B18/B$16)</f>
        <v>0.52061248527679627</v>
      </c>
      <c r="E18" s="27" t="s">
        <v>155</v>
      </c>
      <c r="F18" s="24" t="s">
        <v>156</v>
      </c>
      <c r="G18" s="12">
        <v>18</v>
      </c>
      <c r="H18" s="88">
        <f>IF(B$20=0,0,G18/B$20)</f>
        <v>1.7612524461839529E-2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216</v>
      </c>
      <c r="P18" s="83">
        <f>IF(Q18=0,0,R18/Q18)</f>
        <v>15.025000000000002</v>
      </c>
      <c r="Q18" s="77">
        <v>36</v>
      </c>
      <c r="R18" s="68">
        <v>540.90000000000009</v>
      </c>
    </row>
    <row r="19" spans="1:18" x14ac:dyDescent="0.4">
      <c r="A19" s="18" t="s">
        <v>124</v>
      </c>
      <c r="B19" s="11">
        <f>B25</f>
        <v>320</v>
      </c>
      <c r="C19" s="5">
        <f>IF(B$17=0,0,B19/B$17)</f>
        <v>0.40455120101137798</v>
      </c>
      <c r="E19" s="27" t="s">
        <v>79</v>
      </c>
      <c r="F19" s="24" t="s">
        <v>34</v>
      </c>
      <c r="G19" s="12">
        <v>15</v>
      </c>
      <c r="H19" s="88">
        <f>IF(B$20=0,0,G19/B$20)</f>
        <v>1.4677103718199608E-2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1022</v>
      </c>
      <c r="C20" s="5">
        <f>IF(B$3=0,0,B20/B$3)</f>
        <v>0.29367816091954024</v>
      </c>
      <c r="E20" s="27" t="s">
        <v>73</v>
      </c>
      <c r="F20" s="24" t="s">
        <v>28</v>
      </c>
      <c r="G20" s="12">
        <v>9</v>
      </c>
      <c r="H20" s="88">
        <f>IF(B$20=0,0,G20/B$20)</f>
        <v>8.8062622309197647E-3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7.7785714285714311</v>
      </c>
      <c r="Q20" s="77">
        <v>28</v>
      </c>
      <c r="R20" s="68">
        <v>217.80000000000007</v>
      </c>
    </row>
    <row r="21" spans="1:18" x14ac:dyDescent="0.4">
      <c r="A21" s="19" t="s">
        <v>13</v>
      </c>
      <c r="B21" s="12">
        <v>563</v>
      </c>
      <c r="C21" s="6">
        <f>IF(B$3=0,0,B21/B$3)</f>
        <v>0.1617816091954023</v>
      </c>
      <c r="E21" s="27" t="s">
        <v>75</v>
      </c>
      <c r="F21" s="24" t="s">
        <v>30</v>
      </c>
      <c r="G21" s="12">
        <v>4</v>
      </c>
      <c r="H21" s="88">
        <f>IF(B$20=0,0,G21/B$20)</f>
        <v>3.9138943248532287E-3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4.8900000000000006</v>
      </c>
      <c r="Q21" s="77">
        <v>90</v>
      </c>
      <c r="R21" s="68">
        <v>440.1</v>
      </c>
    </row>
    <row r="22" spans="1:18" x14ac:dyDescent="0.4">
      <c r="A22" s="19" t="s">
        <v>12</v>
      </c>
      <c r="B22" s="12">
        <v>452</v>
      </c>
      <c r="C22" s="6">
        <f>IF(B$20=0,0,B22/B$20)</f>
        <v>0.44227005870841485</v>
      </c>
      <c r="E22" s="27" t="s">
        <v>77</v>
      </c>
      <c r="F22" s="24" t="s">
        <v>32</v>
      </c>
      <c r="G22" s="12">
        <v>4</v>
      </c>
      <c r="H22" s="88">
        <f>IF(B$20=0,0,G22/B$20)</f>
        <v>3.9138943248532287E-3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163</v>
      </c>
      <c r="P22" s="83">
        <f>IF(Q22=0,0,R22/Q22)</f>
        <v>1.8270833333333334</v>
      </c>
      <c r="Q22" s="77">
        <v>144</v>
      </c>
      <c r="R22" s="68">
        <v>263.10000000000002</v>
      </c>
    </row>
    <row r="23" spans="1:18" x14ac:dyDescent="0.4">
      <c r="A23" s="19" t="s">
        <v>11</v>
      </c>
      <c r="B23" s="12">
        <v>570</v>
      </c>
      <c r="C23" s="6">
        <f>IF(B$20=0,0,B23/B$20)</f>
        <v>0.55772994129158515</v>
      </c>
      <c r="E23" s="27" t="s">
        <v>85</v>
      </c>
      <c r="F23" s="24" t="s">
        <v>40</v>
      </c>
      <c r="G23" s="12">
        <v>4</v>
      </c>
      <c r="H23" s="88">
        <f>IF(B$20=0,0,G23/B$20)</f>
        <v>3.9138943248532287E-3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190</v>
      </c>
      <c r="P23" s="83">
        <f>IF(Q23=0,0,R23/Q23)</f>
        <v>-2.8208333333333329</v>
      </c>
      <c r="Q23" s="77">
        <v>72</v>
      </c>
      <c r="R23" s="68">
        <v>-203.09999999999997</v>
      </c>
    </row>
    <row r="24" spans="1:18" x14ac:dyDescent="0.4">
      <c r="A24" s="19" t="s">
        <v>183</v>
      </c>
      <c r="B24" s="12">
        <v>442</v>
      </c>
      <c r="C24" s="6">
        <f>IF(B$20=0,0,B24/B$20)</f>
        <v>0.43248532289628178</v>
      </c>
      <c r="E24" s="27" t="s">
        <v>88</v>
      </c>
      <c r="F24" s="24" t="s">
        <v>43</v>
      </c>
      <c r="G24" s="12">
        <v>4</v>
      </c>
      <c r="H24" s="88">
        <f>IF(B$20=0,0,G24/B$20)</f>
        <v>3.9138943248532287E-3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126</v>
      </c>
      <c r="P24" s="83">
        <f>IF(Q24=0,0,R24/Q24)</f>
        <v>-3.1499999999999995</v>
      </c>
      <c r="Q24" s="77">
        <v>222</v>
      </c>
      <c r="R24" s="68">
        <v>-699.29999999999984</v>
      </c>
    </row>
    <row r="25" spans="1:18" x14ac:dyDescent="0.4">
      <c r="A25" s="19" t="s">
        <v>181</v>
      </c>
      <c r="B25" s="12">
        <v>320</v>
      </c>
      <c r="C25" s="6">
        <f>IF(B$20=0,0,B25/B$20)</f>
        <v>0.3131115459882583</v>
      </c>
      <c r="E25" s="27" t="s">
        <v>92</v>
      </c>
      <c r="F25" s="24" t="s">
        <v>47</v>
      </c>
      <c r="G25" s="12">
        <v>3</v>
      </c>
      <c r="H25" s="88">
        <f>IF(B$20=0,0,G25/B$20)</f>
        <v>2.9354207436399216E-3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-5.2566666666666668</v>
      </c>
      <c r="Q25" s="77">
        <v>90</v>
      </c>
      <c r="R25" s="68">
        <v>-473.1</v>
      </c>
    </row>
    <row r="26" spans="1:18" x14ac:dyDescent="0.4">
      <c r="A26" s="19" t="s">
        <v>182</v>
      </c>
      <c r="B26" s="12">
        <v>260</v>
      </c>
      <c r="C26" s="6">
        <f>IF(B$20=0,0,B26/B$20)</f>
        <v>0.25440313111545987</v>
      </c>
      <c r="E26" s="27" t="s">
        <v>90</v>
      </c>
      <c r="F26" s="24" t="s">
        <v>45</v>
      </c>
      <c r="G26" s="12">
        <v>2</v>
      </c>
      <c r="H26" s="88">
        <f>IF(B$20=0,0,G26/B$20)</f>
        <v>1.9569471624266144E-3</v>
      </c>
      <c r="I26" s="58">
        <v>3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-7.5979591836734732</v>
      </c>
      <c r="Q26" s="77">
        <v>98</v>
      </c>
      <c r="R26" s="68">
        <v>-744.60000000000036</v>
      </c>
    </row>
    <row r="27" spans="1:18" x14ac:dyDescent="0.4">
      <c r="A27" s="19" t="s">
        <v>5</v>
      </c>
      <c r="B27" s="16">
        <f>IF(B$20=0,0,C27/B$20)</f>
        <v>8112.8180039138942</v>
      </c>
      <c r="C27" s="8">
        <v>8291300</v>
      </c>
      <c r="E27" s="27" t="s">
        <v>93</v>
      </c>
      <c r="F27" s="24" t="s">
        <v>48</v>
      </c>
      <c r="G27" s="12">
        <v>2</v>
      </c>
      <c r="H27" s="88">
        <f>IF(B$20=0,0,G27/B$20)</f>
        <v>1.9569471624266144E-3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8677.6353276353275</v>
      </c>
      <c r="C28" s="96">
        <v>6091700</v>
      </c>
      <c r="E28" s="27" t="s">
        <v>80</v>
      </c>
      <c r="F28" s="24" t="s">
        <v>35</v>
      </c>
      <c r="G28" s="12">
        <v>1</v>
      </c>
      <c r="H28" s="88">
        <f>IF(B$20=0,0,G28/B$20)</f>
        <v>9.7847358121330719E-4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6873.75</v>
      </c>
      <c r="C29" s="96">
        <v>2199600</v>
      </c>
      <c r="E29" s="27" t="s">
        <v>84</v>
      </c>
      <c r="F29" s="24" t="s">
        <v>39</v>
      </c>
      <c r="G29" s="12">
        <v>1</v>
      </c>
      <c r="H29" s="88">
        <f>IF(B$20=0,0,G29/B$20)</f>
        <v>9.7847358121330719E-4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-7639.7868561278865</v>
      </c>
      <c r="C30" s="96">
        <v>-4301200</v>
      </c>
      <c r="E30" s="27" t="s">
        <v>102</v>
      </c>
      <c r="F30" s="24" t="s">
        <v>57</v>
      </c>
      <c r="G30" s="12">
        <v>1</v>
      </c>
      <c r="H30" s="88">
        <f>IF(B$20=0,0,G30/B$20)</f>
        <v>9.7847358121330719E-4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3</v>
      </c>
      <c r="E31" s="27" t="s">
        <v>106</v>
      </c>
      <c r="F31" s="24" t="s">
        <v>113</v>
      </c>
      <c r="G31" s="12">
        <v>1</v>
      </c>
      <c r="H31" s="88">
        <f>IF(B$20=0,0,G31/B$20)</f>
        <v>9.7847358121330719E-4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7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2.0114942528735632E-3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76</v>
      </c>
      <c r="C37" s="98">
        <f t="shared" ref="C37:C49" si="2">IF(B$20=0,0,B37/B$20)</f>
        <v>7.4363992172211346E-2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188</v>
      </c>
      <c r="C38" s="6">
        <f t="shared" si="2"/>
        <v>0.18395303326810175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204</v>
      </c>
      <c r="C39" s="6">
        <f t="shared" si="2"/>
        <v>0.19960861056751467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202</v>
      </c>
      <c r="C40" s="6">
        <f t="shared" si="2"/>
        <v>0.19765166340508805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144</v>
      </c>
      <c r="C41" s="6">
        <f t="shared" si="2"/>
        <v>0.14090019569471623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93</v>
      </c>
      <c r="C42" s="6">
        <f t="shared" si="2"/>
        <v>9.0998043052837568E-2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42</v>
      </c>
      <c r="C43" s="6">
        <f t="shared" si="2"/>
        <v>4.1095890410958902E-2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34</v>
      </c>
      <c r="C44" s="6">
        <f t="shared" si="2"/>
        <v>3.3268101761252444E-2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17</v>
      </c>
      <c r="C45" s="6">
        <f t="shared" si="2"/>
        <v>1.6634050880626222E-2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11</v>
      </c>
      <c r="C46" s="6">
        <f t="shared" si="2"/>
        <v>1.0763209393346379E-2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1.9569471624266144E-3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9.7847358121330719E-4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7.8277886497064575E-3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1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111</v>
      </c>
      <c r="C2" s="142"/>
      <c r="E2" s="26" t="s">
        <v>66</v>
      </c>
      <c r="F2" s="23" t="s">
        <v>22</v>
      </c>
      <c r="G2" s="11">
        <v>232</v>
      </c>
      <c r="H2" s="87">
        <f>IF(B$20=0,0,G2/B$20)</f>
        <v>0.76821192052980136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806.30630630630628</v>
      </c>
      <c r="Q2" s="76">
        <v>111</v>
      </c>
      <c r="R2" s="63">
        <v>89500</v>
      </c>
    </row>
    <row r="3" spans="1:18" x14ac:dyDescent="0.4">
      <c r="A3" s="19" t="s">
        <v>8</v>
      </c>
      <c r="B3" s="143">
        <v>932</v>
      </c>
      <c r="C3" s="144"/>
      <c r="E3" s="27" t="s">
        <v>72</v>
      </c>
      <c r="F3" s="24" t="s">
        <v>27</v>
      </c>
      <c r="G3" s="12">
        <v>162</v>
      </c>
      <c r="H3" s="88">
        <f>IF(B$20=0,0,G3/B$20)</f>
        <v>0.53642384105960261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-523.14814814814815</v>
      </c>
      <c r="Q3" s="77">
        <v>108</v>
      </c>
      <c r="R3" s="64">
        <v>-56500</v>
      </c>
    </row>
    <row r="4" spans="1:18" x14ac:dyDescent="0.4">
      <c r="A4" s="19" t="s">
        <v>6</v>
      </c>
      <c r="B4" s="145">
        <v>233.09999999999988</v>
      </c>
      <c r="C4" s="146"/>
      <c r="E4" s="27" t="s">
        <v>64</v>
      </c>
      <c r="F4" s="24" t="s">
        <v>20</v>
      </c>
      <c r="G4" s="12">
        <v>123</v>
      </c>
      <c r="H4" s="88">
        <f>IF(B$20=0,0,G4/B$20)</f>
        <v>0.40728476821192056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-987.96296296296293</v>
      </c>
      <c r="Q4" s="77">
        <v>108</v>
      </c>
      <c r="R4" s="64">
        <v>-106700</v>
      </c>
    </row>
    <row r="5" spans="1:18" x14ac:dyDescent="0.4">
      <c r="A5" s="19" t="s">
        <v>7</v>
      </c>
      <c r="B5" s="133">
        <f>IF(B$2=0,0,B$4/B$2)</f>
        <v>2.0999999999999988</v>
      </c>
      <c r="C5" s="134"/>
      <c r="E5" s="27" t="s">
        <v>159</v>
      </c>
      <c r="F5" s="24" t="s">
        <v>160</v>
      </c>
      <c r="G5" s="12">
        <v>114</v>
      </c>
      <c r="H5" s="88">
        <f>IF(B$20=0,0,G5/B$20)</f>
        <v>0.37748344370860926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1260.1941747572816</v>
      </c>
      <c r="Q5" s="77">
        <v>103</v>
      </c>
      <c r="R5" s="64">
        <v>129800</v>
      </c>
    </row>
    <row r="6" spans="1:18" x14ac:dyDescent="0.4">
      <c r="A6" s="19" t="s">
        <v>196</v>
      </c>
      <c r="B6" s="137">
        <v>1767.7550131096805</v>
      </c>
      <c r="C6" s="138"/>
      <c r="E6" s="27" t="s">
        <v>68</v>
      </c>
      <c r="F6" s="24" t="s">
        <v>12</v>
      </c>
      <c r="G6" s="12">
        <v>96</v>
      </c>
      <c r="H6" s="88">
        <f>IF(B$20=0,0,G6/B$20)</f>
        <v>0.31788079470198677</v>
      </c>
      <c r="I6" s="58">
        <v>6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268.08510638297872</v>
      </c>
      <c r="Q6" s="77">
        <v>94</v>
      </c>
      <c r="R6" s="64">
        <v>25200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61</v>
      </c>
      <c r="H7" s="88">
        <f>IF(B$20=0,0,G7/B$20)</f>
        <v>0.20198675496688742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155.55555555555554</v>
      </c>
      <c r="Q7" s="78">
        <v>81</v>
      </c>
      <c r="R7" s="65">
        <v>12600</v>
      </c>
    </row>
    <row r="8" spans="1:18" x14ac:dyDescent="0.4">
      <c r="A8" s="19" t="s">
        <v>2</v>
      </c>
      <c r="B8" s="12">
        <v>37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49</v>
      </c>
      <c r="H8" s="88">
        <f>IF(B$20=0,0,G8/B$20)</f>
        <v>0.16225165562913907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37</v>
      </c>
      <c r="C9" s="6">
        <f t="shared" si="1"/>
        <v>0.33333333333333331</v>
      </c>
      <c r="E9" s="27" t="s">
        <v>70</v>
      </c>
      <c r="F9" s="24" t="s">
        <v>25</v>
      </c>
      <c r="G9" s="12">
        <v>40</v>
      </c>
      <c r="H9" s="88">
        <f>IF(B$20=0,0,G9/B$20)</f>
        <v>0.13245033112582782</v>
      </c>
      <c r="I9" s="58">
        <v>2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37</v>
      </c>
      <c r="C10" s="7">
        <f t="shared" si="1"/>
        <v>0.33333333333333331</v>
      </c>
      <c r="E10" s="27" t="s">
        <v>89</v>
      </c>
      <c r="F10" s="24" t="s">
        <v>44</v>
      </c>
      <c r="G10" s="12">
        <v>38</v>
      </c>
      <c r="H10" s="88">
        <f>IF(B$20=0,0,G10/B$20)</f>
        <v>0.12582781456953643</v>
      </c>
      <c r="I10" s="58">
        <v>8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8.3749999999999982</v>
      </c>
      <c r="Q10" s="76">
        <v>40</v>
      </c>
      <c r="R10" s="67">
        <v>334.99999999999994</v>
      </c>
    </row>
    <row r="11" spans="1:18" x14ac:dyDescent="0.4">
      <c r="A11" s="20" t="s">
        <v>184</v>
      </c>
      <c r="B11" s="109">
        <f>IF(B8=0,0,C11/B8)</f>
        <v>38.191891891891899</v>
      </c>
      <c r="C11" s="110">
        <v>1413.1000000000004</v>
      </c>
      <c r="E11" s="27" t="s">
        <v>65</v>
      </c>
      <c r="F11" s="24" t="s">
        <v>21</v>
      </c>
      <c r="G11" s="12">
        <v>27</v>
      </c>
      <c r="H11" s="88">
        <f>IF(B$20=0,0,G11/B$20)</f>
        <v>8.9403973509933773E-2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-4.5351351351351354</v>
      </c>
      <c r="Q11" s="77">
        <v>37</v>
      </c>
      <c r="R11" s="68">
        <v>-167.8</v>
      </c>
    </row>
    <row r="12" spans="1:18" x14ac:dyDescent="0.4">
      <c r="A12" s="20" t="s">
        <v>185</v>
      </c>
      <c r="B12" s="109">
        <f>IF(B9=0,0,C12/B9)</f>
        <v>-1.5783783783783782</v>
      </c>
      <c r="C12" s="110">
        <v>-58.399999999999991</v>
      </c>
      <c r="E12" s="27" t="s">
        <v>86</v>
      </c>
      <c r="F12" s="24" t="s">
        <v>41</v>
      </c>
      <c r="G12" s="12">
        <v>21</v>
      </c>
      <c r="H12" s="88">
        <f>IF(B$20=0,0,G12/B$20)</f>
        <v>6.9536423841059597E-2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1.9382352941176482</v>
      </c>
      <c r="Q12" s="78">
        <v>34</v>
      </c>
      <c r="R12" s="69">
        <v>65.900000000000034</v>
      </c>
    </row>
    <row r="13" spans="1:18" x14ac:dyDescent="0.4">
      <c r="A13" s="20" t="s">
        <v>186</v>
      </c>
      <c r="B13" s="109">
        <f>IF(B10=0,0,C13/B10)</f>
        <v>-30.313513513513517</v>
      </c>
      <c r="C13" s="110">
        <v>-1121.6000000000001</v>
      </c>
      <c r="E13" s="27" t="s">
        <v>83</v>
      </c>
      <c r="F13" s="24" t="s">
        <v>38</v>
      </c>
      <c r="G13" s="12">
        <v>14</v>
      </c>
      <c r="H13" s="88">
        <f>IF(B$20=0,0,G13/B$20)</f>
        <v>4.6357615894039736E-2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2.1000000000000028</v>
      </c>
      <c r="C14" s="134"/>
      <c r="E14" s="27" t="s">
        <v>71</v>
      </c>
      <c r="F14" s="24" t="s">
        <v>26</v>
      </c>
      <c r="G14" s="12">
        <v>13</v>
      </c>
      <c r="H14" s="88">
        <f>IF(B$20=0,0,G14/B$20)</f>
        <v>4.3046357615894038E-2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8</v>
      </c>
      <c r="C15" s="9">
        <f t="shared" si="1"/>
        <v>7.2072072072072071E-2</v>
      </c>
      <c r="E15" s="27" t="s">
        <v>155</v>
      </c>
      <c r="F15" s="24" t="s">
        <v>156</v>
      </c>
      <c r="G15" s="12">
        <v>12</v>
      </c>
      <c r="H15" s="88">
        <f>IF(B$20=0,0,G15/B$20)</f>
        <v>3.9735099337748346E-2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228</v>
      </c>
      <c r="C16" s="10">
        <f>IF(B$3=0,0,B16/B$3)</f>
        <v>0.24463519313304721</v>
      </c>
      <c r="E16" s="27" t="s">
        <v>78</v>
      </c>
      <c r="F16" s="24" t="s">
        <v>33</v>
      </c>
      <c r="G16" s="12">
        <v>8</v>
      </c>
      <c r="H16" s="88">
        <f>IF(B$20=0,0,G16/B$20)</f>
        <v>2.6490066225165563E-2</v>
      </c>
      <c r="I16" s="58">
        <v>8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198</v>
      </c>
      <c r="C17" s="6">
        <f>IF(B$3=0,0,B17/B$3)</f>
        <v>0.21244635193133046</v>
      </c>
      <c r="E17" s="27" t="s">
        <v>91</v>
      </c>
      <c r="F17" s="24" t="s">
        <v>46</v>
      </c>
      <c r="G17" s="12">
        <v>8</v>
      </c>
      <c r="H17" s="88">
        <f>IF(B$20=0,0,G17/B$20)</f>
        <v>2.6490066225165563E-2</v>
      </c>
      <c r="I17" s="58">
        <v>2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132</v>
      </c>
      <c r="C18" s="5">
        <f>IF(B$16=0,0,B18/B$16)</f>
        <v>0.57894736842105265</v>
      </c>
      <c r="E18" s="27" t="s">
        <v>79</v>
      </c>
      <c r="F18" s="24" t="s">
        <v>34</v>
      </c>
      <c r="G18" s="12">
        <v>5</v>
      </c>
      <c r="H18" s="88">
        <f>IF(B$20=0,0,G18/B$20)</f>
        <v>1.6556291390728478E-2</v>
      </c>
      <c r="I18" s="58">
        <v>4</v>
      </c>
      <c r="K18" s="74">
        <v>16</v>
      </c>
      <c r="L18" s="119">
        <v>164.20000000000002</v>
      </c>
      <c r="M18" s="117">
        <v>1848.4372400471914</v>
      </c>
      <c r="O18" s="74" t="s">
        <v>216</v>
      </c>
      <c r="P18" s="83">
        <f>IF(Q18=0,0,R18/Q18)</f>
        <v>11.879999999999999</v>
      </c>
      <c r="Q18" s="77">
        <v>10</v>
      </c>
      <c r="R18" s="68">
        <v>118.79999999999998</v>
      </c>
    </row>
    <row r="19" spans="1:18" x14ac:dyDescent="0.4">
      <c r="A19" s="18" t="s">
        <v>124</v>
      </c>
      <c r="B19" s="11">
        <f>B25</f>
        <v>90</v>
      </c>
      <c r="C19" s="5">
        <f>IF(B$17=0,0,B19/B$17)</f>
        <v>0.45454545454545453</v>
      </c>
      <c r="E19" s="27" t="s">
        <v>81</v>
      </c>
      <c r="F19" s="24" t="s">
        <v>36</v>
      </c>
      <c r="G19" s="12">
        <v>5</v>
      </c>
      <c r="H19" s="88">
        <f>IF(B$20=0,0,G19/B$20)</f>
        <v>1.6556291390728478E-2</v>
      </c>
      <c r="I19" s="58">
        <v>12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4.3916666666666675</v>
      </c>
      <c r="Q19" s="77">
        <v>60</v>
      </c>
      <c r="R19" s="68">
        <v>263.50000000000006</v>
      </c>
    </row>
    <row r="20" spans="1:18" x14ac:dyDescent="0.4">
      <c r="A20" s="18" t="s">
        <v>10</v>
      </c>
      <c r="B20" s="11">
        <f>B23+B22</f>
        <v>302</v>
      </c>
      <c r="C20" s="5">
        <f>IF(B$3=0,0,B20/B$3)</f>
        <v>0.32403433476394849</v>
      </c>
      <c r="E20" s="27" t="s">
        <v>73</v>
      </c>
      <c r="F20" s="24" t="s">
        <v>28</v>
      </c>
      <c r="G20" s="12">
        <v>3</v>
      </c>
      <c r="H20" s="88">
        <f>IF(B$20=0,0,G20/B$20)</f>
        <v>9.9337748344370865E-3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195</v>
      </c>
      <c r="P20" s="83">
        <f>IF(Q20=0,0,R20/Q20)</f>
        <v>2.6777777777777789</v>
      </c>
      <c r="Q20" s="77">
        <v>9</v>
      </c>
      <c r="R20" s="68">
        <v>24.100000000000009</v>
      </c>
    </row>
    <row r="21" spans="1:18" x14ac:dyDescent="0.4">
      <c r="A21" s="19" t="s">
        <v>13</v>
      </c>
      <c r="B21" s="12">
        <v>164</v>
      </c>
      <c r="C21" s="6">
        <f>IF(B$3=0,0,B21/B$3)</f>
        <v>0.17596566523605151</v>
      </c>
      <c r="E21" s="27" t="s">
        <v>75</v>
      </c>
      <c r="F21" s="24" t="s">
        <v>30</v>
      </c>
      <c r="G21" s="12">
        <v>2</v>
      </c>
      <c r="H21" s="88">
        <f>IF(B$20=0,0,G21/B$20)</f>
        <v>6.6225165562913907E-3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2.3897435897435892</v>
      </c>
      <c r="Q21" s="77">
        <v>39</v>
      </c>
      <c r="R21" s="68">
        <v>93.199999999999989</v>
      </c>
    </row>
    <row r="22" spans="1:18" x14ac:dyDescent="0.4">
      <c r="A22" s="19" t="s">
        <v>12</v>
      </c>
      <c r="B22" s="12">
        <v>142</v>
      </c>
      <c r="C22" s="6">
        <f>IF(B$20=0,0,B22/B$20)</f>
        <v>0.47019867549668876</v>
      </c>
      <c r="E22" s="27" t="s">
        <v>85</v>
      </c>
      <c r="F22" s="24" t="s">
        <v>40</v>
      </c>
      <c r="G22" s="12">
        <v>2</v>
      </c>
      <c r="H22" s="88">
        <f>IF(B$20=0,0,G22/B$20)</f>
        <v>6.6225165562913907E-3</v>
      </c>
      <c r="I22" s="58">
        <v>2</v>
      </c>
      <c r="K22" s="74">
        <v>20</v>
      </c>
      <c r="L22" s="119">
        <v>154.5</v>
      </c>
      <c r="M22" s="117">
        <v>1840.6741302604762</v>
      </c>
      <c r="O22" s="74" t="s">
        <v>211</v>
      </c>
      <c r="P22" s="83">
        <f>IF(Q22=0,0,R22/Q22)</f>
        <v>1.04</v>
      </c>
      <c r="Q22" s="77">
        <v>25</v>
      </c>
      <c r="R22" s="68">
        <v>26</v>
      </c>
    </row>
    <row r="23" spans="1:18" x14ac:dyDescent="0.4">
      <c r="A23" s="19" t="s">
        <v>11</v>
      </c>
      <c r="B23" s="12">
        <v>160</v>
      </c>
      <c r="C23" s="6">
        <f>IF(B$20=0,0,B23/B$20)</f>
        <v>0.5298013245033113</v>
      </c>
      <c r="E23" s="27" t="s">
        <v>80</v>
      </c>
      <c r="F23" s="24" t="s">
        <v>35</v>
      </c>
      <c r="G23" s="12">
        <v>1</v>
      </c>
      <c r="H23" s="88">
        <f>IF(B$20=0,0,G23/B$20)</f>
        <v>3.3112582781456954E-3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190</v>
      </c>
      <c r="P23" s="83">
        <f>IF(Q23=0,0,R23/Q23)</f>
        <v>0.26666666666666716</v>
      </c>
      <c r="Q23" s="77">
        <v>30</v>
      </c>
      <c r="R23" s="68">
        <v>8.0000000000000142</v>
      </c>
    </row>
    <row r="24" spans="1:18" x14ac:dyDescent="0.4">
      <c r="A24" s="19" t="s">
        <v>183</v>
      </c>
      <c r="B24" s="12">
        <v>132</v>
      </c>
      <c r="C24" s="6">
        <f>IF(B$20=0,0,B24/B$20)</f>
        <v>0.4370860927152318</v>
      </c>
      <c r="E24" s="27" t="s">
        <v>84</v>
      </c>
      <c r="F24" s="24" t="s">
        <v>39</v>
      </c>
      <c r="G24" s="12">
        <v>1</v>
      </c>
      <c r="H24" s="88">
        <f>IF(B$20=0,0,G24/B$20)</f>
        <v>3.3112582781456954E-3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-3.7341463414634157</v>
      </c>
      <c r="Q24" s="77">
        <v>41</v>
      </c>
      <c r="R24" s="68">
        <v>-153.10000000000005</v>
      </c>
    </row>
    <row r="25" spans="1:18" x14ac:dyDescent="0.4">
      <c r="A25" s="19" t="s">
        <v>181</v>
      </c>
      <c r="B25" s="12">
        <v>90</v>
      </c>
      <c r="C25" s="6">
        <f>IF(B$20=0,0,B25/B$20)</f>
        <v>0.29801324503311261</v>
      </c>
      <c r="E25" s="27" t="s">
        <v>88</v>
      </c>
      <c r="F25" s="24" t="s">
        <v>43</v>
      </c>
      <c r="G25" s="12">
        <v>1</v>
      </c>
      <c r="H25" s="88">
        <f>IF(B$20=0,0,G25/B$20)</f>
        <v>3.3112582781456954E-3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80</v>
      </c>
      <c r="C26" s="6">
        <f>IF(B$20=0,0,B26/B$20)</f>
        <v>0.26490066225165565</v>
      </c>
      <c r="E26" s="27" t="s">
        <v>90</v>
      </c>
      <c r="F26" s="24" t="s">
        <v>45</v>
      </c>
      <c r="G26" s="12">
        <v>1</v>
      </c>
      <c r="H26" s="88">
        <f>IF(B$20=0,0,G26/B$20)</f>
        <v>3.3112582781456954E-3</v>
      </c>
      <c r="I26" s="58">
        <v>2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8182.1192052980132</v>
      </c>
      <c r="C27" s="8">
        <v>2471000</v>
      </c>
      <c r="E27" s="27" t="s">
        <v>92</v>
      </c>
      <c r="F27" s="24" t="s">
        <v>47</v>
      </c>
      <c r="G27" s="12">
        <v>1</v>
      </c>
      <c r="H27" s="88">
        <f>IF(B$20=0,0,G27/B$20)</f>
        <v>3.3112582781456954E-3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8453.3018867924529</v>
      </c>
      <c r="C28" s="96">
        <v>1792100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7543.333333333333</v>
      </c>
      <c r="C29" s="96">
        <v>678900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-7282.9268292682927</v>
      </c>
      <c r="C30" s="96">
        <v>-1194400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1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1.0729613733905579E-3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17</v>
      </c>
      <c r="C37" s="98">
        <f t="shared" ref="C37:C49" si="2">IF(B$20=0,0,B37/B$20)</f>
        <v>5.6291390728476824E-2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58</v>
      </c>
      <c r="C38" s="6">
        <f t="shared" si="2"/>
        <v>0.19205298013245034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61</v>
      </c>
      <c r="C39" s="6">
        <f t="shared" si="2"/>
        <v>0.20198675496688742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60</v>
      </c>
      <c r="C40" s="6">
        <f t="shared" si="2"/>
        <v>0.19867549668874171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44</v>
      </c>
      <c r="C41" s="6">
        <f t="shared" si="2"/>
        <v>0.14569536423841059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36</v>
      </c>
      <c r="C42" s="6">
        <f t="shared" si="2"/>
        <v>0.11920529801324503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10</v>
      </c>
      <c r="C43" s="6">
        <f t="shared" si="2"/>
        <v>3.3112582781456956E-2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6</v>
      </c>
      <c r="C44" s="6">
        <f t="shared" si="2"/>
        <v>1.9867549668874173E-2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1.6556291390728478E-2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6.6225165562913907E-3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3.3112582781456954E-3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3.3112582781456954E-3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3.3112582781456954E-3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7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72</v>
      </c>
      <c r="C2" s="142"/>
      <c r="E2" s="26" t="s">
        <v>66</v>
      </c>
      <c r="F2" s="23" t="s">
        <v>22</v>
      </c>
      <c r="G2" s="11">
        <v>163</v>
      </c>
      <c r="H2" s="87">
        <f>IF(B$20=0,0,G2/B$20)</f>
        <v>0.96449704142011838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1175</v>
      </c>
      <c r="Q2" s="76">
        <v>72</v>
      </c>
      <c r="R2" s="63">
        <v>84600</v>
      </c>
    </row>
    <row r="3" spans="1:18" x14ac:dyDescent="0.4">
      <c r="A3" s="19" t="s">
        <v>8</v>
      </c>
      <c r="B3" s="143">
        <v>632</v>
      </c>
      <c r="C3" s="144"/>
      <c r="E3" s="27" t="s">
        <v>72</v>
      </c>
      <c r="F3" s="24" t="s">
        <v>27</v>
      </c>
      <c r="G3" s="12">
        <v>110</v>
      </c>
      <c r="H3" s="88">
        <f>IF(B$20=0,0,G3/B$20)</f>
        <v>0.65088757396449703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-134.28571428571428</v>
      </c>
      <c r="Q3" s="77">
        <v>70</v>
      </c>
      <c r="R3" s="64">
        <v>-9400</v>
      </c>
    </row>
    <row r="4" spans="1:18" x14ac:dyDescent="0.4">
      <c r="A4" s="19" t="s">
        <v>6</v>
      </c>
      <c r="B4" s="145">
        <v>-87.699999999999989</v>
      </c>
      <c r="C4" s="146"/>
      <c r="E4" s="27" t="s">
        <v>64</v>
      </c>
      <c r="F4" s="24" t="s">
        <v>20</v>
      </c>
      <c r="G4" s="12">
        <v>79</v>
      </c>
      <c r="H4" s="88">
        <f>IF(B$20=0,0,G4/B$20)</f>
        <v>0.46745562130177515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-810</v>
      </c>
      <c r="Q4" s="77">
        <v>70</v>
      </c>
      <c r="R4" s="64">
        <v>-56700</v>
      </c>
    </row>
    <row r="5" spans="1:18" x14ac:dyDescent="0.4">
      <c r="A5" s="19" t="s">
        <v>7</v>
      </c>
      <c r="B5" s="133">
        <f>IF(B$2=0,0,B$4/B$2)</f>
        <v>-1.2180555555555554</v>
      </c>
      <c r="C5" s="134"/>
      <c r="E5" s="27" t="s">
        <v>159</v>
      </c>
      <c r="F5" s="24" t="s">
        <v>160</v>
      </c>
      <c r="G5" s="12">
        <v>69</v>
      </c>
      <c r="H5" s="88">
        <f>IF(B$20=0,0,G5/B$20)</f>
        <v>0.40828402366863903</v>
      </c>
      <c r="I5" s="58">
        <v>6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-182.08955223880596</v>
      </c>
      <c r="Q5" s="77">
        <v>67</v>
      </c>
      <c r="R5" s="64">
        <v>-12200</v>
      </c>
    </row>
    <row r="6" spans="1:18" x14ac:dyDescent="0.4">
      <c r="A6" s="19" t="s">
        <v>196</v>
      </c>
      <c r="B6" s="137">
        <v>1633.2149258932193</v>
      </c>
      <c r="C6" s="138"/>
      <c r="E6" s="27" t="s">
        <v>68</v>
      </c>
      <c r="F6" s="24" t="s">
        <v>12</v>
      </c>
      <c r="G6" s="12">
        <v>59</v>
      </c>
      <c r="H6" s="88">
        <f>IF(B$20=0,0,G6/B$20)</f>
        <v>0.34911242603550297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260.65573770491801</v>
      </c>
      <c r="Q6" s="77">
        <v>61</v>
      </c>
      <c r="R6" s="64">
        <v>15900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43</v>
      </c>
      <c r="H7" s="88">
        <f>IF(B$20=0,0,G7/B$20)</f>
        <v>0.25443786982248523</v>
      </c>
      <c r="I7" s="58">
        <v>5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296.15384615384613</v>
      </c>
      <c r="Q7" s="78">
        <v>52</v>
      </c>
      <c r="R7" s="65">
        <v>15400</v>
      </c>
    </row>
    <row r="8" spans="1:18" x14ac:dyDescent="0.4">
      <c r="A8" s="19" t="s">
        <v>2</v>
      </c>
      <c r="B8" s="12">
        <v>24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27</v>
      </c>
      <c r="H8" s="88">
        <f>IF(B$20=0,0,G8/B$20)</f>
        <v>0.15976331360946747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24</v>
      </c>
      <c r="C9" s="6">
        <f t="shared" si="1"/>
        <v>0.33333333333333331</v>
      </c>
      <c r="E9" s="27" t="s">
        <v>69</v>
      </c>
      <c r="F9" s="24" t="s">
        <v>24</v>
      </c>
      <c r="G9" s="12">
        <v>21</v>
      </c>
      <c r="H9" s="88">
        <f>IF(B$20=0,0,G9/B$20)</f>
        <v>0.1242603550295858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24</v>
      </c>
      <c r="C10" s="7">
        <f t="shared" si="1"/>
        <v>0.33333333333333331</v>
      </c>
      <c r="E10" s="27" t="s">
        <v>65</v>
      </c>
      <c r="F10" s="24" t="s">
        <v>21</v>
      </c>
      <c r="G10" s="12">
        <v>19</v>
      </c>
      <c r="H10" s="88">
        <f>IF(B$20=0,0,G10/B$20)</f>
        <v>0.11242603550295859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-1.5129032258064514</v>
      </c>
      <c r="Q10" s="76">
        <v>31</v>
      </c>
      <c r="R10" s="67">
        <v>-46.899999999999991</v>
      </c>
    </row>
    <row r="11" spans="1:18" x14ac:dyDescent="0.4">
      <c r="A11" s="20" t="s">
        <v>184</v>
      </c>
      <c r="B11" s="109">
        <f>IF(B8=0,0,C11/B8)</f>
        <v>33.716666666666669</v>
      </c>
      <c r="C11" s="110">
        <v>809.2</v>
      </c>
      <c r="E11" s="27" t="s">
        <v>70</v>
      </c>
      <c r="F11" s="24" t="s">
        <v>25</v>
      </c>
      <c r="G11" s="12">
        <v>15</v>
      </c>
      <c r="H11" s="88">
        <f>IF(B$20=0,0,G11/B$20)</f>
        <v>8.8757396449704137E-2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2.214999999999999</v>
      </c>
      <c r="Q11" s="77">
        <v>20</v>
      </c>
      <c r="R11" s="68">
        <v>44.299999999999983</v>
      </c>
    </row>
    <row r="12" spans="1:18" x14ac:dyDescent="0.4">
      <c r="A12" s="20" t="s">
        <v>185</v>
      </c>
      <c r="B12" s="109">
        <f>IF(B9=0,0,C12/B9)</f>
        <v>1.3041666666666667</v>
      </c>
      <c r="C12" s="110">
        <v>31.3</v>
      </c>
      <c r="E12" s="27" t="s">
        <v>71</v>
      </c>
      <c r="F12" s="24" t="s">
        <v>26</v>
      </c>
      <c r="G12" s="12">
        <v>13</v>
      </c>
      <c r="H12" s="88">
        <f>IF(B$20=0,0,G12/B$20)</f>
        <v>7.6923076923076927E-2</v>
      </c>
      <c r="I12" s="58">
        <v>4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-4.0523809523809522</v>
      </c>
      <c r="Q12" s="78">
        <v>21</v>
      </c>
      <c r="R12" s="69">
        <v>-85.1</v>
      </c>
    </row>
    <row r="13" spans="1:18" x14ac:dyDescent="0.4">
      <c r="A13" s="20" t="s">
        <v>186</v>
      </c>
      <c r="B13" s="109">
        <f>IF(B10=0,0,C13/B10)</f>
        <v>-38.675000000000004</v>
      </c>
      <c r="C13" s="110">
        <v>-928.20000000000016</v>
      </c>
      <c r="E13" s="27" t="s">
        <v>86</v>
      </c>
      <c r="F13" s="24" t="s">
        <v>41</v>
      </c>
      <c r="G13" s="12">
        <v>10</v>
      </c>
      <c r="H13" s="88">
        <f>IF(B$20=0,0,G13/B$20)</f>
        <v>5.9171597633136092E-2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-1.2180555555555561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3.5502958579881658E-2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0.1388888888888889</v>
      </c>
      <c r="E15" s="27" t="s">
        <v>81</v>
      </c>
      <c r="F15" s="24" t="s">
        <v>36</v>
      </c>
      <c r="G15" s="12">
        <v>5</v>
      </c>
      <c r="H15" s="88">
        <f>IF(B$20=0,0,G15/B$20)</f>
        <v>2.9585798816568046E-2</v>
      </c>
      <c r="I15" s="58">
        <v>10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 t="shared" ref="P15:P24" si="2"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181</v>
      </c>
      <c r="C16" s="10">
        <f>IF(B$3=0,0,B16/B$3)</f>
        <v>0.28639240506329117</v>
      </c>
      <c r="E16" s="27" t="s">
        <v>155</v>
      </c>
      <c r="F16" s="24" t="s">
        <v>156</v>
      </c>
      <c r="G16" s="12">
        <v>5</v>
      </c>
      <c r="H16" s="88">
        <f>IF(B$20=0,0,G16/B$20)</f>
        <v>2.9585798816568046E-2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 t="shared" si="2"/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142</v>
      </c>
      <c r="C17" s="6">
        <f>IF(B$3=0,0,B17/B$3)</f>
        <v>0.22468354430379747</v>
      </c>
      <c r="E17" s="27" t="s">
        <v>78</v>
      </c>
      <c r="F17" s="24" t="s">
        <v>33</v>
      </c>
      <c r="G17" s="12">
        <v>4</v>
      </c>
      <c r="H17" s="88">
        <f>IF(B$20=0,0,G17/B$20)</f>
        <v>2.3668639053254437E-2</v>
      </c>
      <c r="I17" s="58">
        <v>10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 t="shared" si="2"/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84</v>
      </c>
      <c r="C18" s="5">
        <f>IF(B$16=0,0,B18/B$16)</f>
        <v>0.46408839779005523</v>
      </c>
      <c r="E18" s="27" t="s">
        <v>91</v>
      </c>
      <c r="F18" s="24" t="s">
        <v>46</v>
      </c>
      <c r="G18" s="12">
        <v>4</v>
      </c>
      <c r="H18" s="88">
        <f>IF(B$20=0,0,G18/B$20)</f>
        <v>2.3668639053254437E-2</v>
      </c>
      <c r="I18" s="58">
        <v>3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 t="shared" si="2"/>
        <v>11.672222222222222</v>
      </c>
      <c r="Q18" s="77">
        <v>18</v>
      </c>
      <c r="R18" s="68">
        <v>210.1</v>
      </c>
    </row>
    <row r="19" spans="1:18" x14ac:dyDescent="0.4">
      <c r="A19" s="18" t="s">
        <v>124</v>
      </c>
      <c r="B19" s="11">
        <f>B25</f>
        <v>49</v>
      </c>
      <c r="C19" s="5">
        <f>IF(B$17=0,0,B19/B$17)</f>
        <v>0.34507042253521125</v>
      </c>
      <c r="E19" s="27" t="s">
        <v>73</v>
      </c>
      <c r="F19" s="24" t="s">
        <v>28</v>
      </c>
      <c r="G19" s="12">
        <v>3</v>
      </c>
      <c r="H19" s="88">
        <f>IF(B$20=0,0,G19/B$20)</f>
        <v>1.7751479289940829E-2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 t="shared" si="2"/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169</v>
      </c>
      <c r="C20" s="5">
        <f>IF(B$3=0,0,B20/B$3)</f>
        <v>0.26740506329113922</v>
      </c>
      <c r="E20" s="27" t="s">
        <v>77</v>
      </c>
      <c r="F20" s="24" t="s">
        <v>32</v>
      </c>
      <c r="G20" s="12">
        <v>1</v>
      </c>
      <c r="H20" s="88">
        <f>IF(B$20=0,0,G20/B$20)</f>
        <v>5.9171597633136093E-3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 t="shared" si="2"/>
        <v>-4.3916666666666657</v>
      </c>
      <c r="Q20" s="77">
        <v>60</v>
      </c>
      <c r="R20" s="68">
        <v>-263.49999999999994</v>
      </c>
    </row>
    <row r="21" spans="1:18" x14ac:dyDescent="0.4">
      <c r="A21" s="19" t="s">
        <v>13</v>
      </c>
      <c r="B21" s="12">
        <v>119</v>
      </c>
      <c r="C21" s="6">
        <f>IF(B$3=0,0,B21/B$3)</f>
        <v>0.18829113924050633</v>
      </c>
      <c r="E21" s="27" t="s">
        <v>79</v>
      </c>
      <c r="F21" s="24" t="s">
        <v>34</v>
      </c>
      <c r="G21" s="12">
        <v>1</v>
      </c>
      <c r="H21" s="88">
        <f>IF(B$20=0,0,G21/B$20)</f>
        <v>5.9171597633136093E-3</v>
      </c>
      <c r="I21" s="58">
        <v>7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 t="shared" si="2"/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78</v>
      </c>
      <c r="C22" s="6">
        <f>IF(B$20=0,0,B22/B$20)</f>
        <v>0.46153846153846156</v>
      </c>
      <c r="E22" s="27" t="s">
        <v>85</v>
      </c>
      <c r="F22" s="24" t="s">
        <v>40</v>
      </c>
      <c r="G22" s="12">
        <v>1</v>
      </c>
      <c r="H22" s="88">
        <f>IF(B$20=0,0,G22/B$20)</f>
        <v>5.9171597633136093E-3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192</v>
      </c>
      <c r="P22" s="83">
        <f t="shared" si="2"/>
        <v>-11.021428571428572</v>
      </c>
      <c r="Q22" s="77">
        <v>14</v>
      </c>
      <c r="R22" s="68">
        <v>-154.30000000000001</v>
      </c>
    </row>
    <row r="23" spans="1:18" x14ac:dyDescent="0.4">
      <c r="A23" s="19" t="s">
        <v>11</v>
      </c>
      <c r="B23" s="12">
        <v>91</v>
      </c>
      <c r="C23" s="6">
        <f>IF(B$20=0,0,B23/B$20)</f>
        <v>0.53846153846153844</v>
      </c>
      <c r="E23" s="27" t="s">
        <v>88</v>
      </c>
      <c r="F23" s="24" t="s">
        <v>43</v>
      </c>
      <c r="G23" s="12">
        <v>1</v>
      </c>
      <c r="H23" s="88">
        <f>IF(B$20=0,0,G23/B$20)</f>
        <v>5.9171597633136093E-3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 t="shared" si="2"/>
        <v>-11.568421052631582</v>
      </c>
      <c r="Q23" s="77">
        <v>19</v>
      </c>
      <c r="R23" s="68">
        <v>-219.80000000000004</v>
      </c>
    </row>
    <row r="24" spans="1:18" x14ac:dyDescent="0.4">
      <c r="A24" s="19" t="s">
        <v>183</v>
      </c>
      <c r="B24" s="12">
        <v>84</v>
      </c>
      <c r="C24" s="6">
        <f>IF(B$20=0,0,B24/B$20)</f>
        <v>0.49704142011834318</v>
      </c>
      <c r="E24" s="27" t="s">
        <v>92</v>
      </c>
      <c r="F24" s="24" t="s">
        <v>47</v>
      </c>
      <c r="G24" s="12">
        <v>1</v>
      </c>
      <c r="H24" s="88">
        <f>IF(B$20=0,0,G24/B$20)</f>
        <v>5.9171597633136093E-3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 t="shared" si="2"/>
        <v>-39.85</v>
      </c>
      <c r="Q24" s="77">
        <v>2</v>
      </c>
      <c r="R24" s="68">
        <v>-79.7</v>
      </c>
    </row>
    <row r="25" spans="1:18" x14ac:dyDescent="0.4">
      <c r="A25" s="19" t="s">
        <v>181</v>
      </c>
      <c r="B25" s="12">
        <v>49</v>
      </c>
      <c r="C25" s="6">
        <f>IF(B$20=0,0,B25/B$20)</f>
        <v>0.28994082840236685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36</v>
      </c>
      <c r="C26" s="6">
        <f>IF(B$20=0,0,B26/B$20)</f>
        <v>0.21301775147928995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9362.7218934911234</v>
      </c>
      <c r="C27" s="8">
        <v>1582300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10083.333333333334</v>
      </c>
      <c r="C28" s="96">
        <v>1210000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7597.9591836734689</v>
      </c>
      <c r="C29" s="96">
        <v>372300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-7953.7815126050418</v>
      </c>
      <c r="C30" s="96">
        <v>-946500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13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1.5822784810126582E-3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3">IF(B$20=0,0,B37/B$20)</f>
        <v>5.9171597633136092E-2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14</v>
      </c>
      <c r="C38" s="6">
        <f t="shared" si="3"/>
        <v>8.2840236686390539E-2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33</v>
      </c>
      <c r="C39" s="6">
        <f t="shared" si="3"/>
        <v>0.19526627218934911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35</v>
      </c>
      <c r="C40" s="6">
        <f t="shared" si="3"/>
        <v>0.20710059171597633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35</v>
      </c>
      <c r="C41" s="6">
        <f t="shared" si="3"/>
        <v>0.20710059171597633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17</v>
      </c>
      <c r="C42" s="6">
        <f t="shared" si="3"/>
        <v>0.10059171597633136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9</v>
      </c>
      <c r="C43" s="6">
        <f t="shared" si="3"/>
        <v>5.3254437869822487E-2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3"/>
        <v>4.7337278106508875E-2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4</v>
      </c>
      <c r="C45" s="6">
        <f t="shared" si="3"/>
        <v>2.3668639053254437E-2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3"/>
        <v>1.1834319526627219E-2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3"/>
        <v>1.1834319526627219E-2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</sheetData>
  <sortState xmlns:xlrd2="http://schemas.microsoft.com/office/spreadsheetml/2017/richdata2" ref="E2:I75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45</v>
      </c>
      <c r="C2" s="142"/>
      <c r="E2" s="26" t="s">
        <v>72</v>
      </c>
      <c r="F2" s="23" t="s">
        <v>27</v>
      </c>
      <c r="G2" s="11">
        <v>82</v>
      </c>
      <c r="H2" s="87">
        <f>IF(B$20=0,0,G2/B$20)</f>
        <v>0.7068965517241379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-597.77777777777783</v>
      </c>
      <c r="Q2" s="76">
        <v>45</v>
      </c>
      <c r="R2" s="63">
        <v>-26900</v>
      </c>
    </row>
    <row r="3" spans="1:18" x14ac:dyDescent="0.4">
      <c r="A3" s="19" t="s">
        <v>8</v>
      </c>
      <c r="B3" s="143">
        <v>400</v>
      </c>
      <c r="C3" s="144"/>
      <c r="E3" s="27" t="s">
        <v>66</v>
      </c>
      <c r="F3" s="24" t="s">
        <v>22</v>
      </c>
      <c r="G3" s="12">
        <v>73</v>
      </c>
      <c r="H3" s="88">
        <f>IF(B$20=0,0,G3/B$20)</f>
        <v>0.62931034482758619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-900</v>
      </c>
      <c r="Q3" s="77">
        <v>45</v>
      </c>
      <c r="R3" s="64">
        <v>-40500</v>
      </c>
    </row>
    <row r="4" spans="1:18" x14ac:dyDescent="0.4">
      <c r="A4" s="19" t="s">
        <v>6</v>
      </c>
      <c r="B4" s="145">
        <v>-146.69999999999999</v>
      </c>
      <c r="C4" s="146"/>
      <c r="E4" s="27" t="s">
        <v>64</v>
      </c>
      <c r="F4" s="24" t="s">
        <v>20</v>
      </c>
      <c r="G4" s="12">
        <v>46</v>
      </c>
      <c r="H4" s="88">
        <f>IF(B$20=0,0,G4/B$20)</f>
        <v>0.39655172413793105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663.63636363636363</v>
      </c>
      <c r="Q4" s="77">
        <v>44</v>
      </c>
      <c r="R4" s="64">
        <v>29200</v>
      </c>
    </row>
    <row r="5" spans="1:18" x14ac:dyDescent="0.4">
      <c r="A5" s="19" t="s">
        <v>7</v>
      </c>
      <c r="B5" s="133">
        <f>IF(B$2=0,0,B$4/B$2)</f>
        <v>-3.26</v>
      </c>
      <c r="C5" s="134"/>
      <c r="E5" s="27" t="s">
        <v>159</v>
      </c>
      <c r="F5" s="24" t="s">
        <v>160</v>
      </c>
      <c r="G5" s="12">
        <v>40</v>
      </c>
      <c r="H5" s="88">
        <f>IF(B$20=0,0,G5/B$20)</f>
        <v>0.34482758620689657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-1022.7272727272727</v>
      </c>
      <c r="Q5" s="77">
        <v>44</v>
      </c>
      <c r="R5" s="64">
        <v>-45000</v>
      </c>
    </row>
    <row r="6" spans="1:18" x14ac:dyDescent="0.4">
      <c r="A6" s="19" t="s">
        <v>196</v>
      </c>
      <c r="B6" s="137">
        <v>1444.1642121350767</v>
      </c>
      <c r="C6" s="138"/>
      <c r="E6" s="27" t="s">
        <v>68</v>
      </c>
      <c r="F6" s="24" t="s">
        <v>12</v>
      </c>
      <c r="G6" s="12">
        <v>30</v>
      </c>
      <c r="H6" s="88">
        <f>IF(B$20=0,0,G6/B$20)</f>
        <v>0.25862068965517243</v>
      </c>
      <c r="I6" s="58">
        <v>10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-1293.0232558139535</v>
      </c>
      <c r="Q6" s="77">
        <v>43</v>
      </c>
      <c r="R6" s="64">
        <v>-55600</v>
      </c>
    </row>
    <row r="7" spans="1:18" x14ac:dyDescent="0.4">
      <c r="A7" s="19" t="s">
        <v>1</v>
      </c>
      <c r="B7" s="147">
        <f>IF(B$2=0,0,(B$8*1+B$9*2+B$10*3)/B$2)</f>
        <v>2.088888888888889</v>
      </c>
      <c r="C7" s="148"/>
      <c r="E7" s="27" t="s">
        <v>67</v>
      </c>
      <c r="F7" s="24" t="s">
        <v>23</v>
      </c>
      <c r="G7" s="12">
        <v>29</v>
      </c>
      <c r="H7" s="88">
        <f>IF(B$20=0,0,G7/B$20)</f>
        <v>0.25</v>
      </c>
      <c r="I7" s="58">
        <v>6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-572.22222222222217</v>
      </c>
      <c r="Q7" s="78">
        <v>36</v>
      </c>
      <c r="R7" s="65">
        <v>-20600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0.33333333333333331</v>
      </c>
      <c r="E8" s="27" t="s">
        <v>70</v>
      </c>
      <c r="F8" s="24" t="s">
        <v>25</v>
      </c>
      <c r="G8" s="12">
        <v>11</v>
      </c>
      <c r="H8" s="88">
        <f>IF(B$20=0,0,G8/B$20)</f>
        <v>9.4827586206896547E-2</v>
      </c>
      <c r="I8" s="58">
        <v>6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0.24444444444444444</v>
      </c>
      <c r="E9" s="27" t="s">
        <v>89</v>
      </c>
      <c r="F9" s="24" t="s">
        <v>44</v>
      </c>
      <c r="G9" s="12">
        <v>11</v>
      </c>
      <c r="H9" s="88">
        <f>IF(B$20=0,0,G9/B$20)</f>
        <v>9.4827586206896547E-2</v>
      </c>
      <c r="I9" s="58">
        <v>10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0.42222222222222222</v>
      </c>
      <c r="E10" s="27" t="s">
        <v>65</v>
      </c>
      <c r="F10" s="24" t="s">
        <v>21</v>
      </c>
      <c r="G10" s="12">
        <v>9</v>
      </c>
      <c r="H10" s="88">
        <f>IF(B$20=0,0,G10/B$20)</f>
        <v>7.7586206896551727E-2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9</v>
      </c>
      <c r="H11" s="88">
        <f>IF(B$20=0,0,G11/B$20)</f>
        <v>7.7586206896551727E-2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-7.6764705882352944</v>
      </c>
      <c r="Q11" s="77">
        <v>17</v>
      </c>
      <c r="R11" s="68">
        <v>-130.5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8</v>
      </c>
      <c r="H12" s="88">
        <f>IF(B$20=0,0,G12/B$20)</f>
        <v>6.8965517241379309E-2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-4.382352941176471</v>
      </c>
      <c r="Q12" s="78">
        <v>17</v>
      </c>
      <c r="R12" s="69">
        <v>-74.500000000000014</v>
      </c>
    </row>
    <row r="13" spans="1:18" x14ac:dyDescent="0.4">
      <c r="A13" s="20" t="s">
        <v>186</v>
      </c>
      <c r="B13" s="109">
        <f>IF(B10=0,0,C13/B10)</f>
        <v>-33.473684210526315</v>
      </c>
      <c r="C13" s="110">
        <v>-636</v>
      </c>
      <c r="E13" s="27" t="s">
        <v>71</v>
      </c>
      <c r="F13" s="24" t="s">
        <v>26</v>
      </c>
      <c r="G13" s="12">
        <v>6</v>
      </c>
      <c r="H13" s="88">
        <f>IF(B$20=0,0,G13/B$20)</f>
        <v>5.1724137931034482E-2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0.15261031366294731</v>
      </c>
      <c r="C14" s="134"/>
      <c r="E14" s="27" t="s">
        <v>81</v>
      </c>
      <c r="F14" s="24" t="s">
        <v>36</v>
      </c>
      <c r="G14" s="12">
        <v>5</v>
      </c>
      <c r="H14" s="88">
        <f>IF(B$20=0,0,G14/B$20)</f>
        <v>4.3103448275862072E-2</v>
      </c>
      <c r="I14" s="58">
        <v>4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8.8888888888888892E-2</v>
      </c>
      <c r="E15" s="27" t="s">
        <v>78</v>
      </c>
      <c r="F15" s="24" t="s">
        <v>33</v>
      </c>
      <c r="G15" s="12">
        <v>4</v>
      </c>
      <c r="H15" s="88">
        <f>IF(B$20=0,0,G15/B$20)</f>
        <v>3.4482758620689655E-2</v>
      </c>
      <c r="I15" s="58">
        <v>3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105</v>
      </c>
      <c r="C16" s="10">
        <f>IF(B$3=0,0,B16/B$3)</f>
        <v>0.26250000000000001</v>
      </c>
      <c r="E16" s="27" t="s">
        <v>79</v>
      </c>
      <c r="F16" s="24" t="s">
        <v>34</v>
      </c>
      <c r="G16" s="12">
        <v>3</v>
      </c>
      <c r="H16" s="88">
        <f>IF(B$20=0,0,G16/B$20)</f>
        <v>2.5862068965517241E-2</v>
      </c>
      <c r="I16" s="58">
        <v>1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119</v>
      </c>
      <c r="C17" s="6">
        <f>IF(B$3=0,0,B17/B$3)</f>
        <v>0.29749999999999999</v>
      </c>
      <c r="E17" s="27" t="s">
        <v>86</v>
      </c>
      <c r="F17" s="24" t="s">
        <v>41</v>
      </c>
      <c r="G17" s="12">
        <v>2</v>
      </c>
      <c r="H17" s="88">
        <f>IF(B$20=0,0,G17/B$20)</f>
        <v>1.7241379310344827E-2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46</v>
      </c>
      <c r="C18" s="5">
        <f>IF(B$16=0,0,B18/B$16)</f>
        <v>0.43809523809523809</v>
      </c>
      <c r="E18" s="27" t="s">
        <v>91</v>
      </c>
      <c r="F18" s="24" t="s">
        <v>46</v>
      </c>
      <c r="G18" s="12">
        <v>2</v>
      </c>
      <c r="H18" s="88">
        <f>IF(B$20=0,0,G18/B$20)</f>
        <v>1.7241379310344827E-2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48</v>
      </c>
      <c r="C19" s="5">
        <f>IF(B$17=0,0,B19/B$17)</f>
        <v>0.40336134453781514</v>
      </c>
      <c r="E19" s="27" t="s">
        <v>88</v>
      </c>
      <c r="F19" s="24" t="s">
        <v>43</v>
      </c>
      <c r="G19" s="12">
        <v>1</v>
      </c>
      <c r="H19" s="88">
        <f>IF(B$20=0,0,G19/B$20)</f>
        <v>8.6206896551724137E-3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-2.3897435897435897</v>
      </c>
      <c r="Q19" s="77">
        <v>39</v>
      </c>
      <c r="R19" s="68">
        <v>-93.2</v>
      </c>
    </row>
    <row r="20" spans="1:18" x14ac:dyDescent="0.4">
      <c r="A20" s="18" t="s">
        <v>10</v>
      </c>
      <c r="B20" s="11">
        <f>B23+B22</f>
        <v>116</v>
      </c>
      <c r="C20" s="5">
        <f>IF(B$3=0,0,B20/B$3)</f>
        <v>0.28999999999999998</v>
      </c>
      <c r="E20" s="27" t="s">
        <v>93</v>
      </c>
      <c r="F20" s="24" t="s">
        <v>48</v>
      </c>
      <c r="G20" s="12">
        <v>1</v>
      </c>
      <c r="H20" s="88">
        <f>IF(B$20=0,0,G20/B$20)</f>
        <v>8.6206896551724137E-3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-11.672222222222219</v>
      </c>
      <c r="Q20" s="77">
        <v>18</v>
      </c>
      <c r="R20" s="68">
        <v>-210.09999999999994</v>
      </c>
    </row>
    <row r="21" spans="1:18" x14ac:dyDescent="0.4">
      <c r="A21" s="19" t="s">
        <v>13</v>
      </c>
      <c r="B21" s="12">
        <v>66</v>
      </c>
      <c r="C21" s="6">
        <f>IF(B$3=0,0,B21/B$3)</f>
        <v>0.16500000000000001</v>
      </c>
      <c r="E21" s="27" t="s">
        <v>106</v>
      </c>
      <c r="F21" s="24" t="s">
        <v>113</v>
      </c>
      <c r="G21" s="12">
        <v>1</v>
      </c>
      <c r="H21" s="88">
        <f>IF(B$20=0,0,G21/B$20)</f>
        <v>8.6206896551724137E-3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54</v>
      </c>
      <c r="C22" s="6">
        <f>IF(B$20=0,0,B22/B$20)</f>
        <v>0.46551724137931033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62</v>
      </c>
      <c r="C23" s="6">
        <f>IF(B$20=0,0,B23/B$20)</f>
        <v>0.53448275862068961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46</v>
      </c>
      <c r="C24" s="6">
        <f>IF(B$20=0,0,B24/B$20)</f>
        <v>0.39655172413793105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48</v>
      </c>
      <c r="C25" s="6">
        <f>IF(B$20=0,0,B25/B$20)</f>
        <v>0.41379310344827586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22</v>
      </c>
      <c r="C26" s="6">
        <f>IF(B$20=0,0,B26/B$20)</f>
        <v>0.18965517241379309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7512.0689655172409</v>
      </c>
      <c r="C27" s="8">
        <v>871400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9192.6470588235297</v>
      </c>
      <c r="C28" s="96">
        <v>625100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5131.25</v>
      </c>
      <c r="C29" s="96">
        <v>246300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-8572.7272727272721</v>
      </c>
      <c r="C30" s="96">
        <v>-565800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9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2.5000000000000001E-3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15</v>
      </c>
      <c r="C37" s="98">
        <f t="shared" ref="C37:C49" si="3">IF(B$20=0,0,B37/B$20)</f>
        <v>0.12931034482758622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0.23275862068965517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24</v>
      </c>
      <c r="C39" s="6">
        <f t="shared" si="3"/>
        <v>0.20689655172413793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22</v>
      </c>
      <c r="C40" s="6">
        <f t="shared" si="3"/>
        <v>0.18965517241379309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6</v>
      </c>
      <c r="C41" s="6">
        <f t="shared" si="3"/>
        <v>5.1724137931034482E-2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4.3103448275862072E-2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4.3103448275862072E-2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1.7241379310344827E-2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3.4482758620689655E-2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3.4482758620689655E-2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1.7241379310344827E-2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36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975</v>
      </c>
      <c r="Q2" s="76">
        <v>36</v>
      </c>
      <c r="R2" s="63">
        <v>35100</v>
      </c>
    </row>
    <row r="3" spans="1:18" x14ac:dyDescent="0.4">
      <c r="A3" s="19" t="s">
        <v>8</v>
      </c>
      <c r="B3" s="143">
        <v>314</v>
      </c>
      <c r="C3" s="144"/>
      <c r="E3" s="27" t="s">
        <v>72</v>
      </c>
      <c r="F3" s="24" t="s">
        <v>27</v>
      </c>
      <c r="G3" s="12">
        <v>48</v>
      </c>
      <c r="H3" s="88">
        <f>IF(B$20=0,0,G3/B$20)</f>
        <v>0.5714285714285714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644.44444444444446</v>
      </c>
      <c r="Q3" s="77">
        <v>36</v>
      </c>
      <c r="R3" s="64">
        <v>23200</v>
      </c>
    </row>
    <row r="4" spans="1:18" x14ac:dyDescent="0.4">
      <c r="A4" s="19" t="s">
        <v>6</v>
      </c>
      <c r="B4" s="145">
        <v>67.69999999999996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0.48809523809523808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1114.2857142857142</v>
      </c>
      <c r="Q4" s="77">
        <v>35</v>
      </c>
      <c r="R4" s="64">
        <v>39000</v>
      </c>
    </row>
    <row r="5" spans="1:18" x14ac:dyDescent="0.4">
      <c r="A5" s="19" t="s">
        <v>7</v>
      </c>
      <c r="B5" s="133">
        <f>IF(B$2=0,0,B$4/B$2)</f>
        <v>1.8805555555555544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0.44047619047619047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-2609.6774193548385</v>
      </c>
      <c r="Q5" s="77">
        <v>31</v>
      </c>
      <c r="R5" s="64">
        <v>-80900</v>
      </c>
    </row>
    <row r="6" spans="1:18" x14ac:dyDescent="0.4">
      <c r="A6" s="19" t="s">
        <v>196</v>
      </c>
      <c r="B6" s="137">
        <v>1553.703793626174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0.25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2142.8571428571427</v>
      </c>
      <c r="Q6" s="77">
        <v>28</v>
      </c>
      <c r="R6" s="64">
        <v>60000</v>
      </c>
    </row>
    <row r="7" spans="1:18" x14ac:dyDescent="0.4">
      <c r="A7" s="19" t="s">
        <v>1</v>
      </c>
      <c r="B7" s="147">
        <f>IF(B$2=0,0,(B$8*1+B$9*2+B$10*3)/B$2)</f>
        <v>1.8888888888888888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0.21428571428571427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0.30555555555555558</v>
      </c>
      <c r="E8" s="27" t="s">
        <v>65</v>
      </c>
      <c r="F8" s="24" t="s">
        <v>21</v>
      </c>
      <c r="G8" s="12">
        <v>15</v>
      </c>
      <c r="H8" s="88">
        <f>IF(B$20=0,0,G8/B$20)</f>
        <v>0.17857142857142858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18</v>
      </c>
      <c r="C9" s="6">
        <f t="shared" si="1"/>
        <v>0.5</v>
      </c>
      <c r="E9" s="27" t="s">
        <v>69</v>
      </c>
      <c r="F9" s="24" t="s">
        <v>24</v>
      </c>
      <c r="G9" s="12">
        <v>14</v>
      </c>
      <c r="H9" s="88">
        <f>IF(B$20=0,0,G9/B$20)</f>
        <v>0.16666666666666666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0.19444444444444445</v>
      </c>
      <c r="E10" s="27" t="s">
        <v>86</v>
      </c>
      <c r="F10" s="24" t="s">
        <v>41</v>
      </c>
      <c r="G10" s="12">
        <v>8</v>
      </c>
      <c r="H10" s="88">
        <f>IF(B$20=0,0,G10/B$20)</f>
        <v>9.5238095238095233E-2</v>
      </c>
      <c r="I10" s="58">
        <v>2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89</v>
      </c>
      <c r="F11" s="24" t="s">
        <v>44</v>
      </c>
      <c r="G11" s="12">
        <v>8</v>
      </c>
      <c r="H11" s="88">
        <f>IF(B$20=0,0,G11/B$20)</f>
        <v>9.5238095238095233E-2</v>
      </c>
      <c r="I11" s="58">
        <v>9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-3.35</v>
      </c>
      <c r="Q11" s="77">
        <v>14</v>
      </c>
      <c r="R11" s="68">
        <v>-46.9</v>
      </c>
    </row>
    <row r="12" spans="1:18" x14ac:dyDescent="0.4">
      <c r="A12" s="20" t="s">
        <v>185</v>
      </c>
      <c r="B12" s="109">
        <f>IF(B9=0,0,C12/B9)</f>
        <v>-2.6500000000000004</v>
      </c>
      <c r="C12" s="110">
        <v>-47.7</v>
      </c>
      <c r="E12" s="27" t="s">
        <v>70</v>
      </c>
      <c r="F12" s="24" t="s">
        <v>25</v>
      </c>
      <c r="G12" s="12">
        <v>6</v>
      </c>
      <c r="H12" s="88">
        <f>IF(B$20=0,0,G12/B$20)</f>
        <v>7.1428571428571425E-2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5.9523809523809521E-2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-1.788095238095238</v>
      </c>
      <c r="C14" s="134"/>
      <c r="E14" s="27" t="s">
        <v>81</v>
      </c>
      <c r="F14" s="24" t="s">
        <v>36</v>
      </c>
      <c r="G14" s="12">
        <v>3</v>
      </c>
      <c r="H14" s="88">
        <f>IF(B$20=0,0,G14/B$20)</f>
        <v>3.5714285714285712E-2</v>
      </c>
      <c r="I14" s="58">
        <v>6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5.5555555555555552E-2</v>
      </c>
      <c r="E15" s="27" t="s">
        <v>71</v>
      </c>
      <c r="F15" s="24" t="s">
        <v>26</v>
      </c>
      <c r="G15" s="12">
        <v>2</v>
      </c>
      <c r="H15" s="88">
        <f>IF(B$20=0,0,G15/B$20)</f>
        <v>2.3809523809523808E-2</v>
      </c>
      <c r="I15" s="58">
        <v>11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83</v>
      </c>
      <c r="C16" s="10">
        <f>IF(B$3=0,0,B16/B$3)</f>
        <v>0.2643312101910828</v>
      </c>
      <c r="E16" s="27" t="s">
        <v>78</v>
      </c>
      <c r="F16" s="24" t="s">
        <v>33</v>
      </c>
      <c r="G16" s="12">
        <v>2</v>
      </c>
      <c r="H16" s="88">
        <f>IF(B$20=0,0,G16/B$20)</f>
        <v>2.3809523809523808E-2</v>
      </c>
      <c r="I16" s="58">
        <v>9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>IF(Q16=0,0,R16/Q16)</f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0.20063694267515925</v>
      </c>
      <c r="E17" s="27" t="s">
        <v>79</v>
      </c>
      <c r="F17" s="24" t="s">
        <v>34</v>
      </c>
      <c r="G17" s="12">
        <v>2</v>
      </c>
      <c r="H17" s="88">
        <f>IF(B$20=0,0,G17/B$20)</f>
        <v>2.3809523809523808E-2</v>
      </c>
      <c r="I17" s="58">
        <v>2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>IF(Q17=0,0,R17/Q17)</f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0.51807228915662651</v>
      </c>
      <c r="E18" s="27" t="s">
        <v>77</v>
      </c>
      <c r="F18" s="24" t="s">
        <v>32</v>
      </c>
      <c r="G18" s="12">
        <v>1</v>
      </c>
      <c r="H18" s="88">
        <f>IF(B$20=0,0,G18/B$20)</f>
        <v>1.1904761904761904E-2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>IF(Q18=0,0,R18/Q18)</f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1.1904761904761904E-2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>IF(Q19=0,0,R19/Q19)</f>
        <v>-0.26666666666666716</v>
      </c>
      <c r="Q19" s="77">
        <v>30</v>
      </c>
      <c r="R19" s="68">
        <v>-8.0000000000000142</v>
      </c>
    </row>
    <row r="20" spans="1:18" x14ac:dyDescent="0.4">
      <c r="A20" s="18" t="s">
        <v>10</v>
      </c>
      <c r="B20" s="11">
        <f>B23+B22</f>
        <v>84</v>
      </c>
      <c r="C20" s="5">
        <f>IF(B$3=0,0,B20/B$3)</f>
        <v>0.26751592356687898</v>
      </c>
      <c r="E20" s="27" t="s">
        <v>91</v>
      </c>
      <c r="F20" s="24" t="s">
        <v>46</v>
      </c>
      <c r="G20" s="12">
        <v>1</v>
      </c>
      <c r="H20" s="88">
        <f>IF(B$20=0,0,G20/B$20)</f>
        <v>1.1904761904761904E-2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>IF(Q20=0,0,R20/Q20)</f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32</v>
      </c>
      <c r="C21" s="6">
        <f>IF(B$3=0,0,B21/B$3)</f>
        <v>0.10191082802547771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0.32142857142857145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57</v>
      </c>
      <c r="C23" s="6">
        <f>IF(B$20=0,0,B23/B$20)</f>
        <v>0.6785714285714286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0.51190476190476186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0.27380952380952384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18</v>
      </c>
      <c r="C26" s="6">
        <f>IF(B$20=0,0,B26/B$20)</f>
        <v>0.21428571428571427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8045.2380952380954</v>
      </c>
      <c r="C27" s="8">
        <v>675800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7916.3934426229507</v>
      </c>
      <c r="C28" s="96">
        <v>482900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-6562.5</v>
      </c>
      <c r="C30" s="96">
        <v>-210000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3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2">IF(B$20=0,0,B37/B$20)</f>
        <v>3.5714285714285712E-2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2"/>
        <v>0.15476190476190477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2"/>
        <v>0.22619047619047619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22</v>
      </c>
      <c r="C40" s="6">
        <f t="shared" si="2"/>
        <v>0.26190476190476192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2"/>
        <v>0.14285714285714285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6</v>
      </c>
      <c r="C42" s="6">
        <f t="shared" si="2"/>
        <v>7.1428571428571425E-2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2"/>
        <v>3.5714285714285712E-2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2"/>
        <v>5.9523809523809521E-2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2"/>
        <v>1.1904761904761904E-2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45</v>
      </c>
      <c r="C2" s="142"/>
      <c r="E2" s="26" t="s">
        <v>66</v>
      </c>
      <c r="F2" s="23" t="s">
        <v>22</v>
      </c>
      <c r="G2" s="11">
        <v>84</v>
      </c>
      <c r="H2" s="87">
        <f>IF(B$20=0,0,G2/B$20)</f>
        <v>0.71186440677966101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-564.44444444444446</v>
      </c>
      <c r="Q2" s="76">
        <v>45</v>
      </c>
      <c r="R2" s="63">
        <v>-25400</v>
      </c>
    </row>
    <row r="3" spans="1:18" x14ac:dyDescent="0.4">
      <c r="A3" s="19" t="s">
        <v>8</v>
      </c>
      <c r="B3" s="143">
        <v>386</v>
      </c>
      <c r="C3" s="144"/>
      <c r="E3" s="27" t="s">
        <v>72</v>
      </c>
      <c r="F3" s="24" t="s">
        <v>27</v>
      </c>
      <c r="G3" s="12">
        <v>70</v>
      </c>
      <c r="H3" s="88">
        <f>IF(B$20=0,0,G3/B$20)</f>
        <v>0.59322033898305082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786.66666666666663</v>
      </c>
      <c r="Q3" s="77">
        <v>45</v>
      </c>
      <c r="R3" s="64">
        <v>35400</v>
      </c>
    </row>
    <row r="4" spans="1:18" x14ac:dyDescent="0.4">
      <c r="A4" s="19" t="s">
        <v>6</v>
      </c>
      <c r="B4" s="145">
        <v>157.69999999999999</v>
      </c>
      <c r="C4" s="146"/>
      <c r="E4" s="27" t="s">
        <v>64</v>
      </c>
      <c r="F4" s="24" t="s">
        <v>20</v>
      </c>
      <c r="G4" s="12">
        <v>51</v>
      </c>
      <c r="H4" s="88">
        <f>IF(B$20=0,0,G4/B$20)</f>
        <v>0.43220338983050849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1477.7777777777778</v>
      </c>
      <c r="Q4" s="77">
        <v>45</v>
      </c>
      <c r="R4" s="64">
        <v>66500</v>
      </c>
    </row>
    <row r="5" spans="1:18" x14ac:dyDescent="0.4">
      <c r="A5" s="19" t="s">
        <v>7</v>
      </c>
      <c r="B5" s="133">
        <f>IF(B$2=0,0,B$4/B$2)</f>
        <v>3.5044444444444443</v>
      </c>
      <c r="C5" s="134"/>
      <c r="E5" s="27" t="s">
        <v>159</v>
      </c>
      <c r="F5" s="24" t="s">
        <v>160</v>
      </c>
      <c r="G5" s="12">
        <v>38</v>
      </c>
      <c r="H5" s="88">
        <f>IF(B$20=0,0,G5/B$20)</f>
        <v>0.32203389830508472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-152.38095238095238</v>
      </c>
      <c r="Q5" s="77">
        <v>42</v>
      </c>
      <c r="R5" s="64">
        <v>-6400</v>
      </c>
    </row>
    <row r="6" spans="1:18" x14ac:dyDescent="0.4">
      <c r="A6" s="19" t="s">
        <v>196</v>
      </c>
      <c r="B6" s="137">
        <v>1534.3633776946201</v>
      </c>
      <c r="C6" s="138"/>
      <c r="E6" s="27" t="s">
        <v>67</v>
      </c>
      <c r="F6" s="24" t="s">
        <v>23</v>
      </c>
      <c r="G6" s="12">
        <v>31</v>
      </c>
      <c r="H6" s="88">
        <f>IF(B$20=0,0,G6/B$20)</f>
        <v>0.26271186440677968</v>
      </c>
      <c r="I6" s="58">
        <v>4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402.63157894736844</v>
      </c>
      <c r="Q6" s="77">
        <v>38</v>
      </c>
      <c r="R6" s="64">
        <v>15300</v>
      </c>
    </row>
    <row r="7" spans="1:18" x14ac:dyDescent="0.4">
      <c r="A7" s="19" t="s">
        <v>1</v>
      </c>
      <c r="B7" s="147">
        <f>IF(B$2=0,0,(B$8*1+B$9*2+B$10*3)/B$2)</f>
        <v>1.9111111111111112</v>
      </c>
      <c r="C7" s="148"/>
      <c r="E7" s="27" t="s">
        <v>68</v>
      </c>
      <c r="F7" s="24" t="s">
        <v>12</v>
      </c>
      <c r="G7" s="12">
        <v>31</v>
      </c>
      <c r="H7" s="88">
        <f>IF(B$20=0,0,G7/B$20)</f>
        <v>0.26271186440677968</v>
      </c>
      <c r="I7" s="58">
        <v>9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1491.6666666666667</v>
      </c>
      <c r="Q7" s="78">
        <v>36</v>
      </c>
      <c r="R7" s="65">
        <v>53700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0.4</v>
      </c>
      <c r="E8" s="27" t="s">
        <v>89</v>
      </c>
      <c r="F8" s="24" t="s">
        <v>44</v>
      </c>
      <c r="G8" s="12">
        <v>20</v>
      </c>
      <c r="H8" s="88">
        <f>IF(B$20=0,0,G8/B$20)</f>
        <v>0.16949152542372881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0.28888888888888886</v>
      </c>
      <c r="E9" s="27" t="s">
        <v>69</v>
      </c>
      <c r="F9" s="24" t="s">
        <v>24</v>
      </c>
      <c r="G9" s="12">
        <v>17</v>
      </c>
      <c r="H9" s="88">
        <f>IF(B$20=0,0,G9/B$20)</f>
        <v>0.1440677966101695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0.31111111111111112</v>
      </c>
      <c r="E10" s="27" t="s">
        <v>71</v>
      </c>
      <c r="F10" s="24" t="s">
        <v>26</v>
      </c>
      <c r="G10" s="12">
        <v>9</v>
      </c>
      <c r="H10" s="88">
        <f>IF(B$20=0,0,G10/B$20)</f>
        <v>7.6271186440677971E-2</v>
      </c>
      <c r="I10" s="58">
        <v>5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-1.4499999999999995</v>
      </c>
      <c r="Q10" s="76">
        <v>12</v>
      </c>
      <c r="R10" s="67">
        <v>-17.399999999999995</v>
      </c>
    </row>
    <row r="11" spans="1:18" x14ac:dyDescent="0.4">
      <c r="A11" s="20" t="s">
        <v>184</v>
      </c>
      <c r="B11" s="109">
        <f>IF(B8=0,0,C11/B8)</f>
        <v>31.938888888888886</v>
      </c>
      <c r="C11" s="110">
        <v>574.9</v>
      </c>
      <c r="E11" s="27" t="s">
        <v>65</v>
      </c>
      <c r="F11" s="24" t="s">
        <v>21</v>
      </c>
      <c r="G11" s="12">
        <v>8</v>
      </c>
      <c r="H11" s="88">
        <f>IF(B$20=0,0,G11/B$20)</f>
        <v>6.7796610169491525E-2</v>
      </c>
      <c r="I11" s="58">
        <v>10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0.66875000000000095</v>
      </c>
      <c r="Q11" s="77">
        <v>16</v>
      </c>
      <c r="R11" s="68">
        <v>10.700000000000015</v>
      </c>
    </row>
    <row r="12" spans="1:18" x14ac:dyDescent="0.4">
      <c r="A12" s="20" t="s">
        <v>185</v>
      </c>
      <c r="B12" s="109">
        <f>IF(B9=0,0,C12/B9)</f>
        <v>-1.4615384615384621</v>
      </c>
      <c r="C12" s="110">
        <v>-19.000000000000007</v>
      </c>
      <c r="E12" s="27" t="s">
        <v>86</v>
      </c>
      <c r="F12" s="24" t="s">
        <v>41</v>
      </c>
      <c r="G12" s="12">
        <v>7</v>
      </c>
      <c r="H12" s="88">
        <f>IF(B$20=0,0,G12/B$20)</f>
        <v>5.9322033898305086E-2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5.0847457627118647E-2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0.67816442816442546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4.2372881355932202E-2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4.4444444444444446E-2</v>
      </c>
      <c r="E15" s="27" t="s">
        <v>81</v>
      </c>
      <c r="F15" s="24" t="s">
        <v>36</v>
      </c>
      <c r="G15" s="12">
        <v>5</v>
      </c>
      <c r="H15" s="88">
        <f>IF(B$20=0,0,G15/B$20)</f>
        <v>4.2372881355932202E-2</v>
      </c>
      <c r="I15" s="58">
        <v>5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25.683333333333337</v>
      </c>
      <c r="Q15" s="76">
        <v>6</v>
      </c>
      <c r="R15" s="67">
        <v>154.10000000000002</v>
      </c>
    </row>
    <row r="16" spans="1:18" x14ac:dyDescent="0.4">
      <c r="A16" s="22" t="s">
        <v>121</v>
      </c>
      <c r="B16" s="15">
        <v>84</v>
      </c>
      <c r="C16" s="10">
        <f>IF(B$3=0,0,B16/B$3)</f>
        <v>0.21761658031088082</v>
      </c>
      <c r="E16" s="27" t="s">
        <v>91</v>
      </c>
      <c r="F16" s="24" t="s">
        <v>46</v>
      </c>
      <c r="G16" s="12">
        <v>5</v>
      </c>
      <c r="H16" s="88">
        <f>IF(B$20=0,0,G16/B$20)</f>
        <v>4.2372881355932202E-2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83</v>
      </c>
      <c r="C17" s="6">
        <f>IF(B$3=0,0,B17/B$3)</f>
        <v>0.21502590673575128</v>
      </c>
      <c r="E17" s="27" t="s">
        <v>78</v>
      </c>
      <c r="F17" s="24" t="s">
        <v>33</v>
      </c>
      <c r="G17" s="12">
        <v>4</v>
      </c>
      <c r="H17" s="88">
        <f>IF(B$20=0,0,G17/B$20)</f>
        <v>3.3898305084745763E-2</v>
      </c>
      <c r="I17" s="58">
        <v>4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0.59523809523809523</v>
      </c>
      <c r="E18" s="27" t="s">
        <v>73</v>
      </c>
      <c r="F18" s="24" t="s">
        <v>28</v>
      </c>
      <c r="G18" s="12">
        <v>2</v>
      </c>
      <c r="H18" s="88">
        <f>IF(B$20=0,0,G18/B$20)</f>
        <v>1.6949152542372881E-2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11.56842105263158</v>
      </c>
      <c r="Q18" s="77">
        <v>19</v>
      </c>
      <c r="R18" s="68">
        <v>219.8</v>
      </c>
    </row>
    <row r="19" spans="1:18" x14ac:dyDescent="0.4">
      <c r="A19" s="18" t="s">
        <v>124</v>
      </c>
      <c r="B19" s="11">
        <f>B25</f>
        <v>40</v>
      </c>
      <c r="C19" s="5">
        <f>IF(B$17=0,0,B19/B$17)</f>
        <v>0.48192771084337349</v>
      </c>
      <c r="E19" s="27" t="s">
        <v>75</v>
      </c>
      <c r="F19" s="24" t="s">
        <v>30</v>
      </c>
      <c r="G19" s="12">
        <v>1</v>
      </c>
      <c r="H19" s="88">
        <f>IF(B$20=0,0,G19/B$20)</f>
        <v>8.4745762711864406E-3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118</v>
      </c>
      <c r="C20" s="5">
        <f>IF(B$3=0,0,B20/B$3)</f>
        <v>0.30569948186528495</v>
      </c>
      <c r="E20" s="27" t="s">
        <v>79</v>
      </c>
      <c r="F20" s="24" t="s">
        <v>34</v>
      </c>
      <c r="G20" s="12">
        <v>1</v>
      </c>
      <c r="H20" s="88">
        <f>IF(B$20=0,0,G20/B$20)</f>
        <v>8.4745762711864406E-3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-1.0399999999999996</v>
      </c>
      <c r="Q20" s="77">
        <v>25</v>
      </c>
      <c r="R20" s="68">
        <v>-25.999999999999989</v>
      </c>
    </row>
    <row r="21" spans="1:18" x14ac:dyDescent="0.4">
      <c r="A21" s="19" t="s">
        <v>13</v>
      </c>
      <c r="B21" s="12">
        <v>53</v>
      </c>
      <c r="C21" s="6">
        <f>IF(B$3=0,0,B21/B$3)</f>
        <v>0.13730569948186527</v>
      </c>
      <c r="E21" s="27" t="s">
        <v>93</v>
      </c>
      <c r="F21" s="24" t="s">
        <v>48</v>
      </c>
      <c r="G21" s="12">
        <v>1</v>
      </c>
      <c r="H21" s="88">
        <f>IF(B$20=0,0,G21/B$20)</f>
        <v>8.4745762711864406E-3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51</v>
      </c>
      <c r="C22" s="6">
        <f>IF(B$20=0,0,B22/B$20)</f>
        <v>0.43220338983050849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67</v>
      </c>
      <c r="C23" s="6">
        <f>IF(B$20=0,0,B23/B$20)</f>
        <v>0.56779661016949157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50</v>
      </c>
      <c r="C24" s="6">
        <f>IF(B$20=0,0,B24/B$20)</f>
        <v>0.42372881355932202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40</v>
      </c>
      <c r="C25" s="6">
        <f>IF(B$20=0,0,B25/B$20)</f>
        <v>0.33898305084745761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28</v>
      </c>
      <c r="C26" s="6">
        <f>IF(B$20=0,0,B26/B$20)</f>
        <v>0.23728813559322035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7850</v>
      </c>
      <c r="C27" s="8">
        <v>926300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8225.6410256410254</v>
      </c>
      <c r="C28" s="96">
        <v>641600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7117.5</v>
      </c>
      <c r="C29" s="96">
        <v>284700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-6656.6037735849059</v>
      </c>
      <c r="C30" s="96">
        <v>-352800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2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86700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7.7720207253886009E-3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6.7796610169491525E-2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26</v>
      </c>
      <c r="C38" s="6">
        <f t="shared" si="3"/>
        <v>0.22033898305084745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23</v>
      </c>
      <c r="C39" s="6">
        <f t="shared" si="3"/>
        <v>0.19491525423728814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0.16101694915254236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15</v>
      </c>
      <c r="C41" s="6">
        <f t="shared" si="3"/>
        <v>0.1271186440677966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13</v>
      </c>
      <c r="C42" s="6">
        <f t="shared" si="3"/>
        <v>0.11016949152542373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4.2372881355932202E-2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3.3898305084745763E-2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8.4745762711864406E-3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1.6949152542372881E-2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3"/>
        <v>8.4745762711864406E-3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8.4745762711864406E-3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49</v>
      </c>
      <c r="C2" s="142"/>
      <c r="E2" s="26" t="s">
        <v>66</v>
      </c>
      <c r="F2" s="23" t="s">
        <v>22</v>
      </c>
      <c r="G2" s="11">
        <v>105</v>
      </c>
      <c r="H2" s="87">
        <f>IF(B$20=0,0,G2/B$20)</f>
        <v>0.74468085106382975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-334.69387755102042</v>
      </c>
      <c r="Q2" s="76">
        <v>49</v>
      </c>
      <c r="R2" s="63">
        <v>-16400</v>
      </c>
    </row>
    <row r="3" spans="1:18" x14ac:dyDescent="0.4">
      <c r="A3" s="19" t="s">
        <v>8</v>
      </c>
      <c r="B3" s="143">
        <v>422</v>
      </c>
      <c r="C3" s="144"/>
      <c r="E3" s="27" t="s">
        <v>72</v>
      </c>
      <c r="F3" s="24" t="s">
        <v>27</v>
      </c>
      <c r="G3" s="12">
        <v>89</v>
      </c>
      <c r="H3" s="88">
        <f>IF(B$20=0,0,G3/B$20)</f>
        <v>0.63120567375886527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676.08695652173913</v>
      </c>
      <c r="Q3" s="77">
        <v>46</v>
      </c>
      <c r="R3" s="64">
        <v>31100</v>
      </c>
    </row>
    <row r="4" spans="1:18" x14ac:dyDescent="0.4">
      <c r="A4" s="19" t="s">
        <v>6</v>
      </c>
      <c r="B4" s="145">
        <v>248.19999999999993</v>
      </c>
      <c r="C4" s="146"/>
      <c r="E4" s="27" t="s">
        <v>159</v>
      </c>
      <c r="F4" s="24" t="s">
        <v>160</v>
      </c>
      <c r="G4" s="12">
        <v>67</v>
      </c>
      <c r="H4" s="88">
        <f>IF(B$20=0,0,G4/B$20)</f>
        <v>0.47517730496453903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985.10638297872345</v>
      </c>
      <c r="Q4" s="77">
        <v>47</v>
      </c>
      <c r="R4" s="64">
        <v>46300</v>
      </c>
    </row>
    <row r="5" spans="1:18" x14ac:dyDescent="0.4">
      <c r="A5" s="19" t="s">
        <v>7</v>
      </c>
      <c r="B5" s="133">
        <f>IF(B$2=0,0,B$4/B$2)</f>
        <v>5.0653061224489786</v>
      </c>
      <c r="C5" s="134"/>
      <c r="E5" s="27" t="s">
        <v>64</v>
      </c>
      <c r="F5" s="24" t="s">
        <v>20</v>
      </c>
      <c r="G5" s="12">
        <v>45</v>
      </c>
      <c r="H5" s="88">
        <f>IF(B$20=0,0,G5/B$20)</f>
        <v>0.31914893617021278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2222.7272727272725</v>
      </c>
      <c r="Q5" s="77">
        <v>44</v>
      </c>
      <c r="R5" s="64">
        <v>97800</v>
      </c>
    </row>
    <row r="6" spans="1:18" x14ac:dyDescent="0.4">
      <c r="A6" s="19" t="s">
        <v>196</v>
      </c>
      <c r="B6" s="137">
        <v>1578.1244171430706</v>
      </c>
      <c r="C6" s="138"/>
      <c r="E6" s="27" t="s">
        <v>68</v>
      </c>
      <c r="F6" s="24" t="s">
        <v>12</v>
      </c>
      <c r="G6" s="12">
        <v>34</v>
      </c>
      <c r="H6" s="88">
        <f>IF(B$20=0,0,G6/B$20)</f>
        <v>0.24113475177304963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163.41463414634146</v>
      </c>
      <c r="Q6" s="77">
        <v>41</v>
      </c>
      <c r="R6" s="64">
        <v>6700</v>
      </c>
    </row>
    <row r="7" spans="1:18" x14ac:dyDescent="0.4">
      <c r="A7" s="19" t="s">
        <v>1</v>
      </c>
      <c r="B7" s="147">
        <f>IF(B$2=0,0,(B$8*1+B$9*2+B$10*3)/B$2)</f>
        <v>1.8367346938775511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0.1276595744680851</v>
      </c>
      <c r="I7" s="58">
        <v>12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-57.575757575757578</v>
      </c>
      <c r="Q7" s="78">
        <v>33</v>
      </c>
      <c r="R7" s="65">
        <v>-1900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0.40816326530612246</v>
      </c>
      <c r="E8" s="27" t="s">
        <v>70</v>
      </c>
      <c r="F8" s="24" t="s">
        <v>25</v>
      </c>
      <c r="G8" s="12">
        <v>18</v>
      </c>
      <c r="H8" s="88">
        <f>IF(B$20=0,0,G8/B$20)</f>
        <v>0.1276595744680851</v>
      </c>
      <c r="I8" s="58">
        <v>3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0.34693877551020408</v>
      </c>
      <c r="E9" s="27" t="s">
        <v>89</v>
      </c>
      <c r="F9" s="24" t="s">
        <v>44</v>
      </c>
      <c r="G9" s="12">
        <v>18</v>
      </c>
      <c r="H9" s="88">
        <f>IF(B$20=0,0,G9/B$20)</f>
        <v>0.1276595744680851</v>
      </c>
      <c r="I9" s="58">
        <v>7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0.24489795918367346</v>
      </c>
      <c r="E10" s="27" t="s">
        <v>71</v>
      </c>
      <c r="F10" s="24" t="s">
        <v>26</v>
      </c>
      <c r="G10" s="12">
        <v>15</v>
      </c>
      <c r="H10" s="88">
        <f>IF(B$20=0,0,G10/B$20)</f>
        <v>0.10638297872340426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36.200000000000003</v>
      </c>
      <c r="C11" s="110">
        <v>724</v>
      </c>
      <c r="E11" s="27" t="s">
        <v>69</v>
      </c>
      <c r="F11" s="24" t="s">
        <v>24</v>
      </c>
      <c r="G11" s="12">
        <v>13</v>
      </c>
      <c r="H11" s="88">
        <f>IF(B$20=0,0,G11/B$20)</f>
        <v>9.2198581560283682E-2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-3.8117647058823527</v>
      </c>
      <c r="C12" s="110">
        <v>-64.8</v>
      </c>
      <c r="E12" s="27" t="s">
        <v>65</v>
      </c>
      <c r="F12" s="24" t="s">
        <v>21</v>
      </c>
      <c r="G12" s="12">
        <v>5</v>
      </c>
      <c r="H12" s="88">
        <f>IF(B$20=0,0,G12/B$20)</f>
        <v>3.5460992907801421E-2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0.16428571428571384</v>
      </c>
      <c r="Q12" s="78">
        <v>14</v>
      </c>
      <c r="R12" s="69">
        <v>2.2999999999999936</v>
      </c>
    </row>
    <row r="13" spans="1:18" x14ac:dyDescent="0.4">
      <c r="A13" s="20" t="s">
        <v>186</v>
      </c>
      <c r="B13" s="109">
        <f>IF(B10=0,0,C13/B10)</f>
        <v>-34.25</v>
      </c>
      <c r="C13" s="110">
        <v>-411</v>
      </c>
      <c r="E13" s="27" t="s">
        <v>86</v>
      </c>
      <c r="F13" s="24" t="s">
        <v>41</v>
      </c>
      <c r="G13" s="12">
        <v>5</v>
      </c>
      <c r="H13" s="88">
        <f>IF(B$20=0,0,G13/B$20)</f>
        <v>3.5460992907801421E-2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-0.62058823529411689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2.8368794326241134E-2</v>
      </c>
      <c r="I14" s="58">
        <v>7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8.1632653061224483E-2</v>
      </c>
      <c r="E15" s="27" t="s">
        <v>79</v>
      </c>
      <c r="F15" s="24" t="s">
        <v>34</v>
      </c>
      <c r="G15" s="12">
        <v>3</v>
      </c>
      <c r="H15" s="88">
        <f>IF(B$20=0,0,G15/B$20)</f>
        <v>2.1276595744680851E-2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3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85</v>
      </c>
      <c r="C16" s="10">
        <f>IF(B$3=0,0,B16/B$3)</f>
        <v>0.2014218009478673</v>
      </c>
      <c r="E16" s="27" t="s">
        <v>81</v>
      </c>
      <c r="F16" s="24" t="s">
        <v>36</v>
      </c>
      <c r="G16" s="12">
        <v>3</v>
      </c>
      <c r="H16" s="88">
        <f>IF(B$20=0,0,G16/B$20)</f>
        <v>2.1276595744680851E-2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116</v>
      </c>
      <c r="C17" s="6">
        <f>IF(B$3=0,0,B17/B$3)</f>
        <v>0.27488151658767773</v>
      </c>
      <c r="E17" s="27" t="s">
        <v>83</v>
      </c>
      <c r="F17" s="24" t="s">
        <v>38</v>
      </c>
      <c r="G17" s="12">
        <v>3</v>
      </c>
      <c r="H17" s="88">
        <f>IF(B$20=0,0,G17/B$20)</f>
        <v>2.1276595744680851E-2</v>
      </c>
      <c r="I17" s="58">
        <v>10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45</v>
      </c>
      <c r="C18" s="5">
        <f>IF(B$16=0,0,B18/B$16)</f>
        <v>0.52941176470588236</v>
      </c>
      <c r="E18" s="27" t="s">
        <v>73</v>
      </c>
      <c r="F18" s="24" t="s">
        <v>28</v>
      </c>
      <c r="G18" s="12">
        <v>1</v>
      </c>
      <c r="H18" s="88">
        <f>IF(B$20=0,0,G18/B$20)</f>
        <v>7.0921985815602835E-3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48</v>
      </c>
      <c r="C19" s="5">
        <f>IF(B$17=0,0,B19/B$17)</f>
        <v>0.41379310344827586</v>
      </c>
      <c r="E19" s="27" t="s">
        <v>88</v>
      </c>
      <c r="F19" s="24" t="s">
        <v>43</v>
      </c>
      <c r="G19" s="12">
        <v>1</v>
      </c>
      <c r="H19" s="88">
        <f>IF(B$20=0,0,G19/B$20)</f>
        <v>7.0921985815602835E-3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141</v>
      </c>
      <c r="C20" s="5">
        <f>IF(B$3=0,0,B20/B$3)</f>
        <v>0.33412322274881517</v>
      </c>
      <c r="E20" s="27" t="s">
        <v>92</v>
      </c>
      <c r="F20" s="24" t="s">
        <v>47</v>
      </c>
      <c r="G20" s="12">
        <v>1</v>
      </c>
      <c r="H20" s="88">
        <f>IF(B$20=0,0,G20/B$20)</f>
        <v>7.0921985815602835E-3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49</v>
      </c>
      <c r="C21" s="6">
        <f>IF(B$3=0,0,B21/B$3)</f>
        <v>0.11611374407582939</v>
      </c>
      <c r="E21" s="27" t="s">
        <v>102</v>
      </c>
      <c r="F21" s="24" t="s">
        <v>57</v>
      </c>
      <c r="G21" s="12">
        <v>1</v>
      </c>
      <c r="H21" s="88">
        <f>IF(B$20=0,0,G21/B$20)</f>
        <v>7.0921985815602835E-3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3.7341463414634126</v>
      </c>
      <c r="Q21" s="77">
        <v>41</v>
      </c>
      <c r="R21" s="68">
        <v>153.09999999999991</v>
      </c>
    </row>
    <row r="22" spans="1:18" x14ac:dyDescent="0.4">
      <c r="A22" s="19" t="s">
        <v>12</v>
      </c>
      <c r="B22" s="12">
        <v>56</v>
      </c>
      <c r="C22" s="6">
        <f>IF(B$20=0,0,B22/B$20)</f>
        <v>0.3971631205673759</v>
      </c>
      <c r="E22" s="27" t="s">
        <v>155</v>
      </c>
      <c r="F22" s="24" t="s">
        <v>156</v>
      </c>
      <c r="G22" s="12">
        <v>1</v>
      </c>
      <c r="H22" s="88">
        <f>IF(B$20=0,0,G22/B$20)</f>
        <v>7.0921985815602835E-3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85</v>
      </c>
      <c r="C23" s="6">
        <f>IF(B$20=0,0,B23/B$20)</f>
        <v>0.6028368794326241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-25.683333333333334</v>
      </c>
      <c r="Q23" s="77">
        <v>6</v>
      </c>
      <c r="R23" s="68">
        <v>-154.1</v>
      </c>
    </row>
    <row r="24" spans="1:18" x14ac:dyDescent="0.4">
      <c r="A24" s="19" t="s">
        <v>183</v>
      </c>
      <c r="B24" s="12">
        <v>45</v>
      </c>
      <c r="C24" s="6">
        <f>IF(B$20=0,0,B24/B$20)</f>
        <v>0.31914893617021278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48</v>
      </c>
      <c r="C25" s="6">
        <f>IF(B$20=0,0,B25/B$20)</f>
        <v>0.34042553191489361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48</v>
      </c>
      <c r="C26" s="6">
        <f>IF(B$20=0,0,B26/B$20)</f>
        <v>0.34042553191489361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7300</v>
      </c>
      <c r="C27" s="8">
        <v>1029300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8174.1935483870966</v>
      </c>
      <c r="C28" s="96">
        <v>760200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5606.25</v>
      </c>
      <c r="C29" s="96">
        <v>269100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-7693.8775510204077</v>
      </c>
      <c r="C30" s="96">
        <v>-377000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9.2198581560283682E-2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3"/>
        <v>0.25531914893617019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32</v>
      </c>
      <c r="C39" s="6">
        <f t="shared" si="3"/>
        <v>0.22695035460992907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0.14184397163120568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21</v>
      </c>
      <c r="C41" s="6">
        <f t="shared" si="3"/>
        <v>0.14893617021276595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2.8368794326241134E-2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5.6737588652482268E-2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1.4184397163120567E-2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1.4184397163120567E-2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7.0921985815602835E-3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1.4184397163120567E-2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18</v>
      </c>
      <c r="C2" s="142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140</v>
      </c>
      <c r="C3" s="144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-180.3</v>
      </c>
      <c r="C4" s="146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6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-10.016666666666667</v>
      </c>
      <c r="C5" s="134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8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1475.2783888604056</v>
      </c>
      <c r="C6" s="138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2.2222222222222223</v>
      </c>
      <c r="C7" s="148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11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1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10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6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-1.3125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74600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11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14</v>
      </c>
      <c r="C2" s="142"/>
      <c r="E2" s="26" t="s">
        <v>66</v>
      </c>
      <c r="F2" s="23" t="s">
        <v>22</v>
      </c>
      <c r="G2" s="11">
        <v>28</v>
      </c>
      <c r="H2" s="87">
        <f>IF(B$20=0,0,G2/B$20)</f>
        <v>0.90322580645161288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-2878.5714285714284</v>
      </c>
      <c r="Q2" s="76">
        <v>14</v>
      </c>
      <c r="R2" s="63">
        <v>-40300</v>
      </c>
    </row>
    <row r="3" spans="1:18" x14ac:dyDescent="0.4">
      <c r="A3" s="19" t="s">
        <v>8</v>
      </c>
      <c r="B3" s="143">
        <v>121</v>
      </c>
      <c r="C3" s="144"/>
      <c r="E3" s="27" t="s">
        <v>159</v>
      </c>
      <c r="F3" s="24" t="s">
        <v>160</v>
      </c>
      <c r="G3" s="12">
        <v>22</v>
      </c>
      <c r="H3" s="88">
        <f>IF(B$20=0,0,G3/B$20)</f>
        <v>0.70967741935483875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4084.6153846153848</v>
      </c>
      <c r="Q3" s="77">
        <v>13</v>
      </c>
      <c r="R3" s="64">
        <v>53100</v>
      </c>
    </row>
    <row r="4" spans="1:18" x14ac:dyDescent="0.4">
      <c r="A4" s="19" t="s">
        <v>6</v>
      </c>
      <c r="B4" s="145">
        <v>-72.599999999999994</v>
      </c>
      <c r="C4" s="146"/>
      <c r="E4" s="27" t="s">
        <v>64</v>
      </c>
      <c r="F4" s="24" t="s">
        <v>20</v>
      </c>
      <c r="G4" s="12">
        <v>17</v>
      </c>
      <c r="H4" s="88">
        <f>IF(B$20=0,0,G4/B$20)</f>
        <v>0.54838709677419351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642.85714285714289</v>
      </c>
      <c r="Q4" s="77">
        <v>14</v>
      </c>
      <c r="R4" s="64">
        <v>9000</v>
      </c>
    </row>
    <row r="5" spans="1:18" x14ac:dyDescent="0.4">
      <c r="A5" s="19" t="s">
        <v>7</v>
      </c>
      <c r="B5" s="133">
        <f>IF(B$2=0,0,B$4/B$2)</f>
        <v>-5.1857142857142851</v>
      </c>
      <c r="C5" s="134"/>
      <c r="E5" s="27" t="s">
        <v>68</v>
      </c>
      <c r="F5" s="24" t="s">
        <v>12</v>
      </c>
      <c r="G5" s="12">
        <v>15</v>
      </c>
      <c r="H5" s="88">
        <f>IF(B$20=0,0,G5/B$20)</f>
        <v>0.4838709677419355</v>
      </c>
      <c r="I5" s="58">
        <v>3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-3464.2857142857142</v>
      </c>
      <c r="Q5" s="77">
        <v>14</v>
      </c>
      <c r="R5" s="64">
        <v>-48500</v>
      </c>
    </row>
    <row r="6" spans="1:18" x14ac:dyDescent="0.4">
      <c r="A6" s="19" t="s">
        <v>196</v>
      </c>
      <c r="B6" s="137">
        <v>1392.4879372401474</v>
      </c>
      <c r="C6" s="138"/>
      <c r="E6" s="27" t="s">
        <v>72</v>
      </c>
      <c r="F6" s="24" t="s">
        <v>27</v>
      </c>
      <c r="G6" s="12">
        <v>15</v>
      </c>
      <c r="H6" s="88">
        <f>IF(B$20=0,0,G6/B$20)</f>
        <v>0.4838709677419355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-1953.8461538461538</v>
      </c>
      <c r="Q6" s="77">
        <v>13</v>
      </c>
      <c r="R6" s="64">
        <v>-25400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9</v>
      </c>
      <c r="H7" s="88">
        <f>IF(B$20=0,0,G7/B$20)</f>
        <v>0.29032258064516131</v>
      </c>
      <c r="I7" s="58">
        <v>3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-708.33333333333337</v>
      </c>
      <c r="Q7" s="78">
        <v>12</v>
      </c>
      <c r="R7" s="65">
        <v>-8500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0.42857142857142855</v>
      </c>
      <c r="E8" s="27" t="s">
        <v>69</v>
      </c>
      <c r="F8" s="24" t="s">
        <v>24</v>
      </c>
      <c r="G8" s="12">
        <v>9</v>
      </c>
      <c r="H8" s="88">
        <f>IF(B$20=0,0,G8/B$20)</f>
        <v>0.29032258064516131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0.14285714285714285</v>
      </c>
      <c r="E9" s="27" t="s">
        <v>65</v>
      </c>
      <c r="F9" s="24" t="s">
        <v>21</v>
      </c>
      <c r="G9" s="12">
        <v>4</v>
      </c>
      <c r="H9" s="88">
        <f>IF(B$20=0,0,G9/B$20)</f>
        <v>0.12903225806451613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9.6774193548387094E-2</v>
      </c>
      <c r="I10" s="58">
        <v>5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89</v>
      </c>
      <c r="F11" s="24" t="s">
        <v>44</v>
      </c>
      <c r="G11" s="12">
        <v>2</v>
      </c>
      <c r="H11" s="88">
        <f>IF(B$20=0,0,G11/B$20)</f>
        <v>6.4516129032258063E-2</v>
      </c>
      <c r="I11" s="58">
        <v>11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-5.3</v>
      </c>
      <c r="Q11" s="77">
        <v>5</v>
      </c>
      <c r="R11" s="68">
        <v>-26.5</v>
      </c>
    </row>
    <row r="12" spans="1:18" x14ac:dyDescent="0.4">
      <c r="A12" s="20" t="s">
        <v>185</v>
      </c>
      <c r="B12" s="109">
        <f>IF(B9=0,0,C12/B9)</f>
        <v>-3</v>
      </c>
      <c r="C12" s="110">
        <v>-6</v>
      </c>
      <c r="E12" s="27" t="s">
        <v>71</v>
      </c>
      <c r="F12" s="24" t="s">
        <v>26</v>
      </c>
      <c r="G12" s="12">
        <v>1</v>
      </c>
      <c r="H12" s="88">
        <f>IF(B$20=0,0,G12/B$20)</f>
        <v>3.2258064516129031E-2</v>
      </c>
      <c r="I12" s="58">
        <v>10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-36.816666666666663</v>
      </c>
      <c r="C13" s="110">
        <v>-220.89999999999998</v>
      </c>
      <c r="E13" s="27" t="s">
        <v>75</v>
      </c>
      <c r="F13" s="24" t="s">
        <v>30</v>
      </c>
      <c r="G13" s="12">
        <v>1</v>
      </c>
      <c r="H13" s="88">
        <f>IF(B$20=0,0,G13/B$20)</f>
        <v>3.2258064516129031E-2</v>
      </c>
      <c r="I13" s="58">
        <v>1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-4.6999999999999993</v>
      </c>
      <c r="C14" s="134"/>
      <c r="E14" s="27" t="s">
        <v>78</v>
      </c>
      <c r="F14" s="24" t="s">
        <v>33</v>
      </c>
      <c r="G14" s="12">
        <v>1</v>
      </c>
      <c r="H14" s="88">
        <f>IF(B$20=0,0,G14/B$20)</f>
        <v>3.2258064516129031E-2</v>
      </c>
      <c r="I14" s="58">
        <v>5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0.14285714285714285</v>
      </c>
      <c r="E15" s="27" t="s">
        <v>81</v>
      </c>
      <c r="F15" s="24" t="s">
        <v>36</v>
      </c>
      <c r="G15" s="12">
        <v>1</v>
      </c>
      <c r="H15" s="88">
        <f>IF(B$20=0,0,G15/B$20)</f>
        <v>3.2258064516129031E-2</v>
      </c>
      <c r="I15" s="58">
        <v>8</v>
      </c>
      <c r="K15" s="74">
        <v>13</v>
      </c>
      <c r="L15" s="119">
        <v>-75.599999999999994</v>
      </c>
      <c r="M15" s="117">
        <v>1390.8671400806311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26</v>
      </c>
      <c r="C16" s="10">
        <f>IF(B$3=0,0,B16/B$3)</f>
        <v>0.21487603305785125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17</v>
      </c>
      <c r="C17" s="6">
        <f>IF(B$3=0,0,B17/B$3)</f>
        <v>0.14049586776859505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211</v>
      </c>
      <c r="P17" s="83">
        <f>IF(Q17=0,0,R17/Q17)</f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17</v>
      </c>
      <c r="C18" s="5">
        <f>IF(B$16=0,0,B18/B$16)</f>
        <v>0.65384615384615385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-2.677777777777778</v>
      </c>
      <c r="Q18" s="77">
        <v>9</v>
      </c>
      <c r="R18" s="68">
        <v>-24.1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0.29411764705882354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190</v>
      </c>
      <c r="P19" s="83">
        <f>IF(Q19=0,0,R19/Q19)</f>
        <v>-3.9500000000000011</v>
      </c>
      <c r="Q19" s="77">
        <v>4</v>
      </c>
      <c r="R19" s="68">
        <v>-15.800000000000004</v>
      </c>
    </row>
    <row r="20" spans="1:18" x14ac:dyDescent="0.4">
      <c r="A20" s="18" t="s">
        <v>10</v>
      </c>
      <c r="B20" s="11">
        <f>B23+B22</f>
        <v>31</v>
      </c>
      <c r="C20" s="5">
        <f>IF(B$3=0,0,B20/B$3)</f>
        <v>0.256198347107438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  <c r="O20" s="74" t="s">
        <v>192</v>
      </c>
      <c r="P20" s="83">
        <f>IF(Q20=0,0,R20/Q20)</f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21</v>
      </c>
      <c r="C21" s="6">
        <f>IF(B$3=0,0,B21/B$3)</f>
        <v>0.17355371900826447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>IF(Q21=0,0,R21/Q21)</f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0.5161290322580645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15</v>
      </c>
      <c r="C23" s="6">
        <f>IF(B$20=0,0,B23/B$20)</f>
        <v>0.4838709677419355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17</v>
      </c>
      <c r="C24" s="6">
        <f>IF(B$20=0,0,B24/B$20)</f>
        <v>0.54838709677419351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0.16129032258064516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9</v>
      </c>
      <c r="C26" s="6">
        <f>IF(B$20=0,0,B26/B$20)</f>
        <v>0.29032258064516131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8954.8387096774186</v>
      </c>
      <c r="C27" s="8">
        <v>277600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9015.3846153846152</v>
      </c>
      <c r="C28" s="96">
        <v>234400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-7990.4761904761908</v>
      </c>
      <c r="C30" s="96">
        <v>-167800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8.2644628099173556E-3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3.2258064516129031E-2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2"/>
        <v>0.12903225806451613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2"/>
        <v>0.16129032258064516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2"/>
        <v>0.29032258064516131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2"/>
        <v>0.16129032258064516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2"/>
        <v>0.12903225806451613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2"/>
        <v>9.6774193548387094E-2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1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2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2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7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5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4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7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1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3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2020-12-12T09:48:18Z</dcterms:modified>
</cp:coreProperties>
</file>