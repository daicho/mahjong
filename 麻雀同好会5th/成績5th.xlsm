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3026EC6-A11A-498B-B302-0CE9A77CB311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のり2" sheetId="6319" state="hidden" r:id="rId15"/>
    <sheet name="たか2" sheetId="6317" state="hidden" r:id="rId16"/>
    <sheet name="ただ2" sheetId="6315" state="hidden" r:id="rId17"/>
    <sheet name="いちかわ2" sheetId="6313" state="hidden" r:id="rId18"/>
    <sheet name="まっつん2" sheetId="6311" state="hidden" r:id="rId19"/>
    <sheet name="たかの2" sheetId="6309" state="hidden" r:id="rId20"/>
    <sheet name="れんたろう2" sheetId="6307" state="hidden" r:id="rId21"/>
    <sheet name="だいち2" sheetId="6305" state="hidden" r:id="rId22"/>
    <sheet name="全体2" sheetId="6303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318" l="1"/>
  <c r="O17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5" i="6316"/>
  <c r="O16" i="6316"/>
  <c r="C34" i="6316"/>
  <c r="H30" i="6316"/>
  <c r="B29" i="6316"/>
  <c r="C20" i="6316"/>
  <c r="B19" i="6316"/>
  <c r="H51" i="6316" s="1"/>
  <c r="H22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H15" i="6316"/>
  <c r="C9" i="6316"/>
  <c r="C8" i="6316"/>
  <c r="O7" i="6316"/>
  <c r="C7" i="6316"/>
  <c r="O6" i="6316"/>
  <c r="B6" i="6316"/>
  <c r="O5" i="6316"/>
  <c r="B5" i="6316"/>
  <c r="O4" i="6316"/>
  <c r="O3" i="6316"/>
  <c r="H6" i="6316"/>
  <c r="O2" i="6316"/>
  <c r="O16" i="6312"/>
  <c r="O18" i="6312"/>
  <c r="O17" i="6302"/>
  <c r="H2" i="6318" l="1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11" i="6316"/>
  <c r="H12" i="6316"/>
  <c r="B26" i="6316"/>
  <c r="C36" i="6316"/>
  <c r="H41" i="6316"/>
  <c r="C46" i="6316"/>
  <c r="H31" i="6316"/>
  <c r="C48" i="6316"/>
  <c r="H10" i="6316"/>
  <c r="C42" i="6316"/>
  <c r="C19" i="6316"/>
  <c r="C44" i="6316"/>
  <c r="H49" i="6316"/>
  <c r="H21" i="6316"/>
  <c r="C22" i="6316"/>
  <c r="H37" i="6316"/>
  <c r="H9" i="6316"/>
  <c r="H3" i="6316"/>
  <c r="H18" i="6316"/>
  <c r="H13" i="6316"/>
  <c r="H34" i="6316"/>
  <c r="C38" i="6316"/>
  <c r="H4" i="6316"/>
  <c r="H2" i="6316"/>
  <c r="H14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8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7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6" i="6314"/>
  <c r="O15" i="6314"/>
  <c r="C34" i="6314"/>
  <c r="B29" i="6314"/>
  <c r="C20" i="6314"/>
  <c r="B19" i="6314"/>
  <c r="H50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B13" i="6314" s="1"/>
  <c r="C9" i="6314"/>
  <c r="C8" i="6314"/>
  <c r="O7" i="6314"/>
  <c r="C7" i="6314"/>
  <c r="O6" i="6314"/>
  <c r="B6" i="6314"/>
  <c r="O5" i="6314"/>
  <c r="B5" i="6314"/>
  <c r="O4" i="6314"/>
  <c r="O3" i="6314"/>
  <c r="O2" i="6314"/>
  <c r="O20" i="6304"/>
  <c r="O21" i="6302"/>
  <c r="C18" i="6314" l="1"/>
  <c r="H17" i="6314"/>
  <c r="H4" i="6314"/>
  <c r="H2" i="6314"/>
  <c r="C42" i="6314"/>
  <c r="H44" i="6314"/>
  <c r="C44" i="6314"/>
  <c r="H15" i="6314"/>
  <c r="C22" i="6314"/>
  <c r="H13" i="6314"/>
  <c r="C23" i="6314"/>
  <c r="C24" i="6314"/>
  <c r="H31" i="6314"/>
  <c r="H41" i="6314"/>
  <c r="C46" i="6314"/>
  <c r="H8" i="6314"/>
  <c r="H20" i="6314"/>
  <c r="H33" i="6314"/>
  <c r="H11" i="6314"/>
  <c r="H23" i="6314"/>
  <c r="H36" i="6314"/>
  <c r="H48" i="6314"/>
  <c r="H14" i="6314"/>
  <c r="H18" i="6314"/>
  <c r="C25" i="6314"/>
  <c r="H37" i="6314"/>
  <c r="H12" i="6314"/>
  <c r="C38" i="6314"/>
  <c r="H49" i="6314"/>
  <c r="C19" i="6314"/>
  <c r="H27" i="6314"/>
  <c r="H7" i="6314"/>
  <c r="H19" i="6314"/>
  <c r="H21" i="6314"/>
  <c r="H10" i="6314"/>
  <c r="H39" i="6314"/>
  <c r="H51" i="6314"/>
  <c r="B27" i="6314"/>
  <c r="C36" i="6314"/>
  <c r="H42" i="6314"/>
  <c r="H47" i="6314"/>
  <c r="H25" i="6314"/>
  <c r="H30" i="6314"/>
  <c r="H38" i="6314"/>
  <c r="H43" i="6314"/>
  <c r="C48" i="6314"/>
  <c r="H34" i="6314"/>
  <c r="H40" i="6314"/>
  <c r="H45" i="6314"/>
  <c r="H6" i="6314"/>
  <c r="H3" i="6314"/>
  <c r="H5" i="6314"/>
  <c r="H16" i="6314"/>
  <c r="C21" i="6314"/>
  <c r="B26" i="6314"/>
  <c r="C40" i="6314"/>
  <c r="H46" i="6314"/>
  <c r="H52" i="6314"/>
  <c r="H9" i="6314"/>
  <c r="H22" i="6314"/>
  <c r="H26" i="6314"/>
  <c r="H29" i="6314"/>
  <c r="H35" i="6314"/>
  <c r="C39" i="6314"/>
  <c r="C43" i="6314"/>
  <c r="C47" i="6314"/>
  <c r="H24" i="6314"/>
  <c r="H28" i="6314"/>
  <c r="H32" i="6314"/>
  <c r="C37" i="6314"/>
  <c r="C41" i="6314"/>
  <c r="C45" i="6314"/>
  <c r="O18" i="6304" l="1"/>
  <c r="O16" i="6304"/>
  <c r="O15" i="6312"/>
  <c r="O17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8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5" i="6312"/>
  <c r="H7" i="6312"/>
  <c r="H14" i="6312"/>
  <c r="H17" i="6312"/>
  <c r="H9" i="6312"/>
  <c r="C19" i="6312"/>
  <c r="C24" i="6312"/>
  <c r="H16" i="6312"/>
  <c r="H43" i="6312"/>
  <c r="H47" i="6312"/>
  <c r="H23" i="6312"/>
  <c r="H29" i="6312"/>
  <c r="C39" i="6312"/>
  <c r="C43" i="6312"/>
  <c r="H4" i="6312"/>
  <c r="H11" i="6312"/>
  <c r="H18" i="6312"/>
  <c r="C21" i="6312"/>
  <c r="C25" i="6312"/>
  <c r="H36" i="6312"/>
  <c r="H48" i="6312"/>
  <c r="H10" i="6312"/>
  <c r="H12" i="6312"/>
  <c r="H26" i="6312"/>
  <c r="H30" i="6312"/>
  <c r="C36" i="6312"/>
  <c r="C40" i="6312"/>
  <c r="C44" i="6312"/>
  <c r="C48" i="6312"/>
  <c r="H39" i="6312"/>
  <c r="H52" i="6312"/>
  <c r="H21" i="6312"/>
  <c r="H13" i="6312"/>
  <c r="H35" i="6312"/>
  <c r="C47" i="6312"/>
  <c r="H40" i="6312"/>
  <c r="H44" i="6312"/>
  <c r="H3" i="6312"/>
  <c r="H19" i="6312"/>
  <c r="H22" i="6312"/>
  <c r="C22" i="6312"/>
  <c r="B26" i="6312"/>
  <c r="H31" i="6312"/>
  <c r="H37" i="6312"/>
  <c r="H41" i="6312"/>
  <c r="H45" i="6312"/>
  <c r="H49" i="6312"/>
  <c r="H24" i="6312"/>
  <c r="H32" i="6312"/>
  <c r="C45" i="6312"/>
  <c r="H27" i="6312"/>
  <c r="C37" i="6312"/>
  <c r="C41" i="6312"/>
  <c r="H50" i="6312"/>
  <c r="H20" i="6312"/>
  <c r="C23" i="6312"/>
  <c r="B27" i="6312"/>
  <c r="H33" i="6312"/>
  <c r="H38" i="6312"/>
  <c r="H42" i="6312"/>
  <c r="H46" i="6312"/>
  <c r="H51" i="6312"/>
  <c r="H2" i="6312"/>
  <c r="H5" i="6312"/>
  <c r="H8" i="6312"/>
  <c r="H25" i="6312"/>
  <c r="H28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20" i="6302"/>
  <c r="O19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9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9" i="6302"/>
  <c r="C18" i="6302"/>
  <c r="C36" i="6304"/>
  <c r="H21" i="6304"/>
  <c r="H8" i="6304"/>
  <c r="H39" i="6304"/>
  <c r="H25" i="6304"/>
  <c r="H41" i="6304"/>
  <c r="C38" i="6304"/>
  <c r="C21" i="6304"/>
  <c r="H11" i="6304"/>
  <c r="C44" i="6304"/>
  <c r="H28" i="6304"/>
  <c r="H12" i="6304"/>
  <c r="H7" i="6304"/>
  <c r="H6" i="6304"/>
  <c r="H23" i="6304"/>
  <c r="H19" i="6304"/>
  <c r="C22" i="6304"/>
  <c r="H45" i="6304"/>
  <c r="H17" i="6304"/>
  <c r="B26" i="6304"/>
  <c r="C42" i="6304"/>
  <c r="H2" i="6304"/>
  <c r="H9" i="6304"/>
  <c r="H34" i="6304"/>
  <c r="H3" i="6304"/>
  <c r="H10" i="6304"/>
  <c r="H20" i="6304"/>
  <c r="H24" i="6304"/>
  <c r="C25" i="6304"/>
  <c r="H35" i="6304"/>
  <c r="C46" i="6304"/>
  <c r="H47" i="6304"/>
  <c r="C24" i="6304"/>
  <c r="H31" i="6304"/>
  <c r="C39" i="6304"/>
  <c r="C48" i="6304"/>
  <c r="H13" i="6304"/>
  <c r="H5" i="6304"/>
  <c r="H16" i="6304"/>
  <c r="H18" i="6304"/>
  <c r="C19" i="6304"/>
  <c r="H14" i="6304"/>
  <c r="H15" i="6304"/>
  <c r="C40" i="6304"/>
  <c r="H49" i="6304"/>
  <c r="H43" i="6304"/>
  <c r="H4" i="6304"/>
  <c r="H27" i="6304"/>
  <c r="H30" i="6304"/>
  <c r="H37" i="6304"/>
  <c r="C43" i="6304"/>
  <c r="H52" i="6304"/>
  <c r="C47" i="6304"/>
  <c r="H36" i="6304"/>
  <c r="H40" i="6304"/>
  <c r="H44" i="6304"/>
  <c r="H48" i="6304"/>
  <c r="H26" i="6304"/>
  <c r="H29" i="6304"/>
  <c r="H32" i="6304"/>
  <c r="C37" i="6304"/>
  <c r="C41" i="6304"/>
  <c r="C45" i="6304"/>
  <c r="H50" i="6304"/>
  <c r="H22" i="6304"/>
  <c r="C23" i="6304"/>
  <c r="B27" i="6304"/>
  <c r="H33" i="6304"/>
  <c r="H38" i="6304"/>
  <c r="H42" i="6304"/>
  <c r="H46" i="6304"/>
  <c r="H25" i="6302"/>
  <c r="H17" i="6302"/>
  <c r="H41" i="6302"/>
  <c r="H35" i="6302"/>
  <c r="H36" i="6302"/>
  <c r="H5" i="6302"/>
  <c r="H7" i="6302"/>
  <c r="C40" i="6302"/>
  <c r="C46" i="6302"/>
  <c r="H10" i="6302"/>
  <c r="H11" i="6302"/>
  <c r="C22" i="6302"/>
  <c r="H8" i="6302"/>
  <c r="H47" i="6302"/>
  <c r="H30" i="6302"/>
  <c r="C36" i="6302"/>
  <c r="C42" i="6302"/>
  <c r="C47" i="6302"/>
  <c r="H22" i="6302"/>
  <c r="C19" i="6302"/>
  <c r="C24" i="6302"/>
  <c r="H37" i="6302"/>
  <c r="H43" i="6302"/>
  <c r="H48" i="6302"/>
  <c r="H15" i="6302"/>
  <c r="H14" i="6302"/>
  <c r="C48" i="6302"/>
  <c r="H13" i="6302"/>
  <c r="C43" i="6302"/>
  <c r="H23" i="6302"/>
  <c r="C25" i="6302"/>
  <c r="H21" i="6302"/>
  <c r="H39" i="6302"/>
  <c r="H44" i="6302"/>
  <c r="H49" i="6302"/>
  <c r="H20" i="6302"/>
  <c r="H3" i="6302"/>
  <c r="C38" i="6302"/>
  <c r="H12" i="6302"/>
  <c r="H19" i="6302"/>
  <c r="H26" i="6302"/>
  <c r="H28" i="6302"/>
  <c r="H34" i="6302"/>
  <c r="C39" i="6302"/>
  <c r="C44" i="6302"/>
  <c r="H4" i="6302"/>
  <c r="H18" i="6302"/>
  <c r="H2" i="6302"/>
  <c r="H31" i="6302"/>
  <c r="H6" i="6302"/>
  <c r="H16" i="6302"/>
  <c r="H24" i="6302"/>
  <c r="C21" i="6302"/>
  <c r="B26" i="6302"/>
  <c r="H40" i="6302"/>
  <c r="H45" i="6302"/>
  <c r="H52" i="6302"/>
  <c r="H27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<sst xmlns="http://schemas.openxmlformats.org/spreadsheetml/2006/main" count="2346" uniqueCount="204">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</sst>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全体!$L$2:$L$35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-90.909090909090907</c:v>
                </c:pt>
                <c:pt idx="1">
                  <c:v>90.909090909090907</c:v>
                </c:pt>
                <c:pt idx="2">
                  <c:v>-30.303030303030305</c:v>
                </c:pt>
                <c:pt idx="3">
                  <c:v>37.037037037037038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</c:v>
                </c:pt>
                <c:pt idx="1">
                  <c:v>20</c:v>
                </c:pt>
                <c:pt idx="2">
                  <c:v>7</c:v>
                </c:pt>
                <c:pt idx="3">
                  <c:v>11</c:v>
                </c:pt>
                <c:pt idx="4">
                  <c:v>7</c:v>
                </c:pt>
                <c:pt idx="5">
                  <c:v>13</c:v>
                </c:pt>
                <c:pt idx="6">
                  <c:v>7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だいち!$L$2:$L$11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1677.7777777777778</c:v>
                </c:pt>
                <c:pt idx="1">
                  <c:v>333.33333333333331</c:v>
                </c:pt>
                <c:pt idx="2">
                  <c:v>-166.66666666666666</c:v>
                </c:pt>
                <c:pt idx="3">
                  <c:v>150</c:v>
                </c:pt>
                <c:pt idx="4">
                  <c:v>425</c:v>
                </c:pt>
                <c:pt idx="5">
                  <c:v>2514.2857142857142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-6940</c:v>
                </c:pt>
                <c:pt idx="1">
                  <c:v>-3020</c:v>
                </c:pt>
                <c:pt idx="2">
                  <c:v>-1880</c:v>
                </c:pt>
                <c:pt idx="3">
                  <c:v>1833.3333333333333</c:v>
                </c:pt>
                <c:pt idx="4">
                  <c:v>6433.333333333333</c:v>
                </c:pt>
                <c:pt idx="5">
                  <c:v>466.66666666666669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3350</c:v>
                </c:pt>
                <c:pt idx="2">
                  <c:v>2500</c:v>
                </c:pt>
                <c:pt idx="3">
                  <c:v>5150</c:v>
                </c:pt>
                <c:pt idx="4">
                  <c:v>4350</c:v>
                </c:pt>
                <c:pt idx="5">
                  <c:v>-4150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5625</c:v>
                </c:pt>
                <c:pt idx="1">
                  <c:v>5475</c:v>
                </c:pt>
                <c:pt idx="2">
                  <c:v>-6000</c:v>
                </c:pt>
                <c:pt idx="3">
                  <c:v>4066.6666666666665</c:v>
                </c:pt>
                <c:pt idx="4">
                  <c:v>1466.6666666666667</c:v>
                </c:pt>
                <c:pt idx="5">
                  <c:v>4333.333333333333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のり2!$C$3:$C$7</c:f>
              <c:numCache>
                <c:formatCode>\+0.0;\-0.0;\±0</c:formatCode>
                <c:ptCount val="5"/>
                <c:pt idx="1">
                  <c:v>-38</c:v>
                </c:pt>
                <c:pt idx="2">
                  <c:v>-9</c:v>
                </c:pt>
                <c:pt idx="3">
                  <c:v>-4.9666666666666668</c:v>
                </c:pt>
                <c:pt idx="4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のり2!$D$3:$D$7</c:f>
              <c:numCache>
                <c:formatCode>0.00\ "位"</c:formatCode>
                <c:ptCount val="5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のり2!$E$3:$E$7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のり2!$F$3:$F$7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のり2!$G$3:$G$7</c:f>
              <c:numCache>
                <c:formatCode>0.0%</c:formatCode>
                <c:ptCount val="5"/>
                <c:pt idx="1">
                  <c:v>7.1428571428571425E-2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73913043478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のり2!$H$3:$H$7</c:f>
              <c:numCache>
                <c:formatCode>0.0%</c:formatCode>
                <c:ptCount val="5"/>
                <c:pt idx="1">
                  <c:v>0.21428571428571427</c:v>
                </c:pt>
                <c:pt idx="2">
                  <c:v>0.23529411764705882</c:v>
                </c:pt>
                <c:pt idx="3">
                  <c:v>0.17857142857142858</c:v>
                </c:pt>
                <c:pt idx="4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4927536231884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のり2!$I$3:$I$7</c:f>
              <c:numCache>
                <c:formatCode>0</c:formatCode>
                <c:ptCount val="5"/>
                <c:pt idx="1">
                  <c:v>4800</c:v>
                </c:pt>
                <c:pt idx="2">
                  <c:v>7266.666666666667</c:v>
                </c:pt>
                <c:pt idx="3">
                  <c:v>7671.4285714285716</c:v>
                </c:pt>
                <c:pt idx="4">
                  <c:v>8212.5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10.6666666666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のり2!$J$3:$J$7</c:f>
              <c:numCache>
                <c:formatCode>0</c:formatCode>
                <c:ptCount val="5"/>
                <c:pt idx="1">
                  <c:v>-6600</c:v>
                </c:pt>
                <c:pt idx="2">
                  <c:v>-6950</c:v>
                </c:pt>
                <c:pt idx="3">
                  <c:v>-9160</c:v>
                </c:pt>
                <c:pt idx="4">
                  <c:v>-9387.5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977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060606060606060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のり2!$L$3:$L$7</c:f>
              <c:numCache>
                <c:formatCode>0.0%</c:formatCode>
                <c:ptCount val="5"/>
                <c:pt idx="1">
                  <c:v>0.2857142857142857</c:v>
                </c:pt>
                <c:pt idx="2">
                  <c:v>0.23529411764705882</c:v>
                </c:pt>
                <c:pt idx="3">
                  <c:v>0.25</c:v>
                </c:pt>
                <c:pt idx="4">
                  <c:v>0.25714285714285712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115942028985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のり2!$M$3:$M$7</c:f>
              <c:numCache>
                <c:formatCode>0.0%</c:formatCode>
                <c:ptCount val="5"/>
                <c:pt idx="1">
                  <c:v>0.14285714285714285</c:v>
                </c:pt>
                <c:pt idx="2">
                  <c:v>0.23529411764705882</c:v>
                </c:pt>
                <c:pt idx="3">
                  <c:v>0.2857142857142857</c:v>
                </c:pt>
                <c:pt idx="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75362318840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のり2!$N$3:$N$7</c:f>
              <c:numCache>
                <c:formatCode>0.0%</c:formatCode>
                <c:ptCount val="5"/>
                <c:pt idx="1">
                  <c:v>0.25</c:v>
                </c:pt>
                <c:pt idx="2">
                  <c:v>0.25</c:v>
                </c:pt>
                <c:pt idx="3">
                  <c:v>0.14285714285714285</c:v>
                </c:pt>
                <c:pt idx="4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40540540540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のり2!$O$3:$O$7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7611940298507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0.14285714285714285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192</v>
      </c>
      <c r="B2" s="3">
        <v>44107.58520833333</v>
      </c>
      <c r="C2" s="2" t="s">
        <v>127</v>
      </c>
      <c r="D2" s="2" t="s">
        <v>189</v>
      </c>
    </row>
    <row r="3" spans="1:6" x14ac:dyDescent="0.4">
      <c r="A3" s="2" t="s">
        <v>194</v>
      </c>
      <c r="B3" s="3">
        <v>44107.58520833333</v>
      </c>
      <c r="C3" s="2" t="s">
        <v>127</v>
      </c>
      <c r="D3" s="2" t="s">
        <v>189</v>
      </c>
      <c r="E3" s="2" t="s">
        <v>197</v>
      </c>
    </row>
    <row r="4" spans="1:6" x14ac:dyDescent="0.4">
      <c r="A4" s="2" t="s">
        <v>198</v>
      </c>
      <c r="B4" s="3">
        <v>44107.58520833333</v>
      </c>
      <c r="C4" s="2" t="s">
        <v>127</v>
      </c>
      <c r="D4" s="2" t="s">
        <v>189</v>
      </c>
    </row>
    <row r="5" spans="1:6" x14ac:dyDescent="0.4">
      <c r="A5" s="2" t="s">
        <v>200</v>
      </c>
      <c r="B5" s="3">
        <v>44107.768576388888</v>
      </c>
      <c r="C5" s="2" t="s">
        <v>127</v>
      </c>
      <c r="D5" s="2" t="s">
        <v>189</v>
      </c>
      <c r="E5" s="2" t="s">
        <v>197</v>
      </c>
      <c r="F5" s="2" t="s">
        <v>203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33</v>
      </c>
    </row>
    <row r="2" spans="1:2" x14ac:dyDescent="0.4">
      <c r="A2" t="s">
        <v>126</v>
      </c>
      <c r="B2">
        <v>9</v>
      </c>
    </row>
    <row r="3" spans="1:2" x14ac:dyDescent="0.4">
      <c r="A3" t="s">
        <v>164</v>
      </c>
      <c r="B3">
        <v>2</v>
      </c>
    </row>
    <row r="4" spans="1:2" x14ac:dyDescent="0.4">
      <c r="A4" t="s">
        <v>190</v>
      </c>
      <c r="B4">
        <v>4</v>
      </c>
    </row>
    <row r="5" spans="1:2" x14ac:dyDescent="0.4">
      <c r="A5" t="s">
        <v>196</v>
      </c>
      <c r="B5">
        <v>3</v>
      </c>
    </row>
    <row r="6" spans="1:2" x14ac:dyDescent="0.4">
      <c r="A6" t="s">
        <v>195</v>
      </c>
      <c r="B6">
        <v>5</v>
      </c>
    </row>
    <row r="7" spans="1:2" x14ac:dyDescent="0.4">
      <c r="A7" t="s">
        <v>199</v>
      </c>
      <c r="B7">
        <v>2</v>
      </c>
    </row>
    <row r="8" spans="1:2" x14ac:dyDescent="0.4">
      <c r="A8" t="s">
        <v>202</v>
      </c>
      <c r="B8">
        <v>4</v>
      </c>
    </row>
    <row r="9" spans="1:2" x14ac:dyDescent="0.4">
      <c r="A9" t="s">
        <v>201</v>
      </c>
      <c r="B9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/>
      <c r="C1" s="142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0</v>
      </c>
      <c r="C2" s="144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45">
        <v>0</v>
      </c>
      <c r="C3" s="146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47">
        <v>0</v>
      </c>
      <c r="C4" s="148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35">
        <f>IF(B$2=0,0,B$4/B$2)</f>
        <v>0</v>
      </c>
      <c r="C5" s="136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49">
        <f>IF(B$2=0,0,(B$7*1+B$8*2+B$9*3)/B$2)</f>
        <v>0</v>
      </c>
      <c r="C6" s="150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37">
        <v>0</v>
      </c>
      <c r="C32" s="138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39">
        <v>-1000000</v>
      </c>
      <c r="C33" s="140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191</v>
      </c>
      <c r="B1" s="155" t="s">
        <v>9</v>
      </c>
      <c r="C1" s="156"/>
      <c r="D1" s="151" t="s">
        <v>6</v>
      </c>
      <c r="E1" s="152"/>
      <c r="F1" s="151" t="s">
        <v>7</v>
      </c>
      <c r="G1" s="152"/>
      <c r="H1" s="155" t="s">
        <v>188</v>
      </c>
      <c r="I1" s="156"/>
      <c r="J1" s="151" t="s">
        <v>15</v>
      </c>
      <c r="K1" s="152"/>
      <c r="L1" s="151" t="s">
        <v>14</v>
      </c>
      <c r="M1" s="152"/>
      <c r="N1" s="151" t="s">
        <v>150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181</v>
      </c>
      <c r="AK1" s="152"/>
    </row>
    <row r="2" spans="1:37" x14ac:dyDescent="0.4">
      <c r="A2" s="38" t="s">
        <v>149</v>
      </c>
      <c r="B2" s="153" t="s">
        <v>193</v>
      </c>
      <c r="C2" s="154"/>
      <c r="D2" s="157"/>
      <c r="E2" s="158"/>
      <c r="F2" s="157"/>
      <c r="G2" s="158"/>
      <c r="H2" s="153" t="s">
        <v>193</v>
      </c>
      <c r="I2" s="154"/>
      <c r="J2" s="153" t="s">
        <v>193</v>
      </c>
      <c r="K2" s="154"/>
      <c r="L2" s="153" t="s">
        <v>193</v>
      </c>
      <c r="M2" s="154"/>
      <c r="N2" s="153" t="s">
        <v>193</v>
      </c>
      <c r="O2" s="154"/>
      <c r="P2" s="153" t="s">
        <v>193</v>
      </c>
      <c r="Q2" s="154"/>
      <c r="R2" s="153" t="s">
        <v>193</v>
      </c>
      <c r="S2" s="154"/>
      <c r="T2" s="153" t="s">
        <v>193</v>
      </c>
      <c r="U2" s="154"/>
      <c r="V2" s="153" t="s">
        <v>193</v>
      </c>
      <c r="W2" s="154"/>
      <c r="X2" s="153" t="s">
        <v>193</v>
      </c>
      <c r="Y2" s="154"/>
      <c r="Z2" s="153" t="s">
        <v>193</v>
      </c>
      <c r="AA2" s="154"/>
      <c r="AB2" s="153" t="s">
        <v>193</v>
      </c>
      <c r="AC2" s="154"/>
      <c r="AD2" s="153" t="s">
        <v>193</v>
      </c>
      <c r="AE2" s="154"/>
      <c r="AF2" s="153" t="s">
        <v>193</v>
      </c>
      <c r="AG2" s="154"/>
      <c r="AH2" s="153" t="s">
        <v>193</v>
      </c>
      <c r="AI2" s="154"/>
      <c r="AJ2" s="153" t="s">
        <v>193</v>
      </c>
      <c r="AK2" s="154"/>
    </row>
    <row r="3" spans="1:37" x14ac:dyDescent="0.4">
      <c r="A3" s="40">
        <v>1</v>
      </c>
      <c r="B3" s="43" t="s">
        <v>139</v>
      </c>
      <c r="C3" s="117">
        <v>11</v>
      </c>
      <c r="D3" s="41" t="s">
        <v>126</v>
      </c>
      <c r="E3" s="42">
        <v>127.8</v>
      </c>
      <c r="F3" s="43" t="s">
        <v>199</v>
      </c>
      <c r="G3" s="62">
        <v>21.45</v>
      </c>
      <c r="H3" s="43" t="s">
        <v>199</v>
      </c>
      <c r="I3" s="62">
        <v>7.1499999999999995</v>
      </c>
      <c r="J3" s="43" t="s">
        <v>199</v>
      </c>
      <c r="K3" s="44">
        <v>1</v>
      </c>
      <c r="L3" s="43" t="s">
        <v>199</v>
      </c>
      <c r="M3" s="45">
        <v>1</v>
      </c>
      <c r="N3" s="43" t="s">
        <v>199</v>
      </c>
      <c r="O3" s="45">
        <v>0</v>
      </c>
      <c r="P3" s="43" t="s">
        <v>199</v>
      </c>
      <c r="Q3" s="46">
        <v>0.36842105263157893</v>
      </c>
      <c r="R3" s="43" t="s">
        <v>196</v>
      </c>
      <c r="S3" s="46">
        <v>4.7619047619047616E-2</v>
      </c>
      <c r="T3" s="43" t="s">
        <v>126</v>
      </c>
      <c r="U3" s="47">
        <v>10666.666666666666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202</v>
      </c>
      <c r="AA3" s="46">
        <v>0.4</v>
      </c>
      <c r="AB3" s="43" t="s">
        <v>190</v>
      </c>
      <c r="AC3" s="46">
        <v>0.44444444444444442</v>
      </c>
      <c r="AD3" s="43" t="s">
        <v>199</v>
      </c>
      <c r="AE3" s="46">
        <v>0.6</v>
      </c>
      <c r="AF3" s="43" t="s">
        <v>199</v>
      </c>
      <c r="AG3" s="46">
        <v>0.66666666666666663</v>
      </c>
      <c r="AH3" s="43" t="s">
        <v>126</v>
      </c>
      <c r="AI3" s="46">
        <v>0.66666666666666663</v>
      </c>
      <c r="AJ3" s="43" t="s">
        <v>139</v>
      </c>
      <c r="AK3" s="57">
        <v>80600</v>
      </c>
    </row>
    <row r="4" spans="1:37" x14ac:dyDescent="0.4">
      <c r="A4" s="48">
        <v>2</v>
      </c>
      <c r="B4" s="51" t="s">
        <v>126</v>
      </c>
      <c r="C4" s="118">
        <v>9</v>
      </c>
      <c r="D4" s="49" t="s">
        <v>202</v>
      </c>
      <c r="E4" s="50">
        <v>60</v>
      </c>
      <c r="F4" s="51" t="s">
        <v>202</v>
      </c>
      <c r="G4" s="63">
        <v>15</v>
      </c>
      <c r="H4" s="51" t="s">
        <v>195</v>
      </c>
      <c r="I4" s="63">
        <v>5.4888888888888898</v>
      </c>
      <c r="J4" s="51" t="s">
        <v>126</v>
      </c>
      <c r="K4" s="52">
        <v>1.5555555555555556</v>
      </c>
      <c r="L4" s="51" t="s">
        <v>126</v>
      </c>
      <c r="M4" s="53">
        <v>0.55555555555555558</v>
      </c>
      <c r="N4" s="51" t="s">
        <v>126</v>
      </c>
      <c r="O4" s="53">
        <v>0.1111111111111111</v>
      </c>
      <c r="P4" s="51" t="s">
        <v>202</v>
      </c>
      <c r="Q4" s="54">
        <v>0.34285714285714286</v>
      </c>
      <c r="R4" s="51" t="s">
        <v>199</v>
      </c>
      <c r="S4" s="54">
        <v>5.2631578947368418E-2</v>
      </c>
      <c r="T4" s="51" t="s">
        <v>164</v>
      </c>
      <c r="U4" s="55">
        <v>9300</v>
      </c>
      <c r="V4" s="51" t="s">
        <v>126</v>
      </c>
      <c r="W4" s="55">
        <v>-5377.7777777777774</v>
      </c>
      <c r="X4" s="51" t="s">
        <v>190</v>
      </c>
      <c r="Y4" s="53">
        <v>0</v>
      </c>
      <c r="Z4" s="51" t="s">
        <v>195</v>
      </c>
      <c r="AA4" s="54">
        <v>0.31578947368421051</v>
      </c>
      <c r="AB4" s="51" t="s">
        <v>201</v>
      </c>
      <c r="AC4" s="54">
        <v>0.2857142857142857</v>
      </c>
      <c r="AD4" s="51" t="s">
        <v>196</v>
      </c>
      <c r="AE4" s="54">
        <v>0.5</v>
      </c>
      <c r="AF4" s="51" t="s">
        <v>202</v>
      </c>
      <c r="AG4" s="54">
        <v>0.625</v>
      </c>
      <c r="AH4" s="51" t="s">
        <v>195</v>
      </c>
      <c r="AI4" s="54">
        <v>0.55555555555555558</v>
      </c>
      <c r="AJ4" s="51" t="s">
        <v>195</v>
      </c>
      <c r="AK4" s="58">
        <v>80600</v>
      </c>
    </row>
    <row r="5" spans="1:37" x14ac:dyDescent="0.4">
      <c r="A5" s="48">
        <v>3</v>
      </c>
      <c r="B5" s="51" t="s">
        <v>195</v>
      </c>
      <c r="C5" s="118">
        <v>5</v>
      </c>
      <c r="D5" s="49" t="s">
        <v>199</v>
      </c>
      <c r="E5" s="50">
        <v>42.9</v>
      </c>
      <c r="F5" s="51" t="s">
        <v>126</v>
      </c>
      <c r="G5" s="63">
        <v>14.2</v>
      </c>
      <c r="H5" s="51" t="s">
        <v>202</v>
      </c>
      <c r="I5" s="63">
        <v>4.666666666666667</v>
      </c>
      <c r="J5" s="51" t="s">
        <v>202</v>
      </c>
      <c r="K5" s="52">
        <v>1.75</v>
      </c>
      <c r="L5" s="51" t="s">
        <v>202</v>
      </c>
      <c r="M5" s="53">
        <v>0.5</v>
      </c>
      <c r="N5" s="51" t="s">
        <v>190</v>
      </c>
      <c r="O5" s="53">
        <v>0.25</v>
      </c>
      <c r="P5" s="51" t="s">
        <v>190</v>
      </c>
      <c r="Q5" s="54">
        <v>0.33333333333333331</v>
      </c>
      <c r="R5" s="51" t="s">
        <v>190</v>
      </c>
      <c r="S5" s="54">
        <v>0.1111111111111111</v>
      </c>
      <c r="T5" s="51" t="s">
        <v>139</v>
      </c>
      <c r="U5" s="55">
        <v>8710.6666666666661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164</v>
      </c>
      <c r="AA5" s="54">
        <v>0.29411764705882354</v>
      </c>
      <c r="AB5" s="51" t="s">
        <v>139</v>
      </c>
      <c r="AC5" s="54">
        <v>0.24275362318840579</v>
      </c>
      <c r="AD5" s="51" t="s">
        <v>195</v>
      </c>
      <c r="AE5" s="54">
        <v>0.5</v>
      </c>
      <c r="AF5" s="51" t="s">
        <v>126</v>
      </c>
      <c r="AG5" s="54">
        <v>0.52941176470588236</v>
      </c>
      <c r="AH5" s="51" t="s">
        <v>190</v>
      </c>
      <c r="AI5" s="54">
        <v>0.5</v>
      </c>
      <c r="AJ5" s="51" t="s">
        <v>202</v>
      </c>
      <c r="AK5" s="58">
        <v>74600</v>
      </c>
    </row>
    <row r="6" spans="1:37" x14ac:dyDescent="0.4">
      <c r="A6" s="48">
        <v>4</v>
      </c>
      <c r="B6" s="51" t="s">
        <v>190</v>
      </c>
      <c r="C6" s="118">
        <v>4</v>
      </c>
      <c r="D6" s="49" t="s">
        <v>190</v>
      </c>
      <c r="E6" s="50">
        <v>13.299999999999997</v>
      </c>
      <c r="F6" s="51" t="s">
        <v>190</v>
      </c>
      <c r="G6" s="63">
        <v>3.3249999999999993</v>
      </c>
      <c r="H6" s="51" t="s">
        <v>126</v>
      </c>
      <c r="I6" s="63">
        <v>3.5155555555555562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202</v>
      </c>
      <c r="O6" s="53">
        <v>0.25</v>
      </c>
      <c r="P6" s="51" t="s">
        <v>126</v>
      </c>
      <c r="Q6" s="54">
        <v>0.28000000000000003</v>
      </c>
      <c r="R6" s="51" t="s">
        <v>202</v>
      </c>
      <c r="S6" s="54">
        <v>0.11428571428571428</v>
      </c>
      <c r="T6" s="51" t="s">
        <v>202</v>
      </c>
      <c r="U6" s="55">
        <v>8625</v>
      </c>
      <c r="V6" s="51" t="s">
        <v>202</v>
      </c>
      <c r="W6" s="55">
        <v>-8425</v>
      </c>
      <c r="X6" s="51" t="s">
        <v>199</v>
      </c>
      <c r="Y6" s="53">
        <v>0</v>
      </c>
      <c r="Z6" s="51" t="s">
        <v>190</v>
      </c>
      <c r="AA6" s="54">
        <v>0.27777777777777779</v>
      </c>
      <c r="AB6" s="51" t="s">
        <v>196</v>
      </c>
      <c r="AC6" s="54">
        <v>0.23809523809523808</v>
      </c>
      <c r="AD6" s="51" t="s">
        <v>202</v>
      </c>
      <c r="AE6" s="54">
        <v>0.42857142857142855</v>
      </c>
      <c r="AF6" s="51" t="s">
        <v>164</v>
      </c>
      <c r="AG6" s="54">
        <v>0.5</v>
      </c>
      <c r="AH6" s="51" t="s">
        <v>139</v>
      </c>
      <c r="AI6" s="54">
        <v>0.46666666666666667</v>
      </c>
      <c r="AJ6" s="51" t="s">
        <v>126</v>
      </c>
      <c r="AK6" s="58">
        <v>74000</v>
      </c>
    </row>
    <row r="7" spans="1:37" x14ac:dyDescent="0.4">
      <c r="A7" s="48">
        <v>5</v>
      </c>
      <c r="B7" s="51" t="s">
        <v>202</v>
      </c>
      <c r="C7" s="118">
        <v>4</v>
      </c>
      <c r="D7" s="49" t="s">
        <v>139</v>
      </c>
      <c r="E7" s="50">
        <v>0</v>
      </c>
      <c r="F7" s="51" t="s">
        <v>139</v>
      </c>
      <c r="G7" s="63">
        <v>0</v>
      </c>
      <c r="H7" s="51" t="s">
        <v>139</v>
      </c>
      <c r="I7" s="63">
        <v>0</v>
      </c>
      <c r="J7" s="51" t="s">
        <v>190</v>
      </c>
      <c r="K7" s="52">
        <v>2.25</v>
      </c>
      <c r="L7" s="51" t="s">
        <v>201</v>
      </c>
      <c r="M7" s="53">
        <v>0.25</v>
      </c>
      <c r="N7" s="51" t="s">
        <v>139</v>
      </c>
      <c r="O7" s="53">
        <v>0.33333333333333331</v>
      </c>
      <c r="P7" s="51" t="s">
        <v>139</v>
      </c>
      <c r="Q7" s="54">
        <v>0.27173913043478259</v>
      </c>
      <c r="R7" s="51" t="s">
        <v>126</v>
      </c>
      <c r="S7" s="54">
        <v>0.12</v>
      </c>
      <c r="T7" s="51" t="s">
        <v>195</v>
      </c>
      <c r="U7" s="55">
        <v>8533.3333333333339</v>
      </c>
      <c r="V7" s="51" t="s">
        <v>195</v>
      </c>
      <c r="W7" s="55">
        <v>-8810</v>
      </c>
      <c r="X7" s="51" t="s">
        <v>202</v>
      </c>
      <c r="Y7" s="53">
        <v>0</v>
      </c>
      <c r="Z7" s="51" t="s">
        <v>139</v>
      </c>
      <c r="AA7" s="54">
        <v>0.26811594202898553</v>
      </c>
      <c r="AB7" s="51" t="s">
        <v>202</v>
      </c>
      <c r="AC7" s="54">
        <v>0.22857142857142856</v>
      </c>
      <c r="AD7" s="51" t="s">
        <v>139</v>
      </c>
      <c r="AE7" s="54">
        <v>0.40540540540540543</v>
      </c>
      <c r="AF7" s="51" t="s">
        <v>195</v>
      </c>
      <c r="AG7" s="54">
        <v>0.5</v>
      </c>
      <c r="AH7" s="51" t="s">
        <v>199</v>
      </c>
      <c r="AI7" s="54">
        <v>0.42857142857142855</v>
      </c>
      <c r="AJ7" s="51" t="s">
        <v>190</v>
      </c>
      <c r="AK7" s="58">
        <v>61300</v>
      </c>
    </row>
    <row r="8" spans="1:37" x14ac:dyDescent="0.4">
      <c r="A8" s="48">
        <v>6</v>
      </c>
      <c r="B8" s="51" t="s">
        <v>201</v>
      </c>
      <c r="C8" s="118">
        <v>4</v>
      </c>
      <c r="D8" s="49" t="s">
        <v>196</v>
      </c>
      <c r="E8" s="50">
        <v>-40.4</v>
      </c>
      <c r="F8" s="51" t="s">
        <v>195</v>
      </c>
      <c r="G8" s="63">
        <v>-10.6</v>
      </c>
      <c r="H8" s="51" t="s">
        <v>190</v>
      </c>
      <c r="I8" s="63">
        <v>-3.6555555555555563</v>
      </c>
      <c r="J8" s="51" t="s">
        <v>201</v>
      </c>
      <c r="K8" s="52">
        <v>2.25</v>
      </c>
      <c r="L8" s="51" t="s">
        <v>195</v>
      </c>
      <c r="M8" s="53">
        <v>0.2</v>
      </c>
      <c r="N8" s="51" t="s">
        <v>196</v>
      </c>
      <c r="O8" s="53">
        <v>0.33333333333333331</v>
      </c>
      <c r="P8" s="51" t="s">
        <v>195</v>
      </c>
      <c r="Q8" s="54">
        <v>0.23684210526315788</v>
      </c>
      <c r="R8" s="51" t="s">
        <v>139</v>
      </c>
      <c r="S8" s="54">
        <v>0.14492753623188406</v>
      </c>
      <c r="T8" s="51" t="s">
        <v>201</v>
      </c>
      <c r="U8" s="55">
        <v>8212.5</v>
      </c>
      <c r="V8" s="51" t="s">
        <v>139</v>
      </c>
      <c r="W8" s="55">
        <v>-8977.5</v>
      </c>
      <c r="X8" s="51" t="s">
        <v>201</v>
      </c>
      <c r="Y8" s="53">
        <v>0</v>
      </c>
      <c r="Z8" s="51" t="s">
        <v>199</v>
      </c>
      <c r="AA8" s="54">
        <v>0.26315789473684209</v>
      </c>
      <c r="AB8" s="51" t="s">
        <v>126</v>
      </c>
      <c r="AC8" s="54">
        <v>0.22666666666666666</v>
      </c>
      <c r="AD8" s="51" t="s">
        <v>164</v>
      </c>
      <c r="AE8" s="54">
        <v>0.4</v>
      </c>
      <c r="AF8" s="51" t="s">
        <v>139</v>
      </c>
      <c r="AG8" s="54">
        <v>0.47761194029850745</v>
      </c>
      <c r="AH8" s="51" t="s">
        <v>164</v>
      </c>
      <c r="AI8" s="54">
        <v>0.33333333333333331</v>
      </c>
      <c r="AJ8" s="51" t="s">
        <v>199</v>
      </c>
      <c r="AK8" s="58">
        <v>56300</v>
      </c>
    </row>
    <row r="9" spans="1:37" x14ac:dyDescent="0.4">
      <c r="A9" s="48">
        <v>7</v>
      </c>
      <c r="B9" s="51" t="s">
        <v>196</v>
      </c>
      <c r="C9" s="118">
        <v>3</v>
      </c>
      <c r="D9" s="49" t="s">
        <v>201</v>
      </c>
      <c r="E9" s="50">
        <v>-51.699999999999996</v>
      </c>
      <c r="F9" s="51" t="s">
        <v>201</v>
      </c>
      <c r="G9" s="63">
        <v>-12.924999999999999</v>
      </c>
      <c r="H9" s="51" t="s">
        <v>201</v>
      </c>
      <c r="I9" s="63">
        <v>-4.7666666666666657</v>
      </c>
      <c r="J9" s="51" t="s">
        <v>196</v>
      </c>
      <c r="K9" s="52">
        <v>2.3333333333333335</v>
      </c>
      <c r="L9" s="51" t="s">
        <v>164</v>
      </c>
      <c r="M9" s="53">
        <v>0</v>
      </c>
      <c r="N9" s="51" t="s">
        <v>201</v>
      </c>
      <c r="O9" s="53">
        <v>0.5</v>
      </c>
      <c r="P9" s="51" t="s">
        <v>201</v>
      </c>
      <c r="Q9" s="54">
        <v>0.22857142857142856</v>
      </c>
      <c r="R9" s="51" t="s">
        <v>164</v>
      </c>
      <c r="S9" s="54">
        <v>0.17647058823529413</v>
      </c>
      <c r="T9" s="51" t="s">
        <v>190</v>
      </c>
      <c r="U9" s="55">
        <v>7983.333333333333</v>
      </c>
      <c r="V9" s="51" t="s">
        <v>201</v>
      </c>
      <c r="W9" s="55">
        <v>-9387.5</v>
      </c>
      <c r="X9" s="51" t="s">
        <v>139</v>
      </c>
      <c r="Y9" s="53">
        <v>6.0606060606060608E-2</v>
      </c>
      <c r="Z9" s="51" t="s">
        <v>201</v>
      </c>
      <c r="AA9" s="54">
        <v>0.25714285714285712</v>
      </c>
      <c r="AB9" s="51" t="s">
        <v>195</v>
      </c>
      <c r="AC9" s="54">
        <v>0.15789473684210525</v>
      </c>
      <c r="AD9" s="51" t="s">
        <v>190</v>
      </c>
      <c r="AE9" s="54">
        <v>0.4</v>
      </c>
      <c r="AF9" s="51" t="s">
        <v>190</v>
      </c>
      <c r="AG9" s="54">
        <v>0.4375</v>
      </c>
      <c r="AH9" s="51" t="s">
        <v>202</v>
      </c>
      <c r="AI9" s="54">
        <v>0.33333333333333331</v>
      </c>
      <c r="AJ9" s="51" t="s">
        <v>201</v>
      </c>
      <c r="AK9" s="58">
        <v>45000</v>
      </c>
    </row>
    <row r="10" spans="1:37" x14ac:dyDescent="0.4">
      <c r="A10" s="48">
        <v>8</v>
      </c>
      <c r="B10" s="51" t="s">
        <v>164</v>
      </c>
      <c r="C10" s="118">
        <v>2</v>
      </c>
      <c r="D10" s="49" t="s">
        <v>195</v>
      </c>
      <c r="E10" s="50">
        <v>-53</v>
      </c>
      <c r="F10" s="51" t="s">
        <v>196</v>
      </c>
      <c r="G10" s="63">
        <v>-13.466666666666667</v>
      </c>
      <c r="H10" s="51" t="s">
        <v>196</v>
      </c>
      <c r="I10" s="63">
        <v>-12.333333333333334</v>
      </c>
      <c r="J10" s="51" t="s">
        <v>195</v>
      </c>
      <c r="K10" s="52">
        <v>2.4</v>
      </c>
      <c r="L10" s="51" t="s">
        <v>190</v>
      </c>
      <c r="M10" s="53">
        <v>0</v>
      </c>
      <c r="N10" s="51" t="s">
        <v>195</v>
      </c>
      <c r="O10" s="53">
        <v>0.6</v>
      </c>
      <c r="P10" s="51" t="s">
        <v>164</v>
      </c>
      <c r="Q10" s="54">
        <v>0.17647058823529413</v>
      </c>
      <c r="R10" s="51" t="s">
        <v>201</v>
      </c>
      <c r="S10" s="54">
        <v>0.22857142857142856</v>
      </c>
      <c r="T10" s="51" t="s">
        <v>199</v>
      </c>
      <c r="U10" s="55">
        <v>6028.5714285714284</v>
      </c>
      <c r="V10" s="51" t="s">
        <v>199</v>
      </c>
      <c r="W10" s="55">
        <v>-12000</v>
      </c>
      <c r="X10" s="51" t="s">
        <v>195</v>
      </c>
      <c r="Y10" s="53">
        <v>0.2</v>
      </c>
      <c r="Z10" s="51" t="s">
        <v>126</v>
      </c>
      <c r="AA10" s="54">
        <v>0.22666666666666666</v>
      </c>
      <c r="AB10" s="51" t="s">
        <v>199</v>
      </c>
      <c r="AC10" s="54">
        <v>0.15789473684210525</v>
      </c>
      <c r="AD10" s="51" t="s">
        <v>126</v>
      </c>
      <c r="AE10" s="54">
        <v>0.35294117647058826</v>
      </c>
      <c r="AF10" s="51" t="s">
        <v>201</v>
      </c>
      <c r="AG10" s="54">
        <v>0.4</v>
      </c>
      <c r="AH10" s="51" t="s">
        <v>201</v>
      </c>
      <c r="AI10" s="54">
        <v>0.25</v>
      </c>
      <c r="AJ10" s="51" t="s">
        <v>196</v>
      </c>
      <c r="AK10" s="58">
        <v>31700</v>
      </c>
    </row>
    <row r="11" spans="1:37" x14ac:dyDescent="0.4">
      <c r="A11" s="48">
        <v>9</v>
      </c>
      <c r="B11" s="51" t="s">
        <v>199</v>
      </c>
      <c r="C11" s="118">
        <v>2</v>
      </c>
      <c r="D11" s="49" t="s">
        <v>164</v>
      </c>
      <c r="E11" s="50">
        <v>-98.9</v>
      </c>
      <c r="F11" s="51" t="s">
        <v>164</v>
      </c>
      <c r="G11" s="63">
        <v>-49.45</v>
      </c>
      <c r="H11" s="51" t="s">
        <v>164</v>
      </c>
      <c r="I11" s="63">
        <v>-16.483333333333334</v>
      </c>
      <c r="J11" s="51" t="s">
        <v>164</v>
      </c>
      <c r="K11" s="52">
        <v>3</v>
      </c>
      <c r="L11" s="51" t="s">
        <v>196</v>
      </c>
      <c r="M11" s="53">
        <v>0</v>
      </c>
      <c r="N11" s="51" t="s">
        <v>164</v>
      </c>
      <c r="O11" s="53">
        <v>1</v>
      </c>
      <c r="P11" s="51" t="s">
        <v>196</v>
      </c>
      <c r="Q11" s="54">
        <v>0.14285714285714285</v>
      </c>
      <c r="R11" s="51" t="s">
        <v>195</v>
      </c>
      <c r="S11" s="54">
        <v>0.26315789473684209</v>
      </c>
      <c r="T11" s="51" t="s">
        <v>196</v>
      </c>
      <c r="U11" s="55">
        <v>5800</v>
      </c>
      <c r="V11" s="51" t="s">
        <v>164</v>
      </c>
      <c r="W11" s="55">
        <v>-23866.666666666668</v>
      </c>
      <c r="X11" s="51" t="s">
        <v>164</v>
      </c>
      <c r="Y11" s="53">
        <v>0.5</v>
      </c>
      <c r="Z11" s="51" t="s">
        <v>196</v>
      </c>
      <c r="AA11" s="54">
        <v>9.5238095238095233E-2</v>
      </c>
      <c r="AB11" s="51" t="s">
        <v>164</v>
      </c>
      <c r="AC11" s="54">
        <v>0.11764705882352941</v>
      </c>
      <c r="AD11" s="51" t="s">
        <v>201</v>
      </c>
      <c r="AE11" s="54">
        <v>0.22222222222222221</v>
      </c>
      <c r="AF11" s="51" t="s">
        <v>196</v>
      </c>
      <c r="AG11" s="54">
        <v>0.2</v>
      </c>
      <c r="AH11" s="51" t="s">
        <v>196</v>
      </c>
      <c r="AI11" s="54">
        <v>0</v>
      </c>
      <c r="AJ11" s="51" t="s">
        <v>164</v>
      </c>
      <c r="AK11" s="58">
        <v>14000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139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33</v>
      </c>
      <c r="C2" s="144"/>
      <c r="E2" s="28" t="s">
        <v>72</v>
      </c>
      <c r="F2" s="25" t="s">
        <v>27</v>
      </c>
      <c r="G2" s="13">
        <v>57</v>
      </c>
      <c r="H2" s="91">
        <f>IF(B$19=0,0,G2/B$19)</f>
        <v>0.76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-90.909090909090907</v>
      </c>
      <c r="P2" s="80">
        <v>33</v>
      </c>
      <c r="Q2" s="67">
        <v>-3000</v>
      </c>
    </row>
    <row r="3" spans="1:17" x14ac:dyDescent="0.4">
      <c r="A3" s="21" t="s">
        <v>8</v>
      </c>
      <c r="B3" s="145">
        <v>276</v>
      </c>
      <c r="C3" s="146"/>
      <c r="E3" s="29" t="s">
        <v>66</v>
      </c>
      <c r="F3" s="26" t="s">
        <v>22</v>
      </c>
      <c r="G3" s="14">
        <v>46</v>
      </c>
      <c r="H3" s="92">
        <f>IF(B$19=0,0,G3/B$19)</f>
        <v>0.61333333333333329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90.909090909090907</v>
      </c>
      <c r="P3" s="81">
        <v>33</v>
      </c>
      <c r="Q3" s="68">
        <v>3000</v>
      </c>
    </row>
    <row r="4" spans="1:17" x14ac:dyDescent="0.4">
      <c r="A4" s="21" t="s">
        <v>6</v>
      </c>
      <c r="B4" s="147">
        <v>0</v>
      </c>
      <c r="C4" s="148"/>
      <c r="E4" s="29" t="s">
        <v>160</v>
      </c>
      <c r="F4" s="26" t="s">
        <v>161</v>
      </c>
      <c r="G4" s="14">
        <v>33</v>
      </c>
      <c r="H4" s="92">
        <f>IF(B$19=0,0,G4/B$19)</f>
        <v>0.44</v>
      </c>
      <c r="I4" s="60">
        <v>3</v>
      </c>
      <c r="K4" s="7">
        <v>2</v>
      </c>
      <c r="L4" s="65">
        <v>-10.100000000000001</v>
      </c>
      <c r="N4" s="78" t="s">
        <v>130</v>
      </c>
      <c r="O4" s="84">
        <f t="shared" si="0"/>
        <v>-30.303030303030305</v>
      </c>
      <c r="P4" s="81">
        <v>33</v>
      </c>
      <c r="Q4" s="68">
        <v>-1000</v>
      </c>
    </row>
    <row r="5" spans="1:17" x14ac:dyDescent="0.4">
      <c r="A5" s="21" t="s">
        <v>7</v>
      </c>
      <c r="B5" s="135">
        <f>IF(B$2=0,0,B$4/B$2)</f>
        <v>0</v>
      </c>
      <c r="C5" s="136"/>
      <c r="E5" s="29" t="s">
        <v>64</v>
      </c>
      <c r="F5" s="26" t="s">
        <v>20</v>
      </c>
      <c r="G5" s="14">
        <v>29</v>
      </c>
      <c r="H5" s="92">
        <f>IF(B$19=0,0,G5/B$19)</f>
        <v>0.38666666666666666</v>
      </c>
      <c r="I5" s="60">
        <v>5</v>
      </c>
      <c r="K5" s="7">
        <v>3</v>
      </c>
      <c r="L5" s="65">
        <v>-1.7763568394002505E-15</v>
      </c>
      <c r="N5" s="78" t="s">
        <v>131</v>
      </c>
      <c r="O5" s="84">
        <f t="shared" si="0"/>
        <v>37.037037037037038</v>
      </c>
      <c r="P5" s="81">
        <v>27</v>
      </c>
      <c r="Q5" s="68">
        <v>1000</v>
      </c>
    </row>
    <row r="6" spans="1:17" x14ac:dyDescent="0.4">
      <c r="A6" s="21" t="s">
        <v>1</v>
      </c>
      <c r="B6" s="149">
        <f>IF(B$2=0,0,(B$7*1+B$8*2+B$9*3)/B$2)</f>
        <v>2</v>
      </c>
      <c r="C6" s="150"/>
      <c r="E6" s="29" t="s">
        <v>67</v>
      </c>
      <c r="F6" s="26" t="s">
        <v>23</v>
      </c>
      <c r="G6" s="14">
        <v>20</v>
      </c>
      <c r="H6" s="92">
        <f>IF(B$19=0,0,G6/B$19)</f>
        <v>0.26666666666666666</v>
      </c>
      <c r="I6" s="60">
        <v>5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27</v>
      </c>
      <c r="Q6" s="68">
        <v>0</v>
      </c>
    </row>
    <row r="7" spans="1:17" x14ac:dyDescent="0.4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18</v>
      </c>
      <c r="H7" s="92">
        <f>IF(B$19=0,0,G7/B$19)</f>
        <v>0.24</v>
      </c>
      <c r="I7" s="60">
        <v>4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24</v>
      </c>
      <c r="Q7" s="69">
        <v>0</v>
      </c>
    </row>
    <row r="8" spans="1:17" x14ac:dyDescent="0.4">
      <c r="A8" s="21" t="s">
        <v>3</v>
      </c>
      <c r="B8" s="14">
        <v>11</v>
      </c>
      <c r="C8" s="8">
        <f t="shared" si="1"/>
        <v>0.33333333333333331</v>
      </c>
      <c r="E8" s="29" t="s">
        <v>89</v>
      </c>
      <c r="F8" s="26" t="s">
        <v>44</v>
      </c>
      <c r="G8" s="14">
        <v>15</v>
      </c>
      <c r="H8" s="92">
        <f>IF(B$19=0,0,G8/B$19)</f>
        <v>0.2</v>
      </c>
      <c r="I8" s="60">
        <v>4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11</v>
      </c>
      <c r="C9" s="9">
        <f t="shared" si="1"/>
        <v>0.33333333333333331</v>
      </c>
      <c r="E9" s="29" t="s">
        <v>70</v>
      </c>
      <c r="F9" s="26" t="s">
        <v>25</v>
      </c>
      <c r="G9" s="14">
        <v>8</v>
      </c>
      <c r="H9" s="92">
        <f>IF(B$19=0,0,G9/B$19)</f>
        <v>0.10666666666666667</v>
      </c>
      <c r="I9" s="60">
        <v>4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35.718181818181819</v>
      </c>
      <c r="C10" s="114">
        <v>392.9</v>
      </c>
      <c r="E10" s="29" t="s">
        <v>83</v>
      </c>
      <c r="F10" s="26" t="s">
        <v>38</v>
      </c>
      <c r="G10" s="14">
        <v>7</v>
      </c>
      <c r="H10" s="92">
        <f>IF(B$19=0,0,G10/B$19)</f>
        <v>9.3333333333333338E-2</v>
      </c>
      <c r="I10" s="60">
        <v>5</v>
      </c>
      <c r="K10" s="7">
        <v>8</v>
      </c>
      <c r="L10" s="65">
        <v>21.999999999999993</v>
      </c>
      <c r="N10" s="77" t="s">
        <v>152</v>
      </c>
      <c r="O10" s="86">
        <f>IF(P10=0,0,Q10/P10)</f>
        <v>4.663636363636364</v>
      </c>
      <c r="P10" s="80">
        <v>11</v>
      </c>
      <c r="Q10" s="71">
        <v>51.300000000000004</v>
      </c>
    </row>
    <row r="11" spans="1:17" x14ac:dyDescent="0.4">
      <c r="A11" s="22" t="s">
        <v>186</v>
      </c>
      <c r="B11" s="113">
        <f>IF(B8=0,0,C11/B8)</f>
        <v>-0.60909090909090935</v>
      </c>
      <c r="C11" s="114">
        <v>-6.7000000000000028</v>
      </c>
      <c r="E11" s="29" t="s">
        <v>65</v>
      </c>
      <c r="F11" s="26" t="s">
        <v>21</v>
      </c>
      <c r="G11" s="14">
        <v>6</v>
      </c>
      <c r="H11" s="92">
        <f>IF(B$19=0,0,G11/B$19)</f>
        <v>0.08</v>
      </c>
      <c r="I11" s="60">
        <v>4</v>
      </c>
      <c r="K11" s="7">
        <v>9</v>
      </c>
      <c r="L11" s="65">
        <v>-7.1054273576010019E-15</v>
      </c>
      <c r="N11" s="78" t="s">
        <v>153</v>
      </c>
      <c r="O11" s="87">
        <f>IF(P11=0,0,Q11/P11)</f>
        <v>-7.1909090909090914</v>
      </c>
      <c r="P11" s="81">
        <v>11</v>
      </c>
      <c r="Q11" s="72">
        <v>-79.100000000000009</v>
      </c>
    </row>
    <row r="12" spans="1:17" x14ac:dyDescent="0.4">
      <c r="A12" s="22" t="s">
        <v>187</v>
      </c>
      <c r="B12" s="113">
        <f>IF(B9=0,0,C12/B9)</f>
        <v>-35.109090909090909</v>
      </c>
      <c r="C12" s="114">
        <v>-386.2</v>
      </c>
      <c r="E12" s="29" t="s">
        <v>69</v>
      </c>
      <c r="F12" s="26" t="s">
        <v>24</v>
      </c>
      <c r="G12" s="14">
        <v>6</v>
      </c>
      <c r="H12" s="92">
        <f>IF(B$19=0,0,G12/B$19)</f>
        <v>0.08</v>
      </c>
      <c r="I12" s="60">
        <v>5</v>
      </c>
      <c r="K12" s="7">
        <v>10</v>
      </c>
      <c r="L12" s="65">
        <v>-30.700000000000006</v>
      </c>
      <c r="N12" s="79" t="s">
        <v>154</v>
      </c>
      <c r="O12" s="88">
        <f>IF(P12=0,0,Q12/P12)</f>
        <v>2.5272727272727269</v>
      </c>
      <c r="P12" s="82">
        <v>11</v>
      </c>
      <c r="Q12" s="73">
        <v>27.799999999999997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81</v>
      </c>
      <c r="F13" s="26" t="s">
        <v>36</v>
      </c>
      <c r="G13" s="14">
        <v>6</v>
      </c>
      <c r="H13" s="92">
        <f>IF(B$19=0,0,G13/B$19)</f>
        <v>0.08</v>
      </c>
      <c r="I13" s="60">
        <v>5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</v>
      </c>
      <c r="C14" s="11">
        <f t="shared" si="1"/>
        <v>6.0606060606060608E-2</v>
      </c>
      <c r="E14" s="29" t="s">
        <v>86</v>
      </c>
      <c r="F14" s="26" t="s">
        <v>41</v>
      </c>
      <c r="G14" s="14">
        <v>6</v>
      </c>
      <c r="H14" s="92">
        <f>IF(B$19=0,0,G14/B$19)</f>
        <v>0.08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74</v>
      </c>
      <c r="C15" s="12">
        <f>IF(B$3=0,0,B15/B$3)</f>
        <v>0.26811594202898553</v>
      </c>
      <c r="E15" s="29" t="s">
        <v>71</v>
      </c>
      <c r="F15" s="26" t="s">
        <v>26</v>
      </c>
      <c r="G15" s="14">
        <v>1</v>
      </c>
      <c r="H15" s="92">
        <f>IF(B$19=0,0,G15/B$19)</f>
        <v>1.3333333333333334E-2</v>
      </c>
      <c r="I15" s="60">
        <v>2</v>
      </c>
      <c r="K15" s="7">
        <v>13</v>
      </c>
      <c r="L15" s="65">
        <v>48.999999999999993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">
      <c r="A16" s="21" t="s">
        <v>118</v>
      </c>
      <c r="B16" s="14">
        <v>67</v>
      </c>
      <c r="C16" s="8">
        <f>IF(B$3=0,0,B16/B$3)</f>
        <v>0.24275362318840579</v>
      </c>
      <c r="E16" s="29" t="s">
        <v>73</v>
      </c>
      <c r="F16" s="26" t="s">
        <v>28</v>
      </c>
      <c r="G16" s="14">
        <v>1</v>
      </c>
      <c r="H16" s="92">
        <f>IF(B$19=0,0,G16/B$19)</f>
        <v>1.3333333333333334E-2</v>
      </c>
      <c r="I16" s="60">
        <v>2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">
      <c r="A17" s="20" t="s">
        <v>123</v>
      </c>
      <c r="B17" s="13">
        <f>B23</f>
        <v>30</v>
      </c>
      <c r="C17" s="6">
        <f>IF(B$15=0,0,B17/B$15)</f>
        <v>0.40540540540540543</v>
      </c>
      <c r="E17" s="29" t="s">
        <v>77</v>
      </c>
      <c r="F17" s="26" t="s">
        <v>32</v>
      </c>
      <c r="G17" s="14">
        <v>1</v>
      </c>
      <c r="H17" s="92">
        <f>IF(B$19=0,0,G17/B$19)</f>
        <v>1.3333333333333334E-2</v>
      </c>
      <c r="I17" s="60">
        <v>2</v>
      </c>
      <c r="K17" s="7">
        <v>15</v>
      </c>
      <c r="L17" s="65">
        <v>-7.1054273576010019E-15</v>
      </c>
      <c r="N17" s="78" t="s">
        <v>201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">
      <c r="A18" s="20" t="s">
        <v>124</v>
      </c>
      <c r="B18" s="13">
        <f>B24</f>
        <v>32</v>
      </c>
      <c r="C18" s="6">
        <f>IF(B$16=0,0,B18/B$16)</f>
        <v>0.47761194029850745</v>
      </c>
      <c r="E18" s="29" t="s">
        <v>78</v>
      </c>
      <c r="F18" s="26" t="s">
        <v>33</v>
      </c>
      <c r="G18" s="14">
        <v>1</v>
      </c>
      <c r="H18" s="92">
        <f>IF(B$19=0,0,G18/B$19)</f>
        <v>1.3333333333333334E-2</v>
      </c>
      <c r="I18" s="60">
        <v>2</v>
      </c>
      <c r="K18" s="7">
        <v>16</v>
      </c>
      <c r="L18" s="65">
        <v>-11.600000000000007</v>
      </c>
      <c r="N18" s="78" t="s">
        <v>195</v>
      </c>
      <c r="O18" s="87">
        <f>IF(P18=0,0,Q18/P18)</f>
        <v>15.899999999999997</v>
      </c>
      <c r="P18" s="81">
        <v>10</v>
      </c>
      <c r="Q18" s="72">
        <v>158.99999999999997</v>
      </c>
    </row>
    <row r="19" spans="1:17" x14ac:dyDescent="0.4">
      <c r="A19" s="20" t="s">
        <v>10</v>
      </c>
      <c r="B19" s="13">
        <f>B22+B21</f>
        <v>75</v>
      </c>
      <c r="C19" s="6">
        <f>IF(B$3=0,0,B19/B$3)</f>
        <v>0.27173913043478259</v>
      </c>
      <c r="E19" s="29" t="s">
        <v>79</v>
      </c>
      <c r="F19" s="26" t="s">
        <v>34</v>
      </c>
      <c r="G19" s="14">
        <v>1</v>
      </c>
      <c r="H19" s="92">
        <f>IF(B$19=0,0,G19/B$19)</f>
        <v>1.3333333333333334E-2</v>
      </c>
      <c r="I19" s="60">
        <v>2</v>
      </c>
      <c r="K19" s="7">
        <v>17</v>
      </c>
      <c r="L19" s="65">
        <v>-7.1054273576010019E-15</v>
      </c>
      <c r="N19" s="78" t="s">
        <v>190</v>
      </c>
      <c r="O19" s="87">
        <f>IF(P19=0,0,Q19/P19)</f>
        <v>-13.74375</v>
      </c>
      <c r="P19" s="81">
        <v>16</v>
      </c>
      <c r="Q19" s="72">
        <v>-219.9</v>
      </c>
    </row>
    <row r="20" spans="1:17" x14ac:dyDescent="0.4">
      <c r="A20" s="21" t="s">
        <v>13</v>
      </c>
      <c r="B20" s="14">
        <v>40</v>
      </c>
      <c r="C20" s="8">
        <f>IF(B$3=0,0,B20/B$3)</f>
        <v>0.14492753623188406</v>
      </c>
      <c r="E20" s="29" t="s">
        <v>85</v>
      </c>
      <c r="F20" s="26" t="s">
        <v>40</v>
      </c>
      <c r="G20" s="14">
        <v>1</v>
      </c>
      <c r="H20" s="92">
        <f>IF(B$19=0,0,G20/B$19)</f>
        <v>1.3333333333333334E-2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-21.299999999999994</v>
      </c>
      <c r="P20" s="81">
        <v>18</v>
      </c>
      <c r="Q20" s="72">
        <v>-383.39999999999986</v>
      </c>
    </row>
    <row r="21" spans="1:17" x14ac:dyDescent="0.4">
      <c r="A21" s="21" t="s">
        <v>12</v>
      </c>
      <c r="B21" s="14">
        <v>35</v>
      </c>
      <c r="C21" s="8">
        <f>IF(B$19=0,0,B21/B$19)</f>
        <v>0.46666666666666667</v>
      </c>
      <c r="E21" s="29" t="s">
        <v>92</v>
      </c>
      <c r="F21" s="26" t="s">
        <v>47</v>
      </c>
      <c r="G21" s="14">
        <v>1</v>
      </c>
      <c r="H21" s="92">
        <f>IF(B$19=0,0,G21/B$19)</f>
        <v>1.3333333333333334E-2</v>
      </c>
      <c r="I21" s="60">
        <v>2</v>
      </c>
      <c r="K21" s="7">
        <v>19</v>
      </c>
      <c r="L21" s="65">
        <v>-23.100000000000009</v>
      </c>
      <c r="N21" s="78" t="s">
        <v>199</v>
      </c>
      <c r="O21" s="87">
        <f>IF(P21=0,0,Q21/P21)</f>
        <v>-32.175000000000004</v>
      </c>
      <c r="P21" s="81">
        <v>4</v>
      </c>
      <c r="Q21" s="72">
        <v>-128.70000000000002</v>
      </c>
    </row>
    <row r="22" spans="1:17" x14ac:dyDescent="0.4">
      <c r="A22" s="21" t="s">
        <v>11</v>
      </c>
      <c r="B22" s="14">
        <v>40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-31.300000000000008</v>
      </c>
    </row>
    <row r="23" spans="1:17" x14ac:dyDescent="0.4">
      <c r="A23" s="21" t="s">
        <v>184</v>
      </c>
      <c r="B23" s="14">
        <v>30</v>
      </c>
      <c r="C23" s="8">
        <f>IF(B$19=0,0,B23/B$19)</f>
        <v>0.4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">
      <c r="A24" s="21" t="s">
        <v>182</v>
      </c>
      <c r="B24" s="14">
        <v>32</v>
      </c>
      <c r="C24" s="8">
        <f>IF(B$19=0,0,B24/B$19)</f>
        <v>0.42666666666666669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">
      <c r="A25" s="21" t="s">
        <v>183</v>
      </c>
      <c r="B25" s="14">
        <v>13</v>
      </c>
      <c r="C25" s="8">
        <f>IF(B$19=0,0,B25/B$19)</f>
        <v>0.17333333333333334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">
      <c r="A26" s="21" t="s">
        <v>5</v>
      </c>
      <c r="B26" s="18">
        <f>IF(B$19=0,0,C26/B$19)</f>
        <v>8710.6666666666661</v>
      </c>
      <c r="C26" s="10">
        <v>653300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10076.744186046511</v>
      </c>
      <c r="C27" s="100">
        <v>433300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">
      <c r="A28" s="22" t="s">
        <v>167</v>
      </c>
      <c r="B28" s="99">
        <f>IF(B$18=0,0,C28/B$18)</f>
        <v>6875</v>
      </c>
      <c r="C28" s="100">
        <v>220000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">
      <c r="A29" s="22" t="s">
        <v>165</v>
      </c>
      <c r="B29" s="99">
        <f>IF(B$20=0,0,C29/B$20)</f>
        <v>-8977.5</v>
      </c>
      <c r="C29" s="100">
        <v>-359100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">
      <c r="A31" s="21" t="s">
        <v>159</v>
      </c>
      <c r="B31" s="14">
        <v>17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">
      <c r="A34" s="23" t="s">
        <v>137</v>
      </c>
      <c r="B34" s="31">
        <v>1</v>
      </c>
      <c r="C34" s="11">
        <f>IF(B$3=0,0,B34/B$3)</f>
        <v>3.6231884057971015E-3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">
      <c r="A36" s="56" t="s">
        <v>172</v>
      </c>
      <c r="B36" s="121">
        <v>5</v>
      </c>
      <c r="C36" s="102">
        <f t="shared" ref="C36:C48" si="2">IF(B$19=0,0,B36/B$19)</f>
        <v>6.6666666666666666E-2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12" x14ac:dyDescent="0.4">
      <c r="A37" s="21" t="s">
        <v>168</v>
      </c>
      <c r="B37" s="14">
        <v>20</v>
      </c>
      <c r="C37" s="8">
        <f t="shared" si="2"/>
        <v>0.26666666666666666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">
      <c r="A38" s="21" t="s">
        <v>169</v>
      </c>
      <c r="B38" s="122">
        <v>7</v>
      </c>
      <c r="C38" s="8">
        <f t="shared" si="2"/>
        <v>9.3333333333333338E-2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11</v>
      </c>
      <c r="C39" s="8">
        <f t="shared" si="2"/>
        <v>0.14666666666666667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7</v>
      </c>
      <c r="C40" s="8">
        <f t="shared" si="2"/>
        <v>9.3333333333333338E-2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13</v>
      </c>
      <c r="C41" s="8">
        <f t="shared" si="2"/>
        <v>0.17333333333333334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12" x14ac:dyDescent="0.4">
      <c r="A42" s="21" t="s">
        <v>174</v>
      </c>
      <c r="B42" s="122">
        <v>7</v>
      </c>
      <c r="C42" s="8">
        <f t="shared" si="2"/>
        <v>9.3333333333333338E-2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3</v>
      </c>
      <c r="C43" s="8">
        <f t="shared" si="2"/>
        <v>0.04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">
      <c r="A46" s="21" t="s">
        <v>178</v>
      </c>
      <c r="B46" s="122">
        <v>1</v>
      </c>
      <c r="C46" s="8">
        <f t="shared" si="2"/>
        <v>1.3333333333333334E-2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1.3333333333333334E-2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126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9</v>
      </c>
      <c r="C2" s="144"/>
      <c r="E2" s="28" t="s">
        <v>72</v>
      </c>
      <c r="F2" s="25" t="s">
        <v>27</v>
      </c>
      <c r="G2" s="13">
        <v>18</v>
      </c>
      <c r="H2" s="91">
        <f>IF(B$19=0,0,G2/B$19)</f>
        <v>0.8571428571428571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1677.7777777777778</v>
      </c>
      <c r="P2" s="80">
        <v>9</v>
      </c>
      <c r="Q2" s="67">
        <v>15100</v>
      </c>
    </row>
    <row r="3" spans="1:17" x14ac:dyDescent="0.4">
      <c r="A3" s="21" t="s">
        <v>8</v>
      </c>
      <c r="B3" s="145">
        <v>75</v>
      </c>
      <c r="C3" s="146"/>
      <c r="E3" s="29" t="s">
        <v>66</v>
      </c>
      <c r="F3" s="26" t="s">
        <v>22</v>
      </c>
      <c r="G3" s="14">
        <v>12</v>
      </c>
      <c r="H3" s="92">
        <f>IF(B$19=0,0,G3/B$19)</f>
        <v>0.5714285714285714</v>
      </c>
      <c r="I3" s="60">
        <v>6</v>
      </c>
      <c r="K3" s="7">
        <v>1</v>
      </c>
      <c r="L3" s="65">
        <v>20.9</v>
      </c>
      <c r="N3" s="78" t="s">
        <v>129</v>
      </c>
      <c r="O3" s="84">
        <f t="shared" si="0"/>
        <v>333.33333333333331</v>
      </c>
      <c r="P3" s="81">
        <v>9</v>
      </c>
      <c r="Q3" s="68">
        <v>3000</v>
      </c>
    </row>
    <row r="4" spans="1:17" x14ac:dyDescent="0.4">
      <c r="A4" s="21" t="s">
        <v>6</v>
      </c>
      <c r="B4" s="147">
        <v>127.8</v>
      </c>
      <c r="C4" s="148"/>
      <c r="E4" s="29" t="s">
        <v>160</v>
      </c>
      <c r="F4" s="26" t="s">
        <v>161</v>
      </c>
      <c r="G4" s="14">
        <v>12</v>
      </c>
      <c r="H4" s="92">
        <f>IF(B$19=0,0,G4/B$19)</f>
        <v>0.5714285714285714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-166.66666666666666</v>
      </c>
      <c r="P4" s="81">
        <v>9</v>
      </c>
      <c r="Q4" s="68">
        <v>-1500</v>
      </c>
    </row>
    <row r="5" spans="1:17" x14ac:dyDescent="0.4">
      <c r="A5" s="21" t="s">
        <v>7</v>
      </c>
      <c r="B5" s="135">
        <f>IF(B$2=0,0,B$4/B$2)</f>
        <v>14.2</v>
      </c>
      <c r="C5" s="136"/>
      <c r="E5" s="29" t="s">
        <v>68</v>
      </c>
      <c r="F5" s="26" t="s">
        <v>12</v>
      </c>
      <c r="G5" s="14">
        <v>8</v>
      </c>
      <c r="H5" s="92">
        <f>IF(B$19=0,0,G5/B$19)</f>
        <v>0.38095238095238093</v>
      </c>
      <c r="I5" s="60">
        <v>2</v>
      </c>
      <c r="K5" s="7">
        <v>3</v>
      </c>
      <c r="L5" s="65">
        <v>40.5</v>
      </c>
      <c r="N5" s="78" t="s">
        <v>131</v>
      </c>
      <c r="O5" s="84">
        <f t="shared" si="0"/>
        <v>150</v>
      </c>
      <c r="P5" s="81">
        <v>8</v>
      </c>
      <c r="Q5" s="68">
        <v>1200</v>
      </c>
    </row>
    <row r="6" spans="1:17" x14ac:dyDescent="0.4">
      <c r="A6" s="21" t="s">
        <v>1</v>
      </c>
      <c r="B6" s="149">
        <f>IF(B$2=0,0,(B$7*1+B$8*2+B$9*3)/B$2)</f>
        <v>1.5555555555555556</v>
      </c>
      <c r="C6" s="150"/>
      <c r="E6" s="29" t="s">
        <v>64</v>
      </c>
      <c r="F6" s="26" t="s">
        <v>20</v>
      </c>
      <c r="G6" s="14">
        <v>6</v>
      </c>
      <c r="H6" s="92">
        <f>IF(B$19=0,0,G6/B$19)</f>
        <v>0.2857142857142857</v>
      </c>
      <c r="I6" s="60">
        <v>8</v>
      </c>
      <c r="K6" s="7">
        <v>4</v>
      </c>
      <c r="L6" s="65">
        <v>74.5</v>
      </c>
      <c r="N6" s="78" t="s">
        <v>132</v>
      </c>
      <c r="O6" s="84">
        <f t="shared" si="0"/>
        <v>425</v>
      </c>
      <c r="P6" s="81">
        <v>8</v>
      </c>
      <c r="Q6" s="68">
        <v>3400</v>
      </c>
    </row>
    <row r="7" spans="1:17" x14ac:dyDescent="0.4">
      <c r="A7" s="21" t="s">
        <v>2</v>
      </c>
      <c r="B7" s="14">
        <v>5</v>
      </c>
      <c r="C7" s="8">
        <f t="shared" ref="C7:C14" si="1">IF(B$2=0,0,B7/B$2)</f>
        <v>0.55555555555555558</v>
      </c>
      <c r="E7" s="29" t="s">
        <v>89</v>
      </c>
      <c r="F7" s="26" t="s">
        <v>44</v>
      </c>
      <c r="G7" s="14">
        <v>6</v>
      </c>
      <c r="H7" s="92">
        <f>IF(B$19=0,0,G7/B$19)</f>
        <v>0.2857142857142857</v>
      </c>
      <c r="I7" s="60">
        <v>3</v>
      </c>
      <c r="K7" s="7">
        <v>5</v>
      </c>
      <c r="L7" s="65">
        <v>123.5</v>
      </c>
      <c r="N7" s="79" t="s">
        <v>133</v>
      </c>
      <c r="O7" s="85">
        <f t="shared" si="0"/>
        <v>2514.2857142857142</v>
      </c>
      <c r="P7" s="82">
        <v>7</v>
      </c>
      <c r="Q7" s="69">
        <v>17600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67</v>
      </c>
      <c r="F8" s="26" t="s">
        <v>23</v>
      </c>
      <c r="G8" s="14">
        <v>3</v>
      </c>
      <c r="H8" s="92">
        <f>IF(B$19=0,0,G8/B$19)</f>
        <v>0.14285714285714285</v>
      </c>
      <c r="I8" s="60">
        <v>7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0.1111111111111111</v>
      </c>
      <c r="E9" s="29" t="s">
        <v>83</v>
      </c>
      <c r="F9" s="26" t="s">
        <v>38</v>
      </c>
      <c r="G9" s="14">
        <v>3</v>
      </c>
      <c r="H9" s="92">
        <f>IF(B$19=0,0,G9/B$19)</f>
        <v>0.14285714285714285</v>
      </c>
      <c r="I9" s="60">
        <v>2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36.480000000000004</v>
      </c>
      <c r="C10" s="114">
        <v>182.4</v>
      </c>
      <c r="E10" s="29" t="s">
        <v>69</v>
      </c>
      <c r="F10" s="26" t="s">
        <v>24</v>
      </c>
      <c r="G10" s="14">
        <v>2</v>
      </c>
      <c r="H10" s="92">
        <f>IF(B$19=0,0,G10/B$19)</f>
        <v>9.5238095238095233E-2</v>
      </c>
      <c r="I10" s="60">
        <v>4</v>
      </c>
      <c r="K10" s="7">
        <v>8</v>
      </c>
      <c r="L10" s="65">
        <v>140.6</v>
      </c>
      <c r="N10" s="77" t="s">
        <v>152</v>
      </c>
      <c r="O10" s="86">
        <f>IF(P10=0,0,Q10/P10)</f>
        <v>23.8</v>
      </c>
      <c r="P10" s="80">
        <v>4</v>
      </c>
      <c r="Q10" s="71">
        <v>95.2</v>
      </c>
    </row>
    <row r="11" spans="1:17" x14ac:dyDescent="0.4">
      <c r="A11" s="22" t="s">
        <v>186</v>
      </c>
      <c r="B11" s="113">
        <f>IF(B8=0,0,C11/B8)</f>
        <v>-14.333333333333334</v>
      </c>
      <c r="C11" s="114">
        <v>-43</v>
      </c>
      <c r="E11" s="29" t="s">
        <v>70</v>
      </c>
      <c r="F11" s="26" t="s">
        <v>25</v>
      </c>
      <c r="G11" s="14">
        <v>2</v>
      </c>
      <c r="H11" s="92">
        <f>IF(B$19=0,0,G11/B$19)</f>
        <v>9.5238095238095233E-2</v>
      </c>
      <c r="I11" s="60">
        <v>5</v>
      </c>
      <c r="K11" s="7">
        <v>9</v>
      </c>
      <c r="L11" s="65">
        <v>127.8</v>
      </c>
      <c r="N11" s="78" t="s">
        <v>153</v>
      </c>
      <c r="O11" s="87">
        <f>IF(P11=0,0,Q11/P11)</f>
        <v>-10.5</v>
      </c>
      <c r="P11" s="81">
        <v>2</v>
      </c>
      <c r="Q11" s="72">
        <v>-21</v>
      </c>
    </row>
    <row r="12" spans="1:17" x14ac:dyDescent="0.4">
      <c r="A12" s="22" t="s">
        <v>187</v>
      </c>
      <c r="B12" s="113">
        <f>IF(B9=0,0,C12/B9)</f>
        <v>-11.6</v>
      </c>
      <c r="C12" s="114">
        <v>-11.6</v>
      </c>
      <c r="E12" s="29" t="s">
        <v>81</v>
      </c>
      <c r="F12" s="26" t="s">
        <v>36</v>
      </c>
      <c r="G12" s="14">
        <v>2</v>
      </c>
      <c r="H12" s="92">
        <f>IF(B$19=0,0,G12/B$19)</f>
        <v>9.5238095238095233E-2</v>
      </c>
      <c r="I12" s="60">
        <v>4</v>
      </c>
      <c r="N12" s="79" t="s">
        <v>154</v>
      </c>
      <c r="O12" s="88">
        <f>IF(P12=0,0,Q12/P12)</f>
        <v>17.866666666666667</v>
      </c>
      <c r="P12" s="82">
        <v>3</v>
      </c>
      <c r="Q12" s="73">
        <v>53.6</v>
      </c>
    </row>
    <row r="13" spans="1:17" x14ac:dyDescent="0.4">
      <c r="A13" s="22" t="s">
        <v>188</v>
      </c>
      <c r="B13" s="135">
        <f>AVERAGE(B10:B12)</f>
        <v>3.5155555555555562</v>
      </c>
      <c r="C13" s="136"/>
      <c r="E13" s="29" t="s">
        <v>65</v>
      </c>
      <c r="F13" s="26" t="s">
        <v>21</v>
      </c>
      <c r="G13" s="14">
        <v>1</v>
      </c>
      <c r="H13" s="92">
        <f>IF(B$19=0,0,G13/B$19)</f>
        <v>4.7619047619047616E-2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1</v>
      </c>
      <c r="H14" s="92">
        <f>IF(B$19=0,0,G14/B$19)</f>
        <v>4.7619047619047616E-2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17</v>
      </c>
      <c r="C15" s="12">
        <f>IF(B$3=0,0,B15/B$3)</f>
        <v>0.22666666666666666</v>
      </c>
      <c r="E15" s="29" t="s">
        <v>92</v>
      </c>
      <c r="F15" s="26" t="s">
        <v>47</v>
      </c>
      <c r="G15" s="14">
        <v>1</v>
      </c>
      <c r="H15" s="92">
        <f>IF(B$19=0,0,G15/B$19)</f>
        <v>4.7619047619047616E-2</v>
      </c>
      <c r="I15" s="60">
        <v>1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">
      <c r="A16" s="21" t="s">
        <v>118</v>
      </c>
      <c r="B16" s="14">
        <v>17</v>
      </c>
      <c r="C16" s="8">
        <f>IF(B$3=0,0,B16/B$3)</f>
        <v>0.22666666666666666</v>
      </c>
      <c r="E16" s="29" t="s">
        <v>71</v>
      </c>
      <c r="F16" s="26" t="s">
        <v>26</v>
      </c>
      <c r="G16" s="14">
        <v>0</v>
      </c>
      <c r="H16" s="92">
        <f>IF(B$19=0,0,G16/B$19)</f>
        <v>0</v>
      </c>
      <c r="I16" s="60">
        <v>3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0.35294117647058826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201</v>
      </c>
      <c r="O17" s="87">
        <f>IF(P17=0,0,Q17/P17)</f>
        <v>28.9</v>
      </c>
      <c r="P17" s="81">
        <v>2</v>
      </c>
      <c r="Q17" s="72">
        <v>57.8</v>
      </c>
    </row>
    <row r="18" spans="1:17" x14ac:dyDescent="0.4">
      <c r="A18" s="20" t="s">
        <v>124</v>
      </c>
      <c r="B18" s="13">
        <f>B24</f>
        <v>9</v>
      </c>
      <c r="C18" s="6">
        <f>IF(B$16=0,0,B18/B$16)</f>
        <v>0.52941176470588236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195</v>
      </c>
      <c r="O18" s="87">
        <f>IF(P18=0,0,Q18/P18)</f>
        <v>27.200000000000003</v>
      </c>
      <c r="P18" s="81">
        <v>3</v>
      </c>
      <c r="Q18" s="72">
        <v>81.600000000000009</v>
      </c>
    </row>
    <row r="19" spans="1:17" x14ac:dyDescent="0.4">
      <c r="A19" s="20" t="s">
        <v>10</v>
      </c>
      <c r="B19" s="13">
        <f>B22+B21</f>
        <v>21</v>
      </c>
      <c r="C19" s="6">
        <f>IF(B$3=0,0,B19/B$3)</f>
        <v>0.28000000000000003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190</v>
      </c>
      <c r="O19" s="87">
        <f>IF(P19=0,0,Q19/P19)</f>
        <v>7.3166666666666664</v>
      </c>
      <c r="P19" s="81">
        <v>6</v>
      </c>
      <c r="Q19" s="72">
        <v>43.9</v>
      </c>
    </row>
    <row r="20" spans="1:17" x14ac:dyDescent="0.4">
      <c r="A20" s="21" t="s">
        <v>13</v>
      </c>
      <c r="B20" s="14">
        <v>9</v>
      </c>
      <c r="C20" s="8">
        <f>IF(B$3=0,0,B20/B$3)</f>
        <v>0.12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199</v>
      </c>
      <c r="O20" s="87">
        <f>IF(P20=0,0,Q20/P20)</f>
        <v>-31.35</v>
      </c>
      <c r="P20" s="81">
        <v>2</v>
      </c>
      <c r="Q20" s="72">
        <v>-62.7</v>
      </c>
    </row>
    <row r="21" spans="1:17" x14ac:dyDescent="0.4">
      <c r="A21" s="21" t="s">
        <v>12</v>
      </c>
      <c r="B21" s="14">
        <v>14</v>
      </c>
      <c r="C21" s="8">
        <f>IF(B$19=0,0,B21/B$19)</f>
        <v>0.66666666666666663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7</v>
      </c>
      <c r="C22" s="8">
        <f>IF(B$19=0,0,B22/B$19)</f>
        <v>0.33333333333333331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3</v>
      </c>
    </row>
    <row r="23" spans="1:17" x14ac:dyDescent="0.4">
      <c r="A23" s="21" t="s">
        <v>184</v>
      </c>
      <c r="B23" s="14">
        <v>6</v>
      </c>
      <c r="C23" s="8">
        <f>IF(B$19=0,0,B23/B$19)</f>
        <v>0.2857142857142857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3</v>
      </c>
    </row>
    <row r="24" spans="1:17" x14ac:dyDescent="0.4">
      <c r="A24" s="21" t="s">
        <v>182</v>
      </c>
      <c r="B24" s="14">
        <v>9</v>
      </c>
      <c r="C24" s="8">
        <f>IF(B$19=0,0,B24/B$19)</f>
        <v>0.42857142857142855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6</v>
      </c>
      <c r="C25" s="8">
        <f>IF(B$19=0,0,B25/B$19)</f>
        <v>0.2857142857142857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10666.666666666666</v>
      </c>
      <c r="C26" s="10">
        <v>224000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12391.666666666666</v>
      </c>
      <c r="C27" s="100">
        <v>148700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">
      <c r="A28" s="22" t="s">
        <v>167</v>
      </c>
      <c r="B28" s="99">
        <f>IF(B$18=0,0,C28/B$18)</f>
        <v>8366.6666666666661</v>
      </c>
      <c r="C28" s="100">
        <v>75300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-5377.7777777777774</v>
      </c>
      <c r="C29" s="100">
        <v>-48400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13</v>
      </c>
      <c r="C31" s="94">
        <v>13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">
      <c r="A32" s="56" t="s">
        <v>136</v>
      </c>
      <c r="B32" s="137">
        <v>4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74000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1.3333333333333334E-2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3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4</v>
      </c>
      <c r="C38" s="8">
        <f t="shared" si="2"/>
        <v>0.19047619047619047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9.5238095238095233E-2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0.14285714285714285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5</v>
      </c>
      <c r="C41" s="8">
        <f t="shared" si="2"/>
        <v>0.23809523809523808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3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1</v>
      </c>
      <c r="C48" s="11">
        <f t="shared" si="2"/>
        <v>4.7619047619047616E-2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164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">
      <c r="A3" s="21" t="s">
        <v>8</v>
      </c>
      <c r="B3" s="145">
        <v>17</v>
      </c>
      <c r="C3" s="146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5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">
      <c r="A4" s="21" t="s">
        <v>6</v>
      </c>
      <c r="B4" s="147">
        <v>-98.9</v>
      </c>
      <c r="C4" s="148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8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">
      <c r="A5" s="21" t="s">
        <v>7</v>
      </c>
      <c r="B5" s="135">
        <f>IF(B$2=0,0,B$4/B$2)</f>
        <v>-49.45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">
      <c r="A6" s="21" t="s">
        <v>1</v>
      </c>
      <c r="B6" s="149">
        <f>IF(B$2=0,0,(B$7*1+B$8*2+B$9*3)/B$2)</f>
        <v>3</v>
      </c>
      <c r="C6" s="150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8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-16.483333333333334</v>
      </c>
      <c r="C13" s="136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3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6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8</v>
      </c>
    </row>
    <row r="28" spans="1:9" x14ac:dyDescent="0.4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">
      <c r="A32" s="56" t="s">
        <v>136</v>
      </c>
      <c r="B32" s="137">
        <v>2</v>
      </c>
      <c r="C32" s="138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14000</v>
      </c>
      <c r="C33" s="140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9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190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">
      <c r="A3" s="21" t="s">
        <v>8</v>
      </c>
      <c r="B3" s="145">
        <v>36</v>
      </c>
      <c r="C3" s="146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5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">
      <c r="A4" s="21" t="s">
        <v>6</v>
      </c>
      <c r="B4" s="147">
        <v>13.299999999999997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">
      <c r="A5" s="21" t="s">
        <v>7</v>
      </c>
      <c r="B5" s="135">
        <f>IF(B$2=0,0,B$4/B$2)</f>
        <v>3.3249999999999993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5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6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6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5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6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6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3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">
      <c r="A13" s="22" t="s">
        <v>188</v>
      </c>
      <c r="B13" s="135">
        <f>AVERAGE(B10:B12)</f>
        <v>-3.6555555555555563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61300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196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3</v>
      </c>
      <c r="C2" s="144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">
      <c r="A3" s="21" t="s">
        <v>8</v>
      </c>
      <c r="B3" s="145">
        <v>21</v>
      </c>
      <c r="C3" s="146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">
      <c r="A4" s="21" t="s">
        <v>6</v>
      </c>
      <c r="B4" s="147">
        <v>-40.4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6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">
      <c r="A5" s="21" t="s">
        <v>7</v>
      </c>
      <c r="B5" s="135">
        <f>IF(B$2=0,0,B$4/B$2)</f>
        <v>-13.466666666666667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">
      <c r="A6" s="21" t="s">
        <v>1</v>
      </c>
      <c r="B6" s="149">
        <f>IF(B$2=0,0,(B$7*1+B$8*2+B$9*3)/B$2)</f>
        <v>2.3333333333333335</v>
      </c>
      <c r="C6" s="150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9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6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">
      <c r="A13" s="22" t="s">
        <v>188</v>
      </c>
      <c r="B13" s="135">
        <f>AVERAGE(B10:B12)</f>
        <v>-12.333333333333334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9" x14ac:dyDescent="0.4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31700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195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5</v>
      </c>
      <c r="C2" s="144"/>
      <c r="E2" s="28" t="s">
        <v>66</v>
      </c>
      <c r="F2" s="25" t="s">
        <v>22</v>
      </c>
      <c r="G2" s="13">
        <v>7</v>
      </c>
      <c r="H2" s="91">
        <f>IF(B$19=0,0,G2/B$19)</f>
        <v>0.77777777777777779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-6940</v>
      </c>
      <c r="P2" s="80">
        <v>5</v>
      </c>
      <c r="Q2" s="67">
        <v>-34700</v>
      </c>
    </row>
    <row r="3" spans="1:17" x14ac:dyDescent="0.4">
      <c r="A3" s="21" t="s">
        <v>8</v>
      </c>
      <c r="B3" s="145">
        <v>38</v>
      </c>
      <c r="C3" s="146"/>
      <c r="E3" s="29" t="s">
        <v>64</v>
      </c>
      <c r="F3" s="26" t="s">
        <v>20</v>
      </c>
      <c r="G3" s="14">
        <v>6</v>
      </c>
      <c r="H3" s="92">
        <f>IF(B$19=0,0,G3/B$19)</f>
        <v>0.66666666666666663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-3020</v>
      </c>
      <c r="P3" s="81">
        <v>5</v>
      </c>
      <c r="Q3" s="68">
        <v>-15100</v>
      </c>
    </row>
    <row r="4" spans="1:17" x14ac:dyDescent="0.4">
      <c r="A4" s="21" t="s">
        <v>6</v>
      </c>
      <c r="B4" s="147">
        <v>-53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0.66666666666666663</v>
      </c>
      <c r="I4" s="60">
        <v>1</v>
      </c>
      <c r="K4" s="7">
        <v>2</v>
      </c>
      <c r="L4" s="65">
        <v>24.900000000000002</v>
      </c>
      <c r="N4" s="78" t="s">
        <v>130</v>
      </c>
      <c r="O4" s="84">
        <f t="shared" si="0"/>
        <v>-1880</v>
      </c>
      <c r="P4" s="81">
        <v>5</v>
      </c>
      <c r="Q4" s="68">
        <v>-9400</v>
      </c>
    </row>
    <row r="5" spans="1:17" x14ac:dyDescent="0.4">
      <c r="A5" s="21" t="s">
        <v>7</v>
      </c>
      <c r="B5" s="135">
        <f>IF(B$2=0,0,B$4/B$2)</f>
        <v>-10.6</v>
      </c>
      <c r="C5" s="136"/>
      <c r="E5" s="29" t="s">
        <v>72</v>
      </c>
      <c r="F5" s="26" t="s">
        <v>27</v>
      </c>
      <c r="G5" s="14">
        <v>5</v>
      </c>
      <c r="H5" s="92">
        <f>IF(B$19=0,0,G5/B$19)</f>
        <v>0.55555555555555558</v>
      </c>
      <c r="I5" s="60">
        <v>7</v>
      </c>
      <c r="K5" s="7">
        <v>3</v>
      </c>
      <c r="L5" s="65">
        <v>-20.599999999999998</v>
      </c>
      <c r="N5" s="78" t="s">
        <v>131</v>
      </c>
      <c r="O5" s="84">
        <f t="shared" si="0"/>
        <v>1833.3333333333333</v>
      </c>
      <c r="P5" s="81">
        <v>3</v>
      </c>
      <c r="Q5" s="68">
        <v>5500</v>
      </c>
    </row>
    <row r="6" spans="1:17" x14ac:dyDescent="0.4">
      <c r="A6" s="21" t="s">
        <v>1</v>
      </c>
      <c r="B6" s="149">
        <f>IF(B$2=0,0,(B$7*1+B$8*2+B$9*3)/B$2)</f>
        <v>2.4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0.33333333333333331</v>
      </c>
      <c r="I6" s="60">
        <v>7</v>
      </c>
      <c r="K6" s="7">
        <v>4</v>
      </c>
      <c r="L6" s="65">
        <v>-25</v>
      </c>
      <c r="N6" s="78" t="s">
        <v>132</v>
      </c>
      <c r="O6" s="84">
        <f t="shared" si="0"/>
        <v>6433.333333333333</v>
      </c>
      <c r="P6" s="81">
        <v>3</v>
      </c>
      <c r="Q6" s="68">
        <v>19300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</v>
      </c>
      <c r="E7" s="29" t="s">
        <v>68</v>
      </c>
      <c r="F7" s="26" t="s">
        <v>12</v>
      </c>
      <c r="G7" s="14">
        <v>2</v>
      </c>
      <c r="H7" s="92">
        <f>IF(B$19=0,0,G7/B$19)</f>
        <v>0.22222222222222221</v>
      </c>
      <c r="I7" s="60">
        <v>5</v>
      </c>
      <c r="K7" s="7">
        <v>5</v>
      </c>
      <c r="L7" s="65">
        <v>-53</v>
      </c>
      <c r="N7" s="79" t="s">
        <v>133</v>
      </c>
      <c r="O7" s="85">
        <f t="shared" si="0"/>
        <v>466.66666666666669</v>
      </c>
      <c r="P7" s="82">
        <v>3</v>
      </c>
      <c r="Q7" s="69">
        <v>1400</v>
      </c>
    </row>
    <row r="8" spans="1:17" x14ac:dyDescent="0.4">
      <c r="A8" s="21" t="s">
        <v>3</v>
      </c>
      <c r="B8" s="14">
        <v>1</v>
      </c>
      <c r="C8" s="8">
        <f t="shared" si="1"/>
        <v>0.2</v>
      </c>
      <c r="E8" s="29" t="s">
        <v>81</v>
      </c>
      <c r="F8" s="26" t="s">
        <v>36</v>
      </c>
      <c r="G8" s="14">
        <v>2</v>
      </c>
      <c r="H8" s="92">
        <f>IF(B$19=0,0,G8/B$19)</f>
        <v>0.22222222222222221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0.6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55.6</v>
      </c>
      <c r="C10" s="114">
        <v>55.6</v>
      </c>
      <c r="E10" s="29" t="s">
        <v>70</v>
      </c>
      <c r="F10" s="26" t="s">
        <v>25</v>
      </c>
      <c r="G10" s="14">
        <v>1</v>
      </c>
      <c r="H10" s="92">
        <f>IF(B$19=0,0,G10/B$19)</f>
        <v>0.1111111111111111</v>
      </c>
      <c r="I10" s="60">
        <v>3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">
      <c r="A11" s="22" t="s">
        <v>186</v>
      </c>
      <c r="B11" s="113">
        <f>IF(B8=0,0,C11/B8)</f>
        <v>-4.4000000000000004</v>
      </c>
      <c r="C11" s="114">
        <v>-4.4000000000000004</v>
      </c>
      <c r="E11" s="29" t="s">
        <v>73</v>
      </c>
      <c r="F11" s="26" t="s">
        <v>28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5.0500000000000007</v>
      </c>
      <c r="P11" s="81">
        <v>2</v>
      </c>
      <c r="Q11" s="72">
        <v>10.100000000000001</v>
      </c>
    </row>
    <row r="12" spans="1:17" x14ac:dyDescent="0.4">
      <c r="A12" s="22" t="s">
        <v>187</v>
      </c>
      <c r="B12" s="113">
        <f>IF(B9=0,0,C12/B9)</f>
        <v>-34.733333333333334</v>
      </c>
      <c r="C12" s="114">
        <v>-104.2</v>
      </c>
      <c r="E12" s="29" t="s">
        <v>83</v>
      </c>
      <c r="F12" s="26" t="s">
        <v>38</v>
      </c>
      <c r="G12" s="14">
        <v>1</v>
      </c>
      <c r="H12" s="92">
        <f>IF(B$19=0,0,G12/B$19)</f>
        <v>0.1111111111111111</v>
      </c>
      <c r="I12" s="60">
        <v>4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5.4888888888888898</v>
      </c>
      <c r="C13" s="136"/>
      <c r="E13" s="29" t="s">
        <v>86</v>
      </c>
      <c r="F13" s="26" t="s">
        <v>41</v>
      </c>
      <c r="G13" s="14">
        <v>1</v>
      </c>
      <c r="H13" s="92">
        <f>IF(B$19=0,0,G13/B$19)</f>
        <v>0.1111111111111111</v>
      </c>
      <c r="I13" s="60">
        <v>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</v>
      </c>
      <c r="E14" s="29" t="s">
        <v>65</v>
      </c>
      <c r="F14" s="26" t="s">
        <v>21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12</v>
      </c>
      <c r="C15" s="12">
        <f>IF(B$3=0,0,B15/B$3)</f>
        <v>0.31578947368421051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196</v>
      </c>
      <c r="O15" s="86">
        <f>IF(P15=0,0,Q15/P15)</f>
        <v>6.5999999999999988</v>
      </c>
      <c r="P15" s="80">
        <v>3</v>
      </c>
      <c r="Q15" s="71">
        <v>19.799999999999997</v>
      </c>
    </row>
    <row r="16" spans="1:17" x14ac:dyDescent="0.4">
      <c r="A16" s="21" t="s">
        <v>118</v>
      </c>
      <c r="B16" s="14">
        <v>6</v>
      </c>
      <c r="C16" s="8">
        <f>IF(B$3=0,0,B16/B$3)</f>
        <v>0.15789473684210525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201</v>
      </c>
      <c r="O16" s="87">
        <f>IF(P16=0,0,Q16/P16)</f>
        <v>-7.1999999999999993</v>
      </c>
      <c r="P16" s="81">
        <v>2</v>
      </c>
      <c r="Q16" s="72">
        <v>-14.399999999999999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-27.200000000000003</v>
      </c>
      <c r="P17" s="81">
        <v>3</v>
      </c>
      <c r="Q17" s="72">
        <v>-81.600000000000009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202</v>
      </c>
      <c r="O18" s="87">
        <f>IF(P18=0,0,Q18/P18)</f>
        <v>-41.4</v>
      </c>
      <c r="P18" s="81">
        <v>2</v>
      </c>
      <c r="Q18" s="72">
        <v>-82.8</v>
      </c>
    </row>
    <row r="19" spans="1:17" x14ac:dyDescent="0.4">
      <c r="A19" s="20" t="s">
        <v>10</v>
      </c>
      <c r="B19" s="13">
        <f>B22+B21</f>
        <v>9</v>
      </c>
      <c r="C19" s="6">
        <f>IF(B$3=0,0,B19/B$3)</f>
        <v>0.23684210526315788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10</v>
      </c>
      <c r="C20" s="8">
        <f>IF(B$3=0,0,B20/B$3)</f>
        <v>0.26315789473684209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5</v>
      </c>
      <c r="C21" s="8">
        <f>IF(B$19=0,0,B21/B$19)</f>
        <v>0.55555555555555558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4</v>
      </c>
      <c r="C22" s="8">
        <f>IF(B$19=0,0,B22/B$19)</f>
        <v>0.44444444444444442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6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8533.3333333333339</v>
      </c>
      <c r="C26" s="10">
        <v>76800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9950</v>
      </c>
      <c r="C27" s="100">
        <v>59700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5700</v>
      </c>
      <c r="C28" s="100">
        <v>17100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">
      <c r="A29" s="22" t="s">
        <v>165</v>
      </c>
      <c r="B29" s="99">
        <f>IF(B$20=0,0,C29/B$20)</f>
        <v>-8810</v>
      </c>
      <c r="C29" s="100">
        <v>-88100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7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0.44444444444444442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1</v>
      </c>
      <c r="C38" s="8">
        <f t="shared" si="2"/>
        <v>0.1111111111111111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1</v>
      </c>
      <c r="C40" s="8">
        <f t="shared" si="2"/>
        <v>0.1111111111111111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1</v>
      </c>
      <c r="C41" s="8">
        <f t="shared" si="2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1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1</v>
      </c>
      <c r="C46" s="8">
        <f t="shared" si="2"/>
        <v>0.1111111111111111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199</v>
      </c>
      <c r="C1" s="142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3</v>
      </c>
      <c r="H2" s="91">
        <f>IF(B$19=0,0,G2/B$19)</f>
        <v>0.42857142857142855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2</v>
      </c>
      <c r="Q2" s="67">
        <v>500</v>
      </c>
    </row>
    <row r="3" spans="1:17" x14ac:dyDescent="0.4">
      <c r="A3" s="21" t="s">
        <v>8</v>
      </c>
      <c r="B3" s="145">
        <v>19</v>
      </c>
      <c r="C3" s="146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7</v>
      </c>
      <c r="K3" s="7">
        <v>1</v>
      </c>
      <c r="L3" s="65">
        <v>11.6</v>
      </c>
      <c r="N3" s="78" t="s">
        <v>129</v>
      </c>
      <c r="O3" s="84">
        <f t="shared" si="0"/>
        <v>3350</v>
      </c>
      <c r="P3" s="81">
        <v>2</v>
      </c>
      <c r="Q3" s="68">
        <v>6700</v>
      </c>
    </row>
    <row r="4" spans="1:17" x14ac:dyDescent="0.4">
      <c r="A4" s="21" t="s">
        <v>6</v>
      </c>
      <c r="B4" s="147">
        <v>42.9</v>
      </c>
      <c r="C4" s="148"/>
      <c r="E4" s="29" t="s">
        <v>68</v>
      </c>
      <c r="F4" s="26" t="s">
        <v>12</v>
      </c>
      <c r="G4" s="14">
        <v>3</v>
      </c>
      <c r="H4" s="92">
        <f>IF(B$19=0,0,G4/B$19)</f>
        <v>0.42857142857142855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2500</v>
      </c>
      <c r="P4" s="81">
        <v>2</v>
      </c>
      <c r="Q4" s="68">
        <v>5000</v>
      </c>
    </row>
    <row r="5" spans="1:17" x14ac:dyDescent="0.4">
      <c r="A5" s="21" t="s">
        <v>7</v>
      </c>
      <c r="B5" s="135">
        <f>IF(B$2=0,0,B$4/B$2)</f>
        <v>21.45</v>
      </c>
      <c r="C5" s="136"/>
      <c r="E5" s="29" t="s">
        <v>72</v>
      </c>
      <c r="F5" s="26" t="s">
        <v>27</v>
      </c>
      <c r="G5" s="14">
        <v>3</v>
      </c>
      <c r="H5" s="92">
        <f>IF(B$19=0,0,G5/B$19)</f>
        <v>0.42857142857142855</v>
      </c>
      <c r="I5" s="60">
        <v>8</v>
      </c>
      <c r="N5" s="78" t="s">
        <v>131</v>
      </c>
      <c r="O5" s="84">
        <f t="shared" si="0"/>
        <v>5150</v>
      </c>
      <c r="P5" s="81">
        <v>2</v>
      </c>
      <c r="Q5" s="68">
        <v>10300</v>
      </c>
    </row>
    <row r="6" spans="1:17" x14ac:dyDescent="0.4">
      <c r="A6" s="21" t="s">
        <v>1</v>
      </c>
      <c r="B6" s="149">
        <f>IF(B$2=0,0,(B$7*1+B$8*2+B$9*3)/B$2)</f>
        <v>1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0.42857142857142855</v>
      </c>
      <c r="I6" s="60">
        <v>4</v>
      </c>
      <c r="N6" s="78" t="s">
        <v>132</v>
      </c>
      <c r="O6" s="84">
        <f t="shared" si="0"/>
        <v>4350</v>
      </c>
      <c r="P6" s="81">
        <v>2</v>
      </c>
      <c r="Q6" s="68">
        <v>8700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1</v>
      </c>
      <c r="E7" s="29" t="s">
        <v>70</v>
      </c>
      <c r="F7" s="26" t="s">
        <v>25</v>
      </c>
      <c r="G7" s="14">
        <v>2</v>
      </c>
      <c r="H7" s="92">
        <f>IF(B$19=0,0,G7/B$19)</f>
        <v>0.2857142857142857</v>
      </c>
      <c r="I7" s="60">
        <v>1</v>
      </c>
      <c r="N7" s="79" t="s">
        <v>133</v>
      </c>
      <c r="O7" s="85">
        <f t="shared" si="0"/>
        <v>-4150</v>
      </c>
      <c r="P7" s="82">
        <v>2</v>
      </c>
      <c r="Q7" s="69">
        <v>-8300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71</v>
      </c>
      <c r="F8" s="26" t="s">
        <v>26</v>
      </c>
      <c r="G8" s="14">
        <v>1</v>
      </c>
      <c r="H8" s="92">
        <f>IF(B$19=0,0,G8/B$19)</f>
        <v>0.14285714285714285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79</v>
      </c>
      <c r="F9" s="26" t="s">
        <v>34</v>
      </c>
      <c r="G9" s="14">
        <v>1</v>
      </c>
      <c r="H9" s="92">
        <f>IF(B$19=0,0,G9/B$19)</f>
        <v>0.14285714285714285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21.45</v>
      </c>
      <c r="C10" s="114">
        <v>42.9</v>
      </c>
      <c r="E10" s="29" t="s">
        <v>89</v>
      </c>
      <c r="F10" s="26" t="s">
        <v>44</v>
      </c>
      <c r="G10" s="14">
        <v>1</v>
      </c>
      <c r="H10" s="92">
        <f>IF(B$19=0,0,G10/B$19)</f>
        <v>0.14285714285714285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11.6</v>
      </c>
      <c r="P11" s="81">
        <v>1</v>
      </c>
      <c r="Q11" s="72">
        <v>11.6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67</v>
      </c>
      <c r="F12" s="26" t="s">
        <v>23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">
      <c r="A13" s="22" t="s">
        <v>188</v>
      </c>
      <c r="B13" s="135">
        <f>AVERAGE(B10:B12)</f>
        <v>7.1499999999999995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33</v>
      </c>
      <c r="P15" s="80">
        <v>2</v>
      </c>
      <c r="Q15" s="71">
        <v>66</v>
      </c>
    </row>
    <row r="16" spans="1:17" x14ac:dyDescent="0.4">
      <c r="A16" s="21" t="s">
        <v>118</v>
      </c>
      <c r="B16" s="14">
        <v>3</v>
      </c>
      <c r="C16" s="8">
        <f>IF(B$3=0,0,B16/B$3)</f>
        <v>0.15789473684210525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31.35</v>
      </c>
      <c r="P16" s="81">
        <v>2</v>
      </c>
      <c r="Q16" s="72">
        <v>62.7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7</v>
      </c>
      <c r="C19" s="6">
        <f>IF(B$3=0,0,B19/B$3)</f>
        <v>0.36842105263157893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5.2631578947368418E-2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3</v>
      </c>
      <c r="C21" s="8">
        <f>IF(B$19=0,0,B21/B$19)</f>
        <v>0.42857142857142855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">
      <c r="A22" s="21" t="s">
        <v>11</v>
      </c>
      <c r="B22" s="14">
        <v>4</v>
      </c>
      <c r="C22" s="8">
        <f>IF(B$19=0,0,B22/B$19)</f>
        <v>0.5714285714285714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3</v>
      </c>
      <c r="C23" s="8">
        <f>IF(B$19=0,0,B23/B$19)</f>
        <v>0.42857142857142855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">
      <c r="A24" s="21" t="s">
        <v>182</v>
      </c>
      <c r="B24" s="14">
        <v>2</v>
      </c>
      <c r="C24" s="8">
        <f>IF(B$19=0,0,B24/B$19)</f>
        <v>0.2857142857142857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2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6028.5714285714284</v>
      </c>
      <c r="C26" s="10">
        <v>42200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9" x14ac:dyDescent="0.4">
      <c r="A27" s="22" t="s">
        <v>166</v>
      </c>
      <c r="B27" s="99">
        <f>IF($B$19-B$18=0,0,C27/($B$19-B$18))</f>
        <v>6700</v>
      </c>
      <c r="C27" s="100">
        <v>33500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4350</v>
      </c>
      <c r="C28" s="100">
        <v>8700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56300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9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0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202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66</v>
      </c>
      <c r="F2" s="25" t="s">
        <v>22</v>
      </c>
      <c r="G2" s="13">
        <v>10</v>
      </c>
      <c r="H2" s="91">
        <f>IF(B$19=0,0,G2/B$19)</f>
        <v>0.83333333333333337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5625</v>
      </c>
      <c r="P2" s="80">
        <v>4</v>
      </c>
      <c r="Q2" s="67">
        <v>22500</v>
      </c>
    </row>
    <row r="3" spans="1:17" x14ac:dyDescent="0.4">
      <c r="A3" s="21" t="s">
        <v>8</v>
      </c>
      <c r="B3" s="145">
        <v>35</v>
      </c>
      <c r="C3" s="146"/>
      <c r="E3" s="29" t="s">
        <v>72</v>
      </c>
      <c r="F3" s="26" t="s">
        <v>27</v>
      </c>
      <c r="G3" s="14">
        <v>8</v>
      </c>
      <c r="H3" s="92">
        <f>IF(B$19=0,0,G3/B$19)</f>
        <v>0.66666666666666663</v>
      </c>
      <c r="I3" s="60">
        <v>5</v>
      </c>
      <c r="K3" s="7">
        <v>1</v>
      </c>
      <c r="L3" s="65">
        <v>42.4</v>
      </c>
      <c r="N3" s="78" t="s">
        <v>129</v>
      </c>
      <c r="O3" s="84">
        <f t="shared" si="0"/>
        <v>5475</v>
      </c>
      <c r="P3" s="81">
        <v>4</v>
      </c>
      <c r="Q3" s="68">
        <v>21900</v>
      </c>
    </row>
    <row r="4" spans="1:17" x14ac:dyDescent="0.4">
      <c r="A4" s="21" t="s">
        <v>6</v>
      </c>
      <c r="B4" s="147">
        <v>60</v>
      </c>
      <c r="C4" s="148"/>
      <c r="E4" s="29" t="s">
        <v>64</v>
      </c>
      <c r="F4" s="26" t="s">
        <v>20</v>
      </c>
      <c r="G4" s="14">
        <v>5</v>
      </c>
      <c r="H4" s="92">
        <f>IF(B$19=0,0,G4/B$19)</f>
        <v>0.41666666666666669</v>
      </c>
      <c r="I4" s="60">
        <v>4</v>
      </c>
      <c r="K4" s="7">
        <v>2</v>
      </c>
      <c r="L4" s="65">
        <v>50.4</v>
      </c>
      <c r="N4" s="78" t="s">
        <v>130</v>
      </c>
      <c r="O4" s="84">
        <f t="shared" si="0"/>
        <v>-6000</v>
      </c>
      <c r="P4" s="81">
        <v>4</v>
      </c>
      <c r="Q4" s="68">
        <v>-24000</v>
      </c>
    </row>
    <row r="5" spans="1:17" x14ac:dyDescent="0.4">
      <c r="A5" s="21" t="s">
        <v>7</v>
      </c>
      <c r="B5" s="135">
        <f>IF(B$2=0,0,B$4/B$2)</f>
        <v>15</v>
      </c>
      <c r="C5" s="136"/>
      <c r="E5" s="29" t="s">
        <v>160</v>
      </c>
      <c r="F5" s="26" t="s">
        <v>161</v>
      </c>
      <c r="G5" s="14">
        <v>4</v>
      </c>
      <c r="H5" s="92">
        <f>IF(B$19=0,0,G5/B$19)</f>
        <v>0.33333333333333331</v>
      </c>
      <c r="I5" s="60">
        <v>7</v>
      </c>
      <c r="K5" s="7">
        <v>3</v>
      </c>
      <c r="L5" s="65">
        <v>10.399999999999999</v>
      </c>
      <c r="N5" s="78" t="s">
        <v>131</v>
      </c>
      <c r="O5" s="84">
        <f t="shared" si="0"/>
        <v>4066.6666666666665</v>
      </c>
      <c r="P5" s="81">
        <v>3</v>
      </c>
      <c r="Q5" s="68">
        <v>12200</v>
      </c>
    </row>
    <row r="6" spans="1:17" x14ac:dyDescent="0.4">
      <c r="A6" s="21" t="s">
        <v>1</v>
      </c>
      <c r="B6" s="149">
        <f>IF(B$2=0,0,(B$7*1+B$8*2+B$9*3)/B$2)</f>
        <v>1.75</v>
      </c>
      <c r="C6" s="150"/>
      <c r="E6" s="29" t="s">
        <v>65</v>
      </c>
      <c r="F6" s="26" t="s">
        <v>21</v>
      </c>
      <c r="G6" s="14">
        <v>3</v>
      </c>
      <c r="H6" s="92">
        <f>IF(B$19=0,0,G6/B$19)</f>
        <v>0.25</v>
      </c>
      <c r="I6" s="60">
        <v>1</v>
      </c>
      <c r="K6" s="7">
        <v>4</v>
      </c>
      <c r="L6" s="65">
        <v>60</v>
      </c>
      <c r="N6" s="78" t="s">
        <v>132</v>
      </c>
      <c r="O6" s="84">
        <f t="shared" si="0"/>
        <v>1466.6666666666667</v>
      </c>
      <c r="P6" s="81">
        <v>3</v>
      </c>
      <c r="Q6" s="68">
        <v>4400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3</v>
      </c>
      <c r="H7" s="92">
        <f>IF(B$19=0,0,G7/B$19)</f>
        <v>0.25</v>
      </c>
      <c r="I7" s="60">
        <v>6</v>
      </c>
      <c r="N7" s="79" t="s">
        <v>133</v>
      </c>
      <c r="O7" s="85">
        <f t="shared" si="0"/>
        <v>4333.333333333333</v>
      </c>
      <c r="P7" s="82">
        <v>3</v>
      </c>
      <c r="Q7" s="69">
        <v>13000</v>
      </c>
    </row>
    <row r="8" spans="1:17" x14ac:dyDescent="0.4">
      <c r="A8" s="21" t="s">
        <v>3</v>
      </c>
      <c r="B8" s="14">
        <v>1</v>
      </c>
      <c r="C8" s="8">
        <f t="shared" si="1"/>
        <v>0.25</v>
      </c>
      <c r="E8" s="29" t="s">
        <v>86</v>
      </c>
      <c r="F8" s="26" t="s">
        <v>41</v>
      </c>
      <c r="G8" s="14">
        <v>3</v>
      </c>
      <c r="H8" s="92">
        <f>IF(B$19=0,0,G8/B$19)</f>
        <v>0.25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0.25</v>
      </c>
      <c r="E9" s="29" t="s">
        <v>70</v>
      </c>
      <c r="F9" s="26" t="s">
        <v>25</v>
      </c>
      <c r="G9" s="14">
        <v>2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46</v>
      </c>
      <c r="C10" s="114">
        <v>92</v>
      </c>
      <c r="E10" s="29" t="s">
        <v>89</v>
      </c>
      <c r="F10" s="26" t="s">
        <v>44</v>
      </c>
      <c r="G10" s="14">
        <v>2</v>
      </c>
      <c r="H10" s="92">
        <f>IF(B$19=0,0,G10/B$19)</f>
        <v>0.16666666666666666</v>
      </c>
      <c r="I10" s="60">
        <v>5</v>
      </c>
      <c r="N10" s="77" t="s">
        <v>152</v>
      </c>
      <c r="O10" s="86">
        <f>IF(P10=0,0,Q10/P10)</f>
        <v>49.6</v>
      </c>
      <c r="P10" s="80">
        <v>1</v>
      </c>
      <c r="Q10" s="71">
        <v>49.6</v>
      </c>
    </row>
    <row r="11" spans="1:17" x14ac:dyDescent="0.4">
      <c r="A11" s="22" t="s">
        <v>186</v>
      </c>
      <c r="B11" s="113">
        <f>IF(B8=0,0,C11/B8)</f>
        <v>8</v>
      </c>
      <c r="C11" s="114">
        <v>8</v>
      </c>
      <c r="E11" s="29" t="s">
        <v>68</v>
      </c>
      <c r="F11" s="26" t="s">
        <v>12</v>
      </c>
      <c r="G11" s="14">
        <v>1</v>
      </c>
      <c r="H11" s="92">
        <f>IF(B$19=0,0,G11/B$19)</f>
        <v>8.3333333333333329E-2</v>
      </c>
      <c r="I11" s="60">
        <v>7</v>
      </c>
      <c r="N11" s="78" t="s">
        <v>153</v>
      </c>
      <c r="O11" s="87">
        <f>IF(P11=0,0,Q11/P11)</f>
        <v>1.1999999999999993</v>
      </c>
      <c r="P11" s="81">
        <v>2</v>
      </c>
      <c r="Q11" s="72">
        <v>2.3999999999999986</v>
      </c>
    </row>
    <row r="12" spans="1:17" x14ac:dyDescent="0.4">
      <c r="A12" s="22" t="s">
        <v>187</v>
      </c>
      <c r="B12" s="113">
        <f>IF(B9=0,0,C12/B9)</f>
        <v>-40</v>
      </c>
      <c r="C12" s="114">
        <v>-40</v>
      </c>
      <c r="E12" s="29" t="s">
        <v>77</v>
      </c>
      <c r="F12" s="26" t="s">
        <v>32</v>
      </c>
      <c r="G12" s="14">
        <v>1</v>
      </c>
      <c r="H12" s="92">
        <f>IF(B$19=0,0,G12/B$19)</f>
        <v>8.3333333333333329E-2</v>
      </c>
      <c r="I12" s="60">
        <v>1</v>
      </c>
      <c r="N12" s="79" t="s">
        <v>154</v>
      </c>
      <c r="O12" s="88">
        <f>IF(P12=0,0,Q12/P12)</f>
        <v>8</v>
      </c>
      <c r="P12" s="82">
        <v>1</v>
      </c>
      <c r="Q12" s="73">
        <v>8</v>
      </c>
    </row>
    <row r="13" spans="1:17" x14ac:dyDescent="0.4">
      <c r="A13" s="22" t="s">
        <v>188</v>
      </c>
      <c r="B13" s="135">
        <f>AVERAGE(B10:B12)</f>
        <v>4.666666666666667</v>
      </c>
      <c r="C13" s="136"/>
      <c r="E13" s="29" t="s">
        <v>85</v>
      </c>
      <c r="F13" s="26" t="s">
        <v>40</v>
      </c>
      <c r="G13" s="14">
        <v>1</v>
      </c>
      <c r="H13" s="92">
        <f>IF(B$19=0,0,G13/B$19)</f>
        <v>8.3333333333333329E-2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14</v>
      </c>
      <c r="C15" s="12">
        <f>IF(B$3=0,0,B15/B$3)</f>
        <v>0.4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41.4</v>
      </c>
      <c r="P15" s="80">
        <v>2</v>
      </c>
      <c r="Q15" s="71">
        <v>82.8</v>
      </c>
    </row>
    <row r="16" spans="1:17" x14ac:dyDescent="0.4">
      <c r="A16" s="21" t="s">
        <v>118</v>
      </c>
      <c r="B16" s="14">
        <v>8</v>
      </c>
      <c r="C16" s="8">
        <f>IF(B$3=0,0,B16/B$3)</f>
        <v>0.22857142857142856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201</v>
      </c>
      <c r="O16" s="87">
        <f>IF(P16=0,0,Q16/P16)</f>
        <v>27.925000000000001</v>
      </c>
      <c r="P16" s="81">
        <v>4</v>
      </c>
      <c r="Q16" s="72">
        <v>111.7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-7.2500000000000018</v>
      </c>
      <c r="P17" s="81">
        <v>2</v>
      </c>
      <c r="Q17" s="72">
        <v>-14.500000000000004</v>
      </c>
    </row>
    <row r="18" spans="1:17" x14ac:dyDescent="0.4">
      <c r="A18" s="20" t="s">
        <v>124</v>
      </c>
      <c r="B18" s="13">
        <f>B24</f>
        <v>5</v>
      </c>
      <c r="C18" s="6">
        <f>IF(B$16=0,0,B18/B$16)</f>
        <v>0.625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</row>
    <row r="19" spans="1:17" x14ac:dyDescent="0.4">
      <c r="A19" s="20" t="s">
        <v>10</v>
      </c>
      <c r="B19" s="13">
        <f>B22+B21</f>
        <v>12</v>
      </c>
      <c r="C19" s="6">
        <f>IF(B$3=0,0,B19/B$3)</f>
        <v>0.34285714285714286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">
      <c r="A20" s="21" t="s">
        <v>13</v>
      </c>
      <c r="B20" s="14">
        <v>4</v>
      </c>
      <c r="C20" s="8">
        <f>IF(B$3=0,0,B20/B$3)</f>
        <v>0.11428571428571428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4</v>
      </c>
      <c r="C21" s="8">
        <f>IF(B$19=0,0,B21/B$19)</f>
        <v>0.33333333333333331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8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6</v>
      </c>
      <c r="C23" s="8">
        <f>IF(B$19=0,0,B23/B$19)</f>
        <v>0.5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">
      <c r="A24" s="21" t="s">
        <v>182</v>
      </c>
      <c r="B24" s="14">
        <v>5</v>
      </c>
      <c r="C24" s="8">
        <f>IF(B$19=0,0,B24/B$19)</f>
        <v>0.41666666666666669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1</v>
      </c>
      <c r="C25" s="8">
        <f>IF(B$19=0,0,B25/B$19)</f>
        <v>8.3333333333333329E-2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">
      <c r="A26" s="21" t="s">
        <v>5</v>
      </c>
      <c r="B26" s="18">
        <f>IF(B$19=0,0,C26/B$19)</f>
        <v>8625</v>
      </c>
      <c r="C26" s="10">
        <v>103500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11328.571428571429</v>
      </c>
      <c r="C27" s="100">
        <v>79300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4840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-8425</v>
      </c>
      <c r="C29" s="100">
        <v>-33700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2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17</v>
      </c>
      <c r="C31" s="94">
        <v>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74600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2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3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2</v>
      </c>
      <c r="C40" s="8">
        <f t="shared" si="2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3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1</v>
      </c>
      <c r="C42" s="8">
        <f t="shared" si="2"/>
        <v>8.3333333333333329E-2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201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">
      <c r="A3" s="21" t="s">
        <v>8</v>
      </c>
      <c r="B3" s="145">
        <v>35</v>
      </c>
      <c r="C3" s="146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3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">
      <c r="A4" s="21" t="s">
        <v>6</v>
      </c>
      <c r="B4" s="147">
        <v>-51.699999999999996</v>
      </c>
      <c r="C4" s="148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">
      <c r="A5" s="21" t="s">
        <v>7</v>
      </c>
      <c r="B5" s="135">
        <f>IF(B$2=0,0,B$4/B$2)</f>
        <v>-12.924999999999999</v>
      </c>
      <c r="C5" s="136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6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9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3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3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8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">
      <c r="A13" s="22" t="s">
        <v>188</v>
      </c>
      <c r="B13" s="135">
        <f>AVERAGE(B10:B12)</f>
        <v>-4.7666666666666657</v>
      </c>
      <c r="C13" s="136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202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3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45000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4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2020-10-03T09:27:06Z</dcterms:modified>
</cp:coreProperties>
</file>