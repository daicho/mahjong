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7680E52-B8D2-4429-A827-8BB361147A00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04" r:id="rId6"/>
    <sheet name="だいち" sheetId="6806" r:id="rId7"/>
    <sheet name="れんたろう" sheetId="6808" r:id="rId8"/>
    <sheet name="たかの" sheetId="6810" r:id="rId9"/>
    <sheet name="まっつん" sheetId="6812" r:id="rId10"/>
    <sheet name="いちかわ" sheetId="6814" r:id="rId11"/>
    <sheet name="ただ" sheetId="6816" r:id="rId12"/>
    <sheet name="たか" sheetId="6818" r:id="rId13"/>
    <sheet name="のり" sheetId="6820" r:id="rId14"/>
    <sheet name="りくと" sheetId="6822" r:id="rId15"/>
    <sheet name="わさび" sheetId="6824" r:id="rId16"/>
    <sheet name="わさび2" sheetId="6825" state="hidden" r:id="rId17"/>
    <sheet name="りくと2" sheetId="6823" state="hidden" r:id="rId18"/>
    <sheet name="のり2" sheetId="6821" state="hidden" r:id="rId19"/>
    <sheet name="たか2" sheetId="6819" state="hidden" r:id="rId20"/>
    <sheet name="ただ2" sheetId="6817" state="hidden" r:id="rId21"/>
    <sheet name="いちかわ2" sheetId="6815" state="hidden" r:id="rId22"/>
    <sheet name="まっつん2" sheetId="6813" state="hidden" r:id="rId23"/>
    <sheet name="たかの2" sheetId="6811" state="hidden" r:id="rId24"/>
    <sheet name="れんたろう2" sheetId="6809" state="hidden" r:id="rId25"/>
    <sheet name="だいち2" sheetId="6807" state="hidden" r:id="rId26"/>
    <sheet name="全体2" sheetId="680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9" i="6818" l="1"/>
  <c r="P16" i="6810"/>
  <c r="P17" i="6822" l="1"/>
  <c r="P18" i="6806"/>
  <c r="P22" i="6814" l="1"/>
  <c r="P19" i="6810"/>
  <c r="P20" i="6816" l="1"/>
  <c r="P17" i="6816"/>
  <c r="P15" i="6822"/>
  <c r="P17" i="6824"/>
  <c r="P17" i="6814"/>
  <c r="P15" i="6814"/>
  <c r="P15" i="6824"/>
  <c r="P16" i="6824"/>
  <c r="C35" i="6824"/>
  <c r="B30" i="6824"/>
  <c r="C21" i="6824"/>
  <c r="B20" i="6824"/>
  <c r="H50" i="6824" s="1"/>
  <c r="B19" i="6824"/>
  <c r="B29" i="6824" s="1"/>
  <c r="C18" i="6824"/>
  <c r="B18" i="6824"/>
  <c r="C17" i="6824"/>
  <c r="C16" i="6824"/>
  <c r="C15" i="6824"/>
  <c r="B13" i="6824"/>
  <c r="P12" i="6824"/>
  <c r="B12" i="6824"/>
  <c r="P11" i="6824"/>
  <c r="B11" i="6824"/>
  <c r="P10" i="6824"/>
  <c r="C10" i="6824"/>
  <c r="C9" i="6824"/>
  <c r="C8" i="6824"/>
  <c r="P7" i="6824"/>
  <c r="B7" i="6824"/>
  <c r="P6" i="6824"/>
  <c r="P5" i="6824"/>
  <c r="B5" i="6824"/>
  <c r="P4" i="6824"/>
  <c r="P3" i="6824"/>
  <c r="P2" i="6824"/>
  <c r="P20" i="6804"/>
  <c r="P18" i="6822"/>
  <c r="P16" i="6822"/>
  <c r="C35" i="6822"/>
  <c r="B30" i="6822"/>
  <c r="C21" i="6822"/>
  <c r="B20" i="6822"/>
  <c r="H50" i="6822" s="1"/>
  <c r="B19" i="6822"/>
  <c r="B29" i="6822" s="1"/>
  <c r="B18" i="6822"/>
  <c r="C18" i="6822" s="1"/>
  <c r="C17" i="6822"/>
  <c r="C16" i="6822"/>
  <c r="C15" i="6822"/>
  <c r="B13" i="6822"/>
  <c r="P12" i="6822"/>
  <c r="B12" i="6822"/>
  <c r="P11" i="6822"/>
  <c r="B11" i="6822"/>
  <c r="P10" i="6822"/>
  <c r="C10" i="6822"/>
  <c r="C9" i="6822"/>
  <c r="C8" i="6822"/>
  <c r="P7" i="6822"/>
  <c r="B7" i="6822"/>
  <c r="P6" i="6822"/>
  <c r="P5" i="6822"/>
  <c r="B5" i="6822"/>
  <c r="P4" i="6822"/>
  <c r="P3" i="6822"/>
  <c r="P2" i="6822"/>
  <c r="P19" i="6804"/>
  <c r="C19" i="6822" l="1"/>
  <c r="B14" i="6824"/>
  <c r="C19" i="6824"/>
  <c r="C20" i="6824"/>
  <c r="H3" i="6824"/>
  <c r="H25" i="6824"/>
  <c r="H33" i="6824"/>
  <c r="C38" i="6824"/>
  <c r="C46" i="6824"/>
  <c r="H2" i="6824"/>
  <c r="H11" i="6824"/>
  <c r="H16" i="6824"/>
  <c r="H19" i="6824"/>
  <c r="C24" i="6824"/>
  <c r="B28" i="6824"/>
  <c r="H34" i="6824"/>
  <c r="H39" i="6824"/>
  <c r="H43" i="6824"/>
  <c r="H47" i="6824"/>
  <c r="H9" i="6824"/>
  <c r="H22" i="6824"/>
  <c r="H26" i="6824"/>
  <c r="H29" i="6824"/>
  <c r="H35" i="6824"/>
  <c r="C39" i="6824"/>
  <c r="C43" i="6824"/>
  <c r="C47" i="6824"/>
  <c r="H52" i="6824"/>
  <c r="H14" i="6824"/>
  <c r="H17" i="6824"/>
  <c r="C25" i="6824"/>
  <c r="H40" i="6824"/>
  <c r="H44" i="6824"/>
  <c r="H48" i="6824"/>
  <c r="H8" i="6824"/>
  <c r="C42" i="6824"/>
  <c r="H51" i="6824"/>
  <c r="H6" i="6824"/>
  <c r="H12" i="6824"/>
  <c r="H20" i="6824"/>
  <c r="H23" i="6824"/>
  <c r="H27" i="6824"/>
  <c r="H30" i="6824"/>
  <c r="H36" i="6824"/>
  <c r="C40" i="6824"/>
  <c r="C44" i="6824"/>
  <c r="C48" i="6824"/>
  <c r="H5" i="6824"/>
  <c r="H18" i="6824"/>
  <c r="C22" i="6824"/>
  <c r="C26" i="6824"/>
  <c r="H37" i="6824"/>
  <c r="H41" i="6824"/>
  <c r="H45" i="6824"/>
  <c r="H49" i="6824"/>
  <c r="H4" i="6824"/>
  <c r="H13" i="6824"/>
  <c r="H15" i="6824"/>
  <c r="H24" i="6824"/>
  <c r="H28" i="6824"/>
  <c r="H31" i="6824"/>
  <c r="C37" i="6824"/>
  <c r="C41" i="6824"/>
  <c r="C45" i="6824"/>
  <c r="C49" i="6824"/>
  <c r="H10" i="6824"/>
  <c r="H7" i="6824"/>
  <c r="H21" i="6824"/>
  <c r="C23" i="6824"/>
  <c r="B27" i="6824"/>
  <c r="H32" i="6824"/>
  <c r="H38" i="6824"/>
  <c r="H42" i="6824"/>
  <c r="H46" i="6824"/>
  <c r="B14" i="6822"/>
  <c r="C20" i="6822"/>
  <c r="H8" i="6822"/>
  <c r="H24" i="6822"/>
  <c r="H33" i="6822"/>
  <c r="C42" i="6822"/>
  <c r="C46" i="6822"/>
  <c r="H5" i="6822"/>
  <c r="C24" i="6822"/>
  <c r="B28" i="6822"/>
  <c r="H34" i="6822"/>
  <c r="H39" i="6822"/>
  <c r="H43" i="6822"/>
  <c r="H47" i="6822"/>
  <c r="H6" i="6822"/>
  <c r="H21" i="6822"/>
  <c r="H25" i="6822"/>
  <c r="H29" i="6822"/>
  <c r="H35" i="6822"/>
  <c r="C39" i="6822"/>
  <c r="C43" i="6822"/>
  <c r="C47" i="6822"/>
  <c r="H52" i="6822"/>
  <c r="H12" i="6822"/>
  <c r="H15" i="6822"/>
  <c r="C25" i="6822"/>
  <c r="H40" i="6822"/>
  <c r="H44" i="6822"/>
  <c r="H48" i="6822"/>
  <c r="H28" i="6822"/>
  <c r="C38" i="6822"/>
  <c r="H51" i="6822"/>
  <c r="H7" i="6822"/>
  <c r="H14" i="6822"/>
  <c r="H18" i="6822"/>
  <c r="H3" i="6822"/>
  <c r="H10" i="6822"/>
  <c r="H19" i="6822"/>
  <c r="H22" i="6822"/>
  <c r="H26" i="6822"/>
  <c r="H30" i="6822"/>
  <c r="H36" i="6822"/>
  <c r="C40" i="6822"/>
  <c r="C44" i="6822"/>
  <c r="C48" i="6822"/>
  <c r="H2" i="6822"/>
  <c r="H16" i="6822"/>
  <c r="C22" i="6822"/>
  <c r="C26" i="6822"/>
  <c r="H37" i="6822"/>
  <c r="H41" i="6822"/>
  <c r="H45" i="6822"/>
  <c r="H49" i="6822"/>
  <c r="H4" i="6822"/>
  <c r="H11" i="6822"/>
  <c r="H13" i="6822"/>
  <c r="H23" i="6822"/>
  <c r="H27" i="6822"/>
  <c r="H31" i="6822"/>
  <c r="C37" i="6822"/>
  <c r="C41" i="6822"/>
  <c r="C45" i="6822"/>
  <c r="C49" i="6822"/>
  <c r="H9" i="6822"/>
  <c r="H17" i="6822"/>
  <c r="H20" i="6822"/>
  <c r="C23" i="6822"/>
  <c r="B27" i="6822"/>
  <c r="H32" i="6822"/>
  <c r="H38" i="6822"/>
  <c r="H42" i="6822"/>
  <c r="H46" i="6822"/>
  <c r="P18" i="6808" l="1"/>
  <c r="P15" i="6816"/>
  <c r="P16" i="6814"/>
  <c r="P16" i="6816"/>
  <c r="P21" i="6816"/>
  <c r="P18" i="6818"/>
  <c r="P19" i="6814"/>
  <c r="P20" i="6818"/>
  <c r="P16" i="6808"/>
  <c r="P15" i="6808"/>
  <c r="P17" i="6820" l="1"/>
  <c r="P16" i="6818"/>
  <c r="P17" i="6806"/>
  <c r="P20" i="6806"/>
  <c r="P16" i="6820"/>
  <c r="P15" i="6820"/>
  <c r="C45" i="6820"/>
  <c r="H45" i="6820"/>
  <c r="C35" i="6820"/>
  <c r="B30" i="6820"/>
  <c r="C21" i="6820"/>
  <c r="B20" i="6820"/>
  <c r="H51" i="6820" s="1"/>
  <c r="B19" i="6820"/>
  <c r="B29" i="6820" s="1"/>
  <c r="B18" i="6820"/>
  <c r="C18" i="6820" s="1"/>
  <c r="C17" i="6820"/>
  <c r="C16" i="6820"/>
  <c r="C15" i="6820"/>
  <c r="B13" i="6820"/>
  <c r="P12" i="6820"/>
  <c r="B12" i="6820"/>
  <c r="B14" i="6820" s="1"/>
  <c r="P11" i="6820"/>
  <c r="B11" i="6820"/>
  <c r="P10" i="6820"/>
  <c r="C10" i="6820"/>
  <c r="C9" i="6820"/>
  <c r="C8" i="6820"/>
  <c r="P7" i="6820"/>
  <c r="B7" i="6820"/>
  <c r="P6" i="6820"/>
  <c r="P5" i="6820"/>
  <c r="B5" i="6820"/>
  <c r="P4" i="6820"/>
  <c r="P3" i="6820"/>
  <c r="P2" i="6820"/>
  <c r="P17" i="6818"/>
  <c r="P15" i="6818"/>
  <c r="C35" i="6818"/>
  <c r="B30" i="6818"/>
  <c r="C21" i="6818"/>
  <c r="B20" i="6818"/>
  <c r="H52" i="6818" s="1"/>
  <c r="B19" i="6818"/>
  <c r="B29" i="6818" s="1"/>
  <c r="B18" i="6818"/>
  <c r="C18" i="6818" s="1"/>
  <c r="C17" i="6818"/>
  <c r="C16" i="6818"/>
  <c r="C15" i="6818"/>
  <c r="B13" i="6818"/>
  <c r="P12" i="6818"/>
  <c r="B12" i="6818"/>
  <c r="P11" i="6818"/>
  <c r="B11" i="6818"/>
  <c r="P10" i="6818"/>
  <c r="C10" i="6818"/>
  <c r="C9" i="6818"/>
  <c r="C8" i="6818"/>
  <c r="P7" i="6818"/>
  <c r="B7" i="6818"/>
  <c r="P6" i="6818"/>
  <c r="P5" i="6818"/>
  <c r="B5" i="6818"/>
  <c r="P4" i="6818"/>
  <c r="P3" i="6818"/>
  <c r="P2" i="6818"/>
  <c r="P23" i="6814"/>
  <c r="P18" i="6814"/>
  <c r="P16" i="6804"/>
  <c r="P18" i="6804"/>
  <c r="H8" i="6820" l="1"/>
  <c r="H47" i="6820"/>
  <c r="H29" i="6820"/>
  <c r="H28" i="6820"/>
  <c r="H21" i="6820"/>
  <c r="B28" i="6820"/>
  <c r="H12" i="6820"/>
  <c r="H3" i="6820"/>
  <c r="H37" i="6820"/>
  <c r="H23" i="6820"/>
  <c r="H2" i="6820"/>
  <c r="C37" i="6820"/>
  <c r="C22" i="6820"/>
  <c r="H39" i="6820"/>
  <c r="C19" i="6820"/>
  <c r="H17" i="6820"/>
  <c r="C47" i="6820"/>
  <c r="H24" i="6820"/>
  <c r="C39" i="6820"/>
  <c r="H15" i="6820"/>
  <c r="H18" i="6820"/>
  <c r="C24" i="6820"/>
  <c r="H31" i="6820"/>
  <c r="H41" i="6820"/>
  <c r="H49" i="6820"/>
  <c r="H11" i="6820"/>
  <c r="H26" i="6820"/>
  <c r="H34" i="6820"/>
  <c r="C41" i="6820"/>
  <c r="C49" i="6820"/>
  <c r="H35" i="6820"/>
  <c r="H43" i="6820"/>
  <c r="H5" i="6820"/>
  <c r="H13" i="6820"/>
  <c r="H6" i="6820"/>
  <c r="H19" i="6820"/>
  <c r="C25" i="6820"/>
  <c r="H7" i="6820"/>
  <c r="H14" i="6820"/>
  <c r="H16" i="6820"/>
  <c r="C20" i="6820"/>
  <c r="C26" i="6820"/>
  <c r="C43" i="6820"/>
  <c r="H52" i="6820"/>
  <c r="H40" i="6820"/>
  <c r="H44" i="6820"/>
  <c r="H48" i="6820"/>
  <c r="H22" i="6820"/>
  <c r="H10" i="6820"/>
  <c r="H27" i="6820"/>
  <c r="H30" i="6820"/>
  <c r="H36" i="6820"/>
  <c r="C40" i="6820"/>
  <c r="C44" i="6820"/>
  <c r="C48" i="6820"/>
  <c r="H20" i="6820"/>
  <c r="H9" i="6820"/>
  <c r="C23" i="6820"/>
  <c r="B27" i="6820"/>
  <c r="H32" i="6820"/>
  <c r="H38" i="6820"/>
  <c r="H42" i="6820"/>
  <c r="H46" i="6820"/>
  <c r="H50" i="6820"/>
  <c r="H25" i="6820"/>
  <c r="H4" i="6820"/>
  <c r="H33" i="6820"/>
  <c r="C38" i="6820"/>
  <c r="C42" i="6820"/>
  <c r="C46" i="6820"/>
  <c r="B14" i="6818"/>
  <c r="C19" i="6818"/>
  <c r="H26" i="6818"/>
  <c r="H2" i="6818"/>
  <c r="H3" i="6818"/>
  <c r="H20" i="6818"/>
  <c r="H12" i="6818"/>
  <c r="H23" i="6818"/>
  <c r="C25" i="6818"/>
  <c r="H27" i="6818"/>
  <c r="H19" i="6818"/>
  <c r="H37" i="6818"/>
  <c r="C40" i="6818"/>
  <c r="H41" i="6818"/>
  <c r="C41" i="6818"/>
  <c r="H14" i="6818"/>
  <c r="C44" i="6818"/>
  <c r="H9" i="6818"/>
  <c r="H31" i="6818"/>
  <c r="H45" i="6818"/>
  <c r="H10" i="6818"/>
  <c r="H22" i="6818"/>
  <c r="H49" i="6818"/>
  <c r="H17" i="6818"/>
  <c r="H30" i="6818"/>
  <c r="H25" i="6818"/>
  <c r="H4" i="6818"/>
  <c r="H6" i="6818"/>
  <c r="C22" i="6818"/>
  <c r="H36" i="6818"/>
  <c r="C49" i="6818"/>
  <c r="H44" i="6818"/>
  <c r="C37" i="6818"/>
  <c r="C45" i="6818"/>
  <c r="H13" i="6818"/>
  <c r="H18" i="6818"/>
  <c r="H21" i="6818"/>
  <c r="C26" i="6818"/>
  <c r="H8" i="6818"/>
  <c r="C20" i="6818"/>
  <c r="H28" i="6818"/>
  <c r="H40" i="6818"/>
  <c r="C48" i="6818"/>
  <c r="H48" i="6818"/>
  <c r="H15" i="6818"/>
  <c r="C23" i="6818"/>
  <c r="B27" i="6818"/>
  <c r="H32" i="6818"/>
  <c r="H38" i="6818"/>
  <c r="H42" i="6818"/>
  <c r="H46" i="6818"/>
  <c r="H50" i="6818"/>
  <c r="H16" i="6818"/>
  <c r="H7" i="6818"/>
  <c r="H33" i="6818"/>
  <c r="C38" i="6818"/>
  <c r="C42" i="6818"/>
  <c r="C46" i="6818"/>
  <c r="H51" i="6818"/>
  <c r="C24" i="6818"/>
  <c r="B28" i="6818"/>
  <c r="H34" i="6818"/>
  <c r="H39" i="6818"/>
  <c r="H43" i="6818"/>
  <c r="H47" i="6818"/>
  <c r="H5" i="6818"/>
  <c r="H24" i="6818"/>
  <c r="H11" i="6818"/>
  <c r="H29" i="6818"/>
  <c r="H35" i="6818"/>
  <c r="C39" i="6818"/>
  <c r="C43" i="6818"/>
  <c r="C47" i="6818"/>
  <c r="P18" i="6810" l="1"/>
  <c r="P19" i="6816"/>
  <c r="P18" i="6816"/>
  <c r="C35" i="6816"/>
  <c r="B30" i="6816"/>
  <c r="C21" i="6816"/>
  <c r="B20" i="6816"/>
  <c r="H52" i="6816" s="1"/>
  <c r="C19" i="6816"/>
  <c r="B19" i="6816"/>
  <c r="B29" i="6816" s="1"/>
  <c r="B18" i="6816"/>
  <c r="C18" i="6816" s="1"/>
  <c r="C17" i="6816"/>
  <c r="C16" i="6816"/>
  <c r="C15" i="6816"/>
  <c r="B13" i="6816"/>
  <c r="P12" i="6816"/>
  <c r="B12" i="6816"/>
  <c r="P11" i="6816"/>
  <c r="B11" i="6816"/>
  <c r="P10" i="6816"/>
  <c r="C10" i="6816"/>
  <c r="C9" i="6816"/>
  <c r="C8" i="6816"/>
  <c r="P7" i="6816"/>
  <c r="B7" i="6816"/>
  <c r="P6" i="6816"/>
  <c r="P5" i="6816"/>
  <c r="B5" i="6816"/>
  <c r="P4" i="6816"/>
  <c r="P3" i="6816"/>
  <c r="P2" i="6816"/>
  <c r="P19" i="6806"/>
  <c r="P21" i="6804"/>
  <c r="B14" i="6816" l="1"/>
  <c r="H16" i="6816"/>
  <c r="H18" i="6816"/>
  <c r="H37" i="6816"/>
  <c r="C40" i="6816"/>
  <c r="H42" i="6816"/>
  <c r="H19" i="6816"/>
  <c r="H26" i="6816"/>
  <c r="C25" i="6816"/>
  <c r="C22" i="6816"/>
  <c r="H8" i="6816"/>
  <c r="C41" i="6816"/>
  <c r="H6" i="6816"/>
  <c r="H28" i="6816"/>
  <c r="H13" i="6816"/>
  <c r="H23" i="6816"/>
  <c r="H4" i="6816"/>
  <c r="H5" i="6816"/>
  <c r="H21" i="6816"/>
  <c r="H45" i="6816"/>
  <c r="H31" i="6816"/>
  <c r="H46" i="6816"/>
  <c r="H22" i="6816"/>
  <c r="H2" i="6816"/>
  <c r="C20" i="6816"/>
  <c r="H32" i="6816"/>
  <c r="C49" i="6816"/>
  <c r="C26" i="6816"/>
  <c r="C45" i="6816"/>
  <c r="C37" i="6816"/>
  <c r="H49" i="6816"/>
  <c r="H38" i="6816"/>
  <c r="H7" i="6816"/>
  <c r="H29" i="6816"/>
  <c r="H10" i="6816"/>
  <c r="H41" i="6816"/>
  <c r="H50" i="6816"/>
  <c r="C44" i="6816"/>
  <c r="C48" i="6816"/>
  <c r="H14" i="6816"/>
  <c r="H24" i="6816"/>
  <c r="C23" i="6816"/>
  <c r="B27" i="6816"/>
  <c r="H33" i="6816"/>
  <c r="H39" i="6816"/>
  <c r="H43" i="6816"/>
  <c r="H47" i="6816"/>
  <c r="H51" i="6816"/>
  <c r="H27" i="6816"/>
  <c r="H9" i="6816"/>
  <c r="H34" i="6816"/>
  <c r="C38" i="6816"/>
  <c r="C42" i="6816"/>
  <c r="C46" i="6816"/>
  <c r="H17" i="6816"/>
  <c r="H11" i="6816"/>
  <c r="H20" i="6816"/>
  <c r="H15" i="6816"/>
  <c r="C24" i="6816"/>
  <c r="B28" i="6816"/>
  <c r="H35" i="6816"/>
  <c r="H40" i="6816"/>
  <c r="H44" i="6816"/>
  <c r="H48" i="6816"/>
  <c r="H3" i="6816"/>
  <c r="H25" i="6816"/>
  <c r="H12" i="6816"/>
  <c r="H30" i="6816"/>
  <c r="H36" i="6816"/>
  <c r="C39" i="6816"/>
  <c r="C43" i="6816"/>
  <c r="C47" i="6816"/>
  <c r="P21" i="6806" l="1"/>
  <c r="P15" i="6806"/>
  <c r="P20" i="6814"/>
  <c r="P21" i="6814"/>
  <c r="C35" i="6814"/>
  <c r="B30" i="6814"/>
  <c r="C21" i="6814"/>
  <c r="B20" i="6814"/>
  <c r="H52" i="6814" s="1"/>
  <c r="B19" i="6814"/>
  <c r="B29" i="6814" s="1"/>
  <c r="B18" i="6814"/>
  <c r="C18" i="6814" s="1"/>
  <c r="C17" i="6814"/>
  <c r="C16" i="6814"/>
  <c r="C15" i="6814"/>
  <c r="B13" i="6814"/>
  <c r="P12" i="6814"/>
  <c r="B12" i="6814"/>
  <c r="P11" i="6814"/>
  <c r="B11" i="6814"/>
  <c r="P10" i="6814"/>
  <c r="C10" i="6814"/>
  <c r="C9" i="6814"/>
  <c r="C8" i="6814"/>
  <c r="P7" i="6814"/>
  <c r="B7" i="6814"/>
  <c r="P6" i="6814"/>
  <c r="P5" i="6814"/>
  <c r="B5" i="6814"/>
  <c r="P4" i="6814"/>
  <c r="P3" i="6814"/>
  <c r="P2" i="6814"/>
  <c r="P15" i="6804"/>
  <c r="P16" i="6812"/>
  <c r="P15" i="6812"/>
  <c r="C35" i="6812"/>
  <c r="B30" i="6812"/>
  <c r="C21" i="6812"/>
  <c r="B20" i="6812"/>
  <c r="H52" i="6812" s="1"/>
  <c r="C19" i="6812"/>
  <c r="B19" i="6812"/>
  <c r="B29" i="6812" s="1"/>
  <c r="C18" i="6812"/>
  <c r="B18" i="6812"/>
  <c r="C17" i="6812"/>
  <c r="C16" i="6812"/>
  <c r="C15" i="6812"/>
  <c r="B13" i="6812"/>
  <c r="P12" i="6812"/>
  <c r="B12" i="6812"/>
  <c r="P11" i="6812"/>
  <c r="B11" i="6812"/>
  <c r="P10" i="6812"/>
  <c r="C10" i="6812"/>
  <c r="C9" i="6812"/>
  <c r="C8" i="6812"/>
  <c r="P7" i="6812"/>
  <c r="B7" i="6812"/>
  <c r="P6" i="6812"/>
  <c r="P5" i="6812"/>
  <c r="B5" i="6812"/>
  <c r="P4" i="6812"/>
  <c r="P3" i="6812"/>
  <c r="P2" i="6812"/>
  <c r="P23" i="6804"/>
  <c r="B14" i="6812" l="1"/>
  <c r="C25" i="6812"/>
  <c r="H13" i="6812"/>
  <c r="B14" i="6814"/>
  <c r="C19" i="6814"/>
  <c r="H31" i="6814"/>
  <c r="H18" i="6814"/>
  <c r="H40" i="6814"/>
  <c r="H20" i="6814"/>
  <c r="H4" i="6814"/>
  <c r="H22" i="6814"/>
  <c r="H26" i="6814"/>
  <c r="H45" i="6814"/>
  <c r="H11" i="6814"/>
  <c r="H38" i="6814"/>
  <c r="H15" i="6814"/>
  <c r="C23" i="6814"/>
  <c r="H5" i="6814"/>
  <c r="C25" i="6814"/>
  <c r="C45" i="6814"/>
  <c r="C40" i="6814"/>
  <c r="H10" i="6814"/>
  <c r="H13" i="6814"/>
  <c r="H7" i="6814"/>
  <c r="H46" i="6814"/>
  <c r="H28" i="6814"/>
  <c r="H32" i="6814"/>
  <c r="H41" i="6814"/>
  <c r="H48" i="6814"/>
  <c r="H14" i="6814"/>
  <c r="H3" i="6814"/>
  <c r="H23" i="6814"/>
  <c r="C26" i="6814"/>
  <c r="C48" i="6814"/>
  <c r="H8" i="6814"/>
  <c r="H29" i="6814"/>
  <c r="H49" i="6814"/>
  <c r="H21" i="6814"/>
  <c r="H12" i="6814"/>
  <c r="B27" i="6814"/>
  <c r="H37" i="6814"/>
  <c r="H44" i="6814"/>
  <c r="C49" i="6814"/>
  <c r="C20" i="6814"/>
  <c r="C41" i="6814"/>
  <c r="H2" i="6814"/>
  <c r="H17" i="6814"/>
  <c r="H36" i="6814"/>
  <c r="H42" i="6814"/>
  <c r="H16" i="6814"/>
  <c r="H24" i="6814"/>
  <c r="C22" i="6814"/>
  <c r="C37" i="6814"/>
  <c r="C44" i="6814"/>
  <c r="H50" i="6814"/>
  <c r="H27" i="6814"/>
  <c r="H9" i="6814"/>
  <c r="H33" i="6814"/>
  <c r="C38" i="6814"/>
  <c r="C42" i="6814"/>
  <c r="C46" i="6814"/>
  <c r="H51" i="6814"/>
  <c r="C24" i="6814"/>
  <c r="B28" i="6814"/>
  <c r="H34" i="6814"/>
  <c r="H39" i="6814"/>
  <c r="H43" i="6814"/>
  <c r="H47" i="6814"/>
  <c r="H6" i="6814"/>
  <c r="H25" i="6814"/>
  <c r="H19" i="6814"/>
  <c r="H30" i="6814"/>
  <c r="H35" i="6814"/>
  <c r="C39" i="6814"/>
  <c r="C43" i="6814"/>
  <c r="C47" i="6814"/>
  <c r="H37" i="6812"/>
  <c r="H12" i="6812"/>
  <c r="H28" i="6812"/>
  <c r="C37" i="6812"/>
  <c r="C45" i="6812"/>
  <c r="H11" i="6812"/>
  <c r="C44" i="6812"/>
  <c r="H45" i="6812"/>
  <c r="H14" i="6812"/>
  <c r="H8" i="6812"/>
  <c r="H48" i="6812"/>
  <c r="H6" i="6812"/>
  <c r="H23" i="6812"/>
  <c r="H30" i="6812"/>
  <c r="C40" i="6812"/>
  <c r="C48" i="6812"/>
  <c r="H5" i="6812"/>
  <c r="H27" i="6812"/>
  <c r="H4" i="6812"/>
  <c r="C26" i="6812"/>
  <c r="H10" i="6812"/>
  <c r="H19" i="6812"/>
  <c r="H9" i="6812"/>
  <c r="H15" i="6812"/>
  <c r="C22" i="6812"/>
  <c r="H41" i="6812"/>
  <c r="H49" i="6812"/>
  <c r="H44" i="6812"/>
  <c r="H17" i="6812"/>
  <c r="H36" i="6812"/>
  <c r="C20" i="6812"/>
  <c r="H40" i="6812"/>
  <c r="H3" i="6812"/>
  <c r="H16" i="6812"/>
  <c r="H20" i="6812"/>
  <c r="H24" i="6812"/>
  <c r="H31" i="6812"/>
  <c r="C41" i="6812"/>
  <c r="C49" i="6812"/>
  <c r="H18" i="6812"/>
  <c r="H21" i="6812"/>
  <c r="C23" i="6812"/>
  <c r="B27" i="6812"/>
  <c r="H32" i="6812"/>
  <c r="H38" i="6812"/>
  <c r="H42" i="6812"/>
  <c r="H46" i="6812"/>
  <c r="H50" i="6812"/>
  <c r="H25" i="6812"/>
  <c r="H7" i="6812"/>
  <c r="H33" i="6812"/>
  <c r="C38" i="6812"/>
  <c r="C42" i="6812"/>
  <c r="C46" i="6812"/>
  <c r="H51" i="6812"/>
  <c r="C24" i="6812"/>
  <c r="B28" i="6812"/>
  <c r="H34" i="6812"/>
  <c r="H39" i="6812"/>
  <c r="H43" i="6812"/>
  <c r="H47" i="6812"/>
  <c r="H2" i="6812"/>
  <c r="H22" i="6812"/>
  <c r="H26" i="6812"/>
  <c r="H29" i="6812"/>
  <c r="H35" i="6812"/>
  <c r="C39" i="6812"/>
  <c r="C43" i="6812"/>
  <c r="C47" i="6812"/>
  <c r="P15" i="6810" l="1"/>
  <c r="P17" i="6810"/>
  <c r="C35" i="6810"/>
  <c r="B30" i="6810"/>
  <c r="C21" i="6810"/>
  <c r="B20" i="6810"/>
  <c r="H52" i="6810" s="1"/>
  <c r="B19" i="6810"/>
  <c r="B29" i="6810" s="1"/>
  <c r="B18" i="6810"/>
  <c r="C18" i="6810" s="1"/>
  <c r="C17" i="6810"/>
  <c r="C16" i="6810"/>
  <c r="C15" i="6810"/>
  <c r="B13" i="6810"/>
  <c r="P12" i="6810"/>
  <c r="B12" i="6810"/>
  <c r="P11" i="6810"/>
  <c r="B11" i="6810"/>
  <c r="B14" i="6810" s="1"/>
  <c r="P10" i="6810"/>
  <c r="C10" i="6810"/>
  <c r="C9" i="6810"/>
  <c r="C8" i="6810"/>
  <c r="P7" i="6810"/>
  <c r="B7" i="6810"/>
  <c r="P6" i="6810"/>
  <c r="P5" i="6810"/>
  <c r="B5" i="6810"/>
  <c r="P4" i="6810"/>
  <c r="P3" i="6810"/>
  <c r="P2" i="6810"/>
  <c r="P17" i="6808"/>
  <c r="P19" i="6808"/>
  <c r="C35" i="6808"/>
  <c r="B30" i="6808"/>
  <c r="C21" i="6808"/>
  <c r="B20" i="6808"/>
  <c r="H52" i="6808" s="1"/>
  <c r="B19" i="6808"/>
  <c r="B29" i="6808" s="1"/>
  <c r="B18" i="6808"/>
  <c r="C18" i="6808" s="1"/>
  <c r="C17" i="6808"/>
  <c r="C16" i="6808"/>
  <c r="C15" i="6808"/>
  <c r="B13" i="6808"/>
  <c r="P12" i="6808"/>
  <c r="B12" i="6808"/>
  <c r="P11" i="6808"/>
  <c r="B11" i="6808"/>
  <c r="P10" i="6808"/>
  <c r="C10" i="6808"/>
  <c r="C9" i="6808"/>
  <c r="C8" i="6808"/>
  <c r="P7" i="6808"/>
  <c r="B7" i="6808"/>
  <c r="P6" i="6808"/>
  <c r="P5" i="6808"/>
  <c r="B5" i="6808"/>
  <c r="P4" i="6808"/>
  <c r="P3" i="6808"/>
  <c r="P2" i="6808"/>
  <c r="P22" i="6804"/>
  <c r="P22" i="6806"/>
  <c r="P16" i="6806"/>
  <c r="C35" i="6806"/>
  <c r="B30" i="6806"/>
  <c r="C21" i="6806"/>
  <c r="B20" i="6806"/>
  <c r="H5" i="6806" s="1"/>
  <c r="B19" i="6806"/>
  <c r="B29" i="6806" s="1"/>
  <c r="B18" i="6806"/>
  <c r="C18" i="6806" s="1"/>
  <c r="C17" i="6806"/>
  <c r="C16" i="6806"/>
  <c r="C15" i="6806"/>
  <c r="B13" i="6806"/>
  <c r="P12" i="6806"/>
  <c r="B12" i="6806"/>
  <c r="P11" i="6806"/>
  <c r="B11" i="6806"/>
  <c r="P10" i="6806"/>
  <c r="C10" i="6806"/>
  <c r="C9" i="6806"/>
  <c r="C8" i="6806"/>
  <c r="P7" i="6806"/>
  <c r="B7" i="6806"/>
  <c r="P6" i="6806"/>
  <c r="P5" i="6806"/>
  <c r="B5" i="6806"/>
  <c r="P4" i="6806"/>
  <c r="P3" i="6806"/>
  <c r="P2" i="6806"/>
  <c r="P24" i="6804"/>
  <c r="P17" i="6804"/>
  <c r="C35" i="6804"/>
  <c r="B30" i="6804"/>
  <c r="C21" i="6804"/>
  <c r="B20" i="6804"/>
  <c r="H52" i="6804" s="1"/>
  <c r="B19" i="6804"/>
  <c r="B29" i="6804" s="1"/>
  <c r="B18" i="6804"/>
  <c r="C18" i="6804" s="1"/>
  <c r="C17" i="6804"/>
  <c r="C16" i="6804"/>
  <c r="C15" i="6804"/>
  <c r="B13" i="6804"/>
  <c r="P12" i="6804"/>
  <c r="B12" i="6804"/>
  <c r="P11" i="6804"/>
  <c r="B11" i="6804"/>
  <c r="P10" i="6804"/>
  <c r="C10" i="6804"/>
  <c r="C9" i="6804"/>
  <c r="C8" i="6804"/>
  <c r="P7" i="6804"/>
  <c r="B7" i="6804"/>
  <c r="P6" i="6804"/>
  <c r="P5" i="6804"/>
  <c r="B5" i="6804"/>
  <c r="P4" i="6804"/>
  <c r="P3" i="6804"/>
  <c r="P2" i="6804"/>
  <c r="C19" i="6808" l="1"/>
  <c r="H8" i="6808"/>
  <c r="B14" i="6806"/>
  <c r="C19" i="6806"/>
  <c r="H10" i="6810"/>
  <c r="H20" i="6810"/>
  <c r="C19" i="6810"/>
  <c r="H4" i="6810"/>
  <c r="C25" i="6810"/>
  <c r="H44" i="6810"/>
  <c r="H17" i="6810"/>
  <c r="C26" i="6810"/>
  <c r="H37" i="6810"/>
  <c r="H45" i="6810"/>
  <c r="H39" i="6810"/>
  <c r="H47" i="6810"/>
  <c r="C45" i="6810"/>
  <c r="H18" i="6810"/>
  <c r="H48" i="6810"/>
  <c r="H21" i="6810"/>
  <c r="C20" i="6810"/>
  <c r="H11" i="6810"/>
  <c r="H9" i="6810"/>
  <c r="H23" i="6810"/>
  <c r="C22" i="6810"/>
  <c r="H41" i="6810"/>
  <c r="H49" i="6810"/>
  <c r="C37" i="6810"/>
  <c r="H5" i="6810"/>
  <c r="H40" i="6810"/>
  <c r="H2" i="6810"/>
  <c r="H27" i="6810"/>
  <c r="H31" i="6810"/>
  <c r="C41" i="6810"/>
  <c r="C49" i="6810"/>
  <c r="H14" i="6810"/>
  <c r="B28" i="6810"/>
  <c r="H7" i="6810"/>
  <c r="H3" i="6810"/>
  <c r="H16" i="6810"/>
  <c r="H19" i="6810"/>
  <c r="C24" i="6810"/>
  <c r="H34" i="6810"/>
  <c r="H43" i="6810"/>
  <c r="H6" i="6810"/>
  <c r="H24" i="6810"/>
  <c r="H12" i="6810"/>
  <c r="H29" i="6810"/>
  <c r="H15" i="6810"/>
  <c r="H36" i="6810"/>
  <c r="C40" i="6810"/>
  <c r="C44" i="6810"/>
  <c r="C48" i="6810"/>
  <c r="H22" i="6810"/>
  <c r="H25" i="6810"/>
  <c r="C23" i="6810"/>
  <c r="B27" i="6810"/>
  <c r="H32" i="6810"/>
  <c r="H38" i="6810"/>
  <c r="H42" i="6810"/>
  <c r="H46" i="6810"/>
  <c r="H50" i="6810"/>
  <c r="H28" i="6810"/>
  <c r="H8" i="6810"/>
  <c r="H33" i="6810"/>
  <c r="C38" i="6810"/>
  <c r="C42" i="6810"/>
  <c r="C46" i="6810"/>
  <c r="H51" i="6810"/>
  <c r="H26" i="6810"/>
  <c r="H13" i="6810"/>
  <c r="H30" i="6810"/>
  <c r="H35" i="6810"/>
  <c r="C39" i="6810"/>
  <c r="C43" i="6810"/>
  <c r="C47" i="6810"/>
  <c r="C19" i="6804"/>
  <c r="B14" i="6808"/>
  <c r="C25" i="6808"/>
  <c r="H20" i="6808"/>
  <c r="H14" i="6808"/>
  <c r="H10" i="6808"/>
  <c r="H31" i="6808"/>
  <c r="H16" i="6808"/>
  <c r="C41" i="6808"/>
  <c r="H42" i="6808"/>
  <c r="H12" i="6808"/>
  <c r="H32" i="6808"/>
  <c r="C26" i="6808"/>
  <c r="H9" i="6808"/>
  <c r="C44" i="6808"/>
  <c r="H44" i="6808"/>
  <c r="C45" i="6808"/>
  <c r="H15" i="6808"/>
  <c r="H28" i="6808"/>
  <c r="H48" i="6808"/>
  <c r="C20" i="6808"/>
  <c r="H11" i="6808"/>
  <c r="B27" i="6808"/>
  <c r="C37" i="6808"/>
  <c r="H19" i="6808"/>
  <c r="H24" i="6808"/>
  <c r="C22" i="6808"/>
  <c r="H6" i="6808"/>
  <c r="H13" i="6808"/>
  <c r="H23" i="6808"/>
  <c r="H26" i="6808"/>
  <c r="H30" i="6808"/>
  <c r="H40" i="6808"/>
  <c r="C48" i="6808"/>
  <c r="H27" i="6808"/>
  <c r="H2" i="6808"/>
  <c r="H3" i="6808"/>
  <c r="H21" i="6808"/>
  <c r="H36" i="6808"/>
  <c r="H22" i="6808"/>
  <c r="H38" i="6808"/>
  <c r="H5" i="6808"/>
  <c r="C23" i="6808"/>
  <c r="C40" i="6808"/>
  <c r="C49" i="6808"/>
  <c r="H37" i="6808"/>
  <c r="H41" i="6808"/>
  <c r="H45" i="6808"/>
  <c r="H49" i="6808"/>
  <c r="H46" i="6808"/>
  <c r="H50" i="6808"/>
  <c r="H17" i="6808"/>
  <c r="H7" i="6808"/>
  <c r="H33" i="6808"/>
  <c r="C38" i="6808"/>
  <c r="C42" i="6808"/>
  <c r="C46" i="6808"/>
  <c r="H51" i="6808"/>
  <c r="C24" i="6808"/>
  <c r="B28" i="6808"/>
  <c r="H34" i="6808"/>
  <c r="H39" i="6808"/>
  <c r="H43" i="6808"/>
  <c r="H47" i="6808"/>
  <c r="H4" i="6808"/>
  <c r="H25" i="6808"/>
  <c r="H18" i="6808"/>
  <c r="H29" i="6808"/>
  <c r="H35" i="6808"/>
  <c r="C39" i="6808"/>
  <c r="C43" i="6808"/>
  <c r="C47" i="6808"/>
  <c r="B14" i="6804"/>
  <c r="H12" i="6806"/>
  <c r="H31" i="6806"/>
  <c r="H6" i="6806"/>
  <c r="H4" i="6806"/>
  <c r="H45" i="6806"/>
  <c r="H3" i="6806"/>
  <c r="H24" i="6806"/>
  <c r="H41" i="6806"/>
  <c r="H10" i="6806"/>
  <c r="H16" i="6806"/>
  <c r="H46" i="6806"/>
  <c r="H2" i="6806"/>
  <c r="H38" i="6806"/>
  <c r="H26" i="6806"/>
  <c r="H7" i="6806"/>
  <c r="H21" i="6806"/>
  <c r="C25" i="6806"/>
  <c r="H49" i="6806"/>
  <c r="C26" i="6806"/>
  <c r="C45" i="6806"/>
  <c r="C37" i="6806"/>
  <c r="H13" i="6806"/>
  <c r="H17" i="6806"/>
  <c r="C20" i="6806"/>
  <c r="H30" i="6806"/>
  <c r="C39" i="6806"/>
  <c r="C47" i="6806"/>
  <c r="H9" i="6806"/>
  <c r="H18" i="6806"/>
  <c r="H42" i="6806"/>
  <c r="H19" i="6806"/>
  <c r="C41" i="6806"/>
  <c r="C49" i="6806"/>
  <c r="H22" i="6806"/>
  <c r="H50" i="6806"/>
  <c r="C22" i="6806"/>
  <c r="H20" i="6806"/>
  <c r="H23" i="6806"/>
  <c r="H27" i="6806"/>
  <c r="H36" i="6806"/>
  <c r="C43" i="6806"/>
  <c r="H52" i="6806"/>
  <c r="H25" i="6806"/>
  <c r="H11" i="6806"/>
  <c r="H29" i="6806"/>
  <c r="H32" i="6806"/>
  <c r="H37" i="6806"/>
  <c r="C40" i="6806"/>
  <c r="C44" i="6806"/>
  <c r="C48" i="6806"/>
  <c r="H14" i="6806"/>
  <c r="C23" i="6806"/>
  <c r="B27" i="6806"/>
  <c r="H33" i="6806"/>
  <c r="H39" i="6806"/>
  <c r="H43" i="6806"/>
  <c r="H47" i="6806"/>
  <c r="H51" i="6806"/>
  <c r="H28" i="6806"/>
  <c r="H8" i="6806"/>
  <c r="H34" i="6806"/>
  <c r="C38" i="6806"/>
  <c r="C42" i="6806"/>
  <c r="C46" i="6806"/>
  <c r="H15" i="6806"/>
  <c r="C24" i="6806"/>
  <c r="B28" i="6806"/>
  <c r="H35" i="6806"/>
  <c r="H40" i="6806"/>
  <c r="H44" i="6806"/>
  <c r="H48" i="6806"/>
  <c r="H7" i="6804"/>
  <c r="H20" i="6804"/>
  <c r="H23" i="6804"/>
  <c r="C25" i="6804"/>
  <c r="H10" i="6804"/>
  <c r="H45" i="6804"/>
  <c r="H31" i="6804"/>
  <c r="H37" i="6804"/>
  <c r="C44" i="6804"/>
  <c r="H4" i="6804"/>
  <c r="H46" i="6804"/>
  <c r="H6" i="6804"/>
  <c r="H11" i="6804"/>
  <c r="H26" i="6804"/>
  <c r="C20" i="6804"/>
  <c r="H24" i="6804"/>
  <c r="C37" i="6804"/>
  <c r="C45" i="6804"/>
  <c r="C26" i="6804"/>
  <c r="H12" i="6804"/>
  <c r="H41" i="6804"/>
  <c r="H13" i="6804"/>
  <c r="H19" i="6804"/>
  <c r="C40" i="6804"/>
  <c r="C48" i="6804"/>
  <c r="H38" i="6804"/>
  <c r="H18" i="6804"/>
  <c r="H49" i="6804"/>
  <c r="H3" i="6804"/>
  <c r="H2" i="6804"/>
  <c r="H9" i="6804"/>
  <c r="H22" i="6804"/>
  <c r="C22" i="6804"/>
  <c r="H42" i="6804"/>
  <c r="H50" i="6804"/>
  <c r="H27" i="6804"/>
  <c r="H28" i="6804"/>
  <c r="H30" i="6804"/>
  <c r="H25" i="6804"/>
  <c r="C41" i="6804"/>
  <c r="C49" i="6804"/>
  <c r="H16" i="6804"/>
  <c r="H15" i="6804"/>
  <c r="C23" i="6804"/>
  <c r="B27" i="6804"/>
  <c r="H33" i="6804"/>
  <c r="H39" i="6804"/>
  <c r="H43" i="6804"/>
  <c r="H47" i="6804"/>
  <c r="H51" i="6804"/>
  <c r="H21" i="6804"/>
  <c r="H8" i="6804"/>
  <c r="H34" i="6804"/>
  <c r="C38" i="6804"/>
  <c r="C42" i="6804"/>
  <c r="C46" i="6804"/>
  <c r="H17" i="6804"/>
  <c r="C24" i="6804"/>
  <c r="B28" i="6804"/>
  <c r="H35" i="6804"/>
  <c r="H40" i="6804"/>
  <c r="H44" i="6804"/>
  <c r="H48" i="6804"/>
  <c r="H5" i="6804"/>
  <c r="H29" i="6804"/>
  <c r="H14" i="6804"/>
  <c r="H32" i="6804"/>
  <c r="H36" i="6804"/>
  <c r="C39" i="6804"/>
  <c r="C43" i="6804"/>
  <c r="C47" i="680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<sst xmlns="http://schemas.openxmlformats.org/spreadsheetml/2006/main" count="2886" uniqueCount="228">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</sst>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E-478A-8FD6-F8118E75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-41.666666666666664</c:v>
                </c:pt>
                <c:pt idx="1">
                  <c:v>43.01075268817204</c:v>
                </c:pt>
                <c:pt idx="2">
                  <c:v>-32.258064516129032</c:v>
                </c:pt>
                <c:pt idx="3">
                  <c:v>34.482758620689658</c:v>
                </c:pt>
                <c:pt idx="4">
                  <c:v>-24.691358024691358</c:v>
                </c:pt>
                <c:pt idx="5">
                  <c:v>26.666666666666668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E-4395-9008-A4D92EF27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17</c:v>
                </c:pt>
                <c:pt idx="1">
                  <c:v>48</c:v>
                </c:pt>
                <c:pt idx="2">
                  <c:v>43</c:v>
                </c:pt>
                <c:pt idx="3">
                  <c:v>43</c:v>
                </c:pt>
                <c:pt idx="4">
                  <c:v>25</c:v>
                </c:pt>
                <c:pt idx="5">
                  <c:v>28</c:v>
                </c:pt>
                <c:pt idx="6">
                  <c:v>15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A-4762-9EAB-A5F9493C6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全体!$M$2:$M$98</c:f>
              <c:numCache>
                <c:formatCode>0</c:formatCode>
                <c:ptCount val="97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2-455B-9A67-2AC387C7E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だいち!$L$2:$L$26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A-410A-9094-D764E0EE9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1879.1666666666667</c:v>
                </c:pt>
                <c:pt idx="1">
                  <c:v>-1413.0434782608695</c:v>
                </c:pt>
                <c:pt idx="2">
                  <c:v>-13.043478260869565</c:v>
                </c:pt>
                <c:pt idx="3">
                  <c:v>2095.4545454545455</c:v>
                </c:pt>
                <c:pt idx="4">
                  <c:v>-128.57142857142858</c:v>
                </c:pt>
                <c:pt idx="5">
                  <c:v>-2863.1578947368421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4-46DC-BFC2-9349B519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17</c:v>
                </c:pt>
                <c:pt idx="3">
                  <c:v>10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E-4AD8-8A83-9318E1F50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だいち!$M$2:$M$26</c:f>
              <c:numCache>
                <c:formatCode>0</c:formatCode>
                <c:ptCount val="25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1-490D-B2BE-00C4AE3D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D-4872-AF61-6F999A3B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222.22222222222223</c:v>
                </c:pt>
                <c:pt idx="1">
                  <c:v>2212.5</c:v>
                </c:pt>
                <c:pt idx="2">
                  <c:v>-1200</c:v>
                </c:pt>
                <c:pt idx="3">
                  <c:v>-787.5</c:v>
                </c:pt>
                <c:pt idx="4">
                  <c:v>-642.85714285714289</c:v>
                </c:pt>
                <c:pt idx="5">
                  <c:v>-2340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6-4AC1-8FFB-B300594F1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C-407F-A703-CB5BEEEF3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れんたろう!$M$2:$M$11</c:f>
              <c:numCache>
                <c:formatCode>0</c:formatCode>
                <c:ptCount val="1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E-4148-8AB5-30E94C366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5-4607-8437-38B804E1F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2690</c:v>
                </c:pt>
                <c:pt idx="1">
                  <c:v>-1650</c:v>
                </c:pt>
                <c:pt idx="2">
                  <c:v>2030</c:v>
                </c:pt>
                <c:pt idx="3">
                  <c:v>-1080</c:v>
                </c:pt>
                <c:pt idx="4">
                  <c:v>1900</c:v>
                </c:pt>
                <c:pt idx="5">
                  <c:v>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5-4B98-B737-C4970258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60-4D25-AD9E-83F67FA9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たかの!$M$2:$M$12</c:f>
              <c:numCache>
                <c:formatCode>0</c:formatCode>
                <c:ptCount val="1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0-46BD-A377-7716DA4C8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0-4BA9-9744-E781CED61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5-49E9-AADE-AA6832250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2-4F35-822D-FC3478394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2-4371-9434-1C08ADFD2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1-4153-96A4-7C924FC54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200</c:v>
                </c:pt>
                <c:pt idx="1">
                  <c:v>1642.8571428571429</c:v>
                </c:pt>
                <c:pt idx="2">
                  <c:v>1121.4285714285713</c:v>
                </c:pt>
                <c:pt idx="3">
                  <c:v>258.33333333333331</c:v>
                </c:pt>
                <c:pt idx="4">
                  <c:v>2360</c:v>
                </c:pt>
                <c:pt idx="5">
                  <c:v>1918.1818181818182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C3-4D76-A02E-695C3187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3-444B-861B-3D01EEEE6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いちかわ!$M$2:$M$16</c:f>
              <c:numCache>
                <c:formatCode>0</c:formatCode>
                <c:ptCount val="1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3-45A6-BB4F-DAED4E9D0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8E-4489-8942-42F73D30F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-900</c:v>
                </c:pt>
                <c:pt idx="1">
                  <c:v>1027.2727272727273</c:v>
                </c:pt>
                <c:pt idx="2">
                  <c:v>2636.3636363636365</c:v>
                </c:pt>
                <c:pt idx="3">
                  <c:v>-136.36363636363637</c:v>
                </c:pt>
                <c:pt idx="4">
                  <c:v>-627.27272727272725</c:v>
                </c:pt>
                <c:pt idx="5">
                  <c:v>-510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A-4F72-A68D-CDD0FD78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9-4D04-A579-02AA7BB21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ただ!$M$2:$M$14</c:f>
              <c:numCache>
                <c:formatCode>0</c:formatCode>
                <c:ptCount val="13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60-402F-A755-0475466E5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0-420C-9FDF-12534CFB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F-4113-80A4-DB850A4E4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1-4246-A8E4-C10B7BFF5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5-4FFF-B69D-9A629C93C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7-437D-A455-2238B1E77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6-4863-AB75-521A79619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A-4A40-89BB-45693AE96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D-4013-984F-E31B2D7EE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FB-41A9-826B-995F0E69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966-BA88-4E8DBA806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8-4741-90E0-72648AC7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D-49F0-B9EF-E2AE9BE07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32-4EE6-8E3F-23686399A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C-4F23-B931-ADEB98D9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C-4368-ACAD-230F10269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5-481C-BD9D-96018D57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たか2!$C$3:$C$17</c:f>
              <c:numCache>
                <c:formatCode>\+0.0;\-0.0;\±0</c:formatCode>
                <c:ptCount val="15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220446049250313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たか2!$D$3:$D$17</c:f>
              <c:numCache>
                <c:formatCode>0.00\ "位"</c:formatCode>
                <c:ptCount val="15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たか2!$E$3:$E$17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たか2!$F$3:$F$17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たか2!$G$3:$G$17</c:f>
              <c:numCache>
                <c:formatCode>0.0%</c:formatCode>
                <c:ptCount val="15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339622641509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たか2!$H$3:$H$17</c:f>
              <c:numCache>
                <c:formatCode>0.0%</c:formatCode>
                <c:ptCount val="15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48427672955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たか2!$I$3:$I$17</c:f>
              <c:numCache>
                <c:formatCode>0</c:formatCode>
                <c:ptCount val="15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22.6495726495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たか2!$J$3:$J$17</c:f>
              <c:numCache>
                <c:formatCode>0</c:formatCode>
                <c:ptCount val="15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37.79527559055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66666666666666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たか2!$L$3:$L$17</c:f>
              <c:numCache>
                <c:formatCode>0.0%</c:formatCode>
                <c:ptCount val="15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0251572327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たか2!$M$3:$M$17</c:f>
              <c:numCache>
                <c:formatCode>0.0%</c:formatCode>
                <c:ptCount val="15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25157232704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たか2!$N$3:$N$17</c:f>
              <c:numCache>
                <c:formatCode>0.0%</c:formatCode>
                <c:ptCount val="15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969072164948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たか2!$O$3:$O$17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5497382198952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たか2!$P$3:$P$17</c:f>
              <c:numCache>
                <c:formatCode>0.0%</c:formatCode>
                <c:ptCount val="15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726495726495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4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24</v>
      </c>
      <c r="C2" s="120">
        <v>1842.3339395535957</v>
      </c>
    </row>
    <row r="3" spans="1:3" x14ac:dyDescent="0.45">
      <c r="A3" t="s">
        <v>163</v>
      </c>
      <c r="B3" s="120">
        <v>9</v>
      </c>
      <c r="C3" s="120">
        <v>1653.1699313523677</v>
      </c>
    </row>
    <row r="4" spans="1:3" x14ac:dyDescent="0.45">
      <c r="A4" t="s">
        <v>139</v>
      </c>
      <c r="B4" s="120">
        <v>96</v>
      </c>
      <c r="C4" s="120">
        <v>1594.5463045050694</v>
      </c>
    </row>
    <row r="5" spans="1:3" x14ac:dyDescent="0.45">
      <c r="A5" t="s">
        <v>190</v>
      </c>
      <c r="B5" s="120">
        <v>3</v>
      </c>
      <c r="C5" s="120">
        <v>1524.3778689305989</v>
      </c>
    </row>
    <row r="6" spans="1:3" x14ac:dyDescent="0.45">
      <c r="A6" t="s">
        <v>192</v>
      </c>
      <c r="B6" s="120">
        <v>12</v>
      </c>
      <c r="C6" s="120">
        <v>1517.1288342047803</v>
      </c>
    </row>
    <row r="7" spans="1:3" x14ac:dyDescent="0.45">
      <c r="A7" t="s">
        <v>211</v>
      </c>
      <c r="B7" s="120">
        <v>14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10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0.96768776813256074</v>
      </c>
      <c r="C2" s="142"/>
      <c r="D2" s="141">
        <v>0.41651930200659704</v>
      </c>
      <c r="E2" s="142"/>
      <c r="F2" s="141">
        <v>0.11193074211565202</v>
      </c>
      <c r="G2" s="142"/>
      <c r="H2" s="147"/>
      <c r="I2" s="148"/>
      <c r="J2" s="141">
        <v>-0.17136972622814764</v>
      </c>
      <c r="K2" s="142"/>
      <c r="L2" s="141">
        <v>-0.10651116855846343</v>
      </c>
      <c r="M2" s="142"/>
      <c r="N2" s="141">
        <v>-0.14079218525759252</v>
      </c>
      <c r="O2" s="142"/>
      <c r="P2" s="141">
        <v>0.10781627944061514</v>
      </c>
      <c r="Q2" s="142"/>
      <c r="R2" s="141">
        <v>0.27647602949778255</v>
      </c>
      <c r="S2" s="142"/>
      <c r="T2" s="141">
        <v>0.59753736603106677</v>
      </c>
      <c r="U2" s="142"/>
      <c r="V2" s="141">
        <v>-6.5327203837171763E-2</v>
      </c>
      <c r="W2" s="142"/>
      <c r="X2" s="141">
        <v>0.37267396257249069</v>
      </c>
      <c r="Y2" s="142"/>
      <c r="Z2" s="141">
        <v>0.25200064554247764</v>
      </c>
      <c r="AA2" s="142"/>
      <c r="AB2" s="141">
        <v>-0.39738542652786729</v>
      </c>
      <c r="AC2" s="142"/>
      <c r="AD2" s="141">
        <v>7.3580004289670903E-2</v>
      </c>
      <c r="AE2" s="142"/>
      <c r="AF2" s="141">
        <v>0.45806492173300062</v>
      </c>
      <c r="AG2" s="142"/>
      <c r="AH2" s="141">
        <v>0.35022298102929328</v>
      </c>
      <c r="AI2" s="142"/>
      <c r="AJ2" s="141">
        <v>0.84376792134902856</v>
      </c>
      <c r="AK2" s="142"/>
    </row>
    <row r="3" spans="1:37" x14ac:dyDescent="0.45">
      <c r="A3" s="38">
        <v>1</v>
      </c>
      <c r="B3" s="41" t="s">
        <v>139</v>
      </c>
      <c r="C3" s="113">
        <v>32</v>
      </c>
      <c r="D3" s="39" t="s">
        <v>126</v>
      </c>
      <c r="E3" s="40">
        <v>111.19999999999999</v>
      </c>
      <c r="F3" s="41" t="s">
        <v>189</v>
      </c>
      <c r="G3" s="60">
        <v>9.17</v>
      </c>
      <c r="H3" s="41" t="s">
        <v>126</v>
      </c>
      <c r="I3" s="45">
        <v>1828.2124233830261</v>
      </c>
      <c r="J3" s="41" t="s">
        <v>189</v>
      </c>
      <c r="K3" s="42">
        <v>1.7</v>
      </c>
      <c r="L3" s="41" t="s">
        <v>195</v>
      </c>
      <c r="M3" s="43">
        <v>0.5</v>
      </c>
      <c r="N3" s="41" t="s">
        <v>189</v>
      </c>
      <c r="O3" s="43">
        <v>0.1</v>
      </c>
      <c r="P3" s="41" t="s">
        <v>211</v>
      </c>
      <c r="Q3" s="44">
        <v>0.35238095238095241</v>
      </c>
      <c r="R3" s="41" t="s">
        <v>190</v>
      </c>
      <c r="S3" s="44">
        <v>4.7619047619047616E-2</v>
      </c>
      <c r="T3" s="41" t="s">
        <v>221</v>
      </c>
      <c r="U3" s="45">
        <v>10925</v>
      </c>
      <c r="V3" s="41" t="s">
        <v>190</v>
      </c>
      <c r="W3" s="45">
        <v>-3900</v>
      </c>
      <c r="X3" s="41" t="s">
        <v>126</v>
      </c>
      <c r="Y3" s="43">
        <v>0</v>
      </c>
      <c r="Z3" s="41" t="s">
        <v>189</v>
      </c>
      <c r="AA3" s="44">
        <v>0.27058823529411763</v>
      </c>
      <c r="AB3" s="41" t="s">
        <v>189</v>
      </c>
      <c r="AC3" s="44">
        <v>0.37647058823529411</v>
      </c>
      <c r="AD3" s="41" t="s">
        <v>195</v>
      </c>
      <c r="AE3" s="44">
        <v>0.77777777777777779</v>
      </c>
      <c r="AF3" s="41" t="s">
        <v>211</v>
      </c>
      <c r="AG3" s="44">
        <v>0.59259259259259256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24</v>
      </c>
      <c r="D4" s="47" t="s">
        <v>211</v>
      </c>
      <c r="E4" s="48">
        <v>99.300000000000011</v>
      </c>
      <c r="F4" s="49" t="s">
        <v>211</v>
      </c>
      <c r="G4" s="61">
        <v>7.0928571428571434</v>
      </c>
      <c r="H4" s="49" t="s">
        <v>163</v>
      </c>
      <c r="I4" s="53">
        <v>1636.255456115799</v>
      </c>
      <c r="J4" s="49" t="s">
        <v>192</v>
      </c>
      <c r="K4" s="50">
        <v>1.9166666666666667</v>
      </c>
      <c r="L4" s="49" t="s">
        <v>163</v>
      </c>
      <c r="M4" s="51">
        <v>0.44444444444444442</v>
      </c>
      <c r="N4" s="49" t="s">
        <v>192</v>
      </c>
      <c r="O4" s="51">
        <v>0.16666666666666666</v>
      </c>
      <c r="P4" s="49" t="s">
        <v>189</v>
      </c>
      <c r="Q4" s="52">
        <v>0.3411764705882353</v>
      </c>
      <c r="R4" s="49" t="s">
        <v>192</v>
      </c>
      <c r="S4" s="52">
        <v>0.12149532710280374</v>
      </c>
      <c r="T4" s="49" t="s">
        <v>163</v>
      </c>
      <c r="U4" s="53">
        <v>9561.9047619047615</v>
      </c>
      <c r="V4" s="49" t="s">
        <v>195</v>
      </c>
      <c r="W4" s="53">
        <v>-6380</v>
      </c>
      <c r="X4" s="49" t="s">
        <v>192</v>
      </c>
      <c r="Y4" s="51">
        <v>0</v>
      </c>
      <c r="Z4" s="49" t="s">
        <v>126</v>
      </c>
      <c r="AA4" s="52">
        <v>0.26</v>
      </c>
      <c r="AB4" s="49" t="s">
        <v>193</v>
      </c>
      <c r="AC4" s="52">
        <v>0.2857142857142857</v>
      </c>
      <c r="AD4" s="49" t="s">
        <v>211</v>
      </c>
      <c r="AE4" s="52">
        <v>0.61538461538461542</v>
      </c>
      <c r="AF4" s="49" t="s">
        <v>126</v>
      </c>
      <c r="AG4" s="52">
        <v>0.54545454545454541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211</v>
      </c>
      <c r="C5" s="114">
        <v>14</v>
      </c>
      <c r="D5" s="47" t="s">
        <v>189</v>
      </c>
      <c r="E5" s="48">
        <v>91.7</v>
      </c>
      <c r="F5" s="49" t="s">
        <v>126</v>
      </c>
      <c r="G5" s="61">
        <v>4.6333333333333329</v>
      </c>
      <c r="H5" s="49" t="s">
        <v>139</v>
      </c>
      <c r="I5" s="53">
        <v>1591.3987166920836</v>
      </c>
      <c r="J5" s="49" t="s">
        <v>211</v>
      </c>
      <c r="K5" s="50">
        <v>1.9285714285714286</v>
      </c>
      <c r="L5" s="49" t="s">
        <v>211</v>
      </c>
      <c r="M5" s="51">
        <v>0.42857142857142855</v>
      </c>
      <c r="N5" s="49" t="s">
        <v>126</v>
      </c>
      <c r="O5" s="51">
        <v>0.29166666666666669</v>
      </c>
      <c r="P5" s="49" t="s">
        <v>126</v>
      </c>
      <c r="Q5" s="52">
        <v>0.32</v>
      </c>
      <c r="R5" s="49" t="s">
        <v>195</v>
      </c>
      <c r="S5" s="52">
        <v>0.1388888888888889</v>
      </c>
      <c r="T5" s="49" t="s">
        <v>195</v>
      </c>
      <c r="U5" s="53">
        <v>9022.2222222222226</v>
      </c>
      <c r="V5" s="49" t="s">
        <v>189</v>
      </c>
      <c r="W5" s="53">
        <v>-6483.333333333333</v>
      </c>
      <c r="X5" s="49" t="s">
        <v>189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192</v>
      </c>
      <c r="AE5" s="52">
        <v>0.52</v>
      </c>
      <c r="AF5" s="49" t="s">
        <v>195</v>
      </c>
      <c r="AG5" s="52">
        <v>0.5</v>
      </c>
      <c r="AH5" s="49" t="s">
        <v>189</v>
      </c>
      <c r="AI5" s="52">
        <v>0.51724137931034486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216</v>
      </c>
      <c r="C6" s="114">
        <v>14</v>
      </c>
      <c r="D6" s="47" t="s">
        <v>192</v>
      </c>
      <c r="E6" s="48">
        <v>1.599999999999999</v>
      </c>
      <c r="F6" s="49" t="s">
        <v>192</v>
      </c>
      <c r="G6" s="61">
        <v>0.13333333333333325</v>
      </c>
      <c r="H6" s="49" t="s">
        <v>192</v>
      </c>
      <c r="I6" s="53">
        <v>1522.4637523585736</v>
      </c>
      <c r="J6" s="49" t="s">
        <v>126</v>
      </c>
      <c r="K6" s="50">
        <v>1.9583333333333333</v>
      </c>
      <c r="L6" s="49" t="s">
        <v>189</v>
      </c>
      <c r="M6" s="51">
        <v>0.4</v>
      </c>
      <c r="N6" s="49" t="s">
        <v>139</v>
      </c>
      <c r="O6" s="51">
        <v>0.33333333333333331</v>
      </c>
      <c r="P6" s="49" t="s">
        <v>192</v>
      </c>
      <c r="Q6" s="52">
        <v>0.31775700934579437</v>
      </c>
      <c r="R6" s="49" t="s">
        <v>126</v>
      </c>
      <c r="S6" s="52">
        <v>0.14000000000000001</v>
      </c>
      <c r="T6" s="49" t="s">
        <v>126</v>
      </c>
      <c r="U6" s="53">
        <v>8681.25</v>
      </c>
      <c r="V6" s="49" t="s">
        <v>126</v>
      </c>
      <c r="W6" s="53">
        <v>-7253.5714285714284</v>
      </c>
      <c r="X6" s="49" t="s">
        <v>190</v>
      </c>
      <c r="Y6" s="51">
        <v>0</v>
      </c>
      <c r="Z6" s="49" t="s">
        <v>195</v>
      </c>
      <c r="AA6" s="52">
        <v>0.25</v>
      </c>
      <c r="AB6" s="49" t="s">
        <v>163</v>
      </c>
      <c r="AC6" s="52">
        <v>0.25974025974025972</v>
      </c>
      <c r="AD6" s="49" t="s">
        <v>126</v>
      </c>
      <c r="AE6" s="52">
        <v>0.5</v>
      </c>
      <c r="AF6" s="49" t="s">
        <v>139</v>
      </c>
      <c r="AG6" s="52">
        <v>0.45549738219895286</v>
      </c>
      <c r="AH6" s="49" t="s">
        <v>126</v>
      </c>
      <c r="AI6" s="52">
        <v>0.5</v>
      </c>
      <c r="AJ6" s="49" t="s">
        <v>216</v>
      </c>
      <c r="AK6" s="56">
        <v>74600</v>
      </c>
    </row>
    <row r="7" spans="1:37" x14ac:dyDescent="0.45">
      <c r="A7" s="46">
        <v>5</v>
      </c>
      <c r="B7" s="49" t="s">
        <v>192</v>
      </c>
      <c r="C7" s="114">
        <v>12</v>
      </c>
      <c r="D7" s="47" t="s">
        <v>139</v>
      </c>
      <c r="E7" s="48">
        <v>2.1316282072803006E-14</v>
      </c>
      <c r="F7" s="49" t="s">
        <v>139</v>
      </c>
      <c r="G7" s="61">
        <v>2.2204460492503131E-16</v>
      </c>
      <c r="H7" s="49" t="s">
        <v>190</v>
      </c>
      <c r="I7" s="53">
        <v>1518.8868623780729</v>
      </c>
      <c r="J7" s="49" t="s">
        <v>139</v>
      </c>
      <c r="K7" s="50">
        <v>2</v>
      </c>
      <c r="L7" s="49" t="s">
        <v>126</v>
      </c>
      <c r="M7" s="51">
        <v>0.33333333333333331</v>
      </c>
      <c r="N7" s="49" t="s">
        <v>190</v>
      </c>
      <c r="O7" s="51">
        <v>0.33333333333333331</v>
      </c>
      <c r="P7" s="49" t="s">
        <v>139</v>
      </c>
      <c r="Q7" s="52">
        <v>0.29433962264150942</v>
      </c>
      <c r="R7" s="49" t="s">
        <v>189</v>
      </c>
      <c r="S7" s="52">
        <v>0.14117647058823529</v>
      </c>
      <c r="T7" s="49" t="s">
        <v>193</v>
      </c>
      <c r="U7" s="53">
        <v>8212.5</v>
      </c>
      <c r="V7" s="49" t="s">
        <v>211</v>
      </c>
      <c r="W7" s="53">
        <v>-7394.1176470588234</v>
      </c>
      <c r="X7" s="49" t="s">
        <v>195</v>
      </c>
      <c r="Y7" s="51">
        <v>0</v>
      </c>
      <c r="Z7" s="49" t="s">
        <v>211</v>
      </c>
      <c r="AA7" s="52">
        <v>0.24761904761904763</v>
      </c>
      <c r="AB7" s="49" t="s">
        <v>211</v>
      </c>
      <c r="AC7" s="52">
        <v>0.25714285714285712</v>
      </c>
      <c r="AD7" s="49" t="s">
        <v>190</v>
      </c>
      <c r="AE7" s="52">
        <v>0.5</v>
      </c>
      <c r="AF7" s="49" t="s">
        <v>189</v>
      </c>
      <c r="AG7" s="52">
        <v>0.4375</v>
      </c>
      <c r="AH7" s="49" t="s">
        <v>139</v>
      </c>
      <c r="AI7" s="52">
        <v>0.45726495726495725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189</v>
      </c>
      <c r="C8" s="114">
        <v>10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211</v>
      </c>
      <c r="I8" s="53">
        <v>1512.415829547685</v>
      </c>
      <c r="J8" s="49" t="s">
        <v>195</v>
      </c>
      <c r="K8" s="50">
        <v>2</v>
      </c>
      <c r="L8" s="49" t="s">
        <v>139</v>
      </c>
      <c r="M8" s="51">
        <v>0.33333333333333331</v>
      </c>
      <c r="N8" s="49" t="s">
        <v>211</v>
      </c>
      <c r="O8" s="51">
        <v>0.35714285714285715</v>
      </c>
      <c r="P8" s="49" t="s">
        <v>163</v>
      </c>
      <c r="Q8" s="52">
        <v>0.27272727272727271</v>
      </c>
      <c r="R8" s="49" t="s">
        <v>139</v>
      </c>
      <c r="S8" s="52">
        <v>0.15974842767295597</v>
      </c>
      <c r="T8" s="49" t="s">
        <v>139</v>
      </c>
      <c r="U8" s="53">
        <v>8122.6495726495723</v>
      </c>
      <c r="V8" s="49" t="s">
        <v>216</v>
      </c>
      <c r="W8" s="53">
        <v>-7654.166666666667</v>
      </c>
      <c r="X8" s="49" t="s">
        <v>193</v>
      </c>
      <c r="Y8" s="51">
        <v>0</v>
      </c>
      <c r="Z8" s="49" t="s">
        <v>139</v>
      </c>
      <c r="AA8" s="52">
        <v>0.2440251572327044</v>
      </c>
      <c r="AB8" s="49" t="s">
        <v>139</v>
      </c>
      <c r="AC8" s="52">
        <v>0.24025157232704403</v>
      </c>
      <c r="AD8" s="49" t="s">
        <v>139</v>
      </c>
      <c r="AE8" s="52">
        <v>0.48969072164948452</v>
      </c>
      <c r="AF8" s="49" t="s">
        <v>192</v>
      </c>
      <c r="AG8" s="52">
        <v>0.43478260869565216</v>
      </c>
      <c r="AH8" s="49" t="s">
        <v>216</v>
      </c>
      <c r="AI8" s="52">
        <v>0.44</v>
      </c>
      <c r="AJ8" s="49" t="s">
        <v>189</v>
      </c>
      <c r="AK8" s="56">
        <v>61300</v>
      </c>
    </row>
    <row r="9" spans="1:37" x14ac:dyDescent="0.45">
      <c r="A9" s="46">
        <v>7</v>
      </c>
      <c r="B9" s="49" t="s">
        <v>163</v>
      </c>
      <c r="C9" s="114">
        <v>9</v>
      </c>
      <c r="D9" s="47" t="s">
        <v>195</v>
      </c>
      <c r="E9" s="48">
        <v>-14.699999999999996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163</v>
      </c>
      <c r="K9" s="50">
        <v>2.1111111111111112</v>
      </c>
      <c r="L9" s="49" t="s">
        <v>216</v>
      </c>
      <c r="M9" s="51">
        <v>0.2857142857142857</v>
      </c>
      <c r="N9" s="49" t="s">
        <v>216</v>
      </c>
      <c r="O9" s="51">
        <v>0.42857142857142855</v>
      </c>
      <c r="P9" s="49" t="s">
        <v>195</v>
      </c>
      <c r="Q9" s="52">
        <v>0.25</v>
      </c>
      <c r="R9" s="49" t="s">
        <v>211</v>
      </c>
      <c r="S9" s="52">
        <v>0.16190476190476191</v>
      </c>
      <c r="T9" s="49" t="s">
        <v>211</v>
      </c>
      <c r="U9" s="53">
        <v>7913.5135135135133</v>
      </c>
      <c r="V9" s="49" t="s">
        <v>192</v>
      </c>
      <c r="W9" s="53">
        <v>-7830.7692307692305</v>
      </c>
      <c r="X9" s="49" t="s">
        <v>221</v>
      </c>
      <c r="Y9" s="51">
        <v>0</v>
      </c>
      <c r="Z9" s="49" t="s">
        <v>216</v>
      </c>
      <c r="AA9" s="52">
        <v>0.23423423423423423</v>
      </c>
      <c r="AB9" s="49" t="s">
        <v>190</v>
      </c>
      <c r="AC9" s="52">
        <v>0.23809523809523808</v>
      </c>
      <c r="AD9" s="49" t="s">
        <v>216</v>
      </c>
      <c r="AE9" s="52">
        <v>0.46153846153846156</v>
      </c>
      <c r="AF9" s="49" t="s">
        <v>163</v>
      </c>
      <c r="AG9" s="52">
        <v>0.4</v>
      </c>
      <c r="AH9" s="49" t="s">
        <v>192</v>
      </c>
      <c r="AI9" s="52">
        <v>0.41176470588235292</v>
      </c>
      <c r="AJ9" s="49" t="s">
        <v>192</v>
      </c>
      <c r="AK9" s="56">
        <v>56300</v>
      </c>
    </row>
    <row r="10" spans="1:37" x14ac:dyDescent="0.45">
      <c r="A10" s="46">
        <v>8</v>
      </c>
      <c r="B10" s="49" t="s">
        <v>195</v>
      </c>
      <c r="C10" s="114">
        <v>4</v>
      </c>
      <c r="D10" s="47" t="s">
        <v>190</v>
      </c>
      <c r="E10" s="48">
        <v>-40.4</v>
      </c>
      <c r="F10" s="49" t="s">
        <v>216</v>
      </c>
      <c r="G10" s="61">
        <v>-6.8285714285714283</v>
      </c>
      <c r="H10" s="49" t="s">
        <v>216</v>
      </c>
      <c r="I10" s="53">
        <v>1488.317150804671</v>
      </c>
      <c r="J10" s="49" t="s">
        <v>216</v>
      </c>
      <c r="K10" s="50">
        <v>2.1428571428571428</v>
      </c>
      <c r="L10" s="49" t="s">
        <v>192</v>
      </c>
      <c r="M10" s="51">
        <v>0.25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189</v>
      </c>
      <c r="U10" s="53">
        <v>7810.3448275862065</v>
      </c>
      <c r="V10" s="49" t="s">
        <v>139</v>
      </c>
      <c r="W10" s="53">
        <v>-7937.7952755905508</v>
      </c>
      <c r="X10" s="49" t="s">
        <v>139</v>
      </c>
      <c r="Y10" s="51">
        <v>4.1666666666666664E-2</v>
      </c>
      <c r="Z10" s="49" t="s">
        <v>163</v>
      </c>
      <c r="AA10" s="52">
        <v>0.23376623376623376</v>
      </c>
      <c r="AB10" s="49" t="s">
        <v>126</v>
      </c>
      <c r="AC10" s="52">
        <v>0.22</v>
      </c>
      <c r="AD10" s="49" t="s">
        <v>189</v>
      </c>
      <c r="AE10" s="52">
        <v>0.43478260869565216</v>
      </c>
      <c r="AF10" s="49" t="s">
        <v>193</v>
      </c>
      <c r="AG10" s="52">
        <v>0.4</v>
      </c>
      <c r="AH10" s="49" t="s">
        <v>211</v>
      </c>
      <c r="AI10" s="52">
        <v>0.40540540540540543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193</v>
      </c>
      <c r="C11" s="114">
        <v>4</v>
      </c>
      <c r="D11" s="47" t="s">
        <v>193</v>
      </c>
      <c r="E11" s="48">
        <v>-51.699999999999996</v>
      </c>
      <c r="F11" s="49" t="s">
        <v>163</v>
      </c>
      <c r="G11" s="61">
        <v>-9.766666666666671</v>
      </c>
      <c r="H11" s="49" t="s">
        <v>189</v>
      </c>
      <c r="I11" s="53">
        <v>1458.3940361425994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163</v>
      </c>
      <c r="S11" s="52">
        <v>0.20779220779220781</v>
      </c>
      <c r="T11" s="49" t="s">
        <v>216</v>
      </c>
      <c r="U11" s="53">
        <v>7796</v>
      </c>
      <c r="V11" s="49" t="s">
        <v>193</v>
      </c>
      <c r="W11" s="53">
        <v>-9387.5</v>
      </c>
      <c r="X11" s="49" t="s">
        <v>211</v>
      </c>
      <c r="Y11" s="51">
        <v>7.1428571428571425E-2</v>
      </c>
      <c r="Z11" s="49" t="s">
        <v>192</v>
      </c>
      <c r="AA11" s="52">
        <v>0.23364485981308411</v>
      </c>
      <c r="AB11" s="49" t="s">
        <v>192</v>
      </c>
      <c r="AC11" s="52">
        <v>0.21495327102803738</v>
      </c>
      <c r="AD11" s="49" t="s">
        <v>163</v>
      </c>
      <c r="AE11" s="52">
        <v>0.3888888888888889</v>
      </c>
      <c r="AF11" s="49" t="s">
        <v>221</v>
      </c>
      <c r="AG11" s="52">
        <v>0.4</v>
      </c>
      <c r="AH11" s="49" t="s">
        <v>163</v>
      </c>
      <c r="AI11" s="52">
        <v>0.33333333333333331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190</v>
      </c>
      <c r="C12" s="114">
        <v>3</v>
      </c>
      <c r="D12" s="47" t="s">
        <v>163</v>
      </c>
      <c r="E12" s="48">
        <v>-87.900000000000034</v>
      </c>
      <c r="F12" s="49" t="s">
        <v>193</v>
      </c>
      <c r="G12" s="61">
        <v>-12.924999999999999</v>
      </c>
      <c r="H12" s="49" t="s">
        <v>195</v>
      </c>
      <c r="I12" s="53">
        <v>1393.6019525837494</v>
      </c>
      <c r="J12" s="49" t="s">
        <v>190</v>
      </c>
      <c r="K12" s="50">
        <v>2.3333333333333335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0.21621621621621623</v>
      </c>
      <c r="T12" s="49" t="s">
        <v>192</v>
      </c>
      <c r="U12" s="53">
        <v>6532.3529411764703</v>
      </c>
      <c r="V12" s="49" t="s">
        <v>221</v>
      </c>
      <c r="W12" s="53">
        <v>-10300</v>
      </c>
      <c r="X12" s="49" t="s">
        <v>216</v>
      </c>
      <c r="Y12" s="51">
        <v>7.1428571428571425E-2</v>
      </c>
      <c r="Z12" s="49" t="s">
        <v>221</v>
      </c>
      <c r="AA12" s="52">
        <v>0.22222222222222221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216</v>
      </c>
      <c r="AG12" s="52">
        <v>0.30434782608695654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-95.6</v>
      </c>
      <c r="F13" s="49" t="s">
        <v>190</v>
      </c>
      <c r="G13" s="61">
        <v>-13.466666666666667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0.55555555555555558</v>
      </c>
      <c r="P13" s="49" t="s">
        <v>190</v>
      </c>
      <c r="Q13" s="52">
        <v>0.14285714285714285</v>
      </c>
      <c r="R13" s="49" t="s">
        <v>193</v>
      </c>
      <c r="S13" s="52">
        <v>0.22857142857142856</v>
      </c>
      <c r="T13" s="49" t="s">
        <v>190</v>
      </c>
      <c r="U13" s="53">
        <v>5800</v>
      </c>
      <c r="V13" s="49" t="s">
        <v>163</v>
      </c>
      <c r="W13" s="53">
        <v>-10887.5</v>
      </c>
      <c r="X13" s="49" t="s">
        <v>163</v>
      </c>
      <c r="Y13" s="51">
        <v>0.22222222222222221</v>
      </c>
      <c r="Z13" s="49" t="s">
        <v>190</v>
      </c>
      <c r="AA13" s="52">
        <v>9.5238095238095233E-2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190</v>
      </c>
      <c r="AG13" s="52">
        <v>0.2</v>
      </c>
      <c r="AH13" s="49" t="s">
        <v>190</v>
      </c>
      <c r="AI13" s="52">
        <v>0</v>
      </c>
      <c r="AJ13" s="49" t="s">
        <v>190</v>
      </c>
      <c r="AK13" s="56">
        <v>31700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CB5D-A2B3-4A1A-84EE-73A0D5B5DC3D}">
  <sheetPr codeName="Sheet4"/>
  <dimension ref="A1:R9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96</v>
      </c>
      <c r="C2" s="134"/>
      <c r="E2" s="26" t="s">
        <v>66</v>
      </c>
      <c r="F2" s="23" t="s">
        <v>22</v>
      </c>
      <c r="G2" s="11">
        <v>172</v>
      </c>
      <c r="H2" s="87">
        <f>IF(B$20=0,0,G2/B$20)</f>
        <v>0.7350427350427351</v>
      </c>
      <c r="I2" s="57">
        <v>4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-41.666666666666664</v>
      </c>
      <c r="Q2" s="76">
        <v>96</v>
      </c>
      <c r="R2" s="63">
        <v>-4000</v>
      </c>
    </row>
    <row r="3" spans="1:18" x14ac:dyDescent="0.45">
      <c r="A3" s="19" t="s">
        <v>8</v>
      </c>
      <c r="B3" s="135">
        <v>795</v>
      </c>
      <c r="C3" s="136"/>
      <c r="E3" s="27" t="s">
        <v>72</v>
      </c>
      <c r="F3" s="24" t="s">
        <v>27</v>
      </c>
      <c r="G3" s="12">
        <v>165</v>
      </c>
      <c r="H3" s="88">
        <f>IF(B$20=0,0,G3/B$20)</f>
        <v>0.70512820512820518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43.01075268817204</v>
      </c>
      <c r="Q3" s="77">
        <v>93</v>
      </c>
      <c r="R3" s="64">
        <v>4000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90</v>
      </c>
      <c r="H4" s="88">
        <f>IF(B$20=0,0,G4/B$20)</f>
        <v>0.38461538461538464</v>
      </c>
      <c r="I4" s="58">
        <v>4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-32.258064516129032</v>
      </c>
      <c r="Q4" s="77">
        <v>93</v>
      </c>
      <c r="R4" s="64">
        <v>-3000</v>
      </c>
    </row>
    <row r="5" spans="1:18" x14ac:dyDescent="0.45">
      <c r="A5" s="19" t="s">
        <v>7</v>
      </c>
      <c r="B5" s="125">
        <f>IF(B$2=0,0,B$4/B$2)</f>
        <v>2.2204460492503131E-16</v>
      </c>
      <c r="C5" s="126"/>
      <c r="E5" s="27" t="s">
        <v>159</v>
      </c>
      <c r="F5" s="24" t="s">
        <v>160</v>
      </c>
      <c r="G5" s="12">
        <v>89</v>
      </c>
      <c r="H5" s="88">
        <f>IF(B$20=0,0,G5/B$20)</f>
        <v>0.38034188034188032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34.482758620689658</v>
      </c>
      <c r="Q5" s="77">
        <v>87</v>
      </c>
      <c r="R5" s="64">
        <v>3000</v>
      </c>
    </row>
    <row r="6" spans="1:18" x14ac:dyDescent="0.45">
      <c r="A6" s="19" t="s">
        <v>196</v>
      </c>
      <c r="B6" s="129">
        <v>1591.3987166920836</v>
      </c>
      <c r="C6" s="130"/>
      <c r="E6" s="27" t="s">
        <v>68</v>
      </c>
      <c r="F6" s="24" t="s">
        <v>12</v>
      </c>
      <c r="G6" s="12">
        <v>69</v>
      </c>
      <c r="H6" s="88">
        <f>IF(B$20=0,0,G6/B$20)</f>
        <v>0.29487179487179488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-24.691358024691358</v>
      </c>
      <c r="Q6" s="77">
        <v>81</v>
      </c>
      <c r="R6" s="64">
        <v>-2000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59</v>
      </c>
      <c r="H7" s="88">
        <f>IF(B$20=0,0,G7/B$20)</f>
        <v>0.25213675213675213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26.666666666666668</v>
      </c>
      <c r="Q7" s="78">
        <v>75</v>
      </c>
      <c r="R7" s="65">
        <v>2000</v>
      </c>
    </row>
    <row r="8" spans="1:18" x14ac:dyDescent="0.45">
      <c r="A8" s="19" t="s">
        <v>2</v>
      </c>
      <c r="B8" s="12">
        <v>32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41</v>
      </c>
      <c r="H8" s="88">
        <f>IF(B$20=0,0,G8/B$20)</f>
        <v>0.1752136752136752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32</v>
      </c>
      <c r="C9" s="6">
        <f t="shared" si="1"/>
        <v>0.33333333333333331</v>
      </c>
      <c r="E9" s="27" t="s">
        <v>69</v>
      </c>
      <c r="F9" s="24" t="s">
        <v>24</v>
      </c>
      <c r="G9" s="12">
        <v>27</v>
      </c>
      <c r="H9" s="88">
        <f>IF(B$20=0,0,G9/B$20)</f>
        <v>0.11538461538461539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32</v>
      </c>
      <c r="C10" s="7">
        <f t="shared" si="1"/>
        <v>0.33333333333333331</v>
      </c>
      <c r="E10" s="27" t="s">
        <v>70</v>
      </c>
      <c r="F10" s="24" t="s">
        <v>25</v>
      </c>
      <c r="G10" s="12">
        <v>26</v>
      </c>
      <c r="H10" s="88">
        <f>IF(B$20=0,0,G10/B$20)</f>
        <v>0.1111111111111111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-6.1031250000000004</v>
      </c>
      <c r="Q10" s="76">
        <v>32</v>
      </c>
      <c r="R10" s="67">
        <v>-195.3</v>
      </c>
    </row>
    <row r="11" spans="1:18" x14ac:dyDescent="0.45">
      <c r="A11" s="20" t="s">
        <v>184</v>
      </c>
      <c r="B11" s="109">
        <f>IF(B8=0,0,C11/B8)</f>
        <v>32.078125000000007</v>
      </c>
      <c r="C11" s="110">
        <v>1026.5000000000002</v>
      </c>
      <c r="E11" s="27" t="s">
        <v>71</v>
      </c>
      <c r="F11" s="24" t="s">
        <v>26</v>
      </c>
      <c r="G11" s="12">
        <v>16</v>
      </c>
      <c r="H11" s="88">
        <f>IF(B$20=0,0,G11/B$20)</f>
        <v>6.8376068376068383E-2</v>
      </c>
      <c r="I11" s="58">
        <v>4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-0.45625000000000049</v>
      </c>
      <c r="Q11" s="77">
        <v>32</v>
      </c>
      <c r="R11" s="68">
        <v>-14.600000000000016</v>
      </c>
    </row>
    <row r="12" spans="1:18" x14ac:dyDescent="0.45">
      <c r="A12" s="20" t="s">
        <v>185</v>
      </c>
      <c r="B12" s="109">
        <f>IF(B9=0,0,C12/B9)</f>
        <v>-0.82187500000000024</v>
      </c>
      <c r="C12" s="110">
        <v>-26.300000000000008</v>
      </c>
      <c r="E12" s="27" t="s">
        <v>65</v>
      </c>
      <c r="F12" s="24" t="s">
        <v>21</v>
      </c>
      <c r="G12" s="12">
        <v>15</v>
      </c>
      <c r="H12" s="88">
        <f>IF(B$20=0,0,G12/B$20)</f>
        <v>6.4102564102564097E-2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6.5593750000000011</v>
      </c>
      <c r="Q12" s="78">
        <v>32</v>
      </c>
      <c r="R12" s="69">
        <v>209.90000000000003</v>
      </c>
    </row>
    <row r="13" spans="1:18" x14ac:dyDescent="0.45">
      <c r="A13" s="20" t="s">
        <v>186</v>
      </c>
      <c r="B13" s="109">
        <f>IF(B10=0,0,C13/B10)</f>
        <v>-31.256250000000001</v>
      </c>
      <c r="C13" s="110">
        <v>-1000.2</v>
      </c>
      <c r="E13" s="27" t="s">
        <v>83</v>
      </c>
      <c r="F13" s="24" t="s">
        <v>38</v>
      </c>
      <c r="G13" s="12">
        <v>12</v>
      </c>
      <c r="H13" s="88">
        <f>IF(B$20=0,0,G13/B$20)</f>
        <v>5.128205128205128E-2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10</v>
      </c>
      <c r="H14" s="88">
        <f>IF(B$20=0,0,G14/B$20)</f>
        <v>4.2735042735042736E-2</v>
      </c>
      <c r="I14" s="58">
        <v>4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4.1666666666666664E-2</v>
      </c>
      <c r="E15" s="27" t="s">
        <v>81</v>
      </c>
      <c r="F15" s="24" t="s">
        <v>36</v>
      </c>
      <c r="G15" s="12">
        <v>8</v>
      </c>
      <c r="H15" s="88">
        <f>IF(B$20=0,0,G15/B$20)</f>
        <v>3.4188034188034191E-2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190</v>
      </c>
      <c r="P15" s="82">
        <f>IF(Q15=0,0,R15/Q15)</f>
        <v>20.2</v>
      </c>
      <c r="Q15" s="76">
        <v>6</v>
      </c>
      <c r="R15" s="67">
        <v>121.19999999999999</v>
      </c>
    </row>
    <row r="16" spans="1:18" x14ac:dyDescent="0.45">
      <c r="A16" s="22" t="s">
        <v>121</v>
      </c>
      <c r="B16" s="15">
        <v>194</v>
      </c>
      <c r="C16" s="10">
        <f>IF(B$3=0,0,B16/B$3)</f>
        <v>0.2440251572327044</v>
      </c>
      <c r="E16" s="27" t="s">
        <v>78</v>
      </c>
      <c r="F16" s="24" t="s">
        <v>33</v>
      </c>
      <c r="G16" s="12">
        <v>6</v>
      </c>
      <c r="H16" s="88">
        <f>IF(B$20=0,0,G16/B$20)</f>
        <v>2.564102564102564E-2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191</v>
      </c>
      <c r="C17" s="6">
        <f>IF(B$3=0,0,B17/B$3)</f>
        <v>0.24025157232704403</v>
      </c>
      <c r="E17" s="27" t="s">
        <v>155</v>
      </c>
      <c r="F17" s="24" t="s">
        <v>156</v>
      </c>
      <c r="G17" s="12">
        <v>4</v>
      </c>
      <c r="H17" s="88">
        <f>IF(B$20=0,0,G17/B$20)</f>
        <v>1.7094017094017096E-2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163</v>
      </c>
      <c r="P17" s="83">
        <f>IF(Q17=0,0,R17/Q17)</f>
        <v>14.649999999999999</v>
      </c>
      <c r="Q17" s="77">
        <v>18</v>
      </c>
      <c r="R17" s="68">
        <v>263.7</v>
      </c>
    </row>
    <row r="18" spans="1:18" x14ac:dyDescent="0.45">
      <c r="A18" s="18" t="s">
        <v>123</v>
      </c>
      <c r="B18" s="11">
        <f>B24</f>
        <v>95</v>
      </c>
      <c r="C18" s="5">
        <f>IF(B$16=0,0,B18/B$16)</f>
        <v>0.48969072164948452</v>
      </c>
      <c r="E18" s="27" t="s">
        <v>79</v>
      </c>
      <c r="F18" s="24" t="s">
        <v>34</v>
      </c>
      <c r="G18" s="12">
        <v>3</v>
      </c>
      <c r="H18" s="88">
        <f>IF(B$20=0,0,G18/B$20)</f>
        <v>1.282051282051282E-2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10.242857142857144</v>
      </c>
      <c r="Q18" s="77">
        <v>28</v>
      </c>
      <c r="R18" s="68">
        <v>286.8</v>
      </c>
    </row>
    <row r="19" spans="1:18" x14ac:dyDescent="0.45">
      <c r="A19" s="18" t="s">
        <v>124</v>
      </c>
      <c r="B19" s="11">
        <f>B25</f>
        <v>87</v>
      </c>
      <c r="C19" s="5">
        <f>IF(B$17=0,0,B19/B$17)</f>
        <v>0.45549738219895286</v>
      </c>
      <c r="E19" s="27" t="s">
        <v>91</v>
      </c>
      <c r="F19" s="24" t="s">
        <v>46</v>
      </c>
      <c r="G19" s="12">
        <v>3</v>
      </c>
      <c r="H19" s="88">
        <f>IF(B$20=0,0,G19/B$20)</f>
        <v>1.282051282051282E-2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234</v>
      </c>
      <c r="C20" s="5">
        <f>IF(B$3=0,0,B20/B$3)</f>
        <v>0.29433962264150942</v>
      </c>
      <c r="E20" s="27" t="s">
        <v>73</v>
      </c>
      <c r="F20" s="24" t="s">
        <v>28</v>
      </c>
      <c r="G20" s="12">
        <v>2</v>
      </c>
      <c r="H20" s="88">
        <f>IF(B$20=0,0,G20/B$20)</f>
        <v>8.5470085470085479E-3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127</v>
      </c>
      <c r="C21" s="6">
        <f>IF(B$3=0,0,B21/B$3)</f>
        <v>0.15974842767295597</v>
      </c>
      <c r="E21" s="27" t="s">
        <v>85</v>
      </c>
      <c r="F21" s="24" t="s">
        <v>40</v>
      </c>
      <c r="G21" s="12">
        <v>2</v>
      </c>
      <c r="H21" s="88">
        <f>IF(B$20=0,0,G21/B$20)</f>
        <v>8.5470085470085479E-3</v>
      </c>
      <c r="I21" s="58">
        <v>3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-0.20000000000000207</v>
      </c>
      <c r="Q21" s="77">
        <v>24</v>
      </c>
      <c r="R21" s="68">
        <v>-4.8000000000000496</v>
      </c>
    </row>
    <row r="22" spans="1:18" x14ac:dyDescent="0.45">
      <c r="A22" s="19" t="s">
        <v>12</v>
      </c>
      <c r="B22" s="12">
        <v>107</v>
      </c>
      <c r="C22" s="6">
        <f>IF(B$20=0,0,B22/B$20)</f>
        <v>0.45726495726495725</v>
      </c>
      <c r="E22" s="27" t="s">
        <v>75</v>
      </c>
      <c r="F22" s="24" t="s">
        <v>30</v>
      </c>
      <c r="G22" s="12">
        <v>1</v>
      </c>
      <c r="H22" s="88">
        <f>IF(B$20=0,0,G22/B$20)</f>
        <v>4.2735042735042739E-3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-6.9499999999999966</v>
      </c>
      <c r="Q22" s="77">
        <v>48</v>
      </c>
      <c r="R22" s="68">
        <v>-333.59999999999985</v>
      </c>
    </row>
    <row r="23" spans="1:18" x14ac:dyDescent="0.45">
      <c r="A23" s="19" t="s">
        <v>11</v>
      </c>
      <c r="B23" s="12">
        <v>127</v>
      </c>
      <c r="C23" s="6">
        <f>IF(B$20=0,0,B23/B$20)</f>
        <v>0.54273504273504269</v>
      </c>
      <c r="E23" s="27" t="s">
        <v>77</v>
      </c>
      <c r="F23" s="24" t="s">
        <v>32</v>
      </c>
      <c r="G23" s="12">
        <v>1</v>
      </c>
      <c r="H23" s="88">
        <f>IF(B$20=0,0,G23/B$20)</f>
        <v>4.2735042735042739E-3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-10.639285714285716</v>
      </c>
      <c r="Q23" s="77">
        <v>28</v>
      </c>
      <c r="R23" s="68">
        <v>-297.90000000000003</v>
      </c>
    </row>
    <row r="24" spans="1:18" x14ac:dyDescent="0.45">
      <c r="A24" s="19" t="s">
        <v>183</v>
      </c>
      <c r="B24" s="12">
        <v>95</v>
      </c>
      <c r="C24" s="6">
        <f>IF(B$20=0,0,B24/B$20)</f>
        <v>0.40598290598290598</v>
      </c>
      <c r="E24" s="27" t="s">
        <v>88</v>
      </c>
      <c r="F24" s="24" t="s">
        <v>43</v>
      </c>
      <c r="G24" s="12">
        <v>1</v>
      </c>
      <c r="H24" s="88">
        <f>IF(B$20=0,0,G24/B$20)</f>
        <v>4.2735042735042739E-3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189</v>
      </c>
      <c r="P24" s="83">
        <f>IF(Q24=0,0,R24/Q24)</f>
        <v>-13.754999999999999</v>
      </c>
      <c r="Q24" s="77">
        <v>20</v>
      </c>
      <c r="R24" s="68">
        <v>-275.09999999999997</v>
      </c>
    </row>
    <row r="25" spans="1:18" x14ac:dyDescent="0.45">
      <c r="A25" s="19" t="s">
        <v>181</v>
      </c>
      <c r="B25" s="12">
        <v>87</v>
      </c>
      <c r="C25" s="6">
        <f>IF(B$20=0,0,B25/B$20)</f>
        <v>0.37179487179487181</v>
      </c>
      <c r="E25" s="27" t="s">
        <v>92</v>
      </c>
      <c r="F25" s="24" t="s">
        <v>47</v>
      </c>
      <c r="G25" s="12">
        <v>1</v>
      </c>
      <c r="H25" s="88">
        <f>IF(B$20=0,0,G25/B$20)</f>
        <v>4.2735042735042739E-3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52</v>
      </c>
      <c r="C26" s="6">
        <f>IF(B$20=0,0,B26/B$20)</f>
        <v>0.22222222222222221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8122.6495726495723</v>
      </c>
      <c r="C27" s="8">
        <v>1900700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8897.2789115646265</v>
      </c>
      <c r="C28" s="96">
        <v>1307900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6813.7931034482763</v>
      </c>
      <c r="C29" s="96">
        <v>592800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-7937.7952755905508</v>
      </c>
      <c r="C30" s="96">
        <v>-1008100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2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24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3.7735849056603774E-3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17</v>
      </c>
      <c r="C37" s="98">
        <f t="shared" ref="C37:C49" si="2">IF(B$20=0,0,B37/B$20)</f>
        <v>7.2649572649572655E-2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48</v>
      </c>
      <c r="C38" s="6">
        <f t="shared" si="2"/>
        <v>0.20512820512820512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43</v>
      </c>
      <c r="C39" s="6">
        <f t="shared" si="2"/>
        <v>0.18376068376068377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43</v>
      </c>
      <c r="C40" s="6">
        <f t="shared" si="2"/>
        <v>0.18376068376068377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25</v>
      </c>
      <c r="C41" s="6">
        <f t="shared" si="2"/>
        <v>0.10683760683760683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28</v>
      </c>
      <c r="C42" s="6">
        <f t="shared" si="2"/>
        <v>0.11965811965811966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15</v>
      </c>
      <c r="C43" s="6">
        <f t="shared" si="2"/>
        <v>6.4102564102564097E-2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6</v>
      </c>
      <c r="C44" s="6">
        <f t="shared" si="2"/>
        <v>2.564102564102564E-2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5</v>
      </c>
      <c r="C45" s="6">
        <f t="shared" si="2"/>
        <v>2.1367521367521368E-2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2</v>
      </c>
      <c r="C46" s="6">
        <f t="shared" si="2"/>
        <v>8.5470085470085479E-3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1</v>
      </c>
      <c r="C47" s="6">
        <f t="shared" si="2"/>
        <v>4.2735042735042739E-3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4.2735042735042739E-3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9CBD-6354-4617-A382-B6DC9725ECFB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</v>
      </c>
      <c r="C2" s="134"/>
      <c r="E2" s="26" t="s">
        <v>72</v>
      </c>
      <c r="F2" s="23" t="s">
        <v>27</v>
      </c>
      <c r="G2" s="11">
        <v>52</v>
      </c>
      <c r="H2" s="87">
        <f>IF(B$20=0,0,G2/B$20)</f>
        <v>0.8125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1879.1666666666667</v>
      </c>
      <c r="Q2" s="76">
        <v>24</v>
      </c>
      <c r="R2" s="63">
        <v>45100</v>
      </c>
    </row>
    <row r="3" spans="1:18" x14ac:dyDescent="0.45">
      <c r="A3" s="19" t="s">
        <v>8</v>
      </c>
      <c r="B3" s="135">
        <v>200</v>
      </c>
      <c r="C3" s="136"/>
      <c r="E3" s="27" t="s">
        <v>66</v>
      </c>
      <c r="F3" s="24" t="s">
        <v>22</v>
      </c>
      <c r="G3" s="12">
        <v>46</v>
      </c>
      <c r="H3" s="88">
        <f>IF(B$20=0,0,G3/B$20)</f>
        <v>0.71875</v>
      </c>
      <c r="I3" s="58">
        <v>5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-1413.0434782608695</v>
      </c>
      <c r="Q3" s="77">
        <v>23</v>
      </c>
      <c r="R3" s="64">
        <v>-32500</v>
      </c>
    </row>
    <row r="4" spans="1:18" x14ac:dyDescent="0.45">
      <c r="A4" s="19" t="s">
        <v>6</v>
      </c>
      <c r="B4" s="137">
        <v>111.19999999999999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0.359375</v>
      </c>
      <c r="I4" s="58">
        <v>5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-13.043478260869565</v>
      </c>
      <c r="Q4" s="77">
        <v>23</v>
      </c>
      <c r="R4" s="64">
        <v>-300</v>
      </c>
    </row>
    <row r="5" spans="1:18" x14ac:dyDescent="0.45">
      <c r="A5" s="19" t="s">
        <v>7</v>
      </c>
      <c r="B5" s="125">
        <f>IF(B$2=0,0,B$4/B$2)</f>
        <v>4.6333333333333329</v>
      </c>
      <c r="C5" s="126"/>
      <c r="E5" s="27" t="s">
        <v>159</v>
      </c>
      <c r="F5" s="24" t="s">
        <v>160</v>
      </c>
      <c r="G5" s="12">
        <v>22</v>
      </c>
      <c r="H5" s="88">
        <f>IF(B$20=0,0,G5/B$20)</f>
        <v>0.34375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2095.4545454545455</v>
      </c>
      <c r="Q5" s="77">
        <v>22</v>
      </c>
      <c r="R5" s="64">
        <v>46100</v>
      </c>
    </row>
    <row r="6" spans="1:18" x14ac:dyDescent="0.45">
      <c r="A6" s="19" t="s">
        <v>196</v>
      </c>
      <c r="B6" s="129">
        <v>1828.2124233830261</v>
      </c>
      <c r="C6" s="130"/>
      <c r="E6" s="27" t="s">
        <v>68</v>
      </c>
      <c r="F6" s="24" t="s">
        <v>12</v>
      </c>
      <c r="G6" s="12">
        <v>20</v>
      </c>
      <c r="H6" s="88">
        <f>IF(B$20=0,0,G6/B$20)</f>
        <v>0.3125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-128.57142857142858</v>
      </c>
      <c r="Q6" s="77">
        <v>21</v>
      </c>
      <c r="R6" s="64">
        <v>-2700</v>
      </c>
    </row>
    <row r="7" spans="1:18" x14ac:dyDescent="0.45">
      <c r="A7" s="19" t="s">
        <v>1</v>
      </c>
      <c r="B7" s="139">
        <f>IF(B$2=0,0,(B$8*1+B$9*2+B$10*3)/B$2)</f>
        <v>1.9583333333333333</v>
      </c>
      <c r="C7" s="140"/>
      <c r="E7" s="27" t="s">
        <v>67</v>
      </c>
      <c r="F7" s="24" t="s">
        <v>23</v>
      </c>
      <c r="G7" s="12">
        <v>12</v>
      </c>
      <c r="H7" s="88">
        <f>IF(B$20=0,0,G7/B$20)</f>
        <v>0.1875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-2863.1578947368421</v>
      </c>
      <c r="Q7" s="78">
        <v>19</v>
      </c>
      <c r="R7" s="65">
        <v>-54400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11</v>
      </c>
      <c r="H8" s="88">
        <f>IF(B$20=0,0,G8/B$20)</f>
        <v>0.171875</v>
      </c>
      <c r="I8" s="58">
        <v>8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0.375</v>
      </c>
      <c r="E9" s="27" t="s">
        <v>69</v>
      </c>
      <c r="F9" s="24" t="s">
        <v>24</v>
      </c>
      <c r="G9" s="12">
        <v>10</v>
      </c>
      <c r="H9" s="88">
        <f>IF(B$20=0,0,G9/B$20)</f>
        <v>0.15625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0.29166666666666669</v>
      </c>
      <c r="E10" s="27" t="s">
        <v>70</v>
      </c>
      <c r="F10" s="24" t="s">
        <v>25</v>
      </c>
      <c r="G10" s="12">
        <v>10</v>
      </c>
      <c r="H10" s="88">
        <f>IF(B$20=0,0,G10/B$20)</f>
        <v>0.15625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1.9375000000000004</v>
      </c>
      <c r="Q10" s="76">
        <v>8</v>
      </c>
      <c r="R10" s="67">
        <v>15.500000000000004</v>
      </c>
    </row>
    <row r="11" spans="1:18" x14ac:dyDescent="0.45">
      <c r="A11" s="20" t="s">
        <v>184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>IF(B$20=0,0,G11/B$20)</f>
        <v>7.8125E-2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1.7666666666666668</v>
      </c>
      <c r="Q11" s="77">
        <v>9</v>
      </c>
      <c r="R11" s="68">
        <v>15.900000000000002</v>
      </c>
    </row>
    <row r="12" spans="1:18" x14ac:dyDescent="0.45">
      <c r="A12" s="20" t="s">
        <v>185</v>
      </c>
      <c r="B12" s="109">
        <f>IF(B9=0,0,C12/B9)</f>
        <v>-5.3777777777777764</v>
      </c>
      <c r="C12" s="110">
        <v>-48.399999999999991</v>
      </c>
      <c r="E12" s="27" t="s">
        <v>71</v>
      </c>
      <c r="F12" s="24" t="s">
        <v>26</v>
      </c>
      <c r="G12" s="12">
        <v>4</v>
      </c>
      <c r="H12" s="88">
        <f>IF(B$20=0,0,G12/B$20)</f>
        <v>6.25E-2</v>
      </c>
      <c r="I12" s="58">
        <v>5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11.400000000000002</v>
      </c>
      <c r="Q12" s="78">
        <v>7</v>
      </c>
      <c r="R12" s="69">
        <v>79.800000000000011</v>
      </c>
    </row>
    <row r="13" spans="1:18" x14ac:dyDescent="0.45">
      <c r="A13" s="20" t="s">
        <v>186</v>
      </c>
      <c r="B13" s="109">
        <f>IF(B10=0,0,C13/B10)</f>
        <v>-21.714285714285715</v>
      </c>
      <c r="C13" s="110">
        <v>-152</v>
      </c>
      <c r="E13" s="27" t="s">
        <v>65</v>
      </c>
      <c r="F13" s="24" t="s">
        <v>21</v>
      </c>
      <c r="G13" s="12">
        <v>3</v>
      </c>
      <c r="H13" s="88">
        <f>IF(B$20=0,0,G13/B$20)</f>
        <v>4.6875E-2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3.9526455026455025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4.6875E-2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155</v>
      </c>
      <c r="F15" s="24" t="s">
        <v>156</v>
      </c>
      <c r="G15" s="12">
        <v>3</v>
      </c>
      <c r="H15" s="88">
        <f>IF(B$20=0,0,G15/B$20)</f>
        <v>4.6875E-2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190</v>
      </c>
      <c r="P15" s="82">
        <f>IF(Q15=0,0,R15/Q15)</f>
        <v>33.800000000000004</v>
      </c>
      <c r="Q15" s="76">
        <v>3</v>
      </c>
      <c r="R15" s="67">
        <v>101.4</v>
      </c>
    </row>
    <row r="16" spans="1:18" x14ac:dyDescent="0.45">
      <c r="A16" s="22" t="s">
        <v>121</v>
      </c>
      <c r="B16" s="15">
        <v>52</v>
      </c>
      <c r="C16" s="10">
        <f>IF(B$3=0,0,B16/B$3)</f>
        <v>0.26</v>
      </c>
      <c r="E16" s="27" t="s">
        <v>86</v>
      </c>
      <c r="F16" s="24" t="s">
        <v>41</v>
      </c>
      <c r="G16" s="12">
        <v>2</v>
      </c>
      <c r="H16" s="88">
        <f>IF(B$20=0,0,G16/B$20)</f>
        <v>3.125E-2</v>
      </c>
      <c r="I16" s="58">
        <v>6</v>
      </c>
      <c r="K16" s="74">
        <v>14</v>
      </c>
      <c r="L16" s="119">
        <v>222</v>
      </c>
      <c r="M16" s="117">
        <v>1861.6993429866839</v>
      </c>
      <c r="O16" s="74" t="s">
        <v>163</v>
      </c>
      <c r="P16" s="83">
        <f>IF(Q16=0,0,R16/Q16)</f>
        <v>30.62857142857143</v>
      </c>
      <c r="Q16" s="77">
        <v>7</v>
      </c>
      <c r="R16" s="68">
        <v>214.4</v>
      </c>
    </row>
    <row r="17" spans="1:18" x14ac:dyDescent="0.45">
      <c r="A17" s="19" t="s">
        <v>118</v>
      </c>
      <c r="B17" s="12">
        <v>44</v>
      </c>
      <c r="C17" s="6">
        <f>IF(B$3=0,0,B17/B$3)</f>
        <v>0.22</v>
      </c>
      <c r="E17" s="27" t="s">
        <v>78</v>
      </c>
      <c r="F17" s="24" t="s">
        <v>33</v>
      </c>
      <c r="G17" s="12">
        <v>1</v>
      </c>
      <c r="H17" s="88">
        <f>IF(B$20=0,0,G17/B$20)</f>
        <v>1.5625E-2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26</v>
      </c>
      <c r="C18" s="5">
        <f>IF(B$16=0,0,B18/B$16)</f>
        <v>0.5</v>
      </c>
      <c r="E18" s="27" t="s">
        <v>79</v>
      </c>
      <c r="F18" s="24" t="s">
        <v>34</v>
      </c>
      <c r="G18" s="12">
        <v>1</v>
      </c>
      <c r="H18" s="88">
        <f>IF(B$20=0,0,G18/B$20)</f>
        <v>1.5625E-2</v>
      </c>
      <c r="I18" s="58">
        <v>3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0.54545454545454541</v>
      </c>
      <c r="E19" s="27" t="s">
        <v>92</v>
      </c>
      <c r="F19" s="24" t="s">
        <v>47</v>
      </c>
      <c r="G19" s="12">
        <v>1</v>
      </c>
      <c r="H19" s="88">
        <f>IF(B$20=0,0,G19/B$20)</f>
        <v>1.5625E-2</v>
      </c>
      <c r="I19" s="58">
        <v>1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6.2399999999999993</v>
      </c>
      <c r="Q19" s="77">
        <v>10</v>
      </c>
      <c r="R19" s="68">
        <v>62.399999999999991</v>
      </c>
    </row>
    <row r="20" spans="1:18" x14ac:dyDescent="0.45">
      <c r="A20" s="18" t="s">
        <v>10</v>
      </c>
      <c r="B20" s="11">
        <f>B23+B22</f>
        <v>64</v>
      </c>
      <c r="C20" s="5">
        <f>IF(B$3=0,0,B20/B$3)</f>
        <v>0.32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-1.8500000000000005</v>
      </c>
      <c r="Q20" s="77">
        <v>8</v>
      </c>
      <c r="R20" s="68">
        <v>-14.800000000000004</v>
      </c>
    </row>
    <row r="21" spans="1:18" x14ac:dyDescent="0.45">
      <c r="A21" s="19" t="s">
        <v>13</v>
      </c>
      <c r="B21" s="12">
        <v>28</v>
      </c>
      <c r="C21" s="6">
        <f>IF(B$3=0,0,B21/B$3)</f>
        <v>0.14000000000000001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-5.4999999999999982</v>
      </c>
      <c r="Q21" s="77">
        <v>7</v>
      </c>
      <c r="R21" s="68">
        <v>-38.499999999999986</v>
      </c>
    </row>
    <row r="22" spans="1:18" x14ac:dyDescent="0.45">
      <c r="A22" s="19" t="s">
        <v>12</v>
      </c>
      <c r="B22" s="12">
        <v>32</v>
      </c>
      <c r="C22" s="6">
        <f>IF(B$20=0,0,B22/B$20)</f>
        <v>0.5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-9.1444444444444439</v>
      </c>
      <c r="Q22" s="77">
        <v>9</v>
      </c>
      <c r="R22" s="68">
        <v>-82.3</v>
      </c>
    </row>
    <row r="23" spans="1:18" x14ac:dyDescent="0.45">
      <c r="A23" s="19" t="s">
        <v>11</v>
      </c>
      <c r="B23" s="12">
        <v>32</v>
      </c>
      <c r="C23" s="6">
        <f>IF(B$20=0,0,B23/B$20)</f>
        <v>0.5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26</v>
      </c>
      <c r="C24" s="6">
        <f>IF(B$20=0,0,B24/B$20)</f>
        <v>0.40625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24</v>
      </c>
      <c r="C25" s="6">
        <f>IF(B$20=0,0,B25/B$20)</f>
        <v>0.375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14</v>
      </c>
      <c r="C26" s="6">
        <f>IF(B$20=0,0,B26/B$20)</f>
        <v>0.21875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8681.25</v>
      </c>
      <c r="C27" s="8">
        <v>555600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9127.5</v>
      </c>
      <c r="C28" s="96">
        <v>365100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7937.5</v>
      </c>
      <c r="C29" s="96">
        <v>190500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-7253.5714285714284</v>
      </c>
      <c r="C30" s="96">
        <v>-203100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3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17</v>
      </c>
      <c r="C32" s="90">
        <v>1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5.0000000000000001E-3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4.6875E-2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10</v>
      </c>
      <c r="C38" s="6">
        <f t="shared" si="2"/>
        <v>0.15625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17</v>
      </c>
      <c r="C39" s="6">
        <f t="shared" si="2"/>
        <v>0.265625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2"/>
        <v>0.15625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2"/>
        <v>9.375E-2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10</v>
      </c>
      <c r="C42" s="6">
        <f t="shared" si="2"/>
        <v>0.15625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7.8125E-2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1.5625E-2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1.5625E-2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19982-4C5E-42CE-908D-5BC79E9018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</v>
      </c>
      <c r="C2" s="134"/>
      <c r="E2" s="26" t="s">
        <v>72</v>
      </c>
      <c r="F2" s="23" t="s">
        <v>27</v>
      </c>
      <c r="G2" s="11">
        <v>17</v>
      </c>
      <c r="H2" s="87">
        <f>IF(B$20=0,0,G2/B$20)</f>
        <v>0.80952380952380953</v>
      </c>
      <c r="I2" s="57">
        <v>5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222.22222222222223</v>
      </c>
      <c r="Q2" s="76">
        <v>9</v>
      </c>
      <c r="R2" s="63">
        <v>2000</v>
      </c>
    </row>
    <row r="3" spans="1:18" x14ac:dyDescent="0.45">
      <c r="A3" s="19" t="s">
        <v>8</v>
      </c>
      <c r="B3" s="135">
        <v>77</v>
      </c>
      <c r="C3" s="136"/>
      <c r="E3" s="27" t="s">
        <v>66</v>
      </c>
      <c r="F3" s="24" t="s">
        <v>22</v>
      </c>
      <c r="G3" s="12">
        <v>14</v>
      </c>
      <c r="H3" s="88">
        <f>IF(B$20=0,0,G3/B$20)</f>
        <v>0.66666666666666663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2212.5</v>
      </c>
      <c r="Q3" s="77">
        <v>8</v>
      </c>
      <c r="R3" s="64">
        <v>17700</v>
      </c>
    </row>
    <row r="4" spans="1:18" x14ac:dyDescent="0.45">
      <c r="A4" s="19" t="s">
        <v>6</v>
      </c>
      <c r="B4" s="137">
        <v>-87.900000000000034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0.42857142857142855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-1200</v>
      </c>
      <c r="Q4" s="77">
        <v>8</v>
      </c>
      <c r="R4" s="64">
        <v>-9600</v>
      </c>
    </row>
    <row r="5" spans="1:18" x14ac:dyDescent="0.45">
      <c r="A5" s="19" t="s">
        <v>7</v>
      </c>
      <c r="B5" s="125">
        <f>IF(B$2=0,0,B$4/B$2)</f>
        <v>-9.766666666666671</v>
      </c>
      <c r="C5" s="126"/>
      <c r="E5" s="27" t="s">
        <v>64</v>
      </c>
      <c r="F5" s="24" t="s">
        <v>20</v>
      </c>
      <c r="G5" s="12">
        <v>7</v>
      </c>
      <c r="H5" s="88">
        <f>IF(B$20=0,0,G5/B$20)</f>
        <v>0.33333333333333331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-787.5</v>
      </c>
      <c r="Q5" s="77">
        <v>8</v>
      </c>
      <c r="R5" s="64">
        <v>-6300</v>
      </c>
    </row>
    <row r="6" spans="1:18" x14ac:dyDescent="0.45">
      <c r="A6" s="19" t="s">
        <v>196</v>
      </c>
      <c r="B6" s="129">
        <v>1636.255456115799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0.2857142857142857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-642.85714285714289</v>
      </c>
      <c r="Q6" s="77">
        <v>7</v>
      </c>
      <c r="R6" s="64">
        <v>-4500</v>
      </c>
    </row>
    <row r="7" spans="1:18" x14ac:dyDescent="0.45">
      <c r="A7" s="19" t="s">
        <v>1</v>
      </c>
      <c r="B7" s="139">
        <f>IF(B$2=0,0,(B$8*1+B$9*2+B$10*3)/B$2)</f>
        <v>2.1111111111111112</v>
      </c>
      <c r="C7" s="140"/>
      <c r="E7" s="27" t="s">
        <v>89</v>
      </c>
      <c r="F7" s="24" t="s">
        <v>44</v>
      </c>
      <c r="G7" s="12">
        <v>5</v>
      </c>
      <c r="H7" s="88">
        <f>IF(B$20=0,0,G7/B$20)</f>
        <v>0.23809523809523808</v>
      </c>
      <c r="I7" s="58">
        <v>5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-2340</v>
      </c>
      <c r="Q7" s="78">
        <v>5</v>
      </c>
      <c r="R7" s="65">
        <v>-11700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0.44444444444444442</v>
      </c>
      <c r="E8" s="27" t="s">
        <v>68</v>
      </c>
      <c r="F8" s="24" t="s">
        <v>12</v>
      </c>
      <c r="G8" s="12">
        <v>4</v>
      </c>
      <c r="H8" s="88">
        <f>IF(B$20=0,0,G8/B$20)</f>
        <v>0.19047619047619047</v>
      </c>
      <c r="I8" s="58">
        <v>9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0.14285714285714285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0.55555555555555558</v>
      </c>
      <c r="E10" s="27" t="s">
        <v>78</v>
      </c>
      <c r="F10" s="24" t="s">
        <v>33</v>
      </c>
      <c r="G10" s="12">
        <v>2</v>
      </c>
      <c r="H10" s="88">
        <f>IF(B$20=0,0,G10/B$20)</f>
        <v>9.5238095238095233E-2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184</v>
      </c>
      <c r="B11" s="109">
        <f>IF(B8=0,0,C11/B8)</f>
        <v>32.15</v>
      </c>
      <c r="C11" s="110">
        <v>128.6</v>
      </c>
      <c r="E11" s="27" t="s">
        <v>83</v>
      </c>
      <c r="F11" s="24" t="s">
        <v>38</v>
      </c>
      <c r="G11" s="12">
        <v>2</v>
      </c>
      <c r="H11" s="88">
        <f>IF(B$20=0,0,G11/B$20)</f>
        <v>9.5238095238095233E-2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65</v>
      </c>
      <c r="F12" s="24" t="s">
        <v>21</v>
      </c>
      <c r="G12" s="12">
        <v>1</v>
      </c>
      <c r="H12" s="88">
        <f>IF(B$20=0,0,G12/B$20)</f>
        <v>4.7619047619047616E-2</v>
      </c>
      <c r="I12" s="58">
        <v>6</v>
      </c>
      <c r="O12" s="75" t="s">
        <v>153</v>
      </c>
      <c r="P12" s="84">
        <f>IF(Q12=0,0,R12/Q12)</f>
        <v>-0.19999999999999929</v>
      </c>
      <c r="Q12" s="78">
        <v>2</v>
      </c>
      <c r="R12" s="69">
        <v>-0.39999999999999858</v>
      </c>
    </row>
    <row r="13" spans="1:18" x14ac:dyDescent="0.45">
      <c r="A13" s="20" t="s">
        <v>186</v>
      </c>
      <c r="B13" s="109">
        <f>IF(B10=0,0,C13/B10)</f>
        <v>-43.3</v>
      </c>
      <c r="C13" s="110">
        <v>-216.5</v>
      </c>
      <c r="E13" s="27" t="s">
        <v>70</v>
      </c>
      <c r="F13" s="24" t="s">
        <v>25</v>
      </c>
      <c r="G13" s="12">
        <v>1</v>
      </c>
      <c r="H13" s="88">
        <f>IF(B$20=0,0,G13/B$20)</f>
        <v>4.7619047619047616E-2</v>
      </c>
      <c r="I13" s="58">
        <v>7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-3.7166666666666663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4.7619047619047616E-2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0.22222222222222221</v>
      </c>
      <c r="E15" s="27" t="s">
        <v>79</v>
      </c>
      <c r="F15" s="24" t="s">
        <v>34</v>
      </c>
      <c r="G15" s="12">
        <v>1</v>
      </c>
      <c r="H15" s="88">
        <f>IF(B$20=0,0,G15/B$20)</f>
        <v>4.7619047619047616E-2</v>
      </c>
      <c r="I15" s="58">
        <v>1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18</v>
      </c>
      <c r="C16" s="10">
        <f>IF(B$3=0,0,B16/B$3)</f>
        <v>0.23376623376623376</v>
      </c>
      <c r="E16" s="27" t="s">
        <v>81</v>
      </c>
      <c r="F16" s="24" t="s">
        <v>36</v>
      </c>
      <c r="G16" s="12">
        <v>1</v>
      </c>
      <c r="H16" s="88">
        <f>IF(B$20=0,0,G16/B$20)</f>
        <v>4.7619047619047616E-2</v>
      </c>
      <c r="I16" s="58">
        <v>3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5">
      <c r="A17" s="19" t="s">
        <v>118</v>
      </c>
      <c r="B17" s="12">
        <v>20</v>
      </c>
      <c r="C17" s="6">
        <f>IF(B$3=0,0,B17/B$3)</f>
        <v>0.25974025974025972</v>
      </c>
      <c r="E17" s="27" t="s">
        <v>85</v>
      </c>
      <c r="F17" s="24" t="s">
        <v>40</v>
      </c>
      <c r="G17" s="12">
        <v>1</v>
      </c>
      <c r="H17" s="88">
        <f>IF(B$20=0,0,G17/B$20)</f>
        <v>4.7619047619047616E-2</v>
      </c>
      <c r="I17" s="58">
        <v>1</v>
      </c>
      <c r="O17" s="74" t="s">
        <v>126</v>
      </c>
      <c r="P17" s="83">
        <f>IF(Q17=0,0,R17/Q17)</f>
        <v>-30.628571428571437</v>
      </c>
      <c r="Q17" s="77">
        <v>7</v>
      </c>
      <c r="R17" s="68">
        <v>-214.40000000000006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0.3888888888888889</v>
      </c>
      <c r="E18" s="27" t="s">
        <v>86</v>
      </c>
      <c r="F18" s="24" t="s">
        <v>41</v>
      </c>
      <c r="G18" s="12">
        <v>1</v>
      </c>
      <c r="H18" s="88">
        <f>IF(B$20=0,0,G18/B$20)</f>
        <v>4.7619047619047616E-2</v>
      </c>
      <c r="I18" s="58">
        <v>3</v>
      </c>
      <c r="O18" s="74" t="s">
        <v>192</v>
      </c>
      <c r="P18" s="83">
        <f>IF(Q18=0,0,R18/Q18)</f>
        <v>-40.900000000000006</v>
      </c>
      <c r="Q18" s="77">
        <v>2</v>
      </c>
      <c r="R18" s="68">
        <v>-81.800000000000011</v>
      </c>
    </row>
    <row r="19" spans="1:18" x14ac:dyDescent="0.45">
      <c r="A19" s="18" t="s">
        <v>124</v>
      </c>
      <c r="B19" s="11">
        <f>B25</f>
        <v>8</v>
      </c>
      <c r="C19" s="5">
        <f>IF(B$17=0,0,B19/B$17)</f>
        <v>0.4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4</v>
      </c>
      <c r="O19" s="74" t="s">
        <v>189</v>
      </c>
      <c r="P19" s="83">
        <f>IF(Q19=0,0,R19/Q19)</f>
        <v>-67.650000000000006</v>
      </c>
      <c r="Q19" s="77">
        <v>2</v>
      </c>
      <c r="R19" s="68">
        <v>-135.30000000000001</v>
      </c>
    </row>
    <row r="20" spans="1:18" x14ac:dyDescent="0.45">
      <c r="A20" s="18" t="s">
        <v>10</v>
      </c>
      <c r="B20" s="11">
        <f>B23+B22</f>
        <v>21</v>
      </c>
      <c r="C20" s="5">
        <f>IF(B$3=0,0,B20/B$3)</f>
        <v>0.27272727272727271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16</v>
      </c>
      <c r="C21" s="6">
        <f>IF(B$3=0,0,B21/B$3)</f>
        <v>0.20779220779220781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7</v>
      </c>
      <c r="C22" s="6">
        <f>IF(B$20=0,0,B22/B$20)</f>
        <v>0.33333333333333331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14</v>
      </c>
      <c r="C23" s="6">
        <f>IF(B$20=0,0,B23/B$20)</f>
        <v>0.66666666666666663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7</v>
      </c>
      <c r="C24" s="6">
        <f>IF(B$20=0,0,B24/B$20)</f>
        <v>0.33333333333333331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8</v>
      </c>
      <c r="C25" s="6">
        <f>IF(B$20=0,0,B25/B$20)</f>
        <v>0.38095238095238093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6</v>
      </c>
      <c r="C26" s="6">
        <f>IF(B$20=0,0,B26/B$20)</f>
        <v>0.2857142857142857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9561.9047619047615</v>
      </c>
      <c r="C27" s="8">
        <v>200800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9938.461538461539</v>
      </c>
      <c r="C28" s="96">
        <v>129200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8950</v>
      </c>
      <c r="C29" s="96">
        <v>71600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-10887.5</v>
      </c>
      <c r="C30" s="96">
        <v>-174200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7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1.2987012987012988E-2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4.7619047619047616E-2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0.23809523809523808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9.5238095238095233E-2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EE6D-30F3-4F6F-82EF-D6A2D31845D1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72</v>
      </c>
      <c r="F2" s="23" t="s">
        <v>27</v>
      </c>
      <c r="G2" s="11">
        <v>28</v>
      </c>
      <c r="H2" s="87">
        <f>IF(B$20=0,0,G2/B$20)</f>
        <v>0.96551724137931039</v>
      </c>
      <c r="I2" s="57">
        <v>2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2690</v>
      </c>
      <c r="Q2" s="76">
        <v>10</v>
      </c>
      <c r="R2" s="63">
        <v>26900</v>
      </c>
    </row>
    <row r="3" spans="1:18" x14ac:dyDescent="0.45">
      <c r="A3" s="19" t="s">
        <v>8</v>
      </c>
      <c r="B3" s="135">
        <v>85</v>
      </c>
      <c r="C3" s="136"/>
      <c r="E3" s="27" t="s">
        <v>66</v>
      </c>
      <c r="F3" s="24" t="s">
        <v>22</v>
      </c>
      <c r="G3" s="12">
        <v>17</v>
      </c>
      <c r="H3" s="88">
        <f>IF(B$20=0,0,G3/B$20)</f>
        <v>0.58620689655172409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-1650</v>
      </c>
      <c r="Q3" s="77">
        <v>10</v>
      </c>
      <c r="R3" s="64">
        <v>-16500</v>
      </c>
    </row>
    <row r="4" spans="1:18" x14ac:dyDescent="0.45">
      <c r="A4" s="19" t="s">
        <v>6</v>
      </c>
      <c r="B4" s="137">
        <v>91.7</v>
      </c>
      <c r="C4" s="138"/>
      <c r="E4" s="27" t="s">
        <v>67</v>
      </c>
      <c r="F4" s="24" t="s">
        <v>23</v>
      </c>
      <c r="G4" s="12">
        <v>14</v>
      </c>
      <c r="H4" s="88">
        <f>IF(B$20=0,0,G4/B$20)</f>
        <v>0.48275862068965519</v>
      </c>
      <c r="I4" s="58">
        <v>2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2030</v>
      </c>
      <c r="Q4" s="77">
        <v>10</v>
      </c>
      <c r="R4" s="64">
        <v>20300</v>
      </c>
    </row>
    <row r="5" spans="1:18" x14ac:dyDescent="0.45">
      <c r="A5" s="19" t="s">
        <v>7</v>
      </c>
      <c r="B5" s="125">
        <f>IF(B$2=0,0,B$4/B$2)</f>
        <v>9.17</v>
      </c>
      <c r="C5" s="126"/>
      <c r="E5" s="27" t="s">
        <v>64</v>
      </c>
      <c r="F5" s="24" t="s">
        <v>20</v>
      </c>
      <c r="G5" s="12">
        <v>10</v>
      </c>
      <c r="H5" s="88">
        <f>IF(B$20=0,0,G5/B$20)</f>
        <v>0.34482758620689657</v>
      </c>
      <c r="I5" s="58">
        <v>7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-1080</v>
      </c>
      <c r="Q5" s="77">
        <v>10</v>
      </c>
      <c r="R5" s="64">
        <v>-10800</v>
      </c>
    </row>
    <row r="6" spans="1:18" x14ac:dyDescent="0.45">
      <c r="A6" s="19" t="s">
        <v>196</v>
      </c>
      <c r="B6" s="129">
        <v>1458.3940361425994</v>
      </c>
      <c r="C6" s="130"/>
      <c r="E6" s="27" t="s">
        <v>159</v>
      </c>
      <c r="F6" s="24" t="s">
        <v>160</v>
      </c>
      <c r="G6" s="12">
        <v>10</v>
      </c>
      <c r="H6" s="88">
        <f>IF(B$20=0,0,G6/B$20)</f>
        <v>0.34482758620689657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1900</v>
      </c>
      <c r="Q6" s="77">
        <v>10</v>
      </c>
      <c r="R6" s="64">
        <v>19000</v>
      </c>
    </row>
    <row r="7" spans="1:18" x14ac:dyDescent="0.45">
      <c r="A7" s="19" t="s">
        <v>1</v>
      </c>
      <c r="B7" s="139">
        <f>IF(B$2=0,0,(B$8*1+B$9*2+B$10*3)/B$2)</f>
        <v>1.7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0.31034482758620691</v>
      </c>
      <c r="I7" s="58">
        <v>5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2975</v>
      </c>
      <c r="Q7" s="78">
        <v>8</v>
      </c>
      <c r="R7" s="65">
        <v>23800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5</v>
      </c>
      <c r="H8" s="88">
        <f>IF(B$20=0,0,G8/B$20)</f>
        <v>0.17241379310344829</v>
      </c>
      <c r="I8" s="58">
        <v>7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0.5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0.1</v>
      </c>
      <c r="E10" s="27" t="s">
        <v>70</v>
      </c>
      <c r="F10" s="24" t="s">
        <v>25</v>
      </c>
      <c r="G10" s="12">
        <v>3</v>
      </c>
      <c r="H10" s="88">
        <f>IF(B$20=0,0,G10/B$20)</f>
        <v>0.10344827586206896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5">
      <c r="A11" s="20" t="s">
        <v>184</v>
      </c>
      <c r="B11" s="109">
        <f>IF(B8=0,0,C11/B8)</f>
        <v>20.650000000000002</v>
      </c>
      <c r="C11" s="110">
        <v>82.600000000000009</v>
      </c>
      <c r="E11" s="27" t="s">
        <v>71</v>
      </c>
      <c r="F11" s="24" t="s">
        <v>26</v>
      </c>
      <c r="G11" s="12">
        <v>1</v>
      </c>
      <c r="H11" s="88">
        <f>IF(B$20=0,0,G11/B$20)</f>
        <v>3.4482758620689655E-2</v>
      </c>
      <c r="I11" s="58">
        <v>7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7.6000000000000005</v>
      </c>
      <c r="Q11" s="77">
        <v>3</v>
      </c>
      <c r="R11" s="68">
        <v>22.8</v>
      </c>
    </row>
    <row r="12" spans="1:18" x14ac:dyDescent="0.45">
      <c r="A12" s="20" t="s">
        <v>185</v>
      </c>
      <c r="B12" s="109">
        <f>IF(B9=0,0,C12/B9)</f>
        <v>6.44</v>
      </c>
      <c r="C12" s="110">
        <v>32.200000000000003</v>
      </c>
      <c r="E12" s="27" t="s">
        <v>83</v>
      </c>
      <c r="F12" s="24" t="s">
        <v>38</v>
      </c>
      <c r="G12" s="12">
        <v>1</v>
      </c>
      <c r="H12" s="88">
        <f>IF(B$20=0,0,G12/B$20)</f>
        <v>3.4482758620689655E-2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12.274999999999999</v>
      </c>
      <c r="Q12" s="78">
        <v>4</v>
      </c>
      <c r="R12" s="69">
        <v>49.099999999999994</v>
      </c>
    </row>
    <row r="13" spans="1:18" x14ac:dyDescent="0.45">
      <c r="A13" s="20" t="s">
        <v>186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>IF(B$20=0,0,G13/B$20)</f>
        <v>3.4482758620689655E-2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1.3300000000000007</v>
      </c>
      <c r="C14" s="126"/>
      <c r="E14" s="27" t="s">
        <v>88</v>
      </c>
      <c r="F14" s="24" t="s">
        <v>43</v>
      </c>
      <c r="G14" s="12">
        <v>1</v>
      </c>
      <c r="H14" s="88">
        <f>IF(B$20=0,0,G14/B$20)</f>
        <v>3.4482758620689655E-2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91</v>
      </c>
      <c r="F15" s="24" t="s">
        <v>46</v>
      </c>
      <c r="G15" s="12">
        <v>1</v>
      </c>
      <c r="H15" s="88">
        <f>IF(B$20=0,0,G15/B$20)</f>
        <v>3.4482758620689655E-2</v>
      </c>
      <c r="I15" s="58">
        <v>2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23</v>
      </c>
      <c r="C16" s="10">
        <f>IF(B$3=0,0,B16/B$3)</f>
        <v>0.27058823529411763</v>
      </c>
      <c r="E16" s="27" t="s">
        <v>69</v>
      </c>
      <c r="F16" s="24" t="s">
        <v>24</v>
      </c>
      <c r="G16" s="12">
        <v>0</v>
      </c>
      <c r="H16" s="88">
        <f>IF(B$20=0,0,G16/B$20)</f>
        <v>0</v>
      </c>
      <c r="I16" s="58">
        <v>9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32</v>
      </c>
      <c r="C17" s="6">
        <f>IF(B$3=0,0,B17/B$3)</f>
        <v>0.37647058823529411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9.1444444444444439</v>
      </c>
      <c r="Q17" s="77">
        <v>9</v>
      </c>
      <c r="R17" s="68">
        <v>82.3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0.43478260869565216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>IF(Q18=0,0,R18/Q18)</f>
        <v>4.05</v>
      </c>
      <c r="Q18" s="77">
        <v>6</v>
      </c>
      <c r="R18" s="68">
        <v>24.3</v>
      </c>
    </row>
    <row r="19" spans="1:18" x14ac:dyDescent="0.45">
      <c r="A19" s="18" t="s">
        <v>124</v>
      </c>
      <c r="B19" s="11">
        <f>B25</f>
        <v>14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>IF(Q19=0,0,R19/Q19)</f>
        <v>-1.1499999999999986</v>
      </c>
      <c r="Q19" s="77">
        <v>2</v>
      </c>
      <c r="R19" s="68">
        <v>-2.2999999999999972</v>
      </c>
    </row>
    <row r="20" spans="1:18" x14ac:dyDescent="0.45">
      <c r="A20" s="18" t="s">
        <v>10</v>
      </c>
      <c r="B20" s="11">
        <f>B23+B22</f>
        <v>29</v>
      </c>
      <c r="C20" s="5">
        <f>IF(B$3=0,0,B20/B$3)</f>
        <v>0.3411764705882353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12</v>
      </c>
      <c r="C21" s="6">
        <f>IF(B$3=0,0,B21/B$3)</f>
        <v>0.14117647058823529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15</v>
      </c>
      <c r="C22" s="6">
        <f>IF(B$20=0,0,B22/B$20)</f>
        <v>0.51724137931034486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0.48275862068965519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5</v>
      </c>
    </row>
    <row r="24" spans="1:18" x14ac:dyDescent="0.45">
      <c r="A24" s="19" t="s">
        <v>183</v>
      </c>
      <c r="B24" s="12">
        <v>10</v>
      </c>
      <c r="C24" s="6">
        <f>IF(B$20=0,0,B24/B$20)</f>
        <v>0.34482758620689657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14</v>
      </c>
      <c r="C25" s="6">
        <f>IF(B$20=0,0,B25/B$20)</f>
        <v>0.48275862068965519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7</v>
      </c>
    </row>
    <row r="26" spans="1:18" x14ac:dyDescent="0.45">
      <c r="A26" s="19" t="s">
        <v>182</v>
      </c>
      <c r="B26" s="12">
        <v>5</v>
      </c>
      <c r="C26" s="6">
        <f>IF(B$20=0,0,B26/B$20)</f>
        <v>0.17241379310344829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7810.3448275862065</v>
      </c>
      <c r="C27" s="8">
        <v>226500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10193.333333333334</v>
      </c>
      <c r="C28" s="96">
        <v>152900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5257.1428571428569</v>
      </c>
      <c r="C29" s="96">
        <v>73600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-6483.333333333333</v>
      </c>
      <c r="C30" s="96">
        <v>-77800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0.10344827586206896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8</v>
      </c>
      <c r="C38" s="6">
        <f t="shared" si="2"/>
        <v>0.27586206896551724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0.13793103448275862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3.4482758620689655E-2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3.4482758620689655E-2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6.8965517241379309E-2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3.4482758620689655E-2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0.10344827586206896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3.4482758620689655E-2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1932-F086-484A-9207-858207B0267E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</v>
      </c>
      <c r="C2" s="134"/>
      <c r="E2" s="26" t="s">
        <v>159</v>
      </c>
      <c r="F2" s="23" t="s">
        <v>160</v>
      </c>
      <c r="G2" s="11">
        <v>3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2566.6666666666665</v>
      </c>
      <c r="Q2" s="76">
        <v>3</v>
      </c>
      <c r="R2" s="63">
        <v>7700</v>
      </c>
    </row>
    <row r="3" spans="1:18" x14ac:dyDescent="0.45">
      <c r="A3" s="19" t="s">
        <v>8</v>
      </c>
      <c r="B3" s="135">
        <v>21</v>
      </c>
      <c r="C3" s="136"/>
      <c r="E3" s="27" t="s">
        <v>69</v>
      </c>
      <c r="F3" s="24" t="s">
        <v>24</v>
      </c>
      <c r="G3" s="12">
        <v>2</v>
      </c>
      <c r="H3" s="88">
        <f>IF(B$20=0,0,G3/B$20)</f>
        <v>0.66666666666666663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4066.6666666666665</v>
      </c>
      <c r="Q3" s="77">
        <v>3</v>
      </c>
      <c r="R3" s="64">
        <v>12200</v>
      </c>
    </row>
    <row r="4" spans="1:18" x14ac:dyDescent="0.45">
      <c r="A4" s="19" t="s">
        <v>6</v>
      </c>
      <c r="B4" s="137">
        <v>-40.4</v>
      </c>
      <c r="C4" s="138"/>
      <c r="E4" s="27" t="s">
        <v>64</v>
      </c>
      <c r="F4" s="24" t="s">
        <v>20</v>
      </c>
      <c r="G4" s="12">
        <v>1</v>
      </c>
      <c r="H4" s="88">
        <f>IF(B$20=0,0,G4/B$20)</f>
        <v>0.33333333333333331</v>
      </c>
      <c r="I4" s="58">
        <v>8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-2766.6666666666665</v>
      </c>
      <c r="Q4" s="77">
        <v>3</v>
      </c>
      <c r="R4" s="64">
        <v>-8300</v>
      </c>
    </row>
    <row r="5" spans="1:18" x14ac:dyDescent="0.45">
      <c r="A5" s="19" t="s">
        <v>7</v>
      </c>
      <c r="B5" s="125">
        <f>IF(B$2=0,0,B$4/B$2)</f>
        <v>-13.466666666666667</v>
      </c>
      <c r="C5" s="126"/>
      <c r="E5" s="27" t="s">
        <v>67</v>
      </c>
      <c r="F5" s="24" t="s">
        <v>23</v>
      </c>
      <c r="G5" s="12">
        <v>1</v>
      </c>
      <c r="H5" s="88">
        <f>IF(B$20=0,0,G5/B$20)</f>
        <v>0.33333333333333331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-9750</v>
      </c>
      <c r="Q5" s="77">
        <v>2</v>
      </c>
      <c r="R5" s="64">
        <v>-19500</v>
      </c>
    </row>
    <row r="6" spans="1:18" x14ac:dyDescent="0.45">
      <c r="A6" s="19" t="s">
        <v>196</v>
      </c>
      <c r="B6" s="129">
        <v>1518.8868623780729</v>
      </c>
      <c r="C6" s="130"/>
      <c r="E6" s="27" t="s">
        <v>72</v>
      </c>
      <c r="F6" s="24" t="s">
        <v>27</v>
      </c>
      <c r="G6" s="12">
        <v>1</v>
      </c>
      <c r="H6" s="88">
        <f>IF(B$20=0,0,G6/B$20)</f>
        <v>0.33333333333333331</v>
      </c>
      <c r="I6" s="58">
        <v>10</v>
      </c>
      <c r="O6" s="74" t="s">
        <v>132</v>
      </c>
      <c r="P6" s="80">
        <f t="shared" si="0"/>
        <v>-10500</v>
      </c>
      <c r="Q6" s="77">
        <v>2</v>
      </c>
      <c r="R6" s="64">
        <v>-21000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1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-750</v>
      </c>
      <c r="Q7" s="78">
        <v>2</v>
      </c>
      <c r="R7" s="65">
        <v>-1500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9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0.66666666666666663</v>
      </c>
      <c r="E9" s="27" t="s">
        <v>66</v>
      </c>
      <c r="F9" s="24" t="s">
        <v>22</v>
      </c>
      <c r="G9" s="12">
        <v>0</v>
      </c>
      <c r="H9" s="88">
        <f>IF(B$20=0,0,G9/B$20)</f>
        <v>0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0.33333333333333331</v>
      </c>
      <c r="E10" s="27" t="s">
        <v>68</v>
      </c>
      <c r="F10" s="24" t="s">
        <v>12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-33.6</v>
      </c>
      <c r="Q10" s="76">
        <v>1</v>
      </c>
      <c r="R10" s="67">
        <v>-33.6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-3.3</v>
      </c>
      <c r="Q11" s="77">
        <v>1</v>
      </c>
      <c r="R11" s="68">
        <v>-3.3</v>
      </c>
    </row>
    <row r="12" spans="1:18" x14ac:dyDescent="0.45">
      <c r="A12" s="20" t="s">
        <v>185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8</v>
      </c>
      <c r="O12" s="75" t="s">
        <v>153</v>
      </c>
      <c r="P12" s="84">
        <f>IF(Q12=0,0,R12/Q12)</f>
        <v>-3.5</v>
      </c>
      <c r="Q12" s="78">
        <v>1</v>
      </c>
      <c r="R12" s="69">
        <v>-3.5</v>
      </c>
    </row>
    <row r="13" spans="1:18" x14ac:dyDescent="0.45">
      <c r="A13" s="20" t="s">
        <v>186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-12.333333333333334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5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3</v>
      </c>
    </row>
    <row r="18" spans="1:9" x14ac:dyDescent="0.45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5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5</v>
      </c>
    </row>
    <row r="20" spans="1:9" x14ac:dyDescent="0.45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5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7</v>
      </c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5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9" x14ac:dyDescent="0.45">
      <c r="A24" s="19" t="s">
        <v>183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5">
      <c r="A25" s="19" t="s">
        <v>181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9" x14ac:dyDescent="0.45">
      <c r="A26" s="19" t="s">
        <v>182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5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5">
      <c r="A28" s="20" t="s">
        <v>165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9" x14ac:dyDescent="0.45">
      <c r="A29" s="20" t="s">
        <v>166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5">
      <c r="A30" s="20" t="s">
        <v>164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31700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0.66666666666666663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A8F0-FA6C-45C0-A27F-BDE9B1CECFB8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38</v>
      </c>
      <c r="H2" s="87">
        <f>IF(B$20=0,0,G2/B$20)</f>
        <v>1.027027027027027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200</v>
      </c>
      <c r="Q2" s="76">
        <v>14</v>
      </c>
      <c r="R2" s="63">
        <v>2800</v>
      </c>
    </row>
    <row r="3" spans="1:18" x14ac:dyDescent="0.45">
      <c r="A3" s="19" t="s">
        <v>8</v>
      </c>
      <c r="B3" s="135">
        <v>105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0.6216216216216216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1642.8571428571429</v>
      </c>
      <c r="Q3" s="77">
        <v>14</v>
      </c>
      <c r="R3" s="64">
        <v>23000</v>
      </c>
    </row>
    <row r="4" spans="1:18" x14ac:dyDescent="0.45">
      <c r="A4" s="19" t="s">
        <v>6</v>
      </c>
      <c r="B4" s="137">
        <v>99.300000000000011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0.43243243243243246</v>
      </c>
      <c r="I4" s="58">
        <v>3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1121.4285714285713</v>
      </c>
      <c r="Q4" s="77">
        <v>14</v>
      </c>
      <c r="R4" s="64">
        <v>15700</v>
      </c>
    </row>
    <row r="5" spans="1:18" x14ac:dyDescent="0.45">
      <c r="A5" s="19" t="s">
        <v>7</v>
      </c>
      <c r="B5" s="125">
        <f>IF(B$2=0,0,B$4/B$2)</f>
        <v>7.0928571428571434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0.32432432432432434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258.33333333333331</v>
      </c>
      <c r="Q5" s="77">
        <v>12</v>
      </c>
      <c r="R5" s="64">
        <v>3100</v>
      </c>
    </row>
    <row r="6" spans="1:18" x14ac:dyDescent="0.45">
      <c r="A6" s="19" t="s">
        <v>196</v>
      </c>
      <c r="B6" s="129">
        <v>1512.415829547685</v>
      </c>
      <c r="C6" s="130"/>
      <c r="E6" s="27" t="s">
        <v>159</v>
      </c>
      <c r="F6" s="24" t="s">
        <v>160</v>
      </c>
      <c r="G6" s="12">
        <v>9</v>
      </c>
      <c r="H6" s="88">
        <f>IF(B$20=0,0,G6/B$20)</f>
        <v>0.24324324324324326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2360</v>
      </c>
      <c r="Q6" s="77">
        <v>10</v>
      </c>
      <c r="R6" s="64">
        <v>23600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7</v>
      </c>
      <c r="H7" s="88">
        <f>IF(B$20=0,0,G7/B$20)</f>
        <v>0.1891891891891892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1918.1818181818182</v>
      </c>
      <c r="Q7" s="78">
        <v>11</v>
      </c>
      <c r="R7" s="65">
        <v>21100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5</v>
      </c>
      <c r="H8" s="88">
        <f>IF(B$20=0,0,G8/B$20)</f>
        <v>0.13513513513513514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0.21428571428571427</v>
      </c>
      <c r="E9" s="27" t="s">
        <v>89</v>
      </c>
      <c r="F9" s="24" t="s">
        <v>44</v>
      </c>
      <c r="G9" s="12">
        <v>5</v>
      </c>
      <c r="H9" s="88">
        <f>IF(B$20=0,0,G9/B$20)</f>
        <v>0.13513513513513514</v>
      </c>
      <c r="I9" s="58">
        <v>9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0.35714285714285715</v>
      </c>
      <c r="E10" s="27" t="s">
        <v>71</v>
      </c>
      <c r="F10" s="24" t="s">
        <v>26</v>
      </c>
      <c r="G10" s="12">
        <v>3</v>
      </c>
      <c r="H10" s="88">
        <f>IF(B$20=0,0,G10/B$20)</f>
        <v>8.1081081081081086E-2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36.066666666666663</v>
      </c>
      <c r="C11" s="110">
        <v>216.39999999999998</v>
      </c>
      <c r="E11" s="27" t="s">
        <v>81</v>
      </c>
      <c r="F11" s="24" t="s">
        <v>36</v>
      </c>
      <c r="G11" s="12">
        <v>2</v>
      </c>
      <c r="H11" s="88">
        <f>IF(B$20=0,0,G11/B$20)</f>
        <v>5.4054054054054057E-2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5.4054054054054057E-2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5.4054054054054057E-2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5.3888888888888866</v>
      </c>
      <c r="C14" s="126"/>
      <c r="E14" s="27" t="s">
        <v>65</v>
      </c>
      <c r="F14" s="24" t="s">
        <v>21</v>
      </c>
      <c r="G14" s="12">
        <v>1</v>
      </c>
      <c r="H14" s="88">
        <f>IF(B$20=0,0,G14/B$20)</f>
        <v>2.7027027027027029E-2</v>
      </c>
      <c r="I14" s="58">
        <v>8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70</v>
      </c>
      <c r="F15" s="24" t="s">
        <v>25</v>
      </c>
      <c r="G15" s="12">
        <v>1</v>
      </c>
      <c r="H15" s="88">
        <f>IF(B$20=0,0,G15/B$20)</f>
        <v>2.7027027027027029E-2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26</v>
      </c>
      <c r="C16" s="10">
        <f>IF(B$3=0,0,B16/B$3)</f>
        <v>0.24761904761904763</v>
      </c>
      <c r="E16" s="27" t="s">
        <v>73</v>
      </c>
      <c r="F16" s="24" t="s">
        <v>28</v>
      </c>
      <c r="G16" s="12">
        <v>1</v>
      </c>
      <c r="H16" s="88">
        <f>IF(B$20=0,0,G16/B$20)</f>
        <v>2.7027027027027029E-2</v>
      </c>
      <c r="I16" s="58">
        <v>2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27</v>
      </c>
      <c r="C17" s="6">
        <f>IF(B$3=0,0,B17/B$3)</f>
        <v>0.25714285714285712</v>
      </c>
      <c r="E17" s="27" t="s">
        <v>75</v>
      </c>
      <c r="F17" s="24" t="s">
        <v>30</v>
      </c>
      <c r="G17" s="12">
        <v>1</v>
      </c>
      <c r="H17" s="88">
        <f>IF(B$20=0,0,G17/B$20)</f>
        <v>2.7027027027027029E-2</v>
      </c>
      <c r="I17" s="58">
        <v>1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16</v>
      </c>
      <c r="C18" s="5">
        <f>IF(B$16=0,0,B18/B$16)</f>
        <v>0.61538461538461542</v>
      </c>
      <c r="E18" s="27" t="s">
        <v>78</v>
      </c>
      <c r="F18" s="24" t="s">
        <v>33</v>
      </c>
      <c r="G18" s="12">
        <v>1</v>
      </c>
      <c r="H18" s="88">
        <f>IF(B$20=0,0,G18/B$20)</f>
        <v>2.7027027027027029E-2</v>
      </c>
      <c r="I18" s="58">
        <v>4</v>
      </c>
      <c r="O18" s="74" t="s">
        <v>216</v>
      </c>
      <c r="P18" s="83">
        <f t="shared" si="2"/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16</v>
      </c>
      <c r="C19" s="5">
        <f>IF(B$17=0,0,B19/B$17)</f>
        <v>0.59259259259259256</v>
      </c>
      <c r="E19" s="27" t="s">
        <v>86</v>
      </c>
      <c r="F19" s="24" t="s">
        <v>41</v>
      </c>
      <c r="G19" s="12">
        <v>1</v>
      </c>
      <c r="H19" s="88">
        <f>IF(B$20=0,0,G19/B$20)</f>
        <v>2.7027027027027029E-2</v>
      </c>
      <c r="I19" s="58">
        <v>7</v>
      </c>
      <c r="O19" s="74" t="s">
        <v>163</v>
      </c>
      <c r="P19" s="83">
        <f t="shared" si="2"/>
        <v>15.799999999999997</v>
      </c>
      <c r="Q19" s="77">
        <v>2</v>
      </c>
      <c r="R19" s="68">
        <v>31.599999999999994</v>
      </c>
    </row>
    <row r="20" spans="1:18" x14ac:dyDescent="0.45">
      <c r="A20" s="18" t="s">
        <v>10</v>
      </c>
      <c r="B20" s="11">
        <f>B23+B22</f>
        <v>37</v>
      </c>
      <c r="C20" s="5">
        <f>IF(B$3=0,0,B20/B$3)</f>
        <v>0.35238095238095241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17</v>
      </c>
      <c r="C21" s="6">
        <f>IF(B$3=0,0,B21/B$3)</f>
        <v>0.16190476190476191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 t="shared" si="2"/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0.40540540540540543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 t="shared" si="2"/>
        <v>1.1499999999999986</v>
      </c>
      <c r="Q22" s="77">
        <v>2</v>
      </c>
      <c r="R22" s="68">
        <v>2.2999999999999972</v>
      </c>
    </row>
    <row r="23" spans="1:18" x14ac:dyDescent="0.45">
      <c r="A23" s="19" t="s">
        <v>11</v>
      </c>
      <c r="B23" s="12">
        <v>22</v>
      </c>
      <c r="C23" s="6">
        <f>IF(B$20=0,0,B23/B$20)</f>
        <v>0.59459459459459463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5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16</v>
      </c>
      <c r="C24" s="6">
        <f>IF(B$20=0,0,B24/B$20)</f>
        <v>0.43243243243243246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16</v>
      </c>
      <c r="C25" s="6">
        <f>IF(B$20=0,0,B25/B$20)</f>
        <v>0.43243243243243246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5</v>
      </c>
      <c r="C26" s="6">
        <f>IF(B$20=0,0,B26/B$20)</f>
        <v>0.13513513513513514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7913.5135135135133</v>
      </c>
      <c r="C27" s="8">
        <v>292800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8776.1904761904771</v>
      </c>
      <c r="C28" s="96">
        <v>184300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6781.25</v>
      </c>
      <c r="C29" s="96">
        <v>108500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-7394.1176470588234</v>
      </c>
      <c r="C30" s="96">
        <v>-125700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9.5238095238095247E-3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3">IF(B$20=0,0,B37/B$20)</f>
        <v>5.4054054054054057E-2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3"/>
        <v>0.24324324324324326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0.1891891891891892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3"/>
        <v>0.1891891891891892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5.4054054054054057E-2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3"/>
        <v>0.13513513513513514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5.4054054054054057E-2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2.7027027027027029E-2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2.7027027027027029E-2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2.7027027027027029E-2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80429-7021-4BBA-AB92-584BFC1C21D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24</v>
      </c>
      <c r="H2" s="87">
        <f>IF(B$20=0,0,G2/B$20)</f>
        <v>0.70588235294117652</v>
      </c>
      <c r="I2" s="57">
        <v>6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-900</v>
      </c>
      <c r="Q2" s="76">
        <v>12</v>
      </c>
      <c r="R2" s="63">
        <v>-10800</v>
      </c>
    </row>
    <row r="3" spans="1:18" x14ac:dyDescent="0.45">
      <c r="A3" s="19" t="s">
        <v>8</v>
      </c>
      <c r="B3" s="135">
        <v>107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0.55882352941176472</v>
      </c>
      <c r="I3" s="58">
        <v>2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1027.2727272727273</v>
      </c>
      <c r="Q3" s="77">
        <v>11</v>
      </c>
      <c r="R3" s="64">
        <v>11300</v>
      </c>
    </row>
    <row r="4" spans="1:18" x14ac:dyDescent="0.45">
      <c r="A4" s="19" t="s">
        <v>6</v>
      </c>
      <c r="B4" s="137">
        <v>1.599999999999999</v>
      </c>
      <c r="C4" s="138"/>
      <c r="E4" s="27" t="s">
        <v>72</v>
      </c>
      <c r="F4" s="24" t="s">
        <v>27</v>
      </c>
      <c r="G4" s="12">
        <v>16</v>
      </c>
      <c r="H4" s="88">
        <f>IF(B$20=0,0,G4/B$20)</f>
        <v>0.47058823529411764</v>
      </c>
      <c r="I4" s="58">
        <v>9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2636.3636363636365</v>
      </c>
      <c r="Q4" s="77">
        <v>11</v>
      </c>
      <c r="R4" s="64">
        <v>29000</v>
      </c>
    </row>
    <row r="5" spans="1:18" x14ac:dyDescent="0.45">
      <c r="A5" s="19" t="s">
        <v>7</v>
      </c>
      <c r="B5" s="125">
        <f>IF(B$2=0,0,B$4/B$2)</f>
        <v>0.13333333333333325</v>
      </c>
      <c r="C5" s="126"/>
      <c r="E5" s="27" t="s">
        <v>64</v>
      </c>
      <c r="F5" s="24" t="s">
        <v>20</v>
      </c>
      <c r="G5" s="12">
        <v>12</v>
      </c>
      <c r="H5" s="88">
        <f>IF(B$20=0,0,G5/B$20)</f>
        <v>0.35294117647058826</v>
      </c>
      <c r="I5" s="58">
        <v>6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-136.36363636363637</v>
      </c>
      <c r="Q5" s="77">
        <v>11</v>
      </c>
      <c r="R5" s="64">
        <v>-1500</v>
      </c>
    </row>
    <row r="6" spans="1:18" x14ac:dyDescent="0.45">
      <c r="A6" s="19" t="s">
        <v>196</v>
      </c>
      <c r="B6" s="129">
        <v>1522.4637523585736</v>
      </c>
      <c r="C6" s="130"/>
      <c r="E6" s="27" t="s">
        <v>68</v>
      </c>
      <c r="F6" s="24" t="s">
        <v>12</v>
      </c>
      <c r="G6" s="12">
        <v>12</v>
      </c>
      <c r="H6" s="88">
        <f>IF(B$20=0,0,G6/B$20)</f>
        <v>0.35294117647058826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-627.27272727272725</v>
      </c>
      <c r="Q6" s="77">
        <v>11</v>
      </c>
      <c r="R6" s="64">
        <v>-6900</v>
      </c>
    </row>
    <row r="7" spans="1:18" x14ac:dyDescent="0.45">
      <c r="A7" s="19" t="s">
        <v>1</v>
      </c>
      <c r="B7" s="139">
        <f>IF(B$2=0,0,(B$8*1+B$9*2+B$10*3)/B$2)</f>
        <v>1.9166666666666667</v>
      </c>
      <c r="C7" s="140"/>
      <c r="E7" s="27" t="s">
        <v>70</v>
      </c>
      <c r="F7" s="24" t="s">
        <v>25</v>
      </c>
      <c r="G7" s="12">
        <v>7</v>
      </c>
      <c r="H7" s="88">
        <f>IF(B$20=0,0,G7/B$20)</f>
        <v>0.20588235294117646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-510</v>
      </c>
      <c r="Q7" s="78">
        <v>10</v>
      </c>
      <c r="R7" s="65">
        <v>-5100</v>
      </c>
    </row>
    <row r="8" spans="1:18" x14ac:dyDescent="0.45">
      <c r="A8" s="19" t="s">
        <v>2</v>
      </c>
      <c r="B8" s="12">
        <v>3</v>
      </c>
      <c r="C8" s="6">
        <f t="shared" ref="C8:C15" si="1">IF(B$2=0,0,B8/B$2)</f>
        <v>0.25</v>
      </c>
      <c r="E8" s="27" t="s">
        <v>71</v>
      </c>
      <c r="F8" s="24" t="s">
        <v>26</v>
      </c>
      <c r="G8" s="12">
        <v>5</v>
      </c>
      <c r="H8" s="88">
        <f>IF(B$20=0,0,G8/B$20)</f>
        <v>0.14705882352941177</v>
      </c>
      <c r="I8" s="58">
        <v>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0.58333333333333337</v>
      </c>
      <c r="E9" s="27" t="s">
        <v>89</v>
      </c>
      <c r="F9" s="24" t="s">
        <v>44</v>
      </c>
      <c r="G9" s="12">
        <v>4</v>
      </c>
      <c r="H9" s="88">
        <f>IF(B$20=0,0,G9/B$20)</f>
        <v>0.11764705882352941</v>
      </c>
      <c r="I9" s="58">
        <v>10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0.16666666666666666</v>
      </c>
      <c r="E10" s="27" t="s">
        <v>67</v>
      </c>
      <c r="F10" s="24" t="s">
        <v>23</v>
      </c>
      <c r="G10" s="12">
        <v>3</v>
      </c>
      <c r="H10" s="88">
        <f>IF(B$20=0,0,G10/B$20)</f>
        <v>8.8235294117647065E-2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-6.6571428571428575</v>
      </c>
      <c r="Q10" s="76">
        <v>7</v>
      </c>
      <c r="R10" s="67">
        <v>-46.6</v>
      </c>
    </row>
    <row r="11" spans="1:18" x14ac:dyDescent="0.45">
      <c r="A11" s="20" t="s">
        <v>184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>IF(B$20=0,0,G11/B$20)</f>
        <v>5.8823529411764705E-2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5.8</v>
      </c>
      <c r="Q11" s="77">
        <v>3</v>
      </c>
      <c r="R11" s="68">
        <v>17.399999999999999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86</v>
      </c>
      <c r="F12" s="24" t="s">
        <v>41</v>
      </c>
      <c r="G12" s="12">
        <v>2</v>
      </c>
      <c r="H12" s="88">
        <f>IF(B$20=0,0,G12/B$20)</f>
        <v>5.8823529411764705E-2</v>
      </c>
      <c r="I12" s="58">
        <v>2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-22.9</v>
      </c>
      <c r="C13" s="110">
        <v>-45.8</v>
      </c>
      <c r="E13" s="27" t="s">
        <v>73</v>
      </c>
      <c r="F13" s="24" t="s">
        <v>28</v>
      </c>
      <c r="G13" s="12">
        <v>1</v>
      </c>
      <c r="H13" s="88">
        <f>IF(B$20=0,0,G13/B$20)</f>
        <v>2.9411764705882353E-2</v>
      </c>
      <c r="I13" s="58">
        <v>1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-0.96349206349206307</v>
      </c>
      <c r="C14" s="126"/>
      <c r="E14" s="27" t="s">
        <v>78</v>
      </c>
      <c r="F14" s="24" t="s">
        <v>33</v>
      </c>
      <c r="G14" s="12">
        <v>1</v>
      </c>
      <c r="H14" s="88">
        <f>IF(B$20=0,0,G14/B$20)</f>
        <v>2.9411764705882353E-2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2.9411764705882353E-2</v>
      </c>
      <c r="I15" s="58">
        <v>2</v>
      </c>
      <c r="O15" s="73" t="s">
        <v>163</v>
      </c>
      <c r="P15" s="82">
        <f t="shared" ref="P15:P21" si="2"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25</v>
      </c>
      <c r="C16" s="10">
        <f>IF(B$3=0,0,B16/B$3)</f>
        <v>0.23364485981308411</v>
      </c>
      <c r="E16" s="27" t="s">
        <v>83</v>
      </c>
      <c r="F16" s="24" t="s">
        <v>38</v>
      </c>
      <c r="G16" s="12">
        <v>1</v>
      </c>
      <c r="H16" s="88">
        <f>IF(B$20=0,0,G16/B$20)</f>
        <v>2.9411764705882353E-2</v>
      </c>
      <c r="I16" s="58">
        <v>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23</v>
      </c>
      <c r="C17" s="6">
        <f>IF(B$3=0,0,B17/B$3)</f>
        <v>0.21495327102803738</v>
      </c>
      <c r="E17" s="27" t="s">
        <v>155</v>
      </c>
      <c r="F17" s="24" t="s">
        <v>156</v>
      </c>
      <c r="G17" s="12">
        <v>1</v>
      </c>
      <c r="H17" s="88">
        <f>IF(B$20=0,0,G17/B$20)</f>
        <v>2.9411764705882353E-2</v>
      </c>
      <c r="I17" s="58">
        <v>2</v>
      </c>
      <c r="O17" s="74" t="s">
        <v>221</v>
      </c>
      <c r="P17" s="83">
        <f t="shared" si="2"/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13</v>
      </c>
      <c r="C18" s="5">
        <f>IF(B$16=0,0,B18/B$16)</f>
        <v>0.52</v>
      </c>
      <c r="E18" s="27" t="s">
        <v>65</v>
      </c>
      <c r="F18" s="24" t="s">
        <v>21</v>
      </c>
      <c r="G18" s="12">
        <v>0</v>
      </c>
      <c r="H18" s="88">
        <f>IF(B$20=0,0,G18/B$20)</f>
        <v>0</v>
      </c>
      <c r="I18" s="58">
        <v>9</v>
      </c>
      <c r="O18" s="74" t="s">
        <v>189</v>
      </c>
      <c r="P18" s="83">
        <f t="shared" si="2"/>
        <v>-4.05</v>
      </c>
      <c r="Q18" s="77">
        <v>6</v>
      </c>
      <c r="R18" s="68">
        <v>-24.299999999999997</v>
      </c>
    </row>
    <row r="19" spans="1:18" x14ac:dyDescent="0.45">
      <c r="A19" s="18" t="s">
        <v>124</v>
      </c>
      <c r="B19" s="11">
        <f>B25</f>
        <v>10</v>
      </c>
      <c r="C19" s="5">
        <f>IF(B$17=0,0,B19/B$17)</f>
        <v>0.43478260869565216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126</v>
      </c>
      <c r="P19" s="83">
        <f t="shared" si="2"/>
        <v>-6.2399999999999993</v>
      </c>
      <c r="Q19" s="77">
        <v>10</v>
      </c>
      <c r="R19" s="68">
        <v>-62.399999999999991</v>
      </c>
    </row>
    <row r="20" spans="1:18" x14ac:dyDescent="0.45">
      <c r="A20" s="18" t="s">
        <v>10</v>
      </c>
      <c r="B20" s="11">
        <f>B23+B22</f>
        <v>34</v>
      </c>
      <c r="C20" s="5">
        <f>IF(B$3=0,0,B20/B$3)</f>
        <v>0.31775700934579437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195</v>
      </c>
      <c r="P20" s="83">
        <f t="shared" si="2"/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13</v>
      </c>
      <c r="C21" s="6">
        <f>IF(B$3=0,0,B21/B$3)</f>
        <v>0.12149532710280374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211</v>
      </c>
      <c r="P21" s="83">
        <f t="shared" si="2"/>
        <v>-16.2</v>
      </c>
      <c r="Q21" s="77">
        <v>1</v>
      </c>
      <c r="R21" s="68">
        <v>-16.2</v>
      </c>
    </row>
    <row r="22" spans="1:18" x14ac:dyDescent="0.45">
      <c r="A22" s="19" t="s">
        <v>12</v>
      </c>
      <c r="B22" s="12">
        <v>14</v>
      </c>
      <c r="C22" s="6">
        <f>IF(B$20=0,0,B22/B$20)</f>
        <v>0.41176470588235292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20</v>
      </c>
      <c r="C23" s="6">
        <f>IF(B$20=0,0,B23/B$20)</f>
        <v>0.58823529411764708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13</v>
      </c>
      <c r="C24" s="6">
        <f>IF(B$20=0,0,B24/B$20)</f>
        <v>0.38235294117647056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7</v>
      </c>
    </row>
    <row r="25" spans="1:18" x14ac:dyDescent="0.45">
      <c r="A25" s="19" t="s">
        <v>181</v>
      </c>
      <c r="B25" s="12">
        <v>10</v>
      </c>
      <c r="C25" s="6">
        <f>IF(B$20=0,0,B25/B$20)</f>
        <v>0.29411764705882354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11</v>
      </c>
      <c r="C26" s="6">
        <f>IF(B$20=0,0,B26/B$20)</f>
        <v>0.3235294117647059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6532.3529411764703</v>
      </c>
      <c r="C27" s="8">
        <v>222100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7425</v>
      </c>
      <c r="C28" s="96">
        <v>178200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4390</v>
      </c>
      <c r="C29" s="96">
        <v>43900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-7830.7692307692305</v>
      </c>
      <c r="C30" s="96">
        <v>-101800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14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56300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3">IF(B$20=0,0,B37/B$20)</f>
        <v>8.8235294117647065E-2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3"/>
        <v>0.26470588235294118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6</v>
      </c>
      <c r="C39" s="6">
        <f t="shared" si="3"/>
        <v>0.17647058823529413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0.17647058823529413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3"/>
        <v>0.17647058823529413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3"/>
        <v>2.9411764705882353E-2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2.9411764705882353E-2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8A4D8-66F1-4065-8671-3A944C93982C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8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8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2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4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7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2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211</v>
      </c>
      <c r="P17" s="83">
        <f>IF(Q17=0,0,R17/Q17)</f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>IF(Q20=0,0,R20/Q20)</f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5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7337-B732-481C-BCDC-9DDD0191F648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3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6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5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517A7-529C-46FA-98F6-6849C97F6826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10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4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5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4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C95C-7928-41FC-B669-D02C4371DCB5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7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9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5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72DA5-5989-40D6-9942-FA8A5E8A8D24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9A6B-9880-471F-91AA-7259CCDF848D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D64E-D050-4222-9B08-81C57BFA0514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556F9-25F3-42A6-B240-1A513059A042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2FFD6-E801-46E9-A179-8814EC4B3AF5}">
  <sheetPr codeName="Sheet18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AE0CC-F9A2-4176-BF3D-1C9536E1A718}">
  <sheetPr codeName="Sheet16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F3CDE-2C84-4E21-ACE9-56309F5081DE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000F-B06E-4780-8A79-81882495F5F0}">
  <sheetPr codeName="Sheet12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8DCBB-E625-4CB5-B0BB-FCE9D7E0EDC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E9CF-D540-4DB5-A3F7-FE1E1F6CD9F2}">
  <sheetPr codeName="Sheet8"/>
  <dimension ref="A1:Q2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7BD2B-8A0C-4235-AA36-553BA60DC65B}">
  <sheetPr codeName="Sheet6"/>
  <dimension ref="A1:Q3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2020-10-14T13:41:16Z</dcterms:modified>
</cp:coreProperties>
</file>