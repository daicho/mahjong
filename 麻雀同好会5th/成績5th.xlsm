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57163FF7-77BF-4CD6-872D-92DD7924129A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0" i="6998" l="1"/>
  <c r="P17" i="6986"/>
  <c r="P18" i="6998" l="1"/>
  <c r="P18" i="6988"/>
  <c r="P22" i="6984" l="1"/>
  <c r="P16" i="6988"/>
  <c r="P17" i="6998" l="1"/>
  <c r="P20" i="6984"/>
  <c r="P15" i="6986" l="1"/>
  <c r="P20" i="6988"/>
  <c r="P22" i="6992"/>
  <c r="P15" i="6988"/>
  <c r="P19" i="6994" l="1"/>
  <c r="P16" i="6986"/>
  <c r="P19" i="6998" l="1"/>
  <c r="P18" i="6982"/>
  <c r="P23" i="6990" l="1"/>
  <c r="P18" i="6986"/>
  <c r="P16" i="6992" l="1"/>
  <c r="P19" i="6992"/>
  <c r="P21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6" i="6998"/>
  <c r="P15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9" i="6998"/>
  <c r="H6" i="6998"/>
  <c r="H37" i="6998"/>
  <c r="C22" i="6998"/>
  <c r="H25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3" i="6998"/>
  <c r="H15" i="6998"/>
  <c r="H20" i="6998"/>
  <c r="H35" i="6998"/>
  <c r="C47" i="6998"/>
  <c r="H29" i="6998"/>
  <c r="H43" i="6998"/>
  <c r="H48" i="6998"/>
  <c r="C37" i="6998"/>
  <c r="H5" i="6998"/>
  <c r="H13" i="6998"/>
  <c r="H18" i="6998"/>
  <c r="H17" i="6998"/>
  <c r="C24" i="6998"/>
  <c r="H38" i="6998"/>
  <c r="C43" i="6998"/>
  <c r="C49" i="6998"/>
  <c r="H14" i="6998"/>
  <c r="H39" i="6998"/>
  <c r="H44" i="6998"/>
  <c r="H50" i="6998"/>
  <c r="H11" i="6998"/>
  <c r="C20" i="6998"/>
  <c r="C25" i="6998"/>
  <c r="H32" i="6998"/>
  <c r="C39" i="6998"/>
  <c r="H45" i="6998"/>
  <c r="H4" i="6998"/>
  <c r="H31" i="6998"/>
  <c r="H7" i="6998"/>
  <c r="H2" i="6998"/>
  <c r="H8" i="6998"/>
  <c r="H16" i="6998"/>
  <c r="H21" i="6998"/>
  <c r="H23" i="6998"/>
  <c r="C26" i="6998"/>
  <c r="H34" i="6998"/>
  <c r="H40" i="6998"/>
  <c r="C45" i="6998"/>
  <c r="H52" i="6998"/>
  <c r="H22" i="6998"/>
  <c r="H24" i="6998"/>
  <c r="H27" i="6998"/>
  <c r="H30" i="6998"/>
  <c r="H36" i="6998"/>
  <c r="C40" i="6998"/>
  <c r="C44" i="6998"/>
  <c r="C48" i="6998"/>
  <c r="H49" i="6998"/>
  <c r="H26" i="6998"/>
  <c r="H12" i="6998"/>
  <c r="H33" i="6998"/>
  <c r="C38" i="6998"/>
  <c r="C42" i="6998"/>
  <c r="C46" i="6998"/>
  <c r="P24" i="6984" l="1"/>
  <c r="P20" i="6992"/>
  <c r="P15" i="6990"/>
  <c r="P15" i="6992"/>
  <c r="P23" i="6992"/>
  <c r="P18" i="6994"/>
  <c r="P17" i="6990"/>
  <c r="P20" i="6994"/>
  <c r="P23" i="6984"/>
  <c r="P15" i="6984"/>
  <c r="P18" i="6996" l="1"/>
  <c r="P16" i="6994"/>
  <c r="P17" i="6982"/>
  <c r="P20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1" i="6992"/>
  <c r="H35" i="6992"/>
  <c r="C38" i="6992"/>
  <c r="C46" i="6992"/>
  <c r="H2" i="6992"/>
  <c r="H10" i="6992"/>
  <c r="H25" i="6992"/>
  <c r="H17" i="6992"/>
  <c r="C24" i="6992"/>
  <c r="B28" i="6992"/>
  <c r="H36" i="6992"/>
  <c r="H41" i="6992"/>
  <c r="H44" i="6992"/>
  <c r="H48" i="6992"/>
  <c r="H4" i="6992"/>
  <c r="H29" i="6992"/>
  <c r="H14" i="6992"/>
  <c r="H21" i="6992"/>
  <c r="H37" i="6992"/>
  <c r="C39" i="6992"/>
  <c r="C43" i="6992"/>
  <c r="C47" i="6992"/>
  <c r="H52" i="6992"/>
  <c r="H19" i="6992"/>
  <c r="H26" i="6992"/>
  <c r="C25" i="6992"/>
  <c r="H42" i="6992"/>
  <c r="H45" i="6992"/>
  <c r="H49" i="6992"/>
  <c r="H9" i="6992"/>
  <c r="C42" i="6992"/>
  <c r="H18" i="6992"/>
  <c r="H7" i="6992"/>
  <c r="H8" i="6992"/>
  <c r="H28" i="6992"/>
  <c r="H13" i="6992"/>
  <c r="H32" i="6992"/>
  <c r="H33" i="6992"/>
  <c r="H38" i="6992"/>
  <c r="C40" i="6992"/>
  <c r="C44" i="6992"/>
  <c r="C48" i="6992"/>
  <c r="H5" i="6992"/>
  <c r="H27" i="6992"/>
  <c r="C22" i="6992"/>
  <c r="C26" i="6992"/>
  <c r="H39" i="6992"/>
  <c r="H23" i="6992"/>
  <c r="H46" i="6992"/>
  <c r="H50" i="6992"/>
  <c r="H6" i="6992"/>
  <c r="H11" i="6992"/>
  <c r="H24" i="6992"/>
  <c r="H30" i="6992"/>
  <c r="H20" i="6992"/>
  <c r="H22" i="6992"/>
  <c r="C37" i="6992"/>
  <c r="C41" i="6992"/>
  <c r="C45" i="6992"/>
  <c r="C49" i="6992"/>
  <c r="H12" i="6992"/>
  <c r="H15" i="6992"/>
  <c r="H16" i="6992"/>
  <c r="C23" i="6992"/>
  <c r="B27" i="6992"/>
  <c r="H34" i="6992"/>
  <c r="H40" i="6992"/>
  <c r="H43" i="6992"/>
  <c r="H47" i="6992"/>
  <c r="P23" i="6982" l="1"/>
  <c r="P22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7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1" i="6990"/>
  <c r="H22" i="6990"/>
  <c r="H27" i="6990"/>
  <c r="H30" i="6990"/>
  <c r="H32" i="6990"/>
  <c r="C37" i="6990"/>
  <c r="C41" i="6990"/>
  <c r="C45" i="6990"/>
  <c r="C49" i="6990"/>
  <c r="H10" i="6990"/>
  <c r="H15" i="6990"/>
  <c r="H16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1" i="6984"/>
  <c r="P18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1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21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C43" i="6984" l="1"/>
  <c r="B14" i="6984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3" i="6984"/>
  <c r="C22" i="6984"/>
  <c r="H2" i="6984"/>
  <c r="H22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0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1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1" i="6984"/>
  <c r="C39" i="6984"/>
  <c r="C49" i="6984"/>
  <c r="H41" i="6984"/>
  <c r="H52" i="6984"/>
  <c r="H28" i="6984"/>
  <c r="H14" i="6984"/>
  <c r="H31" i="6984"/>
  <c r="H15" i="6984"/>
  <c r="H37" i="6984"/>
  <c r="C40" i="6984"/>
  <c r="C44" i="6984"/>
  <c r="C48" i="6984"/>
  <c r="H38" i="6984"/>
  <c r="H42" i="6984"/>
  <c r="H46" i="6984"/>
  <c r="H50" i="6984"/>
  <c r="H18" i="6984"/>
  <c r="H17" i="6984"/>
  <c r="C23" i="6984"/>
  <c r="B27" i="6984"/>
  <c r="H33" i="6984"/>
  <c r="H39" i="6984"/>
  <c r="H43" i="6984"/>
  <c r="H47" i="6984"/>
  <c r="H51" i="6984"/>
  <c r="H20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1" i="6982"/>
  <c r="H34" i="6982"/>
  <c r="C42" i="6982"/>
  <c r="H15" i="6982"/>
  <c r="H2" i="6982"/>
  <c r="H8" i="6982"/>
  <c r="H22" i="6982"/>
  <c r="H19" i="6982"/>
  <c r="C24" i="6982"/>
  <c r="B28" i="6982"/>
  <c r="H35" i="6982"/>
  <c r="H40" i="6982"/>
  <c r="H44" i="6982"/>
  <c r="H48" i="6982"/>
  <c r="H5" i="6982"/>
  <c r="H31" i="6982"/>
  <c r="H12" i="6982"/>
  <c r="H27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4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5" i="6982"/>
  <c r="H26" i="6982"/>
  <c r="H23" i="6982"/>
  <c r="C37" i="6982"/>
  <c r="C41" i="6982"/>
  <c r="C45" i="6982"/>
  <c r="C49" i="6982"/>
  <c r="H11" i="6982"/>
  <c r="H16" i="6982"/>
  <c r="H18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8" i="6980"/>
  <c r="H2" i="6980"/>
  <c r="H10" i="6980"/>
  <c r="H46" i="6980"/>
  <c r="H7" i="6980"/>
  <c r="H13" i="6980"/>
  <c r="H23" i="6980"/>
  <c r="H26" i="6980"/>
  <c r="H48" i="6980"/>
  <c r="H25" i="6980"/>
  <c r="H43" i="6980"/>
  <c r="C47" i="6980"/>
  <c r="H49" i="6980"/>
  <c r="H24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2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5" i="6980"/>
  <c r="H16" i="6980"/>
  <c r="C23" i="6980"/>
  <c r="B27" i="6980"/>
  <c r="H27" i="6980"/>
  <c r="H41" i="6980"/>
  <c r="H44" i="6980"/>
  <c r="H47" i="6980"/>
  <c r="H51" i="6980"/>
  <c r="H21" i="6980"/>
  <c r="H9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<sst xmlns="http://schemas.openxmlformats.org/spreadsheetml/2006/main" count="3551" uniqueCount="279">
  <si>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</si>
  <si>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</si>
  <si>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</si>
  <si>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</si>
  <si>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</si>
  <si>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</si>
  <si>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</si>
  <si>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</si>
  <si>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</si>
  <si>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</si>
  <si>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</si>
  <si>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</si>
  <si>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</si>
  <si>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</si>
  <si>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</si>
  <si>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</si>
  <si>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</si>
  <si>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</si>
  <si>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</si>
  <si>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</si>
  <si>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</si>
  <si>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</si>
  <si>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</si>
  <si>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</si>
  <si>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</si>
  <si>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</si>
  <si>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</si>
  <si>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</si>
  <si>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</si>
  <si>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</si>
  <si>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</si>
  <si>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</si>
  <si>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</si>
  <si>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</si>
  <si>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</si>
  <si>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</si>
  <si>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</si>
  <si>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</si>
  <si>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</si>
  <si>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</si>
  <si>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</si>
  <si>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</si>
  <si>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</si>
  <si>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</si>
  <si>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</si>
  <si>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</si>
  <si>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</si>
  <si>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</si>
  <si>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</si>
  <si>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</si>
  <si>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</si>
  <si>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</si>
  <si>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</si>
  <si>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</si>
  <si>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</si>
  <si>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</si>
  <si>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</si>
  <si>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</si>
  <si>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</si>
  <si>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</si>
  <si>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</si>
  <si>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</si>
  <si>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</si>
  <si>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</si>
  <si>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</si>
  <si>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</si>
  <si>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</si>
  <si>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</si>
  <si>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</si>
  <si>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</si>
  <si>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</si>
  <si>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</si>
  <si>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</si>
  <si>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</si>
  <si>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</si>
  <si>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</si>
  <si>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</si>
  <si>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</si>
  <si>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</si>
  <si>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</si>
  <si>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</si>
  <si>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</si>
  <si>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</si>
  <si>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</si>
  <si>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</si>
  <si>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</si>
  <si>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</si>
  <si>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</si>
  <si>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</si>
  <si>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</si>
  <si>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</si>
  <si>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</si>
  <si>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</si>
  <si>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</si>
  <si>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</si>
  <si>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</si>
  <si>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</si>
  <si>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</si>
  <si>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</si>
  <si>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</si>
  <si>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</si>
  <si>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</si>
  <si>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</si>
  <si>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</si>
  <si>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</si>
  <si>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</si>
  <si>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</si>
  <si>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</si>
  <si>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</si>
  <si>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</si>
  <si>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</si>
  <si>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</si>
  <si>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</si>
  <si>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</si>
  <si>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</si>
  <si>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</si>
  <si>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</si>
  <si>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</si>
  <si>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</si>
  <si>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</si>
  <si>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</si>
  <si>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</si>
  <si>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</si>
  <si>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</si>
  <si>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</si>
  <si>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</si>
  <si>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</si>
  <si>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</si>
  <si>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</si>
  <si>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</si>
  <si>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</si>
  <si>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</si>
  <si>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</si>
  <si>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</si>
  <si>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</si>
  <si>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</si>
  <si>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</si>
  <si>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</si>
  <si>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</si>
  <si>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</si>
  <si>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</si>
  <si>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</si>
  <si>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</si>
  <si>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</si>
  <si>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</si>
  <si>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</si>
  <si>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</si>
  <si>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</si>
  <si>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</si>
  <si>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</si>
  <si>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</si>
  <si>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</si>
  <si>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</si>
  <si>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</si>
  <si>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</si>
  <si>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</si>
  <si>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</si>
  <si>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</si>
  <si>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</si>
  <si>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</si>
  <si>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</si>
  <si>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</si>
  <si>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</si>
  <si>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</si>
  <si>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</si>
  <si>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</si>
  <si>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</si>
  <si>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</si>
  <si>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</si>
  <si>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</si>
  <si>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</si>
  <si>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</si>
  <si>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</si>
  <si>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</si>
  <si>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</si>
  <si>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</si>
  <si>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</si>
  <si>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</si>
  <si>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</si>
  <si>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</si>
  <si>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</si>
  <si>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</si>
  <si>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</si>
  <si>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</si>
  <si>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</si>
  <si>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</si>
  <si>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</si>
  <si>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</si>
  <si>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</si>
  <si>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</si>
  <si>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</si>
  <si>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</si>
  <si>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</si>
  <si>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</si>
  <si>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</si>
  <si>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</si>
  <si>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</si>
  <si>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</si>
  <si>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</si>
  <si>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</si>
  <si>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</si>
  <si>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</si>
  <si>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</si>
  <si>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</si>
  <si>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</si>
  <si>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</si>
  <si>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</si>
  <si>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</si>
  <si>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</si>
  <si>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</si>
  <si>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</si>
  <si>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</si>
  <si>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</si>
  <si>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</si>
  <si>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</si>
  <si>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</si>
  <si>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</si>
  <si>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</si>
  <si>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</si>
  <si>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</si>
  <si>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</si>
  <si>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</si>
  <si>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</si>
  <si>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</si>
  <si>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</si>
  <si>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</si>
  <si>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</si>
  <si>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</si>
  <si>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</si>
  <si>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</si>
  <si>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</si>
  <si>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</si>
  <si>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</si>
  <si>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</si>
  <si>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</si>
  <si>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</si>
  <si>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</si>
  <si>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</si>
  <si>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</si>
  <si>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</si>
  <si>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</si>
  <si>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</si>
  <si>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</si>
  <si>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</si>
  <si>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</si>
  <si>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</si>
  <si>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</si>
  <si>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</si>
  <si>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</si>
  <si>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</si>
  <si>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</si>
  <si>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</si>
  <si>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</si>
  <si>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</si>
  <si>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</si>
  <si>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</si>
  <si>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</si>
  <si>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</si>
  <si>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</si>
  <si>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</si>
  <si>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</si>
  <si>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</si>
  <si>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</si>
  <si>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</si>
  <si>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</si>
  <si>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</si>
  <si>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</si>
  <si>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</si>
  <si>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</si>
  <si>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</si>
  <si>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</si>
  <si>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</si>
  <si>
    <t>2021-01-15@0.xlsm</t>
  </si>
  <si>
    <t>2021-01-16@0.xlsm</t>
  </si>
  <si>
    <t>2021-01-25@0.xlsm</t>
  </si>
  <si>
    <t>2021-01-29@0.xlsm</t>
  </si>
  <si>
    <t>2021-01-30@AllStar.xlsm</t>
  </si>
  <si>
    <t>Sheet8</t>
  </si>
  <si>
    <t>2021-02-02@0.xlsm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</si>
</sst>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全体!$K$2:$K$488</c:f>
              <c:numCache>
                <c:formatCode>General</c:formatCode>
                <c:ptCount val="4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</c:numCache>
            </c:numRef>
          </c:xVal>
          <c:yVal>
            <c:numRef>
              <c:f>全体!$L$2:$L$488</c:f>
              <c:numCache>
                <c:formatCode>\+0.0;\-0.0;\±0</c:formatCode>
                <c:ptCount val="487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  <c:pt idx="424">
                  <c:v>68.600000000000051</c:v>
                </c:pt>
                <c:pt idx="425">
                  <c:v>16.900000000000048</c:v>
                </c:pt>
                <c:pt idx="426">
                  <c:v>4.9737991503207013E-14</c:v>
                </c:pt>
                <c:pt idx="427">
                  <c:v>2.3000000000000496</c:v>
                </c:pt>
                <c:pt idx="428">
                  <c:v>-30.19999999999995</c:v>
                </c:pt>
                <c:pt idx="429">
                  <c:v>4.9737991503207013E-14</c:v>
                </c:pt>
                <c:pt idx="430">
                  <c:v>24.50000000000005</c:v>
                </c:pt>
                <c:pt idx="431">
                  <c:v>-5.5999999999999517</c:v>
                </c:pt>
                <c:pt idx="432">
                  <c:v>4.7961634663806763E-14</c:v>
                </c:pt>
                <c:pt idx="433">
                  <c:v>-48.299999999999947</c:v>
                </c:pt>
                <c:pt idx="434">
                  <c:v>-9.699999999999946</c:v>
                </c:pt>
                <c:pt idx="435">
                  <c:v>5.3290705182007514E-14</c:v>
                </c:pt>
                <c:pt idx="436">
                  <c:v>36.500000000000057</c:v>
                </c:pt>
                <c:pt idx="437">
                  <c:v>7.4000000000000554</c:v>
                </c:pt>
                <c:pt idx="438">
                  <c:v>5.5067062021407764E-14</c:v>
                </c:pt>
                <c:pt idx="439">
                  <c:v>-26.799999999999947</c:v>
                </c:pt>
                <c:pt idx="440">
                  <c:v>-24.399999999999949</c:v>
                </c:pt>
                <c:pt idx="441">
                  <c:v>4.9737991503207013E-14</c:v>
                </c:pt>
                <c:pt idx="442">
                  <c:v>40.300000000000047</c:v>
                </c:pt>
                <c:pt idx="443">
                  <c:v>46.00000000000005</c:v>
                </c:pt>
                <c:pt idx="444">
                  <c:v>4.9737991503207013E-14</c:v>
                </c:pt>
                <c:pt idx="445">
                  <c:v>-31.099999999999952</c:v>
                </c:pt>
                <c:pt idx="446">
                  <c:v>-30.099999999999952</c:v>
                </c:pt>
                <c:pt idx="447">
                  <c:v>4.9737991503207013E-14</c:v>
                </c:pt>
                <c:pt idx="448">
                  <c:v>50.400000000000048</c:v>
                </c:pt>
                <c:pt idx="449">
                  <c:v>31.800000000000047</c:v>
                </c:pt>
                <c:pt idx="450">
                  <c:v>4.6185277824406512E-14</c:v>
                </c:pt>
                <c:pt idx="451">
                  <c:v>30.800000000000047</c:v>
                </c:pt>
                <c:pt idx="452">
                  <c:v>33.400000000000048</c:v>
                </c:pt>
                <c:pt idx="453">
                  <c:v>4.9737991503207013E-14</c:v>
                </c:pt>
                <c:pt idx="454">
                  <c:v>26.900000000000048</c:v>
                </c:pt>
                <c:pt idx="455">
                  <c:v>21.900000000000048</c:v>
                </c:pt>
                <c:pt idx="456">
                  <c:v>4.9737991503207013E-14</c:v>
                </c:pt>
                <c:pt idx="457">
                  <c:v>57.00000000000005</c:v>
                </c:pt>
                <c:pt idx="458">
                  <c:v>11.400000000000048</c:v>
                </c:pt>
                <c:pt idx="459">
                  <c:v>4.7961634663806763E-14</c:v>
                </c:pt>
                <c:pt idx="460">
                  <c:v>8.3000000000000487</c:v>
                </c:pt>
                <c:pt idx="461">
                  <c:v>-27.899999999999956</c:v>
                </c:pt>
                <c:pt idx="462">
                  <c:v>4.2632564145606011E-14</c:v>
                </c:pt>
                <c:pt idx="463">
                  <c:v>2.6000000000000427</c:v>
                </c:pt>
                <c:pt idx="464">
                  <c:v>23.200000000000045</c:v>
                </c:pt>
                <c:pt idx="465">
                  <c:v>4.6185277824406512E-14</c:v>
                </c:pt>
                <c:pt idx="466">
                  <c:v>-43.899999999999949</c:v>
                </c:pt>
                <c:pt idx="467">
                  <c:v>-35.399999999999949</c:v>
                </c:pt>
                <c:pt idx="468">
                  <c:v>4.9737991503207013E-14</c:v>
                </c:pt>
                <c:pt idx="469">
                  <c:v>75.700000000000045</c:v>
                </c:pt>
                <c:pt idx="470">
                  <c:v>8.9000000000000483</c:v>
                </c:pt>
                <c:pt idx="471">
                  <c:v>4.7961634663806763E-14</c:v>
                </c:pt>
                <c:pt idx="472">
                  <c:v>29.50000000000005</c:v>
                </c:pt>
                <c:pt idx="473">
                  <c:v>39.00000000000005</c:v>
                </c:pt>
                <c:pt idx="474">
                  <c:v>4.9737991503207013E-14</c:v>
                </c:pt>
                <c:pt idx="475">
                  <c:v>-16.399999999999949</c:v>
                </c:pt>
                <c:pt idx="476">
                  <c:v>3.1000000000000512</c:v>
                </c:pt>
                <c:pt idx="477">
                  <c:v>5.1070259132757201E-14</c:v>
                </c:pt>
                <c:pt idx="478">
                  <c:v>-38.49999999999995</c:v>
                </c:pt>
                <c:pt idx="479">
                  <c:v>-64.599999999999952</c:v>
                </c:pt>
                <c:pt idx="480">
                  <c:v>4.2632564145606011E-14</c:v>
                </c:pt>
                <c:pt idx="481">
                  <c:v>-24.599999999999959</c:v>
                </c:pt>
                <c:pt idx="482">
                  <c:v>3.8000000000000398</c:v>
                </c:pt>
                <c:pt idx="483">
                  <c:v>3.9968028886505635E-14</c:v>
                </c:pt>
                <c:pt idx="484">
                  <c:v>11.700000000000038</c:v>
                </c:pt>
                <c:pt idx="485">
                  <c:v>43.000000000000043</c:v>
                </c:pt>
                <c:pt idx="48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-33.126293995859214</c:v>
                </c:pt>
                <c:pt idx="1">
                  <c:v>8.4925690021231421</c:v>
                </c:pt>
                <c:pt idx="2">
                  <c:v>8.4925690021231421</c:v>
                </c:pt>
                <c:pt idx="3">
                  <c:v>-4.4742729306487696</c:v>
                </c:pt>
                <c:pt idx="4">
                  <c:v>12.165450121654501</c:v>
                </c:pt>
                <c:pt idx="5">
                  <c:v>14.124293785310735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89</c:v>
                </c:pt>
                <c:pt idx="1">
                  <c:v>221</c:v>
                </c:pt>
                <c:pt idx="2">
                  <c:v>240</c:v>
                </c:pt>
                <c:pt idx="3">
                  <c:v>239</c:v>
                </c:pt>
                <c:pt idx="4">
                  <c:v>183</c:v>
                </c:pt>
                <c:pt idx="5">
                  <c:v>117</c:v>
                </c:pt>
                <c:pt idx="6">
                  <c:v>51</c:v>
                </c:pt>
                <c:pt idx="7">
                  <c:v>38</c:v>
                </c:pt>
                <c:pt idx="8">
                  <c:v>20</c:v>
                </c:pt>
                <c:pt idx="9">
                  <c:v>12</c:v>
                </c:pt>
                <c:pt idx="10">
                  <c:v>5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全体!$K$2:$K$488</c:f>
              <c:numCache>
                <c:formatCode>General</c:formatCode>
                <c:ptCount val="4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</c:numCache>
            </c:numRef>
          </c:xVal>
          <c:yVal>
            <c:numRef>
              <c:f>全体!$M$2:$M$488</c:f>
              <c:numCache>
                <c:formatCode>0</c:formatCode>
                <c:ptCount val="487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  <c:pt idx="424">
                  <c:v>1620.0019272205427</c:v>
                </c:pt>
                <c:pt idx="425">
                  <c:v>1610.7139156572196</c:v>
                </c:pt>
                <c:pt idx="426">
                  <c:v>1607.7456321632762</c:v>
                </c:pt>
                <c:pt idx="427">
                  <c:v>1608.2511583702965</c:v>
                </c:pt>
                <c:pt idx="428">
                  <c:v>1602.4896514200748</c:v>
                </c:pt>
                <c:pt idx="429">
                  <c:v>1608.0487135115543</c:v>
                </c:pt>
                <c:pt idx="430">
                  <c:v>1612.4584212304849</c:v>
                </c:pt>
                <c:pt idx="431">
                  <c:v>1607.013670703102</c:v>
                </c:pt>
                <c:pt idx="432">
                  <c:v>1608.0275886788834</c:v>
                </c:pt>
                <c:pt idx="433">
                  <c:v>1599.33342314681</c:v>
                </c:pt>
                <c:pt idx="434">
                  <c:v>1606.3334226079292</c:v>
                </c:pt>
                <c:pt idx="435">
                  <c:v>1608.0894220722816</c:v>
                </c:pt>
                <c:pt idx="436">
                  <c:v>1614.886885539848</c:v>
                </c:pt>
                <c:pt idx="437">
                  <c:v>1609.835564226609</c:v>
                </c:pt>
                <c:pt idx="438">
                  <c:v>1608.7205508412494</c:v>
                </c:pt>
                <c:pt idx="439">
                  <c:v>1604.1202275362018</c:v>
                </c:pt>
                <c:pt idx="440">
                  <c:v>1604.8035061709845</c:v>
                </c:pt>
                <c:pt idx="441">
                  <c:v>1609.4426851339585</c:v>
                </c:pt>
                <c:pt idx="442">
                  <c:v>1616.9160290231548</c:v>
                </c:pt>
                <c:pt idx="443">
                  <c:v>1618.1165328490158</c:v>
                </c:pt>
                <c:pt idx="444">
                  <c:v>1610.0038336519217</c:v>
                </c:pt>
                <c:pt idx="445">
                  <c:v>1604.6218106500103</c:v>
                </c:pt>
                <c:pt idx="446">
                  <c:v>1605.0500797861102</c:v>
                </c:pt>
                <c:pt idx="447">
                  <c:v>1610.7137793073937</c:v>
                </c:pt>
                <c:pt idx="448">
                  <c:v>1619.9974966315492</c:v>
                </c:pt>
                <c:pt idx="449">
                  <c:v>1616.8055116517598</c:v>
                </c:pt>
                <c:pt idx="450">
                  <c:v>1611.2566785818492</c:v>
                </c:pt>
                <c:pt idx="451">
                  <c:v>1616.9311385103581</c:v>
                </c:pt>
                <c:pt idx="452">
                  <c:v>1617.4955516792959</c:v>
                </c:pt>
                <c:pt idx="453">
                  <c:v>1611.5765783692202</c:v>
                </c:pt>
                <c:pt idx="454">
                  <c:v>1616.1751188990049</c:v>
                </c:pt>
                <c:pt idx="455">
                  <c:v>1615.004068185611</c:v>
                </c:pt>
                <c:pt idx="456">
                  <c:v>1610.7980437764973</c:v>
                </c:pt>
                <c:pt idx="457">
                  <c:v>1620.8192555138382</c:v>
                </c:pt>
                <c:pt idx="458">
                  <c:v>1612.3123399807553</c:v>
                </c:pt>
                <c:pt idx="459">
                  <c:v>1610.0124659408707</c:v>
                </c:pt>
                <c:pt idx="460">
                  <c:v>1611.2723911452256</c:v>
                </c:pt>
                <c:pt idx="461">
                  <c:v>1604.5147567983543</c:v>
                </c:pt>
                <c:pt idx="462">
                  <c:v>1609.3356682575641</c:v>
                </c:pt>
                <c:pt idx="463">
                  <c:v>1609.5736542480188</c:v>
                </c:pt>
                <c:pt idx="464">
                  <c:v>1613.0502123225306</c:v>
                </c:pt>
                <c:pt idx="465">
                  <c:v>1608.6219110485954</c:v>
                </c:pt>
                <c:pt idx="466">
                  <c:v>1600.4941795823038</c:v>
                </c:pt>
                <c:pt idx="467">
                  <c:v>1601.8472145048099</c:v>
                </c:pt>
                <c:pt idx="468">
                  <c:v>1608.0341312177811</c:v>
                </c:pt>
                <c:pt idx="469">
                  <c:v>1621.4379264304744</c:v>
                </c:pt>
                <c:pt idx="470">
                  <c:v>1609.1112988718914</c:v>
                </c:pt>
                <c:pt idx="471">
                  <c:v>1607.28063107866</c:v>
                </c:pt>
                <c:pt idx="472">
                  <c:v>1612.372947292188</c:v>
                </c:pt>
                <c:pt idx="473">
                  <c:v>1613.8347096084349</c:v>
                </c:pt>
                <c:pt idx="474">
                  <c:v>1606.5577013507843</c:v>
                </c:pt>
                <c:pt idx="475">
                  <c:v>1603.3923551426797</c:v>
                </c:pt>
                <c:pt idx="476">
                  <c:v>1606.7080010118236</c:v>
                </c:pt>
                <c:pt idx="477">
                  <c:v>1605.9357530057528</c:v>
                </c:pt>
                <c:pt idx="478">
                  <c:v>1598.5141384877184</c:v>
                </c:pt>
                <c:pt idx="479">
                  <c:v>1593.3690536567919</c:v>
                </c:pt>
                <c:pt idx="480">
                  <c:v>1604.5808393348511</c:v>
                </c:pt>
                <c:pt idx="481">
                  <c:v>1599.4293542988421</c:v>
                </c:pt>
                <c:pt idx="482">
                  <c:v>1603.8487781730491</c:v>
                </c:pt>
                <c:pt idx="483">
                  <c:v>1602.445685504011</c:v>
                </c:pt>
                <c:pt idx="484">
                  <c:v>1604.5730113909869</c:v>
                </c:pt>
                <c:pt idx="485">
                  <c:v>1610.2155733226409</c:v>
                </c:pt>
                <c:pt idx="486">
                  <c:v>1602.450279882705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だいち!$K$2:$K$139</c:f>
              <c:numCache>
                <c:formatCode>General</c:formatCode>
                <c:ptCount val="1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</c:numCache>
            </c:numRef>
          </c:xVal>
          <c:yVal>
            <c:numRef>
              <c:f>だいち!$L$2:$L$139</c:f>
              <c:numCache>
                <c:formatCode>\+0.0;\-0.0;\±0</c:formatCode>
                <c:ptCount val="138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  <c:pt idx="118">
                  <c:v>163.49999999999989</c:v>
                </c:pt>
                <c:pt idx="119">
                  <c:v>130.99999999999989</c:v>
                </c:pt>
                <c:pt idx="120">
                  <c:v>100.89999999999989</c:v>
                </c:pt>
                <c:pt idx="121">
                  <c:v>52.599999999999895</c:v>
                </c:pt>
                <c:pt idx="122">
                  <c:v>23.499999999999893</c:v>
                </c:pt>
                <c:pt idx="123">
                  <c:v>-3.3000000000001073</c:v>
                </c:pt>
                <c:pt idx="124">
                  <c:v>36.999999999999886</c:v>
                </c:pt>
                <c:pt idx="125">
                  <c:v>67.099999999999881</c:v>
                </c:pt>
                <c:pt idx="126">
                  <c:v>117.49999999999989</c:v>
                </c:pt>
                <c:pt idx="127">
                  <c:v>148.2999999999999</c:v>
                </c:pt>
                <c:pt idx="128">
                  <c:v>126.39999999999989</c:v>
                </c:pt>
                <c:pt idx="129">
                  <c:v>114.99999999999989</c:v>
                </c:pt>
                <c:pt idx="130">
                  <c:v>142.89999999999989</c:v>
                </c:pt>
                <c:pt idx="131">
                  <c:v>119.69999999999989</c:v>
                </c:pt>
                <c:pt idx="132">
                  <c:v>155.09999999999988</c:v>
                </c:pt>
                <c:pt idx="133">
                  <c:v>146.19999999999987</c:v>
                </c:pt>
                <c:pt idx="134">
                  <c:v>107.19999999999987</c:v>
                </c:pt>
                <c:pt idx="135">
                  <c:v>104.09999999999988</c:v>
                </c:pt>
                <c:pt idx="136">
                  <c:v>168.69999999999987</c:v>
                </c:pt>
                <c:pt idx="137">
                  <c:v>199.99999999999989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494.85294117647061</c:v>
                </c:pt>
                <c:pt idx="1">
                  <c:v>-311.36363636363637</c:v>
                </c:pt>
                <c:pt idx="2">
                  <c:v>-1706.8181818181818</c:v>
                </c:pt>
                <c:pt idx="3">
                  <c:v>1129.3650793650793</c:v>
                </c:pt>
                <c:pt idx="4">
                  <c:v>936.52173913043475</c:v>
                </c:pt>
                <c:pt idx="5">
                  <c:v>766.66666666666663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24</c:v>
                </c:pt>
                <c:pt idx="1">
                  <c:v>71</c:v>
                </c:pt>
                <c:pt idx="2">
                  <c:v>70</c:v>
                </c:pt>
                <c:pt idx="3">
                  <c:v>71</c:v>
                </c:pt>
                <c:pt idx="4">
                  <c:v>58</c:v>
                </c:pt>
                <c:pt idx="5">
                  <c:v>43</c:v>
                </c:pt>
                <c:pt idx="6">
                  <c:v>12</c:v>
                </c:pt>
                <c:pt idx="7">
                  <c:v>8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だいち!$K$2:$K$139</c:f>
              <c:numCache>
                <c:formatCode>General</c:formatCode>
                <c:ptCount val="1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</c:numCache>
            </c:numRef>
          </c:xVal>
          <c:yVal>
            <c:numRef>
              <c:f>だいち!$M$2:$M$139</c:f>
              <c:numCache>
                <c:formatCode>0</c:formatCode>
                <c:ptCount val="138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  <c:pt idx="118">
                  <c:v>1748.9040316448788</c:v>
                </c:pt>
                <c:pt idx="119">
                  <c:v>1742.2986074550095</c:v>
                </c:pt>
                <c:pt idx="120">
                  <c:v>1736.0748158102795</c:v>
                </c:pt>
                <c:pt idx="121">
                  <c:v>1726.6123669154179</c:v>
                </c:pt>
                <c:pt idx="122">
                  <c:v>1720.8906927139253</c:v>
                </c:pt>
                <c:pt idx="123">
                  <c:v>1715.6173485576417</c:v>
                </c:pt>
                <c:pt idx="124">
                  <c:v>1722.4536444662958</c:v>
                </c:pt>
                <c:pt idx="125">
                  <c:v>1727.412922599498</c:v>
                </c:pt>
                <c:pt idx="126">
                  <c:v>1735.9964450639009</c:v>
                </c:pt>
                <c:pt idx="127">
                  <c:v>1740.9224663935174</c:v>
                </c:pt>
                <c:pt idx="128">
                  <c:v>1735.9609315951564</c:v>
                </c:pt>
                <c:pt idx="129">
                  <c:v>1732.9191660055853</c:v>
                </c:pt>
                <c:pt idx="130">
                  <c:v>1736.9696510095519</c:v>
                </c:pt>
                <c:pt idx="131">
                  <c:v>1731.7978331034944</c:v>
                </c:pt>
                <c:pt idx="132">
                  <c:v>1737.2050461048734</c:v>
                </c:pt>
                <c:pt idx="133">
                  <c:v>1734.6058158282442</c:v>
                </c:pt>
                <c:pt idx="134">
                  <c:v>1726.6041809332748</c:v>
                </c:pt>
                <c:pt idx="135">
                  <c:v>1725.1125558476751</c:v>
                </c:pt>
                <c:pt idx="136">
                  <c:v>1735.5338805125891</c:v>
                </c:pt>
                <c:pt idx="137">
                  <c:v>1740.3906772295136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れんたろう!$L$2:$L$88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  <c:pt idx="77">
                  <c:v>-113.6</c:v>
                </c:pt>
                <c:pt idx="78">
                  <c:v>-103.89999999999999</c:v>
                </c:pt>
                <c:pt idx="79">
                  <c:v>-111.3</c:v>
                </c:pt>
                <c:pt idx="80">
                  <c:v>-86.9</c:v>
                </c:pt>
                <c:pt idx="81">
                  <c:v>-132.9</c:v>
                </c:pt>
                <c:pt idx="82">
                  <c:v>-164</c:v>
                </c:pt>
                <c:pt idx="83">
                  <c:v>-182.6</c:v>
                </c:pt>
                <c:pt idx="84">
                  <c:v>-180</c:v>
                </c:pt>
                <c:pt idx="85">
                  <c:v>-151.6</c:v>
                </c:pt>
                <c:pt idx="86">
                  <c:v>-194.6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1132.5581395348838</c:v>
                </c:pt>
                <c:pt idx="1">
                  <c:v>-436.90476190476193</c:v>
                </c:pt>
                <c:pt idx="2">
                  <c:v>-559.52380952380952</c:v>
                </c:pt>
                <c:pt idx="3">
                  <c:v>-193.82716049382717</c:v>
                </c:pt>
                <c:pt idx="4">
                  <c:v>-298.64864864864865</c:v>
                </c:pt>
                <c:pt idx="5">
                  <c:v>-152.30769230769232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20</c:v>
                </c:pt>
                <c:pt idx="2">
                  <c:v>37</c:v>
                </c:pt>
                <c:pt idx="3">
                  <c:v>40</c:v>
                </c:pt>
                <c:pt idx="4">
                  <c:v>40</c:v>
                </c:pt>
                <c:pt idx="5">
                  <c:v>23</c:v>
                </c:pt>
                <c:pt idx="6">
                  <c:v>11</c:v>
                </c:pt>
                <c:pt idx="7">
                  <c:v>8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れんたろう!$M$2:$M$88</c:f>
              <c:numCache>
                <c:formatCode>0</c:formatCode>
                <c:ptCount val="87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  <c:pt idx="77">
                  <c:v>1628.1318400232217</c:v>
                </c:pt>
                <c:pt idx="78">
                  <c:v>1629.7570489830823</c:v>
                </c:pt>
                <c:pt idx="79">
                  <c:v>1628.5225066891837</c:v>
                </c:pt>
                <c:pt idx="80">
                  <c:v>1633.0193716490487</c:v>
                </c:pt>
                <c:pt idx="81">
                  <c:v>1624.8172554191544</c:v>
                </c:pt>
                <c:pt idx="82">
                  <c:v>1619.3463518866395</c:v>
                </c:pt>
                <c:pt idx="83">
                  <c:v>1616.1582737753197</c:v>
                </c:pt>
                <c:pt idx="84">
                  <c:v>1616.7273241326677</c:v>
                </c:pt>
                <c:pt idx="85">
                  <c:v>1621.0429601878718</c:v>
                </c:pt>
                <c:pt idx="86">
                  <c:v>1613.2127024267445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  <c:pt idx="47">
                  <c:v>-70.099999999999994</c:v>
                </c:pt>
                <c:pt idx="48">
                  <c:v>-31.499999999999993</c:v>
                </c:pt>
                <c:pt idx="49">
                  <c:v>-70</c:v>
                </c:pt>
                <c:pt idx="50">
                  <c:v>-73.8</c:v>
                </c:pt>
                <c:pt idx="51">
                  <c:v>-62.099999999999994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-372.54901960784315</c:v>
                </c:pt>
                <c:pt idx="1">
                  <c:v>-370.58823529411762</c:v>
                </c:pt>
                <c:pt idx="2">
                  <c:v>1226</c:v>
                </c:pt>
                <c:pt idx="3">
                  <c:v>-1410</c:v>
                </c:pt>
                <c:pt idx="4">
                  <c:v>-841.66666666666663</c:v>
                </c:pt>
                <c:pt idx="5">
                  <c:v>-1140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17</c:v>
                </c:pt>
                <c:pt idx="1">
                  <c:v>27</c:v>
                </c:pt>
                <c:pt idx="2">
                  <c:v>30</c:v>
                </c:pt>
                <c:pt idx="3">
                  <c:v>28</c:v>
                </c:pt>
                <c:pt idx="4">
                  <c:v>8</c:v>
                </c:pt>
                <c:pt idx="5">
                  <c:v>6</c:v>
                </c:pt>
                <c:pt idx="6">
                  <c:v>7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たかの!$M$2:$M$53</c:f>
              <c:numCache>
                <c:formatCode>0</c:formatCode>
                <c:ptCount val="52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  <c:pt idx="47">
                  <c:v>1459.7189035010927</c:v>
                </c:pt>
                <c:pt idx="48">
                  <c:v>1467.5565900800862</c:v>
                </c:pt>
                <c:pt idx="49">
                  <c:v>1460.9652505396057</c:v>
                </c:pt>
                <c:pt idx="50">
                  <c:v>1460.4194590363682</c:v>
                </c:pt>
                <c:pt idx="51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  <c:pt idx="51">
                  <c:v>178.2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-912</c:v>
                </c:pt>
                <c:pt idx="1">
                  <c:v>1166</c:v>
                </c:pt>
                <c:pt idx="2">
                  <c:v>2228</c:v>
                </c:pt>
                <c:pt idx="3">
                  <c:v>-382.97872340425533</c:v>
                </c:pt>
                <c:pt idx="4">
                  <c:v>257.14285714285717</c:v>
                </c:pt>
                <c:pt idx="5">
                  <c:v>1710.2564102564102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27</c:v>
                </c:pt>
                <c:pt idx="2">
                  <c:v>28</c:v>
                </c:pt>
                <c:pt idx="3">
                  <c:v>19</c:v>
                </c:pt>
                <c:pt idx="4">
                  <c:v>20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いちかわ!$M$2:$M$53</c:f>
              <c:numCache>
                <c:formatCode>0</c:formatCode>
                <c:ptCount val="52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  <c:pt idx="49">
                  <c:v>1545.841007845276</c:v>
                </c:pt>
                <c:pt idx="50">
                  <c:v>1546.7179617982042</c:v>
                </c:pt>
                <c:pt idx="51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ただ!$L$2:$L$66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  <c:pt idx="52">
                  <c:v>297.99999999999994</c:v>
                </c:pt>
                <c:pt idx="53">
                  <c:v>300.39999999999992</c:v>
                </c:pt>
                <c:pt idx="54">
                  <c:v>306.09999999999991</c:v>
                </c:pt>
                <c:pt idx="55">
                  <c:v>307.09999999999991</c:v>
                </c:pt>
                <c:pt idx="56">
                  <c:v>275.2999999999999</c:v>
                </c:pt>
                <c:pt idx="57">
                  <c:v>302.19999999999987</c:v>
                </c:pt>
                <c:pt idx="58">
                  <c:v>359.19999999999987</c:v>
                </c:pt>
                <c:pt idx="59">
                  <c:v>367.49999999999989</c:v>
                </c:pt>
                <c:pt idx="60">
                  <c:v>370.09999999999991</c:v>
                </c:pt>
                <c:pt idx="61">
                  <c:v>326.19999999999993</c:v>
                </c:pt>
                <c:pt idx="62">
                  <c:v>401.89999999999992</c:v>
                </c:pt>
                <c:pt idx="63">
                  <c:v>431.39999999999992</c:v>
                </c:pt>
                <c:pt idx="64">
                  <c:v>414.99999999999994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-451.5625</c:v>
                </c:pt>
                <c:pt idx="1">
                  <c:v>751.66666666666663</c:v>
                </c:pt>
                <c:pt idx="2">
                  <c:v>2280.3278688524592</c:v>
                </c:pt>
                <c:pt idx="3">
                  <c:v>2056.1403508771928</c:v>
                </c:pt>
                <c:pt idx="4">
                  <c:v>-24.528301886792452</c:v>
                </c:pt>
                <c:pt idx="5">
                  <c:v>-390.69767441860466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15</c:v>
                </c:pt>
                <c:pt idx="1">
                  <c:v>48</c:v>
                </c:pt>
                <c:pt idx="2">
                  <c:v>40</c:v>
                </c:pt>
                <c:pt idx="3">
                  <c:v>31</c:v>
                </c:pt>
                <c:pt idx="4">
                  <c:v>28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ただ!$M$2:$M$66</c:f>
              <c:numCache>
                <c:formatCode>0</c:formatCode>
                <c:ptCount val="65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  <c:pt idx="50">
                  <c:v>1575.3516706402122</c:v>
                </c:pt>
                <c:pt idx="51">
                  <c:v>1581.073560616371</c:v>
                </c:pt>
                <c:pt idx="52">
                  <c:v>1588.0331192526728</c:v>
                </c:pt>
                <c:pt idx="53">
                  <c:v>1588.8129205371567</c:v>
                </c:pt>
                <c:pt idx="54">
                  <c:v>1590.1820430139337</c:v>
                </c:pt>
                <c:pt idx="55">
                  <c:v>1590.6969507558501</c:v>
                </c:pt>
                <c:pt idx="56">
                  <c:v>1585.3047690513151</c:v>
                </c:pt>
                <c:pt idx="57">
                  <c:v>1590.0609404370073</c:v>
                </c:pt>
                <c:pt idx="58">
                  <c:v>1600.2065747943852</c:v>
                </c:pt>
                <c:pt idx="59">
                  <c:v>1601.5253353456189</c:v>
                </c:pt>
                <c:pt idx="60">
                  <c:v>1601.8101833335452</c:v>
                </c:pt>
                <c:pt idx="61">
                  <c:v>1593.723322233544</c:v>
                </c:pt>
                <c:pt idx="62">
                  <c:v>1607.2129823001428</c:v>
                </c:pt>
                <c:pt idx="63">
                  <c:v>1612.3057044063419</c:v>
                </c:pt>
                <c:pt idx="64">
                  <c:v>1609.1058701799038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  <c:pt idx="17">
                  <c:v>-126.1</c:v>
                </c:pt>
                <c:pt idx="18">
                  <c:v>-171.7</c:v>
                </c:pt>
                <c:pt idx="19">
                  <c:v>-207.89999999999998</c:v>
                </c:pt>
                <c:pt idx="20">
                  <c:v>-187.29999999999998</c:v>
                </c:pt>
                <c:pt idx="21">
                  <c:v>-178.79999999999998</c:v>
                </c:pt>
                <c:pt idx="22">
                  <c:v>-245.59999999999997</c:v>
                </c:pt>
                <c:pt idx="23">
                  <c:v>-236.09999999999997</c:v>
                </c:pt>
                <c:pt idx="24">
                  <c:v>-216.59999999999997</c:v>
                </c:pt>
                <c:pt idx="25">
                  <c:v>-242.69999999999996</c:v>
                </c:pt>
                <c:pt idx="26">
                  <c:v>-267.29999999999995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-84.615384615384613</c:v>
                </c:pt>
                <c:pt idx="1">
                  <c:v>466.66666666666669</c:v>
                </c:pt>
                <c:pt idx="2">
                  <c:v>-2196</c:v>
                </c:pt>
                <c:pt idx="3">
                  <c:v>-1612.5</c:v>
                </c:pt>
                <c:pt idx="4">
                  <c:v>-3047.8260869565215</c:v>
                </c:pt>
                <c:pt idx="5">
                  <c:v>-933.33333333333337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8</c:v>
                </c:pt>
                <c:pt idx="3">
                  <c:v>12</c:v>
                </c:pt>
                <c:pt idx="4">
                  <c:v>10</c:v>
                </c:pt>
                <c:pt idx="5">
                  <c:v>6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りくと!$M$2:$M$28</c:f>
              <c:numCache>
                <c:formatCode>0</c:formatCode>
                <c:ptCount val="2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  <c:pt idx="17">
                  <c:v>1386.3964580576521</c:v>
                </c:pt>
                <c:pt idx="18">
                  <c:v>1379.2960793093062</c:v>
                </c:pt>
                <c:pt idx="19">
                  <c:v>1373.9303028334502</c:v>
                </c:pt>
                <c:pt idx="20">
                  <c:v>1378.8207210164496</c:v>
                </c:pt>
                <c:pt idx="21">
                  <c:v>1381.503796690351</c:v>
                </c:pt>
                <c:pt idx="22">
                  <c:v>1370.6167739102088</c:v>
                </c:pt>
                <c:pt idx="23">
                  <c:v>1373.5290732667477</c:v>
                </c:pt>
                <c:pt idx="24">
                  <c:v>1378.2238988271472</c:v>
                </c:pt>
                <c:pt idx="25">
                  <c:v>1374.4005554341843</c:v>
                </c:pt>
                <c:pt idx="26">
                  <c:v>1370.6301521015791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りくと2!$B$3:$B$29</c:f>
              <c:numCache>
                <c:formatCode>\+0.0;\-0.0;\±0</c:formatCode>
                <c:ptCount val="2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  <c:pt idx="17">
                  <c:v>-126.1</c:v>
                </c:pt>
                <c:pt idx="18">
                  <c:v>-171.7</c:v>
                </c:pt>
                <c:pt idx="19">
                  <c:v>-207.89999999999998</c:v>
                </c:pt>
                <c:pt idx="20">
                  <c:v>-187.29999999999998</c:v>
                </c:pt>
                <c:pt idx="21">
                  <c:v>-178.79999999999998</c:v>
                </c:pt>
                <c:pt idx="22">
                  <c:v>-245.59999999999997</c:v>
                </c:pt>
                <c:pt idx="23">
                  <c:v>-236.09999999999997</c:v>
                </c:pt>
                <c:pt idx="24">
                  <c:v>-216.59999999999997</c:v>
                </c:pt>
                <c:pt idx="25">
                  <c:v>-242.69999999999996</c:v>
                </c:pt>
                <c:pt idx="26">
                  <c:v>-267.29999999999995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りくと2!$C$3:$C$29</c:f>
              <c:numCache>
                <c:formatCode>\+0.0;\-0.0;\±0</c:formatCode>
                <c:ptCount val="27"/>
                <c:pt idx="1">
                  <c:v>-24.2</c:v>
                </c:pt>
                <c:pt idx="2">
                  <c:v>-3.0999999999999996</c:v>
                </c:pt>
                <c:pt idx="3">
                  <c:v>6.0333333333333341</c:v>
                </c:pt>
                <c:pt idx="4">
                  <c:v>-3.6749999999999989</c:v>
                </c:pt>
                <c:pt idx="5">
                  <c:v>-13.36</c:v>
                </c:pt>
                <c:pt idx="6">
                  <c:v>-19.716666666666665</c:v>
                </c:pt>
                <c:pt idx="7">
                  <c:v>-12.342857142857143</c:v>
                </c:pt>
                <c:pt idx="8">
                  <c:v>-5.7125000000000004</c:v>
                </c:pt>
                <c:pt idx="9">
                  <c:v>-2.3555555555555561</c:v>
                </c:pt>
                <c:pt idx="10">
                  <c:v>-0.63000000000000023</c:v>
                </c:pt>
                <c:pt idx="11">
                  <c:v>-2.7727272727272729</c:v>
                </c:pt>
                <c:pt idx="12">
                  <c:v>-3.2916666666666665</c:v>
                </c:pt>
                <c:pt idx="13">
                  <c:v>-5.8153846153846152</c:v>
                </c:pt>
                <c:pt idx="14">
                  <c:v>-5.1857142857142851</c:v>
                </c:pt>
                <c:pt idx="15">
                  <c:v>-8.2133333333333329</c:v>
                </c:pt>
                <c:pt idx="16">
                  <c:v>-7.5687499999999996</c:v>
                </c:pt>
                <c:pt idx="17">
                  <c:v>-7.4176470588235288</c:v>
                </c:pt>
                <c:pt idx="18">
                  <c:v>-9.5388888888888879</c:v>
                </c:pt>
                <c:pt idx="19">
                  <c:v>-10.942105263157893</c:v>
                </c:pt>
                <c:pt idx="20">
                  <c:v>-9.3649999999999984</c:v>
                </c:pt>
                <c:pt idx="21">
                  <c:v>-8.5142857142857142</c:v>
                </c:pt>
                <c:pt idx="22">
                  <c:v>-11.163636363636362</c:v>
                </c:pt>
                <c:pt idx="23">
                  <c:v>-10.265217391304347</c:v>
                </c:pt>
                <c:pt idx="24">
                  <c:v>-9.0249999999999986</c:v>
                </c:pt>
                <c:pt idx="25">
                  <c:v>-9.7079999999999984</c:v>
                </c:pt>
                <c:pt idx="26">
                  <c:v>-10.280769230769229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7721325402481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りくと2!$D$3:$D$29</c:f>
              <c:numCache>
                <c:formatCode>0.00\ "位"</c:formatCode>
                <c:ptCount val="27"/>
                <c:pt idx="1">
                  <c:v>3</c:v>
                </c:pt>
                <c:pt idx="2">
                  <c:v>2</c:v>
                </c:pt>
                <c:pt idx="3">
                  <c:v>1.6666666666666667</c:v>
                </c:pt>
                <c:pt idx="4">
                  <c:v>2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2</c:v>
                </c:pt>
                <c:pt idx="14">
                  <c:v>2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2.0833333333333335</c:v>
                </c:pt>
                <c:pt idx="25">
                  <c:v>2.08</c:v>
                </c:pt>
                <c:pt idx="26">
                  <c:v>2.1153846153846154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942386831275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りくと2!$E$3:$E$29</c:f>
              <c:numCache>
                <c:formatCode>0.0%</c:formatCode>
                <c:ptCount val="2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390946502057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りくと2!$F$3:$F$29</c:f>
              <c:numCache>
                <c:formatCode>0.0%</c:formatCode>
                <c:ptCount val="27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0.44444444444444442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りくと2!$G$3:$G$29</c:f>
              <c:numCache>
                <c:formatCode>0.0%</c:formatCode>
                <c:ptCount val="27"/>
                <c:pt idx="1">
                  <c:v>0.2</c:v>
                </c:pt>
                <c:pt idx="2">
                  <c:v>0.27777777777777779</c:v>
                </c:pt>
                <c:pt idx="3">
                  <c:v>0.29166666666666669</c:v>
                </c:pt>
                <c:pt idx="4">
                  <c:v>0.25</c:v>
                </c:pt>
                <c:pt idx="5">
                  <c:v>0.25</c:v>
                </c:pt>
                <c:pt idx="6">
                  <c:v>0.22448979591836735</c:v>
                </c:pt>
                <c:pt idx="7">
                  <c:v>0.26315789473684209</c:v>
                </c:pt>
                <c:pt idx="8">
                  <c:v>0.29230769230769232</c:v>
                </c:pt>
                <c:pt idx="9">
                  <c:v>0.29729729729729731</c:v>
                </c:pt>
                <c:pt idx="10">
                  <c:v>0.29268292682926828</c:v>
                </c:pt>
                <c:pt idx="11">
                  <c:v>0.27777777777777779</c:v>
                </c:pt>
                <c:pt idx="12">
                  <c:v>0.28155339805825241</c:v>
                </c:pt>
                <c:pt idx="13">
                  <c:v>0.26126126126126126</c:v>
                </c:pt>
                <c:pt idx="14">
                  <c:v>0.256198347107438</c:v>
                </c:pt>
                <c:pt idx="15">
                  <c:v>0.23664122137404581</c:v>
                </c:pt>
                <c:pt idx="16">
                  <c:v>0.2413793103448276</c:v>
                </c:pt>
                <c:pt idx="17">
                  <c:v>0.24183006535947713</c:v>
                </c:pt>
                <c:pt idx="18">
                  <c:v>0.23125000000000001</c:v>
                </c:pt>
                <c:pt idx="19">
                  <c:v>0.23809523809523808</c:v>
                </c:pt>
                <c:pt idx="20">
                  <c:v>0.23595505617977527</c:v>
                </c:pt>
                <c:pt idx="21">
                  <c:v>0.23529411764705882</c:v>
                </c:pt>
                <c:pt idx="22">
                  <c:v>0.22680412371134021</c:v>
                </c:pt>
                <c:pt idx="23">
                  <c:v>0.23</c:v>
                </c:pt>
                <c:pt idx="24">
                  <c:v>0.23076923076923078</c:v>
                </c:pt>
                <c:pt idx="25">
                  <c:v>0.22119815668202766</c:v>
                </c:pt>
                <c:pt idx="26">
                  <c:v>0.22123893805309736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553798226695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りくと2!$H$3:$H$29</c:f>
              <c:numCache>
                <c:formatCode>0.0%</c:formatCode>
                <c:ptCount val="27"/>
                <c:pt idx="1">
                  <c:v>0.1</c:v>
                </c:pt>
                <c:pt idx="2">
                  <c:v>0.16666666666666666</c:v>
                </c:pt>
                <c:pt idx="3">
                  <c:v>0.20833333333333334</c:v>
                </c:pt>
                <c:pt idx="4">
                  <c:v>0.1388888888888889</c:v>
                </c:pt>
                <c:pt idx="5">
                  <c:v>0.15</c:v>
                </c:pt>
                <c:pt idx="6">
                  <c:v>0.18367346938775511</c:v>
                </c:pt>
                <c:pt idx="7">
                  <c:v>0.17543859649122806</c:v>
                </c:pt>
                <c:pt idx="8">
                  <c:v>0.16923076923076924</c:v>
                </c:pt>
                <c:pt idx="9">
                  <c:v>0.14864864864864866</c:v>
                </c:pt>
                <c:pt idx="10">
                  <c:v>0.14634146341463414</c:v>
                </c:pt>
                <c:pt idx="11">
                  <c:v>0.15555555555555556</c:v>
                </c:pt>
                <c:pt idx="12">
                  <c:v>0.1650485436893204</c:v>
                </c:pt>
                <c:pt idx="13">
                  <c:v>0.17117117117117117</c:v>
                </c:pt>
                <c:pt idx="14">
                  <c:v>0.17355371900826447</c:v>
                </c:pt>
                <c:pt idx="15">
                  <c:v>0.18320610687022901</c:v>
                </c:pt>
                <c:pt idx="16">
                  <c:v>0.17241379310344829</c:v>
                </c:pt>
                <c:pt idx="17">
                  <c:v>0.16339869281045752</c:v>
                </c:pt>
                <c:pt idx="18">
                  <c:v>0.18124999999999999</c:v>
                </c:pt>
                <c:pt idx="19">
                  <c:v>0.17857142857142858</c:v>
                </c:pt>
                <c:pt idx="20">
                  <c:v>0.1797752808988764</c:v>
                </c:pt>
                <c:pt idx="21">
                  <c:v>0.17112299465240641</c:v>
                </c:pt>
                <c:pt idx="22">
                  <c:v>0.18041237113402062</c:v>
                </c:pt>
                <c:pt idx="23">
                  <c:v>0.17499999999999999</c:v>
                </c:pt>
                <c:pt idx="24">
                  <c:v>0.17307692307692307</c:v>
                </c:pt>
                <c:pt idx="25">
                  <c:v>0.17972350230414746</c:v>
                </c:pt>
                <c:pt idx="26">
                  <c:v>0.18141592920353983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150491253294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りくと2!$I$3:$I$29</c:f>
              <c:numCache>
                <c:formatCode>0</c:formatCode>
                <c:ptCount val="27"/>
                <c:pt idx="1">
                  <c:v>4400</c:v>
                </c:pt>
                <c:pt idx="2">
                  <c:v>7460</c:v>
                </c:pt>
                <c:pt idx="3">
                  <c:v>9314.2857142857138</c:v>
                </c:pt>
                <c:pt idx="4">
                  <c:v>9022.2222222222226</c:v>
                </c:pt>
                <c:pt idx="5">
                  <c:v>8330</c:v>
                </c:pt>
                <c:pt idx="6">
                  <c:v>8272.7272727272721</c:v>
                </c:pt>
                <c:pt idx="7">
                  <c:v>7946.666666666667</c:v>
                </c:pt>
                <c:pt idx="8">
                  <c:v>8526.3157894736851</c:v>
                </c:pt>
                <c:pt idx="9">
                  <c:v>8727.2727272727279</c:v>
                </c:pt>
                <c:pt idx="10">
                  <c:v>8720.8333333333339</c:v>
                </c:pt>
                <c:pt idx="11">
                  <c:v>8680</c:v>
                </c:pt>
                <c:pt idx="12">
                  <c:v>8606.8965517241377</c:v>
                </c:pt>
                <c:pt idx="13">
                  <c:v>8606.8965517241377</c:v>
                </c:pt>
                <c:pt idx="14">
                  <c:v>8954.8387096774186</c:v>
                </c:pt>
                <c:pt idx="15">
                  <c:v>8954.8387096774186</c:v>
                </c:pt>
                <c:pt idx="16">
                  <c:v>8974.2857142857138</c:v>
                </c:pt>
                <c:pt idx="17">
                  <c:v>8921.6216216216217</c:v>
                </c:pt>
                <c:pt idx="18">
                  <c:v>8921.6216216216217</c:v>
                </c:pt>
                <c:pt idx="19">
                  <c:v>8535</c:v>
                </c:pt>
                <c:pt idx="20">
                  <c:v>9080.9523809523816</c:v>
                </c:pt>
                <c:pt idx="21">
                  <c:v>9159.0909090909099</c:v>
                </c:pt>
                <c:pt idx="22">
                  <c:v>9159.0909090909099</c:v>
                </c:pt>
                <c:pt idx="23">
                  <c:v>9195.652173913044</c:v>
                </c:pt>
                <c:pt idx="24">
                  <c:v>9089.5833333333339</c:v>
                </c:pt>
                <c:pt idx="25">
                  <c:v>9089.5833333333339</c:v>
                </c:pt>
                <c:pt idx="26">
                  <c:v>9206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75.9183673469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りくと2!$J$3:$J$29</c:f>
              <c:numCache>
                <c:formatCode>0</c:formatCode>
                <c:ptCount val="27"/>
                <c:pt idx="1">
                  <c:v>-1300</c:v>
                </c:pt>
                <c:pt idx="2">
                  <c:v>-5766.666666666667</c:v>
                </c:pt>
                <c:pt idx="3">
                  <c:v>-6380</c:v>
                </c:pt>
                <c:pt idx="4">
                  <c:v>-6380</c:v>
                </c:pt>
                <c:pt idx="5">
                  <c:v>-5966.666666666667</c:v>
                </c:pt>
                <c:pt idx="6">
                  <c:v>-7666.666666666667</c:v>
                </c:pt>
                <c:pt idx="7">
                  <c:v>-7480</c:v>
                </c:pt>
                <c:pt idx="8">
                  <c:v>-7154.545454545455</c:v>
                </c:pt>
                <c:pt idx="9">
                  <c:v>-7154.545454545455</c:v>
                </c:pt>
                <c:pt idx="10">
                  <c:v>-7225</c:v>
                </c:pt>
                <c:pt idx="11">
                  <c:v>-7114.2857142857147</c:v>
                </c:pt>
                <c:pt idx="12">
                  <c:v>-7629.411764705882</c:v>
                </c:pt>
                <c:pt idx="13">
                  <c:v>-7568.4210526315792</c:v>
                </c:pt>
                <c:pt idx="14">
                  <c:v>-7990.4761904761908</c:v>
                </c:pt>
                <c:pt idx="15">
                  <c:v>-7695.833333333333</c:v>
                </c:pt>
                <c:pt idx="16">
                  <c:v>-7868</c:v>
                </c:pt>
                <c:pt idx="17">
                  <c:v>-7868</c:v>
                </c:pt>
                <c:pt idx="18">
                  <c:v>-7493.1034482758623</c:v>
                </c:pt>
                <c:pt idx="19">
                  <c:v>-8310</c:v>
                </c:pt>
                <c:pt idx="20">
                  <c:v>-8071.875</c:v>
                </c:pt>
                <c:pt idx="21">
                  <c:v>-8071.875</c:v>
                </c:pt>
                <c:pt idx="22">
                  <c:v>-8745.7142857142862</c:v>
                </c:pt>
                <c:pt idx="23">
                  <c:v>-8745.7142857142862</c:v>
                </c:pt>
                <c:pt idx="24">
                  <c:v>-8538.8888888888887</c:v>
                </c:pt>
                <c:pt idx="25">
                  <c:v>-8307.6923076923085</c:v>
                </c:pt>
                <c:pt idx="26">
                  <c:v>-8321.9512195121952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84.52554744525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りくと2!$K$3:$K$29</c:f>
              <c:numCache>
                <c:formatCode>0.0%</c:formatCode>
                <c:ptCount val="2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41975308641974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りくと2!$L$3:$L$29</c:f>
              <c:numCache>
                <c:formatCode>0.0%</c:formatCode>
                <c:ptCount val="27"/>
                <c:pt idx="1">
                  <c:v>0.1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0.20408163265306123</c:v>
                </c:pt>
                <c:pt idx="7">
                  <c:v>0.21052631578947367</c:v>
                </c:pt>
                <c:pt idx="8">
                  <c:v>0.2</c:v>
                </c:pt>
                <c:pt idx="9">
                  <c:v>0.21621621621621623</c:v>
                </c:pt>
                <c:pt idx="10">
                  <c:v>0.23170731707317074</c:v>
                </c:pt>
                <c:pt idx="11">
                  <c:v>0.22222222222222221</c:v>
                </c:pt>
                <c:pt idx="12">
                  <c:v>0.22330097087378642</c:v>
                </c:pt>
                <c:pt idx="13">
                  <c:v>0.22522522522522523</c:v>
                </c:pt>
                <c:pt idx="14">
                  <c:v>0.21487603305785125</c:v>
                </c:pt>
                <c:pt idx="15">
                  <c:v>0.21374045801526717</c:v>
                </c:pt>
                <c:pt idx="16">
                  <c:v>0.23448275862068965</c:v>
                </c:pt>
                <c:pt idx="17">
                  <c:v>0.23529411764705882</c:v>
                </c:pt>
                <c:pt idx="18">
                  <c:v>0.22500000000000001</c:v>
                </c:pt>
                <c:pt idx="19">
                  <c:v>0.22619047619047619</c:v>
                </c:pt>
                <c:pt idx="20">
                  <c:v>0.2247191011235955</c:v>
                </c:pt>
                <c:pt idx="21">
                  <c:v>0.21925133689839571</c:v>
                </c:pt>
                <c:pt idx="22">
                  <c:v>0.21134020618556701</c:v>
                </c:pt>
                <c:pt idx="23">
                  <c:v>0.22</c:v>
                </c:pt>
                <c:pt idx="24">
                  <c:v>0.22115384615384615</c:v>
                </c:pt>
                <c:pt idx="25">
                  <c:v>0.22119815668202766</c:v>
                </c:pt>
                <c:pt idx="26">
                  <c:v>0.22123893805309736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105919003115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りくと2!$M$3:$M$29</c:f>
              <c:numCache>
                <c:formatCode>0.0%</c:formatCode>
                <c:ptCount val="27"/>
                <c:pt idx="1">
                  <c:v>0</c:v>
                </c:pt>
                <c:pt idx="2">
                  <c:v>0</c:v>
                </c:pt>
                <c:pt idx="3">
                  <c:v>8.3333333333333329E-2</c:v>
                </c:pt>
                <c:pt idx="4">
                  <c:v>5.5555555555555552E-2</c:v>
                </c:pt>
                <c:pt idx="5">
                  <c:v>0.05</c:v>
                </c:pt>
                <c:pt idx="6">
                  <c:v>6.1224489795918366E-2</c:v>
                </c:pt>
                <c:pt idx="7">
                  <c:v>0.10526315789473684</c:v>
                </c:pt>
                <c:pt idx="8">
                  <c:v>0.13846153846153847</c:v>
                </c:pt>
                <c:pt idx="9">
                  <c:v>0.12162162162162163</c:v>
                </c:pt>
                <c:pt idx="10">
                  <c:v>0.12195121951219512</c:v>
                </c:pt>
                <c:pt idx="11">
                  <c:v>0.13333333333333333</c:v>
                </c:pt>
                <c:pt idx="12">
                  <c:v>0.13592233009708737</c:v>
                </c:pt>
                <c:pt idx="13">
                  <c:v>0.15315315315315314</c:v>
                </c:pt>
                <c:pt idx="14">
                  <c:v>0.14049586776859505</c:v>
                </c:pt>
                <c:pt idx="15">
                  <c:v>0.14503816793893129</c:v>
                </c:pt>
                <c:pt idx="16">
                  <c:v>0.1310344827586207</c:v>
                </c:pt>
                <c:pt idx="17">
                  <c:v>0.13071895424836602</c:v>
                </c:pt>
                <c:pt idx="18">
                  <c:v>0.125</c:v>
                </c:pt>
                <c:pt idx="19">
                  <c:v>0.125</c:v>
                </c:pt>
                <c:pt idx="20">
                  <c:v>0.12359550561797752</c:v>
                </c:pt>
                <c:pt idx="21">
                  <c:v>0.12299465240641712</c:v>
                </c:pt>
                <c:pt idx="22">
                  <c:v>0.11855670103092783</c:v>
                </c:pt>
                <c:pt idx="23">
                  <c:v>0.115</c:v>
                </c:pt>
                <c:pt idx="24">
                  <c:v>0.11538461538461539</c:v>
                </c:pt>
                <c:pt idx="25">
                  <c:v>0.11059907834101383</c:v>
                </c:pt>
                <c:pt idx="26">
                  <c:v>0.11061946902654868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944164869398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りくと2!$N$3:$N$29</c:f>
              <c:numCache>
                <c:formatCode>0.0%</c:formatCode>
                <c:ptCount val="27"/>
                <c:pt idx="1">
                  <c:v>1</c:v>
                </c:pt>
                <c:pt idx="2">
                  <c:v>1</c:v>
                </c:pt>
                <c:pt idx="3">
                  <c:v>0.83333333333333337</c:v>
                </c:pt>
                <c:pt idx="4">
                  <c:v>0.77777777777777779</c:v>
                </c:pt>
                <c:pt idx="5">
                  <c:v>0.7</c:v>
                </c:pt>
                <c:pt idx="6">
                  <c:v>0.7</c:v>
                </c:pt>
                <c:pt idx="7">
                  <c:v>0.75</c:v>
                </c:pt>
                <c:pt idx="8">
                  <c:v>0.76923076923076927</c:v>
                </c:pt>
                <c:pt idx="9">
                  <c:v>0.6875</c:v>
                </c:pt>
                <c:pt idx="10">
                  <c:v>0.68421052631578949</c:v>
                </c:pt>
                <c:pt idx="11">
                  <c:v>0.7</c:v>
                </c:pt>
                <c:pt idx="12">
                  <c:v>0.69565217391304346</c:v>
                </c:pt>
                <c:pt idx="13">
                  <c:v>0.64</c:v>
                </c:pt>
                <c:pt idx="14">
                  <c:v>0.65384615384615385</c:v>
                </c:pt>
                <c:pt idx="15">
                  <c:v>0.6071428571428571</c:v>
                </c:pt>
                <c:pt idx="16">
                  <c:v>0.61764705882352944</c:v>
                </c:pt>
                <c:pt idx="17">
                  <c:v>0.63888888888888884</c:v>
                </c:pt>
                <c:pt idx="18">
                  <c:v>0.63888888888888884</c:v>
                </c:pt>
                <c:pt idx="19">
                  <c:v>0.65789473684210531</c:v>
                </c:pt>
                <c:pt idx="20">
                  <c:v>0.65</c:v>
                </c:pt>
                <c:pt idx="21">
                  <c:v>0.65853658536585369</c:v>
                </c:pt>
                <c:pt idx="22">
                  <c:v>0.65853658536585369</c:v>
                </c:pt>
                <c:pt idx="23">
                  <c:v>0.65909090909090906</c:v>
                </c:pt>
                <c:pt idx="24">
                  <c:v>0.65217391304347827</c:v>
                </c:pt>
                <c:pt idx="25">
                  <c:v>0.625</c:v>
                </c:pt>
                <c:pt idx="26">
                  <c:v>0.62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6777020447906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りくと2!$O$3:$O$29</c:f>
              <c:numCache>
                <c:formatCode>0.0%</c:formatCode>
                <c:ptCount val="27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0.66666666666666663</c:v>
                </c:pt>
                <c:pt idx="7">
                  <c:v>0.33333333333333331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0.33333333333333331</c:v>
                </c:pt>
                <c:pt idx="12">
                  <c:v>0.35714285714285715</c:v>
                </c:pt>
                <c:pt idx="13">
                  <c:v>0.29411764705882354</c:v>
                </c:pt>
                <c:pt idx="14">
                  <c:v>0.29411764705882354</c:v>
                </c:pt>
                <c:pt idx="15">
                  <c:v>0.26315789473684209</c:v>
                </c:pt>
                <c:pt idx="16">
                  <c:v>0.26315789473684209</c:v>
                </c:pt>
                <c:pt idx="17">
                  <c:v>0.25</c:v>
                </c:pt>
                <c:pt idx="18">
                  <c:v>0.25</c:v>
                </c:pt>
                <c:pt idx="19">
                  <c:v>0.23809523809523808</c:v>
                </c:pt>
                <c:pt idx="20">
                  <c:v>0.22727272727272727</c:v>
                </c:pt>
                <c:pt idx="21">
                  <c:v>0.21739130434782608</c:v>
                </c:pt>
                <c:pt idx="22">
                  <c:v>0.21739130434782608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0.20833333333333334</c:v>
                </c:pt>
                <c:pt idx="26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724511930585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りくと2!$A$3:$A$29</c:f>
              <c:numCache>
                <c:formatCode>0\ "回"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りくと2!$P$3:$P$29</c:f>
              <c:numCache>
                <c:formatCode>0.0%</c:formatCode>
                <c:ptCount val="27"/>
                <c:pt idx="1">
                  <c:v>1</c:v>
                </c:pt>
                <c:pt idx="2">
                  <c:v>0.8</c:v>
                </c:pt>
                <c:pt idx="3">
                  <c:v>0.7142857142857143</c:v>
                </c:pt>
                <c:pt idx="4">
                  <c:v>0.77777777777777779</c:v>
                </c:pt>
                <c:pt idx="5">
                  <c:v>0.8</c:v>
                </c:pt>
                <c:pt idx="6">
                  <c:v>0.72727272727272729</c:v>
                </c:pt>
                <c:pt idx="7">
                  <c:v>0.6</c:v>
                </c:pt>
                <c:pt idx="8">
                  <c:v>0.47368421052631576</c:v>
                </c:pt>
                <c:pt idx="9">
                  <c:v>0.54545454545454541</c:v>
                </c:pt>
                <c:pt idx="10">
                  <c:v>0.54166666666666663</c:v>
                </c:pt>
                <c:pt idx="11">
                  <c:v>0.52</c:v>
                </c:pt>
                <c:pt idx="12">
                  <c:v>0.55172413793103448</c:v>
                </c:pt>
                <c:pt idx="13">
                  <c:v>0.55172413793103448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0.54285714285714282</c:v>
                </c:pt>
                <c:pt idx="17">
                  <c:v>0.56756756756756754</c:v>
                </c:pt>
                <c:pt idx="18">
                  <c:v>0.56756756756756754</c:v>
                </c:pt>
                <c:pt idx="19">
                  <c:v>0.55000000000000004</c:v>
                </c:pt>
                <c:pt idx="20">
                  <c:v>0.5714285714285714</c:v>
                </c:pt>
                <c:pt idx="21">
                  <c:v>0.56818181818181823</c:v>
                </c:pt>
                <c:pt idx="22">
                  <c:v>0.56818181818181823</c:v>
                </c:pt>
                <c:pt idx="23">
                  <c:v>0.56521739130434778</c:v>
                </c:pt>
                <c:pt idx="24">
                  <c:v>0.54166666666666663</c:v>
                </c:pt>
                <c:pt idx="25">
                  <c:v>0.54166666666666663</c:v>
                </c:pt>
                <c:pt idx="26">
                  <c:v>0.56000000000000005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285714285714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60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10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10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10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10" x14ac:dyDescent="0.4">
      <c r="A52" s="2" t="s">
        <v>269</v>
      </c>
      <c r="B52" s="3">
        <v>44188.877129629633</v>
      </c>
      <c r="C52" s="2" t="s">
        <v>127</v>
      </c>
    </row>
    <row r="53" spans="1:10" x14ac:dyDescent="0.4">
      <c r="A53" s="2" t="s">
        <v>270</v>
      </c>
      <c r="B53" s="3">
        <v>44202.692986111113</v>
      </c>
      <c r="C53" s="2" t="s">
        <v>127</v>
      </c>
    </row>
    <row r="54" spans="1:10" x14ac:dyDescent="0.4">
      <c r="A54" s="2" t="s">
        <v>271</v>
      </c>
      <c r="B54" s="3">
        <v>44203.727847222224</v>
      </c>
      <c r="C54" s="2" t="s">
        <v>127</v>
      </c>
      <c r="D54" s="2" t="s">
        <v>188</v>
      </c>
      <c r="E54" s="2" t="s">
        <v>191</v>
      </c>
      <c r="F54" s="2" t="s">
        <v>194</v>
      </c>
    </row>
    <row r="55" spans="1:10" x14ac:dyDescent="0.4">
      <c r="A55" s="2" t="s">
        <v>272</v>
      </c>
      <c r="B55" s="3">
        <v>44211.712731481479</v>
      </c>
      <c r="C55" s="2" t="s">
        <v>127</v>
      </c>
      <c r="D55" s="2" t="s">
        <v>188</v>
      </c>
    </row>
    <row r="56" spans="1:10" x14ac:dyDescent="0.4">
      <c r="A56" s="2" t="s">
        <v>273</v>
      </c>
      <c r="B56" s="3">
        <v>44212.86445601852</v>
      </c>
      <c r="C56" s="2" t="s">
        <v>127</v>
      </c>
      <c r="D56" s="2" t="s">
        <v>188</v>
      </c>
      <c r="E56" s="2" t="s">
        <v>191</v>
      </c>
    </row>
    <row r="57" spans="1:10" x14ac:dyDescent="0.4">
      <c r="A57" s="2" t="s">
        <v>274</v>
      </c>
      <c r="B57" s="3">
        <v>44221.737361111111</v>
      </c>
      <c r="C57" s="2" t="s">
        <v>127</v>
      </c>
      <c r="D57" s="2" t="s">
        <v>188</v>
      </c>
    </row>
    <row r="58" spans="1:10" x14ac:dyDescent="0.4">
      <c r="A58" s="2" t="s">
        <v>275</v>
      </c>
      <c r="B58" s="3">
        <v>44225.852303240739</v>
      </c>
      <c r="C58" s="2" t="s">
        <v>127</v>
      </c>
    </row>
    <row r="59" spans="1:10" x14ac:dyDescent="0.4">
      <c r="A59" s="2" t="s">
        <v>276</v>
      </c>
      <c r="B59" s="3">
        <v>44226.852013888885</v>
      </c>
      <c r="C59" s="2" t="s">
        <v>127</v>
      </c>
      <c r="D59" s="2" t="s">
        <v>188</v>
      </c>
      <c r="E59" s="2" t="s">
        <v>191</v>
      </c>
      <c r="F59" s="2" t="s">
        <v>194</v>
      </c>
      <c r="G59" s="2" t="s">
        <v>239</v>
      </c>
      <c r="H59" s="2" t="s">
        <v>245</v>
      </c>
      <c r="I59" s="2" t="s">
        <v>244</v>
      </c>
      <c r="J59" s="2" t="s">
        <v>277</v>
      </c>
    </row>
    <row r="60" spans="1:10" x14ac:dyDescent="0.4">
      <c r="A60" s="2" t="s">
        <v>278</v>
      </c>
      <c r="B60" s="3">
        <v>44229.712210648147</v>
      </c>
      <c r="C60" s="2" t="s">
        <v>127</v>
      </c>
      <c r="D60" s="2" t="s">
        <v>188</v>
      </c>
      <c r="E60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137</v>
      </c>
      <c r="C2" s="120">
        <v>1842.3339395535957</v>
      </c>
    </row>
    <row r="3" spans="1:3" x14ac:dyDescent="0.4">
      <c r="A3" t="s">
        <v>163</v>
      </c>
      <c r="B3" s="120">
        <v>86</v>
      </c>
      <c r="C3" s="120">
        <v>1653.1699313523677</v>
      </c>
    </row>
    <row r="4" spans="1:3" x14ac:dyDescent="0.4">
      <c r="A4" t="s">
        <v>139</v>
      </c>
      <c r="B4" s="120">
        <v>486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64</v>
      </c>
      <c r="C6" s="120">
        <v>1517.1288342047803</v>
      </c>
    </row>
    <row r="7" spans="1:3" x14ac:dyDescent="0.4">
      <c r="A7" t="s">
        <v>211</v>
      </c>
      <c r="B7" s="120">
        <v>51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51</v>
      </c>
      <c r="C10" s="120">
        <v>1433.30445236539</v>
      </c>
    </row>
    <row r="11" spans="1:3" x14ac:dyDescent="0.4">
      <c r="A11" t="s">
        <v>195</v>
      </c>
      <c r="B11" s="120">
        <v>26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5" t="s">
        <v>9</v>
      </c>
      <c r="C1" s="156"/>
      <c r="D1" s="149" t="s">
        <v>6</v>
      </c>
      <c r="E1" s="150"/>
      <c r="F1" s="149" t="s">
        <v>7</v>
      </c>
      <c r="G1" s="150"/>
      <c r="H1" s="155" t="s">
        <v>196</v>
      </c>
      <c r="I1" s="156"/>
      <c r="J1" s="149" t="s">
        <v>15</v>
      </c>
      <c r="K1" s="150"/>
      <c r="L1" s="149" t="s">
        <v>14</v>
      </c>
      <c r="M1" s="150"/>
      <c r="N1" s="149" t="s">
        <v>149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180</v>
      </c>
      <c r="AK1" s="150"/>
    </row>
    <row r="2" spans="1:37" x14ac:dyDescent="0.4">
      <c r="A2" s="36" t="s">
        <v>208</v>
      </c>
      <c r="B2" s="151">
        <v>0.872077918240167</v>
      </c>
      <c r="C2" s="152"/>
      <c r="D2" s="151">
        <v>0.61214281739733045</v>
      </c>
      <c r="E2" s="152"/>
      <c r="F2" s="151">
        <v>0.66637056599317612</v>
      </c>
      <c r="G2" s="152"/>
      <c r="H2" s="153"/>
      <c r="I2" s="154"/>
      <c r="J2" s="151">
        <v>0.46457579864743209</v>
      </c>
      <c r="K2" s="152"/>
      <c r="L2" s="151">
        <v>0.36441218081704335</v>
      </c>
      <c r="M2" s="152"/>
      <c r="N2" s="151">
        <v>0.40956638462126782</v>
      </c>
      <c r="O2" s="152"/>
      <c r="P2" s="151">
        <v>0.64021437743975906</v>
      </c>
      <c r="Q2" s="152"/>
      <c r="R2" s="151">
        <v>0.12887293977533196</v>
      </c>
      <c r="S2" s="152"/>
      <c r="T2" s="151">
        <v>-0.14554238110214485</v>
      </c>
      <c r="U2" s="152"/>
      <c r="V2" s="151">
        <v>0.4540336209848706</v>
      </c>
      <c r="W2" s="152"/>
      <c r="X2" s="151">
        <v>0.49288093050638526</v>
      </c>
      <c r="Y2" s="152"/>
      <c r="Z2" s="151">
        <v>0.29987106317632389</v>
      </c>
      <c r="AA2" s="152"/>
      <c r="AB2" s="151">
        <v>0.3413308584119929</v>
      </c>
      <c r="AC2" s="152"/>
      <c r="AD2" s="151">
        <v>-7.3975535493024158E-2</v>
      </c>
      <c r="AE2" s="152"/>
      <c r="AF2" s="151">
        <v>0.72166742220081892</v>
      </c>
      <c r="AG2" s="152"/>
      <c r="AH2" s="151">
        <v>-0.49046932682986732</v>
      </c>
      <c r="AI2" s="152"/>
      <c r="AJ2" s="151">
        <v>0.79618685677683054</v>
      </c>
      <c r="AK2" s="152"/>
    </row>
    <row r="3" spans="1:37" x14ac:dyDescent="0.4">
      <c r="A3" s="38">
        <v>1</v>
      </c>
      <c r="B3" s="41" t="s">
        <v>139</v>
      </c>
      <c r="C3" s="113">
        <v>162</v>
      </c>
      <c r="D3" s="39" t="s">
        <v>192</v>
      </c>
      <c r="E3" s="40">
        <v>414.99999999999994</v>
      </c>
      <c r="F3" s="41" t="s">
        <v>192</v>
      </c>
      <c r="G3" s="60">
        <v>6.4843749999999991</v>
      </c>
      <c r="H3" s="41" t="s">
        <v>126</v>
      </c>
      <c r="I3" s="45">
        <v>1740.3906772295136</v>
      </c>
      <c r="J3" s="41" t="s">
        <v>192</v>
      </c>
      <c r="K3" s="42">
        <v>1.828125</v>
      </c>
      <c r="L3" s="41" t="s">
        <v>192</v>
      </c>
      <c r="M3" s="43">
        <v>0.40625</v>
      </c>
      <c r="N3" s="41" t="s">
        <v>190</v>
      </c>
      <c r="O3" s="43">
        <v>0.1891891891891892</v>
      </c>
      <c r="P3" s="41" t="s">
        <v>192</v>
      </c>
      <c r="Q3" s="44">
        <v>0.34615384615384615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0.28255208333333331</v>
      </c>
      <c r="AB3" s="41" t="s">
        <v>189</v>
      </c>
      <c r="AC3" s="44">
        <v>0.29268292682926828</v>
      </c>
      <c r="AD3" s="41" t="s">
        <v>201</v>
      </c>
      <c r="AE3" s="44">
        <v>0.66666666666666663</v>
      </c>
      <c r="AF3" s="41" t="s">
        <v>126</v>
      </c>
      <c r="AG3" s="44">
        <v>0.46724890829694321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137</v>
      </c>
      <c r="D4" s="47" t="s">
        <v>126</v>
      </c>
      <c r="E4" s="48">
        <v>199.99999999999989</v>
      </c>
      <c r="F4" s="49" t="s">
        <v>211</v>
      </c>
      <c r="G4" s="61">
        <v>3.4941176470588231</v>
      </c>
      <c r="H4" s="49" t="s">
        <v>163</v>
      </c>
      <c r="I4" s="53">
        <v>1613.2127024267445</v>
      </c>
      <c r="J4" s="49" t="s">
        <v>190</v>
      </c>
      <c r="K4" s="50">
        <v>1.8918918918918919</v>
      </c>
      <c r="L4" s="49" t="s">
        <v>211</v>
      </c>
      <c r="M4" s="51">
        <v>0.37254901960784315</v>
      </c>
      <c r="N4" s="49" t="s">
        <v>192</v>
      </c>
      <c r="O4" s="51">
        <v>0.234375</v>
      </c>
      <c r="P4" s="49" t="s">
        <v>126</v>
      </c>
      <c r="Q4" s="52">
        <v>0.3188908145580589</v>
      </c>
      <c r="R4" s="49" t="s">
        <v>192</v>
      </c>
      <c r="S4" s="52">
        <v>0.12087912087912088</v>
      </c>
      <c r="T4" s="49" t="s">
        <v>163</v>
      </c>
      <c r="U4" s="53">
        <v>9400.4975124378107</v>
      </c>
      <c r="V4" s="49" t="s">
        <v>211</v>
      </c>
      <c r="W4" s="53">
        <v>-6961.0169491525421</v>
      </c>
      <c r="X4" s="49" t="s">
        <v>221</v>
      </c>
      <c r="Y4" s="51">
        <v>0</v>
      </c>
      <c r="Z4" s="49" t="s">
        <v>190</v>
      </c>
      <c r="AA4" s="52">
        <v>0.26168224299065418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0.45360824742268041</v>
      </c>
      <c r="AH4" s="49" t="s">
        <v>195</v>
      </c>
      <c r="AI4" s="52">
        <v>0.56000000000000005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86</v>
      </c>
      <c r="D5" s="47" t="s">
        <v>211</v>
      </c>
      <c r="E5" s="48">
        <v>178.2</v>
      </c>
      <c r="F5" s="49" t="s">
        <v>190</v>
      </c>
      <c r="G5" s="61">
        <v>1.58108108108108</v>
      </c>
      <c r="H5" s="49" t="s">
        <v>192</v>
      </c>
      <c r="I5" s="53">
        <v>1609.1058701799038</v>
      </c>
      <c r="J5" s="49" t="s">
        <v>211</v>
      </c>
      <c r="K5" s="50">
        <v>1.9215686274509804</v>
      </c>
      <c r="L5" s="49" t="s">
        <v>189</v>
      </c>
      <c r="M5" s="51">
        <v>0.35294117647058826</v>
      </c>
      <c r="N5" s="49" t="s">
        <v>211</v>
      </c>
      <c r="O5" s="51">
        <v>0.29411764705882354</v>
      </c>
      <c r="P5" s="49" t="s">
        <v>211</v>
      </c>
      <c r="Q5" s="52">
        <v>0.30697674418604654</v>
      </c>
      <c r="R5" s="49" t="s">
        <v>211</v>
      </c>
      <c r="S5" s="52">
        <v>0.1372093023255814</v>
      </c>
      <c r="T5" s="49" t="s">
        <v>195</v>
      </c>
      <c r="U5" s="53">
        <v>9206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189</v>
      </c>
      <c r="AA5" s="52">
        <v>0.25498891352549891</v>
      </c>
      <c r="AB5" s="49" t="s">
        <v>192</v>
      </c>
      <c r="AC5" s="52">
        <v>0.27472527472527475</v>
      </c>
      <c r="AD5" s="49" t="s">
        <v>195</v>
      </c>
      <c r="AE5" s="52">
        <v>0.62</v>
      </c>
      <c r="AF5" s="49" t="s">
        <v>192</v>
      </c>
      <c r="AG5" s="52">
        <v>0.44</v>
      </c>
      <c r="AH5" s="49" t="s">
        <v>201</v>
      </c>
      <c r="AI5" s="52">
        <v>0.55555555555555558</v>
      </c>
      <c r="AJ5" s="49" t="s">
        <v>192</v>
      </c>
      <c r="AK5" s="56">
        <v>100700</v>
      </c>
    </row>
    <row r="6" spans="1:37" x14ac:dyDescent="0.4">
      <c r="A6" s="46">
        <v>4</v>
      </c>
      <c r="B6" s="49" t="s">
        <v>192</v>
      </c>
      <c r="C6" s="114">
        <v>64</v>
      </c>
      <c r="D6" s="47" t="s">
        <v>190</v>
      </c>
      <c r="E6" s="48">
        <v>58.499999999999957</v>
      </c>
      <c r="F6" s="49" t="s">
        <v>126</v>
      </c>
      <c r="G6" s="61">
        <v>1.4598540145985393</v>
      </c>
      <c r="H6" s="49" t="s">
        <v>139</v>
      </c>
      <c r="I6" s="53">
        <v>1602.450279882705</v>
      </c>
      <c r="J6" s="49" t="s">
        <v>139</v>
      </c>
      <c r="K6" s="50">
        <v>1.9979423868312758</v>
      </c>
      <c r="L6" s="49" t="s">
        <v>126</v>
      </c>
      <c r="M6" s="51">
        <v>0.35036496350364965</v>
      </c>
      <c r="N6" s="49" t="s">
        <v>139</v>
      </c>
      <c r="O6" s="51">
        <v>0.33333333333333331</v>
      </c>
      <c r="P6" s="49" t="s">
        <v>189</v>
      </c>
      <c r="Q6" s="52">
        <v>0.29933481152993346</v>
      </c>
      <c r="R6" s="49" t="s">
        <v>189</v>
      </c>
      <c r="S6" s="52">
        <v>0.15964523281596452</v>
      </c>
      <c r="T6" s="49" t="s">
        <v>139</v>
      </c>
      <c r="U6" s="53">
        <v>8175.9183673469388</v>
      </c>
      <c r="V6" s="49" t="s">
        <v>126</v>
      </c>
      <c r="W6" s="53">
        <v>-7535.3535353535353</v>
      </c>
      <c r="X6" s="49" t="s">
        <v>211</v>
      </c>
      <c r="Y6" s="51">
        <v>3.9215686274509803E-2</v>
      </c>
      <c r="Z6" s="49" t="s">
        <v>126</v>
      </c>
      <c r="AA6" s="52">
        <v>0.24870017331022531</v>
      </c>
      <c r="AB6" s="49" t="s">
        <v>211</v>
      </c>
      <c r="AC6" s="52">
        <v>0.2255813953488372</v>
      </c>
      <c r="AD6" s="49" t="s">
        <v>211</v>
      </c>
      <c r="AE6" s="52">
        <v>0.59183673469387754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51</v>
      </c>
      <c r="D7" s="47" t="s">
        <v>139</v>
      </c>
      <c r="E7" s="48">
        <v>4.2632564145606011E-14</v>
      </c>
      <c r="F7" s="49" t="s">
        <v>139</v>
      </c>
      <c r="G7" s="61">
        <v>8.77213254024815E-17</v>
      </c>
      <c r="H7" s="49" t="s">
        <v>190</v>
      </c>
      <c r="I7" s="53">
        <v>1552.235570864417</v>
      </c>
      <c r="J7" s="49" t="s">
        <v>126</v>
      </c>
      <c r="K7" s="50">
        <v>2.0072992700729926</v>
      </c>
      <c r="L7" s="49" t="s">
        <v>139</v>
      </c>
      <c r="M7" s="51">
        <v>0.33539094650205764</v>
      </c>
      <c r="N7" s="49" t="s">
        <v>163</v>
      </c>
      <c r="O7" s="51">
        <v>0.33720930232558138</v>
      </c>
      <c r="P7" s="49" t="s">
        <v>139</v>
      </c>
      <c r="Q7" s="52">
        <v>0.29355379822669542</v>
      </c>
      <c r="R7" s="49" t="s">
        <v>139</v>
      </c>
      <c r="S7" s="52">
        <v>0.16415049125329498</v>
      </c>
      <c r="T7" s="49" t="s">
        <v>126</v>
      </c>
      <c r="U7" s="53">
        <v>8160.597826086957</v>
      </c>
      <c r="V7" s="49" t="s">
        <v>163</v>
      </c>
      <c r="W7" s="53">
        <v>-7614.1025641025644</v>
      </c>
      <c r="X7" s="49" t="s">
        <v>190</v>
      </c>
      <c r="Y7" s="51">
        <v>5.4054054054054057E-2</v>
      </c>
      <c r="Z7" s="49" t="s">
        <v>139</v>
      </c>
      <c r="AA7" s="52">
        <v>0.24610591900311526</v>
      </c>
      <c r="AB7" s="49" t="s">
        <v>163</v>
      </c>
      <c r="AC7" s="52">
        <v>0.22395833333333334</v>
      </c>
      <c r="AD7" s="49" t="s">
        <v>126</v>
      </c>
      <c r="AE7" s="52">
        <v>0.56097560975609762</v>
      </c>
      <c r="AF7" s="49" t="s">
        <v>189</v>
      </c>
      <c r="AG7" s="52">
        <v>0.40909090909090912</v>
      </c>
      <c r="AH7" s="49" t="s">
        <v>189</v>
      </c>
      <c r="AI7" s="52">
        <v>0.47407407407407409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51</v>
      </c>
      <c r="D8" s="47" t="s">
        <v>221</v>
      </c>
      <c r="E8" s="48">
        <v>-13.5</v>
      </c>
      <c r="F8" s="49" t="s">
        <v>189</v>
      </c>
      <c r="G8" s="61">
        <v>-1.2176470588235293</v>
      </c>
      <c r="H8" s="49" t="s">
        <v>211</v>
      </c>
      <c r="I8" s="53">
        <v>1541.223654027415</v>
      </c>
      <c r="J8" s="49" t="s">
        <v>163</v>
      </c>
      <c r="K8" s="50">
        <v>2.0232558139534884</v>
      </c>
      <c r="L8" s="49" t="s">
        <v>163</v>
      </c>
      <c r="M8" s="51">
        <v>0.31395348837209303</v>
      </c>
      <c r="N8" s="49" t="s">
        <v>126</v>
      </c>
      <c r="O8" s="51">
        <v>0.35766423357664234</v>
      </c>
      <c r="P8" s="49" t="s">
        <v>190</v>
      </c>
      <c r="Q8" s="52">
        <v>0.26479750778816197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192</v>
      </c>
      <c r="W8" s="53">
        <v>-7636.363636363636</v>
      </c>
      <c r="X8" s="49" t="s">
        <v>192</v>
      </c>
      <c r="Y8" s="51">
        <v>6.25E-2</v>
      </c>
      <c r="Z8" s="49" t="s">
        <v>259</v>
      </c>
      <c r="AA8" s="52">
        <v>0.24</v>
      </c>
      <c r="AB8" s="49" t="s">
        <v>193</v>
      </c>
      <c r="AC8" s="52">
        <v>0.22222222222222221</v>
      </c>
      <c r="AD8" s="49" t="s">
        <v>192</v>
      </c>
      <c r="AE8" s="52">
        <v>0.54700854700854706</v>
      </c>
      <c r="AF8" s="49" t="s">
        <v>139</v>
      </c>
      <c r="AG8" s="52">
        <v>0.40672451193058567</v>
      </c>
      <c r="AH8" s="49" t="s">
        <v>216</v>
      </c>
      <c r="AI8" s="52">
        <v>0.47058823529411764</v>
      </c>
      <c r="AJ8" s="49" t="s">
        <v>211</v>
      </c>
      <c r="AK8" s="56">
        <v>93600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259</v>
      </c>
      <c r="E9" s="48">
        <v>-50</v>
      </c>
      <c r="F9" s="49" t="s">
        <v>163</v>
      </c>
      <c r="G9" s="61">
        <v>-2.2627906976744185</v>
      </c>
      <c r="H9" s="49" t="s">
        <v>221</v>
      </c>
      <c r="I9" s="53">
        <v>1497.379788</v>
      </c>
      <c r="J9" s="49" t="s">
        <v>189</v>
      </c>
      <c r="K9" s="50">
        <v>2.0392156862745097</v>
      </c>
      <c r="L9" s="49" t="s">
        <v>195</v>
      </c>
      <c r="M9" s="51">
        <v>0.30769230769230771</v>
      </c>
      <c r="N9" s="49" t="s">
        <v>189</v>
      </c>
      <c r="O9" s="51">
        <v>0.39215686274509803</v>
      </c>
      <c r="P9" s="49" t="s">
        <v>163</v>
      </c>
      <c r="Q9" s="52">
        <v>0.26171875</v>
      </c>
      <c r="R9" s="49" t="s">
        <v>126</v>
      </c>
      <c r="S9" s="52">
        <v>0.17157712305025996</v>
      </c>
      <c r="T9" s="49" t="s">
        <v>211</v>
      </c>
      <c r="U9" s="53">
        <v>7929.545454545455</v>
      </c>
      <c r="V9" s="49" t="s">
        <v>139</v>
      </c>
      <c r="W9" s="53">
        <v>-7684.5255474452551</v>
      </c>
      <c r="X9" s="49" t="s">
        <v>189</v>
      </c>
      <c r="Y9" s="51">
        <v>7.8431372549019607E-2</v>
      </c>
      <c r="Z9" s="49" t="s">
        <v>216</v>
      </c>
      <c r="AA9" s="52">
        <v>0.2361111111111111</v>
      </c>
      <c r="AB9" s="49" t="s">
        <v>201</v>
      </c>
      <c r="AC9" s="52">
        <v>0.22222222222222221</v>
      </c>
      <c r="AD9" s="49" t="s">
        <v>139</v>
      </c>
      <c r="AE9" s="52">
        <v>0.52677702044790653</v>
      </c>
      <c r="AF9" s="49" t="s">
        <v>221</v>
      </c>
      <c r="AG9" s="52">
        <v>0.4</v>
      </c>
      <c r="AH9" s="49" t="s">
        <v>163</v>
      </c>
      <c r="AI9" s="52">
        <v>0.45273631840796019</v>
      </c>
      <c r="AJ9" s="49" t="s">
        <v>189</v>
      </c>
      <c r="AK9" s="56">
        <v>89900</v>
      </c>
    </row>
    <row r="10" spans="1:37" x14ac:dyDescent="0.4">
      <c r="A10" s="46">
        <v>8</v>
      </c>
      <c r="B10" s="49" t="s">
        <v>195</v>
      </c>
      <c r="C10" s="114">
        <v>26</v>
      </c>
      <c r="D10" s="47" t="s">
        <v>189</v>
      </c>
      <c r="E10" s="48">
        <v>-62.099999999999994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195</v>
      </c>
      <c r="K10" s="50">
        <v>2.1153846153846154</v>
      </c>
      <c r="L10" s="49" t="s">
        <v>190</v>
      </c>
      <c r="M10" s="51">
        <v>0.29729729729729731</v>
      </c>
      <c r="N10" s="49" t="s">
        <v>216</v>
      </c>
      <c r="O10" s="51">
        <v>0.42105263157894735</v>
      </c>
      <c r="P10" s="49" t="s">
        <v>201</v>
      </c>
      <c r="Q10" s="52">
        <v>0.25</v>
      </c>
      <c r="R10" s="49" t="s">
        <v>195</v>
      </c>
      <c r="S10" s="52">
        <v>0.18141592920353983</v>
      </c>
      <c r="T10" s="49" t="s">
        <v>216</v>
      </c>
      <c r="U10" s="53">
        <v>7926.4705882352937</v>
      </c>
      <c r="V10" s="49" t="s">
        <v>216</v>
      </c>
      <c r="W10" s="53">
        <v>-7886.2068965517237</v>
      </c>
      <c r="X10" s="49" t="s">
        <v>126</v>
      </c>
      <c r="Y10" s="51">
        <v>8.0291970802919707E-2</v>
      </c>
      <c r="Z10" s="49" t="s">
        <v>211</v>
      </c>
      <c r="AA10" s="52">
        <v>0.22790697674418606</v>
      </c>
      <c r="AB10" s="49" t="s">
        <v>139</v>
      </c>
      <c r="AC10" s="52">
        <v>0.22094416486939852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126</v>
      </c>
      <c r="AI10" s="52">
        <v>0.44565217391304346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216</v>
      </c>
      <c r="C11" s="114">
        <v>19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195</v>
      </c>
      <c r="O11" s="51">
        <v>0.42307692307692307</v>
      </c>
      <c r="P11" s="49" t="s">
        <v>259</v>
      </c>
      <c r="Q11" s="52">
        <v>0.24</v>
      </c>
      <c r="R11" s="49" t="s">
        <v>259</v>
      </c>
      <c r="S11" s="52">
        <v>0.2</v>
      </c>
      <c r="T11" s="49" t="s">
        <v>193</v>
      </c>
      <c r="U11" s="53">
        <v>7866.666666666667</v>
      </c>
      <c r="V11" s="49" t="s">
        <v>195</v>
      </c>
      <c r="W11" s="53">
        <v>-8321.9512195121952</v>
      </c>
      <c r="X11" s="49" t="s">
        <v>139</v>
      </c>
      <c r="Y11" s="51">
        <v>8.6419753086419748E-2</v>
      </c>
      <c r="Z11" s="49" t="s">
        <v>221</v>
      </c>
      <c r="AA11" s="52">
        <v>0.22222222222222221</v>
      </c>
      <c r="AB11" s="49" t="s">
        <v>126</v>
      </c>
      <c r="AC11" s="52">
        <v>0.19844020797227035</v>
      </c>
      <c r="AD11" s="49" t="s">
        <v>163</v>
      </c>
      <c r="AE11" s="52">
        <v>0.47926267281105989</v>
      </c>
      <c r="AF11" s="49" t="s">
        <v>163</v>
      </c>
      <c r="AG11" s="52">
        <v>0.33720930232558138</v>
      </c>
      <c r="AH11" s="49" t="s">
        <v>139</v>
      </c>
      <c r="AI11" s="52">
        <v>0.43428571428571427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195</v>
      </c>
      <c r="G12" s="61">
        <v>-10.280769230769229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216</v>
      </c>
      <c r="Q12" s="52">
        <v>0.2361111111111111</v>
      </c>
      <c r="R12" s="49" t="s">
        <v>216</v>
      </c>
      <c r="S12" s="52">
        <v>0.2013888888888889</v>
      </c>
      <c r="T12" s="49" t="s">
        <v>189</v>
      </c>
      <c r="U12" s="53">
        <v>7534.8148148148148</v>
      </c>
      <c r="V12" s="49" t="s">
        <v>189</v>
      </c>
      <c r="W12" s="53">
        <v>-8606.9444444444453</v>
      </c>
      <c r="X12" s="49" t="s">
        <v>216</v>
      </c>
      <c r="Y12" s="51">
        <v>0.10526315789473684</v>
      </c>
      <c r="Z12" s="49" t="s">
        <v>195</v>
      </c>
      <c r="AA12" s="52">
        <v>0.22123893805309736</v>
      </c>
      <c r="AB12" s="49" t="s">
        <v>190</v>
      </c>
      <c r="AC12" s="52">
        <v>0.19626168224299065</v>
      </c>
      <c r="AD12" s="49" t="s">
        <v>216</v>
      </c>
      <c r="AE12" s="52">
        <v>0.47058823529411764</v>
      </c>
      <c r="AF12" s="49" t="s">
        <v>216</v>
      </c>
      <c r="AG12" s="52">
        <v>0.32</v>
      </c>
      <c r="AH12" s="49" t="s">
        <v>211</v>
      </c>
      <c r="AI12" s="52">
        <v>0.40151515151515149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216</v>
      </c>
      <c r="E13" s="48">
        <v>-108.30000000000001</v>
      </c>
      <c r="F13" s="49" t="s">
        <v>193</v>
      </c>
      <c r="G13" s="61">
        <v>-13.033333333333331</v>
      </c>
      <c r="H13" s="49" t="s">
        <v>189</v>
      </c>
      <c r="I13" s="53">
        <v>1463.3989422821498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193</v>
      </c>
      <c r="Q13" s="52">
        <v>0.22222222222222221</v>
      </c>
      <c r="R13" s="49" t="s">
        <v>163</v>
      </c>
      <c r="S13" s="52">
        <v>0.203125</v>
      </c>
      <c r="T13" s="49" t="s">
        <v>192</v>
      </c>
      <c r="U13" s="53">
        <v>7403.7037037037035</v>
      </c>
      <c r="V13" s="49" t="s">
        <v>193</v>
      </c>
      <c r="W13" s="53">
        <v>-8875</v>
      </c>
      <c r="X13" s="49" t="s">
        <v>163</v>
      </c>
      <c r="Y13" s="51">
        <v>0.12790697674418605</v>
      </c>
      <c r="Z13" s="49" t="s">
        <v>192</v>
      </c>
      <c r="AA13" s="52">
        <v>0.21428571428571427</v>
      </c>
      <c r="AB13" s="49" t="s">
        <v>216</v>
      </c>
      <c r="AC13" s="52">
        <v>0.1736111111111111</v>
      </c>
      <c r="AD13" s="49" t="s">
        <v>189</v>
      </c>
      <c r="AE13" s="52">
        <v>0.46086956521739131</v>
      </c>
      <c r="AF13" s="49" t="s">
        <v>201</v>
      </c>
      <c r="AG13" s="52">
        <v>0.25</v>
      </c>
      <c r="AH13" s="49" t="s">
        <v>192</v>
      </c>
      <c r="AI13" s="52">
        <v>0.39153439153439151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163</v>
      </c>
      <c r="E14" s="48">
        <v>-194.6</v>
      </c>
      <c r="F14" s="49" t="s">
        <v>259</v>
      </c>
      <c r="G14" s="61">
        <v>-16.666666666666668</v>
      </c>
      <c r="H14" s="49" t="s">
        <v>195</v>
      </c>
      <c r="I14" s="53">
        <v>1370.6301521015791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221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0.19230769230769232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259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195</v>
      </c>
      <c r="E15" s="48">
        <v>-267.29999999999995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195</v>
      </c>
      <c r="Q15" s="52">
        <v>0.22123893805309736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0.11061946902654868</v>
      </c>
      <c r="AD15" s="49" t="s">
        <v>193</v>
      </c>
      <c r="AE15" s="52">
        <v>0.22222222222222221</v>
      </c>
      <c r="AF15" s="49" t="s">
        <v>195</v>
      </c>
      <c r="AG15" s="52">
        <v>0.2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8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486</v>
      </c>
      <c r="C2" s="142"/>
      <c r="E2" s="26" t="s">
        <v>66</v>
      </c>
      <c r="F2" s="23" t="s">
        <v>22</v>
      </c>
      <c r="G2" s="11">
        <v>950</v>
      </c>
      <c r="H2" s="87">
        <f>IF(B$20=0,0,G2/B$20)</f>
        <v>0.77551020408163263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-33.126293995859214</v>
      </c>
      <c r="Q2" s="76">
        <v>483</v>
      </c>
      <c r="R2" s="63">
        <v>-16000</v>
      </c>
    </row>
    <row r="3" spans="1:18" x14ac:dyDescent="0.4">
      <c r="A3" s="19" t="s">
        <v>8</v>
      </c>
      <c r="B3" s="143">
        <v>4173</v>
      </c>
      <c r="C3" s="144"/>
      <c r="E3" s="27" t="s">
        <v>72</v>
      </c>
      <c r="F3" s="24" t="s">
        <v>27</v>
      </c>
      <c r="G3" s="12">
        <v>717</v>
      </c>
      <c r="H3" s="88">
        <f>IF(B$20=0,0,G3/B$20)</f>
        <v>0.58530612244897962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8.4925690021231421</v>
      </c>
      <c r="Q3" s="77">
        <v>471</v>
      </c>
      <c r="R3" s="64">
        <v>4000</v>
      </c>
    </row>
    <row r="4" spans="1:18" x14ac:dyDescent="0.4">
      <c r="A4" s="19" t="s">
        <v>6</v>
      </c>
      <c r="B4" s="145">
        <v>4.2632564145606011E-14</v>
      </c>
      <c r="C4" s="146"/>
      <c r="E4" s="27" t="s">
        <v>64</v>
      </c>
      <c r="F4" s="24" t="s">
        <v>20</v>
      </c>
      <c r="G4" s="12">
        <v>525</v>
      </c>
      <c r="H4" s="88">
        <f>IF(B$20=0,0,G4/B$20)</f>
        <v>0.42857142857142855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8.4925690021231421</v>
      </c>
      <c r="Q4" s="77">
        <v>471</v>
      </c>
      <c r="R4" s="64">
        <v>4000</v>
      </c>
    </row>
    <row r="5" spans="1:18" x14ac:dyDescent="0.4">
      <c r="A5" s="19" t="s">
        <v>7</v>
      </c>
      <c r="B5" s="133">
        <f>IF(B$2=0,0,B$4/B$2)</f>
        <v>8.77213254024815E-17</v>
      </c>
      <c r="C5" s="134"/>
      <c r="E5" s="27" t="s">
        <v>159</v>
      </c>
      <c r="F5" s="24" t="s">
        <v>160</v>
      </c>
      <c r="G5" s="12">
        <v>502</v>
      </c>
      <c r="H5" s="88">
        <f>IF(B$20=0,0,G5/B$20)</f>
        <v>0.40979591836734691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-4.4742729306487696</v>
      </c>
      <c r="Q5" s="77">
        <v>447</v>
      </c>
      <c r="R5" s="64">
        <v>-2000</v>
      </c>
    </row>
    <row r="6" spans="1:18" x14ac:dyDescent="0.4">
      <c r="A6" s="19" t="s">
        <v>196</v>
      </c>
      <c r="B6" s="137">
        <v>1602.450279882705</v>
      </c>
      <c r="C6" s="138"/>
      <c r="E6" s="27" t="s">
        <v>68</v>
      </c>
      <c r="F6" s="24" t="s">
        <v>12</v>
      </c>
      <c r="G6" s="12">
        <v>367</v>
      </c>
      <c r="H6" s="88">
        <f>IF(B$20=0,0,G6/B$20)</f>
        <v>0.29959183673469386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12.165450121654501</v>
      </c>
      <c r="Q6" s="77">
        <v>411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1.9979423868312758</v>
      </c>
      <c r="C7" s="148"/>
      <c r="E7" s="27" t="s">
        <v>67</v>
      </c>
      <c r="F7" s="24" t="s">
        <v>23</v>
      </c>
      <c r="G7" s="12">
        <v>279</v>
      </c>
      <c r="H7" s="88">
        <f>IF(B$20=0,0,G7/B$20)</f>
        <v>0.22775510204081634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14.124293785310735</v>
      </c>
      <c r="Q7" s="78">
        <v>354</v>
      </c>
      <c r="R7" s="65">
        <v>5000</v>
      </c>
    </row>
    <row r="8" spans="1:18" x14ac:dyDescent="0.4">
      <c r="A8" s="19" t="s">
        <v>2</v>
      </c>
      <c r="B8" s="12">
        <v>163</v>
      </c>
      <c r="C8" s="6">
        <f t="shared" ref="C8:C15" si="1">IF(B$2=0,0,B8/B$2)</f>
        <v>0.33539094650205764</v>
      </c>
      <c r="E8" s="27" t="s">
        <v>69</v>
      </c>
      <c r="F8" s="24" t="s">
        <v>24</v>
      </c>
      <c r="G8" s="12">
        <v>165</v>
      </c>
      <c r="H8" s="88">
        <f>IF(B$20=0,0,G8/B$20)</f>
        <v>0.13469387755102041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161</v>
      </c>
      <c r="C9" s="6">
        <f t="shared" si="1"/>
        <v>0.33127572016460904</v>
      </c>
      <c r="E9" s="27" t="s">
        <v>89</v>
      </c>
      <c r="F9" s="24" t="s">
        <v>44</v>
      </c>
      <c r="G9" s="12">
        <v>165</v>
      </c>
      <c r="H9" s="88">
        <f>IF(B$20=0,0,G9/B$20)</f>
        <v>0.13469387755102041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162</v>
      </c>
      <c r="C10" s="7">
        <f t="shared" si="1"/>
        <v>0.33333333333333331</v>
      </c>
      <c r="E10" s="27" t="s">
        <v>70</v>
      </c>
      <c r="F10" s="24" t="s">
        <v>25</v>
      </c>
      <c r="G10" s="12">
        <v>126</v>
      </c>
      <c r="H10" s="88">
        <f>IF(B$20=0,0,G10/B$20)</f>
        <v>0.10285714285714286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2.9746913580246903</v>
      </c>
      <c r="Q10" s="76">
        <v>162</v>
      </c>
      <c r="R10" s="67">
        <v>481.89999999999981</v>
      </c>
    </row>
    <row r="11" spans="1:18" x14ac:dyDescent="0.4">
      <c r="A11" s="20" t="s">
        <v>184</v>
      </c>
      <c r="B11" s="109">
        <f>IF(B8=0,0,C11/B8)</f>
        <v>34.914110429447838</v>
      </c>
      <c r="C11" s="110">
        <v>5690.9999999999982</v>
      </c>
      <c r="E11" s="27" t="s">
        <v>65</v>
      </c>
      <c r="F11" s="24" t="s">
        <v>21</v>
      </c>
      <c r="G11" s="12">
        <v>119</v>
      </c>
      <c r="H11" s="88">
        <f>IF(B$20=0,0,G11/B$20)</f>
        <v>9.7142857142857142E-2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-3.6537037037037043</v>
      </c>
      <c r="Q11" s="77">
        <v>162</v>
      </c>
      <c r="R11" s="68">
        <v>-591.90000000000009</v>
      </c>
    </row>
    <row r="12" spans="1:18" x14ac:dyDescent="0.4">
      <c r="A12" s="20" t="s">
        <v>185</v>
      </c>
      <c r="B12" s="109">
        <f>IF(B9=0,0,C12/B9)</f>
        <v>-1.1198757763975158</v>
      </c>
      <c r="C12" s="110">
        <v>-180.30000000000004</v>
      </c>
      <c r="E12" s="27" t="s">
        <v>71</v>
      </c>
      <c r="F12" s="24" t="s">
        <v>26</v>
      </c>
      <c r="G12" s="12">
        <v>77</v>
      </c>
      <c r="H12" s="88">
        <f>IF(B$20=0,0,G12/B$20)</f>
        <v>6.2857142857142861E-2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0.67901234567901236</v>
      </c>
      <c r="Q12" s="78">
        <v>162</v>
      </c>
      <c r="R12" s="69">
        <v>110</v>
      </c>
    </row>
    <row r="13" spans="1:18" x14ac:dyDescent="0.4">
      <c r="A13" s="20" t="s">
        <v>186</v>
      </c>
      <c r="B13" s="109">
        <f>IF(B10=0,0,C13/B10)</f>
        <v>-34.016666666666666</v>
      </c>
      <c r="C13" s="110">
        <v>-5510.7</v>
      </c>
      <c r="E13" s="27" t="s">
        <v>86</v>
      </c>
      <c r="F13" s="24" t="s">
        <v>41</v>
      </c>
      <c r="G13" s="12">
        <v>71</v>
      </c>
      <c r="H13" s="88">
        <f>IF(B$20=0,0,G13/B$20)</f>
        <v>5.7959183673469389E-2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-7.414400453878045E-2</v>
      </c>
      <c r="C14" s="134"/>
      <c r="E14" s="27" t="s">
        <v>83</v>
      </c>
      <c r="F14" s="24" t="s">
        <v>38</v>
      </c>
      <c r="G14" s="12">
        <v>54</v>
      </c>
      <c r="H14" s="88">
        <f>IF(B$20=0,0,G14/B$20)</f>
        <v>4.4081632653061226E-2</v>
      </c>
      <c r="I14" s="58">
        <v>7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42</v>
      </c>
      <c r="C15" s="9">
        <f t="shared" si="1"/>
        <v>8.6419753086419748E-2</v>
      </c>
      <c r="E15" s="27" t="s">
        <v>78</v>
      </c>
      <c r="F15" s="24" t="s">
        <v>33</v>
      </c>
      <c r="G15" s="12">
        <v>37</v>
      </c>
      <c r="H15" s="88">
        <f>IF(B$20=0,0,G15/B$20)</f>
        <v>3.0204081632653063E-2</v>
      </c>
      <c r="I15" s="58">
        <v>7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1027</v>
      </c>
      <c r="C16" s="10">
        <f>IF(B$3=0,0,B16/B$3)</f>
        <v>0.24610591900311526</v>
      </c>
      <c r="E16" s="27" t="s">
        <v>81</v>
      </c>
      <c r="F16" s="24" t="s">
        <v>36</v>
      </c>
      <c r="G16" s="12">
        <v>36</v>
      </c>
      <c r="H16" s="88">
        <f>IF(B$20=0,0,G16/B$20)</f>
        <v>2.9387755102040815E-2</v>
      </c>
      <c r="I16" s="58">
        <v>8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922</v>
      </c>
      <c r="C17" s="6">
        <f>IF(B$3=0,0,B17/B$3)</f>
        <v>0.22094416486939852</v>
      </c>
      <c r="E17" s="27" t="s">
        <v>91</v>
      </c>
      <c r="F17" s="24" t="s">
        <v>46</v>
      </c>
      <c r="G17" s="12">
        <v>23</v>
      </c>
      <c r="H17" s="88">
        <f>IF(B$20=0,0,G17/B$20)</f>
        <v>1.8775510204081632E-2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541</v>
      </c>
      <c r="C18" s="5">
        <f>IF(B$16=0,0,B18/B$16)</f>
        <v>0.52677702044790653</v>
      </c>
      <c r="E18" s="27" t="s">
        <v>155</v>
      </c>
      <c r="F18" s="24" t="s">
        <v>156</v>
      </c>
      <c r="G18" s="12">
        <v>20</v>
      </c>
      <c r="H18" s="88">
        <f>IF(B$20=0,0,G18/B$20)</f>
        <v>1.6326530612244899E-2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15.421153846153848</v>
      </c>
      <c r="Q18" s="77">
        <v>52</v>
      </c>
      <c r="R18" s="68">
        <v>801.90000000000009</v>
      </c>
    </row>
    <row r="19" spans="1:18" x14ac:dyDescent="0.4">
      <c r="A19" s="18" t="s">
        <v>124</v>
      </c>
      <c r="B19" s="11">
        <f>B25</f>
        <v>375</v>
      </c>
      <c r="C19" s="5">
        <f>IF(B$17=0,0,B19/B$17)</f>
        <v>0.40672451193058567</v>
      </c>
      <c r="E19" s="27" t="s">
        <v>79</v>
      </c>
      <c r="F19" s="24" t="s">
        <v>34</v>
      </c>
      <c r="G19" s="12">
        <v>15</v>
      </c>
      <c r="H19" s="88">
        <f>IF(B$20=0,0,G19/B$20)</f>
        <v>1.2244897959183673E-2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1225</v>
      </c>
      <c r="C20" s="5">
        <f>IF(B$3=0,0,B20/B$3)</f>
        <v>0.29355379822669542</v>
      </c>
      <c r="E20" s="27" t="s">
        <v>73</v>
      </c>
      <c r="F20" s="24" t="s">
        <v>28</v>
      </c>
      <c r="G20" s="12">
        <v>10</v>
      </c>
      <c r="H20" s="88">
        <f>IF(B$20=0,0,G20/B$20)</f>
        <v>8.1632653061224497E-3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685</v>
      </c>
      <c r="C21" s="6">
        <f>IF(B$3=0,0,B21/B$3)</f>
        <v>0.16415049125329498</v>
      </c>
      <c r="E21" s="27" t="s">
        <v>85</v>
      </c>
      <c r="F21" s="24" t="s">
        <v>40</v>
      </c>
      <c r="G21" s="12">
        <v>6</v>
      </c>
      <c r="H21" s="88">
        <f>IF(B$20=0,0,G21/B$20)</f>
        <v>4.8979591836734691E-3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3.3941860465116283</v>
      </c>
      <c r="Q21" s="77">
        <v>172</v>
      </c>
      <c r="R21" s="68">
        <v>583.80000000000007</v>
      </c>
    </row>
    <row r="22" spans="1:18" x14ac:dyDescent="0.4">
      <c r="A22" s="19" t="s">
        <v>12</v>
      </c>
      <c r="B22" s="12">
        <v>532</v>
      </c>
      <c r="C22" s="6">
        <f>IF(B$20=0,0,B22/B$20)</f>
        <v>0.43428571428571427</v>
      </c>
      <c r="E22" s="27" t="s">
        <v>88</v>
      </c>
      <c r="F22" s="24" t="s">
        <v>43</v>
      </c>
      <c r="G22" s="12">
        <v>5</v>
      </c>
      <c r="H22" s="88">
        <f>IF(B$20=0,0,G22/B$20)</f>
        <v>4.0816326530612249E-3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1.8264705882352947</v>
      </c>
      <c r="Q22" s="77">
        <v>102</v>
      </c>
      <c r="R22" s="68">
        <v>186.30000000000007</v>
      </c>
    </row>
    <row r="23" spans="1:18" x14ac:dyDescent="0.4">
      <c r="A23" s="19" t="s">
        <v>11</v>
      </c>
      <c r="B23" s="12">
        <v>693</v>
      </c>
      <c r="C23" s="6">
        <f>IF(B$20=0,0,B23/B$20)</f>
        <v>0.56571428571428573</v>
      </c>
      <c r="E23" s="27" t="s">
        <v>75</v>
      </c>
      <c r="F23" s="24" t="s">
        <v>30</v>
      </c>
      <c r="G23" s="12">
        <v>4</v>
      </c>
      <c r="H23" s="88">
        <f>IF(B$20=0,0,G23/B$20)</f>
        <v>3.2653061224489797E-3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-2.1897810218978089</v>
      </c>
      <c r="Q23" s="77">
        <v>274</v>
      </c>
      <c r="R23" s="68">
        <v>-599.99999999999966</v>
      </c>
    </row>
    <row r="24" spans="1:18" x14ac:dyDescent="0.4">
      <c r="A24" s="19" t="s">
        <v>183</v>
      </c>
      <c r="B24" s="12">
        <v>541</v>
      </c>
      <c r="C24" s="6">
        <f>IF(B$20=0,0,B24/B$20)</f>
        <v>0.44163265306122451</v>
      </c>
      <c r="E24" s="27" t="s">
        <v>77</v>
      </c>
      <c r="F24" s="24" t="s">
        <v>32</v>
      </c>
      <c r="G24" s="12">
        <v>4</v>
      </c>
      <c r="H24" s="88">
        <f>IF(B$20=0,0,G24/B$20)</f>
        <v>3.2653061224489797E-3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-2.3716216216216215</v>
      </c>
      <c r="Q24" s="77">
        <v>74</v>
      </c>
      <c r="R24" s="68">
        <v>-175.5</v>
      </c>
    </row>
    <row r="25" spans="1:18" x14ac:dyDescent="0.4">
      <c r="A25" s="19" t="s">
        <v>181</v>
      </c>
      <c r="B25" s="12">
        <v>375</v>
      </c>
      <c r="C25" s="6">
        <f>IF(B$20=0,0,B25/B$20)</f>
        <v>0.30612244897959184</v>
      </c>
      <c r="E25" s="27" t="s">
        <v>92</v>
      </c>
      <c r="F25" s="24" t="s">
        <v>47</v>
      </c>
      <c r="G25" s="12">
        <v>4</v>
      </c>
      <c r="H25" s="88">
        <f>IF(B$20=0,0,G25/B$20)</f>
        <v>3.2653061224489797E-3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-5.2411764705882344</v>
      </c>
      <c r="Q25" s="77">
        <v>102</v>
      </c>
      <c r="R25" s="68">
        <v>-534.59999999999991</v>
      </c>
    </row>
    <row r="26" spans="1:18" x14ac:dyDescent="0.4">
      <c r="A26" s="19" t="s">
        <v>182</v>
      </c>
      <c r="B26" s="12">
        <v>309</v>
      </c>
      <c r="C26" s="6">
        <f>IF(B$20=0,0,B26/B$20)</f>
        <v>0.2522448979591837</v>
      </c>
      <c r="E26" s="27" t="s">
        <v>90</v>
      </c>
      <c r="F26" s="24" t="s">
        <v>45</v>
      </c>
      <c r="G26" s="12">
        <v>3</v>
      </c>
      <c r="H26" s="88">
        <f>IF(B$20=0,0,G26/B$20)</f>
        <v>2.4489795918367346E-3</v>
      </c>
      <c r="I26" s="58">
        <v>4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-9.7265625000000036</v>
      </c>
      <c r="Q26" s="77">
        <v>128</v>
      </c>
      <c r="R26" s="68">
        <v>-1245.0000000000005</v>
      </c>
    </row>
    <row r="27" spans="1:18" x14ac:dyDescent="0.4">
      <c r="A27" s="19" t="s">
        <v>5</v>
      </c>
      <c r="B27" s="16">
        <f>IF(B$20=0,0,C27/B$20)</f>
        <v>8175.9183673469388</v>
      </c>
      <c r="C27" s="8">
        <v>10015500</v>
      </c>
      <c r="E27" s="27" t="s">
        <v>93</v>
      </c>
      <c r="F27" s="24" t="s">
        <v>48</v>
      </c>
      <c r="G27" s="12">
        <v>2</v>
      </c>
      <c r="H27" s="88">
        <f>IF(B$20=0,0,G27/B$20)</f>
        <v>1.6326530612244899E-3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8766.7058823529405</v>
      </c>
      <c r="C28" s="96">
        <v>7451700</v>
      </c>
      <c r="E28" s="27" t="s">
        <v>80</v>
      </c>
      <c r="F28" s="24" t="s">
        <v>35</v>
      </c>
      <c r="G28" s="12">
        <v>1</v>
      </c>
      <c r="H28" s="88">
        <f>IF(B$20=0,0,G28/B$20)</f>
        <v>8.1632653061224493E-4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6836.8</v>
      </c>
      <c r="C29" s="96">
        <v>2563800</v>
      </c>
      <c r="E29" s="27" t="s">
        <v>84</v>
      </c>
      <c r="F29" s="24" t="s">
        <v>39</v>
      </c>
      <c r="G29" s="12">
        <v>1</v>
      </c>
      <c r="H29" s="88">
        <f>IF(B$20=0,0,G29/B$20)</f>
        <v>8.1632653061224493E-4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-7684.5255474452551</v>
      </c>
      <c r="C30" s="96">
        <v>-5263900</v>
      </c>
      <c r="E30" s="27" t="s">
        <v>102</v>
      </c>
      <c r="F30" s="24" t="s">
        <v>57</v>
      </c>
      <c r="G30" s="12">
        <v>1</v>
      </c>
      <c r="H30" s="88">
        <f>IF(B$20=0,0,G30/B$20)</f>
        <v>8.1632653061224493E-4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8.1632653061224493E-4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5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1.6774502755811168E-3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89</v>
      </c>
      <c r="C37" s="98">
        <f t="shared" ref="C37:C49" si="2">IF(B$20=0,0,B37/B$20)</f>
        <v>7.2653061224489793E-2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221</v>
      </c>
      <c r="C38" s="6">
        <f t="shared" si="2"/>
        <v>0.18040816326530612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240</v>
      </c>
      <c r="C39" s="6">
        <f t="shared" si="2"/>
        <v>0.19591836734693877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239</v>
      </c>
      <c r="C40" s="6">
        <f t="shared" si="2"/>
        <v>0.19510204081632654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183</v>
      </c>
      <c r="C41" s="6">
        <f t="shared" si="2"/>
        <v>0.1493877551020408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117</v>
      </c>
      <c r="C42" s="6">
        <f t="shared" si="2"/>
        <v>9.5510204081632646E-2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51</v>
      </c>
      <c r="C43" s="6">
        <f t="shared" si="2"/>
        <v>4.1632653061224489E-2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38</v>
      </c>
      <c r="C44" s="6">
        <f t="shared" si="2"/>
        <v>3.1020408163265307E-2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20</v>
      </c>
      <c r="C45" s="6">
        <f t="shared" si="2"/>
        <v>1.6326530612244899E-2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12</v>
      </c>
      <c r="C46" s="6">
        <f t="shared" si="2"/>
        <v>9.7959183673469383E-3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5</v>
      </c>
      <c r="C47" s="6">
        <f t="shared" si="2"/>
        <v>4.0816326530612249E-3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8.1632653061224493E-4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9</v>
      </c>
      <c r="C49" s="9">
        <f t="shared" si="2"/>
        <v>7.3469387755102037E-3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  <row r="426" spans="11:13" x14ac:dyDescent="0.4">
      <c r="K426" s="74">
        <v>424</v>
      </c>
      <c r="L426" s="119">
        <v>68.600000000000051</v>
      </c>
      <c r="M426" s="117">
        <v>1620.0019272205427</v>
      </c>
    </row>
    <row r="427" spans="11:13" x14ac:dyDescent="0.4">
      <c r="K427" s="74">
        <v>425</v>
      </c>
      <c r="L427" s="119">
        <v>16.900000000000048</v>
      </c>
      <c r="M427" s="117">
        <v>1610.7139156572196</v>
      </c>
    </row>
    <row r="428" spans="11:13" x14ac:dyDescent="0.4">
      <c r="K428" s="74">
        <v>426</v>
      </c>
      <c r="L428" s="119">
        <v>4.9737991503207013E-14</v>
      </c>
      <c r="M428" s="117">
        <v>1607.7456321632762</v>
      </c>
    </row>
    <row r="429" spans="11:13" x14ac:dyDescent="0.4">
      <c r="K429" s="74">
        <v>427</v>
      </c>
      <c r="L429" s="119">
        <v>2.3000000000000496</v>
      </c>
      <c r="M429" s="117">
        <v>1608.2511583702965</v>
      </c>
    </row>
    <row r="430" spans="11:13" x14ac:dyDescent="0.4">
      <c r="K430" s="74">
        <v>428</v>
      </c>
      <c r="L430" s="119">
        <v>-30.19999999999995</v>
      </c>
      <c r="M430" s="117">
        <v>1602.4896514200748</v>
      </c>
    </row>
    <row r="431" spans="11:13" x14ac:dyDescent="0.4">
      <c r="K431" s="74">
        <v>429</v>
      </c>
      <c r="L431" s="119">
        <v>4.9737991503207013E-14</v>
      </c>
      <c r="M431" s="117">
        <v>1608.0487135115543</v>
      </c>
    </row>
    <row r="432" spans="11:13" x14ac:dyDescent="0.4">
      <c r="K432" s="74">
        <v>430</v>
      </c>
      <c r="L432" s="119">
        <v>24.50000000000005</v>
      </c>
      <c r="M432" s="117">
        <v>1612.4584212304849</v>
      </c>
    </row>
    <row r="433" spans="11:13" x14ac:dyDescent="0.4">
      <c r="K433" s="74">
        <v>431</v>
      </c>
      <c r="L433" s="119">
        <v>-5.5999999999999517</v>
      </c>
      <c r="M433" s="117">
        <v>1607.013670703102</v>
      </c>
    </row>
    <row r="434" spans="11:13" x14ac:dyDescent="0.4">
      <c r="K434" s="74">
        <v>432</v>
      </c>
      <c r="L434" s="119">
        <v>4.7961634663806763E-14</v>
      </c>
      <c r="M434" s="117">
        <v>1608.0275886788834</v>
      </c>
    </row>
    <row r="435" spans="11:13" x14ac:dyDescent="0.4">
      <c r="K435" s="74">
        <v>433</v>
      </c>
      <c r="L435" s="119">
        <v>-48.299999999999947</v>
      </c>
      <c r="M435" s="117">
        <v>1599.33342314681</v>
      </c>
    </row>
    <row r="436" spans="11:13" x14ac:dyDescent="0.4">
      <c r="K436" s="74">
        <v>434</v>
      </c>
      <c r="L436" s="119">
        <v>-9.699999999999946</v>
      </c>
      <c r="M436" s="117">
        <v>1606.3334226079292</v>
      </c>
    </row>
    <row r="437" spans="11:13" x14ac:dyDescent="0.4">
      <c r="K437" s="74">
        <v>435</v>
      </c>
      <c r="L437" s="119">
        <v>5.3290705182007514E-14</v>
      </c>
      <c r="M437" s="117">
        <v>1608.0894220722816</v>
      </c>
    </row>
    <row r="438" spans="11:13" x14ac:dyDescent="0.4">
      <c r="K438" s="74">
        <v>436</v>
      </c>
      <c r="L438" s="119">
        <v>36.500000000000057</v>
      </c>
      <c r="M438" s="117">
        <v>1614.886885539848</v>
      </c>
    </row>
    <row r="439" spans="11:13" x14ac:dyDescent="0.4">
      <c r="K439" s="74">
        <v>437</v>
      </c>
      <c r="L439" s="119">
        <v>7.4000000000000554</v>
      </c>
      <c r="M439" s="117">
        <v>1609.835564226609</v>
      </c>
    </row>
    <row r="440" spans="11:13" x14ac:dyDescent="0.4">
      <c r="K440" s="74">
        <v>438</v>
      </c>
      <c r="L440" s="119">
        <v>5.5067062021407764E-14</v>
      </c>
      <c r="M440" s="117">
        <v>1608.7205508412494</v>
      </c>
    </row>
    <row r="441" spans="11:13" x14ac:dyDescent="0.4">
      <c r="K441" s="74">
        <v>439</v>
      </c>
      <c r="L441" s="119">
        <v>-26.799999999999947</v>
      </c>
      <c r="M441" s="117">
        <v>1604.1202275362018</v>
      </c>
    </row>
    <row r="442" spans="11:13" x14ac:dyDescent="0.4">
      <c r="K442" s="74">
        <v>440</v>
      </c>
      <c r="L442" s="119">
        <v>-24.399999999999949</v>
      </c>
      <c r="M442" s="117">
        <v>1604.8035061709845</v>
      </c>
    </row>
    <row r="443" spans="11:13" x14ac:dyDescent="0.4">
      <c r="K443" s="74">
        <v>441</v>
      </c>
      <c r="L443" s="119">
        <v>4.9737991503207013E-14</v>
      </c>
      <c r="M443" s="117">
        <v>1609.4426851339585</v>
      </c>
    </row>
    <row r="444" spans="11:13" x14ac:dyDescent="0.4">
      <c r="K444" s="74">
        <v>442</v>
      </c>
      <c r="L444" s="119">
        <v>40.300000000000047</v>
      </c>
      <c r="M444" s="117">
        <v>1616.9160290231548</v>
      </c>
    </row>
    <row r="445" spans="11:13" x14ac:dyDescent="0.4">
      <c r="K445" s="74">
        <v>443</v>
      </c>
      <c r="L445" s="119">
        <v>46.00000000000005</v>
      </c>
      <c r="M445" s="117">
        <v>1618.1165328490158</v>
      </c>
    </row>
    <row r="446" spans="11:13" x14ac:dyDescent="0.4">
      <c r="K446" s="74">
        <v>444</v>
      </c>
      <c r="L446" s="119">
        <v>4.9737991503207013E-14</v>
      </c>
      <c r="M446" s="117">
        <v>1610.0038336519217</v>
      </c>
    </row>
    <row r="447" spans="11:13" x14ac:dyDescent="0.4">
      <c r="K447" s="74">
        <v>445</v>
      </c>
      <c r="L447" s="119">
        <v>-31.099999999999952</v>
      </c>
      <c r="M447" s="117">
        <v>1604.6218106500103</v>
      </c>
    </row>
    <row r="448" spans="11:13" x14ac:dyDescent="0.4">
      <c r="K448" s="74">
        <v>446</v>
      </c>
      <c r="L448" s="119">
        <v>-30.099999999999952</v>
      </c>
      <c r="M448" s="117">
        <v>1605.0500797861102</v>
      </c>
    </row>
    <row r="449" spans="11:13" x14ac:dyDescent="0.4">
      <c r="K449" s="74">
        <v>447</v>
      </c>
      <c r="L449" s="119">
        <v>4.9737991503207013E-14</v>
      </c>
      <c r="M449" s="117">
        <v>1610.7137793073937</v>
      </c>
    </row>
    <row r="450" spans="11:13" x14ac:dyDescent="0.4">
      <c r="K450" s="74">
        <v>448</v>
      </c>
      <c r="L450" s="119">
        <v>50.400000000000048</v>
      </c>
      <c r="M450" s="117">
        <v>1619.9974966315492</v>
      </c>
    </row>
    <row r="451" spans="11:13" x14ac:dyDescent="0.4">
      <c r="K451" s="74">
        <v>449</v>
      </c>
      <c r="L451" s="119">
        <v>31.800000000000047</v>
      </c>
      <c r="M451" s="117">
        <v>1616.8055116517598</v>
      </c>
    </row>
    <row r="452" spans="11:13" x14ac:dyDescent="0.4">
      <c r="K452" s="74">
        <v>450</v>
      </c>
      <c r="L452" s="119">
        <v>4.6185277824406512E-14</v>
      </c>
      <c r="M452" s="117">
        <v>1611.2566785818492</v>
      </c>
    </row>
    <row r="453" spans="11:13" x14ac:dyDescent="0.4">
      <c r="K453" s="74">
        <v>451</v>
      </c>
      <c r="L453" s="119">
        <v>30.800000000000047</v>
      </c>
      <c r="M453" s="117">
        <v>1616.9311385103581</v>
      </c>
    </row>
    <row r="454" spans="11:13" x14ac:dyDescent="0.4">
      <c r="K454" s="74">
        <v>452</v>
      </c>
      <c r="L454" s="119">
        <v>33.400000000000048</v>
      </c>
      <c r="M454" s="117">
        <v>1617.4955516792959</v>
      </c>
    </row>
    <row r="455" spans="11:13" x14ac:dyDescent="0.4">
      <c r="K455" s="74">
        <v>453</v>
      </c>
      <c r="L455" s="119">
        <v>4.9737991503207013E-14</v>
      </c>
      <c r="M455" s="117">
        <v>1611.5765783692202</v>
      </c>
    </row>
    <row r="456" spans="11:13" x14ac:dyDescent="0.4">
      <c r="K456" s="74">
        <v>454</v>
      </c>
      <c r="L456" s="119">
        <v>26.900000000000048</v>
      </c>
      <c r="M456" s="117">
        <v>1616.1751188990049</v>
      </c>
    </row>
    <row r="457" spans="11:13" x14ac:dyDescent="0.4">
      <c r="K457" s="74">
        <v>455</v>
      </c>
      <c r="L457" s="119">
        <v>21.900000000000048</v>
      </c>
      <c r="M457" s="117">
        <v>1615.004068185611</v>
      </c>
    </row>
    <row r="458" spans="11:13" x14ac:dyDescent="0.4">
      <c r="K458" s="74">
        <v>456</v>
      </c>
      <c r="L458" s="119">
        <v>4.9737991503207013E-14</v>
      </c>
      <c r="M458" s="117">
        <v>1610.7980437764973</v>
      </c>
    </row>
    <row r="459" spans="11:13" x14ac:dyDescent="0.4">
      <c r="K459" s="74">
        <v>457</v>
      </c>
      <c r="L459" s="119">
        <v>57.00000000000005</v>
      </c>
      <c r="M459" s="117">
        <v>1620.8192555138382</v>
      </c>
    </row>
    <row r="460" spans="11:13" x14ac:dyDescent="0.4">
      <c r="K460" s="74">
        <v>458</v>
      </c>
      <c r="L460" s="119">
        <v>11.400000000000048</v>
      </c>
      <c r="M460" s="117">
        <v>1612.3123399807553</v>
      </c>
    </row>
    <row r="461" spans="11:13" x14ac:dyDescent="0.4">
      <c r="K461" s="74">
        <v>459</v>
      </c>
      <c r="L461" s="119">
        <v>4.7961634663806763E-14</v>
      </c>
      <c r="M461" s="117">
        <v>1610.0124659408707</v>
      </c>
    </row>
    <row r="462" spans="11:13" x14ac:dyDescent="0.4">
      <c r="K462" s="74">
        <v>460</v>
      </c>
      <c r="L462" s="119">
        <v>8.3000000000000487</v>
      </c>
      <c r="M462" s="117">
        <v>1611.2723911452256</v>
      </c>
    </row>
    <row r="463" spans="11:13" x14ac:dyDescent="0.4">
      <c r="K463" s="74">
        <v>461</v>
      </c>
      <c r="L463" s="119">
        <v>-27.899999999999956</v>
      </c>
      <c r="M463" s="117">
        <v>1604.5147567983543</v>
      </c>
    </row>
    <row r="464" spans="11:13" x14ac:dyDescent="0.4">
      <c r="K464" s="74">
        <v>462</v>
      </c>
      <c r="L464" s="119">
        <v>4.2632564145606011E-14</v>
      </c>
      <c r="M464" s="117">
        <v>1609.3356682575641</v>
      </c>
    </row>
    <row r="465" spans="11:13" x14ac:dyDescent="0.4">
      <c r="K465" s="74">
        <v>463</v>
      </c>
      <c r="L465" s="119">
        <v>2.6000000000000427</v>
      </c>
      <c r="M465" s="117">
        <v>1609.5736542480188</v>
      </c>
    </row>
    <row r="466" spans="11:13" x14ac:dyDescent="0.4">
      <c r="K466" s="74">
        <v>464</v>
      </c>
      <c r="L466" s="119">
        <v>23.200000000000045</v>
      </c>
      <c r="M466" s="117">
        <v>1613.0502123225306</v>
      </c>
    </row>
    <row r="467" spans="11:13" x14ac:dyDescent="0.4">
      <c r="K467" s="74">
        <v>465</v>
      </c>
      <c r="L467" s="119">
        <v>4.6185277824406512E-14</v>
      </c>
      <c r="M467" s="117">
        <v>1608.6219110485954</v>
      </c>
    </row>
    <row r="468" spans="11:13" x14ac:dyDescent="0.4">
      <c r="K468" s="74">
        <v>466</v>
      </c>
      <c r="L468" s="119">
        <v>-43.899999999999949</v>
      </c>
      <c r="M468" s="117">
        <v>1600.4941795823038</v>
      </c>
    </row>
    <row r="469" spans="11:13" x14ac:dyDescent="0.4">
      <c r="K469" s="74">
        <v>467</v>
      </c>
      <c r="L469" s="119">
        <v>-35.399999999999949</v>
      </c>
      <c r="M469" s="117">
        <v>1601.8472145048099</v>
      </c>
    </row>
    <row r="470" spans="11:13" x14ac:dyDescent="0.4">
      <c r="K470" s="74">
        <v>468</v>
      </c>
      <c r="L470" s="119">
        <v>4.9737991503207013E-14</v>
      </c>
      <c r="M470" s="117">
        <v>1608.0341312177811</v>
      </c>
    </row>
    <row r="471" spans="11:13" x14ac:dyDescent="0.4">
      <c r="K471" s="74">
        <v>469</v>
      </c>
      <c r="L471" s="119">
        <v>75.700000000000045</v>
      </c>
      <c r="M471" s="117">
        <v>1621.4379264304744</v>
      </c>
    </row>
    <row r="472" spans="11:13" x14ac:dyDescent="0.4">
      <c r="K472" s="74">
        <v>470</v>
      </c>
      <c r="L472" s="119">
        <v>8.9000000000000483</v>
      </c>
      <c r="M472" s="117">
        <v>1609.1112988718914</v>
      </c>
    </row>
    <row r="473" spans="11:13" x14ac:dyDescent="0.4">
      <c r="K473" s="74">
        <v>471</v>
      </c>
      <c r="L473" s="119">
        <v>4.7961634663806763E-14</v>
      </c>
      <c r="M473" s="117">
        <v>1607.28063107866</v>
      </c>
    </row>
    <row r="474" spans="11:13" x14ac:dyDescent="0.4">
      <c r="K474" s="74">
        <v>472</v>
      </c>
      <c r="L474" s="119">
        <v>29.50000000000005</v>
      </c>
      <c r="M474" s="117">
        <v>1612.372947292188</v>
      </c>
    </row>
    <row r="475" spans="11:13" x14ac:dyDescent="0.4">
      <c r="K475" s="74">
        <v>473</v>
      </c>
      <c r="L475" s="119">
        <v>39.00000000000005</v>
      </c>
      <c r="M475" s="117">
        <v>1613.8347096084349</v>
      </c>
    </row>
    <row r="476" spans="11:13" x14ac:dyDescent="0.4">
      <c r="K476" s="74">
        <v>474</v>
      </c>
      <c r="L476" s="119">
        <v>4.9737991503207013E-14</v>
      </c>
      <c r="M476" s="117">
        <v>1606.5577013507843</v>
      </c>
    </row>
    <row r="477" spans="11:13" x14ac:dyDescent="0.4">
      <c r="K477" s="74">
        <v>475</v>
      </c>
      <c r="L477" s="119">
        <v>-16.399999999999949</v>
      </c>
      <c r="M477" s="117">
        <v>1603.3923551426797</v>
      </c>
    </row>
    <row r="478" spans="11:13" x14ac:dyDescent="0.4">
      <c r="K478" s="74">
        <v>476</v>
      </c>
      <c r="L478" s="119">
        <v>3.1000000000000512</v>
      </c>
      <c r="M478" s="117">
        <v>1606.7080010118236</v>
      </c>
    </row>
    <row r="479" spans="11:13" x14ac:dyDescent="0.4">
      <c r="K479" s="74">
        <v>477</v>
      </c>
      <c r="L479" s="119">
        <v>5.1070259132757201E-14</v>
      </c>
      <c r="M479" s="117">
        <v>1605.9357530057528</v>
      </c>
    </row>
    <row r="480" spans="11:13" x14ac:dyDescent="0.4">
      <c r="K480" s="74">
        <v>478</v>
      </c>
      <c r="L480" s="119">
        <v>-38.49999999999995</v>
      </c>
      <c r="M480" s="117">
        <v>1598.5141384877184</v>
      </c>
    </row>
    <row r="481" spans="11:13" x14ac:dyDescent="0.4">
      <c r="K481" s="74">
        <v>479</v>
      </c>
      <c r="L481" s="119">
        <v>-64.599999999999952</v>
      </c>
      <c r="M481" s="117">
        <v>1593.3690536567919</v>
      </c>
    </row>
    <row r="482" spans="11:13" x14ac:dyDescent="0.4">
      <c r="K482" s="74">
        <v>480</v>
      </c>
      <c r="L482" s="119">
        <v>4.2632564145606011E-14</v>
      </c>
      <c r="M482" s="117">
        <v>1604.5808393348511</v>
      </c>
    </row>
    <row r="483" spans="11:13" x14ac:dyDescent="0.4">
      <c r="K483" s="74">
        <v>481</v>
      </c>
      <c r="L483" s="119">
        <v>-24.599999999999959</v>
      </c>
      <c r="M483" s="117">
        <v>1599.4293542988421</v>
      </c>
    </row>
    <row r="484" spans="11:13" x14ac:dyDescent="0.4">
      <c r="K484" s="74">
        <v>482</v>
      </c>
      <c r="L484" s="119">
        <v>3.8000000000000398</v>
      </c>
      <c r="M484" s="117">
        <v>1603.8487781730491</v>
      </c>
    </row>
    <row r="485" spans="11:13" x14ac:dyDescent="0.4">
      <c r="K485" s="74">
        <v>483</v>
      </c>
      <c r="L485" s="119">
        <v>3.9968028886505635E-14</v>
      </c>
      <c r="M485" s="117">
        <v>1602.445685504011</v>
      </c>
    </row>
    <row r="486" spans="11:13" x14ac:dyDescent="0.4">
      <c r="K486" s="74">
        <v>484</v>
      </c>
      <c r="L486" s="119">
        <v>11.700000000000038</v>
      </c>
      <c r="M486" s="117">
        <v>1604.5730113909869</v>
      </c>
    </row>
    <row r="487" spans="11:13" x14ac:dyDescent="0.4">
      <c r="K487" s="74">
        <v>485</v>
      </c>
      <c r="L487" s="119">
        <v>43.000000000000043</v>
      </c>
      <c r="M487" s="117">
        <v>1610.2155733226409</v>
      </c>
    </row>
    <row r="488" spans="11:13" x14ac:dyDescent="0.4">
      <c r="K488" s="74">
        <v>486</v>
      </c>
      <c r="L488" s="119">
        <v>4.2632564145606011E-14</v>
      </c>
      <c r="M488" s="117">
        <v>1602.450279882705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137</v>
      </c>
      <c r="C2" s="142"/>
      <c r="E2" s="26" t="s">
        <v>66</v>
      </c>
      <c r="F2" s="23" t="s">
        <v>22</v>
      </c>
      <c r="G2" s="11">
        <v>275</v>
      </c>
      <c r="H2" s="87">
        <f>IF(B$20=0,0,G2/B$20)</f>
        <v>0.74728260869565222</v>
      </c>
      <c r="I2" s="57">
        <v>9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494.85294117647061</v>
      </c>
      <c r="Q2" s="76">
        <v>136</v>
      </c>
      <c r="R2" s="63">
        <v>67300</v>
      </c>
    </row>
    <row r="3" spans="1:18" x14ac:dyDescent="0.4">
      <c r="A3" s="19" t="s">
        <v>8</v>
      </c>
      <c r="B3" s="143">
        <v>1154</v>
      </c>
      <c r="C3" s="144"/>
      <c r="E3" s="27" t="s">
        <v>72</v>
      </c>
      <c r="F3" s="24" t="s">
        <v>27</v>
      </c>
      <c r="G3" s="12">
        <v>198</v>
      </c>
      <c r="H3" s="88">
        <f>IF(B$20=0,0,G3/B$20)</f>
        <v>0.53804347826086951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-311.36363636363637</v>
      </c>
      <c r="Q3" s="77">
        <v>132</v>
      </c>
      <c r="R3" s="64">
        <v>-41100</v>
      </c>
    </row>
    <row r="4" spans="1:18" x14ac:dyDescent="0.4">
      <c r="A4" s="19" t="s">
        <v>6</v>
      </c>
      <c r="B4" s="145">
        <v>199.99999999999989</v>
      </c>
      <c r="C4" s="146"/>
      <c r="E4" s="27" t="s">
        <v>64</v>
      </c>
      <c r="F4" s="24" t="s">
        <v>20</v>
      </c>
      <c r="G4" s="12">
        <v>152</v>
      </c>
      <c r="H4" s="88">
        <f>IF(B$20=0,0,G4/B$20)</f>
        <v>0.41304347826086957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-1706.8181818181818</v>
      </c>
      <c r="Q4" s="77">
        <v>132</v>
      </c>
      <c r="R4" s="64">
        <v>-225300</v>
      </c>
    </row>
    <row r="5" spans="1:18" x14ac:dyDescent="0.4">
      <c r="A5" s="19" t="s">
        <v>7</v>
      </c>
      <c r="B5" s="133">
        <f>IF(B$2=0,0,B$4/B$2)</f>
        <v>1.4598540145985393</v>
      </c>
      <c r="C5" s="134"/>
      <c r="E5" s="27" t="s">
        <v>159</v>
      </c>
      <c r="F5" s="24" t="s">
        <v>160</v>
      </c>
      <c r="G5" s="12">
        <v>148</v>
      </c>
      <c r="H5" s="88">
        <f>IF(B$20=0,0,G5/B$20)</f>
        <v>0.40217391304347827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1129.3650793650793</v>
      </c>
      <c r="Q5" s="77">
        <v>126</v>
      </c>
      <c r="R5" s="64">
        <v>142300</v>
      </c>
    </row>
    <row r="6" spans="1:18" x14ac:dyDescent="0.4">
      <c r="A6" s="19" t="s">
        <v>196</v>
      </c>
      <c r="B6" s="137">
        <v>1740.3906772295136</v>
      </c>
      <c r="C6" s="138"/>
      <c r="E6" s="27" t="s">
        <v>68</v>
      </c>
      <c r="F6" s="24" t="s">
        <v>12</v>
      </c>
      <c r="G6" s="12">
        <v>113</v>
      </c>
      <c r="H6" s="88">
        <f>IF(B$20=0,0,G6/B$20)</f>
        <v>0.30706521739130432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936.52173913043475</v>
      </c>
      <c r="Q6" s="77">
        <v>115</v>
      </c>
      <c r="R6" s="64">
        <v>107700</v>
      </c>
    </row>
    <row r="7" spans="1:18" x14ac:dyDescent="0.4">
      <c r="A7" s="19" t="s">
        <v>1</v>
      </c>
      <c r="B7" s="147">
        <f>IF(B$2=0,0,(B$8*1+B$9*2+B$10*3)/B$2)</f>
        <v>2.0072992700729926</v>
      </c>
      <c r="C7" s="148"/>
      <c r="E7" s="27" t="s">
        <v>67</v>
      </c>
      <c r="F7" s="24" t="s">
        <v>23</v>
      </c>
      <c r="G7" s="12">
        <v>76</v>
      </c>
      <c r="H7" s="88">
        <f>IF(B$20=0,0,G7/B$20)</f>
        <v>0.20652173913043478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766.66666666666663</v>
      </c>
      <c r="Q7" s="78">
        <v>99</v>
      </c>
      <c r="R7" s="65">
        <v>75900</v>
      </c>
    </row>
    <row r="8" spans="1:18" x14ac:dyDescent="0.4">
      <c r="A8" s="19" t="s">
        <v>2</v>
      </c>
      <c r="B8" s="12">
        <v>48</v>
      </c>
      <c r="C8" s="6">
        <f t="shared" ref="C8:C15" si="1">IF(B$2=0,0,B8/B$2)</f>
        <v>0.35036496350364965</v>
      </c>
      <c r="E8" s="27" t="s">
        <v>69</v>
      </c>
      <c r="F8" s="24" t="s">
        <v>24</v>
      </c>
      <c r="G8" s="12">
        <v>59</v>
      </c>
      <c r="H8" s="88">
        <f>IF(B$20=0,0,G8/B$20)</f>
        <v>0.16032608695652173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40</v>
      </c>
      <c r="C9" s="6">
        <f t="shared" si="1"/>
        <v>0.29197080291970801</v>
      </c>
      <c r="E9" s="27" t="s">
        <v>70</v>
      </c>
      <c r="F9" s="24" t="s">
        <v>25</v>
      </c>
      <c r="G9" s="12">
        <v>47</v>
      </c>
      <c r="H9" s="88">
        <f>IF(B$20=0,0,G9/B$20)</f>
        <v>0.12771739130434784</v>
      </c>
      <c r="I9" s="58">
        <v>3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49</v>
      </c>
      <c r="C10" s="7">
        <f t="shared" si="1"/>
        <v>0.35766423357664234</v>
      </c>
      <c r="E10" s="27" t="s">
        <v>89</v>
      </c>
      <c r="F10" s="24" t="s">
        <v>44</v>
      </c>
      <c r="G10" s="12">
        <v>46</v>
      </c>
      <c r="H10" s="88">
        <f>IF(B$20=0,0,G10/B$20)</f>
        <v>0.125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6.8020833333333321</v>
      </c>
      <c r="Q10" s="76">
        <v>48</v>
      </c>
      <c r="R10" s="67">
        <v>326.49999999999994</v>
      </c>
    </row>
    <row r="11" spans="1:18" x14ac:dyDescent="0.4">
      <c r="A11" s="20" t="s">
        <v>184</v>
      </c>
      <c r="B11" s="109">
        <f>IF(B8=0,0,C11/B8)</f>
        <v>37.893750000000004</v>
      </c>
      <c r="C11" s="110">
        <v>1818.9000000000003</v>
      </c>
      <c r="E11" s="27" t="s">
        <v>65</v>
      </c>
      <c r="F11" s="24" t="s">
        <v>21</v>
      </c>
      <c r="G11" s="12">
        <v>32</v>
      </c>
      <c r="H11" s="88">
        <f>IF(B$20=0,0,G11/B$20)</f>
        <v>8.6956521739130432E-2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-6.9804347826086959</v>
      </c>
      <c r="Q11" s="77">
        <v>46</v>
      </c>
      <c r="R11" s="68">
        <v>-321.10000000000002</v>
      </c>
    </row>
    <row r="12" spans="1:18" x14ac:dyDescent="0.4">
      <c r="A12" s="20" t="s">
        <v>185</v>
      </c>
      <c r="B12" s="109">
        <f>IF(B9=0,0,C12/B9)</f>
        <v>-2.0449999999999999</v>
      </c>
      <c r="C12" s="110">
        <v>-81.8</v>
      </c>
      <c r="E12" s="27" t="s">
        <v>86</v>
      </c>
      <c r="F12" s="24" t="s">
        <v>41</v>
      </c>
      <c r="G12" s="12">
        <v>26</v>
      </c>
      <c r="H12" s="88">
        <f>IF(B$20=0,0,G12/B$20)</f>
        <v>7.0652173913043473E-2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4.525581395348838</v>
      </c>
      <c r="Q12" s="78">
        <v>43</v>
      </c>
      <c r="R12" s="69">
        <v>194.60000000000002</v>
      </c>
    </row>
    <row r="13" spans="1:18" x14ac:dyDescent="0.4">
      <c r="A13" s="20" t="s">
        <v>186</v>
      </c>
      <c r="B13" s="109">
        <f>IF(B10=0,0,C13/B10)</f>
        <v>-31.369387755102043</v>
      </c>
      <c r="C13" s="110">
        <v>-1537.1000000000001</v>
      </c>
      <c r="E13" s="27" t="s">
        <v>83</v>
      </c>
      <c r="F13" s="24" t="s">
        <v>38</v>
      </c>
      <c r="G13" s="12">
        <v>16</v>
      </c>
      <c r="H13" s="88">
        <f>IF(B$20=0,0,G13/B$20)</f>
        <v>4.3478260869565216E-2</v>
      </c>
      <c r="I13" s="58">
        <v>8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1.4931207482993198</v>
      </c>
      <c r="C14" s="134"/>
      <c r="E14" s="27" t="s">
        <v>71</v>
      </c>
      <c r="F14" s="24" t="s">
        <v>26</v>
      </c>
      <c r="G14" s="12">
        <v>15</v>
      </c>
      <c r="H14" s="88">
        <f>IF(B$20=0,0,G14/B$20)</f>
        <v>4.0760869565217392E-2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8.0291970802919707E-2</v>
      </c>
      <c r="E15" s="27" t="s">
        <v>155</v>
      </c>
      <c r="F15" s="24" t="s">
        <v>156</v>
      </c>
      <c r="G15" s="12">
        <v>12</v>
      </c>
      <c r="H15" s="88">
        <f>IF(B$20=0,0,G15/B$20)</f>
        <v>3.2608695652173912E-2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287</v>
      </c>
      <c r="C16" s="10">
        <f>IF(B$3=0,0,B16/B$3)</f>
        <v>0.24870017331022531</v>
      </c>
      <c r="E16" s="27" t="s">
        <v>78</v>
      </c>
      <c r="F16" s="24" t="s">
        <v>33</v>
      </c>
      <c r="G16" s="12">
        <v>11</v>
      </c>
      <c r="H16" s="88">
        <f>IF(B$20=0,0,G16/B$20)</f>
        <v>2.9891304347826088E-2</v>
      </c>
      <c r="I16" s="58">
        <v>8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229</v>
      </c>
      <c r="C17" s="6">
        <f>IF(B$3=0,0,B17/B$3)</f>
        <v>0.19844020797227035</v>
      </c>
      <c r="E17" s="27" t="s">
        <v>91</v>
      </c>
      <c r="F17" s="24" t="s">
        <v>46</v>
      </c>
      <c r="G17" s="12">
        <v>9</v>
      </c>
      <c r="H17" s="88">
        <f>IF(B$20=0,0,G17/B$20)</f>
        <v>2.4456521739130436E-2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161</v>
      </c>
      <c r="C18" s="5">
        <f>IF(B$16=0,0,B18/B$16)</f>
        <v>0.56097560975609762</v>
      </c>
      <c r="E18" s="27" t="s">
        <v>81</v>
      </c>
      <c r="F18" s="24" t="s">
        <v>36</v>
      </c>
      <c r="G18" s="12">
        <v>7</v>
      </c>
      <c r="H18" s="88">
        <f>IF(B$20=0,0,G18/B$20)</f>
        <v>1.9021739130434784E-2</v>
      </c>
      <c r="I18" s="58">
        <v>12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14.300000000000002</v>
      </c>
      <c r="Q18" s="77">
        <v>20</v>
      </c>
      <c r="R18" s="68">
        <v>286.00000000000006</v>
      </c>
    </row>
    <row r="19" spans="1:18" x14ac:dyDescent="0.4">
      <c r="A19" s="18" t="s">
        <v>124</v>
      </c>
      <c r="B19" s="11">
        <f>B25</f>
        <v>107</v>
      </c>
      <c r="C19" s="5">
        <f>IF(B$17=0,0,B19/B$17)</f>
        <v>0.46724890829694321</v>
      </c>
      <c r="E19" s="27" t="s">
        <v>79</v>
      </c>
      <c r="F19" s="24" t="s">
        <v>34</v>
      </c>
      <c r="G19" s="12">
        <v>5</v>
      </c>
      <c r="H19" s="88">
        <f>IF(B$20=0,0,G19/B$20)</f>
        <v>1.358695652173913E-2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7.1287671232876724</v>
      </c>
      <c r="Q19" s="77">
        <v>73</v>
      </c>
      <c r="R19" s="68">
        <v>520.40000000000009</v>
      </c>
    </row>
    <row r="20" spans="1:18" x14ac:dyDescent="0.4">
      <c r="A20" s="18" t="s">
        <v>10</v>
      </c>
      <c r="B20" s="11">
        <f>B23+B22</f>
        <v>368</v>
      </c>
      <c r="C20" s="5">
        <f>IF(B$3=0,0,B20/B$3)</f>
        <v>0.3188908145580589</v>
      </c>
      <c r="E20" s="27" t="s">
        <v>73</v>
      </c>
      <c r="F20" s="24" t="s">
        <v>28</v>
      </c>
      <c r="G20" s="12">
        <v>3</v>
      </c>
      <c r="H20" s="88">
        <f>IF(B$20=0,0,G20/B$20)</f>
        <v>8.152173913043478E-3</v>
      </c>
      <c r="I20" s="58">
        <v>5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-0.10909090909091064</v>
      </c>
      <c r="Q20" s="77">
        <v>11</v>
      </c>
      <c r="R20" s="68">
        <v>-1.2000000000000171</v>
      </c>
    </row>
    <row r="21" spans="1:18" x14ac:dyDescent="0.4">
      <c r="A21" s="19" t="s">
        <v>13</v>
      </c>
      <c r="B21" s="12">
        <v>198</v>
      </c>
      <c r="C21" s="6">
        <f>IF(B$3=0,0,B21/B$3)</f>
        <v>0.17157712305025996</v>
      </c>
      <c r="E21" s="27" t="s">
        <v>85</v>
      </c>
      <c r="F21" s="24" t="s">
        <v>40</v>
      </c>
      <c r="G21" s="12">
        <v>3</v>
      </c>
      <c r="H21" s="88">
        <f>IF(B$20=0,0,G21/B$20)</f>
        <v>8.152173913043478E-3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-0.46818181818181853</v>
      </c>
      <c r="Q21" s="77">
        <v>44</v>
      </c>
      <c r="R21" s="68">
        <v>-20.600000000000016</v>
      </c>
    </row>
    <row r="22" spans="1:18" x14ac:dyDescent="0.4">
      <c r="A22" s="19" t="s">
        <v>12</v>
      </c>
      <c r="B22" s="12">
        <v>164</v>
      </c>
      <c r="C22" s="6">
        <f>IF(B$20=0,0,B22/B$20)</f>
        <v>0.44565217391304346</v>
      </c>
      <c r="E22" s="27" t="s">
        <v>75</v>
      </c>
      <c r="F22" s="24" t="s">
        <v>30</v>
      </c>
      <c r="G22" s="12">
        <v>2</v>
      </c>
      <c r="H22" s="88">
        <f>IF(B$20=0,0,G22/B$20)</f>
        <v>5.434782608695652E-3</v>
      </c>
      <c r="I22" s="58">
        <v>3</v>
      </c>
      <c r="K22" s="74">
        <v>20</v>
      </c>
      <c r="L22" s="119">
        <v>154.5</v>
      </c>
      <c r="M22" s="117">
        <v>1840.6741302604762</v>
      </c>
      <c r="O22" s="74" t="s">
        <v>190</v>
      </c>
      <c r="P22" s="83">
        <f>IF(Q22=0,0,R22/Q22)</f>
        <v>-0.82903225806451564</v>
      </c>
      <c r="Q22" s="77">
        <v>31</v>
      </c>
      <c r="R22" s="68">
        <v>-25.699999999999985</v>
      </c>
    </row>
    <row r="23" spans="1:18" x14ac:dyDescent="0.4">
      <c r="A23" s="19" t="s">
        <v>11</v>
      </c>
      <c r="B23" s="12">
        <v>204</v>
      </c>
      <c r="C23" s="6">
        <f>IF(B$20=0,0,B23/B$20)</f>
        <v>0.55434782608695654</v>
      </c>
      <c r="E23" s="27" t="s">
        <v>92</v>
      </c>
      <c r="F23" s="24" t="s">
        <v>47</v>
      </c>
      <c r="G23" s="12">
        <v>2</v>
      </c>
      <c r="H23" s="88">
        <f>IF(B$20=0,0,G23/B$20)</f>
        <v>5.434782608695652E-3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211</v>
      </c>
      <c r="P23" s="83">
        <f>IF(Q23=0,0,R23/Q23)</f>
        <v>-3.0419354838709682</v>
      </c>
      <c r="Q23" s="77">
        <v>31</v>
      </c>
      <c r="R23" s="68">
        <v>-94.300000000000011</v>
      </c>
    </row>
    <row r="24" spans="1:18" x14ac:dyDescent="0.4">
      <c r="A24" s="19" t="s">
        <v>183</v>
      </c>
      <c r="B24" s="12">
        <v>161</v>
      </c>
      <c r="C24" s="6">
        <f>IF(B$20=0,0,B24/B$20)</f>
        <v>0.4375</v>
      </c>
      <c r="E24" s="27" t="s">
        <v>80</v>
      </c>
      <c r="F24" s="24" t="s">
        <v>35</v>
      </c>
      <c r="G24" s="12">
        <v>1</v>
      </c>
      <c r="H24" s="88">
        <f>IF(B$20=0,0,G24/B$20)</f>
        <v>2.717391304347826E-3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-6.8464285714285733</v>
      </c>
      <c r="Q24" s="77">
        <v>56</v>
      </c>
      <c r="R24" s="68">
        <v>-383.40000000000009</v>
      </c>
    </row>
    <row r="25" spans="1:18" x14ac:dyDescent="0.4">
      <c r="A25" s="19" t="s">
        <v>181</v>
      </c>
      <c r="B25" s="12">
        <v>107</v>
      </c>
      <c r="C25" s="6">
        <f>IF(B$20=0,0,B25/B$20)</f>
        <v>0.29076086956521741</v>
      </c>
      <c r="E25" s="27" t="s">
        <v>84</v>
      </c>
      <c r="F25" s="24" t="s">
        <v>39</v>
      </c>
      <c r="G25" s="12">
        <v>1</v>
      </c>
      <c r="H25" s="88">
        <f>IF(B$20=0,0,G25/B$20)</f>
        <v>2.717391304347826E-3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100</v>
      </c>
      <c r="C26" s="6">
        <f>IF(B$20=0,0,B26/B$20)</f>
        <v>0.27173913043478259</v>
      </c>
      <c r="E26" s="27" t="s">
        <v>88</v>
      </c>
      <c r="F26" s="24" t="s">
        <v>43</v>
      </c>
      <c r="G26" s="12">
        <v>1</v>
      </c>
      <c r="H26" s="88">
        <f>IF(B$20=0,0,G26/B$20)</f>
        <v>2.717391304347826E-3</v>
      </c>
      <c r="I26" s="58">
        <v>5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8160.597826086957</v>
      </c>
      <c r="C27" s="8">
        <v>3003100</v>
      </c>
      <c r="E27" s="27" t="s">
        <v>90</v>
      </c>
      <c r="F27" s="24" t="s">
        <v>45</v>
      </c>
      <c r="G27" s="12">
        <v>1</v>
      </c>
      <c r="H27" s="88">
        <f>IF(B$20=0,0,G27/B$20)</f>
        <v>2.717391304347826E-3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8437.9310344827591</v>
      </c>
      <c r="C28" s="96">
        <v>2202300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7484.1121495327106</v>
      </c>
      <c r="C29" s="96">
        <v>800800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-7535.3535353535353</v>
      </c>
      <c r="C30" s="96">
        <v>-1492000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31</v>
      </c>
      <c r="C32" s="90">
        <v>3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8.6655112651646442E-4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24</v>
      </c>
      <c r="C37" s="98">
        <f t="shared" ref="C37:C49" si="2">IF(B$20=0,0,B37/B$20)</f>
        <v>6.5217391304347824E-2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71</v>
      </c>
      <c r="C38" s="6">
        <f t="shared" si="2"/>
        <v>0.19293478260869565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70</v>
      </c>
      <c r="C39" s="6">
        <f t="shared" si="2"/>
        <v>0.19021739130434784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71</v>
      </c>
      <c r="C40" s="6">
        <f t="shared" si="2"/>
        <v>0.19293478260869565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58</v>
      </c>
      <c r="C41" s="6">
        <f t="shared" si="2"/>
        <v>0.15760869565217392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43</v>
      </c>
      <c r="C42" s="6">
        <f t="shared" si="2"/>
        <v>0.11684782608695653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12</v>
      </c>
      <c r="C43" s="6">
        <f t="shared" si="2"/>
        <v>3.2608695652173912E-2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8</v>
      </c>
      <c r="C44" s="6">
        <f t="shared" si="2"/>
        <v>2.1739130434782608E-2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1.358695652173913E-2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5.434782608695652E-3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2.717391304347826E-3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2.717391304347826E-3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2</v>
      </c>
      <c r="C49" s="9">
        <f t="shared" si="2"/>
        <v>5.434782608695652E-3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  <row r="120" spans="11:13" x14ac:dyDescent="0.4">
      <c r="K120" s="74">
        <v>118</v>
      </c>
      <c r="L120" s="119">
        <v>163.49999999999989</v>
      </c>
      <c r="M120" s="117">
        <v>1748.9040316448788</v>
      </c>
    </row>
    <row r="121" spans="11:13" x14ac:dyDescent="0.4">
      <c r="K121" s="74">
        <v>119</v>
      </c>
      <c r="L121" s="119">
        <v>130.99999999999989</v>
      </c>
      <c r="M121" s="117">
        <v>1742.2986074550095</v>
      </c>
    </row>
    <row r="122" spans="11:13" x14ac:dyDescent="0.4">
      <c r="K122" s="74">
        <v>120</v>
      </c>
      <c r="L122" s="119">
        <v>100.89999999999989</v>
      </c>
      <c r="M122" s="117">
        <v>1736.0748158102795</v>
      </c>
    </row>
    <row r="123" spans="11:13" x14ac:dyDescent="0.4">
      <c r="K123" s="74">
        <v>121</v>
      </c>
      <c r="L123" s="119">
        <v>52.599999999999895</v>
      </c>
      <c r="M123" s="117">
        <v>1726.6123669154179</v>
      </c>
    </row>
    <row r="124" spans="11:13" x14ac:dyDescent="0.4">
      <c r="K124" s="74">
        <v>122</v>
      </c>
      <c r="L124" s="119">
        <v>23.499999999999893</v>
      </c>
      <c r="M124" s="117">
        <v>1720.8906927139253</v>
      </c>
    </row>
    <row r="125" spans="11:13" x14ac:dyDescent="0.4">
      <c r="K125" s="74">
        <v>123</v>
      </c>
      <c r="L125" s="119">
        <v>-3.3000000000001073</v>
      </c>
      <c r="M125" s="117">
        <v>1715.6173485576417</v>
      </c>
    </row>
    <row r="126" spans="11:13" x14ac:dyDescent="0.4">
      <c r="K126" s="74">
        <v>124</v>
      </c>
      <c r="L126" s="119">
        <v>36.999999999999886</v>
      </c>
      <c r="M126" s="117">
        <v>1722.4536444662958</v>
      </c>
    </row>
    <row r="127" spans="11:13" x14ac:dyDescent="0.4">
      <c r="K127" s="74">
        <v>125</v>
      </c>
      <c r="L127" s="119">
        <v>67.099999999999881</v>
      </c>
      <c r="M127" s="117">
        <v>1727.412922599498</v>
      </c>
    </row>
    <row r="128" spans="11:13" x14ac:dyDescent="0.4">
      <c r="K128" s="74">
        <v>126</v>
      </c>
      <c r="L128" s="119">
        <v>117.49999999999989</v>
      </c>
      <c r="M128" s="117">
        <v>1735.9964450639009</v>
      </c>
    </row>
    <row r="129" spans="11:13" x14ac:dyDescent="0.4">
      <c r="K129" s="74">
        <v>127</v>
      </c>
      <c r="L129" s="119">
        <v>148.2999999999999</v>
      </c>
      <c r="M129" s="117">
        <v>1740.9224663935174</v>
      </c>
    </row>
    <row r="130" spans="11:13" x14ac:dyDescent="0.4">
      <c r="K130" s="74">
        <v>128</v>
      </c>
      <c r="L130" s="119">
        <v>126.39999999999989</v>
      </c>
      <c r="M130" s="117">
        <v>1735.9609315951564</v>
      </c>
    </row>
    <row r="131" spans="11:13" x14ac:dyDescent="0.4">
      <c r="K131" s="74">
        <v>129</v>
      </c>
      <c r="L131" s="119">
        <v>114.99999999999989</v>
      </c>
      <c r="M131" s="117">
        <v>1732.9191660055853</v>
      </c>
    </row>
    <row r="132" spans="11:13" x14ac:dyDescent="0.4">
      <c r="K132" s="74">
        <v>130</v>
      </c>
      <c r="L132" s="119">
        <v>142.89999999999989</v>
      </c>
      <c r="M132" s="117">
        <v>1736.9696510095519</v>
      </c>
    </row>
    <row r="133" spans="11:13" x14ac:dyDescent="0.4">
      <c r="K133" s="74">
        <v>131</v>
      </c>
      <c r="L133" s="119">
        <v>119.69999999999989</v>
      </c>
      <c r="M133" s="117">
        <v>1731.7978331034944</v>
      </c>
    </row>
    <row r="134" spans="11:13" x14ac:dyDescent="0.4">
      <c r="K134" s="74">
        <v>132</v>
      </c>
      <c r="L134" s="119">
        <v>155.09999999999988</v>
      </c>
      <c r="M134" s="117">
        <v>1737.2050461048734</v>
      </c>
    </row>
    <row r="135" spans="11:13" x14ac:dyDescent="0.4">
      <c r="K135" s="74">
        <v>133</v>
      </c>
      <c r="L135" s="119">
        <v>146.19999999999987</v>
      </c>
      <c r="M135" s="117">
        <v>1734.6058158282442</v>
      </c>
    </row>
    <row r="136" spans="11:13" x14ac:dyDescent="0.4">
      <c r="K136" s="74">
        <v>134</v>
      </c>
      <c r="L136" s="119">
        <v>107.19999999999987</v>
      </c>
      <c r="M136" s="117">
        <v>1726.6041809332748</v>
      </c>
    </row>
    <row r="137" spans="11:13" x14ac:dyDescent="0.4">
      <c r="K137" s="74">
        <v>135</v>
      </c>
      <c r="L137" s="119">
        <v>104.09999999999988</v>
      </c>
      <c r="M137" s="117">
        <v>1725.1125558476751</v>
      </c>
    </row>
    <row r="138" spans="11:13" x14ac:dyDescent="0.4">
      <c r="K138" s="74">
        <v>136</v>
      </c>
      <c r="L138" s="119">
        <v>168.69999999999987</v>
      </c>
      <c r="M138" s="117">
        <v>1735.5338805125891</v>
      </c>
    </row>
    <row r="139" spans="11:13" x14ac:dyDescent="0.4">
      <c r="K139" s="74">
        <v>137</v>
      </c>
      <c r="L139" s="119">
        <v>199.99999999999989</v>
      </c>
      <c r="M139" s="117">
        <v>1740.3906772295136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8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86</v>
      </c>
      <c r="C2" s="142"/>
      <c r="E2" s="26" t="s">
        <v>66</v>
      </c>
      <c r="F2" s="23" t="s">
        <v>22</v>
      </c>
      <c r="G2" s="11">
        <v>197</v>
      </c>
      <c r="H2" s="87">
        <f>IF(B$20=0,0,G2/B$20)</f>
        <v>0.98009950248756217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1132.5581395348838</v>
      </c>
      <c r="Q2" s="76">
        <v>86</v>
      </c>
      <c r="R2" s="63">
        <v>97400</v>
      </c>
    </row>
    <row r="3" spans="1:18" x14ac:dyDescent="0.4">
      <c r="A3" s="19" t="s">
        <v>8</v>
      </c>
      <c r="B3" s="143">
        <v>768</v>
      </c>
      <c r="C3" s="144"/>
      <c r="E3" s="27" t="s">
        <v>72</v>
      </c>
      <c r="F3" s="24" t="s">
        <v>27</v>
      </c>
      <c r="G3" s="12">
        <v>129</v>
      </c>
      <c r="H3" s="88">
        <f>IF(B$20=0,0,G3/B$20)</f>
        <v>0.64179104477611937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-436.90476190476193</v>
      </c>
      <c r="Q3" s="77">
        <v>84</v>
      </c>
      <c r="R3" s="64">
        <v>-36700</v>
      </c>
    </row>
    <row r="4" spans="1:18" x14ac:dyDescent="0.4">
      <c r="A4" s="19" t="s">
        <v>6</v>
      </c>
      <c r="B4" s="145">
        <v>-194.6</v>
      </c>
      <c r="C4" s="146"/>
      <c r="E4" s="27" t="s">
        <v>64</v>
      </c>
      <c r="F4" s="24" t="s">
        <v>20</v>
      </c>
      <c r="G4" s="12">
        <v>98</v>
      </c>
      <c r="H4" s="88">
        <f>IF(B$20=0,0,G4/B$20)</f>
        <v>0.48756218905472637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-559.52380952380952</v>
      </c>
      <c r="Q4" s="77">
        <v>84</v>
      </c>
      <c r="R4" s="64">
        <v>-47000</v>
      </c>
    </row>
    <row r="5" spans="1:18" x14ac:dyDescent="0.4">
      <c r="A5" s="19" t="s">
        <v>7</v>
      </c>
      <c r="B5" s="133">
        <f>IF(B$2=0,0,B$4/B$2)</f>
        <v>-2.2627906976744185</v>
      </c>
      <c r="C5" s="134"/>
      <c r="E5" s="27" t="s">
        <v>159</v>
      </c>
      <c r="F5" s="24" t="s">
        <v>160</v>
      </c>
      <c r="G5" s="12">
        <v>79</v>
      </c>
      <c r="H5" s="88">
        <f>IF(B$20=0,0,G5/B$20)</f>
        <v>0.39303482587064675</v>
      </c>
      <c r="I5" s="58">
        <v>9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-193.82716049382717</v>
      </c>
      <c r="Q5" s="77">
        <v>81</v>
      </c>
      <c r="R5" s="64">
        <v>-15700</v>
      </c>
    </row>
    <row r="6" spans="1:18" x14ac:dyDescent="0.4">
      <c r="A6" s="19" t="s">
        <v>196</v>
      </c>
      <c r="B6" s="137">
        <v>1613.2127024267445</v>
      </c>
      <c r="C6" s="138"/>
      <c r="E6" s="27" t="s">
        <v>68</v>
      </c>
      <c r="F6" s="24" t="s">
        <v>12</v>
      </c>
      <c r="G6" s="12">
        <v>68</v>
      </c>
      <c r="H6" s="88">
        <f>IF(B$20=0,0,G6/B$20)</f>
        <v>0.3383084577114428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-298.64864864864865</v>
      </c>
      <c r="Q6" s="77">
        <v>74</v>
      </c>
      <c r="R6" s="64">
        <v>-22100</v>
      </c>
    </row>
    <row r="7" spans="1:18" x14ac:dyDescent="0.4">
      <c r="A7" s="19" t="s">
        <v>1</v>
      </c>
      <c r="B7" s="147">
        <f>IF(B$2=0,0,(B$8*1+B$9*2+B$10*3)/B$2)</f>
        <v>2.0232558139534884</v>
      </c>
      <c r="C7" s="148"/>
      <c r="E7" s="27" t="s">
        <v>67</v>
      </c>
      <c r="F7" s="24" t="s">
        <v>23</v>
      </c>
      <c r="G7" s="12">
        <v>61</v>
      </c>
      <c r="H7" s="88">
        <f>IF(B$20=0,0,G7/B$20)</f>
        <v>0.30348258706467662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-152.30769230769232</v>
      </c>
      <c r="Q7" s="78">
        <v>65</v>
      </c>
      <c r="R7" s="65">
        <v>-9900</v>
      </c>
    </row>
    <row r="8" spans="1:18" x14ac:dyDescent="0.4">
      <c r="A8" s="19" t="s">
        <v>2</v>
      </c>
      <c r="B8" s="12">
        <v>27</v>
      </c>
      <c r="C8" s="6">
        <f t="shared" ref="C8:C15" si="1">IF(B$2=0,0,B8/B$2)</f>
        <v>0.31395348837209303</v>
      </c>
      <c r="E8" s="27" t="s">
        <v>89</v>
      </c>
      <c r="F8" s="24" t="s">
        <v>44</v>
      </c>
      <c r="G8" s="12">
        <v>31</v>
      </c>
      <c r="H8" s="88">
        <f>IF(B$20=0,0,G8/B$20)</f>
        <v>0.15422885572139303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30</v>
      </c>
      <c r="C9" s="6">
        <f t="shared" si="1"/>
        <v>0.34883720930232559</v>
      </c>
      <c r="E9" s="27" t="s">
        <v>69</v>
      </c>
      <c r="F9" s="24" t="s">
        <v>24</v>
      </c>
      <c r="G9" s="12">
        <v>26</v>
      </c>
      <c r="H9" s="88">
        <f>IF(B$20=0,0,G9/B$20)</f>
        <v>0.12935323383084577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29</v>
      </c>
      <c r="C10" s="7">
        <f t="shared" si="1"/>
        <v>0.33720930232558138</v>
      </c>
      <c r="E10" s="27" t="s">
        <v>65</v>
      </c>
      <c r="F10" s="24" t="s">
        <v>21</v>
      </c>
      <c r="G10" s="12">
        <v>23</v>
      </c>
      <c r="H10" s="88">
        <f>IF(B$20=0,0,G10/B$20)</f>
        <v>0.11442786069651742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-2.4375</v>
      </c>
      <c r="Q10" s="76">
        <v>32</v>
      </c>
      <c r="R10" s="67">
        <v>-78</v>
      </c>
    </row>
    <row r="11" spans="1:18" x14ac:dyDescent="0.4">
      <c r="A11" s="20" t="s">
        <v>184</v>
      </c>
      <c r="B11" s="109">
        <f>IF(B8=0,0,C11/B8)</f>
        <v>32.848148148148148</v>
      </c>
      <c r="C11" s="110">
        <v>886.9</v>
      </c>
      <c r="E11" s="27" t="s">
        <v>70</v>
      </c>
      <c r="F11" s="24" t="s">
        <v>25</v>
      </c>
      <c r="G11" s="12">
        <v>19</v>
      </c>
      <c r="H11" s="88">
        <f>IF(B$20=0,0,G11/B$20)</f>
        <v>9.4527363184079602E-2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0.71199999999999919</v>
      </c>
      <c r="Q11" s="77">
        <v>25</v>
      </c>
      <c r="R11" s="68">
        <v>17.799999999999979</v>
      </c>
    </row>
    <row r="12" spans="1:18" x14ac:dyDescent="0.4">
      <c r="A12" s="20" t="s">
        <v>185</v>
      </c>
      <c r="B12" s="109">
        <f>IF(B9=0,0,C12/B9)</f>
        <v>0.59333333333333349</v>
      </c>
      <c r="C12" s="110">
        <v>17.800000000000004</v>
      </c>
      <c r="E12" s="27" t="s">
        <v>71</v>
      </c>
      <c r="F12" s="24" t="s">
        <v>26</v>
      </c>
      <c r="G12" s="12">
        <v>15</v>
      </c>
      <c r="H12" s="88">
        <f>IF(B$20=0,0,G12/B$20)</f>
        <v>7.4626865671641784E-2</v>
      </c>
      <c r="I12" s="58">
        <v>6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-4.63448275862069</v>
      </c>
      <c r="Q12" s="78">
        <v>29</v>
      </c>
      <c r="R12" s="69">
        <v>-134.4</v>
      </c>
    </row>
    <row r="13" spans="1:18" x14ac:dyDescent="0.4">
      <c r="A13" s="20" t="s">
        <v>186</v>
      </c>
      <c r="B13" s="109">
        <f>IF(B10=0,0,C13/B10)</f>
        <v>-37.906896551724145</v>
      </c>
      <c r="C13" s="110">
        <v>-1099.3000000000002</v>
      </c>
      <c r="E13" s="27" t="s">
        <v>86</v>
      </c>
      <c r="F13" s="24" t="s">
        <v>41</v>
      </c>
      <c r="G13" s="12">
        <v>12</v>
      </c>
      <c r="H13" s="88">
        <f>IF(B$20=0,0,G13/B$20)</f>
        <v>5.9701492537313432E-2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-1.4884716900808879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2.9850746268656716E-2</v>
      </c>
      <c r="I14" s="58">
        <v>10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0.12790697674418605</v>
      </c>
      <c r="E15" s="27" t="s">
        <v>91</v>
      </c>
      <c r="F15" s="24" t="s">
        <v>46</v>
      </c>
      <c r="G15" s="12">
        <v>6</v>
      </c>
      <c r="H15" s="88">
        <f>IF(B$20=0,0,G15/B$20)</f>
        <v>2.9850746268656716E-2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217</v>
      </c>
      <c r="C16" s="10">
        <f>IF(B$3=0,0,B16/B$3)</f>
        <v>0.28255208333333331</v>
      </c>
      <c r="E16" s="27" t="s">
        <v>155</v>
      </c>
      <c r="F16" s="24" t="s">
        <v>156</v>
      </c>
      <c r="G16" s="12">
        <v>6</v>
      </c>
      <c r="H16" s="88">
        <f>IF(B$20=0,0,G16/B$20)</f>
        <v>2.9850746268656716E-2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172</v>
      </c>
      <c r="C17" s="6">
        <f>IF(B$3=0,0,B17/B$3)</f>
        <v>0.22395833333333334</v>
      </c>
      <c r="E17" s="27" t="s">
        <v>81</v>
      </c>
      <c r="F17" s="24" t="s">
        <v>36</v>
      </c>
      <c r="G17" s="12">
        <v>5</v>
      </c>
      <c r="H17" s="88">
        <f>IF(B$20=0,0,G17/B$20)</f>
        <v>2.4875621890547265E-2</v>
      </c>
      <c r="I17" s="58">
        <v>9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104</v>
      </c>
      <c r="C18" s="5">
        <f>IF(B$16=0,0,B18/B$16)</f>
        <v>0.47926267281105989</v>
      </c>
      <c r="E18" s="27" t="s">
        <v>78</v>
      </c>
      <c r="F18" s="24" t="s">
        <v>33</v>
      </c>
      <c r="G18" s="12">
        <v>4</v>
      </c>
      <c r="H18" s="88">
        <f>IF(B$20=0,0,G18/B$20)</f>
        <v>1.9900497512437811E-2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6.3545454545454554</v>
      </c>
      <c r="Q18" s="77">
        <v>22</v>
      </c>
      <c r="R18" s="68">
        <v>139.80000000000001</v>
      </c>
    </row>
    <row r="19" spans="1:18" x14ac:dyDescent="0.4">
      <c r="A19" s="18" t="s">
        <v>124</v>
      </c>
      <c r="B19" s="11">
        <f>B25</f>
        <v>58</v>
      </c>
      <c r="C19" s="5">
        <f>IF(B$17=0,0,B19/B$17)</f>
        <v>0.33720930232558138</v>
      </c>
      <c r="E19" s="27" t="s">
        <v>73</v>
      </c>
      <c r="F19" s="24" t="s">
        <v>28</v>
      </c>
      <c r="G19" s="12">
        <v>3</v>
      </c>
      <c r="H19" s="88">
        <f>IF(B$20=0,0,G19/B$20)</f>
        <v>1.4925373134328358E-2</v>
      </c>
      <c r="I19" s="58">
        <v>3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201</v>
      </c>
      <c r="C20" s="5">
        <f>IF(B$3=0,0,B20/B$3)</f>
        <v>0.26171875</v>
      </c>
      <c r="E20" s="27" t="s">
        <v>85</v>
      </c>
      <c r="F20" s="24" t="s">
        <v>40</v>
      </c>
      <c r="G20" s="12">
        <v>2</v>
      </c>
      <c r="H20" s="88">
        <f>IF(B$20=0,0,G20/B$20)</f>
        <v>9.9502487562189053E-3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195</v>
      </c>
      <c r="P20" s="83">
        <f>IF(Q20=0,0,R20/Q20)</f>
        <v>-0.22000000000000169</v>
      </c>
      <c r="Q20" s="77">
        <v>5</v>
      </c>
      <c r="R20" s="68">
        <v>-1.1000000000000085</v>
      </c>
    </row>
    <row r="21" spans="1:18" x14ac:dyDescent="0.4">
      <c r="A21" s="19" t="s">
        <v>13</v>
      </c>
      <c r="B21" s="12">
        <v>156</v>
      </c>
      <c r="C21" s="6">
        <f>IF(B$3=0,0,B21/B$3)</f>
        <v>0.203125</v>
      </c>
      <c r="E21" s="27" t="s">
        <v>88</v>
      </c>
      <c r="F21" s="24" t="s">
        <v>43</v>
      </c>
      <c r="G21" s="12">
        <v>2</v>
      </c>
      <c r="H21" s="88">
        <f>IF(B$20=0,0,G21/B$20)</f>
        <v>9.9502487562189053E-3</v>
      </c>
      <c r="I21" s="58">
        <v>1</v>
      </c>
      <c r="K21" s="74">
        <v>19</v>
      </c>
      <c r="L21" s="119">
        <v>-143.4</v>
      </c>
      <c r="M21" s="117">
        <v>1626.518677261879</v>
      </c>
      <c r="O21" s="74" t="s">
        <v>126</v>
      </c>
      <c r="P21" s="83">
        <f>IF(Q21=0,0,R21/Q21)</f>
        <v>-7.1287671232876697</v>
      </c>
      <c r="Q21" s="77">
        <v>73</v>
      </c>
      <c r="R21" s="68">
        <v>-520.39999999999986</v>
      </c>
    </row>
    <row r="22" spans="1:18" x14ac:dyDescent="0.4">
      <c r="A22" s="19" t="s">
        <v>12</v>
      </c>
      <c r="B22" s="12">
        <v>91</v>
      </c>
      <c r="C22" s="6">
        <f>IF(B$20=0,0,B22/B$20)</f>
        <v>0.45273631840796019</v>
      </c>
      <c r="E22" s="27" t="s">
        <v>77</v>
      </c>
      <c r="F22" s="24" t="s">
        <v>32</v>
      </c>
      <c r="G22" s="12">
        <v>1</v>
      </c>
      <c r="H22" s="88">
        <f>IF(B$20=0,0,G22/B$20)</f>
        <v>4.9751243781094526E-3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190</v>
      </c>
      <c r="P22" s="83">
        <f>IF(Q22=0,0,R22/Q22)</f>
        <v>-8.7866666666666653</v>
      </c>
      <c r="Q22" s="77">
        <v>15</v>
      </c>
      <c r="R22" s="68">
        <v>-131.79999999999998</v>
      </c>
    </row>
    <row r="23" spans="1:18" x14ac:dyDescent="0.4">
      <c r="A23" s="19" t="s">
        <v>11</v>
      </c>
      <c r="B23" s="12">
        <v>110</v>
      </c>
      <c r="C23" s="6">
        <f>IF(B$20=0,0,B23/B$20)</f>
        <v>0.54726368159203975</v>
      </c>
      <c r="E23" s="27" t="s">
        <v>79</v>
      </c>
      <c r="F23" s="24" t="s">
        <v>34</v>
      </c>
      <c r="G23" s="12">
        <v>1</v>
      </c>
      <c r="H23" s="88">
        <f>IF(B$20=0,0,G23/B$20)</f>
        <v>4.9751243781094526E-3</v>
      </c>
      <c r="I23" s="58">
        <v>7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>IF(Q23=0,0,R23/Q23)</f>
        <v>-9.0636363636363644</v>
      </c>
      <c r="Q23" s="77">
        <v>22</v>
      </c>
      <c r="R23" s="68">
        <v>-199.40000000000003</v>
      </c>
    </row>
    <row r="24" spans="1:18" x14ac:dyDescent="0.4">
      <c r="A24" s="19" t="s">
        <v>183</v>
      </c>
      <c r="B24" s="12">
        <v>104</v>
      </c>
      <c r="C24" s="6">
        <f>IF(B$20=0,0,B24/B$20)</f>
        <v>0.51741293532338306</v>
      </c>
      <c r="E24" s="27" t="s">
        <v>92</v>
      </c>
      <c r="F24" s="24" t="s">
        <v>47</v>
      </c>
      <c r="G24" s="12">
        <v>1</v>
      </c>
      <c r="H24" s="88">
        <f>IF(B$20=0,0,G24/B$20)</f>
        <v>4.9751243781094526E-3</v>
      </c>
      <c r="I24" s="58">
        <v>3</v>
      </c>
      <c r="K24" s="74">
        <v>22</v>
      </c>
      <c r="L24" s="119">
        <v>-95.2</v>
      </c>
      <c r="M24" s="117">
        <v>1635.1103586482752</v>
      </c>
      <c r="O24" s="74" t="s">
        <v>192</v>
      </c>
      <c r="P24" s="83">
        <f>IF(Q24=0,0,R24/Q24)</f>
        <v>-12.989473684210527</v>
      </c>
      <c r="Q24" s="77">
        <v>19</v>
      </c>
      <c r="R24" s="68">
        <v>-246.8</v>
      </c>
    </row>
    <row r="25" spans="1:18" x14ac:dyDescent="0.4">
      <c r="A25" s="19" t="s">
        <v>181</v>
      </c>
      <c r="B25" s="12">
        <v>58</v>
      </c>
      <c r="C25" s="6">
        <f>IF(B$20=0,0,B25/B$20)</f>
        <v>0.28855721393034828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39</v>
      </c>
      <c r="C26" s="6">
        <f>IF(B$20=0,0,B26/B$20)</f>
        <v>0.19402985074626866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9400.4975124378107</v>
      </c>
      <c r="C27" s="8">
        <v>1889500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10176.923076923076</v>
      </c>
      <c r="C28" s="96">
        <v>1455300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7486.2068965517237</v>
      </c>
      <c r="C29" s="96">
        <v>434200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-7614.1025641025644</v>
      </c>
      <c r="C30" s="96">
        <v>-1187800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5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1.3020833333333333E-3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4.975124378109453E-2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20</v>
      </c>
      <c r="C38" s="6">
        <f t="shared" si="2"/>
        <v>9.950248756218906E-2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37</v>
      </c>
      <c r="C39" s="6">
        <f t="shared" si="2"/>
        <v>0.18407960199004975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40</v>
      </c>
      <c r="C40" s="6">
        <f t="shared" si="2"/>
        <v>0.19900497512437812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40</v>
      </c>
      <c r="C41" s="6">
        <f t="shared" si="2"/>
        <v>0.19900497512437812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23</v>
      </c>
      <c r="C42" s="6">
        <f t="shared" si="2"/>
        <v>0.11442786069651742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11</v>
      </c>
      <c r="C43" s="6">
        <f t="shared" si="2"/>
        <v>5.4726368159203981E-2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2"/>
        <v>3.9800995024875621E-2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7</v>
      </c>
      <c r="C45" s="6">
        <f t="shared" si="2"/>
        <v>3.482587064676617E-2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9.9502487562189053E-3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2"/>
        <v>4.9751243781094526E-3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9.9502487562189053E-3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  <row r="79" spans="11:13" x14ac:dyDescent="0.4">
      <c r="K79" s="74">
        <v>77</v>
      </c>
      <c r="L79" s="119">
        <v>-113.6</v>
      </c>
      <c r="M79" s="117">
        <v>1628.1318400232217</v>
      </c>
    </row>
    <row r="80" spans="11:13" x14ac:dyDescent="0.4">
      <c r="K80" s="74">
        <v>78</v>
      </c>
      <c r="L80" s="119">
        <v>-103.89999999999999</v>
      </c>
      <c r="M80" s="117">
        <v>1629.7570489830823</v>
      </c>
    </row>
    <row r="81" spans="11:13" x14ac:dyDescent="0.4">
      <c r="K81" s="74">
        <v>79</v>
      </c>
      <c r="L81" s="119">
        <v>-111.3</v>
      </c>
      <c r="M81" s="117">
        <v>1628.5225066891837</v>
      </c>
    </row>
    <row r="82" spans="11:13" x14ac:dyDescent="0.4">
      <c r="K82" s="74">
        <v>80</v>
      </c>
      <c r="L82" s="119">
        <v>-86.9</v>
      </c>
      <c r="M82" s="117">
        <v>1633.0193716490487</v>
      </c>
    </row>
    <row r="83" spans="11:13" x14ac:dyDescent="0.4">
      <c r="K83" s="74">
        <v>81</v>
      </c>
      <c r="L83" s="119">
        <v>-132.9</v>
      </c>
      <c r="M83" s="117">
        <v>1624.8172554191544</v>
      </c>
    </row>
    <row r="84" spans="11:13" x14ac:dyDescent="0.4">
      <c r="K84" s="74">
        <v>82</v>
      </c>
      <c r="L84" s="119">
        <v>-164</v>
      </c>
      <c r="M84" s="117">
        <v>1619.3463518866395</v>
      </c>
    </row>
    <row r="85" spans="11:13" x14ac:dyDescent="0.4">
      <c r="K85" s="74">
        <v>83</v>
      </c>
      <c r="L85" s="119">
        <v>-182.6</v>
      </c>
      <c r="M85" s="117">
        <v>1616.1582737753197</v>
      </c>
    </row>
    <row r="86" spans="11:13" x14ac:dyDescent="0.4">
      <c r="K86" s="74">
        <v>84</v>
      </c>
      <c r="L86" s="119">
        <v>-180</v>
      </c>
      <c r="M86" s="117">
        <v>1616.7273241326677</v>
      </c>
    </row>
    <row r="87" spans="11:13" x14ac:dyDescent="0.4">
      <c r="K87" s="74">
        <v>85</v>
      </c>
      <c r="L87" s="119">
        <v>-151.6</v>
      </c>
      <c r="M87" s="117">
        <v>1621.0429601878718</v>
      </c>
    </row>
    <row r="88" spans="11:13" x14ac:dyDescent="0.4">
      <c r="K88" s="74">
        <v>86</v>
      </c>
      <c r="L88" s="119">
        <v>-194.6</v>
      </c>
      <c r="M88" s="117">
        <v>1613.2127024267445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72</v>
      </c>
      <c r="F2" s="23" t="s">
        <v>27</v>
      </c>
      <c r="G2" s="11">
        <v>93</v>
      </c>
      <c r="H2" s="87">
        <f>IF(B$20=0,0,G2/B$20)</f>
        <v>0.68888888888888888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-372.54901960784315</v>
      </c>
      <c r="Q2" s="76">
        <v>51</v>
      </c>
      <c r="R2" s="63">
        <v>-19000</v>
      </c>
    </row>
    <row r="3" spans="1:18" x14ac:dyDescent="0.4">
      <c r="A3" s="19" t="s">
        <v>8</v>
      </c>
      <c r="B3" s="143">
        <v>451</v>
      </c>
      <c r="C3" s="144"/>
      <c r="E3" s="27" t="s">
        <v>66</v>
      </c>
      <c r="F3" s="24" t="s">
        <v>22</v>
      </c>
      <c r="G3" s="12">
        <v>86</v>
      </c>
      <c r="H3" s="88">
        <f>IF(B$20=0,0,G3/B$20)</f>
        <v>0.63703703703703707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-370.58823529411762</v>
      </c>
      <c r="Q3" s="77">
        <v>51</v>
      </c>
      <c r="R3" s="64">
        <v>-18900</v>
      </c>
    </row>
    <row r="4" spans="1:18" x14ac:dyDescent="0.4">
      <c r="A4" s="19" t="s">
        <v>6</v>
      </c>
      <c r="B4" s="145">
        <v>-62.099999999999994</v>
      </c>
      <c r="C4" s="146"/>
      <c r="E4" s="27" t="s">
        <v>64</v>
      </c>
      <c r="F4" s="24" t="s">
        <v>20</v>
      </c>
      <c r="G4" s="12">
        <v>53</v>
      </c>
      <c r="H4" s="88">
        <f>IF(B$20=0,0,G4/B$20)</f>
        <v>0.3925925925925926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1226</v>
      </c>
      <c r="Q4" s="77">
        <v>50</v>
      </c>
      <c r="R4" s="64">
        <v>61300</v>
      </c>
    </row>
    <row r="5" spans="1:18" x14ac:dyDescent="0.4">
      <c r="A5" s="19" t="s">
        <v>7</v>
      </c>
      <c r="B5" s="133">
        <f>IF(B$2=0,0,B$4/B$2)</f>
        <v>-1.2176470588235293</v>
      </c>
      <c r="C5" s="134"/>
      <c r="E5" s="27" t="s">
        <v>159</v>
      </c>
      <c r="F5" s="24" t="s">
        <v>160</v>
      </c>
      <c r="G5" s="12">
        <v>52</v>
      </c>
      <c r="H5" s="88">
        <f>IF(B$20=0,0,G5/B$20)</f>
        <v>0.38518518518518519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-1410</v>
      </c>
      <c r="Q5" s="77">
        <v>50</v>
      </c>
      <c r="R5" s="64">
        <v>-70500</v>
      </c>
    </row>
    <row r="6" spans="1:18" x14ac:dyDescent="0.4">
      <c r="A6" s="19" t="s">
        <v>196</v>
      </c>
      <c r="B6" s="137">
        <v>1463.3989422821498</v>
      </c>
      <c r="C6" s="138"/>
      <c r="E6" s="27" t="s">
        <v>68</v>
      </c>
      <c r="F6" s="24" t="s">
        <v>12</v>
      </c>
      <c r="G6" s="12">
        <v>38</v>
      </c>
      <c r="H6" s="88">
        <f>IF(B$20=0,0,G6/B$20)</f>
        <v>0.2814814814814815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-841.66666666666663</v>
      </c>
      <c r="Q6" s="77">
        <v>48</v>
      </c>
      <c r="R6" s="64">
        <v>-40400</v>
      </c>
    </row>
    <row r="7" spans="1:18" x14ac:dyDescent="0.4">
      <c r="A7" s="19" t="s">
        <v>1</v>
      </c>
      <c r="B7" s="147">
        <f>IF(B$2=0,0,(B$8*1+B$9*2+B$10*3)/B$2)</f>
        <v>2.0392156862745097</v>
      </c>
      <c r="C7" s="148"/>
      <c r="E7" s="27" t="s">
        <v>67</v>
      </c>
      <c r="F7" s="24" t="s">
        <v>23</v>
      </c>
      <c r="G7" s="12">
        <v>30</v>
      </c>
      <c r="H7" s="88">
        <f>IF(B$20=0,0,G7/B$20)</f>
        <v>0.22222222222222221</v>
      </c>
      <c r="I7" s="58">
        <v>8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-1140</v>
      </c>
      <c r="Q7" s="78">
        <v>40</v>
      </c>
      <c r="R7" s="65">
        <v>-45600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0.35294117647058826</v>
      </c>
      <c r="E8" s="27" t="s">
        <v>89</v>
      </c>
      <c r="F8" s="24" t="s">
        <v>44</v>
      </c>
      <c r="G8" s="12">
        <v>15</v>
      </c>
      <c r="H8" s="88">
        <f>IF(B$20=0,0,G8/B$20)</f>
        <v>0.1111111111111111</v>
      </c>
      <c r="I8" s="58">
        <v>9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0.25490196078431371</v>
      </c>
      <c r="E9" s="27" t="s">
        <v>70</v>
      </c>
      <c r="F9" s="24" t="s">
        <v>25</v>
      </c>
      <c r="G9" s="12">
        <v>12</v>
      </c>
      <c r="H9" s="88">
        <f>IF(B$20=0,0,G9/B$20)</f>
        <v>8.8888888888888892E-2</v>
      </c>
      <c r="I9" s="58">
        <v>7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20</v>
      </c>
      <c r="C10" s="7">
        <f t="shared" si="1"/>
        <v>0.39215686274509803</v>
      </c>
      <c r="E10" s="27" t="s">
        <v>69</v>
      </c>
      <c r="F10" s="24" t="s">
        <v>24</v>
      </c>
      <c r="G10" s="12">
        <v>11</v>
      </c>
      <c r="H10" s="88">
        <f>IF(B$20=0,0,G10/B$20)</f>
        <v>8.1481481481481488E-2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4.0000000000000009</v>
      </c>
      <c r="Q10" s="76">
        <v>14</v>
      </c>
      <c r="R10" s="67">
        <v>56.000000000000014</v>
      </c>
    </row>
    <row r="11" spans="1:18" x14ac:dyDescent="0.4">
      <c r="A11" s="20" t="s">
        <v>184</v>
      </c>
      <c r="B11" s="109">
        <f>IF(B8=0,0,C11/B8)</f>
        <v>30.577777777777783</v>
      </c>
      <c r="C11" s="110">
        <v>550.40000000000009</v>
      </c>
      <c r="E11" s="27" t="s">
        <v>65</v>
      </c>
      <c r="F11" s="24" t="s">
        <v>21</v>
      </c>
      <c r="G11" s="12">
        <v>10</v>
      </c>
      <c r="H11" s="88">
        <f>IF(B$20=0,0,G11/B$20)</f>
        <v>7.407407407407407E-2</v>
      </c>
      <c r="I11" s="58">
        <v>10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-5.1055555555555561</v>
      </c>
      <c r="Q11" s="77">
        <v>18</v>
      </c>
      <c r="R11" s="68">
        <v>-91.9</v>
      </c>
    </row>
    <row r="12" spans="1:18" x14ac:dyDescent="0.4">
      <c r="A12" s="20" t="s">
        <v>185</v>
      </c>
      <c r="B12" s="109">
        <f>IF(B9=0,0,C12/B9)</f>
        <v>4.7692307692307692</v>
      </c>
      <c r="C12" s="110">
        <v>62</v>
      </c>
      <c r="E12" s="27" t="s">
        <v>83</v>
      </c>
      <c r="F12" s="24" t="s">
        <v>38</v>
      </c>
      <c r="G12" s="12">
        <v>9</v>
      </c>
      <c r="H12" s="88">
        <f>IF(B$20=0,0,G12/B$20)</f>
        <v>6.6666666666666666E-2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-1.3789473684210534</v>
      </c>
      <c r="Q12" s="78">
        <v>19</v>
      </c>
      <c r="R12" s="69">
        <v>-26.200000000000014</v>
      </c>
    </row>
    <row r="13" spans="1:18" x14ac:dyDescent="0.4">
      <c r="A13" s="20" t="s">
        <v>186</v>
      </c>
      <c r="B13" s="109">
        <f>IF(B10=0,0,C13/B10)</f>
        <v>-33.725000000000001</v>
      </c>
      <c r="C13" s="110">
        <v>-674.5</v>
      </c>
      <c r="E13" s="27" t="s">
        <v>71</v>
      </c>
      <c r="F13" s="24" t="s">
        <v>26</v>
      </c>
      <c r="G13" s="12">
        <v>8</v>
      </c>
      <c r="H13" s="88">
        <f>IF(B$20=0,0,G13/B$20)</f>
        <v>5.9259259259259262E-2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0.54066951566951593</v>
      </c>
      <c r="C14" s="134"/>
      <c r="E14" s="27" t="s">
        <v>78</v>
      </c>
      <c r="F14" s="24" t="s">
        <v>33</v>
      </c>
      <c r="G14" s="12">
        <v>5</v>
      </c>
      <c r="H14" s="88">
        <f>IF(B$20=0,0,G14/B$20)</f>
        <v>3.7037037037037035E-2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7.8431372549019607E-2</v>
      </c>
      <c r="E15" s="27" t="s">
        <v>81</v>
      </c>
      <c r="F15" s="24" t="s">
        <v>36</v>
      </c>
      <c r="G15" s="12">
        <v>5</v>
      </c>
      <c r="H15" s="88">
        <f>IF(B$20=0,0,G15/B$20)</f>
        <v>3.7037037037037035E-2</v>
      </c>
      <c r="I15" s="58">
        <v>6</v>
      </c>
      <c r="K15" s="74">
        <v>13</v>
      </c>
      <c r="L15" s="119">
        <v>35.000000000000007</v>
      </c>
      <c r="M15" s="117">
        <v>1449.5174194108242</v>
      </c>
      <c r="O15" s="73" t="s">
        <v>190</v>
      </c>
      <c r="P15" s="82">
        <f>IF(Q15=0,0,R15/Q15)</f>
        <v>39.524999999999999</v>
      </c>
      <c r="Q15" s="76">
        <v>4</v>
      </c>
      <c r="R15" s="67">
        <v>158.1</v>
      </c>
    </row>
    <row r="16" spans="1:18" x14ac:dyDescent="0.4">
      <c r="A16" s="22" t="s">
        <v>121</v>
      </c>
      <c r="B16" s="15">
        <v>115</v>
      </c>
      <c r="C16" s="10">
        <f>IF(B$3=0,0,B16/B$3)</f>
        <v>0.25498891352549891</v>
      </c>
      <c r="E16" s="27" t="s">
        <v>79</v>
      </c>
      <c r="F16" s="24" t="s">
        <v>34</v>
      </c>
      <c r="G16" s="12">
        <v>3</v>
      </c>
      <c r="H16" s="88">
        <f>IF(B$20=0,0,G16/B$20)</f>
        <v>2.2222222222222223E-2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132</v>
      </c>
      <c r="C17" s="6">
        <f>IF(B$3=0,0,B17/B$3)</f>
        <v>0.29268292682926828</v>
      </c>
      <c r="E17" s="27" t="s">
        <v>86</v>
      </c>
      <c r="F17" s="24" t="s">
        <v>41</v>
      </c>
      <c r="G17" s="12">
        <v>3</v>
      </c>
      <c r="H17" s="88">
        <f>IF(B$20=0,0,G17/B$20)</f>
        <v>2.2222222222222223E-2</v>
      </c>
      <c r="I17" s="58">
        <v>9</v>
      </c>
      <c r="K17" s="74">
        <v>15</v>
      </c>
      <c r="L17" s="119">
        <v>60.900000000000006</v>
      </c>
      <c r="M17" s="117">
        <v>1455.9833330049933</v>
      </c>
      <c r="O17" s="74" t="s">
        <v>195</v>
      </c>
      <c r="P17" s="83">
        <f>IF(Q17=0,0,R17/Q17)</f>
        <v>25.800000000000004</v>
      </c>
      <c r="Q17" s="77">
        <v>4</v>
      </c>
      <c r="R17" s="68">
        <v>103.20000000000002</v>
      </c>
    </row>
    <row r="18" spans="1:18" x14ac:dyDescent="0.4">
      <c r="A18" s="18" t="s">
        <v>123</v>
      </c>
      <c r="B18" s="11">
        <f>B24</f>
        <v>53</v>
      </c>
      <c r="C18" s="5">
        <f>IF(B$16=0,0,B18/B$16)</f>
        <v>0.46086956521739131</v>
      </c>
      <c r="E18" s="27" t="s">
        <v>91</v>
      </c>
      <c r="F18" s="24" t="s">
        <v>46</v>
      </c>
      <c r="G18" s="12">
        <v>2</v>
      </c>
      <c r="H18" s="88">
        <f>IF(B$20=0,0,G18/B$20)</f>
        <v>1.4814814814814815E-2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54</v>
      </c>
      <c r="C19" s="5">
        <f>IF(B$17=0,0,B19/B$17)</f>
        <v>0.40909090909090912</v>
      </c>
      <c r="E19" s="27" t="s">
        <v>88</v>
      </c>
      <c r="F19" s="24" t="s">
        <v>43</v>
      </c>
      <c r="G19" s="12">
        <v>1</v>
      </c>
      <c r="H19" s="88">
        <f>IF(B$20=0,0,G19/B$20)</f>
        <v>7.4074074074074077E-3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>IF(Q19=0,0,R19/Q19)</f>
        <v>0.46818181818181864</v>
      </c>
      <c r="Q19" s="77">
        <v>44</v>
      </c>
      <c r="R19" s="68">
        <v>20.600000000000019</v>
      </c>
    </row>
    <row r="20" spans="1:18" x14ac:dyDescent="0.4">
      <c r="A20" s="18" t="s">
        <v>10</v>
      </c>
      <c r="B20" s="11">
        <f>B23+B22</f>
        <v>135</v>
      </c>
      <c r="C20" s="5">
        <f>IF(B$3=0,0,B20/B$3)</f>
        <v>0.29933481152993346</v>
      </c>
      <c r="E20" s="27" t="s">
        <v>93</v>
      </c>
      <c r="F20" s="24" t="s">
        <v>48</v>
      </c>
      <c r="G20" s="12">
        <v>1</v>
      </c>
      <c r="H20" s="88">
        <f>IF(B$20=0,0,G20/B$20)</f>
        <v>7.4074074074074077E-3</v>
      </c>
      <c r="I20" s="58">
        <v>2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>IF(Q20=0,0,R20/Q20)</f>
        <v>-6.3545454545454527</v>
      </c>
      <c r="Q20" s="77">
        <v>22</v>
      </c>
      <c r="R20" s="68">
        <v>-139.79999999999995</v>
      </c>
    </row>
    <row r="21" spans="1:18" x14ac:dyDescent="0.4">
      <c r="A21" s="19" t="s">
        <v>13</v>
      </c>
      <c r="B21" s="12">
        <v>72</v>
      </c>
      <c r="C21" s="6">
        <f>IF(B$3=0,0,B21/B$3)</f>
        <v>0.15964523281596452</v>
      </c>
      <c r="E21" s="27" t="s">
        <v>106</v>
      </c>
      <c r="F21" s="24" t="s">
        <v>113</v>
      </c>
      <c r="G21" s="12">
        <v>1</v>
      </c>
      <c r="H21" s="88">
        <f>IF(B$20=0,0,G21/B$20)</f>
        <v>7.4074074074074077E-3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>IF(Q21=0,0,R21/Q21)</f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64</v>
      </c>
      <c r="C22" s="6">
        <f>IF(B$20=0,0,B22/B$20)</f>
        <v>0.47407407407407409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7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71</v>
      </c>
      <c r="C23" s="6">
        <f>IF(B$20=0,0,B23/B$20)</f>
        <v>0.52592592592592591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53</v>
      </c>
      <c r="C24" s="6">
        <f>IF(B$20=0,0,B24/B$20)</f>
        <v>0.3925925925925926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54</v>
      </c>
      <c r="C25" s="6">
        <f>IF(B$20=0,0,B25/B$20)</f>
        <v>0.4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28</v>
      </c>
      <c r="C26" s="6">
        <f>IF(B$20=0,0,B26/B$20)</f>
        <v>0.2074074074074074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7534.8148148148148</v>
      </c>
      <c r="C27" s="8">
        <v>1017200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8919.7530864197524</v>
      </c>
      <c r="C28" s="96">
        <v>722500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5457.4074074074078</v>
      </c>
      <c r="C29" s="96">
        <v>294700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-8606.9444444444453</v>
      </c>
      <c r="C30" s="96">
        <v>-619700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2.2172949002217295E-3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17</v>
      </c>
      <c r="C37" s="98">
        <f t="shared" ref="C37:C49" si="2">IF(B$20=0,0,B37/B$20)</f>
        <v>0.12592592592592591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2"/>
        <v>0.2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30</v>
      </c>
      <c r="C39" s="6">
        <f t="shared" si="2"/>
        <v>0.22222222222222221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28</v>
      </c>
      <c r="C40" s="6">
        <f t="shared" si="2"/>
        <v>0.2074074074074074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8</v>
      </c>
      <c r="C41" s="6">
        <f t="shared" si="2"/>
        <v>5.9259259259259262E-2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6</v>
      </c>
      <c r="C42" s="6">
        <f t="shared" si="2"/>
        <v>4.4444444444444446E-2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7</v>
      </c>
      <c r="C43" s="6">
        <f t="shared" si="2"/>
        <v>5.185185185185185E-2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2"/>
        <v>1.4814814814814815E-2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2"/>
        <v>2.9629629629629631E-2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2"/>
        <v>2.9629629629629631E-2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13" x14ac:dyDescent="0.4">
      <c r="A49" s="21" t="s">
        <v>179</v>
      </c>
      <c r="B49" s="97">
        <v>2</v>
      </c>
      <c r="C49" s="9">
        <f t="shared" si="2"/>
        <v>1.4814814814814815E-2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-70.099999999999994</v>
      </c>
      <c r="M49" s="117">
        <v>1459.7189035010927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-31.499999999999993</v>
      </c>
      <c r="M50" s="117">
        <v>1467.5565900800862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-70</v>
      </c>
      <c r="M51" s="117">
        <v>1460.9652505396057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-73.8</v>
      </c>
      <c r="M52" s="117">
        <v>1460.4194590363682</v>
      </c>
    </row>
    <row r="53" spans="1:13" x14ac:dyDescent="0.4">
      <c r="K53" s="74">
        <v>51</v>
      </c>
      <c r="L53" s="119">
        <v>-62.099999999999994</v>
      </c>
      <c r="M53" s="117">
        <v>1463.3989422821498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4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6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1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7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3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3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66</v>
      </c>
      <c r="F2" s="23" t="s">
        <v>22</v>
      </c>
      <c r="G2" s="11">
        <v>88</v>
      </c>
      <c r="H2" s="87">
        <f>IF(B$20=0,0,G2/B$20)</f>
        <v>0.66666666666666663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-912</v>
      </c>
      <c r="Q2" s="76">
        <v>50</v>
      </c>
      <c r="R2" s="63">
        <v>-45600</v>
      </c>
    </row>
    <row r="3" spans="1:18" x14ac:dyDescent="0.4">
      <c r="A3" s="19" t="s">
        <v>8</v>
      </c>
      <c r="B3" s="143">
        <v>430</v>
      </c>
      <c r="C3" s="144"/>
      <c r="E3" s="27" t="s">
        <v>72</v>
      </c>
      <c r="F3" s="24" t="s">
        <v>27</v>
      </c>
      <c r="G3" s="12">
        <v>78</v>
      </c>
      <c r="H3" s="88">
        <f>IF(B$20=0,0,G3/B$20)</f>
        <v>0.59090909090909094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1166</v>
      </c>
      <c r="Q3" s="77">
        <v>50</v>
      </c>
      <c r="R3" s="64">
        <v>58300</v>
      </c>
    </row>
    <row r="4" spans="1:18" x14ac:dyDescent="0.4">
      <c r="A4" s="19" t="s">
        <v>6</v>
      </c>
      <c r="B4" s="145">
        <v>178.2</v>
      </c>
      <c r="C4" s="146"/>
      <c r="E4" s="27" t="s">
        <v>64</v>
      </c>
      <c r="F4" s="24" t="s">
        <v>20</v>
      </c>
      <c r="G4" s="12">
        <v>59</v>
      </c>
      <c r="H4" s="88">
        <f>IF(B$20=0,0,G4/B$20)</f>
        <v>0.44696969696969696</v>
      </c>
      <c r="I4" s="58">
        <v>5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2228</v>
      </c>
      <c r="Q4" s="77">
        <v>50</v>
      </c>
      <c r="R4" s="64">
        <v>111400</v>
      </c>
    </row>
    <row r="5" spans="1:18" x14ac:dyDescent="0.4">
      <c r="A5" s="19" t="s">
        <v>7</v>
      </c>
      <c r="B5" s="133">
        <f>IF(B$2=0,0,B$4/B$2)</f>
        <v>3.4941176470588231</v>
      </c>
      <c r="C5" s="134"/>
      <c r="E5" s="27" t="s">
        <v>159</v>
      </c>
      <c r="F5" s="24" t="s">
        <v>160</v>
      </c>
      <c r="G5" s="12">
        <v>44</v>
      </c>
      <c r="H5" s="88">
        <f>IF(B$20=0,0,G5/B$20)</f>
        <v>0.33333333333333331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-382.97872340425533</v>
      </c>
      <c r="Q5" s="77">
        <v>47</v>
      </c>
      <c r="R5" s="64">
        <v>-18000</v>
      </c>
    </row>
    <row r="6" spans="1:18" x14ac:dyDescent="0.4">
      <c r="A6" s="19" t="s">
        <v>196</v>
      </c>
      <c r="B6" s="137">
        <v>1541.223654027415</v>
      </c>
      <c r="C6" s="138"/>
      <c r="E6" s="27" t="s">
        <v>67</v>
      </c>
      <c r="F6" s="24" t="s">
        <v>23</v>
      </c>
      <c r="G6" s="12">
        <v>37</v>
      </c>
      <c r="H6" s="88">
        <f>IF(B$20=0,0,G6/B$20)</f>
        <v>0.28030303030303028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257.14285714285717</v>
      </c>
      <c r="Q6" s="77">
        <v>42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1.9215686274509804</v>
      </c>
      <c r="C7" s="148"/>
      <c r="E7" s="27" t="s">
        <v>68</v>
      </c>
      <c r="F7" s="24" t="s">
        <v>12</v>
      </c>
      <c r="G7" s="12">
        <v>32</v>
      </c>
      <c r="H7" s="88">
        <f>IF(B$20=0,0,G7/B$20)</f>
        <v>0.24242424242424243</v>
      </c>
      <c r="I7" s="58">
        <v>12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1710.2564102564102</v>
      </c>
      <c r="Q7" s="78">
        <v>39</v>
      </c>
      <c r="R7" s="65">
        <v>66700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0.37254901960784315</v>
      </c>
      <c r="E8" s="27" t="s">
        <v>89</v>
      </c>
      <c r="F8" s="24" t="s">
        <v>44</v>
      </c>
      <c r="G8" s="12">
        <v>26</v>
      </c>
      <c r="H8" s="88">
        <f>IF(B$20=0,0,G8/B$20)</f>
        <v>0.19696969696969696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0.33333333333333331</v>
      </c>
      <c r="E9" s="27" t="s">
        <v>69</v>
      </c>
      <c r="F9" s="24" t="s">
        <v>24</v>
      </c>
      <c r="G9" s="12">
        <v>20</v>
      </c>
      <c r="H9" s="88">
        <f>IF(B$20=0,0,G9/B$20)</f>
        <v>0.15151515151515152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0.29411764705882354</v>
      </c>
      <c r="E10" s="27" t="s">
        <v>65</v>
      </c>
      <c r="F10" s="24" t="s">
        <v>21</v>
      </c>
      <c r="G10" s="12">
        <v>11</v>
      </c>
      <c r="H10" s="88">
        <f>IF(B$20=0,0,G10/B$20)</f>
        <v>8.3333333333333329E-2</v>
      </c>
      <c r="I10" s="58">
        <v>8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3.78125</v>
      </c>
      <c r="Q10" s="76">
        <v>16</v>
      </c>
      <c r="R10" s="67">
        <v>60.5</v>
      </c>
    </row>
    <row r="11" spans="1:18" x14ac:dyDescent="0.4">
      <c r="A11" s="20" t="s">
        <v>184</v>
      </c>
      <c r="B11" s="109">
        <f>IF(B8=0,0,C11/B8)</f>
        <v>33.868421052631582</v>
      </c>
      <c r="C11" s="110">
        <v>643.5</v>
      </c>
      <c r="E11" s="27" t="s">
        <v>71</v>
      </c>
      <c r="F11" s="24" t="s">
        <v>26</v>
      </c>
      <c r="G11" s="12">
        <v>10</v>
      </c>
      <c r="H11" s="88">
        <f>IF(B$20=0,0,G11/B$20)</f>
        <v>7.575757575757576E-2</v>
      </c>
      <c r="I11" s="58">
        <v>5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-1.9823529411764711</v>
      </c>
      <c r="C12" s="110">
        <v>-33.70000000000001</v>
      </c>
      <c r="E12" s="27" t="s">
        <v>86</v>
      </c>
      <c r="F12" s="24" t="s">
        <v>41</v>
      </c>
      <c r="G12" s="12">
        <v>10</v>
      </c>
      <c r="H12" s="88">
        <f>IF(B$20=0,0,G12/B$20)</f>
        <v>7.575757575757576E-2</v>
      </c>
      <c r="I12" s="58">
        <v>3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7.2777777777777777</v>
      </c>
      <c r="Q12" s="78">
        <v>18</v>
      </c>
      <c r="R12" s="69">
        <v>131</v>
      </c>
    </row>
    <row r="13" spans="1:18" x14ac:dyDescent="0.4">
      <c r="A13" s="20" t="s">
        <v>186</v>
      </c>
      <c r="B13" s="109">
        <f>IF(B10=0,0,C13/B10)</f>
        <v>-28.773333333333333</v>
      </c>
      <c r="C13" s="110">
        <v>-431.6</v>
      </c>
      <c r="E13" s="27" t="s">
        <v>83</v>
      </c>
      <c r="F13" s="24" t="s">
        <v>38</v>
      </c>
      <c r="G13" s="12">
        <v>7</v>
      </c>
      <c r="H13" s="88">
        <f>IF(B$20=0,0,G13/B$20)</f>
        <v>5.3030303030303032E-2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1.0375782593739256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3.787878787878788E-2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3.9215686274509803E-2</v>
      </c>
      <c r="E15" s="27" t="s">
        <v>78</v>
      </c>
      <c r="F15" s="24" t="s">
        <v>33</v>
      </c>
      <c r="G15" s="12">
        <v>5</v>
      </c>
      <c r="H15" s="88">
        <f>IF(B$20=0,0,G15/B$20)</f>
        <v>3.787878787878788E-2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26.462500000000006</v>
      </c>
      <c r="Q15" s="76">
        <v>8</v>
      </c>
      <c r="R15" s="67">
        <v>211.70000000000005</v>
      </c>
    </row>
    <row r="16" spans="1:18" x14ac:dyDescent="0.4">
      <c r="A16" s="22" t="s">
        <v>121</v>
      </c>
      <c r="B16" s="15">
        <v>98</v>
      </c>
      <c r="C16" s="10">
        <f>IF(B$3=0,0,B16/B$3)</f>
        <v>0.22790697674418606</v>
      </c>
      <c r="E16" s="27" t="s">
        <v>81</v>
      </c>
      <c r="F16" s="24" t="s">
        <v>36</v>
      </c>
      <c r="G16" s="12">
        <v>5</v>
      </c>
      <c r="H16" s="88">
        <f>IF(B$20=0,0,G16/B$20)</f>
        <v>3.787878787878788E-2</v>
      </c>
      <c r="I16" s="58">
        <v>5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 t="shared" si="2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97</v>
      </c>
      <c r="C17" s="6">
        <f>IF(B$3=0,0,B17/B$3)</f>
        <v>0.2255813953488372</v>
      </c>
      <c r="E17" s="27" t="s">
        <v>91</v>
      </c>
      <c r="F17" s="24" t="s">
        <v>46</v>
      </c>
      <c r="G17" s="12">
        <v>5</v>
      </c>
      <c r="H17" s="88">
        <f>IF(B$20=0,0,G17/B$20)</f>
        <v>3.787878787878788E-2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 t="shared" si="2"/>
        <v>9.0636363636363662</v>
      </c>
      <c r="Q17" s="77">
        <v>22</v>
      </c>
      <c r="R17" s="68">
        <v>199.40000000000006</v>
      </c>
    </row>
    <row r="18" spans="1:18" x14ac:dyDescent="0.4">
      <c r="A18" s="18" t="s">
        <v>123</v>
      </c>
      <c r="B18" s="11">
        <f>B24</f>
        <v>58</v>
      </c>
      <c r="C18" s="5">
        <f>IF(B$16=0,0,B18/B$16)</f>
        <v>0.59183673469387754</v>
      </c>
      <c r="E18" s="27" t="s">
        <v>73</v>
      </c>
      <c r="F18" s="24" t="s">
        <v>28</v>
      </c>
      <c r="G18" s="12">
        <v>2</v>
      </c>
      <c r="H18" s="88">
        <f>IF(B$20=0,0,G18/B$20)</f>
        <v>1.5151515151515152E-2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0.45360824742268041</v>
      </c>
      <c r="E19" s="27" t="s">
        <v>75</v>
      </c>
      <c r="F19" s="24" t="s">
        <v>30</v>
      </c>
      <c r="G19" s="12">
        <v>1</v>
      </c>
      <c r="H19" s="88">
        <f>IF(B$20=0,0,G19/B$20)</f>
        <v>7.575757575757576E-3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132</v>
      </c>
      <c r="C20" s="5">
        <f>IF(B$3=0,0,B20/B$3)</f>
        <v>0.30697674418604654</v>
      </c>
      <c r="E20" s="27" t="s">
        <v>79</v>
      </c>
      <c r="F20" s="24" t="s">
        <v>34</v>
      </c>
      <c r="G20" s="12">
        <v>1</v>
      </c>
      <c r="H20" s="88">
        <f>IF(B$20=0,0,G20/B$20)</f>
        <v>7.575757575757576E-3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3.0419354838709678</v>
      </c>
      <c r="Q20" s="77">
        <v>31</v>
      </c>
      <c r="R20" s="68">
        <v>94.3</v>
      </c>
    </row>
    <row r="21" spans="1:18" x14ac:dyDescent="0.4">
      <c r="A21" s="19" t="s">
        <v>13</v>
      </c>
      <c r="B21" s="12">
        <v>59</v>
      </c>
      <c r="C21" s="6">
        <f>IF(B$3=0,0,B21/B$3)</f>
        <v>0.1372093023255814</v>
      </c>
      <c r="E21" s="27" t="s">
        <v>93</v>
      </c>
      <c r="F21" s="24" t="s">
        <v>48</v>
      </c>
      <c r="G21" s="12">
        <v>1</v>
      </c>
      <c r="H21" s="88">
        <f>IF(B$20=0,0,G21/B$20)</f>
        <v>7.575757575757576E-3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53</v>
      </c>
      <c r="C22" s="6">
        <f>IF(B$20=0,0,B22/B$20)</f>
        <v>0.40151515151515149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79</v>
      </c>
      <c r="C23" s="6">
        <f>IF(B$20=0,0,B23/B$20)</f>
        <v>0.59848484848484851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58</v>
      </c>
      <c r="C24" s="6">
        <f>IF(B$20=0,0,B24/B$20)</f>
        <v>0.43939393939393939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44</v>
      </c>
      <c r="C25" s="6">
        <f>IF(B$20=0,0,B25/B$20)</f>
        <v>0.33333333333333331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30</v>
      </c>
      <c r="C26" s="6">
        <f>IF(B$20=0,0,B26/B$20)</f>
        <v>0.22727272727272727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7929.545454545455</v>
      </c>
      <c r="C27" s="8">
        <v>1046700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8413.636363636364</v>
      </c>
      <c r="C28" s="96">
        <v>740400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6961.363636363636</v>
      </c>
      <c r="C29" s="96">
        <v>306300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-6961.0169491525421</v>
      </c>
      <c r="C30" s="96">
        <v>-410700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3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93600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6.9767441860465115E-3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6.0606060606060608E-2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27</v>
      </c>
      <c r="C38" s="6">
        <f t="shared" si="3"/>
        <v>0.20454545454545456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28</v>
      </c>
      <c r="C39" s="6">
        <f t="shared" si="3"/>
        <v>0.21212121212121213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0.14393939393939395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20</v>
      </c>
      <c r="C41" s="6">
        <f t="shared" si="3"/>
        <v>0.15151515151515152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3"/>
        <v>0.11363636363636363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3.787878787878788E-2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3.0303030303030304E-2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7.575757575757576E-3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1.5151515151515152E-2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2</v>
      </c>
      <c r="C47" s="6">
        <f t="shared" si="3"/>
        <v>1.5151515151515152E-2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3"/>
        <v>7.575757575757576E-3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209.29999999999998</v>
      </c>
      <c r="M51" s="117">
        <v>1545.841007845276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211.6</v>
      </c>
      <c r="M52" s="117">
        <v>1546.7179617982042</v>
      </c>
    </row>
    <row r="53" spans="1:13" x14ac:dyDescent="0.4">
      <c r="K53" s="74">
        <v>51</v>
      </c>
      <c r="L53" s="119">
        <v>178.2</v>
      </c>
      <c r="M53" s="117">
        <v>1541.223654027415</v>
      </c>
    </row>
  </sheetData>
  <sortState xmlns:xlrd2="http://schemas.microsoft.com/office/spreadsheetml/2017/richdata2" ref="E2:I5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6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64</v>
      </c>
      <c r="C2" s="142"/>
      <c r="E2" s="26" t="s">
        <v>66</v>
      </c>
      <c r="F2" s="23" t="s">
        <v>22</v>
      </c>
      <c r="G2" s="11">
        <v>142</v>
      </c>
      <c r="H2" s="87">
        <f>IF(B$20=0,0,G2/B$20)</f>
        <v>0.75132275132275128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-451.5625</v>
      </c>
      <c r="Q2" s="76">
        <v>64</v>
      </c>
      <c r="R2" s="63">
        <v>-28900</v>
      </c>
    </row>
    <row r="3" spans="1:18" x14ac:dyDescent="0.4">
      <c r="A3" s="19" t="s">
        <v>8</v>
      </c>
      <c r="B3" s="143">
        <v>546</v>
      </c>
      <c r="C3" s="144"/>
      <c r="E3" s="27" t="s">
        <v>72</v>
      </c>
      <c r="F3" s="24" t="s">
        <v>27</v>
      </c>
      <c r="G3" s="12">
        <v>117</v>
      </c>
      <c r="H3" s="88">
        <f>IF(B$20=0,0,G3/B$20)</f>
        <v>0.61904761904761907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751.66666666666663</v>
      </c>
      <c r="Q3" s="77">
        <v>60</v>
      </c>
      <c r="R3" s="64">
        <v>45100</v>
      </c>
    </row>
    <row r="4" spans="1:18" x14ac:dyDescent="0.4">
      <c r="A4" s="19" t="s">
        <v>6</v>
      </c>
      <c r="B4" s="145">
        <v>414.99999999999994</v>
      </c>
      <c r="C4" s="146"/>
      <c r="E4" s="27" t="s">
        <v>159</v>
      </c>
      <c r="F4" s="24" t="s">
        <v>160</v>
      </c>
      <c r="G4" s="12">
        <v>88</v>
      </c>
      <c r="H4" s="88">
        <f>IF(B$20=0,0,G4/B$20)</f>
        <v>0.46560846560846558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2280.3278688524592</v>
      </c>
      <c r="Q4" s="77">
        <v>61</v>
      </c>
      <c r="R4" s="64">
        <v>139100</v>
      </c>
    </row>
    <row r="5" spans="1:18" x14ac:dyDescent="0.4">
      <c r="A5" s="19" t="s">
        <v>7</v>
      </c>
      <c r="B5" s="133">
        <f>IF(B$2=0,0,B$4/B$2)</f>
        <v>6.4843749999999991</v>
      </c>
      <c r="C5" s="134"/>
      <c r="E5" s="27" t="s">
        <v>64</v>
      </c>
      <c r="F5" s="24" t="s">
        <v>20</v>
      </c>
      <c r="G5" s="12">
        <v>64</v>
      </c>
      <c r="H5" s="88">
        <f>IF(B$20=0,0,G5/B$20)</f>
        <v>0.33862433862433861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2056.1403508771928</v>
      </c>
      <c r="Q5" s="77">
        <v>57</v>
      </c>
      <c r="R5" s="64">
        <v>117200</v>
      </c>
    </row>
    <row r="6" spans="1:18" x14ac:dyDescent="0.4">
      <c r="A6" s="19" t="s">
        <v>196</v>
      </c>
      <c r="B6" s="137">
        <v>1609.1058701799038</v>
      </c>
      <c r="C6" s="138"/>
      <c r="E6" s="27" t="s">
        <v>68</v>
      </c>
      <c r="F6" s="24" t="s">
        <v>12</v>
      </c>
      <c r="G6" s="12">
        <v>45</v>
      </c>
      <c r="H6" s="88">
        <f>IF(B$20=0,0,G6/B$20)</f>
        <v>0.23809523809523808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-24.528301886792452</v>
      </c>
      <c r="Q6" s="77">
        <v>53</v>
      </c>
      <c r="R6" s="64">
        <v>-1300</v>
      </c>
    </row>
    <row r="7" spans="1:18" x14ac:dyDescent="0.4">
      <c r="A7" s="19" t="s">
        <v>1</v>
      </c>
      <c r="B7" s="147">
        <f>IF(B$2=0,0,(B$8*1+B$9*2+B$10*3)/B$2)</f>
        <v>1.828125</v>
      </c>
      <c r="C7" s="148"/>
      <c r="E7" s="27" t="s">
        <v>67</v>
      </c>
      <c r="F7" s="24" t="s">
        <v>23</v>
      </c>
      <c r="G7" s="12">
        <v>26</v>
      </c>
      <c r="H7" s="88">
        <f>IF(B$20=0,0,G7/B$20)</f>
        <v>0.13756613756613756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-390.69767441860466</v>
      </c>
      <c r="Q7" s="78">
        <v>43</v>
      </c>
      <c r="R7" s="65">
        <v>-16800</v>
      </c>
    </row>
    <row r="8" spans="1:18" x14ac:dyDescent="0.4">
      <c r="A8" s="19" t="s">
        <v>2</v>
      </c>
      <c r="B8" s="12">
        <v>26</v>
      </c>
      <c r="C8" s="6">
        <f t="shared" ref="C8:C15" si="1">IF(B$2=0,0,B8/B$2)</f>
        <v>0.40625</v>
      </c>
      <c r="E8" s="27" t="s">
        <v>70</v>
      </c>
      <c r="F8" s="24" t="s">
        <v>25</v>
      </c>
      <c r="G8" s="12">
        <v>25</v>
      </c>
      <c r="H8" s="88">
        <f>IF(B$20=0,0,G8/B$20)</f>
        <v>0.13227513227513227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23</v>
      </c>
      <c r="C9" s="6">
        <f t="shared" si="1"/>
        <v>0.359375</v>
      </c>
      <c r="E9" s="27" t="s">
        <v>89</v>
      </c>
      <c r="F9" s="24" t="s">
        <v>44</v>
      </c>
      <c r="G9" s="12">
        <v>23</v>
      </c>
      <c r="H9" s="88">
        <f>IF(B$20=0,0,G9/B$20)</f>
        <v>0.12169312169312169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0.234375</v>
      </c>
      <c r="E10" s="27" t="s">
        <v>69</v>
      </c>
      <c r="F10" s="24" t="s">
        <v>24</v>
      </c>
      <c r="G10" s="12">
        <v>19</v>
      </c>
      <c r="H10" s="88">
        <f>IF(B$20=0,0,G10/B$20)</f>
        <v>0.10052910052910052</v>
      </c>
      <c r="I10" s="58">
        <v>8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13.179166666666667</v>
      </c>
      <c r="Q10" s="76">
        <v>24</v>
      </c>
      <c r="R10" s="67">
        <v>316.3</v>
      </c>
    </row>
    <row r="11" spans="1:18" x14ac:dyDescent="0.4">
      <c r="A11" s="20" t="s">
        <v>184</v>
      </c>
      <c r="B11" s="109">
        <f>IF(B8=0,0,C11/B8)</f>
        <v>37.684615384615384</v>
      </c>
      <c r="C11" s="110">
        <v>979.80000000000007</v>
      </c>
      <c r="E11" s="27" t="s">
        <v>71</v>
      </c>
      <c r="F11" s="24" t="s">
        <v>26</v>
      </c>
      <c r="G11" s="12">
        <v>19</v>
      </c>
      <c r="H11" s="88">
        <f>IF(B$20=0,0,G11/B$20)</f>
        <v>0.10052910052910052</v>
      </c>
      <c r="I11" s="58">
        <v>3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2.6333333333333337</v>
      </c>
      <c r="Q11" s="77">
        <v>21</v>
      </c>
      <c r="R11" s="68">
        <v>55.300000000000004</v>
      </c>
    </row>
    <row r="12" spans="1:18" x14ac:dyDescent="0.4">
      <c r="A12" s="20" t="s">
        <v>185</v>
      </c>
      <c r="B12" s="109">
        <f>IF(B9=0,0,C12/B9)</f>
        <v>-2.6826086956521733</v>
      </c>
      <c r="C12" s="110">
        <v>-61.699999999999982</v>
      </c>
      <c r="E12" s="27" t="s">
        <v>65</v>
      </c>
      <c r="F12" s="24" t="s">
        <v>21</v>
      </c>
      <c r="G12" s="12">
        <v>12</v>
      </c>
      <c r="H12" s="88">
        <f>IF(B$20=0,0,G12/B$20)</f>
        <v>6.3492063492063489E-2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2.2842105263157895</v>
      </c>
      <c r="Q12" s="78">
        <v>19</v>
      </c>
      <c r="R12" s="69">
        <v>43.4</v>
      </c>
    </row>
    <row r="13" spans="1:18" x14ac:dyDescent="0.4">
      <c r="A13" s="20" t="s">
        <v>186</v>
      </c>
      <c r="B13" s="109">
        <f>IF(B10=0,0,C13/B10)</f>
        <v>-33.54</v>
      </c>
      <c r="C13" s="110">
        <v>-503.09999999999997</v>
      </c>
      <c r="E13" s="27" t="s">
        <v>83</v>
      </c>
      <c r="F13" s="24" t="s">
        <v>38</v>
      </c>
      <c r="G13" s="12">
        <v>8</v>
      </c>
      <c r="H13" s="88">
        <f>IF(B$20=0,0,G13/B$20)</f>
        <v>4.2328042328042326E-2</v>
      </c>
      <c r="I13" s="58">
        <v>9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0.48733556298773806</v>
      </c>
      <c r="C14" s="134"/>
      <c r="E14" s="27" t="s">
        <v>86</v>
      </c>
      <c r="F14" s="24" t="s">
        <v>41</v>
      </c>
      <c r="G14" s="12">
        <v>7</v>
      </c>
      <c r="H14" s="88">
        <f>IF(B$20=0,0,G14/B$20)</f>
        <v>3.7037037037037035E-2</v>
      </c>
      <c r="I14" s="58">
        <v>8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6.25E-2</v>
      </c>
      <c r="E15" s="27" t="s">
        <v>78</v>
      </c>
      <c r="F15" s="24" t="s">
        <v>33</v>
      </c>
      <c r="G15" s="12">
        <v>4</v>
      </c>
      <c r="H15" s="88">
        <f>IF(B$20=0,0,G15/B$20)</f>
        <v>2.1164021164021163E-2</v>
      </c>
      <c r="I15" s="58">
        <v>9</v>
      </c>
      <c r="K15" s="74">
        <v>13</v>
      </c>
      <c r="L15" s="119">
        <v>-48.5</v>
      </c>
      <c r="M15" s="117">
        <v>1514.0489698444221</v>
      </c>
      <c r="O15" s="73" t="s">
        <v>216</v>
      </c>
      <c r="P15" s="82">
        <f t="shared" ref="P15:P23" si="2">IF(Q15=0,0,R15/Q15)</f>
        <v>35.1</v>
      </c>
      <c r="Q15" s="76">
        <v>1</v>
      </c>
      <c r="R15" s="67">
        <v>35.1</v>
      </c>
    </row>
    <row r="16" spans="1:18" x14ac:dyDescent="0.4">
      <c r="A16" s="22" t="s">
        <v>121</v>
      </c>
      <c r="B16" s="15">
        <v>117</v>
      </c>
      <c r="C16" s="10">
        <f>IF(B$3=0,0,B16/B$3)</f>
        <v>0.21428571428571427</v>
      </c>
      <c r="E16" s="27" t="s">
        <v>81</v>
      </c>
      <c r="F16" s="24" t="s">
        <v>36</v>
      </c>
      <c r="G16" s="12">
        <v>4</v>
      </c>
      <c r="H16" s="88">
        <f>IF(B$20=0,0,G16/B$20)</f>
        <v>2.1164021164021163E-2</v>
      </c>
      <c r="I16" s="58">
        <v>10</v>
      </c>
      <c r="K16" s="74">
        <v>14</v>
      </c>
      <c r="L16" s="119">
        <v>-20.2</v>
      </c>
      <c r="M16" s="117">
        <v>1519.0406760253557</v>
      </c>
      <c r="O16" s="74" t="s">
        <v>195</v>
      </c>
      <c r="P16" s="83">
        <f t="shared" si="2"/>
        <v>32.123076923076923</v>
      </c>
      <c r="Q16" s="77">
        <v>13</v>
      </c>
      <c r="R16" s="68">
        <v>417.6</v>
      </c>
    </row>
    <row r="17" spans="1:18" x14ac:dyDescent="0.4">
      <c r="A17" s="19" t="s">
        <v>118</v>
      </c>
      <c r="B17" s="12">
        <v>150</v>
      </c>
      <c r="C17" s="6">
        <f>IF(B$3=0,0,B17/B$3)</f>
        <v>0.27472527472527475</v>
      </c>
      <c r="E17" s="27" t="s">
        <v>79</v>
      </c>
      <c r="F17" s="24" t="s">
        <v>34</v>
      </c>
      <c r="G17" s="12">
        <v>3</v>
      </c>
      <c r="H17" s="88">
        <f>IF(B$20=0,0,G17/B$20)</f>
        <v>1.5873015873015872E-2</v>
      </c>
      <c r="I17" s="58">
        <v>3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64</v>
      </c>
      <c r="C18" s="5">
        <f>IF(B$16=0,0,B18/B$16)</f>
        <v>0.54700854700854706</v>
      </c>
      <c r="E18" s="27" t="s">
        <v>155</v>
      </c>
      <c r="F18" s="24" t="s">
        <v>156</v>
      </c>
      <c r="G18" s="12">
        <v>2</v>
      </c>
      <c r="H18" s="88">
        <f>IF(B$20=0,0,G18/B$20)</f>
        <v>1.0582010582010581E-2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66</v>
      </c>
      <c r="C19" s="5">
        <f>IF(B$17=0,0,B19/B$17)</f>
        <v>0.44</v>
      </c>
      <c r="E19" s="27" t="s">
        <v>73</v>
      </c>
      <c r="F19" s="24" t="s">
        <v>28</v>
      </c>
      <c r="G19" s="12">
        <v>1</v>
      </c>
      <c r="H19" s="88">
        <f>IF(B$20=0,0,G19/B$20)</f>
        <v>5.2910052910052907E-3</v>
      </c>
      <c r="I19" s="58">
        <v>6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189</v>
      </c>
      <c r="C20" s="5">
        <f>IF(B$3=0,0,B20/B$3)</f>
        <v>0.34615384615384615</v>
      </c>
      <c r="E20" s="27" t="s">
        <v>88</v>
      </c>
      <c r="F20" s="24" t="s">
        <v>43</v>
      </c>
      <c r="G20" s="12">
        <v>1</v>
      </c>
      <c r="H20" s="88">
        <f>IF(B$20=0,0,G20/B$20)</f>
        <v>5.2910052910052907E-3</v>
      </c>
      <c r="I20" s="58">
        <v>3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12.989473684210525</v>
      </c>
      <c r="Q20" s="77">
        <v>19</v>
      </c>
      <c r="R20" s="68">
        <v>246.79999999999998</v>
      </c>
    </row>
    <row r="21" spans="1:18" x14ac:dyDescent="0.4">
      <c r="A21" s="19" t="s">
        <v>13</v>
      </c>
      <c r="B21" s="12">
        <v>66</v>
      </c>
      <c r="C21" s="6">
        <f>IF(B$3=0,0,B21/B$3)</f>
        <v>0.12087912087912088</v>
      </c>
      <c r="E21" s="27" t="s">
        <v>90</v>
      </c>
      <c r="F21" s="24" t="s">
        <v>45</v>
      </c>
      <c r="G21" s="12">
        <v>1</v>
      </c>
      <c r="H21" s="88">
        <f>IF(B$20=0,0,G21/B$20)</f>
        <v>5.2910052910052907E-3</v>
      </c>
      <c r="I21" s="58">
        <v>2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6.8464285714285698</v>
      </c>
      <c r="Q21" s="77">
        <v>56</v>
      </c>
      <c r="R21" s="68">
        <v>383.39999999999992</v>
      </c>
    </row>
    <row r="22" spans="1:18" x14ac:dyDescent="0.4">
      <c r="A22" s="19" t="s">
        <v>12</v>
      </c>
      <c r="B22" s="12">
        <v>74</v>
      </c>
      <c r="C22" s="6">
        <f>IF(B$20=0,0,B22/B$20)</f>
        <v>0.39153439153439151</v>
      </c>
      <c r="E22" s="27" t="s">
        <v>92</v>
      </c>
      <c r="F22" s="24" t="s">
        <v>47</v>
      </c>
      <c r="G22" s="12">
        <v>1</v>
      </c>
      <c r="H22" s="88">
        <f>IF(B$20=0,0,G22/B$20)</f>
        <v>5.2910052910052907E-3</v>
      </c>
      <c r="I22" s="58">
        <v>2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115</v>
      </c>
      <c r="C23" s="6">
        <f>IF(B$20=0,0,B23/B$20)</f>
        <v>0.60846560846560849</v>
      </c>
      <c r="E23" s="27" t="s">
        <v>102</v>
      </c>
      <c r="F23" s="24" t="s">
        <v>57</v>
      </c>
      <c r="G23" s="12">
        <v>1</v>
      </c>
      <c r="H23" s="88">
        <f>IF(B$20=0,0,G23/B$20)</f>
        <v>5.2910052910052907E-3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-26.462500000000002</v>
      </c>
      <c r="Q23" s="77">
        <v>8</v>
      </c>
      <c r="R23" s="68">
        <v>-211.70000000000002</v>
      </c>
    </row>
    <row r="24" spans="1:18" x14ac:dyDescent="0.4">
      <c r="A24" s="19" t="s">
        <v>183</v>
      </c>
      <c r="B24" s="12">
        <v>64</v>
      </c>
      <c r="C24" s="6">
        <f>IF(B$20=0,0,B24/B$20)</f>
        <v>0.33862433862433861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66</v>
      </c>
      <c r="C25" s="6">
        <f>IF(B$20=0,0,B25/B$20)</f>
        <v>0.34920634920634919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59</v>
      </c>
      <c r="C26" s="6">
        <f>IF(B$20=0,0,B26/B$20)</f>
        <v>0.31216931216931215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7403.7037037037035</v>
      </c>
      <c r="C27" s="8">
        <v>1399300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8339.8373983739839</v>
      </c>
      <c r="C28" s="96">
        <v>1025800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5659.090909090909</v>
      </c>
      <c r="C29" s="96">
        <v>373500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-7636.363636363636</v>
      </c>
      <c r="C30" s="96">
        <v>-504000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2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100700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15</v>
      </c>
      <c r="C37" s="98">
        <f t="shared" ref="C37:C49" si="3">IF(B$20=0,0,B37/B$20)</f>
        <v>7.9365079365079361E-2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48</v>
      </c>
      <c r="C38" s="6">
        <f t="shared" si="3"/>
        <v>0.25396825396825395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40</v>
      </c>
      <c r="C39" s="6">
        <f t="shared" si="3"/>
        <v>0.21164021164021163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31</v>
      </c>
      <c r="C40" s="6">
        <f t="shared" si="3"/>
        <v>0.16402116402116401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28</v>
      </c>
      <c r="C41" s="6">
        <f t="shared" si="3"/>
        <v>0.14814814814814814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9</v>
      </c>
      <c r="C42" s="6">
        <f t="shared" si="3"/>
        <v>4.7619047619047616E-2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9</v>
      </c>
      <c r="C43" s="6">
        <f t="shared" si="3"/>
        <v>4.7619047619047616E-2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3</v>
      </c>
      <c r="C44" s="6">
        <f t="shared" si="3"/>
        <v>1.5873015873015872E-2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1.0582010582010581E-2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2</v>
      </c>
      <c r="C46" s="6">
        <f t="shared" si="3"/>
        <v>1.0582010582010581E-2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1.0582010582010581E-2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231.29999999999993</v>
      </c>
      <c r="M52" s="117">
        <v>1575.3516706402122</v>
      </c>
    </row>
    <row r="53" spans="1:13" x14ac:dyDescent="0.4">
      <c r="K53" s="74">
        <v>51</v>
      </c>
      <c r="L53" s="119">
        <v>261.49999999999994</v>
      </c>
      <c r="M53" s="117">
        <v>1581.073560616371</v>
      </c>
    </row>
    <row r="54" spans="1:13" x14ac:dyDescent="0.4">
      <c r="K54" s="74">
        <v>52</v>
      </c>
      <c r="L54" s="119">
        <v>297.99999999999994</v>
      </c>
      <c r="M54" s="117">
        <v>1588.0331192526728</v>
      </c>
    </row>
    <row r="55" spans="1:13" x14ac:dyDescent="0.4">
      <c r="K55" s="74">
        <v>53</v>
      </c>
      <c r="L55" s="119">
        <v>300.39999999999992</v>
      </c>
      <c r="M55" s="117">
        <v>1588.8129205371567</v>
      </c>
    </row>
    <row r="56" spans="1:13" x14ac:dyDescent="0.4">
      <c r="K56" s="74">
        <v>54</v>
      </c>
      <c r="L56" s="119">
        <v>306.09999999999991</v>
      </c>
      <c r="M56" s="117">
        <v>1590.1820430139337</v>
      </c>
    </row>
    <row r="57" spans="1:13" x14ac:dyDescent="0.4">
      <c r="K57" s="74">
        <v>55</v>
      </c>
      <c r="L57" s="119">
        <v>307.09999999999991</v>
      </c>
      <c r="M57" s="117">
        <v>1590.6969507558501</v>
      </c>
    </row>
    <row r="58" spans="1:13" x14ac:dyDescent="0.4">
      <c r="K58" s="74">
        <v>56</v>
      </c>
      <c r="L58" s="119">
        <v>275.2999999999999</v>
      </c>
      <c r="M58" s="117">
        <v>1585.3047690513151</v>
      </c>
    </row>
    <row r="59" spans="1:13" x14ac:dyDescent="0.4">
      <c r="K59" s="74">
        <v>57</v>
      </c>
      <c r="L59" s="119">
        <v>302.19999999999987</v>
      </c>
      <c r="M59" s="117">
        <v>1590.0609404370073</v>
      </c>
    </row>
    <row r="60" spans="1:13" x14ac:dyDescent="0.4">
      <c r="K60" s="74">
        <v>58</v>
      </c>
      <c r="L60" s="119">
        <v>359.19999999999987</v>
      </c>
      <c r="M60" s="117">
        <v>1600.2065747943852</v>
      </c>
    </row>
    <row r="61" spans="1:13" x14ac:dyDescent="0.4">
      <c r="K61" s="74">
        <v>59</v>
      </c>
      <c r="L61" s="119">
        <v>367.49999999999989</v>
      </c>
      <c r="M61" s="117">
        <v>1601.5253353456189</v>
      </c>
    </row>
    <row r="62" spans="1:13" x14ac:dyDescent="0.4">
      <c r="K62" s="74">
        <v>60</v>
      </c>
      <c r="L62" s="119">
        <v>370.09999999999991</v>
      </c>
      <c r="M62" s="117">
        <v>1601.8101833335452</v>
      </c>
    </row>
    <row r="63" spans="1:13" x14ac:dyDescent="0.4">
      <c r="K63" s="74">
        <v>61</v>
      </c>
      <c r="L63" s="119">
        <v>326.19999999999993</v>
      </c>
      <c r="M63" s="117">
        <v>1593.723322233544</v>
      </c>
    </row>
    <row r="64" spans="1:13" x14ac:dyDescent="0.4">
      <c r="K64" s="74">
        <v>62</v>
      </c>
      <c r="L64" s="119">
        <v>401.89999999999992</v>
      </c>
      <c r="M64" s="117">
        <v>1607.2129823001428</v>
      </c>
    </row>
    <row r="65" spans="11:13" x14ac:dyDescent="0.4">
      <c r="K65" s="74">
        <v>63</v>
      </c>
      <c r="L65" s="119">
        <v>431.39999999999992</v>
      </c>
      <c r="M65" s="117">
        <v>1612.3057044063419</v>
      </c>
    </row>
    <row r="66" spans="11:13" x14ac:dyDescent="0.4">
      <c r="K66" s="74">
        <v>64</v>
      </c>
      <c r="L66" s="119">
        <v>414.99999999999994</v>
      </c>
      <c r="M66" s="117">
        <v>1609.1058701799038</v>
      </c>
    </row>
  </sheetData>
  <sortState xmlns:xlrd2="http://schemas.microsoft.com/office/spreadsheetml/2017/richdata2" ref="E2:I67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7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4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7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10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7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10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26</v>
      </c>
      <c r="C2" s="142"/>
      <c r="E2" s="26" t="s">
        <v>66</v>
      </c>
      <c r="F2" s="23" t="s">
        <v>22</v>
      </c>
      <c r="G2" s="11">
        <v>44</v>
      </c>
      <c r="H2" s="87">
        <f>IF(B$20=0,0,G2/B$20)</f>
        <v>0.88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-84.615384615384613</v>
      </c>
      <c r="Q2" s="76">
        <v>26</v>
      </c>
      <c r="R2" s="63">
        <v>-2200</v>
      </c>
    </row>
    <row r="3" spans="1:18" x14ac:dyDescent="0.4">
      <c r="A3" s="19" t="s">
        <v>8</v>
      </c>
      <c r="B3" s="143">
        <v>226</v>
      </c>
      <c r="C3" s="144"/>
      <c r="E3" s="27" t="s">
        <v>64</v>
      </c>
      <c r="F3" s="24" t="s">
        <v>20</v>
      </c>
      <c r="G3" s="12">
        <v>31</v>
      </c>
      <c r="H3" s="88">
        <f>IF(B$20=0,0,G3/B$20)</f>
        <v>0.62</v>
      </c>
      <c r="I3" s="58">
        <v>2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466.66666666666669</v>
      </c>
      <c r="Q3" s="77">
        <v>24</v>
      </c>
      <c r="R3" s="64">
        <v>11200</v>
      </c>
    </row>
    <row r="4" spans="1:18" x14ac:dyDescent="0.4">
      <c r="A4" s="19" t="s">
        <v>6</v>
      </c>
      <c r="B4" s="145">
        <v>-267.29999999999995</v>
      </c>
      <c r="C4" s="146"/>
      <c r="E4" s="27" t="s">
        <v>159</v>
      </c>
      <c r="F4" s="24" t="s">
        <v>160</v>
      </c>
      <c r="G4" s="12">
        <v>28</v>
      </c>
      <c r="H4" s="88">
        <f>IF(B$20=0,0,G4/B$20)</f>
        <v>0.56000000000000005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-2196</v>
      </c>
      <c r="Q4" s="77">
        <v>25</v>
      </c>
      <c r="R4" s="64">
        <v>-54900</v>
      </c>
    </row>
    <row r="5" spans="1:18" x14ac:dyDescent="0.4">
      <c r="A5" s="19" t="s">
        <v>7</v>
      </c>
      <c r="B5" s="133">
        <f>IF(B$2=0,0,B$4/B$2)</f>
        <v>-10.280769230769229</v>
      </c>
      <c r="C5" s="134"/>
      <c r="E5" s="27" t="s">
        <v>68</v>
      </c>
      <c r="F5" s="24" t="s">
        <v>12</v>
      </c>
      <c r="G5" s="12">
        <v>27</v>
      </c>
      <c r="H5" s="88">
        <f>IF(B$20=0,0,G5/B$20)</f>
        <v>0.54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-1612.5</v>
      </c>
      <c r="Q5" s="77">
        <v>24</v>
      </c>
      <c r="R5" s="64">
        <v>-38700</v>
      </c>
    </row>
    <row r="6" spans="1:18" x14ac:dyDescent="0.4">
      <c r="A6" s="19" t="s">
        <v>196</v>
      </c>
      <c r="B6" s="137">
        <v>1370.6301521015791</v>
      </c>
      <c r="C6" s="138"/>
      <c r="E6" s="27" t="s">
        <v>67</v>
      </c>
      <c r="F6" s="24" t="s">
        <v>23</v>
      </c>
      <c r="G6" s="12">
        <v>20</v>
      </c>
      <c r="H6" s="88">
        <f>IF(B$20=0,0,G6/B$20)</f>
        <v>0.4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-3047.8260869565215</v>
      </c>
      <c r="Q6" s="77">
        <v>23</v>
      </c>
      <c r="R6" s="64">
        <v>-70100</v>
      </c>
    </row>
    <row r="7" spans="1:18" x14ac:dyDescent="0.4">
      <c r="A7" s="19" t="s">
        <v>1</v>
      </c>
      <c r="B7" s="147">
        <f>IF(B$2=0,0,(B$8*1+B$9*2+B$10*3)/B$2)</f>
        <v>2.1153846153846154</v>
      </c>
      <c r="C7" s="148"/>
      <c r="E7" s="27" t="s">
        <v>72</v>
      </c>
      <c r="F7" s="24" t="s">
        <v>27</v>
      </c>
      <c r="G7" s="12">
        <v>17</v>
      </c>
      <c r="H7" s="88">
        <f>IF(B$20=0,0,G7/B$20)</f>
        <v>0.34</v>
      </c>
      <c r="I7" s="58">
        <v>12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-933.33333333333337</v>
      </c>
      <c r="Q7" s="78">
        <v>21</v>
      </c>
      <c r="R7" s="65">
        <v>-19600</v>
      </c>
    </row>
    <row r="8" spans="1:18" x14ac:dyDescent="0.4">
      <c r="A8" s="19" t="s">
        <v>2</v>
      </c>
      <c r="B8" s="12">
        <v>8</v>
      </c>
      <c r="C8" s="6">
        <f t="shared" ref="C8:C15" si="1">IF(B$2=0,0,B8/B$2)</f>
        <v>0.30769230769230771</v>
      </c>
      <c r="E8" s="27" t="s">
        <v>69</v>
      </c>
      <c r="F8" s="24" t="s">
        <v>24</v>
      </c>
      <c r="G8" s="12">
        <v>13</v>
      </c>
      <c r="H8" s="88">
        <f>IF(B$20=0,0,G8/B$20)</f>
        <v>0.26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7</v>
      </c>
      <c r="C9" s="6">
        <f t="shared" si="1"/>
        <v>0.26923076923076922</v>
      </c>
      <c r="E9" s="27" t="s">
        <v>65</v>
      </c>
      <c r="F9" s="24" t="s">
        <v>21</v>
      </c>
      <c r="G9" s="12">
        <v>8</v>
      </c>
      <c r="H9" s="88">
        <f>IF(B$20=0,0,G9/B$20)</f>
        <v>0.16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0.42307692307692307</v>
      </c>
      <c r="E10" s="27" t="s">
        <v>70</v>
      </c>
      <c r="F10" s="24" t="s">
        <v>25</v>
      </c>
      <c r="G10" s="12">
        <v>8</v>
      </c>
      <c r="H10" s="88">
        <f>IF(B$20=0,0,G10/B$20)</f>
        <v>0.16</v>
      </c>
      <c r="I10" s="58">
        <v>1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-15.342857142857143</v>
      </c>
      <c r="Q10" s="76">
        <v>7</v>
      </c>
      <c r="R10" s="67">
        <v>-107.4</v>
      </c>
    </row>
    <row r="11" spans="1:18" x14ac:dyDescent="0.4">
      <c r="A11" s="20" t="s">
        <v>184</v>
      </c>
      <c r="B11" s="109">
        <f>IF(B8=0,0,C11/B8)</f>
        <v>24.299999999999997</v>
      </c>
      <c r="C11" s="110">
        <v>194.39999999999998</v>
      </c>
      <c r="E11" s="27" t="s">
        <v>78</v>
      </c>
      <c r="F11" s="24" t="s">
        <v>33</v>
      </c>
      <c r="G11" s="12">
        <v>3</v>
      </c>
      <c r="H11" s="88">
        <f>IF(B$20=0,0,G11/B$20)</f>
        <v>0.06</v>
      </c>
      <c r="I11" s="58">
        <v>3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-7.580000000000001</v>
      </c>
      <c r="Q11" s="77">
        <v>10</v>
      </c>
      <c r="R11" s="68">
        <v>-75.800000000000011</v>
      </c>
    </row>
    <row r="12" spans="1:18" x14ac:dyDescent="0.4">
      <c r="A12" s="20" t="s">
        <v>185</v>
      </c>
      <c r="B12" s="109">
        <f>IF(B9=0,0,C12/B9)</f>
        <v>-2.4285714285714284</v>
      </c>
      <c r="C12" s="110">
        <v>-17</v>
      </c>
      <c r="E12" s="27" t="s">
        <v>89</v>
      </c>
      <c r="F12" s="24" t="s">
        <v>44</v>
      </c>
      <c r="G12" s="12">
        <v>3</v>
      </c>
      <c r="H12" s="88">
        <f>IF(B$20=0,0,G12/B$20)</f>
        <v>0.06</v>
      </c>
      <c r="I12" s="58">
        <v>11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-9.3444444444444432</v>
      </c>
      <c r="Q12" s="78">
        <v>9</v>
      </c>
      <c r="R12" s="69">
        <v>-84.1</v>
      </c>
    </row>
    <row r="13" spans="1:18" x14ac:dyDescent="0.4">
      <c r="A13" s="20" t="s">
        <v>186</v>
      </c>
      <c r="B13" s="109">
        <f>IF(B10=0,0,C13/B10)</f>
        <v>-40.427272727272729</v>
      </c>
      <c r="C13" s="110">
        <v>-444.70000000000005</v>
      </c>
      <c r="E13" s="27" t="s">
        <v>71</v>
      </c>
      <c r="F13" s="24" t="s">
        <v>26</v>
      </c>
      <c r="G13" s="12">
        <v>2</v>
      </c>
      <c r="H13" s="88">
        <f>IF(B$20=0,0,G13/B$20)</f>
        <v>0.04</v>
      </c>
      <c r="I13" s="58">
        <v>10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-6.1852813852813862</v>
      </c>
      <c r="C14" s="134"/>
      <c r="E14" s="27" t="s">
        <v>86</v>
      </c>
      <c r="F14" s="24" t="s">
        <v>41</v>
      </c>
      <c r="G14" s="12">
        <v>2</v>
      </c>
      <c r="H14" s="88">
        <f>IF(B$20=0,0,G14/B$20)</f>
        <v>0.04</v>
      </c>
      <c r="I14" s="58">
        <v>7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0.19230769230769232</v>
      </c>
      <c r="E15" s="27" t="s">
        <v>73</v>
      </c>
      <c r="F15" s="24" t="s">
        <v>28</v>
      </c>
      <c r="G15" s="12">
        <v>1</v>
      </c>
      <c r="H15" s="88">
        <f>IF(B$20=0,0,G15/B$20)</f>
        <v>0.02</v>
      </c>
      <c r="I15" s="58">
        <v>1</v>
      </c>
      <c r="K15" s="74">
        <v>13</v>
      </c>
      <c r="L15" s="119">
        <v>-75.599999999999994</v>
      </c>
      <c r="M15" s="117">
        <v>1390.8671400806311</v>
      </c>
      <c r="O15" s="73" t="s">
        <v>221</v>
      </c>
      <c r="P15" s="82">
        <f>IF(Q15=0,0,R15/Q15)</f>
        <v>3.6500000000000004</v>
      </c>
      <c r="Q15" s="76">
        <v>2</v>
      </c>
      <c r="R15" s="67">
        <v>7.3000000000000007</v>
      </c>
    </row>
    <row r="16" spans="1:18" x14ac:dyDescent="0.4">
      <c r="A16" s="22" t="s">
        <v>121</v>
      </c>
      <c r="B16" s="15">
        <v>50</v>
      </c>
      <c r="C16" s="10">
        <f>IF(B$3=0,0,B16/B$3)</f>
        <v>0.22123893805309736</v>
      </c>
      <c r="E16" s="27" t="s">
        <v>75</v>
      </c>
      <c r="F16" s="24" t="s">
        <v>30</v>
      </c>
      <c r="G16" s="12">
        <v>1</v>
      </c>
      <c r="H16" s="88">
        <f>IF(B$20=0,0,G16/B$20)</f>
        <v>0.02</v>
      </c>
      <c r="I16" s="58">
        <v>1</v>
      </c>
      <c r="K16" s="74">
        <v>14</v>
      </c>
      <c r="L16" s="119">
        <v>-72.599999999999994</v>
      </c>
      <c r="M16" s="117">
        <v>1392.4879372401474</v>
      </c>
      <c r="O16" s="74" t="s">
        <v>211</v>
      </c>
      <c r="P16" s="83">
        <f>IF(Q16=0,0,R16/Q16)</f>
        <v>3.0750000000000011</v>
      </c>
      <c r="Q16" s="77">
        <v>4</v>
      </c>
      <c r="R16" s="68">
        <v>12.300000000000004</v>
      </c>
    </row>
    <row r="17" spans="1:18" x14ac:dyDescent="0.4">
      <c r="A17" s="19" t="s">
        <v>118</v>
      </c>
      <c r="B17" s="12">
        <v>25</v>
      </c>
      <c r="C17" s="6">
        <f>IF(B$3=0,0,B17/B$3)</f>
        <v>0.11061946902654868</v>
      </c>
      <c r="E17" s="27" t="s">
        <v>81</v>
      </c>
      <c r="F17" s="24" t="s">
        <v>36</v>
      </c>
      <c r="G17" s="12">
        <v>1</v>
      </c>
      <c r="H17" s="88">
        <f>IF(B$20=0,0,G17/B$20)</f>
        <v>0.02</v>
      </c>
      <c r="I17" s="58">
        <v>11</v>
      </c>
      <c r="K17" s="74">
        <v>15</v>
      </c>
      <c r="L17" s="119">
        <v>-123.19999999999999</v>
      </c>
      <c r="M17" s="117">
        <v>1384.5710096167065</v>
      </c>
      <c r="O17" s="74" t="s">
        <v>163</v>
      </c>
      <c r="P17" s="83">
        <f>IF(Q17=0,0,R17/Q17)</f>
        <v>0.22000000000000314</v>
      </c>
      <c r="Q17" s="77">
        <v>5</v>
      </c>
      <c r="R17" s="68">
        <v>1.1000000000000156</v>
      </c>
    </row>
    <row r="18" spans="1:18" x14ac:dyDescent="0.4">
      <c r="A18" s="18" t="s">
        <v>123</v>
      </c>
      <c r="B18" s="11">
        <f>B24</f>
        <v>31</v>
      </c>
      <c r="C18" s="5">
        <f>IF(B$16=0,0,B18/B$16)</f>
        <v>0.62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190</v>
      </c>
      <c r="P18" s="83">
        <f>IF(Q18=0,0,R18/Q18)</f>
        <v>-3.9500000000000011</v>
      </c>
      <c r="Q18" s="77">
        <v>4</v>
      </c>
      <c r="R18" s="68">
        <v>-15.800000000000004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  <c r="K19" s="74">
        <v>17</v>
      </c>
      <c r="L19" s="119">
        <v>-126.1</v>
      </c>
      <c r="M19" s="117">
        <v>1386.3964580576521</v>
      </c>
      <c r="O19" s="74" t="s">
        <v>126</v>
      </c>
      <c r="P19" s="83">
        <f>IF(Q19=0,0,R19/Q19)</f>
        <v>-14.3</v>
      </c>
      <c r="Q19" s="77">
        <v>20</v>
      </c>
      <c r="R19" s="68">
        <v>-286</v>
      </c>
    </row>
    <row r="20" spans="1:18" x14ac:dyDescent="0.4">
      <c r="A20" s="18" t="s">
        <v>10</v>
      </c>
      <c r="B20" s="11">
        <f>B23+B22</f>
        <v>50</v>
      </c>
      <c r="C20" s="5">
        <f>IF(B$3=0,0,B20/B$3)</f>
        <v>0.22123893805309736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5</v>
      </c>
      <c r="K20" s="74">
        <v>18</v>
      </c>
      <c r="L20" s="119">
        <v>-171.7</v>
      </c>
      <c r="M20" s="117">
        <v>1379.2960793093062</v>
      </c>
      <c r="O20" s="74" t="s">
        <v>189</v>
      </c>
      <c r="P20" s="83">
        <f>IF(Q20=0,0,R20/Q20)</f>
        <v>-25.8</v>
      </c>
      <c r="Q20" s="77">
        <v>4</v>
      </c>
      <c r="R20" s="68">
        <v>-103.2</v>
      </c>
    </row>
    <row r="21" spans="1:18" x14ac:dyDescent="0.4">
      <c r="A21" s="19" t="s">
        <v>13</v>
      </c>
      <c r="B21" s="12">
        <v>41</v>
      </c>
      <c r="C21" s="6">
        <f>IF(B$3=0,0,B21/B$3)</f>
        <v>0.18141592920353983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  <c r="K21" s="74">
        <v>19</v>
      </c>
      <c r="L21" s="119">
        <v>-207.89999999999998</v>
      </c>
      <c r="M21" s="117">
        <v>1373.9303028334502</v>
      </c>
      <c r="O21" s="74" t="s">
        <v>192</v>
      </c>
      <c r="P21" s="83">
        <f>IF(Q21=0,0,R21/Q21)</f>
        <v>-32.123076923076923</v>
      </c>
      <c r="Q21" s="77">
        <v>13</v>
      </c>
      <c r="R21" s="68">
        <v>-417.6</v>
      </c>
    </row>
    <row r="22" spans="1:18" x14ac:dyDescent="0.4">
      <c r="A22" s="19" t="s">
        <v>12</v>
      </c>
      <c r="B22" s="12">
        <v>28</v>
      </c>
      <c r="C22" s="6">
        <f>IF(B$20=0,0,B22/B$20)</f>
        <v>0.56000000000000005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-187.29999999999998</v>
      </c>
      <c r="M22" s="117">
        <v>1378.8207210164496</v>
      </c>
    </row>
    <row r="23" spans="1:18" x14ac:dyDescent="0.4">
      <c r="A23" s="19" t="s">
        <v>11</v>
      </c>
      <c r="B23" s="12">
        <v>22</v>
      </c>
      <c r="C23" s="6">
        <f>IF(B$20=0,0,B23/B$20)</f>
        <v>0.44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-178.79999999999998</v>
      </c>
      <c r="M23" s="117">
        <v>1381.503796690351</v>
      </c>
    </row>
    <row r="24" spans="1:18" x14ac:dyDescent="0.4">
      <c r="A24" s="19" t="s">
        <v>183</v>
      </c>
      <c r="B24" s="12">
        <v>31</v>
      </c>
      <c r="C24" s="6">
        <f>IF(B$20=0,0,B24/B$20)</f>
        <v>0.62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11</v>
      </c>
      <c r="K24" s="74">
        <v>22</v>
      </c>
      <c r="L24" s="119">
        <v>-245.59999999999997</v>
      </c>
      <c r="M24" s="117">
        <v>1370.6167739102088</v>
      </c>
    </row>
    <row r="25" spans="1:18" x14ac:dyDescent="0.4">
      <c r="A25" s="19" t="s">
        <v>181</v>
      </c>
      <c r="B25" s="12">
        <v>5</v>
      </c>
      <c r="C25" s="6">
        <f>IF(B$20=0,0,B25/B$20)</f>
        <v>0.1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-236.09999999999997</v>
      </c>
      <c r="M25" s="117">
        <v>1373.5290732667477</v>
      </c>
    </row>
    <row r="26" spans="1:18" x14ac:dyDescent="0.4">
      <c r="A26" s="19" t="s">
        <v>182</v>
      </c>
      <c r="B26" s="12">
        <v>14</v>
      </c>
      <c r="C26" s="6">
        <f>IF(B$20=0,0,B26/B$20)</f>
        <v>0.28000000000000003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-216.59999999999997</v>
      </c>
      <c r="M26" s="117">
        <v>1378.2238988271472</v>
      </c>
    </row>
    <row r="27" spans="1:18" x14ac:dyDescent="0.4">
      <c r="A27" s="19" t="s">
        <v>5</v>
      </c>
      <c r="B27" s="16">
        <f>IF(B$20=0,0,C27/B$20)</f>
        <v>9206</v>
      </c>
      <c r="C27" s="8">
        <v>460300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-242.69999999999996</v>
      </c>
      <c r="M27" s="117">
        <v>1374.4005554341843</v>
      </c>
    </row>
    <row r="28" spans="1:18" x14ac:dyDescent="0.4">
      <c r="A28" s="20" t="s">
        <v>165</v>
      </c>
      <c r="B28" s="95">
        <f>IF($B$20-B$19=0,0,C28/($B$20-B$19))</f>
        <v>9268.8888888888887</v>
      </c>
      <c r="C28" s="96">
        <v>417100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-267.29999999999995</v>
      </c>
      <c r="M28" s="117">
        <v>1370.6301521015791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-8321.9512195121952</v>
      </c>
      <c r="C30" s="96">
        <v>-341200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4.4247787610619468E-3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3</v>
      </c>
      <c r="C37" s="98">
        <f t="shared" ref="C37:C49" si="2">IF(B$20=0,0,B37/B$20)</f>
        <v>0.06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2"/>
        <v>0.1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8</v>
      </c>
      <c r="C39" s="6">
        <f t="shared" si="2"/>
        <v>0.16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12</v>
      </c>
      <c r="C40" s="6">
        <f t="shared" si="2"/>
        <v>0.24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10</v>
      </c>
      <c r="C41" s="6">
        <f t="shared" si="2"/>
        <v>0.2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6</v>
      </c>
      <c r="C42" s="6">
        <f t="shared" si="2"/>
        <v>0.12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0.04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2"/>
        <v>0.06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1</v>
      </c>
      <c r="C47" s="6">
        <f t="shared" si="2"/>
        <v>0.02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10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10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6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6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7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10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2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  <row r="20" spans="1:16" x14ac:dyDescent="0.4">
      <c r="A20" s="33">
        <v>17</v>
      </c>
      <c r="B20" s="30">
        <v>-126.1</v>
      </c>
      <c r="C20" s="30">
        <v>-7.4176470588235288</v>
      </c>
      <c r="D20" s="35">
        <v>2.0588235294117645</v>
      </c>
      <c r="E20" s="31">
        <v>0.35294117647058826</v>
      </c>
      <c r="F20" s="31">
        <v>0.41176470588235292</v>
      </c>
      <c r="G20" s="31">
        <v>0.24183006535947713</v>
      </c>
      <c r="H20" s="31">
        <v>0.16339869281045752</v>
      </c>
      <c r="I20" s="32">
        <v>8921.6216216216217</v>
      </c>
      <c r="J20" s="32">
        <v>-7868</v>
      </c>
      <c r="K20" s="31">
        <v>0.17647058823529413</v>
      </c>
      <c r="L20" s="31">
        <v>0.23529411764705882</v>
      </c>
      <c r="M20" s="31">
        <v>0.13071895424836602</v>
      </c>
      <c r="N20" s="31">
        <v>0.63888888888888884</v>
      </c>
      <c r="O20" s="31">
        <v>0.25</v>
      </c>
      <c r="P20" s="31">
        <v>0.56756756756756754</v>
      </c>
    </row>
    <row r="21" spans="1:16" x14ac:dyDescent="0.4">
      <c r="A21" s="33">
        <v>18</v>
      </c>
      <c r="B21" s="30">
        <v>-171.7</v>
      </c>
      <c r="C21" s="30">
        <v>-9.5388888888888879</v>
      </c>
      <c r="D21" s="35">
        <v>2.1111111111111112</v>
      </c>
      <c r="E21" s="31">
        <v>0.33333333333333331</v>
      </c>
      <c r="F21" s="31">
        <v>0.44444444444444442</v>
      </c>
      <c r="G21" s="31">
        <v>0.23125000000000001</v>
      </c>
      <c r="H21" s="31">
        <v>0.18124999999999999</v>
      </c>
      <c r="I21" s="32">
        <v>8921.6216216216217</v>
      </c>
      <c r="J21" s="32">
        <v>-7493.1034482758623</v>
      </c>
      <c r="K21" s="31">
        <v>0.22222222222222221</v>
      </c>
      <c r="L21" s="31">
        <v>0.22500000000000001</v>
      </c>
      <c r="M21" s="31">
        <v>0.125</v>
      </c>
      <c r="N21" s="31">
        <v>0.63888888888888884</v>
      </c>
      <c r="O21" s="31">
        <v>0.25</v>
      </c>
      <c r="P21" s="31">
        <v>0.56756756756756754</v>
      </c>
    </row>
    <row r="22" spans="1:16" x14ac:dyDescent="0.4">
      <c r="A22" s="33">
        <v>19</v>
      </c>
      <c r="B22" s="30">
        <v>-207.89999999999998</v>
      </c>
      <c r="C22" s="30">
        <v>-10.942105263157893</v>
      </c>
      <c r="D22" s="35">
        <v>2.1578947368421053</v>
      </c>
      <c r="E22" s="31">
        <v>0.31578947368421051</v>
      </c>
      <c r="F22" s="31">
        <v>0.47368421052631576</v>
      </c>
      <c r="G22" s="31">
        <v>0.23809523809523808</v>
      </c>
      <c r="H22" s="31">
        <v>0.17857142857142858</v>
      </c>
      <c r="I22" s="32">
        <v>8535</v>
      </c>
      <c r="J22" s="32">
        <v>-8310</v>
      </c>
      <c r="K22" s="31">
        <v>0.21052631578947367</v>
      </c>
      <c r="L22" s="31">
        <v>0.22619047619047619</v>
      </c>
      <c r="M22" s="31">
        <v>0.125</v>
      </c>
      <c r="N22" s="31">
        <v>0.65789473684210531</v>
      </c>
      <c r="O22" s="31">
        <v>0.23809523809523808</v>
      </c>
      <c r="P22" s="31">
        <v>0.55000000000000004</v>
      </c>
    </row>
    <row r="23" spans="1:16" x14ac:dyDescent="0.4">
      <c r="A23" s="33">
        <v>20</v>
      </c>
      <c r="B23" s="30">
        <v>-187.29999999999998</v>
      </c>
      <c r="C23" s="30">
        <v>-9.3649999999999984</v>
      </c>
      <c r="D23" s="35">
        <v>2.1</v>
      </c>
      <c r="E23" s="31">
        <v>0.35</v>
      </c>
      <c r="F23" s="31">
        <v>0.45</v>
      </c>
      <c r="G23" s="31">
        <v>0.23595505617977527</v>
      </c>
      <c r="H23" s="31">
        <v>0.1797752808988764</v>
      </c>
      <c r="I23" s="32">
        <v>9080.9523809523816</v>
      </c>
      <c r="J23" s="32">
        <v>-8071.875</v>
      </c>
      <c r="K23" s="31">
        <v>0.2</v>
      </c>
      <c r="L23" s="31">
        <v>0.2247191011235955</v>
      </c>
      <c r="M23" s="31">
        <v>0.12359550561797752</v>
      </c>
      <c r="N23" s="31">
        <v>0.65</v>
      </c>
      <c r="O23" s="31">
        <v>0.22727272727272727</v>
      </c>
      <c r="P23" s="31">
        <v>0.5714285714285714</v>
      </c>
    </row>
    <row r="24" spans="1:16" x14ac:dyDescent="0.4">
      <c r="A24" s="33">
        <v>21</v>
      </c>
      <c r="B24" s="30">
        <v>-178.79999999999998</v>
      </c>
      <c r="C24" s="30">
        <v>-8.5142857142857142</v>
      </c>
      <c r="D24" s="35">
        <v>2.0952380952380953</v>
      </c>
      <c r="E24" s="31">
        <v>0.33333333333333331</v>
      </c>
      <c r="F24" s="31">
        <v>0.42857142857142855</v>
      </c>
      <c r="G24" s="31">
        <v>0.23529411764705882</v>
      </c>
      <c r="H24" s="31">
        <v>0.17112299465240641</v>
      </c>
      <c r="I24" s="32">
        <v>9159.0909090909099</v>
      </c>
      <c r="J24" s="32">
        <v>-8071.875</v>
      </c>
      <c r="K24" s="31">
        <v>0.19047619047619047</v>
      </c>
      <c r="L24" s="31">
        <v>0.21925133689839571</v>
      </c>
      <c r="M24" s="31">
        <v>0.12299465240641712</v>
      </c>
      <c r="N24" s="31">
        <v>0.65853658536585369</v>
      </c>
      <c r="O24" s="31">
        <v>0.21739130434782608</v>
      </c>
      <c r="P24" s="31">
        <v>0.56818181818181823</v>
      </c>
    </row>
    <row r="25" spans="1:16" x14ac:dyDescent="0.4">
      <c r="A25" s="33">
        <v>22</v>
      </c>
      <c r="B25" s="30">
        <v>-245.59999999999997</v>
      </c>
      <c r="C25" s="30">
        <v>-11.163636363636362</v>
      </c>
      <c r="D25" s="35">
        <v>2.1363636363636362</v>
      </c>
      <c r="E25" s="31">
        <v>0.31818181818181818</v>
      </c>
      <c r="F25" s="31">
        <v>0.45454545454545453</v>
      </c>
      <c r="G25" s="31">
        <v>0.22680412371134021</v>
      </c>
      <c r="H25" s="31">
        <v>0.18041237113402062</v>
      </c>
      <c r="I25" s="32">
        <v>9159.0909090909099</v>
      </c>
      <c r="J25" s="32">
        <v>-8745.7142857142862</v>
      </c>
      <c r="K25" s="31">
        <v>0.22727272727272727</v>
      </c>
      <c r="L25" s="31">
        <v>0.21134020618556701</v>
      </c>
      <c r="M25" s="31">
        <v>0.11855670103092783</v>
      </c>
      <c r="N25" s="31">
        <v>0.65853658536585369</v>
      </c>
      <c r="O25" s="31">
        <v>0.21739130434782608</v>
      </c>
      <c r="P25" s="31">
        <v>0.56818181818181823</v>
      </c>
    </row>
    <row r="26" spans="1:16" x14ac:dyDescent="0.4">
      <c r="A26" s="33">
        <v>23</v>
      </c>
      <c r="B26" s="30">
        <v>-236.09999999999997</v>
      </c>
      <c r="C26" s="30">
        <v>-10.265217391304347</v>
      </c>
      <c r="D26" s="35">
        <v>2.1304347826086958</v>
      </c>
      <c r="E26" s="31">
        <v>0.30434782608695654</v>
      </c>
      <c r="F26" s="31">
        <v>0.43478260869565216</v>
      </c>
      <c r="G26" s="31">
        <v>0.23</v>
      </c>
      <c r="H26" s="31">
        <v>0.17499999999999999</v>
      </c>
      <c r="I26" s="32">
        <v>9195.652173913044</v>
      </c>
      <c r="J26" s="32">
        <v>-8745.7142857142862</v>
      </c>
      <c r="K26" s="31">
        <v>0.21739130434782608</v>
      </c>
      <c r="L26" s="31">
        <v>0.22</v>
      </c>
      <c r="M26" s="31">
        <v>0.115</v>
      </c>
      <c r="N26" s="31">
        <v>0.65909090909090906</v>
      </c>
      <c r="O26" s="31">
        <v>0.21739130434782608</v>
      </c>
      <c r="P26" s="31">
        <v>0.56521739130434778</v>
      </c>
    </row>
    <row r="27" spans="1:16" x14ac:dyDescent="0.4">
      <c r="A27" s="33">
        <v>24</v>
      </c>
      <c r="B27" s="30">
        <v>-216.59999999999997</v>
      </c>
      <c r="C27" s="30">
        <v>-9.0249999999999986</v>
      </c>
      <c r="D27" s="35">
        <v>2.0833333333333335</v>
      </c>
      <c r="E27" s="31">
        <v>0.33333333333333331</v>
      </c>
      <c r="F27" s="31">
        <v>0.41666666666666669</v>
      </c>
      <c r="G27" s="31">
        <v>0.23076923076923078</v>
      </c>
      <c r="H27" s="31">
        <v>0.17307692307692307</v>
      </c>
      <c r="I27" s="32">
        <v>9089.5833333333339</v>
      </c>
      <c r="J27" s="32">
        <v>-8538.8888888888887</v>
      </c>
      <c r="K27" s="31">
        <v>0.20833333333333334</v>
      </c>
      <c r="L27" s="31">
        <v>0.22115384615384615</v>
      </c>
      <c r="M27" s="31">
        <v>0.11538461538461539</v>
      </c>
      <c r="N27" s="31">
        <v>0.65217391304347827</v>
      </c>
      <c r="O27" s="31">
        <v>0.20833333333333334</v>
      </c>
      <c r="P27" s="31">
        <v>0.54166666666666663</v>
      </c>
    </row>
    <row r="28" spans="1:16" x14ac:dyDescent="0.4">
      <c r="A28" s="33">
        <v>25</v>
      </c>
      <c r="B28" s="30">
        <v>-242.69999999999996</v>
      </c>
      <c r="C28" s="30">
        <v>-9.7079999999999984</v>
      </c>
      <c r="D28" s="35">
        <v>2.08</v>
      </c>
      <c r="E28" s="31">
        <v>0.32</v>
      </c>
      <c r="F28" s="31">
        <v>0.4</v>
      </c>
      <c r="G28" s="31">
        <v>0.22119815668202766</v>
      </c>
      <c r="H28" s="31">
        <v>0.17972350230414746</v>
      </c>
      <c r="I28" s="32">
        <v>9089.5833333333339</v>
      </c>
      <c r="J28" s="32">
        <v>-8307.6923076923085</v>
      </c>
      <c r="K28" s="31">
        <v>0.2</v>
      </c>
      <c r="L28" s="31">
        <v>0.22119815668202766</v>
      </c>
      <c r="M28" s="31">
        <v>0.11059907834101383</v>
      </c>
      <c r="N28" s="31">
        <v>0.625</v>
      </c>
      <c r="O28" s="31">
        <v>0.20833333333333334</v>
      </c>
      <c r="P28" s="31">
        <v>0.54166666666666663</v>
      </c>
    </row>
    <row r="29" spans="1:16" x14ac:dyDescent="0.4">
      <c r="A29" s="33">
        <v>26</v>
      </c>
      <c r="B29" s="30">
        <v>-267.29999999999995</v>
      </c>
      <c r="C29" s="30">
        <v>-10.280769230769229</v>
      </c>
      <c r="D29" s="35">
        <v>2.1153846153846154</v>
      </c>
      <c r="E29" s="31">
        <v>0.30769230769230771</v>
      </c>
      <c r="F29" s="31">
        <v>0.42307692307692307</v>
      </c>
      <c r="G29" s="31">
        <v>0.22123893805309736</v>
      </c>
      <c r="H29" s="31">
        <v>0.18141592920353983</v>
      </c>
      <c r="I29" s="32">
        <v>9206</v>
      </c>
      <c r="J29" s="32">
        <v>-8321.9512195121952</v>
      </c>
      <c r="K29" s="31">
        <v>0.19230769230769232</v>
      </c>
      <c r="L29" s="31">
        <v>0.22123893805309736</v>
      </c>
      <c r="M29" s="31">
        <v>0.11061946902654868</v>
      </c>
      <c r="N29" s="31">
        <v>0.62</v>
      </c>
      <c r="O29" s="31">
        <v>0.2</v>
      </c>
      <c r="P29" s="31">
        <v>0.56000000000000005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6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  <row r="53" spans="1:16" x14ac:dyDescent="0.4">
      <c r="A53" s="33">
        <v>50</v>
      </c>
      <c r="B53" s="30">
        <v>231.29999999999993</v>
      </c>
      <c r="C53" s="30">
        <v>4.6259999999999986</v>
      </c>
      <c r="D53" s="35">
        <v>1.84</v>
      </c>
      <c r="E53" s="31">
        <v>0.4</v>
      </c>
      <c r="F53" s="31">
        <v>0.24</v>
      </c>
      <c r="G53" s="31">
        <v>0.32943925233644861</v>
      </c>
      <c r="H53" s="31">
        <v>0.1191588785046729</v>
      </c>
      <c r="I53" s="32">
        <v>7300</v>
      </c>
      <c r="J53" s="32">
        <v>-7507.8431372549021</v>
      </c>
      <c r="K53" s="31">
        <v>0.08</v>
      </c>
      <c r="L53" s="31">
        <v>0.19859813084112149</v>
      </c>
      <c r="M53" s="31">
        <v>0.2780373831775701</v>
      </c>
      <c r="N53" s="31">
        <v>0.52941176470588236</v>
      </c>
      <c r="O53" s="31">
        <v>0.40336134453781514</v>
      </c>
      <c r="P53" s="31">
        <v>0.3971631205673759</v>
      </c>
    </row>
    <row r="54" spans="1:16" x14ac:dyDescent="0.4">
      <c r="A54" s="33">
        <v>51</v>
      </c>
      <c r="B54" s="30">
        <v>261.49999999999994</v>
      </c>
      <c r="C54" s="30">
        <v>5.1274509803921555</v>
      </c>
      <c r="D54" s="35">
        <v>1.8235294117647058</v>
      </c>
      <c r="E54" s="31">
        <v>0.41176470588235292</v>
      </c>
      <c r="F54" s="31">
        <v>0.23529411764705882</v>
      </c>
      <c r="G54" s="31">
        <v>0.33179723502304148</v>
      </c>
      <c r="H54" s="31">
        <v>0.11751152073732719</v>
      </c>
      <c r="I54" s="32">
        <v>7267.3611111111113</v>
      </c>
      <c r="J54" s="32">
        <v>-7507.8431372549021</v>
      </c>
      <c r="K54" s="31">
        <v>7.8431372549019607E-2</v>
      </c>
      <c r="L54" s="31">
        <v>0.20046082949308755</v>
      </c>
      <c r="M54" s="31">
        <v>0.27419354838709675</v>
      </c>
      <c r="N54" s="31">
        <v>0.54022988505747127</v>
      </c>
      <c r="O54" s="31">
        <v>0.40336134453781514</v>
      </c>
      <c r="P54" s="31">
        <v>0.40277777777777779</v>
      </c>
    </row>
    <row r="55" spans="1:16" x14ac:dyDescent="0.4">
      <c r="A55" s="33">
        <v>52</v>
      </c>
      <c r="B55" s="30">
        <v>297.99999999999994</v>
      </c>
      <c r="C55" s="30">
        <v>5.7307692307692299</v>
      </c>
      <c r="D55" s="35">
        <v>1.8076923076923077</v>
      </c>
      <c r="E55" s="31">
        <v>0.42307692307692307</v>
      </c>
      <c r="F55" s="31">
        <v>0.23076923076923078</v>
      </c>
      <c r="G55" s="31">
        <v>0.3355855855855856</v>
      </c>
      <c r="H55" s="31">
        <v>0.11711711711711711</v>
      </c>
      <c r="I55" s="32">
        <v>7322.1476510067114</v>
      </c>
      <c r="J55" s="32">
        <v>-7671.1538461538457</v>
      </c>
      <c r="K55" s="31">
        <v>7.6923076923076927E-2</v>
      </c>
      <c r="L55" s="31">
        <v>0.20045045045045046</v>
      </c>
      <c r="M55" s="31">
        <v>0.2747747747747748</v>
      </c>
      <c r="N55" s="31">
        <v>0.550561797752809</v>
      </c>
      <c r="O55" s="31">
        <v>0.40163934426229508</v>
      </c>
      <c r="P55" s="31">
        <v>0.40939597315436244</v>
      </c>
    </row>
    <row r="56" spans="1:16" x14ac:dyDescent="0.4">
      <c r="A56" s="33">
        <v>53</v>
      </c>
      <c r="B56" s="30">
        <v>300.39999999999992</v>
      </c>
      <c r="C56" s="30">
        <v>5.6679245283018851</v>
      </c>
      <c r="D56" s="35">
        <v>1.8113207547169812</v>
      </c>
      <c r="E56" s="31">
        <v>0.41509433962264153</v>
      </c>
      <c r="F56" s="31">
        <v>0.22641509433962265</v>
      </c>
      <c r="G56" s="31">
        <v>0.33555555555555555</v>
      </c>
      <c r="H56" s="31">
        <v>0.12</v>
      </c>
      <c r="I56" s="32">
        <v>7384.1059602649011</v>
      </c>
      <c r="J56" s="32">
        <v>-7731.4814814814818</v>
      </c>
      <c r="K56" s="31">
        <v>7.5471698113207544E-2</v>
      </c>
      <c r="L56" s="31">
        <v>0.19777777777777777</v>
      </c>
      <c r="M56" s="31">
        <v>0.27555555555555555</v>
      </c>
      <c r="N56" s="31">
        <v>0.550561797752809</v>
      </c>
      <c r="O56" s="31">
        <v>0.40322580645161288</v>
      </c>
      <c r="P56" s="31">
        <v>0.40397350993377484</v>
      </c>
    </row>
    <row r="57" spans="1:16" x14ac:dyDescent="0.4">
      <c r="A57" s="33">
        <v>54</v>
      </c>
      <c r="B57" s="30">
        <v>306.09999999999991</v>
      </c>
      <c r="C57" s="30">
        <v>5.6685185185185167</v>
      </c>
      <c r="D57" s="35">
        <v>1.8148148148148149</v>
      </c>
      <c r="E57" s="31">
        <v>0.40740740740740738</v>
      </c>
      <c r="F57" s="31">
        <v>0.22222222222222221</v>
      </c>
      <c r="G57" s="31">
        <v>0.33839479392624727</v>
      </c>
      <c r="H57" s="31">
        <v>0.11713665943600868</v>
      </c>
      <c r="I57" s="32">
        <v>7321.7948717948721</v>
      </c>
      <c r="J57" s="32">
        <v>-7731.4814814814818</v>
      </c>
      <c r="K57" s="31">
        <v>7.407407407407407E-2</v>
      </c>
      <c r="L57" s="31">
        <v>0.19956616052060738</v>
      </c>
      <c r="M57" s="31">
        <v>0.27765726681127983</v>
      </c>
      <c r="N57" s="31">
        <v>0.54347826086956519</v>
      </c>
      <c r="O57" s="31">
        <v>0.421875</v>
      </c>
      <c r="P57" s="31">
        <v>0.40384615384615385</v>
      </c>
    </row>
    <row r="58" spans="1:16" x14ac:dyDescent="0.4">
      <c r="A58" s="33">
        <v>55</v>
      </c>
      <c r="B58" s="30">
        <v>307.09999999999991</v>
      </c>
      <c r="C58" s="30">
        <v>5.5836363636363622</v>
      </c>
      <c r="D58" s="35">
        <v>1.8181818181818181</v>
      </c>
      <c r="E58" s="31">
        <v>0.4</v>
      </c>
      <c r="F58" s="31">
        <v>0.21818181818181817</v>
      </c>
      <c r="G58" s="31">
        <v>0.33832976445396146</v>
      </c>
      <c r="H58" s="31">
        <v>0.11563169164882227</v>
      </c>
      <c r="I58" s="32">
        <v>7292.4050632911394</v>
      </c>
      <c r="J58" s="32">
        <v>-7731.4814814814818</v>
      </c>
      <c r="K58" s="31">
        <v>7.2727272727272724E-2</v>
      </c>
      <c r="L58" s="31">
        <v>0.19914346895074947</v>
      </c>
      <c r="M58" s="31">
        <v>0.27837259100642398</v>
      </c>
      <c r="N58" s="31">
        <v>0.5376344086021505</v>
      </c>
      <c r="O58" s="31">
        <v>0.43076923076923079</v>
      </c>
      <c r="P58" s="31">
        <v>0.39873417721518989</v>
      </c>
    </row>
    <row r="59" spans="1:16" x14ac:dyDescent="0.4">
      <c r="A59" s="33">
        <v>56</v>
      </c>
      <c r="B59" s="30">
        <v>275.2999999999999</v>
      </c>
      <c r="C59" s="30">
        <v>4.9160714285714269</v>
      </c>
      <c r="D59" s="35">
        <v>1.8392857142857142</v>
      </c>
      <c r="E59" s="31">
        <v>0.39285714285714285</v>
      </c>
      <c r="F59" s="31">
        <v>0.23214285714285715</v>
      </c>
      <c r="G59" s="31">
        <v>0.33540372670807456</v>
      </c>
      <c r="H59" s="31">
        <v>0.12215320910973085</v>
      </c>
      <c r="I59" s="32">
        <v>7298.7654320987658</v>
      </c>
      <c r="J59" s="32">
        <v>-7877.9661016949149</v>
      </c>
      <c r="K59" s="31">
        <v>7.1428571428571425E-2</v>
      </c>
      <c r="L59" s="31">
        <v>0.20082815734989648</v>
      </c>
      <c r="M59" s="31">
        <v>0.2691511387163561</v>
      </c>
      <c r="N59" s="31">
        <v>0.53608247422680411</v>
      </c>
      <c r="O59" s="31">
        <v>0.43076923076923079</v>
      </c>
      <c r="P59" s="31">
        <v>0.39506172839506171</v>
      </c>
    </row>
    <row r="60" spans="1:16" x14ac:dyDescent="0.4">
      <c r="A60" s="33">
        <v>57</v>
      </c>
      <c r="B60" s="30">
        <v>302.19999999999987</v>
      </c>
      <c r="C60" s="30">
        <v>5.3017543859649097</v>
      </c>
      <c r="D60" s="35">
        <v>1.8245614035087718</v>
      </c>
      <c r="E60" s="31">
        <v>0.40350877192982454</v>
      </c>
      <c r="F60" s="31">
        <v>0.22807017543859648</v>
      </c>
      <c r="G60" s="31">
        <v>0.33604887983706722</v>
      </c>
      <c r="H60" s="31">
        <v>0.12016293279022404</v>
      </c>
      <c r="I60" s="32">
        <v>7335.151515151515</v>
      </c>
      <c r="J60" s="32">
        <v>-7877.9661016949149</v>
      </c>
      <c r="K60" s="31">
        <v>7.0175438596491224E-2</v>
      </c>
      <c r="L60" s="31">
        <v>0.19755600814663951</v>
      </c>
      <c r="M60" s="31">
        <v>0.2708757637474542</v>
      </c>
      <c r="N60" s="31">
        <v>0.53608247422680411</v>
      </c>
      <c r="O60" s="31">
        <v>0.43609022556390975</v>
      </c>
      <c r="P60" s="31">
        <v>0.4</v>
      </c>
    </row>
    <row r="61" spans="1:16" x14ac:dyDescent="0.4">
      <c r="A61" s="33">
        <v>58</v>
      </c>
      <c r="B61" s="30">
        <v>359.19999999999987</v>
      </c>
      <c r="C61" s="30">
        <v>6.1931034482758598</v>
      </c>
      <c r="D61" s="35">
        <v>1.8103448275862069</v>
      </c>
      <c r="E61" s="31">
        <v>0.41379310344827586</v>
      </c>
      <c r="F61" s="31">
        <v>0.22413793103448276</v>
      </c>
      <c r="G61" s="31">
        <v>0.34337349397590361</v>
      </c>
      <c r="H61" s="31">
        <v>0.11847389558232932</v>
      </c>
      <c r="I61" s="32">
        <v>7326.3157894736842</v>
      </c>
      <c r="J61" s="32">
        <v>-7877.9661016949149</v>
      </c>
      <c r="K61" s="31">
        <v>6.8965517241379309E-2</v>
      </c>
      <c r="L61" s="31">
        <v>0.20281124497991967</v>
      </c>
      <c r="M61" s="31">
        <v>0.27108433734939757</v>
      </c>
      <c r="N61" s="31">
        <v>0.5544554455445545</v>
      </c>
      <c r="O61" s="31">
        <v>0.44444444444444442</v>
      </c>
      <c r="P61" s="31">
        <v>0.391812865497076</v>
      </c>
    </row>
    <row r="62" spans="1:16" x14ac:dyDescent="0.4">
      <c r="A62" s="33">
        <v>59</v>
      </c>
      <c r="B62" s="30">
        <v>367.49999999999989</v>
      </c>
      <c r="C62" s="30">
        <v>6.228813559322032</v>
      </c>
      <c r="D62" s="35">
        <v>1.8135593220338984</v>
      </c>
      <c r="E62" s="31">
        <v>0.40677966101694918</v>
      </c>
      <c r="F62" s="31">
        <v>0.22033898305084745</v>
      </c>
      <c r="G62" s="31">
        <v>0.34387351778656128</v>
      </c>
      <c r="H62" s="31">
        <v>0.11857707509881422</v>
      </c>
      <c r="I62" s="32">
        <v>7296.5517241379312</v>
      </c>
      <c r="J62" s="32">
        <v>-7780</v>
      </c>
      <c r="K62" s="31">
        <v>6.7796610169491525E-2</v>
      </c>
      <c r="L62" s="31">
        <v>0.2075098814229249</v>
      </c>
      <c r="M62" s="31">
        <v>0.27075098814229248</v>
      </c>
      <c r="N62" s="31">
        <v>0.55238095238095242</v>
      </c>
      <c r="O62" s="31">
        <v>0.44525547445255476</v>
      </c>
      <c r="P62" s="31">
        <v>0.39655172413793105</v>
      </c>
    </row>
    <row r="63" spans="1:16" x14ac:dyDescent="0.4">
      <c r="A63" s="33">
        <v>60</v>
      </c>
      <c r="B63" s="30">
        <v>370.09999999999991</v>
      </c>
      <c r="C63" s="30">
        <v>6.1683333333333321</v>
      </c>
      <c r="D63" s="35">
        <v>1.8166666666666667</v>
      </c>
      <c r="E63" s="31">
        <v>0.4</v>
      </c>
      <c r="F63" s="31">
        <v>0.21666666666666667</v>
      </c>
      <c r="G63" s="31">
        <v>0.34689922480620156</v>
      </c>
      <c r="H63" s="31">
        <v>0.11627906976744186</v>
      </c>
      <c r="I63" s="32">
        <v>7253.0726256983244</v>
      </c>
      <c r="J63" s="32">
        <v>-7780</v>
      </c>
      <c r="K63" s="31">
        <v>6.6666666666666666E-2</v>
      </c>
      <c r="L63" s="31">
        <v>0.21124031007751937</v>
      </c>
      <c r="M63" s="31">
        <v>0.27131782945736432</v>
      </c>
      <c r="N63" s="31">
        <v>0.55963302752293576</v>
      </c>
      <c r="O63" s="31">
        <v>0.45</v>
      </c>
      <c r="P63" s="31">
        <v>0.4022346368715084</v>
      </c>
    </row>
    <row r="64" spans="1:16" x14ac:dyDescent="0.4">
      <c r="A64" s="33">
        <v>61</v>
      </c>
      <c r="B64" s="30">
        <v>326.19999999999993</v>
      </c>
      <c r="C64" s="30">
        <v>5.3475409836065566</v>
      </c>
      <c r="D64" s="35">
        <v>1.8360655737704918</v>
      </c>
      <c r="E64" s="31">
        <v>0.39344262295081966</v>
      </c>
      <c r="F64" s="31">
        <v>0.22950819672131148</v>
      </c>
      <c r="G64" s="31">
        <v>0.34476190476190477</v>
      </c>
      <c r="H64" s="31">
        <v>0.1180952380952381</v>
      </c>
      <c r="I64" s="32">
        <v>7228.1767955801106</v>
      </c>
      <c r="J64" s="32">
        <v>-7916.1290322580644</v>
      </c>
      <c r="K64" s="31">
        <v>6.5573770491803282E-2</v>
      </c>
      <c r="L64" s="31">
        <v>0.20952380952380953</v>
      </c>
      <c r="M64" s="31">
        <v>0.27238095238095239</v>
      </c>
      <c r="N64" s="31">
        <v>0.5636363636363636</v>
      </c>
      <c r="O64" s="31">
        <v>0.44755244755244755</v>
      </c>
      <c r="P64" s="31">
        <v>0.39779005524861877</v>
      </c>
    </row>
    <row r="65" spans="1:16" x14ac:dyDescent="0.4">
      <c r="A65" s="33">
        <v>62</v>
      </c>
      <c r="B65" s="30">
        <v>401.89999999999992</v>
      </c>
      <c r="C65" s="30">
        <v>6.4822580645161274</v>
      </c>
      <c r="D65" s="35">
        <v>1.8225806451612903</v>
      </c>
      <c r="E65" s="31">
        <v>0.40322580645161288</v>
      </c>
      <c r="F65" s="31">
        <v>0.22580645161290322</v>
      </c>
      <c r="G65" s="31">
        <v>0.34774436090225563</v>
      </c>
      <c r="H65" s="31">
        <v>0.11654135338345864</v>
      </c>
      <c r="I65" s="32">
        <v>7372.9729729729734</v>
      </c>
      <c r="J65" s="32">
        <v>-7916.1290322580644</v>
      </c>
      <c r="K65" s="31">
        <v>6.4516129032258063E-2</v>
      </c>
      <c r="L65" s="31">
        <v>0.21052631578947367</v>
      </c>
      <c r="M65" s="31">
        <v>0.27255639097744361</v>
      </c>
      <c r="N65" s="31">
        <v>0.5625</v>
      </c>
      <c r="O65" s="31">
        <v>0.44827586206896552</v>
      </c>
      <c r="P65" s="31">
        <v>0.38918918918918921</v>
      </c>
    </row>
    <row r="66" spans="1:16" x14ac:dyDescent="0.4">
      <c r="A66" s="33">
        <v>63</v>
      </c>
      <c r="B66" s="30">
        <v>431.39999999999992</v>
      </c>
      <c r="C66" s="30">
        <v>6.8476190476190464</v>
      </c>
      <c r="D66" s="35">
        <v>1.8095238095238095</v>
      </c>
      <c r="E66" s="31">
        <v>0.41269841269841268</v>
      </c>
      <c r="F66" s="31">
        <v>0.22222222222222221</v>
      </c>
      <c r="G66" s="31">
        <v>0.34944237918215615</v>
      </c>
      <c r="H66" s="31">
        <v>0.11895910780669144</v>
      </c>
      <c r="I66" s="32">
        <v>7432.4468085106382</v>
      </c>
      <c r="J66" s="32">
        <v>-7814.0625</v>
      </c>
      <c r="K66" s="31">
        <v>6.3492063492063489E-2</v>
      </c>
      <c r="L66" s="31">
        <v>0.21189591078066913</v>
      </c>
      <c r="M66" s="31">
        <v>0.27137546468401486</v>
      </c>
      <c r="N66" s="31">
        <v>0.56140350877192979</v>
      </c>
      <c r="O66" s="31">
        <v>0.4452054794520548</v>
      </c>
      <c r="P66" s="31">
        <v>0.39361702127659576</v>
      </c>
    </row>
    <row r="67" spans="1:16" x14ac:dyDescent="0.4">
      <c r="A67" s="33">
        <v>64</v>
      </c>
      <c r="B67" s="30">
        <v>414.99999999999994</v>
      </c>
      <c r="C67" s="30">
        <v>6.4843749999999991</v>
      </c>
      <c r="D67" s="35">
        <v>1.828125</v>
      </c>
      <c r="E67" s="31">
        <v>0.40625</v>
      </c>
      <c r="F67" s="31">
        <v>0.234375</v>
      </c>
      <c r="G67" s="31">
        <v>0.34615384615384615</v>
      </c>
      <c r="H67" s="31">
        <v>0.12087912087912088</v>
      </c>
      <c r="I67" s="32">
        <v>7403.7037037037035</v>
      </c>
      <c r="J67" s="32">
        <v>-7636.363636363636</v>
      </c>
      <c r="K67" s="31">
        <v>6.25E-2</v>
      </c>
      <c r="L67" s="31">
        <v>0.21428571428571427</v>
      </c>
      <c r="M67" s="31">
        <v>0.27472527472527475</v>
      </c>
      <c r="N67" s="31">
        <v>0.54700854700854706</v>
      </c>
      <c r="O67" s="31">
        <v>0.44</v>
      </c>
      <c r="P67" s="31">
        <v>0.39153439153439151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  <row r="52" spans="1:16" x14ac:dyDescent="0.4">
      <c r="A52" s="33">
        <v>49</v>
      </c>
      <c r="B52" s="30">
        <v>209.29999999999998</v>
      </c>
      <c r="C52" s="30">
        <v>4.2714285714285714</v>
      </c>
      <c r="D52" s="35">
        <v>1.8979591836734695</v>
      </c>
      <c r="E52" s="31">
        <v>0.38775510204081631</v>
      </c>
      <c r="F52" s="31">
        <v>0.2857142857142857</v>
      </c>
      <c r="G52" s="31">
        <v>0.30935251798561153</v>
      </c>
      <c r="H52" s="31">
        <v>0.1342925659472422</v>
      </c>
      <c r="I52" s="32">
        <v>7959.6899224806202</v>
      </c>
      <c r="J52" s="32">
        <v>-6833.9285714285716</v>
      </c>
      <c r="K52" s="31">
        <v>4.0816326530612242E-2</v>
      </c>
      <c r="L52" s="31">
        <v>0.22302158273381295</v>
      </c>
      <c r="M52" s="31">
        <v>0.22541966426858512</v>
      </c>
      <c r="N52" s="31">
        <v>0.60215053763440862</v>
      </c>
      <c r="O52" s="31">
        <v>0.46808510638297873</v>
      </c>
      <c r="P52" s="31">
        <v>0.41085271317829458</v>
      </c>
    </row>
    <row r="53" spans="1:16" x14ac:dyDescent="0.4">
      <c r="A53" s="33">
        <v>50</v>
      </c>
      <c r="B53" s="30">
        <v>211.6</v>
      </c>
      <c r="C53" s="30">
        <v>4.2320000000000002</v>
      </c>
      <c r="D53" s="35">
        <v>1.9</v>
      </c>
      <c r="E53" s="31">
        <v>0.38</v>
      </c>
      <c r="F53" s="31">
        <v>0.28000000000000003</v>
      </c>
      <c r="G53" s="31">
        <v>0.30969267139479906</v>
      </c>
      <c r="H53" s="31">
        <v>0.13475177304964539</v>
      </c>
      <c r="I53" s="32">
        <v>7960.3053435114507</v>
      </c>
      <c r="J53" s="32">
        <v>-6854.3859649122805</v>
      </c>
      <c r="K53" s="31">
        <v>0.04</v>
      </c>
      <c r="L53" s="31">
        <v>0.22695035460992907</v>
      </c>
      <c r="M53" s="31">
        <v>0.22695035460992907</v>
      </c>
      <c r="N53" s="31">
        <v>0.59375</v>
      </c>
      <c r="O53" s="31">
        <v>0.45833333333333331</v>
      </c>
      <c r="P53" s="31">
        <v>0.40458015267175573</v>
      </c>
    </row>
    <row r="54" spans="1:16" x14ac:dyDescent="0.4">
      <c r="A54" s="33">
        <v>51</v>
      </c>
      <c r="B54" s="30">
        <v>178.2</v>
      </c>
      <c r="C54" s="30">
        <v>3.4941176470588231</v>
      </c>
      <c r="D54" s="35">
        <v>1.9215686274509804</v>
      </c>
      <c r="E54" s="31">
        <v>0.37254901960784315</v>
      </c>
      <c r="F54" s="31">
        <v>0.29411764705882354</v>
      </c>
      <c r="G54" s="31">
        <v>0.30697674418604654</v>
      </c>
      <c r="H54" s="31">
        <v>0.1372093023255814</v>
      </c>
      <c r="I54" s="32">
        <v>7929.545454545455</v>
      </c>
      <c r="J54" s="32">
        <v>-6961.0169491525421</v>
      </c>
      <c r="K54" s="31">
        <v>3.9215686274509803E-2</v>
      </c>
      <c r="L54" s="31">
        <v>0.22790697674418606</v>
      </c>
      <c r="M54" s="31">
        <v>0.2255813953488372</v>
      </c>
      <c r="N54" s="31">
        <v>0.59183673469387754</v>
      </c>
      <c r="O54" s="31">
        <v>0.45360824742268041</v>
      </c>
      <c r="P54" s="31">
        <v>0.40151515151515149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  <row r="50" spans="1:16" x14ac:dyDescent="0.4">
      <c r="A50" s="33">
        <v>47</v>
      </c>
      <c r="B50" s="30">
        <v>-70.099999999999994</v>
      </c>
      <c r="C50" s="30">
        <v>-1.4914893617021276</v>
      </c>
      <c r="D50" s="35">
        <v>2.0425531914893615</v>
      </c>
      <c r="E50" s="31">
        <v>0.36170212765957449</v>
      </c>
      <c r="F50" s="31">
        <v>0.40425531914893614</v>
      </c>
      <c r="G50" s="31">
        <v>0.30048076923076922</v>
      </c>
      <c r="H50" s="31">
        <v>0.16105769230769232</v>
      </c>
      <c r="I50" s="32">
        <v>7409.6</v>
      </c>
      <c r="J50" s="32">
        <v>-8488.059701492537</v>
      </c>
      <c r="K50" s="31">
        <v>8.5106382978723402E-2</v>
      </c>
      <c r="L50" s="31">
        <v>0.25961538461538464</v>
      </c>
      <c r="M50" s="31">
        <v>0.30288461538461536</v>
      </c>
      <c r="N50" s="31">
        <v>0.44444444444444442</v>
      </c>
      <c r="O50" s="31">
        <v>0.41269841269841268</v>
      </c>
      <c r="P50" s="31">
        <v>0.46400000000000002</v>
      </c>
    </row>
    <row r="51" spans="1:16" x14ac:dyDescent="0.4">
      <c r="A51" s="33">
        <v>48</v>
      </c>
      <c r="B51" s="30">
        <v>-31.499999999999993</v>
      </c>
      <c r="C51" s="30">
        <v>-0.65624999999999989</v>
      </c>
      <c r="D51" s="35">
        <v>2.0208333333333335</v>
      </c>
      <c r="E51" s="31">
        <v>0.375</v>
      </c>
      <c r="F51" s="31">
        <v>0.39583333333333331</v>
      </c>
      <c r="G51" s="31">
        <v>0.30188679245283018</v>
      </c>
      <c r="H51" s="31">
        <v>0.15801886792452829</v>
      </c>
      <c r="I51" s="32">
        <v>7529.6875</v>
      </c>
      <c r="J51" s="32">
        <v>-8488.059701492537</v>
      </c>
      <c r="K51" s="31">
        <v>8.3333333333333329E-2</v>
      </c>
      <c r="L51" s="31">
        <v>0.2617924528301887</v>
      </c>
      <c r="M51" s="31">
        <v>0.29716981132075471</v>
      </c>
      <c r="N51" s="31">
        <v>0.45045045045045046</v>
      </c>
      <c r="O51" s="31">
        <v>0.41269841269841268</v>
      </c>
      <c r="P51" s="31">
        <v>0.46875</v>
      </c>
    </row>
    <row r="52" spans="1:16" x14ac:dyDescent="0.4">
      <c r="A52" s="33">
        <v>49</v>
      </c>
      <c r="B52" s="30">
        <v>-70</v>
      </c>
      <c r="C52" s="30">
        <v>-1.4285714285714286</v>
      </c>
      <c r="D52" s="35">
        <v>2.0408163265306123</v>
      </c>
      <c r="E52" s="31">
        <v>0.36734693877551022</v>
      </c>
      <c r="F52" s="31">
        <v>0.40816326530612246</v>
      </c>
      <c r="G52" s="31">
        <v>0.30023094688221708</v>
      </c>
      <c r="H52" s="31">
        <v>0.16166281755196305</v>
      </c>
      <c r="I52" s="32">
        <v>7521.5384615384619</v>
      </c>
      <c r="J52" s="32">
        <v>-8724.2857142857138</v>
      </c>
      <c r="K52" s="31">
        <v>8.1632653061224483E-2</v>
      </c>
      <c r="L52" s="31">
        <v>0.25866050808314089</v>
      </c>
      <c r="M52" s="31">
        <v>0.29561200923787528</v>
      </c>
      <c r="N52" s="31">
        <v>0.45535714285714285</v>
      </c>
      <c r="O52" s="31">
        <v>0.40625</v>
      </c>
      <c r="P52" s="31">
        <v>0.46923076923076923</v>
      </c>
    </row>
    <row r="53" spans="1:16" x14ac:dyDescent="0.4">
      <c r="A53" s="33">
        <v>50</v>
      </c>
      <c r="B53" s="30">
        <v>-73.8</v>
      </c>
      <c r="C53" s="30">
        <v>-1.476</v>
      </c>
      <c r="D53" s="35">
        <v>2.04</v>
      </c>
      <c r="E53" s="31">
        <v>0.36</v>
      </c>
      <c r="F53" s="31">
        <v>0.4</v>
      </c>
      <c r="G53" s="31">
        <v>0.29864253393665158</v>
      </c>
      <c r="H53" s="31">
        <v>0.15837104072398189</v>
      </c>
      <c r="I53" s="32">
        <v>7526.515151515152</v>
      </c>
      <c r="J53" s="32">
        <v>-8724.2857142857138</v>
      </c>
      <c r="K53" s="31">
        <v>0.08</v>
      </c>
      <c r="L53" s="31">
        <v>0.25339366515837103</v>
      </c>
      <c r="M53" s="31">
        <v>0.29411764705882354</v>
      </c>
      <c r="N53" s="31">
        <v>0.45535714285714285</v>
      </c>
      <c r="O53" s="31">
        <v>0.40769230769230769</v>
      </c>
      <c r="P53" s="31">
        <v>0.47727272727272729</v>
      </c>
    </row>
    <row r="54" spans="1:16" x14ac:dyDescent="0.4">
      <c r="A54" s="33">
        <v>51</v>
      </c>
      <c r="B54" s="30">
        <v>-62.099999999999994</v>
      </c>
      <c r="C54" s="30">
        <v>-1.2176470588235293</v>
      </c>
      <c r="D54" s="35">
        <v>2.0392156862745097</v>
      </c>
      <c r="E54" s="31">
        <v>0.35294117647058826</v>
      </c>
      <c r="F54" s="31">
        <v>0.39215686274509803</v>
      </c>
      <c r="G54" s="31">
        <v>0.29933481152993346</v>
      </c>
      <c r="H54" s="31">
        <v>0.15964523281596452</v>
      </c>
      <c r="I54" s="32">
        <v>7534.8148148148148</v>
      </c>
      <c r="J54" s="32">
        <v>-8606.9444444444453</v>
      </c>
      <c r="K54" s="31">
        <v>7.8431372549019607E-2</v>
      </c>
      <c r="L54" s="31">
        <v>0.25498891352549891</v>
      </c>
      <c r="M54" s="31">
        <v>0.29268292682926828</v>
      </c>
      <c r="N54" s="31">
        <v>0.46086956521739131</v>
      </c>
      <c r="O54" s="31">
        <v>0.40909090909090912</v>
      </c>
      <c r="P54" s="31">
        <v>0.47407407407407409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8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  <row r="80" spans="1:16" x14ac:dyDescent="0.4">
      <c r="A80" s="33">
        <v>77</v>
      </c>
      <c r="B80" s="30">
        <v>-113.6</v>
      </c>
      <c r="C80" s="30">
        <v>-1.4753246753246751</v>
      </c>
      <c r="D80" s="35">
        <v>2.0129870129870131</v>
      </c>
      <c r="E80" s="31">
        <v>0.32467532467532467</v>
      </c>
      <c r="F80" s="31">
        <v>0.33766233766233766</v>
      </c>
      <c r="G80" s="31">
        <v>0.26676384839650147</v>
      </c>
      <c r="H80" s="31">
        <v>0.19387755102040816</v>
      </c>
      <c r="I80" s="32">
        <v>9438.7978142076499</v>
      </c>
      <c r="J80" s="32">
        <v>-7840.6015037593988</v>
      </c>
      <c r="K80" s="31">
        <v>0.12987012987012986</v>
      </c>
      <c r="L80" s="31">
        <v>0.29008746355685133</v>
      </c>
      <c r="M80" s="31">
        <v>0.22303206997084549</v>
      </c>
      <c r="N80" s="31">
        <v>0.46733668341708545</v>
      </c>
      <c r="O80" s="31">
        <v>0.34640522875816993</v>
      </c>
      <c r="P80" s="31">
        <v>0.45901639344262296</v>
      </c>
    </row>
    <row r="81" spans="1:16" x14ac:dyDescent="0.4">
      <c r="A81" s="33">
        <v>78</v>
      </c>
      <c r="B81" s="30">
        <v>-103.89999999999999</v>
      </c>
      <c r="C81" s="30">
        <v>-1.332051282051282</v>
      </c>
      <c r="D81" s="35">
        <v>2.0128205128205128</v>
      </c>
      <c r="E81" s="31">
        <v>0.32051282051282054</v>
      </c>
      <c r="F81" s="31">
        <v>0.33333333333333331</v>
      </c>
      <c r="G81" s="31">
        <v>0.2665706051873199</v>
      </c>
      <c r="H81" s="31">
        <v>0.1930835734870317</v>
      </c>
      <c r="I81" s="32">
        <v>9488.1081081081084</v>
      </c>
      <c r="J81" s="32">
        <v>-7841.7910447761196</v>
      </c>
      <c r="K81" s="31">
        <v>0.12820512820512819</v>
      </c>
      <c r="L81" s="31">
        <v>0.29106628242074928</v>
      </c>
      <c r="M81" s="31">
        <v>0.22190201729106629</v>
      </c>
      <c r="N81" s="31">
        <v>0.46534653465346537</v>
      </c>
      <c r="O81" s="31">
        <v>0.34415584415584416</v>
      </c>
      <c r="P81" s="31">
        <v>0.45945945945945948</v>
      </c>
    </row>
    <row r="82" spans="1:16" x14ac:dyDescent="0.4">
      <c r="A82" s="33">
        <v>79</v>
      </c>
      <c r="B82" s="30">
        <v>-111.3</v>
      </c>
      <c r="C82" s="30">
        <v>-1.4088607594936708</v>
      </c>
      <c r="D82" s="35">
        <v>2.0126582278481013</v>
      </c>
      <c r="E82" s="31">
        <v>0.31645569620253167</v>
      </c>
      <c r="F82" s="31">
        <v>0.32911392405063289</v>
      </c>
      <c r="G82" s="31">
        <v>0.265625</v>
      </c>
      <c r="H82" s="31">
        <v>0.19318181818181818</v>
      </c>
      <c r="I82" s="32">
        <v>9514.9732620320847</v>
      </c>
      <c r="J82" s="32">
        <v>-7813.9705882352937</v>
      </c>
      <c r="K82" s="31">
        <v>0.12658227848101267</v>
      </c>
      <c r="L82" s="31">
        <v>0.28693181818181818</v>
      </c>
      <c r="M82" s="31">
        <v>0.22585227272727273</v>
      </c>
      <c r="N82" s="31">
        <v>0.46534653465346537</v>
      </c>
      <c r="O82" s="31">
        <v>0.33962264150943394</v>
      </c>
      <c r="P82" s="31">
        <v>0.45989304812834225</v>
      </c>
    </row>
    <row r="83" spans="1:16" x14ac:dyDescent="0.4">
      <c r="A83" s="33">
        <v>80</v>
      </c>
      <c r="B83" s="30">
        <v>-86.9</v>
      </c>
      <c r="C83" s="30">
        <v>-1.0862500000000002</v>
      </c>
      <c r="D83" s="35">
        <v>2</v>
      </c>
      <c r="E83" s="31">
        <v>0.32500000000000001</v>
      </c>
      <c r="F83" s="31">
        <v>0.32500000000000001</v>
      </c>
      <c r="G83" s="31">
        <v>0.26619718309859153</v>
      </c>
      <c r="H83" s="31">
        <v>0.19436619718309858</v>
      </c>
      <c r="I83" s="32">
        <v>9541.269841269841</v>
      </c>
      <c r="J83" s="32">
        <v>-7777.536231884058</v>
      </c>
      <c r="K83" s="31">
        <v>0.125</v>
      </c>
      <c r="L83" s="31">
        <v>0.28591549295774649</v>
      </c>
      <c r="M83" s="31">
        <v>0.22816901408450704</v>
      </c>
      <c r="N83" s="31">
        <v>0.46798029556650245</v>
      </c>
      <c r="O83" s="31">
        <v>0.33950617283950618</v>
      </c>
      <c r="P83" s="31">
        <v>0.46031746031746029</v>
      </c>
    </row>
    <row r="84" spans="1:16" x14ac:dyDescent="0.4">
      <c r="A84" s="33">
        <v>81</v>
      </c>
      <c r="B84" s="30">
        <v>-132.9</v>
      </c>
      <c r="C84" s="30">
        <v>-1.6407407407407408</v>
      </c>
      <c r="D84" s="35">
        <v>2.0123456790123457</v>
      </c>
      <c r="E84" s="31">
        <v>0.32098765432098764</v>
      </c>
      <c r="F84" s="31">
        <v>0.33333333333333331</v>
      </c>
      <c r="G84" s="31">
        <v>0.26490984743411927</v>
      </c>
      <c r="H84" s="31">
        <v>0.19694868238557559</v>
      </c>
      <c r="I84" s="32">
        <v>9472.2513089005242</v>
      </c>
      <c r="J84" s="32">
        <v>-7730.9859154929582</v>
      </c>
      <c r="K84" s="31">
        <v>0.13580246913580246</v>
      </c>
      <c r="L84" s="31">
        <v>0.2857142857142857</v>
      </c>
      <c r="M84" s="31">
        <v>0.22607489597780861</v>
      </c>
      <c r="N84" s="31">
        <v>0.46601941747572817</v>
      </c>
      <c r="O84" s="31">
        <v>0.34355828220858897</v>
      </c>
      <c r="P84" s="31">
        <v>0.45549738219895286</v>
      </c>
    </row>
    <row r="85" spans="1:16" x14ac:dyDescent="0.4">
      <c r="A85" s="33">
        <v>82</v>
      </c>
      <c r="B85" s="30">
        <v>-164</v>
      </c>
      <c r="C85" s="30">
        <v>-2</v>
      </c>
      <c r="D85" s="35">
        <v>2.024390243902439</v>
      </c>
      <c r="E85" s="31">
        <v>0.31707317073170732</v>
      </c>
      <c r="F85" s="31">
        <v>0.34146341463414637</v>
      </c>
      <c r="G85" s="31">
        <v>0.26409903713892707</v>
      </c>
      <c r="H85" s="31">
        <v>0.19944979367262725</v>
      </c>
      <c r="I85" s="32">
        <v>9443.2291666666661</v>
      </c>
      <c r="J85" s="32">
        <v>-7695.1724137931033</v>
      </c>
      <c r="K85" s="31">
        <v>0.13414634146341464</v>
      </c>
      <c r="L85" s="31">
        <v>0.28335625859697389</v>
      </c>
      <c r="M85" s="31">
        <v>0.22696011004126548</v>
      </c>
      <c r="N85" s="31">
        <v>0.46601941747572817</v>
      </c>
      <c r="O85" s="31">
        <v>0.34545454545454546</v>
      </c>
      <c r="P85" s="31">
        <v>0.453125</v>
      </c>
    </row>
    <row r="86" spans="1:16" x14ac:dyDescent="0.4">
      <c r="A86" s="33">
        <v>83</v>
      </c>
      <c r="B86" s="30">
        <v>-182.6</v>
      </c>
      <c r="C86" s="30">
        <v>-2.1999999999999997</v>
      </c>
      <c r="D86" s="35">
        <v>2.0240963855421685</v>
      </c>
      <c r="E86" s="31">
        <v>0.31325301204819278</v>
      </c>
      <c r="F86" s="31">
        <v>0.33734939759036142</v>
      </c>
      <c r="G86" s="31">
        <v>0.26244952893674295</v>
      </c>
      <c r="H86" s="31">
        <v>0.20053835800807537</v>
      </c>
      <c r="I86" s="32">
        <v>9418.461538461539</v>
      </c>
      <c r="J86" s="32">
        <v>-7719.4630872483222</v>
      </c>
      <c r="K86" s="31">
        <v>0.13253012048192772</v>
      </c>
      <c r="L86" s="31">
        <v>0.28129205921938089</v>
      </c>
      <c r="M86" s="31">
        <v>0.2234185733512786</v>
      </c>
      <c r="N86" s="31">
        <v>0.47368421052631576</v>
      </c>
      <c r="O86" s="31">
        <v>0.34337349397590361</v>
      </c>
      <c r="P86" s="31">
        <v>0.45128205128205129</v>
      </c>
    </row>
    <row r="87" spans="1:16" x14ac:dyDescent="0.4">
      <c r="A87" s="33">
        <v>84</v>
      </c>
      <c r="B87" s="30">
        <v>-180</v>
      </c>
      <c r="C87" s="30">
        <v>-2.1428571428571428</v>
      </c>
      <c r="D87" s="35">
        <v>2.0238095238095237</v>
      </c>
      <c r="E87" s="31">
        <v>0.30952380952380953</v>
      </c>
      <c r="F87" s="31">
        <v>0.33333333333333331</v>
      </c>
      <c r="G87" s="31">
        <v>0.26266666666666666</v>
      </c>
      <c r="H87" s="31">
        <v>0.20266666666666666</v>
      </c>
      <c r="I87" s="32">
        <v>9402.5380710659902</v>
      </c>
      <c r="J87" s="32">
        <v>-7679.605263157895</v>
      </c>
      <c r="K87" s="31">
        <v>0.13095238095238096</v>
      </c>
      <c r="L87" s="31">
        <v>0.28133333333333332</v>
      </c>
      <c r="M87" s="31">
        <v>0.22533333333333333</v>
      </c>
      <c r="N87" s="31">
        <v>0.47867298578199052</v>
      </c>
      <c r="O87" s="31">
        <v>0.33727810650887574</v>
      </c>
      <c r="P87" s="31">
        <v>0.45177664974619292</v>
      </c>
    </row>
    <row r="88" spans="1:16" x14ac:dyDescent="0.4">
      <c r="A88" s="33">
        <v>85</v>
      </c>
      <c r="B88" s="30">
        <v>-151.6</v>
      </c>
      <c r="C88" s="30">
        <v>-1.7835294117647058</v>
      </c>
      <c r="D88" s="35">
        <v>2.0117647058823529</v>
      </c>
      <c r="E88" s="31">
        <v>0.31764705882352939</v>
      </c>
      <c r="F88" s="31">
        <v>0.32941176470588235</v>
      </c>
      <c r="G88" s="31">
        <v>0.2648221343873518</v>
      </c>
      <c r="H88" s="31">
        <v>0.20026350461133069</v>
      </c>
      <c r="I88" s="32">
        <v>9400.4975124378107</v>
      </c>
      <c r="J88" s="32">
        <v>-7679.605263157895</v>
      </c>
      <c r="K88" s="31">
        <v>0.12941176470588237</v>
      </c>
      <c r="L88" s="31">
        <v>0.28326745718050067</v>
      </c>
      <c r="M88" s="31">
        <v>0.22529644268774704</v>
      </c>
      <c r="N88" s="31">
        <v>0.48372093023255813</v>
      </c>
      <c r="O88" s="31">
        <v>0.33918128654970758</v>
      </c>
      <c r="P88" s="31">
        <v>0.45273631840796019</v>
      </c>
    </row>
    <row r="89" spans="1:16" x14ac:dyDescent="0.4">
      <c r="A89" s="33">
        <v>86</v>
      </c>
      <c r="B89" s="30">
        <v>-194.6</v>
      </c>
      <c r="C89" s="30">
        <v>-2.2627906976744185</v>
      </c>
      <c r="D89" s="35">
        <v>2.0232558139534884</v>
      </c>
      <c r="E89" s="31">
        <v>0.31395348837209303</v>
      </c>
      <c r="F89" s="31">
        <v>0.33720930232558138</v>
      </c>
      <c r="G89" s="31">
        <v>0.26171875</v>
      </c>
      <c r="H89" s="31">
        <v>0.203125</v>
      </c>
      <c r="I89" s="32">
        <v>9400.4975124378107</v>
      </c>
      <c r="J89" s="32">
        <v>-7614.1025641025644</v>
      </c>
      <c r="K89" s="31">
        <v>0.12790697674418605</v>
      </c>
      <c r="L89" s="31">
        <v>0.28255208333333331</v>
      </c>
      <c r="M89" s="31">
        <v>0.22395833333333334</v>
      </c>
      <c r="N89" s="31">
        <v>0.47926267281105989</v>
      </c>
      <c r="O89" s="31">
        <v>0.33720930232558138</v>
      </c>
      <c r="P89" s="31">
        <v>0.45273631840796019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  <row r="121" spans="1:16" x14ac:dyDescent="0.4">
      <c r="A121" s="33">
        <v>118</v>
      </c>
      <c r="B121" s="30">
        <v>163.49999999999989</v>
      </c>
      <c r="C121" s="30">
        <v>1.385593220338982</v>
      </c>
      <c r="D121" s="35">
        <v>2.0084745762711864</v>
      </c>
      <c r="E121" s="31">
        <v>0.33898305084745761</v>
      </c>
      <c r="F121" s="31">
        <v>0.34745762711864409</v>
      </c>
      <c r="G121" s="31">
        <v>0.32293762575452717</v>
      </c>
      <c r="H121" s="31">
        <v>0.1750503018108652</v>
      </c>
      <c r="I121" s="32">
        <v>8137.071651090343</v>
      </c>
      <c r="J121" s="32">
        <v>-7538.5057471264372</v>
      </c>
      <c r="K121" s="31">
        <v>8.4745762711864403E-2</v>
      </c>
      <c r="L121" s="31">
        <v>0.24547283702213279</v>
      </c>
      <c r="M121" s="31">
        <v>0.20724346076458752</v>
      </c>
      <c r="N121" s="31">
        <v>0.57786885245901642</v>
      </c>
      <c r="O121" s="31">
        <v>0.46116504854368934</v>
      </c>
      <c r="P121" s="31">
        <v>0.46417445482866043</v>
      </c>
    </row>
    <row r="122" spans="1:16" x14ac:dyDescent="0.4">
      <c r="A122" s="33">
        <v>119</v>
      </c>
      <c r="B122" s="30">
        <v>130.99999999999989</v>
      </c>
      <c r="C122" s="30">
        <v>1.1008403361344528</v>
      </c>
      <c r="D122" s="35">
        <v>2.0168067226890756</v>
      </c>
      <c r="E122" s="31">
        <v>0.33613445378151263</v>
      </c>
      <c r="F122" s="31">
        <v>0.35294117647058826</v>
      </c>
      <c r="G122" s="31">
        <v>0.32100000000000001</v>
      </c>
      <c r="H122" s="31">
        <v>0.17599999999999999</v>
      </c>
      <c r="I122" s="32">
        <v>8137.071651090343</v>
      </c>
      <c r="J122" s="32">
        <v>-7543.75</v>
      </c>
      <c r="K122" s="31">
        <v>8.4033613445378158E-2</v>
      </c>
      <c r="L122" s="31">
        <v>0.245</v>
      </c>
      <c r="M122" s="31">
        <v>0.20599999999999999</v>
      </c>
      <c r="N122" s="31">
        <v>0.57551020408163267</v>
      </c>
      <c r="O122" s="31">
        <v>0.46116504854368934</v>
      </c>
      <c r="P122" s="31">
        <v>0.46417445482866043</v>
      </c>
    </row>
    <row r="123" spans="1:16" x14ac:dyDescent="0.4">
      <c r="A123" s="33">
        <v>120</v>
      </c>
      <c r="B123" s="30">
        <v>100.89999999999989</v>
      </c>
      <c r="C123" s="30">
        <v>0.84083333333333243</v>
      </c>
      <c r="D123" s="35">
        <v>2.0249999999999999</v>
      </c>
      <c r="E123" s="31">
        <v>0.33333333333333331</v>
      </c>
      <c r="F123" s="31">
        <v>0.35833333333333334</v>
      </c>
      <c r="G123" s="31">
        <v>0.3201189296333003</v>
      </c>
      <c r="H123" s="31">
        <v>0.17740336967294351</v>
      </c>
      <c r="I123" s="32">
        <v>8125.3869969040252</v>
      </c>
      <c r="J123" s="32">
        <v>-7568.1564245810059</v>
      </c>
      <c r="K123" s="31">
        <v>8.3333333333333329E-2</v>
      </c>
      <c r="L123" s="31">
        <v>0.24578790882061446</v>
      </c>
      <c r="M123" s="31">
        <v>0.20515361744301289</v>
      </c>
      <c r="N123" s="31">
        <v>0.57258064516129037</v>
      </c>
      <c r="O123" s="31">
        <v>0.46376811594202899</v>
      </c>
      <c r="P123" s="31">
        <v>0.46130030959752322</v>
      </c>
    </row>
    <row r="124" spans="1:16" x14ac:dyDescent="0.4">
      <c r="A124" s="33">
        <v>121</v>
      </c>
      <c r="B124" s="30">
        <v>52.599999999999895</v>
      </c>
      <c r="C124" s="30">
        <v>0.43471074380165203</v>
      </c>
      <c r="D124" s="35">
        <v>2.0330578512396693</v>
      </c>
      <c r="E124" s="31">
        <v>0.33057851239669422</v>
      </c>
      <c r="F124" s="31">
        <v>0.36363636363636365</v>
      </c>
      <c r="G124" s="31">
        <v>0.31760078662733532</v>
      </c>
      <c r="H124" s="31">
        <v>0.17699115044247787</v>
      </c>
      <c r="I124" s="32">
        <v>8125.3869969040252</v>
      </c>
      <c r="J124" s="32">
        <v>-7592.7777777777774</v>
      </c>
      <c r="K124" s="31">
        <v>9.0909090909090912E-2</v>
      </c>
      <c r="L124" s="31">
        <v>0.24582104228121926</v>
      </c>
      <c r="M124" s="31">
        <v>0.20353982300884957</v>
      </c>
      <c r="N124" s="31">
        <v>0.56799999999999995</v>
      </c>
      <c r="O124" s="31">
        <v>0.46376811594202899</v>
      </c>
      <c r="P124" s="31">
        <v>0.46130030959752322</v>
      </c>
    </row>
    <row r="125" spans="1:16" x14ac:dyDescent="0.4">
      <c r="A125" s="33">
        <v>122</v>
      </c>
      <c r="B125" s="30">
        <v>23.499999999999893</v>
      </c>
      <c r="C125" s="30">
        <v>0.19262295081967126</v>
      </c>
      <c r="D125" s="35">
        <v>2.040983606557377</v>
      </c>
      <c r="E125" s="31">
        <v>0.32786885245901637</v>
      </c>
      <c r="F125" s="31">
        <v>0.36885245901639346</v>
      </c>
      <c r="G125" s="31">
        <v>0.31548198636806229</v>
      </c>
      <c r="H125" s="31">
        <v>0.17624148003894841</v>
      </c>
      <c r="I125" s="32">
        <v>8125</v>
      </c>
      <c r="J125" s="32">
        <v>-7565.1933701657463</v>
      </c>
      <c r="K125" s="31">
        <v>9.0163934426229511E-2</v>
      </c>
      <c r="L125" s="31">
        <v>0.24732229795520935</v>
      </c>
      <c r="M125" s="31">
        <v>0.20155793573515093</v>
      </c>
      <c r="N125" s="31">
        <v>0.56299212598425197</v>
      </c>
      <c r="O125" s="31">
        <v>0.46376811594202899</v>
      </c>
      <c r="P125" s="31">
        <v>0.45987654320987653</v>
      </c>
    </row>
    <row r="126" spans="1:16" x14ac:dyDescent="0.4">
      <c r="A126" s="33">
        <v>123</v>
      </c>
      <c r="B126" s="30">
        <v>-3.3000000000001073</v>
      </c>
      <c r="C126" s="30">
        <v>-2.6829268292683801E-2</v>
      </c>
      <c r="D126" s="35">
        <v>2.0487804878048781</v>
      </c>
      <c r="E126" s="31">
        <v>0.32520325203252032</v>
      </c>
      <c r="F126" s="31">
        <v>0.37398373983739835</v>
      </c>
      <c r="G126" s="31">
        <v>0.31558567279767669</v>
      </c>
      <c r="H126" s="31">
        <v>0.17618586640851888</v>
      </c>
      <c r="I126" s="32">
        <v>8091.1042944785277</v>
      </c>
      <c r="J126" s="32">
        <v>-7611.5384615384619</v>
      </c>
      <c r="K126" s="31">
        <v>8.943089430894309E-2</v>
      </c>
      <c r="L126" s="31">
        <v>0.24878993223620524</v>
      </c>
      <c r="M126" s="31">
        <v>0.20038722168441434</v>
      </c>
      <c r="N126" s="31">
        <v>0.56420233463035019</v>
      </c>
      <c r="O126" s="31">
        <v>0.46376811594202899</v>
      </c>
      <c r="P126" s="31">
        <v>0.45705521472392641</v>
      </c>
    </row>
    <row r="127" spans="1:16" x14ac:dyDescent="0.4">
      <c r="A127" s="33">
        <v>124</v>
      </c>
      <c r="B127" s="30">
        <v>36.999999999999886</v>
      </c>
      <c r="C127" s="30">
        <v>0.29838709677419262</v>
      </c>
      <c r="D127" s="35">
        <v>2.0403225806451615</v>
      </c>
      <c r="E127" s="31">
        <v>0.33064516129032256</v>
      </c>
      <c r="F127" s="31">
        <v>0.37096774193548387</v>
      </c>
      <c r="G127" s="31">
        <v>0.31513409961685823</v>
      </c>
      <c r="H127" s="31">
        <v>0.17624521072796934</v>
      </c>
      <c r="I127" s="32">
        <v>8151.0638297872338</v>
      </c>
      <c r="J127" s="32">
        <v>-7560.869565217391</v>
      </c>
      <c r="K127" s="31">
        <v>8.8709677419354843E-2</v>
      </c>
      <c r="L127" s="31">
        <v>0.24904214559386972</v>
      </c>
      <c r="M127" s="31">
        <v>0.20019157088122605</v>
      </c>
      <c r="N127" s="31">
        <v>0.56153846153846154</v>
      </c>
      <c r="O127" s="31">
        <v>0.46411483253588515</v>
      </c>
      <c r="P127" s="31">
        <v>0.45896656534954405</v>
      </c>
    </row>
    <row r="128" spans="1:16" x14ac:dyDescent="0.4">
      <c r="A128" s="33">
        <v>125</v>
      </c>
      <c r="B128" s="30">
        <v>67.099999999999881</v>
      </c>
      <c r="C128" s="30">
        <v>0.53679999999999906</v>
      </c>
      <c r="D128" s="35">
        <v>2.032</v>
      </c>
      <c r="E128" s="31">
        <v>0.33600000000000002</v>
      </c>
      <c r="F128" s="31">
        <v>0.36799999999999999</v>
      </c>
      <c r="G128" s="31">
        <v>0.31523809523809526</v>
      </c>
      <c r="H128" s="31">
        <v>0.1761904761904762</v>
      </c>
      <c r="I128" s="32">
        <v>8162.2356495468275</v>
      </c>
      <c r="J128" s="32">
        <v>-7541.0810810810808</v>
      </c>
      <c r="K128" s="31">
        <v>8.7999999999999995E-2</v>
      </c>
      <c r="L128" s="31">
        <v>0.24857142857142858</v>
      </c>
      <c r="M128" s="31">
        <v>0.20095238095238097</v>
      </c>
      <c r="N128" s="31">
        <v>0.56321839080459768</v>
      </c>
      <c r="O128" s="31">
        <v>0.46445497630331756</v>
      </c>
      <c r="P128" s="31">
        <v>0.45921450151057402</v>
      </c>
    </row>
    <row r="129" spans="1:16" x14ac:dyDescent="0.4">
      <c r="A129" s="33">
        <v>126</v>
      </c>
      <c r="B129" s="30">
        <v>117.49999999999989</v>
      </c>
      <c r="C129" s="30">
        <v>0.93253968253968167</v>
      </c>
      <c r="D129" s="35">
        <v>2.0238095238095237</v>
      </c>
      <c r="E129" s="31">
        <v>0.34126984126984128</v>
      </c>
      <c r="F129" s="31">
        <v>0.36507936507936506</v>
      </c>
      <c r="G129" s="31">
        <v>0.31613508442776733</v>
      </c>
      <c r="H129" s="31">
        <v>0.17354596622889307</v>
      </c>
      <c r="I129" s="32">
        <v>8162.9080118694365</v>
      </c>
      <c r="J129" s="32">
        <v>-7541.0810810810808</v>
      </c>
      <c r="K129" s="31">
        <v>8.7301587301587297E-2</v>
      </c>
      <c r="L129" s="31">
        <v>0.24765478424015008</v>
      </c>
      <c r="M129" s="31">
        <v>0.19981238273921201</v>
      </c>
      <c r="N129" s="31">
        <v>0.56439393939393945</v>
      </c>
      <c r="O129" s="31">
        <v>0.46478873239436619</v>
      </c>
      <c r="P129" s="31">
        <v>0.45697329376854601</v>
      </c>
    </row>
    <row r="130" spans="1:16" x14ac:dyDescent="0.4">
      <c r="A130" s="33">
        <v>127</v>
      </c>
      <c r="B130" s="30">
        <v>148.2999999999999</v>
      </c>
      <c r="C130" s="30">
        <v>1.1677165354330701</v>
      </c>
      <c r="D130" s="35">
        <v>2.015748031496063</v>
      </c>
      <c r="E130" s="31">
        <v>0.34645669291338582</v>
      </c>
      <c r="F130" s="31">
        <v>0.36220472440944884</v>
      </c>
      <c r="G130" s="31">
        <v>0.3168685927306617</v>
      </c>
      <c r="H130" s="31">
        <v>0.17241379310344829</v>
      </c>
      <c r="I130" s="32">
        <v>8165</v>
      </c>
      <c r="J130" s="32">
        <v>-7541.0810810810808</v>
      </c>
      <c r="K130" s="31">
        <v>8.6614173228346455E-2</v>
      </c>
      <c r="L130" s="31">
        <v>0.24790307548928239</v>
      </c>
      <c r="M130" s="31">
        <v>0.20037278657968313</v>
      </c>
      <c r="N130" s="31">
        <v>0.56390977443609025</v>
      </c>
      <c r="O130" s="31">
        <v>0.4697674418604651</v>
      </c>
      <c r="P130" s="31">
        <v>0.45294117647058824</v>
      </c>
    </row>
    <row r="131" spans="1:16" x14ac:dyDescent="0.4">
      <c r="A131" s="33">
        <v>128</v>
      </c>
      <c r="B131" s="30">
        <v>126.39999999999989</v>
      </c>
      <c r="C131" s="30">
        <v>0.98749999999999916</v>
      </c>
      <c r="D131" s="35">
        <v>2.0234375</v>
      </c>
      <c r="E131" s="31">
        <v>0.34375</v>
      </c>
      <c r="F131" s="31">
        <v>0.3671875</v>
      </c>
      <c r="G131" s="31">
        <v>0.31637372802960223</v>
      </c>
      <c r="H131" s="31">
        <v>0.17206290471785385</v>
      </c>
      <c r="I131" s="32">
        <v>8152.3391812865493</v>
      </c>
      <c r="J131" s="32">
        <v>-7521.5053763440865</v>
      </c>
      <c r="K131" s="31">
        <v>8.59375E-2</v>
      </c>
      <c r="L131" s="31">
        <v>0.24884366327474561</v>
      </c>
      <c r="M131" s="31">
        <v>0.20074005550416282</v>
      </c>
      <c r="N131" s="31">
        <v>0.55762081784386619</v>
      </c>
      <c r="O131" s="31">
        <v>0.47465437788018433</v>
      </c>
      <c r="P131" s="31">
        <v>0.45614035087719296</v>
      </c>
    </row>
    <row r="132" spans="1:16" x14ac:dyDescent="0.4">
      <c r="A132" s="33">
        <v>129</v>
      </c>
      <c r="B132" s="30">
        <v>114.99999999999989</v>
      </c>
      <c r="C132" s="30">
        <v>0.8914728682170534</v>
      </c>
      <c r="D132" s="35">
        <v>2.0232558139534884</v>
      </c>
      <c r="E132" s="31">
        <v>0.34108527131782945</v>
      </c>
      <c r="F132" s="31">
        <v>0.36434108527131781</v>
      </c>
      <c r="G132" s="31">
        <v>0.31433823529411764</v>
      </c>
      <c r="H132" s="31">
        <v>0.171875</v>
      </c>
      <c r="I132" s="32">
        <v>8152.3391812865493</v>
      </c>
      <c r="J132" s="32">
        <v>-7502.139037433155</v>
      </c>
      <c r="K132" s="31">
        <v>8.5271317829457363E-2</v>
      </c>
      <c r="L132" s="31">
        <v>0.24724264705882354</v>
      </c>
      <c r="M132" s="31">
        <v>0.19944852941176472</v>
      </c>
      <c r="N132" s="31">
        <v>0.55762081784386619</v>
      </c>
      <c r="O132" s="31">
        <v>0.47465437788018433</v>
      </c>
      <c r="P132" s="31">
        <v>0.45614035087719296</v>
      </c>
    </row>
    <row r="133" spans="1:16" x14ac:dyDescent="0.4">
      <c r="A133" s="33">
        <v>130</v>
      </c>
      <c r="B133" s="30">
        <v>142.89999999999989</v>
      </c>
      <c r="C133" s="30">
        <v>1.0992307692307683</v>
      </c>
      <c r="D133" s="35">
        <v>2.0153846153846153</v>
      </c>
      <c r="E133" s="31">
        <v>0.34615384615384615</v>
      </c>
      <c r="F133" s="31">
        <v>0.36153846153846153</v>
      </c>
      <c r="G133" s="31">
        <v>0.31295620437956206</v>
      </c>
      <c r="H133" s="31">
        <v>0.17244525547445255</v>
      </c>
      <c r="I133" s="32">
        <v>8221.8658892128278</v>
      </c>
      <c r="J133" s="32">
        <v>-7455.0264550264546</v>
      </c>
      <c r="K133" s="31">
        <v>8.461538461538462E-2</v>
      </c>
      <c r="L133" s="31">
        <v>0.24543795620437955</v>
      </c>
      <c r="M133" s="31">
        <v>0.19981751824817517</v>
      </c>
      <c r="N133" s="31">
        <v>0.55762081784386619</v>
      </c>
      <c r="O133" s="31">
        <v>0.47031963470319632</v>
      </c>
      <c r="P133" s="31">
        <v>0.45481049562682213</v>
      </c>
    </row>
    <row r="134" spans="1:16" x14ac:dyDescent="0.4">
      <c r="A134" s="33">
        <v>131</v>
      </c>
      <c r="B134" s="30">
        <v>119.69999999999989</v>
      </c>
      <c r="C134" s="30">
        <v>0.91374045801526638</v>
      </c>
      <c r="D134" s="35">
        <v>2.0229007633587788</v>
      </c>
      <c r="E134" s="31">
        <v>0.34351145038167941</v>
      </c>
      <c r="F134" s="31">
        <v>0.36641221374045801</v>
      </c>
      <c r="G134" s="31">
        <v>0.31283905967450271</v>
      </c>
      <c r="H134" s="31">
        <v>0.17088607594936708</v>
      </c>
      <c r="I134" s="32">
        <v>8206.6473988439302</v>
      </c>
      <c r="J134" s="32">
        <v>-7455.0264550264546</v>
      </c>
      <c r="K134" s="31">
        <v>8.3969465648854963E-2</v>
      </c>
      <c r="L134" s="31">
        <v>0.24593128390596744</v>
      </c>
      <c r="M134" s="31">
        <v>0.19981916817359854</v>
      </c>
      <c r="N134" s="31">
        <v>0.55514705882352944</v>
      </c>
      <c r="O134" s="31">
        <v>0.47058823529411764</v>
      </c>
      <c r="P134" s="31">
        <v>0.45953757225433528</v>
      </c>
    </row>
    <row r="135" spans="1:16" x14ac:dyDescent="0.4">
      <c r="A135" s="33">
        <v>132</v>
      </c>
      <c r="B135" s="30">
        <v>155.09999999999988</v>
      </c>
      <c r="C135" s="30">
        <v>1.1749999999999992</v>
      </c>
      <c r="D135" s="35">
        <v>2.0151515151515151</v>
      </c>
      <c r="E135" s="31">
        <v>0.34848484848484851</v>
      </c>
      <c r="F135" s="31">
        <v>0.36363636363636365</v>
      </c>
      <c r="G135" s="31">
        <v>0.3147982062780269</v>
      </c>
      <c r="H135" s="31">
        <v>0.17219730941704037</v>
      </c>
      <c r="I135" s="32">
        <v>8239.3162393162402</v>
      </c>
      <c r="J135" s="32">
        <v>-7440.625</v>
      </c>
      <c r="K135" s="31">
        <v>8.3333333333333329E-2</v>
      </c>
      <c r="L135" s="31">
        <v>0.24932735426008967</v>
      </c>
      <c r="M135" s="31">
        <v>0.19820627802690582</v>
      </c>
      <c r="N135" s="31">
        <v>0.5611510791366906</v>
      </c>
      <c r="O135" s="31">
        <v>0.47058823529411764</v>
      </c>
      <c r="P135" s="31">
        <v>0.46153846153846156</v>
      </c>
    </row>
    <row r="136" spans="1:16" x14ac:dyDescent="0.4">
      <c r="A136" s="33">
        <v>133</v>
      </c>
      <c r="B136" s="30">
        <v>146.19999999999987</v>
      </c>
      <c r="C136" s="30">
        <v>1.0992481203007509</v>
      </c>
      <c r="D136" s="35">
        <v>2.0150375939849625</v>
      </c>
      <c r="E136" s="31">
        <v>0.34586466165413532</v>
      </c>
      <c r="F136" s="31">
        <v>0.36090225563909772</v>
      </c>
      <c r="G136" s="31">
        <v>0.3146167557932264</v>
      </c>
      <c r="H136" s="31">
        <v>0.17290552584670232</v>
      </c>
      <c r="I136" s="32">
        <v>8243.0594900849865</v>
      </c>
      <c r="J136" s="32">
        <v>-7496.3917525773195</v>
      </c>
      <c r="K136" s="31">
        <v>8.2706766917293228E-2</v>
      </c>
      <c r="L136" s="31">
        <v>0.24866310160427807</v>
      </c>
      <c r="M136" s="31">
        <v>0.19875222816399288</v>
      </c>
      <c r="N136" s="31">
        <v>0.55913978494623651</v>
      </c>
      <c r="O136" s="31">
        <v>0.47533632286995514</v>
      </c>
      <c r="P136" s="31">
        <v>0.45892351274787535</v>
      </c>
    </row>
    <row r="137" spans="1:16" x14ac:dyDescent="0.4">
      <c r="A137" s="33">
        <v>134</v>
      </c>
      <c r="B137" s="30">
        <v>107.19999999999987</v>
      </c>
      <c r="C137" s="30">
        <v>0.79999999999999905</v>
      </c>
      <c r="D137" s="35">
        <v>2.0223880597014925</v>
      </c>
      <c r="E137" s="31">
        <v>0.34328358208955223</v>
      </c>
      <c r="F137" s="31">
        <v>0.36567164179104478</v>
      </c>
      <c r="G137" s="31">
        <v>0.31382978723404253</v>
      </c>
      <c r="H137" s="31">
        <v>0.17287234042553193</v>
      </c>
      <c r="I137" s="32">
        <v>8223.4463276836159</v>
      </c>
      <c r="J137" s="32">
        <v>-7540</v>
      </c>
      <c r="K137" s="31">
        <v>8.2089552238805971E-2</v>
      </c>
      <c r="L137" s="31">
        <v>0.24822695035460993</v>
      </c>
      <c r="M137" s="31">
        <v>0.20035460992907803</v>
      </c>
      <c r="N137" s="31">
        <v>0.56071428571428572</v>
      </c>
      <c r="O137" s="31">
        <v>0.46902654867256638</v>
      </c>
      <c r="P137" s="31">
        <v>0.4576271186440678</v>
      </c>
    </row>
    <row r="138" spans="1:16" x14ac:dyDescent="0.4">
      <c r="A138" s="33">
        <v>135</v>
      </c>
      <c r="B138" s="30">
        <v>104.09999999999988</v>
      </c>
      <c r="C138" s="30">
        <v>0.77111111111111019</v>
      </c>
      <c r="D138" s="35">
        <v>2.0222222222222221</v>
      </c>
      <c r="E138" s="31">
        <v>0.34074074074074073</v>
      </c>
      <c r="F138" s="31">
        <v>0.36296296296296299</v>
      </c>
      <c r="G138" s="31">
        <v>0.31338028169014087</v>
      </c>
      <c r="H138" s="31">
        <v>0.17341549295774647</v>
      </c>
      <c r="I138" s="32">
        <v>8188.2022471910113</v>
      </c>
      <c r="J138" s="32">
        <v>-7534.5177664974617</v>
      </c>
      <c r="K138" s="31">
        <v>8.1481481481481488E-2</v>
      </c>
      <c r="L138" s="31">
        <v>0.24911971830985916</v>
      </c>
      <c r="M138" s="31">
        <v>0.20070422535211269</v>
      </c>
      <c r="N138" s="31">
        <v>0.55830388692579502</v>
      </c>
      <c r="O138" s="31">
        <v>0.46491228070175439</v>
      </c>
      <c r="P138" s="31">
        <v>0.4550561797752809</v>
      </c>
    </row>
    <row r="139" spans="1:16" x14ac:dyDescent="0.4">
      <c r="A139" s="33">
        <v>136</v>
      </c>
      <c r="B139" s="30">
        <v>168.69999999999987</v>
      </c>
      <c r="C139" s="30">
        <v>1.2404411764705874</v>
      </c>
      <c r="D139" s="35">
        <v>2.0147058823529411</v>
      </c>
      <c r="E139" s="31">
        <v>0.34558823529411764</v>
      </c>
      <c r="F139" s="31">
        <v>0.36029411764705882</v>
      </c>
      <c r="G139" s="31">
        <v>0.31615720524017465</v>
      </c>
      <c r="H139" s="31">
        <v>0.1720524017467249</v>
      </c>
      <c r="I139" s="32">
        <v>8225.4143646408847</v>
      </c>
      <c r="J139" s="32">
        <v>-7534.5177664974617</v>
      </c>
      <c r="K139" s="31">
        <v>8.0882352941176475E-2</v>
      </c>
      <c r="L139" s="31">
        <v>0.2497816593886463</v>
      </c>
      <c r="M139" s="31">
        <v>0.19912663755458515</v>
      </c>
      <c r="N139" s="31">
        <v>0.55944055944055948</v>
      </c>
      <c r="O139" s="31">
        <v>0.46491228070175439</v>
      </c>
      <c r="P139" s="31">
        <v>0.45027624309392267</v>
      </c>
    </row>
    <row r="140" spans="1:16" x14ac:dyDescent="0.4">
      <c r="A140" s="33">
        <v>137</v>
      </c>
      <c r="B140" s="30">
        <v>199.99999999999989</v>
      </c>
      <c r="C140" s="30">
        <v>1.4598540145985393</v>
      </c>
      <c r="D140" s="35">
        <v>2.0072992700729926</v>
      </c>
      <c r="E140" s="31">
        <v>0.35036496350364965</v>
      </c>
      <c r="F140" s="31">
        <v>0.35766423357664234</v>
      </c>
      <c r="G140" s="31">
        <v>0.3188908145580589</v>
      </c>
      <c r="H140" s="31">
        <v>0.17157712305025996</v>
      </c>
      <c r="I140" s="32">
        <v>8160.597826086957</v>
      </c>
      <c r="J140" s="32">
        <v>-7535.3535353535353</v>
      </c>
      <c r="K140" s="31">
        <v>8.0291970802919707E-2</v>
      </c>
      <c r="L140" s="31">
        <v>0.24870017331022531</v>
      </c>
      <c r="M140" s="31">
        <v>0.19844020797227035</v>
      </c>
      <c r="N140" s="31">
        <v>0.56097560975609762</v>
      </c>
      <c r="O140" s="31">
        <v>0.46724890829694321</v>
      </c>
      <c r="P140" s="31">
        <v>0.44565217391304346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6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  <row r="145" spans="1:16" x14ac:dyDescent="0.4">
      <c r="A145" s="33">
        <v>142</v>
      </c>
      <c r="B145" s="30">
        <v>4.9737991503207013E-14</v>
      </c>
      <c r="C145" s="30">
        <v>1.167558485990775E-16</v>
      </c>
      <c r="D145" s="35">
        <v>1.9976525821596245</v>
      </c>
      <c r="E145" s="31">
        <v>0.33568075117370894</v>
      </c>
      <c r="F145" s="31">
        <v>0.33333333333333331</v>
      </c>
      <c r="G145" s="31">
        <v>0.29405346426623025</v>
      </c>
      <c r="H145" s="31">
        <v>0.16257501363884341</v>
      </c>
      <c r="I145" s="32">
        <v>8158.9981447124301</v>
      </c>
      <c r="J145" s="32">
        <v>-7682.2147651006708</v>
      </c>
      <c r="K145" s="31">
        <v>8.9201877934272297E-2</v>
      </c>
      <c r="L145" s="31">
        <v>0.24577195853791597</v>
      </c>
      <c r="M145" s="31">
        <v>0.22585924713584288</v>
      </c>
      <c r="N145" s="31">
        <v>0.52275249722530526</v>
      </c>
      <c r="O145" s="31">
        <v>0.40579710144927539</v>
      </c>
      <c r="P145" s="31">
        <v>0.44063079777365494</v>
      </c>
    </row>
    <row r="146" spans="1:16" x14ac:dyDescent="0.4">
      <c r="A146" s="33">
        <v>143</v>
      </c>
      <c r="B146" s="30">
        <v>4.9737991503207013E-14</v>
      </c>
      <c r="C146" s="30">
        <v>1.1593937413334967E-16</v>
      </c>
      <c r="D146" s="35">
        <v>1.9976689976689976</v>
      </c>
      <c r="E146" s="31">
        <v>0.33566433566433568</v>
      </c>
      <c r="F146" s="31">
        <v>0.33333333333333331</v>
      </c>
      <c r="G146" s="31">
        <v>0.2939739413680782</v>
      </c>
      <c r="H146" s="31">
        <v>0.16259500542888164</v>
      </c>
      <c r="I146" s="32">
        <v>8151.9852262234535</v>
      </c>
      <c r="J146" s="32">
        <v>-7683.8063439065108</v>
      </c>
      <c r="K146" s="31">
        <v>8.8578088578088576E-2</v>
      </c>
      <c r="L146" s="31">
        <v>0.24619978284473398</v>
      </c>
      <c r="M146" s="31">
        <v>0.22529858849077089</v>
      </c>
      <c r="N146" s="31">
        <v>0.52260198456449836</v>
      </c>
      <c r="O146" s="31">
        <v>0.40481927710843374</v>
      </c>
      <c r="P146" s="31">
        <v>0.44044321329639891</v>
      </c>
    </row>
    <row r="147" spans="1:16" x14ac:dyDescent="0.4">
      <c r="A147" s="33">
        <v>144</v>
      </c>
      <c r="B147" s="30">
        <v>4.7961634663806763E-14</v>
      </c>
      <c r="C147" s="30">
        <v>1.1102230246251565E-16</v>
      </c>
      <c r="D147" s="35">
        <v>1.9976851851851851</v>
      </c>
      <c r="E147" s="31">
        <v>0.33564814814814814</v>
      </c>
      <c r="F147" s="31">
        <v>0.33333333333333331</v>
      </c>
      <c r="G147" s="31">
        <v>0.29399083804904336</v>
      </c>
      <c r="H147" s="31">
        <v>0.16302883319859876</v>
      </c>
      <c r="I147" s="32">
        <v>8140.0549954170483</v>
      </c>
      <c r="J147" s="32">
        <v>-7677.6859504132235</v>
      </c>
      <c r="K147" s="31">
        <v>8.7962962962962965E-2</v>
      </c>
      <c r="L147" s="31">
        <v>0.24656426839126919</v>
      </c>
      <c r="M147" s="31">
        <v>0.2255456750202102</v>
      </c>
      <c r="N147" s="31">
        <v>0.52240437158469943</v>
      </c>
      <c r="O147" s="31">
        <v>0.4050179211469534</v>
      </c>
      <c r="P147" s="31">
        <v>0.43904674610449129</v>
      </c>
    </row>
    <row r="148" spans="1:16" x14ac:dyDescent="0.4">
      <c r="A148" s="33">
        <v>145</v>
      </c>
      <c r="B148" s="30">
        <v>5.3290705182007514E-14</v>
      </c>
      <c r="C148" s="30">
        <v>1.2250736823450003E-16</v>
      </c>
      <c r="D148" s="35">
        <v>1.9977011494252874</v>
      </c>
      <c r="E148" s="31">
        <v>0.335632183908046</v>
      </c>
      <c r="F148" s="31">
        <v>0.33333333333333331</v>
      </c>
      <c r="G148" s="31">
        <v>0.29344042838018741</v>
      </c>
      <c r="H148" s="31">
        <v>0.16251673360107094</v>
      </c>
      <c r="I148" s="32">
        <v>8162.7737226277368</v>
      </c>
      <c r="J148" s="32">
        <v>-7685.3377265238878</v>
      </c>
      <c r="K148" s="31">
        <v>8.9655172413793102E-2</v>
      </c>
      <c r="L148" s="31">
        <v>0.24712182061579652</v>
      </c>
      <c r="M148" s="31">
        <v>0.22436412315930387</v>
      </c>
      <c r="N148" s="31">
        <v>0.52112676056338025</v>
      </c>
      <c r="O148" s="31">
        <v>0.40453460620525061</v>
      </c>
      <c r="P148" s="31">
        <v>0.43978102189781021</v>
      </c>
    </row>
    <row r="149" spans="1:16" x14ac:dyDescent="0.4">
      <c r="A149" s="33">
        <v>146</v>
      </c>
      <c r="B149" s="30">
        <v>5.5067062021407764E-14</v>
      </c>
      <c r="C149" s="30">
        <v>1.2572388589362503E-16</v>
      </c>
      <c r="D149" s="35">
        <v>1.9977168949771689</v>
      </c>
      <c r="E149" s="31">
        <v>0.33561643835616439</v>
      </c>
      <c r="F149" s="31">
        <v>0.33333333333333331</v>
      </c>
      <c r="G149" s="31">
        <v>0.29322709163346611</v>
      </c>
      <c r="H149" s="31">
        <v>0.16228419654714477</v>
      </c>
      <c r="I149" s="32">
        <v>8172.916666666667</v>
      </c>
      <c r="J149" s="32">
        <v>-7684.9427168576103</v>
      </c>
      <c r="K149" s="31">
        <v>8.9041095890410954E-2</v>
      </c>
      <c r="L149" s="31">
        <v>0.24674634794156705</v>
      </c>
      <c r="M149" s="31">
        <v>0.22470119521912352</v>
      </c>
      <c r="N149" s="31">
        <v>0.5209903121636168</v>
      </c>
      <c r="O149" s="31">
        <v>0.40307328605200948</v>
      </c>
      <c r="P149" s="31">
        <v>0.44021739130434784</v>
      </c>
    </row>
    <row r="150" spans="1:16" x14ac:dyDescent="0.4">
      <c r="A150" s="33">
        <v>147</v>
      </c>
      <c r="B150" s="30">
        <v>4.9737991503207013E-14</v>
      </c>
      <c r="C150" s="30">
        <v>1.1278456123176193E-16</v>
      </c>
      <c r="D150" s="35">
        <v>1.9977324263038549</v>
      </c>
      <c r="E150" s="31">
        <v>0.33560090702947848</v>
      </c>
      <c r="F150" s="31">
        <v>0.33333333333333331</v>
      </c>
      <c r="G150" s="31">
        <v>0.29341792228390168</v>
      </c>
      <c r="H150" s="31">
        <v>0.16283372984403913</v>
      </c>
      <c r="I150" s="32">
        <v>8176.666666666667</v>
      </c>
      <c r="J150" s="32">
        <v>-7695.9415584415583</v>
      </c>
      <c r="K150" s="31">
        <v>8.8435374149659865E-2</v>
      </c>
      <c r="L150" s="31">
        <v>0.24662965900079303</v>
      </c>
      <c r="M150" s="31">
        <v>0.22495374041765795</v>
      </c>
      <c r="N150" s="31">
        <v>0.52197213290460875</v>
      </c>
      <c r="O150" s="31">
        <v>0.40305522914218567</v>
      </c>
      <c r="P150" s="31">
        <v>0.43873873873873875</v>
      </c>
    </row>
    <row r="151" spans="1:16" x14ac:dyDescent="0.4">
      <c r="A151" s="33">
        <v>148</v>
      </c>
      <c r="B151" s="30">
        <v>4.9737991503207013E-14</v>
      </c>
      <c r="C151" s="30">
        <v>1.1202250338560137E-16</v>
      </c>
      <c r="D151" s="35">
        <v>1.9977477477477477</v>
      </c>
      <c r="E151" s="31">
        <v>0.3355855855855856</v>
      </c>
      <c r="F151" s="31">
        <v>0.33333333333333331</v>
      </c>
      <c r="G151" s="31">
        <v>0.29350104821802936</v>
      </c>
      <c r="H151" s="31">
        <v>0.16299790356394131</v>
      </c>
      <c r="I151" s="32">
        <v>8172.5</v>
      </c>
      <c r="J151" s="32">
        <v>-7670.5787781350482</v>
      </c>
      <c r="K151" s="31">
        <v>9.0090090090090086E-2</v>
      </c>
      <c r="L151" s="31">
        <v>0.24685534591194969</v>
      </c>
      <c r="M151" s="31">
        <v>0.22484276729559749</v>
      </c>
      <c r="N151" s="31">
        <v>0.52016985138004246</v>
      </c>
      <c r="O151" s="31">
        <v>0.40675990675990675</v>
      </c>
      <c r="P151" s="31">
        <v>0.43839285714285714</v>
      </c>
    </row>
    <row r="152" spans="1:16" x14ac:dyDescent="0.4">
      <c r="A152" s="33">
        <v>149</v>
      </c>
      <c r="B152" s="30">
        <v>4.9737991503207013E-14</v>
      </c>
      <c r="C152" s="30">
        <v>1.1127067450381882E-16</v>
      </c>
      <c r="D152" s="35">
        <v>1.9977628635346756</v>
      </c>
      <c r="E152" s="31">
        <v>0.33557046979865773</v>
      </c>
      <c r="F152" s="31">
        <v>0.33333333333333331</v>
      </c>
      <c r="G152" s="31">
        <v>0.29342723004694837</v>
      </c>
      <c r="H152" s="31">
        <v>0.16327595200834638</v>
      </c>
      <c r="I152" s="32">
        <v>8166.3111111111111</v>
      </c>
      <c r="J152" s="32">
        <v>-7656.5495207667727</v>
      </c>
      <c r="K152" s="31">
        <v>8.9485458612975396E-2</v>
      </c>
      <c r="L152" s="31">
        <v>0.24621804903495045</v>
      </c>
      <c r="M152" s="31">
        <v>0.22535211267605634</v>
      </c>
      <c r="N152" s="31">
        <v>0.5201271186440678</v>
      </c>
      <c r="O152" s="31">
        <v>0.40856481481481483</v>
      </c>
      <c r="P152" s="31">
        <v>0.43733333333333335</v>
      </c>
    </row>
    <row r="153" spans="1:16" x14ac:dyDescent="0.4">
      <c r="A153" s="33">
        <v>150</v>
      </c>
      <c r="B153" s="30">
        <v>4.6185277824406512E-14</v>
      </c>
      <c r="C153" s="30">
        <v>1.0263395072090336E-16</v>
      </c>
      <c r="D153" s="35">
        <v>1.9977777777777779</v>
      </c>
      <c r="E153" s="31">
        <v>0.33555555555555555</v>
      </c>
      <c r="F153" s="31">
        <v>0.33333333333333331</v>
      </c>
      <c r="G153" s="31">
        <v>0.29314786192684184</v>
      </c>
      <c r="H153" s="31">
        <v>0.16357547655847501</v>
      </c>
      <c r="I153" s="32">
        <v>8163.4446397188049</v>
      </c>
      <c r="J153" s="32">
        <v>-7676.6929133858266</v>
      </c>
      <c r="K153" s="31">
        <v>8.8888888888888892E-2</v>
      </c>
      <c r="L153" s="31">
        <v>0.24574961360123648</v>
      </c>
      <c r="M153" s="31">
        <v>0.223338485316847</v>
      </c>
      <c r="N153" s="31">
        <v>0.5220125786163522</v>
      </c>
      <c r="O153" s="31">
        <v>0.40830449826989618</v>
      </c>
      <c r="P153" s="31">
        <v>0.43585237258347981</v>
      </c>
    </row>
    <row r="154" spans="1:16" x14ac:dyDescent="0.4">
      <c r="A154" s="33">
        <v>151</v>
      </c>
      <c r="B154" s="30">
        <v>4.9737991503207013E-14</v>
      </c>
      <c r="C154" s="30">
        <v>1.0979689073555633E-16</v>
      </c>
      <c r="D154" s="35">
        <v>1.9977924944812362</v>
      </c>
      <c r="E154" s="31">
        <v>0.33554083885209712</v>
      </c>
      <c r="F154" s="31">
        <v>0.33333333333333331</v>
      </c>
      <c r="G154" s="31">
        <v>0.29310786574429926</v>
      </c>
      <c r="H154" s="31">
        <v>0.16397642838841917</v>
      </c>
      <c r="I154" s="32">
        <v>8159.7902097902097</v>
      </c>
      <c r="J154" s="32">
        <v>-7674.6875</v>
      </c>
      <c r="K154" s="31">
        <v>8.8300220750551883E-2</v>
      </c>
      <c r="L154" s="31">
        <v>0.24596464258262873</v>
      </c>
      <c r="M154" s="31">
        <v>0.22367409684857803</v>
      </c>
      <c r="N154" s="31">
        <v>0.5229166666666667</v>
      </c>
      <c r="O154" s="31">
        <v>0.40778923253150057</v>
      </c>
      <c r="P154" s="31">
        <v>0.43444055944055943</v>
      </c>
    </row>
    <row r="155" spans="1:16" x14ac:dyDescent="0.4">
      <c r="A155" s="33">
        <v>152</v>
      </c>
      <c r="B155" s="30">
        <v>4.9737991503207013E-14</v>
      </c>
      <c r="C155" s="30">
        <v>1.0907454277019081E-16</v>
      </c>
      <c r="D155" s="35">
        <v>1.9978070175438596</v>
      </c>
      <c r="E155" s="31">
        <v>0.33552631578947367</v>
      </c>
      <c r="F155" s="31">
        <v>0.33333333333333331</v>
      </c>
      <c r="G155" s="31">
        <v>0.29309905780494017</v>
      </c>
      <c r="H155" s="31">
        <v>0.16322892793481028</v>
      </c>
      <c r="I155" s="32">
        <v>8158.7315377932237</v>
      </c>
      <c r="J155" s="32">
        <v>-7668.7987519500784</v>
      </c>
      <c r="K155" s="31">
        <v>8.771929824561403E-2</v>
      </c>
      <c r="L155" s="31">
        <v>0.24573465749936338</v>
      </c>
      <c r="M155" s="31">
        <v>0.22383498854087089</v>
      </c>
      <c r="N155" s="31">
        <v>0.52227979274611402</v>
      </c>
      <c r="O155" s="31">
        <v>0.40955631399317405</v>
      </c>
      <c r="P155" s="31">
        <v>0.43701129452649867</v>
      </c>
    </row>
    <row r="156" spans="1:16" x14ac:dyDescent="0.4">
      <c r="A156" s="33">
        <v>153</v>
      </c>
      <c r="B156" s="30">
        <v>4.7961634663806763E-14</v>
      </c>
      <c r="C156" s="30">
        <v>1.0449157878825003E-16</v>
      </c>
      <c r="D156" s="35">
        <v>1.9978213507625273</v>
      </c>
      <c r="E156" s="31">
        <v>0.33551198257080611</v>
      </c>
      <c r="F156" s="31">
        <v>0.33333333333333331</v>
      </c>
      <c r="G156" s="31">
        <v>0.29305977710233028</v>
      </c>
      <c r="H156" s="31">
        <v>0.16362715298885511</v>
      </c>
      <c r="I156" s="32">
        <v>8153.1547104580814</v>
      </c>
      <c r="J156" s="32">
        <v>-7647.3684210526317</v>
      </c>
      <c r="K156" s="31">
        <v>8.9324618736383449E-2</v>
      </c>
      <c r="L156" s="31">
        <v>0.24544072948328269</v>
      </c>
      <c r="M156" s="31">
        <v>0.22315096251266464</v>
      </c>
      <c r="N156" s="31">
        <v>0.5242518059855521</v>
      </c>
      <c r="O156" s="31">
        <v>0.41089670828603858</v>
      </c>
      <c r="P156" s="31">
        <v>0.43560933448573896</v>
      </c>
    </row>
    <row r="157" spans="1:16" x14ac:dyDescent="0.4">
      <c r="A157" s="33">
        <v>154</v>
      </c>
      <c r="B157" s="30">
        <v>4.2632564145606011E-14</v>
      </c>
      <c r="C157" s="30">
        <v>9.2278277371441589E-17</v>
      </c>
      <c r="D157" s="35">
        <v>1.9978354978354977</v>
      </c>
      <c r="E157" s="31">
        <v>0.33549783549783552</v>
      </c>
      <c r="F157" s="31">
        <v>0.33333333333333331</v>
      </c>
      <c r="G157" s="31">
        <v>0.29305135951661632</v>
      </c>
      <c r="H157" s="31">
        <v>0.16364551863041288</v>
      </c>
      <c r="I157" s="32">
        <v>8155.7560137457049</v>
      </c>
      <c r="J157" s="32">
        <v>-7662</v>
      </c>
      <c r="K157" s="31">
        <v>8.8744588744588751E-2</v>
      </c>
      <c r="L157" s="31">
        <v>0.24546827794561935</v>
      </c>
      <c r="M157" s="31">
        <v>0.2230614300100705</v>
      </c>
      <c r="N157" s="31">
        <v>0.52512820512820513</v>
      </c>
      <c r="O157" s="31">
        <v>0.40970654627539504</v>
      </c>
      <c r="P157" s="31">
        <v>0.43556701030927836</v>
      </c>
    </row>
    <row r="158" spans="1:16" x14ac:dyDescent="0.4">
      <c r="A158" s="33">
        <v>155</v>
      </c>
      <c r="B158" s="30">
        <v>4.6185277824406512E-14</v>
      </c>
      <c r="C158" s="30">
        <v>9.9323178117003255E-17</v>
      </c>
      <c r="D158" s="35">
        <v>1.9978494623655914</v>
      </c>
      <c r="E158" s="31">
        <v>0.33548387096774196</v>
      </c>
      <c r="F158" s="31">
        <v>0.33333333333333331</v>
      </c>
      <c r="G158" s="31">
        <v>0.29335332333833081</v>
      </c>
      <c r="H158" s="31">
        <v>0.16291854072963519</v>
      </c>
      <c r="I158" s="32">
        <v>8161.3287904599656</v>
      </c>
      <c r="J158" s="32">
        <v>-7652.3006134969328</v>
      </c>
      <c r="K158" s="31">
        <v>8.8172043010752682E-2</v>
      </c>
      <c r="L158" s="31">
        <v>0.24587706146926536</v>
      </c>
      <c r="M158" s="31">
        <v>0.22288855572213892</v>
      </c>
      <c r="N158" s="31">
        <v>0.52540650406504064</v>
      </c>
      <c r="O158" s="31">
        <v>0.4103139013452915</v>
      </c>
      <c r="P158" s="31">
        <v>0.43867120954003408</v>
      </c>
    </row>
    <row r="159" spans="1:16" x14ac:dyDescent="0.4">
      <c r="A159" s="33">
        <v>156</v>
      </c>
      <c r="B159" s="30">
        <v>4.9737991503207013E-14</v>
      </c>
      <c r="C159" s="30">
        <v>1.0627775962223721E-16</v>
      </c>
      <c r="D159" s="35">
        <v>1.9978632478632479</v>
      </c>
      <c r="E159" s="31">
        <v>0.33547008547008544</v>
      </c>
      <c r="F159" s="31">
        <v>0.33333333333333331</v>
      </c>
      <c r="G159" s="31">
        <v>0.29362124596674111</v>
      </c>
      <c r="H159" s="31">
        <v>0.16306775874906926</v>
      </c>
      <c r="I159" s="32">
        <v>8170.3296703296701</v>
      </c>
      <c r="J159" s="32">
        <v>-7660.426179604262</v>
      </c>
      <c r="K159" s="31">
        <v>8.7606837606837601E-2</v>
      </c>
      <c r="L159" s="31">
        <v>0.24621494167287167</v>
      </c>
      <c r="M159" s="31">
        <v>0.22238768925291635</v>
      </c>
      <c r="N159" s="31">
        <v>0.52822580645161288</v>
      </c>
      <c r="O159" s="31">
        <v>0.4095982142857143</v>
      </c>
      <c r="P159" s="31">
        <v>0.43871513102282333</v>
      </c>
    </row>
    <row r="160" spans="1:16" x14ac:dyDescent="0.4">
      <c r="A160" s="33">
        <v>157</v>
      </c>
      <c r="B160" s="30">
        <v>4.7961634663806763E-14</v>
      </c>
      <c r="C160" s="30">
        <v>1.0182937295925003E-16</v>
      </c>
      <c r="D160" s="35">
        <v>1.9978768577494692</v>
      </c>
      <c r="E160" s="31">
        <v>0.3354564755838641</v>
      </c>
      <c r="F160" s="31">
        <v>0.33333333333333331</v>
      </c>
      <c r="G160" s="31">
        <v>0.29358024691358026</v>
      </c>
      <c r="H160" s="31">
        <v>0.16345679012345679</v>
      </c>
      <c r="I160" s="32">
        <v>8190.9167367535747</v>
      </c>
      <c r="J160" s="32">
        <v>-7713.5951661631416</v>
      </c>
      <c r="K160" s="31">
        <v>8.9171974522292988E-2</v>
      </c>
      <c r="L160" s="31">
        <v>0.24567901234567902</v>
      </c>
      <c r="M160" s="31">
        <v>0.22222222222222221</v>
      </c>
      <c r="N160" s="31">
        <v>0.52763819095477382</v>
      </c>
      <c r="O160" s="31">
        <v>0.41111111111111109</v>
      </c>
      <c r="P160" s="31">
        <v>0.43650126156433977</v>
      </c>
    </row>
    <row r="161" spans="1:16" x14ac:dyDescent="0.4">
      <c r="A161" s="33">
        <v>158</v>
      </c>
      <c r="B161" s="30">
        <v>4.9737991503207013E-14</v>
      </c>
      <c r="C161" s="30">
        <v>1.0493247152575319E-16</v>
      </c>
      <c r="D161" s="35">
        <v>1.9978902953586497</v>
      </c>
      <c r="E161" s="31">
        <v>0.33544303797468356</v>
      </c>
      <c r="F161" s="31">
        <v>0.33333333333333331</v>
      </c>
      <c r="G161" s="31">
        <v>0.29375614552605706</v>
      </c>
      <c r="H161" s="31">
        <v>0.16347099311701083</v>
      </c>
      <c r="I161" s="32">
        <v>8195.4811715481173</v>
      </c>
      <c r="J161" s="32">
        <v>-7716.8421052631575</v>
      </c>
      <c r="K161" s="31">
        <v>8.8607594936708861E-2</v>
      </c>
      <c r="L161" s="31">
        <v>0.2460668633235005</v>
      </c>
      <c r="M161" s="31">
        <v>0.22222222222222221</v>
      </c>
      <c r="N161" s="31">
        <v>0.52847152847152845</v>
      </c>
      <c r="O161" s="31">
        <v>0.40929203539823011</v>
      </c>
      <c r="P161" s="31">
        <v>0.43682008368200836</v>
      </c>
    </row>
    <row r="162" spans="1:16" x14ac:dyDescent="0.4">
      <c r="A162" s="33">
        <v>159</v>
      </c>
      <c r="B162" s="30">
        <v>5.1070259132757201E-14</v>
      </c>
      <c r="C162" s="30">
        <v>1.070655327730759E-16</v>
      </c>
      <c r="D162" s="35">
        <v>1.9979035639412999</v>
      </c>
      <c r="E162" s="31">
        <v>0.33542976939203356</v>
      </c>
      <c r="F162" s="31">
        <v>0.33333333333333331</v>
      </c>
      <c r="G162" s="31">
        <v>0.2932551319648094</v>
      </c>
      <c r="H162" s="31">
        <v>0.16373411534701857</v>
      </c>
      <c r="I162" s="32">
        <v>8177.333333333333</v>
      </c>
      <c r="J162" s="32">
        <v>-7687.9104477611936</v>
      </c>
      <c r="K162" s="31">
        <v>8.8050314465408799E-2</v>
      </c>
      <c r="L162" s="31">
        <v>0.24657869012707723</v>
      </c>
      <c r="M162" s="31">
        <v>0.22262952101661779</v>
      </c>
      <c r="N162" s="31">
        <v>0.52626362735381571</v>
      </c>
      <c r="O162" s="31">
        <v>0.40724478594950603</v>
      </c>
      <c r="P162" s="31">
        <v>0.435</v>
      </c>
    </row>
    <row r="163" spans="1:16" x14ac:dyDescent="0.4">
      <c r="A163" s="33">
        <v>160</v>
      </c>
      <c r="B163" s="30">
        <v>4.2632564145606011E-14</v>
      </c>
      <c r="C163" s="30">
        <v>8.8817841970012528E-17</v>
      </c>
      <c r="D163" s="35">
        <v>1.9979166666666666</v>
      </c>
      <c r="E163" s="31">
        <v>0.33541666666666664</v>
      </c>
      <c r="F163" s="31">
        <v>0.33333333333333331</v>
      </c>
      <c r="G163" s="31">
        <v>0.29327506676377763</v>
      </c>
      <c r="H163" s="31">
        <v>0.16411750424860402</v>
      </c>
      <c r="I163" s="32">
        <v>8186.5894039735103</v>
      </c>
      <c r="J163" s="32">
        <v>-7706.3609467455617</v>
      </c>
      <c r="K163" s="31">
        <v>8.7499999999999994E-2</v>
      </c>
      <c r="L163" s="31">
        <v>0.24641903374605487</v>
      </c>
      <c r="M163" s="31">
        <v>0.22165574168487498</v>
      </c>
      <c r="N163" s="31">
        <v>0.52610837438423641</v>
      </c>
      <c r="O163" s="31">
        <v>0.40635268346111719</v>
      </c>
      <c r="P163" s="31">
        <v>0.43377483443708609</v>
      </c>
    </row>
    <row r="164" spans="1:16" x14ac:dyDescent="0.4">
      <c r="A164" s="33">
        <v>161</v>
      </c>
      <c r="B164" s="30">
        <v>3.9968028886505635E-14</v>
      </c>
      <c r="C164" s="30">
        <v>8.2749542208086198E-17</v>
      </c>
      <c r="D164" s="35">
        <v>1.9979296066252588</v>
      </c>
      <c r="E164" s="31">
        <v>0.33540372670807456</v>
      </c>
      <c r="F164" s="31">
        <v>0.33333333333333331</v>
      </c>
      <c r="G164" s="31">
        <v>0.29329474191992283</v>
      </c>
      <c r="H164" s="31">
        <v>0.16353111432706222</v>
      </c>
      <c r="I164" s="32">
        <v>8195.9703947368416</v>
      </c>
      <c r="J164" s="32">
        <v>-7708.9970501474927</v>
      </c>
      <c r="K164" s="31">
        <v>8.6956521739130432E-2</v>
      </c>
      <c r="L164" s="31">
        <v>0.24626145682585623</v>
      </c>
      <c r="M164" s="31">
        <v>0.22141823444283648</v>
      </c>
      <c r="N164" s="31">
        <v>0.52693437806072474</v>
      </c>
      <c r="O164" s="31">
        <v>0.40631808278867104</v>
      </c>
      <c r="P164" s="31">
        <v>0.43585526315789475</v>
      </c>
    </row>
    <row r="165" spans="1:16" x14ac:dyDescent="0.4">
      <c r="A165" s="33">
        <v>162</v>
      </c>
      <c r="B165" s="30">
        <v>4.2632564145606011E-14</v>
      </c>
      <c r="C165" s="30">
        <v>8.77213254024815E-17</v>
      </c>
      <c r="D165" s="35">
        <v>1.9979423868312758</v>
      </c>
      <c r="E165" s="31">
        <v>0.33539094650205764</v>
      </c>
      <c r="F165" s="31">
        <v>0.33333333333333331</v>
      </c>
      <c r="G165" s="31">
        <v>0.29355379822669542</v>
      </c>
      <c r="H165" s="31">
        <v>0.16415049125329498</v>
      </c>
      <c r="I165" s="32">
        <v>8175.9183673469388</v>
      </c>
      <c r="J165" s="32">
        <v>-7684.5255474452551</v>
      </c>
      <c r="K165" s="31">
        <v>8.6419753086419748E-2</v>
      </c>
      <c r="L165" s="31">
        <v>0.24610591900311526</v>
      </c>
      <c r="M165" s="31">
        <v>0.22094416486939852</v>
      </c>
      <c r="N165" s="31">
        <v>0.52677702044790653</v>
      </c>
      <c r="O165" s="31">
        <v>0.40672451193058567</v>
      </c>
      <c r="P165" s="31">
        <v>0.43428571428571427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2021-02-02T08:06:06Z</dcterms:modified>
</cp:coreProperties>
</file>