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F63A3FE4-6239-4400-BD63-B60A35BC2EB0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92" r:id="rId6"/>
    <sheet name="だいち" sheetId="6894" r:id="rId7"/>
    <sheet name="れんたろう" sheetId="6896" r:id="rId8"/>
    <sheet name="たかの" sheetId="6898" r:id="rId9"/>
    <sheet name="まっつん" sheetId="6900" r:id="rId10"/>
    <sheet name="いちかわ" sheetId="6902" r:id="rId11"/>
    <sheet name="ただ" sheetId="6904" r:id="rId12"/>
    <sheet name="たか" sheetId="6906" r:id="rId13"/>
    <sheet name="のり" sheetId="6908" r:id="rId14"/>
    <sheet name="りくと" sheetId="6910" r:id="rId15"/>
    <sheet name="わさび" sheetId="6912" r:id="rId16"/>
    <sheet name="わさび2" sheetId="6913" state="hidden" r:id="rId17"/>
    <sheet name="りくと2" sheetId="6911" state="hidden" r:id="rId18"/>
    <sheet name="のり2" sheetId="6909" state="hidden" r:id="rId19"/>
    <sheet name="たか2" sheetId="6907" state="hidden" r:id="rId20"/>
    <sheet name="ただ2" sheetId="6905" state="hidden" r:id="rId21"/>
    <sheet name="いちかわ2" sheetId="6903" state="hidden" r:id="rId22"/>
    <sheet name="まっつん2" sheetId="6901" state="hidden" r:id="rId23"/>
    <sheet name="たかの2" sheetId="6899" state="hidden" r:id="rId24"/>
    <sheet name="れんたろう2" sheetId="6897" state="hidden" r:id="rId25"/>
    <sheet name="だいち2" sheetId="6895" state="hidden" r:id="rId26"/>
    <sheet name="全体2" sheetId="689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896" l="1"/>
  <c r="P18" i="6900"/>
  <c r="P15" i="6910" l="1"/>
  <c r="P21" i="6896"/>
  <c r="P17" i="6898" l="1"/>
  <c r="P19" i="6900"/>
  <c r="P21" i="6904"/>
  <c r="P16" i="6900"/>
  <c r="P19" i="6906" l="1"/>
  <c r="P15" i="6898"/>
  <c r="P17" i="6910" l="1"/>
  <c r="P20" i="6894"/>
  <c r="P21" i="6902" l="1"/>
  <c r="P19" i="6898"/>
  <c r="P15" i="6904" l="1"/>
  <c r="P18" i="6904"/>
  <c r="P18" i="6910"/>
  <c r="P17" i="6912"/>
  <c r="P18" i="6902"/>
  <c r="P15" i="6902"/>
  <c r="P15" i="6912"/>
  <c r="P16" i="6912"/>
  <c r="C35" i="6912"/>
  <c r="B30" i="6912"/>
  <c r="C21" i="6912"/>
  <c r="B20" i="6912"/>
  <c r="H50" i="6912" s="1"/>
  <c r="B19" i="6912"/>
  <c r="B29" i="6912" s="1"/>
  <c r="C18" i="6912"/>
  <c r="B18" i="6912"/>
  <c r="C17" i="6912"/>
  <c r="C16" i="6912"/>
  <c r="C15" i="6912"/>
  <c r="B13" i="6912"/>
  <c r="P12" i="6912"/>
  <c r="B12" i="6912"/>
  <c r="P11" i="6912"/>
  <c r="B11" i="6912"/>
  <c r="P10" i="6912"/>
  <c r="C10" i="6912"/>
  <c r="C9" i="6912"/>
  <c r="C8" i="6912"/>
  <c r="P7" i="6912"/>
  <c r="B7" i="6912"/>
  <c r="P6" i="6912"/>
  <c r="P5" i="6912"/>
  <c r="B5" i="6912"/>
  <c r="P4" i="6912"/>
  <c r="P3" i="6912"/>
  <c r="P2" i="6912"/>
  <c r="P18" i="6892"/>
  <c r="P19" i="6910"/>
  <c r="P16" i="6910"/>
  <c r="C35" i="6910"/>
  <c r="B30" i="6910"/>
  <c r="C21" i="6910"/>
  <c r="B20" i="6910"/>
  <c r="H50" i="6910" s="1"/>
  <c r="B19" i="6910"/>
  <c r="B29" i="6910" s="1"/>
  <c r="B18" i="6910"/>
  <c r="C18" i="6910" s="1"/>
  <c r="C17" i="6910"/>
  <c r="C16" i="6910"/>
  <c r="C15" i="6910"/>
  <c r="B13" i="6910"/>
  <c r="P12" i="6910"/>
  <c r="B12" i="6910"/>
  <c r="P11" i="6910"/>
  <c r="B11" i="6910"/>
  <c r="P10" i="6910"/>
  <c r="C10" i="6910"/>
  <c r="C9" i="6910"/>
  <c r="C8" i="6910"/>
  <c r="P7" i="6910"/>
  <c r="B7" i="6910"/>
  <c r="P6" i="6910"/>
  <c r="P5" i="6910"/>
  <c r="B5" i="6910"/>
  <c r="P4" i="6910"/>
  <c r="P3" i="6910"/>
  <c r="P2" i="6910"/>
  <c r="P17" i="6892"/>
  <c r="B14" i="6910" l="1"/>
  <c r="C19" i="6910"/>
  <c r="B14" i="6912"/>
  <c r="C19" i="6912"/>
  <c r="C20" i="6912"/>
  <c r="H3" i="6912"/>
  <c r="H8" i="6912"/>
  <c r="H33" i="6912"/>
  <c r="C42" i="6912"/>
  <c r="C46" i="6912"/>
  <c r="H51" i="6912"/>
  <c r="H2" i="6912"/>
  <c r="H11" i="6912"/>
  <c r="H16" i="6912"/>
  <c r="H19" i="6912"/>
  <c r="C24" i="6912"/>
  <c r="B28" i="6912"/>
  <c r="H34" i="6912"/>
  <c r="H39" i="6912"/>
  <c r="H43" i="6912"/>
  <c r="H47" i="6912"/>
  <c r="H9" i="6912"/>
  <c r="H22" i="6912"/>
  <c r="H26" i="6912"/>
  <c r="H29" i="6912"/>
  <c r="H35" i="6912"/>
  <c r="C39" i="6912"/>
  <c r="C43" i="6912"/>
  <c r="C47" i="6912"/>
  <c r="H52" i="6912"/>
  <c r="H14" i="6912"/>
  <c r="H17" i="6912"/>
  <c r="C25" i="6912"/>
  <c r="H40" i="6912"/>
  <c r="H44" i="6912"/>
  <c r="H48" i="6912"/>
  <c r="H25" i="6912"/>
  <c r="C38" i="6912"/>
  <c r="H6" i="6912"/>
  <c r="H12" i="6912"/>
  <c r="H20" i="6912"/>
  <c r="H23" i="6912"/>
  <c r="H27" i="6912"/>
  <c r="H30" i="6912"/>
  <c r="H36" i="6912"/>
  <c r="C40" i="6912"/>
  <c r="C44" i="6912"/>
  <c r="C48" i="6912"/>
  <c r="H5" i="6912"/>
  <c r="H18" i="6912"/>
  <c r="C22" i="6912"/>
  <c r="C26" i="6912"/>
  <c r="H37" i="6912"/>
  <c r="H41" i="6912"/>
  <c r="H45" i="6912"/>
  <c r="H49" i="6912"/>
  <c r="H4" i="6912"/>
  <c r="H13" i="6912"/>
  <c r="H15" i="6912"/>
  <c r="H24" i="6912"/>
  <c r="H28" i="6912"/>
  <c r="H31" i="6912"/>
  <c r="C37" i="6912"/>
  <c r="C41" i="6912"/>
  <c r="C45" i="6912"/>
  <c r="C49" i="6912"/>
  <c r="H10" i="6912"/>
  <c r="H7" i="6912"/>
  <c r="H21" i="6912"/>
  <c r="C23" i="6912"/>
  <c r="B27" i="6912"/>
  <c r="H32" i="6912"/>
  <c r="H38" i="6912"/>
  <c r="H42" i="6912"/>
  <c r="H46" i="6912"/>
  <c r="C20" i="6910"/>
  <c r="H6" i="6910"/>
  <c r="H12" i="6910"/>
  <c r="C38" i="6910"/>
  <c r="C42" i="6910"/>
  <c r="H51" i="6910"/>
  <c r="H2" i="6910"/>
  <c r="H8" i="6910"/>
  <c r="H16" i="6910"/>
  <c r="H20" i="6910"/>
  <c r="C24" i="6910"/>
  <c r="B28" i="6910"/>
  <c r="H34" i="6910"/>
  <c r="H39" i="6910"/>
  <c r="H43" i="6910"/>
  <c r="H47" i="6910"/>
  <c r="H3" i="6910"/>
  <c r="H22" i="6910"/>
  <c r="H26" i="6910"/>
  <c r="H29" i="6910"/>
  <c r="H35" i="6910"/>
  <c r="C39" i="6910"/>
  <c r="C43" i="6910"/>
  <c r="C47" i="6910"/>
  <c r="H52" i="6910"/>
  <c r="H14" i="6910"/>
  <c r="H17" i="6910"/>
  <c r="C25" i="6910"/>
  <c r="H40" i="6910"/>
  <c r="H44" i="6910"/>
  <c r="H48" i="6910"/>
  <c r="H25" i="6910"/>
  <c r="H33" i="6910"/>
  <c r="C46" i="6910"/>
  <c r="H7" i="6910"/>
  <c r="H10" i="6910"/>
  <c r="H21" i="6910"/>
  <c r="H23" i="6910"/>
  <c r="H27" i="6910"/>
  <c r="H30" i="6910"/>
  <c r="H36" i="6910"/>
  <c r="C40" i="6910"/>
  <c r="C44" i="6910"/>
  <c r="C48" i="6910"/>
  <c r="H4" i="6910"/>
  <c r="H18" i="6910"/>
  <c r="C22" i="6910"/>
  <c r="C26" i="6910"/>
  <c r="H37" i="6910"/>
  <c r="H41" i="6910"/>
  <c r="H45" i="6910"/>
  <c r="H49" i="6910"/>
  <c r="H5" i="6910"/>
  <c r="H13" i="6910"/>
  <c r="H15" i="6910"/>
  <c r="H24" i="6910"/>
  <c r="H28" i="6910"/>
  <c r="H31" i="6910"/>
  <c r="C37" i="6910"/>
  <c r="C41" i="6910"/>
  <c r="C45" i="6910"/>
  <c r="C49" i="6910"/>
  <c r="H9" i="6910"/>
  <c r="H19" i="6910"/>
  <c r="H11" i="6910"/>
  <c r="C23" i="6910"/>
  <c r="B27" i="6910"/>
  <c r="H32" i="6910"/>
  <c r="H38" i="6910"/>
  <c r="H42" i="6910"/>
  <c r="H46" i="6910"/>
  <c r="P19" i="6896" l="1"/>
  <c r="P19" i="6904"/>
  <c r="P16" i="6902"/>
  <c r="P16" i="6904"/>
  <c r="P22" i="6904"/>
  <c r="P18" i="6906"/>
  <c r="P20" i="6902"/>
  <c r="P20" i="6906"/>
  <c r="P17" i="6896"/>
  <c r="P15" i="6896"/>
  <c r="P17" i="6908" l="1"/>
  <c r="P16" i="6906"/>
  <c r="P15" i="6894"/>
  <c r="P16" i="6894"/>
  <c r="P16" i="6908"/>
  <c r="P15" i="6908"/>
  <c r="C45" i="6908"/>
  <c r="C35" i="6908"/>
  <c r="B30" i="6908"/>
  <c r="C21" i="6908"/>
  <c r="B20" i="6908"/>
  <c r="H51" i="6908" s="1"/>
  <c r="B19" i="6908"/>
  <c r="B29" i="6908" s="1"/>
  <c r="B18" i="6908"/>
  <c r="C18" i="6908" s="1"/>
  <c r="C17" i="6908"/>
  <c r="C16" i="6908"/>
  <c r="C15" i="6908"/>
  <c r="B13" i="6908"/>
  <c r="P12" i="6908"/>
  <c r="B12" i="6908"/>
  <c r="P11" i="6908"/>
  <c r="H15" i="6908"/>
  <c r="B11" i="6908"/>
  <c r="P10" i="6908"/>
  <c r="C10" i="6908"/>
  <c r="C9" i="6908"/>
  <c r="C8" i="6908"/>
  <c r="P7" i="6908"/>
  <c r="B7" i="6908"/>
  <c r="P6" i="6908"/>
  <c r="P5" i="6908"/>
  <c r="B5" i="6908"/>
  <c r="P4" i="6908"/>
  <c r="P3" i="6908"/>
  <c r="P2" i="6908"/>
  <c r="P17" i="6906"/>
  <c r="P15" i="6906"/>
  <c r="C35" i="6906"/>
  <c r="B30" i="6906"/>
  <c r="C21" i="6906"/>
  <c r="B20" i="6906"/>
  <c r="H50" i="6906" s="1"/>
  <c r="B19" i="6906"/>
  <c r="B29" i="6906" s="1"/>
  <c r="B18" i="6906"/>
  <c r="C18" i="6906" s="1"/>
  <c r="C17" i="6906"/>
  <c r="C16" i="6906"/>
  <c r="C15" i="6906"/>
  <c r="B13" i="6906"/>
  <c r="P12" i="6906"/>
  <c r="B12" i="6906"/>
  <c r="P11" i="6906"/>
  <c r="B11" i="6906"/>
  <c r="P10" i="6906"/>
  <c r="C10" i="6906"/>
  <c r="C9" i="6906"/>
  <c r="C8" i="6906"/>
  <c r="P7" i="6906"/>
  <c r="B7" i="6906"/>
  <c r="P6" i="6906"/>
  <c r="P5" i="6906"/>
  <c r="B5" i="6906"/>
  <c r="P4" i="6906"/>
  <c r="P3" i="6906"/>
  <c r="P2" i="6906"/>
  <c r="P23" i="6902"/>
  <c r="P17" i="6902"/>
  <c r="P15" i="6892"/>
  <c r="P16" i="6892"/>
  <c r="B14" i="6906" l="1"/>
  <c r="H26" i="6908"/>
  <c r="H31" i="6908"/>
  <c r="C47" i="6908"/>
  <c r="H34" i="6908"/>
  <c r="H11" i="6908"/>
  <c r="C39" i="6908"/>
  <c r="H18" i="6908"/>
  <c r="H40" i="6908"/>
  <c r="H47" i="6908"/>
  <c r="H13" i="6908"/>
  <c r="H24" i="6908"/>
  <c r="H19" i="6908"/>
  <c r="C24" i="6908"/>
  <c r="H41" i="6908"/>
  <c r="B14" i="6908"/>
  <c r="C19" i="6908"/>
  <c r="H48" i="6908"/>
  <c r="C25" i="6908"/>
  <c r="H35" i="6908"/>
  <c r="C41" i="6908"/>
  <c r="H7" i="6908"/>
  <c r="H14" i="6908"/>
  <c r="H16" i="6908"/>
  <c r="C20" i="6908"/>
  <c r="C26" i="6908"/>
  <c r="H43" i="6908"/>
  <c r="H49" i="6908"/>
  <c r="H8" i="6908"/>
  <c r="H23" i="6908"/>
  <c r="H28" i="6908"/>
  <c r="H37" i="6908"/>
  <c r="C43" i="6908"/>
  <c r="C49" i="6908"/>
  <c r="H6" i="6908"/>
  <c r="H2" i="6908"/>
  <c r="H21" i="6908"/>
  <c r="B28" i="6908"/>
  <c r="C37" i="6908"/>
  <c r="H44" i="6908"/>
  <c r="H5" i="6908"/>
  <c r="H3" i="6908"/>
  <c r="H12" i="6908"/>
  <c r="H17" i="6908"/>
  <c r="C22" i="6908"/>
  <c r="H29" i="6908"/>
  <c r="H39" i="6908"/>
  <c r="H45" i="6908"/>
  <c r="H52" i="6908"/>
  <c r="H22" i="6908"/>
  <c r="H10" i="6908"/>
  <c r="H27" i="6908"/>
  <c r="H30" i="6908"/>
  <c r="H36" i="6908"/>
  <c r="C40" i="6908"/>
  <c r="C44" i="6908"/>
  <c r="C48" i="6908"/>
  <c r="H20" i="6908"/>
  <c r="H9" i="6908"/>
  <c r="C23" i="6908"/>
  <c r="B27" i="6908"/>
  <c r="H32" i="6908"/>
  <c r="H38" i="6908"/>
  <c r="H42" i="6908"/>
  <c r="H46" i="6908"/>
  <c r="H50" i="6908"/>
  <c r="H25" i="6908"/>
  <c r="H4" i="6908"/>
  <c r="H33" i="6908"/>
  <c r="C38" i="6908"/>
  <c r="C42" i="6908"/>
  <c r="C46" i="6908"/>
  <c r="C19" i="6906"/>
  <c r="C20" i="6906"/>
  <c r="H3" i="6906"/>
  <c r="H7" i="6906"/>
  <c r="C38" i="6906"/>
  <c r="C46" i="6906"/>
  <c r="H2" i="6906"/>
  <c r="H19" i="6906"/>
  <c r="H22" i="6906"/>
  <c r="C24" i="6906"/>
  <c r="B28" i="6906"/>
  <c r="H34" i="6906"/>
  <c r="H39" i="6906"/>
  <c r="H43" i="6906"/>
  <c r="H47" i="6906"/>
  <c r="H5" i="6906"/>
  <c r="H24" i="6906"/>
  <c r="H11" i="6906"/>
  <c r="H29" i="6906"/>
  <c r="H35" i="6906"/>
  <c r="C39" i="6906"/>
  <c r="C43" i="6906"/>
  <c r="C47" i="6906"/>
  <c r="H52" i="6906"/>
  <c r="H17" i="6906"/>
  <c r="H20" i="6906"/>
  <c r="C25" i="6906"/>
  <c r="H40" i="6906"/>
  <c r="H44" i="6906"/>
  <c r="H48" i="6906"/>
  <c r="H16" i="6906"/>
  <c r="H33" i="6906"/>
  <c r="C42" i="6906"/>
  <c r="H51" i="6906"/>
  <c r="H12" i="6906"/>
  <c r="H9" i="6906"/>
  <c r="H10" i="6906"/>
  <c r="H23" i="6906"/>
  <c r="H25" i="6906"/>
  <c r="H27" i="6906"/>
  <c r="H30" i="6906"/>
  <c r="H36" i="6906"/>
  <c r="C40" i="6906"/>
  <c r="C44" i="6906"/>
  <c r="C48" i="6906"/>
  <c r="H4" i="6906"/>
  <c r="H14" i="6906"/>
  <c r="C22" i="6906"/>
  <c r="C26" i="6906"/>
  <c r="H37" i="6906"/>
  <c r="H41" i="6906"/>
  <c r="H45" i="6906"/>
  <c r="H49" i="6906"/>
  <c r="H6" i="6906"/>
  <c r="H13" i="6906"/>
  <c r="H18" i="6906"/>
  <c r="H26" i="6906"/>
  <c r="H28" i="6906"/>
  <c r="H31" i="6906"/>
  <c r="C37" i="6906"/>
  <c r="C41" i="6906"/>
  <c r="C45" i="6906"/>
  <c r="C49" i="6906"/>
  <c r="H8" i="6906"/>
  <c r="H21" i="6906"/>
  <c r="H15" i="6906"/>
  <c r="C23" i="6906"/>
  <c r="B27" i="6906"/>
  <c r="H32" i="6906"/>
  <c r="H38" i="6906"/>
  <c r="H42" i="6906"/>
  <c r="H46" i="6906"/>
  <c r="P20" i="6898" l="1"/>
  <c r="P20" i="6904"/>
  <c r="P17" i="6904"/>
  <c r="C35" i="6904"/>
  <c r="B30" i="6904"/>
  <c r="C21" i="6904"/>
  <c r="B20" i="6904"/>
  <c r="H51" i="6904" s="1"/>
  <c r="C19" i="6904"/>
  <c r="B19" i="6904"/>
  <c r="B29" i="6904" s="1"/>
  <c r="B18" i="6904"/>
  <c r="C18" i="6904" s="1"/>
  <c r="C17" i="6904"/>
  <c r="C16" i="6904"/>
  <c r="C15" i="6904"/>
  <c r="B13" i="6904"/>
  <c r="P12" i="6904"/>
  <c r="B12" i="6904"/>
  <c r="P11" i="6904"/>
  <c r="B11" i="6904"/>
  <c r="P10" i="6904"/>
  <c r="C10" i="6904"/>
  <c r="C9" i="6904"/>
  <c r="C8" i="6904"/>
  <c r="P7" i="6904"/>
  <c r="B7" i="6904"/>
  <c r="P6" i="6904"/>
  <c r="P5" i="6904"/>
  <c r="B5" i="6904"/>
  <c r="P4" i="6904"/>
  <c r="P3" i="6904"/>
  <c r="P2" i="6904"/>
  <c r="P22" i="6894"/>
  <c r="P24" i="6892"/>
  <c r="B14" i="6904" l="1"/>
  <c r="H3" i="6904"/>
  <c r="C20" i="6904"/>
  <c r="H30" i="6904"/>
  <c r="H35" i="6904"/>
  <c r="C42" i="6904"/>
  <c r="H22" i="6904"/>
  <c r="H10" i="6904"/>
  <c r="H24" i="6904"/>
  <c r="H14" i="6904"/>
  <c r="C24" i="6904"/>
  <c r="B28" i="6904"/>
  <c r="H36" i="6904"/>
  <c r="H41" i="6904"/>
  <c r="H44" i="6904"/>
  <c r="H48" i="6904"/>
  <c r="H4" i="6904"/>
  <c r="H28" i="6904"/>
  <c r="H16" i="6904"/>
  <c r="H32" i="6904"/>
  <c r="H37" i="6904"/>
  <c r="C39" i="6904"/>
  <c r="C43" i="6904"/>
  <c r="C47" i="6904"/>
  <c r="H52" i="6904"/>
  <c r="H18" i="6904"/>
  <c r="H25" i="6904"/>
  <c r="C25" i="6904"/>
  <c r="H42" i="6904"/>
  <c r="H45" i="6904"/>
  <c r="H49" i="6904"/>
  <c r="H9" i="6904"/>
  <c r="C38" i="6904"/>
  <c r="C46" i="6904"/>
  <c r="H2" i="6904"/>
  <c r="H8" i="6904"/>
  <c r="H7" i="6904"/>
  <c r="H27" i="6904"/>
  <c r="H17" i="6904"/>
  <c r="H31" i="6904"/>
  <c r="H33" i="6904"/>
  <c r="H38" i="6904"/>
  <c r="C40" i="6904"/>
  <c r="C44" i="6904"/>
  <c r="C48" i="6904"/>
  <c r="H5" i="6904"/>
  <c r="H26" i="6904"/>
  <c r="C22" i="6904"/>
  <c r="C26" i="6904"/>
  <c r="H39" i="6904"/>
  <c r="H21" i="6904"/>
  <c r="H46" i="6904"/>
  <c r="H50" i="6904"/>
  <c r="H6" i="6904"/>
  <c r="H11" i="6904"/>
  <c r="H23" i="6904"/>
  <c r="H29" i="6904"/>
  <c r="H19" i="6904"/>
  <c r="H20" i="6904"/>
  <c r="C37" i="6904"/>
  <c r="C41" i="6904"/>
  <c r="C45" i="6904"/>
  <c r="C49" i="6904"/>
  <c r="H12" i="6904"/>
  <c r="H13" i="6904"/>
  <c r="H15" i="6904"/>
  <c r="C23" i="6904"/>
  <c r="B27" i="6904"/>
  <c r="H34" i="6904"/>
  <c r="H40" i="6904"/>
  <c r="H43" i="6904"/>
  <c r="H47" i="6904"/>
  <c r="P18" i="6894" l="1"/>
  <c r="P19" i="6894"/>
  <c r="P19" i="6902"/>
  <c r="P22" i="6902"/>
  <c r="C35" i="6902"/>
  <c r="B30" i="6902"/>
  <c r="C21" i="6902"/>
  <c r="B20" i="6902"/>
  <c r="H50" i="6902" s="1"/>
  <c r="B19" i="6902"/>
  <c r="B29" i="6902" s="1"/>
  <c r="B18" i="6902"/>
  <c r="C18" i="6902" s="1"/>
  <c r="C17" i="6902"/>
  <c r="C16" i="6902"/>
  <c r="C15" i="6902"/>
  <c r="B13" i="6902"/>
  <c r="P12" i="6902"/>
  <c r="B12" i="6902"/>
  <c r="P11" i="6902"/>
  <c r="B11" i="6902"/>
  <c r="P10" i="6902"/>
  <c r="C10" i="6902"/>
  <c r="C9" i="6902"/>
  <c r="C8" i="6902"/>
  <c r="P7" i="6902"/>
  <c r="B7" i="6902"/>
  <c r="P6" i="6902"/>
  <c r="P5" i="6902"/>
  <c r="B5" i="6902"/>
  <c r="P4" i="6902"/>
  <c r="P3" i="6902"/>
  <c r="P2" i="6902"/>
  <c r="P19" i="6892"/>
  <c r="P15" i="6900"/>
  <c r="P17" i="6900"/>
  <c r="C35" i="6900"/>
  <c r="B30" i="6900"/>
  <c r="C21" i="6900"/>
  <c r="B20" i="6900"/>
  <c r="H51" i="6900" s="1"/>
  <c r="B19" i="6900"/>
  <c r="B29" i="6900" s="1"/>
  <c r="B18" i="6900"/>
  <c r="C18" i="6900" s="1"/>
  <c r="C17" i="6900"/>
  <c r="C16" i="6900"/>
  <c r="C15" i="6900"/>
  <c r="B13" i="6900"/>
  <c r="P12" i="6900"/>
  <c r="B12" i="6900"/>
  <c r="P11" i="6900"/>
  <c r="B11" i="6900"/>
  <c r="P10" i="6900"/>
  <c r="C10" i="6900"/>
  <c r="C9" i="6900"/>
  <c r="C8" i="6900"/>
  <c r="P7" i="6900"/>
  <c r="B7" i="6900"/>
  <c r="P6" i="6900"/>
  <c r="P5" i="6900"/>
  <c r="B5" i="6900"/>
  <c r="P4" i="6900"/>
  <c r="P3" i="6900"/>
  <c r="P2" i="6900"/>
  <c r="P23" i="6892"/>
  <c r="C19" i="6900" l="1"/>
  <c r="B14" i="6900"/>
  <c r="H22" i="6900"/>
  <c r="C23" i="6900"/>
  <c r="B28" i="6900"/>
  <c r="C37" i="6900"/>
  <c r="H7" i="6900"/>
  <c r="H14" i="6900"/>
  <c r="C45" i="6900"/>
  <c r="B14" i="6902"/>
  <c r="C19" i="6902"/>
  <c r="C20" i="6902"/>
  <c r="H3" i="6902"/>
  <c r="H27" i="6902"/>
  <c r="H33" i="6902"/>
  <c r="C42" i="6902"/>
  <c r="C46" i="6902"/>
  <c r="H51" i="6902"/>
  <c r="H2" i="6902"/>
  <c r="H9" i="6902"/>
  <c r="H19" i="6902"/>
  <c r="H23" i="6902"/>
  <c r="C24" i="6902"/>
  <c r="B28" i="6902"/>
  <c r="H34" i="6902"/>
  <c r="H39" i="6902"/>
  <c r="H43" i="6902"/>
  <c r="H47" i="6902"/>
  <c r="H6" i="6902"/>
  <c r="H25" i="6902"/>
  <c r="H11" i="6902"/>
  <c r="H30" i="6902"/>
  <c r="H35" i="6902"/>
  <c r="C39" i="6902"/>
  <c r="C43" i="6902"/>
  <c r="C47" i="6902"/>
  <c r="H52" i="6902"/>
  <c r="H18" i="6902"/>
  <c r="H21" i="6902"/>
  <c r="C25" i="6902"/>
  <c r="H40" i="6902"/>
  <c r="H44" i="6902"/>
  <c r="H48" i="6902"/>
  <c r="H8" i="6902"/>
  <c r="C38" i="6902"/>
  <c r="H5" i="6902"/>
  <c r="H15" i="6902"/>
  <c r="H24" i="6902"/>
  <c r="H12" i="6902"/>
  <c r="H28" i="6902"/>
  <c r="H13" i="6902"/>
  <c r="H36" i="6902"/>
  <c r="C40" i="6902"/>
  <c r="C44" i="6902"/>
  <c r="C48" i="6902"/>
  <c r="H4" i="6902"/>
  <c r="H22" i="6902"/>
  <c r="C22" i="6902"/>
  <c r="C26" i="6902"/>
  <c r="H37" i="6902"/>
  <c r="H41" i="6902"/>
  <c r="H45" i="6902"/>
  <c r="H49" i="6902"/>
  <c r="H7" i="6902"/>
  <c r="H10" i="6902"/>
  <c r="H20" i="6902"/>
  <c r="H26" i="6902"/>
  <c r="H29" i="6902"/>
  <c r="H31" i="6902"/>
  <c r="C37" i="6902"/>
  <c r="C41" i="6902"/>
  <c r="C45" i="6902"/>
  <c r="C49" i="6902"/>
  <c r="H14" i="6902"/>
  <c r="H16" i="6902"/>
  <c r="H17" i="6902"/>
  <c r="C23" i="6902"/>
  <c r="B27" i="6902"/>
  <c r="H32" i="6902"/>
  <c r="H38" i="6902"/>
  <c r="H42" i="6902"/>
  <c r="H46" i="6902"/>
  <c r="H8" i="6900"/>
  <c r="H47" i="6900"/>
  <c r="H29" i="6900"/>
  <c r="H46" i="6900"/>
  <c r="H12" i="6900"/>
  <c r="H24" i="6900"/>
  <c r="C25" i="6900"/>
  <c r="H31" i="6900"/>
  <c r="C39" i="6900"/>
  <c r="C47" i="6900"/>
  <c r="H19" i="6900"/>
  <c r="C49" i="6900"/>
  <c r="H20" i="6900"/>
  <c r="H27" i="6900"/>
  <c r="H32" i="6900"/>
  <c r="H6" i="6900"/>
  <c r="H23" i="6900"/>
  <c r="H15" i="6900"/>
  <c r="C26" i="6900"/>
  <c r="H42" i="6900"/>
  <c r="H50" i="6900"/>
  <c r="C24" i="6900"/>
  <c r="C20" i="6900"/>
  <c r="H34" i="6900"/>
  <c r="H4" i="6900"/>
  <c r="H21" i="6900"/>
  <c r="C22" i="6900"/>
  <c r="H28" i="6900"/>
  <c r="H43" i="6900"/>
  <c r="H5" i="6900"/>
  <c r="H3" i="6900"/>
  <c r="H38" i="6900"/>
  <c r="H2" i="6900"/>
  <c r="H11" i="6900"/>
  <c r="H39" i="6900"/>
  <c r="H17" i="6900"/>
  <c r="C41" i="6900"/>
  <c r="H13" i="6900"/>
  <c r="H35" i="6900"/>
  <c r="H9" i="6900"/>
  <c r="H16" i="6900"/>
  <c r="H18" i="6900"/>
  <c r="H25" i="6900"/>
  <c r="B27" i="6900"/>
  <c r="C43" i="6900"/>
  <c r="H52" i="6900"/>
  <c r="H40" i="6900"/>
  <c r="H44" i="6900"/>
  <c r="H48" i="6900"/>
  <c r="H30" i="6900"/>
  <c r="H36" i="6900"/>
  <c r="C40" i="6900"/>
  <c r="C44" i="6900"/>
  <c r="C48" i="6900"/>
  <c r="H37" i="6900"/>
  <c r="H41" i="6900"/>
  <c r="H45" i="6900"/>
  <c r="H49" i="6900"/>
  <c r="H26" i="6900"/>
  <c r="H10" i="6900"/>
  <c r="H33" i="6900"/>
  <c r="C38" i="6900"/>
  <c r="C42" i="6900"/>
  <c r="C46" i="6900"/>
  <c r="P16" i="6898" l="1"/>
  <c r="P18" i="6898"/>
  <c r="C35" i="6898"/>
  <c r="B30" i="6898"/>
  <c r="C21" i="6898"/>
  <c r="B20" i="6898"/>
  <c r="H23" i="6898" s="1"/>
  <c r="B19" i="6898"/>
  <c r="B29" i="6898" s="1"/>
  <c r="B18" i="6898"/>
  <c r="C18" i="6898" s="1"/>
  <c r="C17" i="6898"/>
  <c r="C16" i="6898"/>
  <c r="C15" i="6898"/>
  <c r="B13" i="6898"/>
  <c r="P12" i="6898"/>
  <c r="B12" i="6898"/>
  <c r="P11" i="6898"/>
  <c r="B11" i="6898"/>
  <c r="B14" i="6898" s="1"/>
  <c r="P10" i="6898"/>
  <c r="C10" i="6898"/>
  <c r="C9" i="6898"/>
  <c r="C8" i="6898"/>
  <c r="P7" i="6898"/>
  <c r="B7" i="6898"/>
  <c r="P6" i="6898"/>
  <c r="P5" i="6898"/>
  <c r="B5" i="6898"/>
  <c r="P4" i="6898"/>
  <c r="P3" i="6898"/>
  <c r="P2" i="6898"/>
  <c r="P18" i="6896"/>
  <c r="P20" i="6896"/>
  <c r="C35" i="6896"/>
  <c r="B30" i="6896"/>
  <c r="C21" i="6896"/>
  <c r="B20" i="6896"/>
  <c r="H51" i="6896" s="1"/>
  <c r="B19" i="6896"/>
  <c r="B29" i="6896" s="1"/>
  <c r="B18" i="6896"/>
  <c r="C18" i="6896" s="1"/>
  <c r="C17" i="6896"/>
  <c r="C16" i="6896"/>
  <c r="C15" i="6896"/>
  <c r="B13" i="6896"/>
  <c r="P12" i="6896"/>
  <c r="B12" i="6896"/>
  <c r="P11" i="6896"/>
  <c r="B11" i="6896"/>
  <c r="P10" i="6896"/>
  <c r="C10" i="6896"/>
  <c r="C9" i="6896"/>
  <c r="C8" i="6896"/>
  <c r="P7" i="6896"/>
  <c r="B7" i="6896"/>
  <c r="P6" i="6896"/>
  <c r="P5" i="6896"/>
  <c r="B5" i="6896"/>
  <c r="P4" i="6896"/>
  <c r="P3" i="6896"/>
  <c r="P2" i="6896"/>
  <c r="P21" i="6892"/>
  <c r="P21" i="6894"/>
  <c r="P17" i="6894"/>
  <c r="C35" i="6894"/>
  <c r="B30" i="6894"/>
  <c r="C21" i="6894"/>
  <c r="B20" i="6894"/>
  <c r="H14" i="6894" s="1"/>
  <c r="B19" i="6894"/>
  <c r="B29" i="6894" s="1"/>
  <c r="B18" i="6894"/>
  <c r="C18" i="6894" s="1"/>
  <c r="C17" i="6894"/>
  <c r="C16" i="6894"/>
  <c r="C15" i="6894"/>
  <c r="B13" i="6894"/>
  <c r="P12" i="6894"/>
  <c r="B12" i="6894"/>
  <c r="P11" i="6894"/>
  <c r="B11" i="6894"/>
  <c r="P10" i="6894"/>
  <c r="C10" i="6894"/>
  <c r="C9" i="6894"/>
  <c r="C8" i="6894"/>
  <c r="P7" i="6894"/>
  <c r="B7" i="6894"/>
  <c r="P6" i="6894"/>
  <c r="P5" i="6894"/>
  <c r="B5" i="6894"/>
  <c r="P4" i="6894"/>
  <c r="P3" i="6894"/>
  <c r="P2" i="6894"/>
  <c r="P22" i="6892"/>
  <c r="P20" i="6892"/>
  <c r="C35" i="6892"/>
  <c r="B30" i="6892"/>
  <c r="C21" i="6892"/>
  <c r="B20" i="6892"/>
  <c r="H18" i="6892" s="1"/>
  <c r="B19" i="6892"/>
  <c r="B29" i="6892" s="1"/>
  <c r="B18" i="6892"/>
  <c r="C18" i="6892" s="1"/>
  <c r="C17" i="6892"/>
  <c r="C16" i="6892"/>
  <c r="C15" i="6892"/>
  <c r="B13" i="6892"/>
  <c r="P12" i="6892"/>
  <c r="B12" i="6892"/>
  <c r="P11" i="6892"/>
  <c r="B11" i="6892"/>
  <c r="P10" i="6892"/>
  <c r="C10" i="6892"/>
  <c r="C9" i="6892"/>
  <c r="C8" i="6892"/>
  <c r="P7" i="6892"/>
  <c r="B7" i="6892"/>
  <c r="P6" i="6892"/>
  <c r="P5" i="6892"/>
  <c r="B5" i="6892"/>
  <c r="P4" i="6892"/>
  <c r="P3" i="6892"/>
  <c r="P2" i="6892"/>
  <c r="B14" i="6894" l="1"/>
  <c r="B14" i="6896"/>
  <c r="C19" i="6896"/>
  <c r="C19" i="6894"/>
  <c r="B14" i="6892"/>
  <c r="C19" i="6898"/>
  <c r="C20" i="6898"/>
  <c r="H3" i="6898"/>
  <c r="H9" i="6898"/>
  <c r="H33" i="6898"/>
  <c r="C46" i="6898"/>
  <c r="H10" i="6898"/>
  <c r="H15" i="6898"/>
  <c r="H27" i="6898"/>
  <c r="H17" i="6898"/>
  <c r="H31" i="6898"/>
  <c r="H35" i="6898"/>
  <c r="C39" i="6898"/>
  <c r="C43" i="6898"/>
  <c r="C47" i="6898"/>
  <c r="H52" i="6898"/>
  <c r="H21" i="6898"/>
  <c r="H24" i="6898"/>
  <c r="C25" i="6898"/>
  <c r="H40" i="6898"/>
  <c r="H44" i="6898"/>
  <c r="H48" i="6898"/>
  <c r="H7" i="6898"/>
  <c r="H30" i="6898"/>
  <c r="C22" i="6898"/>
  <c r="H49" i="6898"/>
  <c r="H14" i="6898"/>
  <c r="H36" i="6898"/>
  <c r="C44" i="6898"/>
  <c r="H4" i="6898"/>
  <c r="H22" i="6898"/>
  <c r="H8" i="6898"/>
  <c r="H26" i="6898"/>
  <c r="H18" i="6898"/>
  <c r="C40" i="6898"/>
  <c r="C48" i="6898"/>
  <c r="H25" i="6898"/>
  <c r="C26" i="6898"/>
  <c r="H37" i="6898"/>
  <c r="H41" i="6898"/>
  <c r="H45" i="6898"/>
  <c r="H5" i="6898"/>
  <c r="H12" i="6898"/>
  <c r="H28" i="6898"/>
  <c r="H19" i="6898"/>
  <c r="H32" i="6898"/>
  <c r="C37" i="6898"/>
  <c r="C41" i="6898"/>
  <c r="C45" i="6898"/>
  <c r="C49" i="6898"/>
  <c r="H11" i="6898"/>
  <c r="H16" i="6898"/>
  <c r="H13" i="6898"/>
  <c r="C23" i="6898"/>
  <c r="B27" i="6898"/>
  <c r="H20" i="6898"/>
  <c r="H38" i="6898"/>
  <c r="H42" i="6898"/>
  <c r="H46" i="6898"/>
  <c r="H50" i="6898"/>
  <c r="C42" i="6898"/>
  <c r="C24" i="6898"/>
  <c r="B28" i="6898"/>
  <c r="H34" i="6898"/>
  <c r="H39" i="6898"/>
  <c r="H43" i="6898"/>
  <c r="H47" i="6898"/>
  <c r="H6" i="6898"/>
  <c r="H29" i="6898"/>
  <c r="C38" i="6898"/>
  <c r="H51" i="6898"/>
  <c r="H2" i="6898"/>
  <c r="C20" i="6896"/>
  <c r="H3" i="6896"/>
  <c r="H8" i="6896"/>
  <c r="H34" i="6896"/>
  <c r="C42" i="6896"/>
  <c r="C46" i="6896"/>
  <c r="H17" i="6896"/>
  <c r="H2" i="6896"/>
  <c r="H9" i="6896"/>
  <c r="H24" i="6896"/>
  <c r="H19" i="6896"/>
  <c r="C24" i="6896"/>
  <c r="B28" i="6896"/>
  <c r="H35" i="6896"/>
  <c r="H40" i="6896"/>
  <c r="H44" i="6896"/>
  <c r="H48" i="6896"/>
  <c r="H5" i="6896"/>
  <c r="H28" i="6896"/>
  <c r="H14" i="6896"/>
  <c r="H31" i="6896"/>
  <c r="H36" i="6896"/>
  <c r="C39" i="6896"/>
  <c r="C43" i="6896"/>
  <c r="C47" i="6896"/>
  <c r="H52" i="6896"/>
  <c r="H18" i="6896"/>
  <c r="H25" i="6896"/>
  <c r="C25" i="6896"/>
  <c r="H41" i="6896"/>
  <c r="H45" i="6896"/>
  <c r="H49" i="6896"/>
  <c r="H20" i="6896"/>
  <c r="C38" i="6896"/>
  <c r="H7" i="6896"/>
  <c r="H11" i="6896"/>
  <c r="H27" i="6896"/>
  <c r="H15" i="6896"/>
  <c r="H30" i="6896"/>
  <c r="H22" i="6896"/>
  <c r="H37" i="6896"/>
  <c r="C40" i="6896"/>
  <c r="C44" i="6896"/>
  <c r="C48" i="6896"/>
  <c r="H4" i="6896"/>
  <c r="H26" i="6896"/>
  <c r="C22" i="6896"/>
  <c r="C26" i="6896"/>
  <c r="H38" i="6896"/>
  <c r="H42" i="6896"/>
  <c r="H46" i="6896"/>
  <c r="H50" i="6896"/>
  <c r="H6" i="6896"/>
  <c r="H12" i="6896"/>
  <c r="H23" i="6896"/>
  <c r="H29" i="6896"/>
  <c r="H21" i="6896"/>
  <c r="H32" i="6896"/>
  <c r="C37" i="6896"/>
  <c r="C41" i="6896"/>
  <c r="C45" i="6896"/>
  <c r="C49" i="6896"/>
  <c r="H10" i="6896"/>
  <c r="H16" i="6896"/>
  <c r="H13" i="6896"/>
  <c r="C23" i="6896"/>
  <c r="B27" i="6896"/>
  <c r="H33" i="6896"/>
  <c r="H39" i="6896"/>
  <c r="H43" i="6896"/>
  <c r="H47" i="6896"/>
  <c r="C19" i="6892"/>
  <c r="H16" i="6894"/>
  <c r="B28" i="6894"/>
  <c r="H18" i="6894"/>
  <c r="C23" i="6894"/>
  <c r="H11" i="6894"/>
  <c r="H42" i="6894"/>
  <c r="H48" i="6894"/>
  <c r="C47" i="6894"/>
  <c r="H20" i="6894"/>
  <c r="H17" i="6894"/>
  <c r="H38" i="6894"/>
  <c r="H44" i="6894"/>
  <c r="H49" i="6894"/>
  <c r="H37" i="6894"/>
  <c r="H21" i="6894"/>
  <c r="H29" i="6894"/>
  <c r="H39" i="6894"/>
  <c r="C43" i="6894"/>
  <c r="C48" i="6894"/>
  <c r="H24" i="6894"/>
  <c r="H2" i="6894"/>
  <c r="H50" i="6894"/>
  <c r="H3" i="6894"/>
  <c r="C20" i="6894"/>
  <c r="C25" i="6894"/>
  <c r="H19" i="6894"/>
  <c r="C26" i="6894"/>
  <c r="C39" i="6894"/>
  <c r="C44" i="6894"/>
  <c r="H51" i="6894"/>
  <c r="C24" i="6894"/>
  <c r="H8" i="6894"/>
  <c r="H27" i="6894"/>
  <c r="H25" i="6894"/>
  <c r="H40" i="6894"/>
  <c r="H45" i="6894"/>
  <c r="H7" i="6894"/>
  <c r="H10" i="6894"/>
  <c r="H22" i="6894"/>
  <c r="H12" i="6894"/>
  <c r="H33" i="6894"/>
  <c r="H4" i="6894"/>
  <c r="H28" i="6894"/>
  <c r="C22" i="6894"/>
  <c r="H32" i="6894"/>
  <c r="H35" i="6894"/>
  <c r="H41" i="6894"/>
  <c r="H46" i="6894"/>
  <c r="H5" i="6894"/>
  <c r="H43" i="6894"/>
  <c r="H13" i="6894"/>
  <c r="H31" i="6894"/>
  <c r="H6" i="6894"/>
  <c r="H15" i="6894"/>
  <c r="H26" i="6894"/>
  <c r="H30" i="6894"/>
  <c r="B27" i="6894"/>
  <c r="H36" i="6894"/>
  <c r="C40" i="6894"/>
  <c r="H47" i="6894"/>
  <c r="H52" i="6894"/>
  <c r="C37" i="6894"/>
  <c r="C41" i="6894"/>
  <c r="C45" i="6894"/>
  <c r="C49" i="6894"/>
  <c r="H23" i="6894"/>
  <c r="H9" i="6894"/>
  <c r="H34" i="6894"/>
  <c r="C38" i="6894"/>
  <c r="C42" i="6894"/>
  <c r="C46" i="6894"/>
  <c r="H36" i="6892"/>
  <c r="H37" i="6892"/>
  <c r="H9" i="6892"/>
  <c r="C23" i="6892"/>
  <c r="B27" i="6892"/>
  <c r="H11" i="6892"/>
  <c r="C24" i="6892"/>
  <c r="H44" i="6892"/>
  <c r="H13" i="6892"/>
  <c r="H48" i="6892"/>
  <c r="C43" i="6892"/>
  <c r="H47" i="6892"/>
  <c r="H3" i="6892"/>
  <c r="H31" i="6892"/>
  <c r="H15" i="6892"/>
  <c r="H28" i="6892"/>
  <c r="C47" i="6892"/>
  <c r="H16" i="6892"/>
  <c r="B28" i="6892"/>
  <c r="H2" i="6892"/>
  <c r="H51" i="6892"/>
  <c r="C20" i="6892"/>
  <c r="H27" i="6892"/>
  <c r="H5" i="6892"/>
  <c r="H40" i="6892"/>
  <c r="H41" i="6892"/>
  <c r="H19" i="6892"/>
  <c r="H32" i="6892"/>
  <c r="C39" i="6892"/>
  <c r="H23" i="6892"/>
  <c r="H43" i="6892"/>
  <c r="H52" i="6892"/>
  <c r="H49" i="6892"/>
  <c r="C25" i="6892"/>
  <c r="H42" i="6892"/>
  <c r="H7" i="6892"/>
  <c r="H26" i="6892"/>
  <c r="H14" i="6892"/>
  <c r="H17" i="6892"/>
  <c r="H38" i="6892"/>
  <c r="C40" i="6892"/>
  <c r="C48" i="6892"/>
  <c r="H4" i="6892"/>
  <c r="H24" i="6892"/>
  <c r="C22" i="6892"/>
  <c r="C26" i="6892"/>
  <c r="H39" i="6892"/>
  <c r="H29" i="6892"/>
  <c r="H46" i="6892"/>
  <c r="H50" i="6892"/>
  <c r="H20" i="6892"/>
  <c r="H45" i="6892"/>
  <c r="H10" i="6892"/>
  <c r="H34" i="6892"/>
  <c r="C44" i="6892"/>
  <c r="H6" i="6892"/>
  <c r="H12" i="6892"/>
  <c r="H30" i="6892"/>
  <c r="H33" i="6892"/>
  <c r="H22" i="6892"/>
  <c r="H25" i="6892"/>
  <c r="C37" i="6892"/>
  <c r="C41" i="6892"/>
  <c r="C45" i="6892"/>
  <c r="C49" i="6892"/>
  <c r="H21" i="6892"/>
  <c r="H8" i="6892"/>
  <c r="H35" i="6892"/>
  <c r="C38" i="6892"/>
  <c r="C42" i="6892"/>
  <c r="C46" i="689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<sst xmlns="http://schemas.openxmlformats.org/spreadsheetml/2006/main" count="2961" uniqueCount="247">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</sst>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全体!$K$2:$K$251</c:f>
              <c:numCache>
                <c:formatCode>General</c:formatCode>
                <c:ptCount val="2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</c:numCache>
            </c:numRef>
          </c:xVal>
          <c:yVal>
            <c:numRef>
              <c:f>全体!$L$2:$L$251</c:f>
              <c:numCache>
                <c:formatCode>\+0.0;\-0.0;\±0</c:formatCode>
                <c:ptCount val="250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B-4708-88E3-40EE9FF68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-40.160642570281126</c:v>
                </c:pt>
                <c:pt idx="1">
                  <c:v>41.152263374485599</c:v>
                </c:pt>
                <c:pt idx="2">
                  <c:v>-24.390243902439025</c:v>
                </c:pt>
                <c:pt idx="3">
                  <c:v>-4.2735042735042734</c:v>
                </c:pt>
                <c:pt idx="4">
                  <c:v>18.779342723004696</c:v>
                </c:pt>
                <c:pt idx="5">
                  <c:v>16.949152542372882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4-494D-A825-E26873BF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54</c:v>
                </c:pt>
                <c:pt idx="1">
                  <c:v>122</c:v>
                </c:pt>
                <c:pt idx="2">
                  <c:v>118</c:v>
                </c:pt>
                <c:pt idx="3">
                  <c:v>110</c:v>
                </c:pt>
                <c:pt idx="4">
                  <c:v>85</c:v>
                </c:pt>
                <c:pt idx="5">
                  <c:v>56</c:v>
                </c:pt>
                <c:pt idx="6">
                  <c:v>30</c:v>
                </c:pt>
                <c:pt idx="7">
                  <c:v>18</c:v>
                </c:pt>
                <c:pt idx="8">
                  <c:v>12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6-4616-91A6-913E7EB78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全体!$K$2:$K$251</c:f>
              <c:numCache>
                <c:formatCode>General</c:formatCode>
                <c:ptCount val="2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</c:numCache>
            </c:numRef>
          </c:xVal>
          <c:yVal>
            <c:numRef>
              <c:f>全体!$M$2:$M$251</c:f>
              <c:numCache>
                <c:formatCode>0</c:formatCode>
                <c:ptCount val="250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6-4DFC-BFB0-0AFEB650F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だいち!$L$2:$L$70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5-4AB4-8653-8CA38B24F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241.1764705882353</c:v>
                </c:pt>
                <c:pt idx="1">
                  <c:v>-1146.969696969697</c:v>
                </c:pt>
                <c:pt idx="2">
                  <c:v>-1019.4029850746268</c:v>
                </c:pt>
                <c:pt idx="3">
                  <c:v>-101.53846153846153</c:v>
                </c:pt>
                <c:pt idx="4">
                  <c:v>410.16949152542372</c:v>
                </c:pt>
                <c:pt idx="5">
                  <c:v>-108.16326530612245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8-4B06-B451-88BB8D613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29</c:v>
                </c:pt>
                <c:pt idx="2">
                  <c:v>41</c:v>
                </c:pt>
                <c:pt idx="3">
                  <c:v>27</c:v>
                </c:pt>
                <c:pt idx="4">
                  <c:v>30</c:v>
                </c:pt>
                <c:pt idx="5">
                  <c:v>20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9-4490-9EDD-78EBFE47F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だいち!$M$2:$M$70</c:f>
              <c:numCache>
                <c:formatCode>0</c:formatCode>
                <c:ptCount val="69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D-4C09-9024-E8240E432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れんたろう!$L$2:$L$37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94-4DA2-B22F-7768C8007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1577.1428571428571</c:v>
                </c:pt>
                <c:pt idx="1">
                  <c:v>-1052.9411764705883</c:v>
                </c:pt>
                <c:pt idx="2">
                  <c:v>176.47058823529412</c:v>
                </c:pt>
                <c:pt idx="3">
                  <c:v>106.06060606060606</c:v>
                </c:pt>
                <c:pt idx="4">
                  <c:v>553.33333333333337</c:v>
                </c:pt>
                <c:pt idx="5">
                  <c:v>-975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4-418F-BDE6-A24FEB13F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16</c:v>
                </c:pt>
                <c:pt idx="3">
                  <c:v>17</c:v>
                </c:pt>
                <c:pt idx="4">
                  <c:v>15</c:v>
                </c:pt>
                <c:pt idx="5">
                  <c:v>10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1-43D6-BC5F-ED584B7A3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れんたろう!$M$2:$M$37</c:f>
              <c:numCache>
                <c:formatCode>0</c:formatCode>
                <c:ptCount val="36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A-4486-9A79-96ACD96F2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2-48BE-A627-A1395E1BB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743.33333333333337</c:v>
                </c:pt>
                <c:pt idx="1">
                  <c:v>-780</c:v>
                </c:pt>
                <c:pt idx="2">
                  <c:v>1076.6666666666667</c:v>
                </c:pt>
                <c:pt idx="3">
                  <c:v>266.66666666666669</c:v>
                </c:pt>
                <c:pt idx="4">
                  <c:v>-1773.3333333333333</c:v>
                </c:pt>
                <c:pt idx="5">
                  <c:v>834.78260869565213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27-4248-8672-80E8FE614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B-4A99-8F9E-37815362D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たかの!$M$2:$M$32</c:f>
              <c:numCache>
                <c:formatCode>0</c:formatCode>
                <c:ptCount val="3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6-4787-99C7-D8559F23C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C-444D-9BB6-0896CB9C4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-458.8235294117647</c:v>
                </c:pt>
                <c:pt idx="1">
                  <c:v>1423.5294117647059</c:v>
                </c:pt>
                <c:pt idx="2">
                  <c:v>747.05882352941171</c:v>
                </c:pt>
                <c:pt idx="3">
                  <c:v>-3120</c:v>
                </c:pt>
                <c:pt idx="4">
                  <c:v>528.57142857142856</c:v>
                </c:pt>
                <c:pt idx="5">
                  <c:v>-2318.181818181818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8-4BDB-96B2-983CAED07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E-49A9-BEE8-A5A54E919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まっつん!$M$2:$M$19</c:f>
              <c:numCache>
                <c:formatCode>0</c:formatCode>
                <c:ptCount val="1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F-4F8B-8D94-69D3CDDDF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22-41B4-921E-BAEC7440C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306.45161290322579</c:v>
                </c:pt>
                <c:pt idx="1">
                  <c:v>1396.7741935483871</c:v>
                </c:pt>
                <c:pt idx="2">
                  <c:v>2129.0322580645161</c:v>
                </c:pt>
                <c:pt idx="3">
                  <c:v>189.28571428571428</c:v>
                </c:pt>
                <c:pt idx="4">
                  <c:v>-1412.5</c:v>
                </c:pt>
                <c:pt idx="5">
                  <c:v>954.5454545454545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1-4211-9898-EF1A484BF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13</c:v>
                </c:pt>
                <c:pt idx="3">
                  <c:v>11</c:v>
                </c:pt>
                <c:pt idx="4">
                  <c:v>10</c:v>
                </c:pt>
                <c:pt idx="5">
                  <c:v>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B-4F6F-A2DA-B683FE531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いちかわ!$M$2:$M$33</c:f>
              <c:numCache>
                <c:formatCode>0</c:formatCode>
                <c:ptCount val="3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37-4BC0-A2E2-0B0E87D99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9-4A7B-9FDC-DCA514D05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-58.333333333333336</c:v>
                </c:pt>
                <c:pt idx="1">
                  <c:v>2032.3529411764705</c:v>
                </c:pt>
                <c:pt idx="2">
                  <c:v>217.14285714285714</c:v>
                </c:pt>
                <c:pt idx="3">
                  <c:v>2978.787878787879</c:v>
                </c:pt>
                <c:pt idx="4">
                  <c:v>1513.3333333333333</c:v>
                </c:pt>
                <c:pt idx="5">
                  <c:v>279.16666666666669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D-420F-8707-9FDD1D607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25</c:v>
                </c:pt>
                <c:pt idx="2">
                  <c:v>24</c:v>
                </c:pt>
                <c:pt idx="3">
                  <c:v>17</c:v>
                </c:pt>
                <c:pt idx="4">
                  <c:v>15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F-44CF-837A-F6593AC7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ただ!$M$2:$M$38</c:f>
              <c:numCache>
                <c:formatCode>0</c:formatCode>
                <c:ptCount val="37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6-470E-97F2-E7FD62B8C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48F-9A81-043449A2B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1-4830-88CF-91A74111A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D-435A-99DF-72E37A30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12-475F-8A32-3AE747E0C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5-451C-AA89-3B3B50808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E-4BD4-8260-4C783695A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6-4978-B4FA-5410B3CE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6-44B6-BF4D-F14E5E931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1-45BD-B2F5-70D9FF8F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-5575</c:v>
                </c:pt>
                <c:pt idx="1">
                  <c:v>6157.1428571428569</c:v>
                </c:pt>
                <c:pt idx="2">
                  <c:v>-1325</c:v>
                </c:pt>
                <c:pt idx="3">
                  <c:v>-6850</c:v>
                </c:pt>
                <c:pt idx="4">
                  <c:v>1742.8571428571429</c:v>
                </c:pt>
                <c:pt idx="5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5FB-91AA-3D0067E41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2-48ED-9E59-17978EE2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りくと!$M$2:$M$10</c:f>
              <c:numCache>
                <c:formatCode>0</c:formatCode>
                <c:ptCount val="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A-4E9E-9305-B162184C9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3-4CE3-BC35-E83FCBB5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5-4DE2-BF32-B4541A391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4-4396-B15F-540128F7D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E-457A-A4D2-F34008451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たか2!$C$3:$C$21</c:f>
              <c:numCache>
                <c:formatCode>\+0.0;\-0.0;\±0</c:formatCode>
                <c:ptCount val="19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  <c:pt idx="15">
                  <c:v>-9.6399999999999988</c:v>
                </c:pt>
                <c:pt idx="16">
                  <c:v>-9.2624999999999993</c:v>
                </c:pt>
                <c:pt idx="17">
                  <c:v>-8.8235294117647065</c:v>
                </c:pt>
                <c:pt idx="18">
                  <c:v>-10.016666666666667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41434113670843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たか2!$D$3:$D$21</c:f>
              <c:numCache>
                <c:formatCode>0.00\ "位"</c:formatCode>
                <c:ptCount val="19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2.1764705882352939</c:v>
                </c:pt>
                <c:pt idx="18">
                  <c:v>2.2222222222222223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983935742971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たか2!$E$3:$E$21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34939759036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たか2!$F$3:$F$21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たか2!$G$3:$G$21</c:f>
              <c:numCache>
                <c:formatCode>0.0%</c:formatCode>
                <c:ptCount val="19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0.22900763358778625</c:v>
                </c:pt>
                <c:pt idx="18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285714285714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たか2!$H$3:$H$21</c:f>
              <c:numCache>
                <c:formatCode>0.0%</c:formatCode>
                <c:ptCount val="19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  <c:pt idx="15">
                  <c:v>0.23478260869565218</c:v>
                </c:pt>
                <c:pt idx="16">
                  <c:v>0.21774193548387097</c:v>
                </c:pt>
                <c:pt idx="17">
                  <c:v>0.21374045801526717</c:v>
                </c:pt>
                <c:pt idx="18">
                  <c:v>0.20714285714285716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たか2!$I$3:$I$21</c:f>
              <c:numCache>
                <c:formatCode>0</c:formatCode>
                <c:ptCount val="19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  <c:pt idx="15">
                  <c:v>7796</c:v>
                </c:pt>
                <c:pt idx="16">
                  <c:v>7367.8571428571431</c:v>
                </c:pt>
                <c:pt idx="17">
                  <c:v>7183.333333333333</c:v>
                </c:pt>
                <c:pt idx="18">
                  <c:v>7183.333333333333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69.57928802588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たか2!$J$3:$J$21</c:f>
              <c:numCache>
                <c:formatCode>0</c:formatCode>
                <c:ptCount val="19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  <c:pt idx="15">
                  <c:v>-7988.8888888888887</c:v>
                </c:pt>
                <c:pt idx="16">
                  <c:v>-7988.8888888888887</c:v>
                </c:pt>
                <c:pt idx="17">
                  <c:v>-8132.1428571428569</c:v>
                </c:pt>
                <c:pt idx="18">
                  <c:v>-7886.2068965517237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07.4074074074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630522088353414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たか2!$L$3:$L$21</c:f>
              <c:numCache>
                <c:formatCode>0.0%</c:formatCode>
                <c:ptCount val="19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  <c:pt idx="15">
                  <c:v>0.23478260869565218</c:v>
                </c:pt>
                <c:pt idx="16">
                  <c:v>0.23387096774193547</c:v>
                </c:pt>
                <c:pt idx="17">
                  <c:v>0.22900763358778625</c:v>
                </c:pt>
                <c:pt idx="18">
                  <c:v>0.22857142857142856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14285714285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たか2!$M$3:$M$21</c:f>
              <c:numCache>
                <c:formatCode>0.0%</c:formatCode>
                <c:ptCount val="19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  <c:pt idx="15">
                  <c:v>0.2</c:v>
                </c:pt>
                <c:pt idx="16">
                  <c:v>0.18548387096774194</c:v>
                </c:pt>
                <c:pt idx="17">
                  <c:v>0.17557251908396945</c:v>
                </c:pt>
                <c:pt idx="18">
                  <c:v>0.17142857142857143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たか2!$N$3:$N$21</c:f>
              <c:numCache>
                <c:formatCode>0.0%</c:formatCode>
                <c:ptCount val="19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  <c:pt idx="15">
                  <c:v>0.44444444444444442</c:v>
                </c:pt>
                <c:pt idx="16">
                  <c:v>0.48275862068965519</c:v>
                </c:pt>
                <c:pt idx="17">
                  <c:v>0.46666666666666667</c:v>
                </c:pt>
                <c:pt idx="18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08032128514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たか2!$O$3:$O$21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  <c:pt idx="15">
                  <c:v>0.30434782608695654</c:v>
                </c:pt>
                <c:pt idx="16">
                  <c:v>0.30434782608695654</c:v>
                </c:pt>
                <c:pt idx="17">
                  <c:v>0.30434782608695654</c:v>
                </c:pt>
                <c:pt idx="18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7402862985685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たか2!$P$3:$P$21</c:f>
              <c:numCache>
                <c:formatCode>0.0%</c:formatCode>
                <c:ptCount val="19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</c:v>
                </c:pt>
                <c:pt idx="16">
                  <c:v>0.42857142857142855</c:v>
                </c:pt>
                <c:pt idx="17">
                  <c:v>0.43333333333333335</c:v>
                </c:pt>
                <c:pt idx="18">
                  <c:v>0.43333333333333335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7184466019417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F67828-D436-49D4-8EAA-2476A851C1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9950B3-61A2-41AB-8F96-B37DA94DA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8B139C9-7835-43A1-904B-623921EE3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E3D562-EE00-418E-A4EB-00F6067AA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E5E09B-2D33-427B-BC31-51336D5BB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AF622D-B49D-45D9-BE9B-F95C6D5F9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FF001C-F436-426C-A8F7-8B0947886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0A1CD3-D196-4E9E-895F-5A9A02E0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FBCBAD-2001-4887-A5F7-E662DD2C1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28033E-D19E-401D-BD3C-C59998F2B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B785DB1-1171-42CB-9A10-22F831131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151D648-3EA8-47E3-8B38-AE6A15B7C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4F5F38-74E1-416E-81A1-0D4678514C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009DA-B723-4C05-81D9-FACBBEC4D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66400C-755B-49C9-B812-124D57DEB5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7DC44C5-A31A-48D8-A5A5-2175D6E62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484B4D-C46E-4406-93A4-393CBA2F4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F3FFED-1D06-4B78-9D61-EF7EFDD28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232898-9BB5-4BC8-9514-62B64D0D4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FB265D3-7197-4828-A72F-501D1487CF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6DFDC0-A2A2-4A48-A6BA-5CC17075E9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3EA756-48E7-4BA9-B48A-BC547CBED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41A2AF1-0BD9-4331-AAA4-78CD8A40F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146DF8C-3853-4E8B-AAD2-03B7B4A15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BEBB42-4763-4FE7-81C3-C8039D4B8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AFECCA-C733-4811-875A-36BA2E4331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8CF2AA-2046-4F99-9804-81FFDADA4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6A8D6D-DD74-4DE3-979D-D50943D02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203477-27B6-472C-8120-870A7E014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6712A5-A57A-4A24-BC05-F8E3C901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35984E-4EC3-4362-A246-E43B71FAD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D5B68E3-4B43-47E1-B62F-4CBD82893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74F4B2-4F54-47A3-901B-9B61650F9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6A18FE-5274-49AA-8104-77719B050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EF94DEA-016F-4591-B6F9-E79746D438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EA224F0-FA21-4BAF-BF85-EE6619CF2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0199FD-84DB-4096-B66B-CC78C2E0F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1F1546-A3DE-47F3-BF74-BA9FB42CF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DB198B-9C24-4346-A4FF-1FD3D6502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8B99950-69DF-4FA5-B3D4-9361309DF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1B20AE-B585-4E98-9988-176FAEEC8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77D7AE-7ECF-4019-BC02-C65D90BB2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29BED7-6F6A-4107-82DC-89C87A220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03F395E-B4C9-4057-9A07-081FF0C33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0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5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5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5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68</v>
      </c>
      <c r="C2" s="120">
        <v>1842.3339395535957</v>
      </c>
    </row>
    <row r="3" spans="1:3" x14ac:dyDescent="0.45">
      <c r="A3" t="s">
        <v>163</v>
      </c>
      <c r="B3" s="120">
        <v>35</v>
      </c>
      <c r="C3" s="120">
        <v>1653.1699313523677</v>
      </c>
    </row>
    <row r="4" spans="1:3" x14ac:dyDescent="0.45">
      <c r="A4" t="s">
        <v>139</v>
      </c>
      <c r="B4" s="120">
        <v>249</v>
      </c>
      <c r="C4" s="120">
        <v>1594.5463045050694</v>
      </c>
    </row>
    <row r="5" spans="1:3" x14ac:dyDescent="0.45">
      <c r="A5" t="s">
        <v>190</v>
      </c>
      <c r="B5" s="120">
        <v>17</v>
      </c>
      <c r="C5" s="120">
        <v>1524.3778689305989</v>
      </c>
    </row>
    <row r="6" spans="1:3" x14ac:dyDescent="0.45">
      <c r="A6" t="s">
        <v>192</v>
      </c>
      <c r="B6" s="120">
        <v>36</v>
      </c>
      <c r="C6" s="120">
        <v>1517.1288342047803</v>
      </c>
    </row>
    <row r="7" spans="1:3" x14ac:dyDescent="0.45">
      <c r="A7" t="s">
        <v>211</v>
      </c>
      <c r="B7" s="120">
        <v>31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30</v>
      </c>
      <c r="C10" s="120">
        <v>1433.30445236539</v>
      </c>
    </row>
    <row r="11" spans="1:3" x14ac:dyDescent="0.45">
      <c r="A11" t="s">
        <v>195</v>
      </c>
      <c r="B11" s="120">
        <v>8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0.87707909553481145</v>
      </c>
      <c r="C2" s="142"/>
      <c r="D2" s="141">
        <v>4.8667402271532198E-2</v>
      </c>
      <c r="E2" s="142"/>
      <c r="F2" s="141">
        <v>0.20553088529230371</v>
      </c>
      <c r="G2" s="142"/>
      <c r="H2" s="147"/>
      <c r="I2" s="148"/>
      <c r="J2" s="141">
        <v>-5.4688422447910492E-3</v>
      </c>
      <c r="K2" s="142"/>
      <c r="L2" s="141">
        <v>-3.7412038803279826E-2</v>
      </c>
      <c r="M2" s="142"/>
      <c r="N2" s="141">
        <v>3.5400228253545558E-2</v>
      </c>
      <c r="O2" s="142"/>
      <c r="P2" s="141">
        <v>0.38146533022697793</v>
      </c>
      <c r="Q2" s="142"/>
      <c r="R2" s="141">
        <v>-0.19326129034152351</v>
      </c>
      <c r="S2" s="142"/>
      <c r="T2" s="141">
        <v>0.78929941454470787</v>
      </c>
      <c r="U2" s="142"/>
      <c r="V2" s="141">
        <v>1.1900830872475971E-2</v>
      </c>
      <c r="W2" s="142"/>
      <c r="X2" s="141">
        <v>-0.23194363860989486</v>
      </c>
      <c r="Y2" s="142"/>
      <c r="Z2" s="141">
        <v>0.1238814820858546</v>
      </c>
      <c r="AA2" s="142"/>
      <c r="AB2" s="141">
        <v>-0.11450181712406404</v>
      </c>
      <c r="AC2" s="142"/>
      <c r="AD2" s="141">
        <v>0.39192319086776967</v>
      </c>
      <c r="AE2" s="142"/>
      <c r="AF2" s="141">
        <v>0.31384711274880039</v>
      </c>
      <c r="AG2" s="142"/>
      <c r="AH2" s="141">
        <v>0.14329144049240158</v>
      </c>
      <c r="AI2" s="142"/>
      <c r="AJ2" s="141">
        <v>0.92406510746895987</v>
      </c>
      <c r="AK2" s="142"/>
    </row>
    <row r="3" spans="1:37" x14ac:dyDescent="0.45">
      <c r="A3" s="38">
        <v>1</v>
      </c>
      <c r="B3" s="41" t="s">
        <v>139</v>
      </c>
      <c r="C3" s="113">
        <v>83</v>
      </c>
      <c r="D3" s="39" t="s">
        <v>192</v>
      </c>
      <c r="E3" s="40">
        <v>334.59999999999997</v>
      </c>
      <c r="F3" s="41" t="s">
        <v>192</v>
      </c>
      <c r="G3" s="60">
        <v>9.2944444444444443</v>
      </c>
      <c r="H3" s="41" t="s">
        <v>126</v>
      </c>
      <c r="I3" s="45">
        <v>1752.417922914638</v>
      </c>
      <c r="J3" s="41" t="s">
        <v>192</v>
      </c>
      <c r="K3" s="42">
        <v>1.6944444444444444</v>
      </c>
      <c r="L3" s="41" t="s">
        <v>192</v>
      </c>
      <c r="M3" s="43">
        <v>0.5</v>
      </c>
      <c r="N3" s="41" t="s">
        <v>192</v>
      </c>
      <c r="O3" s="43">
        <v>0.19444444444444445</v>
      </c>
      <c r="P3" s="41" t="s">
        <v>192</v>
      </c>
      <c r="Q3" s="44">
        <v>0.34615384615384615</v>
      </c>
      <c r="R3" s="41" t="s">
        <v>190</v>
      </c>
      <c r="S3" s="44">
        <v>0.10294117647058823</v>
      </c>
      <c r="T3" s="41" t="s">
        <v>221</v>
      </c>
      <c r="U3" s="45">
        <v>10925</v>
      </c>
      <c r="V3" s="41" t="s">
        <v>190</v>
      </c>
      <c r="W3" s="45">
        <v>-5385.7142857142853</v>
      </c>
      <c r="X3" s="41" t="s">
        <v>193</v>
      </c>
      <c r="Y3" s="43">
        <v>0</v>
      </c>
      <c r="Z3" s="41" t="s">
        <v>189</v>
      </c>
      <c r="AA3" s="44">
        <v>0.27238805970149255</v>
      </c>
      <c r="AB3" s="41" t="s">
        <v>189</v>
      </c>
      <c r="AC3" s="44">
        <v>0.29477611940298509</v>
      </c>
      <c r="AD3" s="41" t="s">
        <v>195</v>
      </c>
      <c r="AE3" s="44">
        <v>0.76923076923076927</v>
      </c>
      <c r="AF3" s="41" t="s">
        <v>211</v>
      </c>
      <c r="AG3" s="44">
        <v>0.51666666666666672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68</v>
      </c>
      <c r="D4" s="47" t="s">
        <v>211</v>
      </c>
      <c r="E4" s="48">
        <v>119.79999999999998</v>
      </c>
      <c r="F4" s="49" t="s">
        <v>211</v>
      </c>
      <c r="G4" s="61">
        <v>3.8645161290322574</v>
      </c>
      <c r="H4" s="49" t="s">
        <v>163</v>
      </c>
      <c r="I4" s="53">
        <v>1636.9983931776062</v>
      </c>
      <c r="J4" s="49" t="s">
        <v>211</v>
      </c>
      <c r="K4" s="50">
        <v>1.903225806451613</v>
      </c>
      <c r="L4" s="49" t="s">
        <v>195</v>
      </c>
      <c r="M4" s="51">
        <v>0.5</v>
      </c>
      <c r="N4" s="49" t="s">
        <v>190</v>
      </c>
      <c r="O4" s="51">
        <v>0.23529411764705882</v>
      </c>
      <c r="P4" s="49" t="s">
        <v>211</v>
      </c>
      <c r="Q4" s="52">
        <v>0.31872509960159362</v>
      </c>
      <c r="R4" s="49" t="s">
        <v>192</v>
      </c>
      <c r="S4" s="52">
        <v>0.125</v>
      </c>
      <c r="T4" s="49" t="s">
        <v>195</v>
      </c>
      <c r="U4" s="53">
        <v>8526.3157894736851</v>
      </c>
      <c r="V4" s="49" t="s">
        <v>211</v>
      </c>
      <c r="W4" s="53">
        <v>-6771.4285714285716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211</v>
      </c>
      <c r="AE4" s="52">
        <v>0.57692307692307687</v>
      </c>
      <c r="AF4" s="49" t="s">
        <v>192</v>
      </c>
      <c r="AG4" s="52">
        <v>0.47499999999999998</v>
      </c>
      <c r="AH4" s="49" t="s">
        <v>189</v>
      </c>
      <c r="AI4" s="52">
        <v>0.49367088607594939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36</v>
      </c>
      <c r="D5" s="47" t="s">
        <v>189</v>
      </c>
      <c r="E5" s="48">
        <v>11.199999999999989</v>
      </c>
      <c r="F5" s="49" t="s">
        <v>189</v>
      </c>
      <c r="G5" s="61">
        <v>0.37333333333333296</v>
      </c>
      <c r="H5" s="49" t="s">
        <v>139</v>
      </c>
      <c r="I5" s="53">
        <v>1604.2919304041936</v>
      </c>
      <c r="J5" s="49" t="s">
        <v>189</v>
      </c>
      <c r="K5" s="50">
        <v>1.9666666666666666</v>
      </c>
      <c r="L5" s="49" t="s">
        <v>211</v>
      </c>
      <c r="M5" s="51">
        <v>0.41935483870967744</v>
      </c>
      <c r="N5" s="49" t="s">
        <v>211</v>
      </c>
      <c r="O5" s="51">
        <v>0.32258064516129031</v>
      </c>
      <c r="P5" s="49" t="s">
        <v>126</v>
      </c>
      <c r="Q5" s="52">
        <v>0.30701754385964913</v>
      </c>
      <c r="R5" s="49" t="s">
        <v>211</v>
      </c>
      <c r="S5" s="52">
        <v>0.1394422310756972</v>
      </c>
      <c r="T5" s="49" t="s">
        <v>163</v>
      </c>
      <c r="U5" s="53">
        <v>8515.4761904761908</v>
      </c>
      <c r="V5" s="49" t="s">
        <v>126</v>
      </c>
      <c r="W5" s="53">
        <v>-6896.3302752293575</v>
      </c>
      <c r="X5" s="49" t="s">
        <v>189</v>
      </c>
      <c r="Y5" s="51">
        <v>3.3333333333333333E-2</v>
      </c>
      <c r="Z5" s="49" t="s">
        <v>126</v>
      </c>
      <c r="AA5" s="52">
        <v>0.25263157894736843</v>
      </c>
      <c r="AB5" s="49" t="s">
        <v>221</v>
      </c>
      <c r="AC5" s="52">
        <v>0.27777777777777779</v>
      </c>
      <c r="AD5" s="49" t="s">
        <v>190</v>
      </c>
      <c r="AE5" s="52">
        <v>0.56666666666666665</v>
      </c>
      <c r="AF5" s="49" t="s">
        <v>126</v>
      </c>
      <c r="AG5" s="52">
        <v>0.45081967213114754</v>
      </c>
      <c r="AH5" s="49" t="s">
        <v>195</v>
      </c>
      <c r="AI5" s="52">
        <v>0.47368421052631576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163</v>
      </c>
      <c r="C6" s="114">
        <v>35</v>
      </c>
      <c r="D6" s="47" t="s">
        <v>139</v>
      </c>
      <c r="E6" s="48">
        <v>2.8421709430404007E-14</v>
      </c>
      <c r="F6" s="49" t="s">
        <v>139</v>
      </c>
      <c r="G6" s="61">
        <v>1.1414341136708436E-16</v>
      </c>
      <c r="H6" s="49" t="s">
        <v>192</v>
      </c>
      <c r="I6" s="53">
        <v>1589.9026760335635</v>
      </c>
      <c r="J6" s="49" t="s">
        <v>139</v>
      </c>
      <c r="K6" s="50">
        <v>1.9959839357429718</v>
      </c>
      <c r="L6" s="49" t="s">
        <v>189</v>
      </c>
      <c r="M6" s="51">
        <v>0.36666666666666664</v>
      </c>
      <c r="N6" s="49" t="s">
        <v>189</v>
      </c>
      <c r="O6" s="51">
        <v>0.33333333333333331</v>
      </c>
      <c r="P6" s="49" t="s">
        <v>189</v>
      </c>
      <c r="Q6" s="52">
        <v>0.29477611940298509</v>
      </c>
      <c r="R6" s="49" t="s">
        <v>221</v>
      </c>
      <c r="S6" s="52">
        <v>0.16666666666666666</v>
      </c>
      <c r="T6" s="49" t="s">
        <v>193</v>
      </c>
      <c r="U6" s="53">
        <v>8212.5</v>
      </c>
      <c r="V6" s="49" t="s">
        <v>195</v>
      </c>
      <c r="W6" s="53">
        <v>-7154.545454545455</v>
      </c>
      <c r="X6" s="49" t="s">
        <v>192</v>
      </c>
      <c r="Y6" s="51">
        <v>5.5555555555555552E-2</v>
      </c>
      <c r="Z6" s="49" t="s">
        <v>163</v>
      </c>
      <c r="AA6" s="52">
        <v>0.24262295081967214</v>
      </c>
      <c r="AB6" s="49" t="s">
        <v>192</v>
      </c>
      <c r="AC6" s="52">
        <v>0.25641025641025639</v>
      </c>
      <c r="AD6" s="49" t="s">
        <v>126</v>
      </c>
      <c r="AE6" s="52">
        <v>0.5625</v>
      </c>
      <c r="AF6" s="49" t="s">
        <v>195</v>
      </c>
      <c r="AG6" s="52">
        <v>0.44444444444444442</v>
      </c>
      <c r="AH6" s="49" t="s">
        <v>163</v>
      </c>
      <c r="AI6" s="52">
        <v>0.4642857142857143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211</v>
      </c>
      <c r="C7" s="114">
        <v>31</v>
      </c>
      <c r="D7" s="47" t="s">
        <v>221</v>
      </c>
      <c r="E7" s="48">
        <v>-13.5</v>
      </c>
      <c r="F7" s="49" t="s">
        <v>126</v>
      </c>
      <c r="G7" s="61">
        <v>-0.78529411764705948</v>
      </c>
      <c r="H7" s="49" t="s">
        <v>190</v>
      </c>
      <c r="I7" s="53">
        <v>1524.9050618397528</v>
      </c>
      <c r="J7" s="49" t="s">
        <v>190</v>
      </c>
      <c r="K7" s="50">
        <v>2</v>
      </c>
      <c r="L7" s="49" t="s">
        <v>139</v>
      </c>
      <c r="M7" s="51">
        <v>0.33734939759036142</v>
      </c>
      <c r="N7" s="49" t="s">
        <v>139</v>
      </c>
      <c r="O7" s="51">
        <v>0.33333333333333331</v>
      </c>
      <c r="P7" s="49" t="s">
        <v>139</v>
      </c>
      <c r="Q7" s="52">
        <v>0.29428571428571426</v>
      </c>
      <c r="R7" s="49" t="s">
        <v>139</v>
      </c>
      <c r="S7" s="52">
        <v>0.16714285714285715</v>
      </c>
      <c r="T7" s="49" t="s">
        <v>126</v>
      </c>
      <c r="U7" s="53">
        <v>8152.5714285714284</v>
      </c>
      <c r="V7" s="49" t="s">
        <v>139</v>
      </c>
      <c r="W7" s="53">
        <v>-7307.4074074074078</v>
      </c>
      <c r="X7" s="49" t="s">
        <v>190</v>
      </c>
      <c r="Y7" s="51">
        <v>5.8823529411764705E-2</v>
      </c>
      <c r="Z7" s="49" t="s">
        <v>139</v>
      </c>
      <c r="AA7" s="52">
        <v>0.23714285714285716</v>
      </c>
      <c r="AB7" s="49" t="s">
        <v>211</v>
      </c>
      <c r="AC7" s="52">
        <v>0.23904382470119523</v>
      </c>
      <c r="AD7" s="49" t="s">
        <v>192</v>
      </c>
      <c r="AE7" s="52">
        <v>0.52238805970149249</v>
      </c>
      <c r="AF7" s="49" t="s">
        <v>139</v>
      </c>
      <c r="AG7" s="52">
        <v>0.42740286298568508</v>
      </c>
      <c r="AH7" s="49" t="s">
        <v>126</v>
      </c>
      <c r="AI7" s="52">
        <v>0.44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189</v>
      </c>
      <c r="C8" s="114">
        <v>30</v>
      </c>
      <c r="D8" s="47" t="s">
        <v>195</v>
      </c>
      <c r="E8" s="48">
        <v>-45.7</v>
      </c>
      <c r="F8" s="49" t="s">
        <v>163</v>
      </c>
      <c r="G8" s="61">
        <v>-2.0914285714285725</v>
      </c>
      <c r="H8" s="49" t="s">
        <v>211</v>
      </c>
      <c r="I8" s="53">
        <v>1524.7772705857617</v>
      </c>
      <c r="J8" s="49" t="s">
        <v>195</v>
      </c>
      <c r="K8" s="50">
        <v>2</v>
      </c>
      <c r="L8" s="49" t="s">
        <v>163</v>
      </c>
      <c r="M8" s="51">
        <v>0.2857142857142857</v>
      </c>
      <c r="N8" s="49" t="s">
        <v>163</v>
      </c>
      <c r="O8" s="51">
        <v>0.34285714285714286</v>
      </c>
      <c r="P8" s="49" t="s">
        <v>195</v>
      </c>
      <c r="Q8" s="52">
        <v>0.29230769230769232</v>
      </c>
      <c r="R8" s="49" t="s">
        <v>195</v>
      </c>
      <c r="S8" s="52">
        <v>0.16923076923076924</v>
      </c>
      <c r="T8" s="49" t="s">
        <v>139</v>
      </c>
      <c r="U8" s="53">
        <v>7969.5792880258896</v>
      </c>
      <c r="V8" s="49" t="s">
        <v>192</v>
      </c>
      <c r="W8" s="53">
        <v>-7448.7179487179483</v>
      </c>
      <c r="X8" s="49" t="s">
        <v>211</v>
      </c>
      <c r="Y8" s="51">
        <v>6.4516129032258063E-2</v>
      </c>
      <c r="Z8" s="49" t="s">
        <v>216</v>
      </c>
      <c r="AA8" s="52">
        <v>0.22857142857142856</v>
      </c>
      <c r="AB8" s="49" t="s">
        <v>163</v>
      </c>
      <c r="AC8" s="52">
        <v>0.23606557377049181</v>
      </c>
      <c r="AD8" s="49" t="s">
        <v>139</v>
      </c>
      <c r="AE8" s="52">
        <v>0.52008032128514059</v>
      </c>
      <c r="AF8" s="49" t="s">
        <v>193</v>
      </c>
      <c r="AG8" s="52">
        <v>0.4</v>
      </c>
      <c r="AH8" s="49" t="s">
        <v>216</v>
      </c>
      <c r="AI8" s="52">
        <v>0.43333333333333335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190</v>
      </c>
      <c r="E9" s="48">
        <v>-47.800000000000018</v>
      </c>
      <c r="F9" s="49" t="s">
        <v>190</v>
      </c>
      <c r="G9" s="61">
        <v>-2.8117647058823541</v>
      </c>
      <c r="H9" s="49" t="s">
        <v>221</v>
      </c>
      <c r="I9" s="53">
        <v>1497.379788</v>
      </c>
      <c r="J9" s="49" t="s">
        <v>163</v>
      </c>
      <c r="K9" s="50">
        <v>2.0571428571428569</v>
      </c>
      <c r="L9" s="49" t="s">
        <v>126</v>
      </c>
      <c r="M9" s="51">
        <v>0.27941176470588236</v>
      </c>
      <c r="N9" s="49" t="s">
        <v>126</v>
      </c>
      <c r="O9" s="51">
        <v>0.36764705882352944</v>
      </c>
      <c r="P9" s="49" t="s">
        <v>163</v>
      </c>
      <c r="Q9" s="52">
        <v>0.27540983606557379</v>
      </c>
      <c r="R9" s="49" t="s">
        <v>189</v>
      </c>
      <c r="S9" s="52">
        <v>0.17164179104477612</v>
      </c>
      <c r="T9" s="49" t="s">
        <v>211</v>
      </c>
      <c r="U9" s="53">
        <v>7840</v>
      </c>
      <c r="V9" s="49" t="s">
        <v>189</v>
      </c>
      <c r="W9" s="53">
        <v>-7539.130434782609</v>
      </c>
      <c r="X9" s="49" t="s">
        <v>126</v>
      </c>
      <c r="Y9" s="51">
        <v>7.3529411764705885E-2</v>
      </c>
      <c r="Z9" s="49" t="s">
        <v>221</v>
      </c>
      <c r="AA9" s="52">
        <v>0.22222222222222221</v>
      </c>
      <c r="AB9" s="49" t="s">
        <v>139</v>
      </c>
      <c r="AC9" s="52">
        <v>0.23285714285714285</v>
      </c>
      <c r="AD9" s="49" t="s">
        <v>163</v>
      </c>
      <c r="AE9" s="52">
        <v>0.47297297297297297</v>
      </c>
      <c r="AF9" s="49" t="s">
        <v>221</v>
      </c>
      <c r="AG9" s="52">
        <v>0.4</v>
      </c>
      <c r="AH9" s="49" t="s">
        <v>139</v>
      </c>
      <c r="AI9" s="52">
        <v>0.42718446601941745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17</v>
      </c>
      <c r="D10" s="47" t="s">
        <v>193</v>
      </c>
      <c r="E10" s="48">
        <v>-51.699999999999996</v>
      </c>
      <c r="F10" s="49" t="s">
        <v>195</v>
      </c>
      <c r="G10" s="61">
        <v>-5.7125000000000004</v>
      </c>
      <c r="H10" s="49" t="s">
        <v>216</v>
      </c>
      <c r="I10" s="53">
        <v>1475.2783888604056</v>
      </c>
      <c r="J10" s="49" t="s">
        <v>126</v>
      </c>
      <c r="K10" s="50">
        <v>2.0882352941176472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163</v>
      </c>
      <c r="S10" s="52">
        <v>0.18688524590163935</v>
      </c>
      <c r="T10" s="49" t="s">
        <v>192</v>
      </c>
      <c r="U10" s="53">
        <v>7805.5555555555557</v>
      </c>
      <c r="V10" s="49" t="s">
        <v>216</v>
      </c>
      <c r="W10" s="53">
        <v>-7886.2068965517237</v>
      </c>
      <c r="X10" s="49" t="s">
        <v>139</v>
      </c>
      <c r="Y10" s="51">
        <v>7.6305220883534142E-2</v>
      </c>
      <c r="Z10" s="49" t="s">
        <v>190</v>
      </c>
      <c r="AA10" s="52">
        <v>0.22058823529411764</v>
      </c>
      <c r="AB10" s="49" t="s">
        <v>126</v>
      </c>
      <c r="AC10" s="52">
        <v>0.21403508771929824</v>
      </c>
      <c r="AD10" s="49" t="s">
        <v>189</v>
      </c>
      <c r="AE10" s="52">
        <v>0.46575342465753422</v>
      </c>
      <c r="AF10" s="49" t="s">
        <v>190</v>
      </c>
      <c r="AG10" s="52">
        <v>0.39285714285714285</v>
      </c>
      <c r="AH10" s="49" t="s">
        <v>192</v>
      </c>
      <c r="AI10" s="52">
        <v>0.41666666666666669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8</v>
      </c>
      <c r="D11" s="47" t="s">
        <v>126</v>
      </c>
      <c r="E11" s="48">
        <v>-53.400000000000041</v>
      </c>
      <c r="F11" s="49" t="s">
        <v>221</v>
      </c>
      <c r="G11" s="61">
        <v>-6.75</v>
      </c>
      <c r="H11" s="49" t="s">
        <v>189</v>
      </c>
      <c r="I11" s="53">
        <v>1461.3380512742167</v>
      </c>
      <c r="J11" s="49" t="s">
        <v>216</v>
      </c>
      <c r="K11" s="50">
        <v>2.2222222222222223</v>
      </c>
      <c r="L11" s="49" t="s">
        <v>190</v>
      </c>
      <c r="M11" s="51">
        <v>0.23529411764705882</v>
      </c>
      <c r="N11" s="49" t="s">
        <v>195</v>
      </c>
      <c r="O11" s="51">
        <v>0.5</v>
      </c>
      <c r="P11" s="49" t="s">
        <v>190</v>
      </c>
      <c r="Q11" s="52">
        <v>0.22794117647058823</v>
      </c>
      <c r="R11" s="49" t="s">
        <v>126</v>
      </c>
      <c r="S11" s="52">
        <v>0.19122807017543861</v>
      </c>
      <c r="T11" s="49" t="s">
        <v>190</v>
      </c>
      <c r="U11" s="53">
        <v>7654.8387096774195</v>
      </c>
      <c r="V11" s="49" t="s">
        <v>163</v>
      </c>
      <c r="W11" s="53">
        <v>-7896.4912280701756</v>
      </c>
      <c r="X11" s="49" t="s">
        <v>216</v>
      </c>
      <c r="Y11" s="51">
        <v>0.1111111111111111</v>
      </c>
      <c r="Z11" s="49" t="s">
        <v>192</v>
      </c>
      <c r="AA11" s="52">
        <v>0.21474358974358973</v>
      </c>
      <c r="AB11" s="49" t="s">
        <v>190</v>
      </c>
      <c r="AC11" s="52">
        <v>0.20588235294117646</v>
      </c>
      <c r="AD11" s="49" t="s">
        <v>216</v>
      </c>
      <c r="AE11" s="52">
        <v>0.4375</v>
      </c>
      <c r="AF11" s="49" t="s">
        <v>189</v>
      </c>
      <c r="AG11" s="52">
        <v>0.39240506329113922</v>
      </c>
      <c r="AH11" s="49" t="s">
        <v>211</v>
      </c>
      <c r="AI11" s="52">
        <v>0.4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-73.200000000000031</v>
      </c>
      <c r="F12" s="49" t="s">
        <v>216</v>
      </c>
      <c r="G12" s="61">
        <v>-10.016666666666667</v>
      </c>
      <c r="H12" s="49" t="s">
        <v>195</v>
      </c>
      <c r="I12" s="53">
        <v>1392.9145746195986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7453.164556962025</v>
      </c>
      <c r="V12" s="49" t="s">
        <v>193</v>
      </c>
      <c r="W12" s="53">
        <v>-9387.5</v>
      </c>
      <c r="X12" s="49" t="s">
        <v>163</v>
      </c>
      <c r="Y12" s="51">
        <v>0.11428571428571428</v>
      </c>
      <c r="Z12" s="49" t="s">
        <v>211</v>
      </c>
      <c r="AA12" s="52">
        <v>0.20717131474103587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0.3611111111111111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0.25</v>
      </c>
      <c r="Z13" s="49" t="s">
        <v>195</v>
      </c>
      <c r="AA13" s="52">
        <v>0.2</v>
      </c>
      <c r="AB13" s="49" t="s">
        <v>195</v>
      </c>
      <c r="AC13" s="52">
        <v>0.13846153846153847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0.12903225806451613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65DD2-E908-4E36-8FEB-C8124C78CBEE}">
  <sheetPr codeName="Sheet4"/>
  <dimension ref="A1:R251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249</v>
      </c>
      <c r="C2" s="134"/>
      <c r="E2" s="26" t="s">
        <v>66</v>
      </c>
      <c r="F2" s="23" t="s">
        <v>22</v>
      </c>
      <c r="G2" s="11">
        <v>482</v>
      </c>
      <c r="H2" s="87">
        <f>IF(B$20=0,0,G2/B$20)</f>
        <v>0.7799352750809061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-40.160642570281126</v>
      </c>
      <c r="Q2" s="76">
        <v>249</v>
      </c>
      <c r="R2" s="63">
        <v>-10000</v>
      </c>
    </row>
    <row r="3" spans="1:18" x14ac:dyDescent="0.45">
      <c r="A3" s="19" t="s">
        <v>8</v>
      </c>
      <c r="B3" s="135">
        <v>2100</v>
      </c>
      <c r="C3" s="136"/>
      <c r="E3" s="27" t="s">
        <v>72</v>
      </c>
      <c r="F3" s="24" t="s">
        <v>27</v>
      </c>
      <c r="G3" s="12">
        <v>367</v>
      </c>
      <c r="H3" s="88">
        <f>IF(B$20=0,0,G3/B$20)</f>
        <v>0.59385113268608414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41.152263374485599</v>
      </c>
      <c r="Q3" s="77">
        <v>243</v>
      </c>
      <c r="R3" s="64">
        <v>10000</v>
      </c>
    </row>
    <row r="4" spans="1:18" x14ac:dyDescent="0.45">
      <c r="A4" s="19" t="s">
        <v>6</v>
      </c>
      <c r="B4" s="137">
        <v>2.8421709430404007E-14</v>
      </c>
      <c r="C4" s="138"/>
      <c r="E4" s="27" t="s">
        <v>64</v>
      </c>
      <c r="F4" s="24" t="s">
        <v>20</v>
      </c>
      <c r="G4" s="12">
        <v>251</v>
      </c>
      <c r="H4" s="88">
        <f>IF(B$20=0,0,G4/B$20)</f>
        <v>0.40614886731391586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-24.390243902439025</v>
      </c>
      <c r="Q4" s="77">
        <v>246</v>
      </c>
      <c r="R4" s="64">
        <v>-6000</v>
      </c>
    </row>
    <row r="5" spans="1:18" x14ac:dyDescent="0.45">
      <c r="A5" s="19" t="s">
        <v>7</v>
      </c>
      <c r="B5" s="125">
        <f>IF(B$2=0,0,B$4/B$2)</f>
        <v>1.1414341136708436E-16</v>
      </c>
      <c r="C5" s="126"/>
      <c r="E5" s="27" t="s">
        <v>159</v>
      </c>
      <c r="F5" s="24" t="s">
        <v>160</v>
      </c>
      <c r="G5" s="12">
        <v>238</v>
      </c>
      <c r="H5" s="88">
        <f>IF(B$20=0,0,G5/B$20)</f>
        <v>0.38511326860841422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-4.2735042735042734</v>
      </c>
      <c r="Q5" s="77">
        <v>234</v>
      </c>
      <c r="R5" s="64">
        <v>-1000</v>
      </c>
    </row>
    <row r="6" spans="1:18" x14ac:dyDescent="0.45">
      <c r="A6" s="19" t="s">
        <v>196</v>
      </c>
      <c r="B6" s="129">
        <v>1604.2919304041936</v>
      </c>
      <c r="C6" s="130"/>
      <c r="E6" s="27" t="s">
        <v>68</v>
      </c>
      <c r="F6" s="24" t="s">
        <v>12</v>
      </c>
      <c r="G6" s="12">
        <v>175</v>
      </c>
      <c r="H6" s="88">
        <f>IF(B$20=0,0,G6/B$20)</f>
        <v>0.28317152103559873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18.779342723004696</v>
      </c>
      <c r="Q6" s="77">
        <v>213</v>
      </c>
      <c r="R6" s="64">
        <v>4000</v>
      </c>
    </row>
    <row r="7" spans="1:18" x14ac:dyDescent="0.45">
      <c r="A7" s="19" t="s">
        <v>1</v>
      </c>
      <c r="B7" s="139">
        <f>IF(B$2=0,0,(B$8*1+B$9*2+B$10*3)/B$2)</f>
        <v>1.9959839357429718</v>
      </c>
      <c r="C7" s="140"/>
      <c r="E7" s="27" t="s">
        <v>67</v>
      </c>
      <c r="F7" s="24" t="s">
        <v>23</v>
      </c>
      <c r="G7" s="12">
        <v>129</v>
      </c>
      <c r="H7" s="88">
        <f>IF(B$20=0,0,G7/B$20)</f>
        <v>0.20873786407766989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16.949152542372882</v>
      </c>
      <c r="Q7" s="78">
        <v>177</v>
      </c>
      <c r="R7" s="65">
        <v>3000</v>
      </c>
    </row>
    <row r="8" spans="1:18" x14ac:dyDescent="0.45">
      <c r="A8" s="19" t="s">
        <v>2</v>
      </c>
      <c r="B8" s="12">
        <v>84</v>
      </c>
      <c r="C8" s="6">
        <f t="shared" ref="C8:C15" si="1">IF(B$2=0,0,B8/B$2)</f>
        <v>0.33734939759036142</v>
      </c>
      <c r="E8" s="27" t="s">
        <v>89</v>
      </c>
      <c r="F8" s="24" t="s">
        <v>44</v>
      </c>
      <c r="G8" s="12">
        <v>88</v>
      </c>
      <c r="H8" s="88">
        <f>IF(B$20=0,0,G8/B$20)</f>
        <v>0.14239482200647249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82</v>
      </c>
      <c r="C9" s="6">
        <f t="shared" si="1"/>
        <v>0.32931726907630521</v>
      </c>
      <c r="E9" s="27" t="s">
        <v>69</v>
      </c>
      <c r="F9" s="24" t="s">
        <v>24</v>
      </c>
      <c r="G9" s="12">
        <v>81</v>
      </c>
      <c r="H9" s="88">
        <f>IF(B$20=0,0,G9/B$20)</f>
        <v>0.13106796116504854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83</v>
      </c>
      <c r="C10" s="7">
        <f t="shared" si="1"/>
        <v>0.33333333333333331</v>
      </c>
      <c r="E10" s="27" t="s">
        <v>70</v>
      </c>
      <c r="F10" s="24" t="s">
        <v>25</v>
      </c>
      <c r="G10" s="12">
        <v>64</v>
      </c>
      <c r="H10" s="88">
        <f>IF(B$20=0,0,G10/B$20)</f>
        <v>0.10355987055016182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2.0602409638554224</v>
      </c>
      <c r="Q10" s="76">
        <v>83</v>
      </c>
      <c r="R10" s="67">
        <v>171.00000000000006</v>
      </c>
    </row>
    <row r="11" spans="1:18" x14ac:dyDescent="0.45">
      <c r="A11" s="20" t="s">
        <v>184</v>
      </c>
      <c r="B11" s="109">
        <f>IF(B8=0,0,C11/B8)</f>
        <v>34.367857142857133</v>
      </c>
      <c r="C11" s="110">
        <v>2886.8999999999992</v>
      </c>
      <c r="E11" s="27" t="s">
        <v>65</v>
      </c>
      <c r="F11" s="24" t="s">
        <v>21</v>
      </c>
      <c r="G11" s="12">
        <v>51</v>
      </c>
      <c r="H11" s="88">
        <f>IF(B$20=0,0,G11/B$20)</f>
        <v>8.2524271844660199E-2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-4.0578313253012039</v>
      </c>
      <c r="Q11" s="77">
        <v>83</v>
      </c>
      <c r="R11" s="68">
        <v>-336.79999999999995</v>
      </c>
    </row>
    <row r="12" spans="1:18" x14ac:dyDescent="0.45">
      <c r="A12" s="20" t="s">
        <v>185</v>
      </c>
      <c r="B12" s="109">
        <f>IF(B9=0,0,C12/B9)</f>
        <v>-0.97073170731707292</v>
      </c>
      <c r="C12" s="110">
        <v>-79.59999999999998</v>
      </c>
      <c r="E12" s="27" t="s">
        <v>71</v>
      </c>
      <c r="F12" s="24" t="s">
        <v>26</v>
      </c>
      <c r="G12" s="12">
        <v>35</v>
      </c>
      <c r="H12" s="88">
        <f>IF(B$20=0,0,G12/B$20)</f>
        <v>5.6634304207119741E-2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1.9975903614457828</v>
      </c>
      <c r="Q12" s="78">
        <v>83</v>
      </c>
      <c r="R12" s="69">
        <v>165.79999999999998</v>
      </c>
    </row>
    <row r="13" spans="1:18" x14ac:dyDescent="0.45">
      <c r="A13" s="20" t="s">
        <v>186</v>
      </c>
      <c r="B13" s="109">
        <f>IF(B10=0,0,C13/B10)</f>
        <v>-33.822891566265056</v>
      </c>
      <c r="C13" s="110">
        <v>-2807.2999999999997</v>
      </c>
      <c r="E13" s="27" t="s">
        <v>86</v>
      </c>
      <c r="F13" s="24" t="s">
        <v>41</v>
      </c>
      <c r="G13" s="12">
        <v>32</v>
      </c>
      <c r="H13" s="88">
        <f>IF(B$20=0,0,G13/B$20)</f>
        <v>5.1779935275080909E-2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-0.14192204357499824</v>
      </c>
      <c r="C14" s="126"/>
      <c r="E14" s="27" t="s">
        <v>83</v>
      </c>
      <c r="F14" s="24" t="s">
        <v>38</v>
      </c>
      <c r="G14" s="12">
        <v>27</v>
      </c>
      <c r="H14" s="88">
        <f>IF(B$20=0,0,G14/B$20)</f>
        <v>4.3689320388349516E-2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19</v>
      </c>
      <c r="C15" s="9">
        <f t="shared" si="1"/>
        <v>7.6305220883534142E-2</v>
      </c>
      <c r="E15" s="27" t="s">
        <v>81</v>
      </c>
      <c r="F15" s="24" t="s">
        <v>36</v>
      </c>
      <c r="G15" s="12">
        <v>23</v>
      </c>
      <c r="H15" s="88">
        <f>IF(B$20=0,0,G15/B$20)</f>
        <v>3.7216828478964403E-2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498</v>
      </c>
      <c r="C16" s="10">
        <f>IF(B$3=0,0,B16/B$3)</f>
        <v>0.23714285714285716</v>
      </c>
      <c r="E16" s="27" t="s">
        <v>78</v>
      </c>
      <c r="F16" s="24" t="s">
        <v>33</v>
      </c>
      <c r="G16" s="12">
        <v>16</v>
      </c>
      <c r="H16" s="88">
        <f>IF(B$20=0,0,G16/B$20)</f>
        <v>2.5889967637540454E-2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489</v>
      </c>
      <c r="C17" s="6">
        <f>IF(B$3=0,0,B17/B$3)</f>
        <v>0.23285714285714285</v>
      </c>
      <c r="E17" s="27" t="s">
        <v>91</v>
      </c>
      <c r="F17" s="24" t="s">
        <v>46</v>
      </c>
      <c r="G17" s="12">
        <v>12</v>
      </c>
      <c r="H17" s="88">
        <f>IF(B$20=0,0,G17/B$20)</f>
        <v>1.9417475728155338E-2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5">
      <c r="A18" s="18" t="s">
        <v>123</v>
      </c>
      <c r="B18" s="11">
        <f>B24</f>
        <v>259</v>
      </c>
      <c r="C18" s="5">
        <f>IF(B$16=0,0,B18/B$16)</f>
        <v>0.52008032128514059</v>
      </c>
      <c r="E18" s="27" t="s">
        <v>155</v>
      </c>
      <c r="F18" s="24" t="s">
        <v>156</v>
      </c>
      <c r="G18" s="12">
        <v>12</v>
      </c>
      <c r="H18" s="88">
        <f>IF(B$20=0,0,G18/B$20)</f>
        <v>1.9417475728155338E-2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8.568750000000005</v>
      </c>
      <c r="Q18" s="77">
        <v>16</v>
      </c>
      <c r="R18" s="68">
        <v>137.10000000000008</v>
      </c>
    </row>
    <row r="19" spans="1:18" x14ac:dyDescent="0.45">
      <c r="A19" s="18" t="s">
        <v>124</v>
      </c>
      <c r="B19" s="11">
        <f>B25</f>
        <v>209</v>
      </c>
      <c r="C19" s="5">
        <f>IF(B$17=0,0,B19/B$17)</f>
        <v>0.42740286298568508</v>
      </c>
      <c r="E19" s="27" t="s">
        <v>79</v>
      </c>
      <c r="F19" s="24" t="s">
        <v>34</v>
      </c>
      <c r="G19" s="12">
        <v>10</v>
      </c>
      <c r="H19" s="88">
        <f>IF(B$20=0,0,G19/B$20)</f>
        <v>1.6181229773462782E-2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4.2176470588235286</v>
      </c>
      <c r="Q19" s="77">
        <v>34</v>
      </c>
      <c r="R19" s="68">
        <v>143.39999999999998</v>
      </c>
    </row>
    <row r="20" spans="1:18" x14ac:dyDescent="0.45">
      <c r="A20" s="18" t="s">
        <v>10</v>
      </c>
      <c r="B20" s="11">
        <f>B23+B22</f>
        <v>618</v>
      </c>
      <c r="C20" s="5">
        <f>IF(B$3=0,0,B20/B$3)</f>
        <v>0.29428571428571426</v>
      </c>
      <c r="E20" s="27" t="s">
        <v>73</v>
      </c>
      <c r="F20" s="24" t="s">
        <v>28</v>
      </c>
      <c r="G20" s="12">
        <v>6</v>
      </c>
      <c r="H20" s="88">
        <f>IF(B$20=0,0,G20/B$20)</f>
        <v>9.7087378640776691E-3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3.1371428571428597</v>
      </c>
      <c r="Q20" s="77">
        <v>70</v>
      </c>
      <c r="R20" s="68">
        <v>219.60000000000016</v>
      </c>
    </row>
    <row r="21" spans="1:18" x14ac:dyDescent="0.45">
      <c r="A21" s="19" t="s">
        <v>13</v>
      </c>
      <c r="B21" s="12">
        <v>351</v>
      </c>
      <c r="C21" s="6">
        <f>IF(B$3=0,0,B21/B$3)</f>
        <v>0.16714285714285715</v>
      </c>
      <c r="E21" s="27" t="s">
        <v>85</v>
      </c>
      <c r="F21" s="24" t="s">
        <v>40</v>
      </c>
      <c r="G21" s="12">
        <v>3</v>
      </c>
      <c r="H21" s="88">
        <f>IF(B$20=0,0,G21/B$20)</f>
        <v>4.8543689320388345E-3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1.1779411764705914</v>
      </c>
      <c r="Q21" s="77">
        <v>136</v>
      </c>
      <c r="R21" s="68">
        <v>160.20000000000041</v>
      </c>
    </row>
    <row r="22" spans="1:18" x14ac:dyDescent="0.45">
      <c r="A22" s="19" t="s">
        <v>12</v>
      </c>
      <c r="B22" s="12">
        <v>264</v>
      </c>
      <c r="C22" s="6">
        <f>IF(B$20=0,0,B22/B$20)</f>
        <v>0.42718446601941745</v>
      </c>
      <c r="E22" s="27" t="s">
        <v>88</v>
      </c>
      <c r="F22" s="24" t="s">
        <v>43</v>
      </c>
      <c r="G22" s="12">
        <v>3</v>
      </c>
      <c r="H22" s="88">
        <f>IF(B$20=0,0,G22/B$20)</f>
        <v>4.8543689320388345E-3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-0.55999999999999894</v>
      </c>
      <c r="Q22" s="77">
        <v>60</v>
      </c>
      <c r="R22" s="68">
        <v>-33.599999999999937</v>
      </c>
    </row>
    <row r="23" spans="1:18" x14ac:dyDescent="0.45">
      <c r="A23" s="19" t="s">
        <v>11</v>
      </c>
      <c r="B23" s="12">
        <v>354</v>
      </c>
      <c r="C23" s="6">
        <f>IF(B$20=0,0,B23/B$20)</f>
        <v>0.57281553398058249</v>
      </c>
      <c r="E23" s="27" t="s">
        <v>75</v>
      </c>
      <c r="F23" s="24" t="s">
        <v>30</v>
      </c>
      <c r="G23" s="12">
        <v>2</v>
      </c>
      <c r="H23" s="88">
        <f>IF(B$20=0,0,G23/B$20)</f>
        <v>3.2362459546925568E-3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-5.7967741935483881</v>
      </c>
      <c r="Q23" s="77">
        <v>62</v>
      </c>
      <c r="R23" s="68">
        <v>-359.40000000000003</v>
      </c>
    </row>
    <row r="24" spans="1:18" x14ac:dyDescent="0.45">
      <c r="A24" s="19" t="s">
        <v>183</v>
      </c>
      <c r="B24" s="12">
        <v>259</v>
      </c>
      <c r="C24" s="6">
        <f>IF(B$20=0,0,B24/B$20)</f>
        <v>0.4190938511326861</v>
      </c>
      <c r="E24" s="27" t="s">
        <v>77</v>
      </c>
      <c r="F24" s="24" t="s">
        <v>32</v>
      </c>
      <c r="G24" s="12">
        <v>2</v>
      </c>
      <c r="H24" s="88">
        <f>IF(B$20=0,0,G24/B$20)</f>
        <v>3.2362459546925568E-3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-13.941666666666672</v>
      </c>
      <c r="Q24" s="77">
        <v>72</v>
      </c>
      <c r="R24" s="68">
        <v>-1003.8000000000004</v>
      </c>
    </row>
    <row r="25" spans="1:18" x14ac:dyDescent="0.45">
      <c r="A25" s="19" t="s">
        <v>181</v>
      </c>
      <c r="B25" s="12">
        <v>209</v>
      </c>
      <c r="C25" s="6">
        <f>IF(B$20=0,0,B25/B$20)</f>
        <v>0.33818770226537215</v>
      </c>
      <c r="E25" s="27" t="s">
        <v>92</v>
      </c>
      <c r="F25" s="24" t="s">
        <v>47</v>
      </c>
      <c r="G25" s="12">
        <v>2</v>
      </c>
      <c r="H25" s="88">
        <f>IF(B$20=0,0,G25/B$20)</f>
        <v>3.2362459546925568E-3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150</v>
      </c>
      <c r="C26" s="6">
        <f>IF(B$20=0,0,B26/B$20)</f>
        <v>0.24271844660194175</v>
      </c>
      <c r="E26" s="27" t="s">
        <v>80</v>
      </c>
      <c r="F26" s="24" t="s">
        <v>35</v>
      </c>
      <c r="G26" s="12">
        <v>1</v>
      </c>
      <c r="H26" s="88">
        <f>IF(B$20=0,0,G26/B$20)</f>
        <v>1.6181229773462784E-3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7969.5792880258896</v>
      </c>
      <c r="C27" s="8">
        <v>4925200</v>
      </c>
      <c r="E27" s="27" t="s">
        <v>90</v>
      </c>
      <c r="F27" s="24" t="s">
        <v>45</v>
      </c>
      <c r="G27" s="12">
        <v>1</v>
      </c>
      <c r="H27" s="88">
        <f>IF(B$20=0,0,G27/B$20)</f>
        <v>1.6181229773462784E-3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8605.1344743276277</v>
      </c>
      <c r="C28" s="96">
        <v>3519500</v>
      </c>
      <c r="E28" s="27" t="s">
        <v>93</v>
      </c>
      <c r="F28" s="24" t="s">
        <v>48</v>
      </c>
      <c r="G28" s="12">
        <v>1</v>
      </c>
      <c r="H28" s="88">
        <f>IF(B$20=0,0,G28/B$20)</f>
        <v>1.6181229773462784E-3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6725.8373205741627</v>
      </c>
      <c r="C29" s="96">
        <v>1405700</v>
      </c>
      <c r="E29" s="27" t="s">
        <v>102</v>
      </c>
      <c r="F29" s="24" t="s">
        <v>57</v>
      </c>
      <c r="G29" s="12">
        <v>1</v>
      </c>
      <c r="H29" s="88">
        <f>IF(B$20=0,0,G29/B$20)</f>
        <v>1.6181229773462784E-3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-7307.4074074074078</v>
      </c>
      <c r="C30" s="96">
        <v>-2564900</v>
      </c>
      <c r="E30" s="27" t="s">
        <v>74</v>
      </c>
      <c r="F30" s="24" t="s">
        <v>29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2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87</v>
      </c>
      <c r="F34" s="24" t="s">
        <v>42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7</v>
      </c>
      <c r="C35" s="9">
        <f>IF(B$3=0,0,B35/B$3)</f>
        <v>3.3333333333333335E-3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54</v>
      </c>
      <c r="C37" s="98">
        <f t="shared" ref="C37:C49" si="2">IF(B$20=0,0,B37/B$20)</f>
        <v>8.7378640776699032E-2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122</v>
      </c>
      <c r="C38" s="6">
        <f t="shared" si="2"/>
        <v>0.19741100323624594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118</v>
      </c>
      <c r="C39" s="6">
        <f t="shared" si="2"/>
        <v>0.19093851132686085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110</v>
      </c>
      <c r="C40" s="6">
        <f t="shared" si="2"/>
        <v>0.17799352750809061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85</v>
      </c>
      <c r="C41" s="6">
        <f t="shared" si="2"/>
        <v>0.13754045307443366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56</v>
      </c>
      <c r="C42" s="6">
        <f t="shared" si="2"/>
        <v>9.0614886731391592E-2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30</v>
      </c>
      <c r="C43" s="6">
        <f t="shared" si="2"/>
        <v>4.8543689320388349E-2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18</v>
      </c>
      <c r="C44" s="6">
        <f t="shared" si="2"/>
        <v>2.9126213592233011E-2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12</v>
      </c>
      <c r="C45" s="6">
        <f t="shared" si="2"/>
        <v>1.9417475728155338E-2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1.1326860841423949E-2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3.2362459546925568E-3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6.4724919093851136E-3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  <row r="225" spans="11:13" x14ac:dyDescent="0.45">
      <c r="K225" s="74">
        <v>223</v>
      </c>
      <c r="L225" s="119">
        <v>-24.499999999999964</v>
      </c>
      <c r="M225" s="117">
        <v>1595.0341734718663</v>
      </c>
    </row>
    <row r="226" spans="11:13" x14ac:dyDescent="0.45">
      <c r="K226" s="74">
        <v>224</v>
      </c>
      <c r="L226" s="119">
        <v>-0.59999999999996589</v>
      </c>
      <c r="M226" s="117">
        <v>1599.4019684310351</v>
      </c>
    </row>
    <row r="227" spans="11:13" x14ac:dyDescent="0.45">
      <c r="K227" s="74">
        <v>225</v>
      </c>
      <c r="L227" s="119">
        <v>3.4083846855992306E-14</v>
      </c>
      <c r="M227" s="117">
        <v>1599.5495566204488</v>
      </c>
    </row>
    <row r="228" spans="11:13" x14ac:dyDescent="0.45">
      <c r="K228" s="74">
        <v>226</v>
      </c>
      <c r="L228" s="119">
        <v>35.500000000000036</v>
      </c>
      <c r="M228" s="117">
        <v>1605.9782592807262</v>
      </c>
    </row>
    <row r="229" spans="11:13" x14ac:dyDescent="0.45">
      <c r="K229" s="74">
        <v>227</v>
      </c>
      <c r="L229" s="119">
        <v>10.000000000000036</v>
      </c>
      <c r="M229" s="117">
        <v>1601.3883897250419</v>
      </c>
    </row>
    <row r="230" spans="11:13" x14ac:dyDescent="0.45">
      <c r="K230" s="74">
        <v>228</v>
      </c>
      <c r="L230" s="119">
        <v>3.5527136788005009E-14</v>
      </c>
      <c r="M230" s="117">
        <v>1599.6160593866916</v>
      </c>
    </row>
    <row r="231" spans="11:13" x14ac:dyDescent="0.45">
      <c r="K231" s="74">
        <v>229</v>
      </c>
      <c r="L231" s="119">
        <v>14.300000000000036</v>
      </c>
      <c r="M231" s="117">
        <v>1602.4323630303716</v>
      </c>
    </row>
    <row r="232" spans="11:13" x14ac:dyDescent="0.45">
      <c r="K232" s="74">
        <v>230</v>
      </c>
      <c r="L232" s="119">
        <v>-3.3999999999999631</v>
      </c>
      <c r="M232" s="117">
        <v>1599.4717688521894</v>
      </c>
    </row>
    <row r="233" spans="11:13" x14ac:dyDescent="0.45">
      <c r="K233" s="74">
        <v>231</v>
      </c>
      <c r="L233" s="119">
        <v>3.6859404417555197E-14</v>
      </c>
      <c r="M233" s="117">
        <v>1600.3269382390763</v>
      </c>
    </row>
    <row r="234" spans="11:13" x14ac:dyDescent="0.45">
      <c r="K234" s="74">
        <v>232</v>
      </c>
      <c r="L234" s="119">
        <v>-22.699999999999964</v>
      </c>
      <c r="M234" s="117">
        <v>1596.4789766096419</v>
      </c>
    </row>
    <row r="235" spans="11:13" x14ac:dyDescent="0.45">
      <c r="K235" s="74">
        <v>233</v>
      </c>
      <c r="L235" s="119">
        <v>12.300000000000036</v>
      </c>
      <c r="M235" s="117">
        <v>1603.040102749984</v>
      </c>
    </row>
    <row r="236" spans="11:13" x14ac:dyDescent="0.45">
      <c r="K236" s="74">
        <v>234</v>
      </c>
      <c r="L236" s="119">
        <v>3.5527136788005009E-14</v>
      </c>
      <c r="M236" s="117">
        <v>1601.0478621334842</v>
      </c>
    </row>
    <row r="237" spans="11:13" x14ac:dyDescent="0.45">
      <c r="K237" s="74">
        <v>235</v>
      </c>
      <c r="L237" s="119">
        <v>-5.5999999999999641</v>
      </c>
      <c r="M237" s="117">
        <v>1600.2675749606833</v>
      </c>
    </row>
    <row r="238" spans="11:13" x14ac:dyDescent="0.45">
      <c r="K238" s="74">
        <v>236</v>
      </c>
      <c r="L238" s="119">
        <v>-22.199999999999967</v>
      </c>
      <c r="M238" s="117">
        <v>1597.5119695109192</v>
      </c>
    </row>
    <row r="239" spans="11:13" x14ac:dyDescent="0.45">
      <c r="K239" s="74">
        <v>237</v>
      </c>
      <c r="L239" s="119">
        <v>3.1974423109204508E-14</v>
      </c>
      <c r="M239" s="117">
        <v>1601.7568976938537</v>
      </c>
    </row>
    <row r="240" spans="11:13" x14ac:dyDescent="0.45">
      <c r="K240" s="74">
        <v>238</v>
      </c>
      <c r="L240" s="119">
        <v>50.900000000000034</v>
      </c>
      <c r="M240" s="117">
        <v>1611.1483563076906</v>
      </c>
    </row>
    <row r="241" spans="11:13" x14ac:dyDescent="0.45">
      <c r="K241" s="74">
        <v>239</v>
      </c>
      <c r="L241" s="119">
        <v>-1.9999999999999645</v>
      </c>
      <c r="M241" s="117">
        <v>1601.7994661698444</v>
      </c>
    </row>
    <row r="242" spans="11:13" x14ac:dyDescent="0.45">
      <c r="K242" s="74">
        <v>240</v>
      </c>
      <c r="L242" s="119">
        <v>3.5527136788005009E-14</v>
      </c>
      <c r="M242" s="117">
        <v>1602.3886693728255</v>
      </c>
    </row>
    <row r="243" spans="11:13" x14ac:dyDescent="0.45">
      <c r="K243" s="74">
        <v>241</v>
      </c>
      <c r="L243" s="119">
        <v>-25.999999999999964</v>
      </c>
      <c r="M243" s="117">
        <v>1597.9223373565885</v>
      </c>
    </row>
    <row r="244" spans="11:13" x14ac:dyDescent="0.45">
      <c r="K244" s="74">
        <v>242</v>
      </c>
      <c r="L244" s="119">
        <v>-4.4999999999999645</v>
      </c>
      <c r="M244" s="117">
        <v>1602.032803332449</v>
      </c>
    </row>
    <row r="245" spans="11:13" x14ac:dyDescent="0.45">
      <c r="K245" s="74">
        <v>243</v>
      </c>
      <c r="L245" s="119">
        <v>3.5527136788005009E-14</v>
      </c>
      <c r="M245" s="117">
        <v>1603.0586065124544</v>
      </c>
    </row>
    <row r="246" spans="11:13" x14ac:dyDescent="0.45">
      <c r="K246" s="74">
        <v>244</v>
      </c>
      <c r="L246" s="119">
        <v>-40.699999999999967</v>
      </c>
      <c r="M246" s="117">
        <v>1595.9422548733796</v>
      </c>
    </row>
    <row r="247" spans="11:13" x14ac:dyDescent="0.45">
      <c r="K247" s="74">
        <v>245</v>
      </c>
      <c r="L247" s="119">
        <v>-4.1999999999999673</v>
      </c>
      <c r="M247" s="117">
        <v>1602.7646013441392</v>
      </c>
    </row>
    <row r="248" spans="11:13" x14ac:dyDescent="0.45">
      <c r="K248" s="74">
        <v>246</v>
      </c>
      <c r="L248" s="119">
        <v>3.2862601528904634E-14</v>
      </c>
      <c r="M248" s="117">
        <v>1603.7320137360744</v>
      </c>
    </row>
    <row r="249" spans="11:13" x14ac:dyDescent="0.45">
      <c r="K249" s="74">
        <v>247</v>
      </c>
      <c r="L249" s="119">
        <v>4.700000000000033</v>
      </c>
      <c r="M249" s="117">
        <v>1604.783621653658</v>
      </c>
    </row>
    <row r="250" spans="11:13" x14ac:dyDescent="0.45">
      <c r="K250" s="74">
        <v>248</v>
      </c>
      <c r="L250" s="119">
        <v>44.60000000000003</v>
      </c>
      <c r="M250" s="117">
        <v>1612.1649199237361</v>
      </c>
    </row>
    <row r="251" spans="11:13" x14ac:dyDescent="0.45">
      <c r="K251" s="74">
        <v>249</v>
      </c>
      <c r="L251" s="119">
        <v>2.8421709430404007E-14</v>
      </c>
      <c r="M251" s="117">
        <v>1604.2919304041936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F97BE-15B6-4A16-A834-1EA860E5E449}">
  <sheetPr codeName="Sheet7"/>
  <dimension ref="A1:R70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68</v>
      </c>
      <c r="C2" s="134"/>
      <c r="E2" s="26" t="s">
        <v>66</v>
      </c>
      <c r="F2" s="23" t="s">
        <v>22</v>
      </c>
      <c r="G2" s="11">
        <v>134</v>
      </c>
      <c r="H2" s="87">
        <f>IF(B$20=0,0,G2/B$20)</f>
        <v>0.76571428571428568</v>
      </c>
      <c r="I2" s="57">
        <v>6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241.1764705882353</v>
      </c>
      <c r="Q2" s="76">
        <v>68</v>
      </c>
      <c r="R2" s="63">
        <v>16400</v>
      </c>
    </row>
    <row r="3" spans="1:18" x14ac:dyDescent="0.45">
      <c r="A3" s="19" t="s">
        <v>8</v>
      </c>
      <c r="B3" s="135">
        <v>570</v>
      </c>
      <c r="C3" s="136"/>
      <c r="E3" s="27" t="s">
        <v>72</v>
      </c>
      <c r="F3" s="24" t="s">
        <v>27</v>
      </c>
      <c r="G3" s="12">
        <v>100</v>
      </c>
      <c r="H3" s="88">
        <f>IF(B$20=0,0,G3/B$20)</f>
        <v>0.5714285714285714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-1146.969696969697</v>
      </c>
      <c r="Q3" s="77">
        <v>66</v>
      </c>
      <c r="R3" s="64">
        <v>-75700</v>
      </c>
    </row>
    <row r="4" spans="1:18" x14ac:dyDescent="0.45">
      <c r="A4" s="19" t="s">
        <v>6</v>
      </c>
      <c r="B4" s="137">
        <v>-53.400000000000041</v>
      </c>
      <c r="C4" s="138"/>
      <c r="E4" s="27" t="s">
        <v>64</v>
      </c>
      <c r="F4" s="24" t="s">
        <v>20</v>
      </c>
      <c r="G4" s="12">
        <v>73</v>
      </c>
      <c r="H4" s="88">
        <f>IF(B$20=0,0,G4/B$20)</f>
        <v>0.41714285714285715</v>
      </c>
      <c r="I4" s="58">
        <v>5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-1019.4029850746268</v>
      </c>
      <c r="Q4" s="77">
        <v>67</v>
      </c>
      <c r="R4" s="64">
        <v>-68300</v>
      </c>
    </row>
    <row r="5" spans="1:18" x14ac:dyDescent="0.45">
      <c r="A5" s="19" t="s">
        <v>7</v>
      </c>
      <c r="B5" s="125">
        <f>IF(B$2=0,0,B$4/B$2)</f>
        <v>-0.78529411764705948</v>
      </c>
      <c r="C5" s="126"/>
      <c r="E5" s="27" t="s">
        <v>159</v>
      </c>
      <c r="F5" s="24" t="s">
        <v>160</v>
      </c>
      <c r="G5" s="12">
        <v>63</v>
      </c>
      <c r="H5" s="88">
        <f>IF(B$20=0,0,G5/B$20)</f>
        <v>0.36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-101.53846153846153</v>
      </c>
      <c r="Q5" s="77">
        <v>65</v>
      </c>
      <c r="R5" s="64">
        <v>-6600</v>
      </c>
    </row>
    <row r="6" spans="1:18" x14ac:dyDescent="0.45">
      <c r="A6" s="19" t="s">
        <v>196</v>
      </c>
      <c r="B6" s="129">
        <v>1752.417922914638</v>
      </c>
      <c r="C6" s="130"/>
      <c r="E6" s="27" t="s">
        <v>68</v>
      </c>
      <c r="F6" s="24" t="s">
        <v>12</v>
      </c>
      <c r="G6" s="12">
        <v>49</v>
      </c>
      <c r="H6" s="88">
        <f>IF(B$20=0,0,G6/B$20)</f>
        <v>0.28000000000000003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410.16949152542372</v>
      </c>
      <c r="Q6" s="77">
        <v>59</v>
      </c>
      <c r="R6" s="64">
        <v>24200</v>
      </c>
    </row>
    <row r="7" spans="1:18" x14ac:dyDescent="0.45">
      <c r="A7" s="19" t="s">
        <v>1</v>
      </c>
      <c r="B7" s="139">
        <f>IF(B$2=0,0,(B$8*1+B$9*2+B$10*3)/B$2)</f>
        <v>2.0882352941176472</v>
      </c>
      <c r="C7" s="140"/>
      <c r="E7" s="27" t="s">
        <v>67</v>
      </c>
      <c r="F7" s="24" t="s">
        <v>23</v>
      </c>
      <c r="G7" s="12">
        <v>41</v>
      </c>
      <c r="H7" s="88">
        <f>IF(B$20=0,0,G7/B$20)</f>
        <v>0.23428571428571429</v>
      </c>
      <c r="I7" s="58">
        <v>6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-108.16326530612245</v>
      </c>
      <c r="Q7" s="78">
        <v>49</v>
      </c>
      <c r="R7" s="65">
        <v>-5300</v>
      </c>
    </row>
    <row r="8" spans="1:18" x14ac:dyDescent="0.45">
      <c r="A8" s="19" t="s">
        <v>2</v>
      </c>
      <c r="B8" s="12">
        <v>19</v>
      </c>
      <c r="C8" s="6">
        <f t="shared" ref="C8:C15" si="1">IF(B$2=0,0,B8/B$2)</f>
        <v>0.27941176470588236</v>
      </c>
      <c r="E8" s="27" t="s">
        <v>69</v>
      </c>
      <c r="F8" s="24" t="s">
        <v>24</v>
      </c>
      <c r="G8" s="12">
        <v>31</v>
      </c>
      <c r="H8" s="88">
        <f>IF(B$20=0,0,G8/B$20)</f>
        <v>0.17714285714285713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24</v>
      </c>
      <c r="C9" s="6">
        <f t="shared" si="1"/>
        <v>0.35294117647058826</v>
      </c>
      <c r="E9" s="27" t="s">
        <v>89</v>
      </c>
      <c r="F9" s="24" t="s">
        <v>44</v>
      </c>
      <c r="G9" s="12">
        <v>24</v>
      </c>
      <c r="H9" s="88">
        <f>IF(B$20=0,0,G9/B$20)</f>
        <v>0.13714285714285715</v>
      </c>
      <c r="I9" s="58">
        <v>7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25</v>
      </c>
      <c r="C10" s="7">
        <f t="shared" si="1"/>
        <v>0.36764705882352944</v>
      </c>
      <c r="E10" s="27" t="s">
        <v>70</v>
      </c>
      <c r="F10" s="24" t="s">
        <v>25</v>
      </c>
      <c r="G10" s="12">
        <v>23</v>
      </c>
      <c r="H10" s="88">
        <f>IF(B$20=0,0,G10/B$20)</f>
        <v>0.13142857142857142</v>
      </c>
      <c r="I10" s="58">
        <v>3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6.0434782608695636</v>
      </c>
      <c r="Q10" s="76">
        <v>23</v>
      </c>
      <c r="R10" s="67">
        <v>138.99999999999997</v>
      </c>
    </row>
    <row r="11" spans="1:18" x14ac:dyDescent="0.45">
      <c r="A11" s="20" t="s">
        <v>184</v>
      </c>
      <c r="B11" s="109">
        <f>IF(B8=0,0,C11/B8)</f>
        <v>38.626315789473686</v>
      </c>
      <c r="C11" s="110">
        <v>733.90000000000009</v>
      </c>
      <c r="E11" s="27" t="s">
        <v>65</v>
      </c>
      <c r="F11" s="24" t="s">
        <v>21</v>
      </c>
      <c r="G11" s="12">
        <v>14</v>
      </c>
      <c r="H11" s="88">
        <f>IF(B$20=0,0,G11/B$20)</f>
        <v>0.08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-10.326923076923077</v>
      </c>
      <c r="Q11" s="77">
        <v>26</v>
      </c>
      <c r="R11" s="68">
        <v>-268.5</v>
      </c>
    </row>
    <row r="12" spans="1:18" x14ac:dyDescent="0.45">
      <c r="A12" s="20" t="s">
        <v>185</v>
      </c>
      <c r="B12" s="109">
        <f>IF(B9=0,0,C12/B9)</f>
        <v>-2.0999999999999996</v>
      </c>
      <c r="C12" s="110">
        <v>-50.399999999999991</v>
      </c>
      <c r="E12" s="27" t="s">
        <v>83</v>
      </c>
      <c r="F12" s="24" t="s">
        <v>38</v>
      </c>
      <c r="G12" s="12">
        <v>10</v>
      </c>
      <c r="H12" s="88">
        <f>IF(B$20=0,0,G12/B$20)</f>
        <v>5.7142857142857141E-2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4.0052631578947375</v>
      </c>
      <c r="Q12" s="78">
        <v>19</v>
      </c>
      <c r="R12" s="69">
        <v>76.100000000000009</v>
      </c>
    </row>
    <row r="13" spans="1:18" x14ac:dyDescent="0.45">
      <c r="A13" s="20" t="s">
        <v>186</v>
      </c>
      <c r="B13" s="109">
        <f>IF(B10=0,0,C13/B10)</f>
        <v>-29.476000000000003</v>
      </c>
      <c r="C13" s="110">
        <v>-736.90000000000009</v>
      </c>
      <c r="E13" s="27" t="s">
        <v>86</v>
      </c>
      <c r="F13" s="24" t="s">
        <v>41</v>
      </c>
      <c r="G13" s="12">
        <v>10</v>
      </c>
      <c r="H13" s="88">
        <f>IF(B$20=0,0,G13/B$20)</f>
        <v>5.7142857142857141E-2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2.3501052631578943</v>
      </c>
      <c r="C14" s="126"/>
      <c r="E14" s="27" t="s">
        <v>155</v>
      </c>
      <c r="F14" s="24" t="s">
        <v>156</v>
      </c>
      <c r="G14" s="12">
        <v>9</v>
      </c>
      <c r="H14" s="88">
        <f>IF(B$20=0,0,G14/B$20)</f>
        <v>5.1428571428571428E-2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7.3529411764705885E-2</v>
      </c>
      <c r="E15" s="27" t="s">
        <v>71</v>
      </c>
      <c r="F15" s="24" t="s">
        <v>26</v>
      </c>
      <c r="G15" s="12">
        <v>8</v>
      </c>
      <c r="H15" s="88">
        <f>IF(B$20=0,0,G15/B$20)</f>
        <v>4.5714285714285714E-2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144</v>
      </c>
      <c r="C16" s="10">
        <f>IF(B$3=0,0,B16/B$3)</f>
        <v>0.25263157894736843</v>
      </c>
      <c r="E16" s="27" t="s">
        <v>81</v>
      </c>
      <c r="F16" s="24" t="s">
        <v>36</v>
      </c>
      <c r="G16" s="12">
        <v>4</v>
      </c>
      <c r="H16" s="88">
        <f>IF(B$20=0,0,G16/B$20)</f>
        <v>2.2857142857142857E-2</v>
      </c>
      <c r="I16" s="58">
        <v>10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5">
      <c r="A17" s="19" t="s">
        <v>118</v>
      </c>
      <c r="B17" s="12">
        <v>122</v>
      </c>
      <c r="C17" s="6">
        <f>IF(B$3=0,0,B17/B$3)</f>
        <v>0.21403508771929824</v>
      </c>
      <c r="E17" s="27" t="s">
        <v>91</v>
      </c>
      <c r="F17" s="24" t="s">
        <v>46</v>
      </c>
      <c r="G17" s="12">
        <v>4</v>
      </c>
      <c r="H17" s="88">
        <f>IF(B$20=0,0,G17/B$20)</f>
        <v>2.2857142857142857E-2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5.5357142857142874</v>
      </c>
      <c r="Q17" s="77">
        <v>28</v>
      </c>
      <c r="R17" s="68">
        <v>155.00000000000006</v>
      </c>
    </row>
    <row r="18" spans="1:18" x14ac:dyDescent="0.45">
      <c r="A18" s="18" t="s">
        <v>123</v>
      </c>
      <c r="B18" s="11">
        <f>B24</f>
        <v>81</v>
      </c>
      <c r="C18" s="5">
        <f>IF(B$16=0,0,B18/B$16)</f>
        <v>0.5625</v>
      </c>
      <c r="E18" s="27" t="s">
        <v>78</v>
      </c>
      <c r="F18" s="24" t="s">
        <v>33</v>
      </c>
      <c r="G18" s="12">
        <v>3</v>
      </c>
      <c r="H18" s="88">
        <f>IF(B$20=0,0,G18/B$20)</f>
        <v>1.7142857142857144E-2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211</v>
      </c>
      <c r="P18" s="83">
        <f>IF(Q18=0,0,R18/Q18)</f>
        <v>5.0631578947368423</v>
      </c>
      <c r="Q18" s="77">
        <v>19</v>
      </c>
      <c r="R18" s="68">
        <v>96.2</v>
      </c>
    </row>
    <row r="19" spans="1:18" x14ac:dyDescent="0.45">
      <c r="A19" s="18" t="s">
        <v>124</v>
      </c>
      <c r="B19" s="11">
        <f>B25</f>
        <v>55</v>
      </c>
      <c r="C19" s="5">
        <f>IF(B$17=0,0,B19/B$17)</f>
        <v>0.45081967213114754</v>
      </c>
      <c r="E19" s="27" t="s">
        <v>73</v>
      </c>
      <c r="F19" s="24" t="s">
        <v>28</v>
      </c>
      <c r="G19" s="12">
        <v>2</v>
      </c>
      <c r="H19" s="88">
        <f>IF(B$20=0,0,G19/B$20)</f>
        <v>1.1428571428571429E-2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>IF(Q19=0,0,R19/Q19)</f>
        <v>0.20714285714285655</v>
      </c>
      <c r="Q19" s="77">
        <v>14</v>
      </c>
      <c r="R19" s="68">
        <v>2.8999999999999915</v>
      </c>
    </row>
    <row r="20" spans="1:18" x14ac:dyDescent="0.45">
      <c r="A20" s="18" t="s">
        <v>10</v>
      </c>
      <c r="B20" s="11">
        <f>B23+B22</f>
        <v>175</v>
      </c>
      <c r="C20" s="5">
        <f>IF(B$3=0,0,B20/B$3)</f>
        <v>0.30701754385964913</v>
      </c>
      <c r="E20" s="27" t="s">
        <v>75</v>
      </c>
      <c r="F20" s="24" t="s">
        <v>30</v>
      </c>
      <c r="G20" s="12">
        <v>1</v>
      </c>
      <c r="H20" s="88">
        <f>IF(B$20=0,0,G20/B$20)</f>
        <v>5.7142857142857143E-3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-0.44999999999999812</v>
      </c>
      <c r="Q20" s="77">
        <v>6</v>
      </c>
      <c r="R20" s="68">
        <v>-2.6999999999999886</v>
      </c>
    </row>
    <row r="21" spans="1:18" x14ac:dyDescent="0.45">
      <c r="A21" s="19" t="s">
        <v>13</v>
      </c>
      <c r="B21" s="12">
        <v>109</v>
      </c>
      <c r="C21" s="6">
        <f>IF(B$3=0,0,B21/B$3)</f>
        <v>0.19122807017543861</v>
      </c>
      <c r="E21" s="27" t="s">
        <v>79</v>
      </c>
      <c r="F21" s="24" t="s">
        <v>34</v>
      </c>
      <c r="G21" s="12">
        <v>1</v>
      </c>
      <c r="H21" s="88">
        <f>IF(B$20=0,0,G21/B$20)</f>
        <v>5.7142857142857143E-3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-5.9777777777777779</v>
      </c>
      <c r="Q21" s="77">
        <v>27</v>
      </c>
      <c r="R21" s="68">
        <v>-161.4</v>
      </c>
    </row>
    <row r="22" spans="1:18" x14ac:dyDescent="0.45">
      <c r="A22" s="19" t="s">
        <v>12</v>
      </c>
      <c r="B22" s="12">
        <v>77</v>
      </c>
      <c r="C22" s="6">
        <f>IF(B$20=0,0,B22/B$20)</f>
        <v>0.44</v>
      </c>
      <c r="E22" s="27" t="s">
        <v>80</v>
      </c>
      <c r="F22" s="24" t="s">
        <v>35</v>
      </c>
      <c r="G22" s="12">
        <v>1</v>
      </c>
      <c r="H22" s="88">
        <f>IF(B$20=0,0,G22/B$20)</f>
        <v>5.7142857142857143E-3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-14.226666666666667</v>
      </c>
      <c r="Q22" s="77">
        <v>30</v>
      </c>
      <c r="R22" s="68">
        <v>-426.8</v>
      </c>
    </row>
    <row r="23" spans="1:18" x14ac:dyDescent="0.45">
      <c r="A23" s="19" t="s">
        <v>11</v>
      </c>
      <c r="B23" s="12">
        <v>98</v>
      </c>
      <c r="C23" s="6">
        <f>IF(B$20=0,0,B23/B$20)</f>
        <v>0.56000000000000005</v>
      </c>
      <c r="E23" s="27" t="s">
        <v>85</v>
      </c>
      <c r="F23" s="24" t="s">
        <v>40</v>
      </c>
      <c r="G23" s="12">
        <v>1</v>
      </c>
      <c r="H23" s="88">
        <f>IF(B$20=0,0,G23/B$20)</f>
        <v>5.7142857142857143E-3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81</v>
      </c>
      <c r="C24" s="6">
        <f>IF(B$20=0,0,B24/B$20)</f>
        <v>0.46285714285714286</v>
      </c>
      <c r="E24" s="27" t="s">
        <v>90</v>
      </c>
      <c r="F24" s="24" t="s">
        <v>45</v>
      </c>
      <c r="G24" s="12">
        <v>1</v>
      </c>
      <c r="H24" s="88">
        <f>IF(B$20=0,0,G24/B$20)</f>
        <v>5.7142857142857143E-3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55</v>
      </c>
      <c r="C25" s="6">
        <f>IF(B$20=0,0,B25/B$20)</f>
        <v>0.31428571428571428</v>
      </c>
      <c r="E25" s="27" t="s">
        <v>92</v>
      </c>
      <c r="F25" s="24" t="s">
        <v>47</v>
      </c>
      <c r="G25" s="12">
        <v>1</v>
      </c>
      <c r="H25" s="88">
        <f>IF(B$20=0,0,G25/B$20)</f>
        <v>5.7142857142857143E-3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39</v>
      </c>
      <c r="C26" s="6">
        <f>IF(B$20=0,0,B26/B$20)</f>
        <v>0.22285714285714286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8152.5714285714284</v>
      </c>
      <c r="C27" s="8">
        <v>1426700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8472.5</v>
      </c>
      <c r="C28" s="96">
        <v>1016700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7454.545454545455</v>
      </c>
      <c r="C29" s="96">
        <v>410000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-6896.3302752293575</v>
      </c>
      <c r="C30" s="96">
        <v>-751700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8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1.7543859649122807E-3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11</v>
      </c>
      <c r="C37" s="98">
        <f t="shared" ref="C37:C49" si="2">IF(B$20=0,0,B37/B$20)</f>
        <v>6.2857142857142861E-2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29</v>
      </c>
      <c r="C38" s="6">
        <f t="shared" si="2"/>
        <v>0.1657142857142857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41</v>
      </c>
      <c r="C39" s="6">
        <f t="shared" si="2"/>
        <v>0.23428571428571429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27</v>
      </c>
      <c r="C40" s="6">
        <f t="shared" si="2"/>
        <v>0.15428571428571428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30</v>
      </c>
      <c r="C41" s="6">
        <f t="shared" si="2"/>
        <v>0.17142857142857143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20</v>
      </c>
      <c r="C42" s="6">
        <f t="shared" si="2"/>
        <v>0.11428571428571428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4.5714285714285714E-2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1.1428571428571429E-2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2.2857142857142857E-2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5.7142857142857143E-3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5.7142857142857143E-3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5.7142857142857143E-3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  <row r="62" spans="1:13" x14ac:dyDescent="0.45">
      <c r="K62" s="74">
        <v>60</v>
      </c>
      <c r="L62" s="119">
        <v>-35.900000000000041</v>
      </c>
      <c r="M62" s="117">
        <v>1761.414842466686</v>
      </c>
    </row>
    <row r="63" spans="1:13" x14ac:dyDescent="0.45">
      <c r="K63" s="74">
        <v>61</v>
      </c>
      <c r="L63" s="119">
        <v>-0.40000000000004121</v>
      </c>
      <c r="M63" s="117">
        <v>1766.8723534118858</v>
      </c>
    </row>
    <row r="64" spans="1:13" x14ac:dyDescent="0.45">
      <c r="K64" s="74">
        <v>62</v>
      </c>
      <c r="L64" s="119">
        <v>-18.100000000000041</v>
      </c>
      <c r="M64" s="117">
        <v>1762.9251192914144</v>
      </c>
    </row>
    <row r="65" spans="11:13" x14ac:dyDescent="0.45">
      <c r="K65" s="74">
        <v>63</v>
      </c>
      <c r="L65" s="119">
        <v>-40.80000000000004</v>
      </c>
      <c r="M65" s="117">
        <v>1758.1015685756659</v>
      </c>
    </row>
    <row r="66" spans="11:13" x14ac:dyDescent="0.45">
      <c r="K66" s="74">
        <v>64</v>
      </c>
      <c r="L66" s="119">
        <v>-18.600000000000041</v>
      </c>
      <c r="M66" s="117">
        <v>1761.3829591642118</v>
      </c>
    </row>
    <row r="67" spans="11:13" x14ac:dyDescent="0.45">
      <c r="K67" s="74">
        <v>65</v>
      </c>
      <c r="L67" s="119">
        <v>-71.500000000000043</v>
      </c>
      <c r="M67" s="117">
        <v>1751.1326614092266</v>
      </c>
    </row>
    <row r="68" spans="11:13" x14ac:dyDescent="0.45">
      <c r="K68" s="74">
        <v>66</v>
      </c>
      <c r="L68" s="119">
        <v>-97.500000000000043</v>
      </c>
      <c r="M68" s="117">
        <v>1745.7738654407713</v>
      </c>
    </row>
    <row r="69" spans="11:13" x14ac:dyDescent="0.45">
      <c r="K69" s="74">
        <v>67</v>
      </c>
      <c r="L69" s="119">
        <v>-93.30000000000004</v>
      </c>
      <c r="M69" s="117">
        <v>1745.8832222481267</v>
      </c>
    </row>
    <row r="70" spans="11:13" x14ac:dyDescent="0.45">
      <c r="K70" s="74">
        <v>68</v>
      </c>
      <c r="L70" s="119">
        <v>-53.400000000000041</v>
      </c>
      <c r="M70" s="117">
        <v>1752.417922914638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EC60-B58E-4A45-B092-D82BACCE0C59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35</v>
      </c>
      <c r="C2" s="134"/>
      <c r="E2" s="26" t="s">
        <v>66</v>
      </c>
      <c r="F2" s="23" t="s">
        <v>22</v>
      </c>
      <c r="G2" s="11">
        <v>78</v>
      </c>
      <c r="H2" s="87">
        <f>IF(B$20=0,0,G2/B$20)</f>
        <v>0.9285714285714286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1577.1428571428571</v>
      </c>
      <c r="Q2" s="76">
        <v>35</v>
      </c>
      <c r="R2" s="63">
        <v>55200</v>
      </c>
    </row>
    <row r="3" spans="1:18" x14ac:dyDescent="0.45">
      <c r="A3" s="19" t="s">
        <v>8</v>
      </c>
      <c r="B3" s="135">
        <v>305</v>
      </c>
      <c r="C3" s="136"/>
      <c r="E3" s="27" t="s">
        <v>72</v>
      </c>
      <c r="F3" s="24" t="s">
        <v>27</v>
      </c>
      <c r="G3" s="12">
        <v>46</v>
      </c>
      <c r="H3" s="88">
        <f>IF(B$20=0,0,G3/B$20)</f>
        <v>0.54761904761904767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-1052.9411764705883</v>
      </c>
      <c r="Q3" s="77">
        <v>34</v>
      </c>
      <c r="R3" s="64">
        <v>-35800</v>
      </c>
    </row>
    <row r="4" spans="1:18" x14ac:dyDescent="0.45">
      <c r="A4" s="19" t="s">
        <v>6</v>
      </c>
      <c r="B4" s="137">
        <v>-73.200000000000031</v>
      </c>
      <c r="C4" s="138"/>
      <c r="E4" s="27" t="s">
        <v>64</v>
      </c>
      <c r="F4" s="24" t="s">
        <v>20</v>
      </c>
      <c r="G4" s="12">
        <v>35</v>
      </c>
      <c r="H4" s="88">
        <f>IF(B$20=0,0,G4/B$20)</f>
        <v>0.41666666666666669</v>
      </c>
      <c r="I4" s="58">
        <v>6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176.47058823529412</v>
      </c>
      <c r="Q4" s="77">
        <v>34</v>
      </c>
      <c r="R4" s="64">
        <v>6000</v>
      </c>
    </row>
    <row r="5" spans="1:18" x14ac:dyDescent="0.45">
      <c r="A5" s="19" t="s">
        <v>7</v>
      </c>
      <c r="B5" s="125">
        <f>IF(B$2=0,0,B$4/B$2)</f>
        <v>-2.0914285714285725</v>
      </c>
      <c r="C5" s="126"/>
      <c r="E5" s="27" t="s">
        <v>159</v>
      </c>
      <c r="F5" s="24" t="s">
        <v>160</v>
      </c>
      <c r="G5" s="12">
        <v>35</v>
      </c>
      <c r="H5" s="88">
        <f>IF(B$20=0,0,G5/B$20)</f>
        <v>0.41666666666666669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106.06060606060606</v>
      </c>
      <c r="Q5" s="77">
        <v>33</v>
      </c>
      <c r="R5" s="64">
        <v>3500</v>
      </c>
    </row>
    <row r="6" spans="1:18" x14ac:dyDescent="0.45">
      <c r="A6" s="19" t="s">
        <v>196</v>
      </c>
      <c r="B6" s="129">
        <v>1636.9983931776062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0.33333333333333331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553.33333333333337</v>
      </c>
      <c r="Q6" s="77">
        <v>30</v>
      </c>
      <c r="R6" s="64">
        <v>16600</v>
      </c>
    </row>
    <row r="7" spans="1:18" x14ac:dyDescent="0.45">
      <c r="A7" s="19" t="s">
        <v>1</v>
      </c>
      <c r="B7" s="139">
        <f>IF(B$2=0,0,(B$8*1+B$9*2+B$10*3)/B$2)</f>
        <v>2.0571428571428569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0.16666666666666666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-975</v>
      </c>
      <c r="Q7" s="78">
        <v>24</v>
      </c>
      <c r="R7" s="65">
        <v>-23400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0.2857142857142857</v>
      </c>
      <c r="E8" s="27" t="s">
        <v>89</v>
      </c>
      <c r="F8" s="24" t="s">
        <v>44</v>
      </c>
      <c r="G8" s="12">
        <v>14</v>
      </c>
      <c r="H8" s="88">
        <f>IF(B$20=0,0,G8/B$20)</f>
        <v>0.16666666666666666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13</v>
      </c>
      <c r="C9" s="6">
        <f t="shared" si="1"/>
        <v>0.37142857142857144</v>
      </c>
      <c r="E9" s="27" t="s">
        <v>69</v>
      </c>
      <c r="F9" s="24" t="s">
        <v>24</v>
      </c>
      <c r="G9" s="12">
        <v>9</v>
      </c>
      <c r="H9" s="88">
        <f>IF(B$20=0,0,G9/B$20)</f>
        <v>0.10714285714285714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12</v>
      </c>
      <c r="C10" s="7">
        <f t="shared" si="1"/>
        <v>0.34285714285714286</v>
      </c>
      <c r="E10" s="27" t="s">
        <v>65</v>
      </c>
      <c r="F10" s="24" t="s">
        <v>21</v>
      </c>
      <c r="G10" s="12">
        <v>7</v>
      </c>
      <c r="H10" s="88">
        <f>IF(B$20=0,0,G10/B$20)</f>
        <v>8.3333333333333329E-2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-3.3400000000000003</v>
      </c>
      <c r="Q10" s="76">
        <v>15</v>
      </c>
      <c r="R10" s="67">
        <v>-50.1</v>
      </c>
    </row>
    <row r="11" spans="1:18" x14ac:dyDescent="0.45">
      <c r="A11" s="20" t="s">
        <v>184</v>
      </c>
      <c r="B11" s="109">
        <f>IF(B8=0,0,C11/B8)</f>
        <v>39.069999999999993</v>
      </c>
      <c r="C11" s="110">
        <v>390.69999999999993</v>
      </c>
      <c r="E11" s="27" t="s">
        <v>70</v>
      </c>
      <c r="F11" s="24" t="s">
        <v>25</v>
      </c>
      <c r="G11" s="12">
        <v>7</v>
      </c>
      <c r="H11" s="88">
        <f>IF(B$20=0,0,G11/B$20)</f>
        <v>8.3333333333333329E-2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-0.50000000000000233</v>
      </c>
      <c r="Q11" s="77">
        <v>9</v>
      </c>
      <c r="R11" s="68">
        <v>-4.5000000000000213</v>
      </c>
    </row>
    <row r="12" spans="1:18" x14ac:dyDescent="0.45">
      <c r="A12" s="20" t="s">
        <v>185</v>
      </c>
      <c r="B12" s="109">
        <f>IF(B9=0,0,C12/B9)</f>
        <v>1.1999999999999997</v>
      </c>
      <c r="C12" s="110">
        <v>15.599999999999998</v>
      </c>
      <c r="E12" s="27" t="s">
        <v>71</v>
      </c>
      <c r="F12" s="24" t="s">
        <v>26</v>
      </c>
      <c r="G12" s="12">
        <v>5</v>
      </c>
      <c r="H12" s="88">
        <f>IF(B$20=0,0,G12/B$20)</f>
        <v>5.9523809523809521E-2</v>
      </c>
      <c r="I12" s="58">
        <v>4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-1.6909090909090911</v>
      </c>
      <c r="Q12" s="78">
        <v>11</v>
      </c>
      <c r="R12" s="69">
        <v>-18.600000000000001</v>
      </c>
    </row>
    <row r="13" spans="1:18" x14ac:dyDescent="0.45">
      <c r="A13" s="20" t="s">
        <v>186</v>
      </c>
      <c r="B13" s="109">
        <f>IF(B10=0,0,C13/B10)</f>
        <v>-39.958333333333336</v>
      </c>
      <c r="C13" s="110">
        <v>-479.5</v>
      </c>
      <c r="E13" s="27" t="s">
        <v>81</v>
      </c>
      <c r="F13" s="24" t="s">
        <v>36</v>
      </c>
      <c r="G13" s="12">
        <v>5</v>
      </c>
      <c r="H13" s="88">
        <f>IF(B$20=0,0,G13/B$20)</f>
        <v>5.9523809523809521E-2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0.10388888888888677</v>
      </c>
      <c r="C14" s="126"/>
      <c r="E14" s="27" t="s">
        <v>86</v>
      </c>
      <c r="F14" s="24" t="s">
        <v>41</v>
      </c>
      <c r="G14" s="12">
        <v>5</v>
      </c>
      <c r="H14" s="88">
        <f>IF(B$20=0,0,G14/B$20)</f>
        <v>5.9523809523809521E-2</v>
      </c>
      <c r="I14" s="58">
        <v>4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0.11428571428571428</v>
      </c>
      <c r="E15" s="27" t="s">
        <v>83</v>
      </c>
      <c r="F15" s="24" t="s">
        <v>38</v>
      </c>
      <c r="G15" s="12">
        <v>4</v>
      </c>
      <c r="H15" s="88">
        <f>IF(B$20=0,0,G15/B$20)</f>
        <v>4.7619047619047616E-2</v>
      </c>
      <c r="I15" s="58">
        <v>5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74</v>
      </c>
      <c r="C16" s="10">
        <f>IF(B$3=0,0,B16/B$3)</f>
        <v>0.24262295081967214</v>
      </c>
      <c r="E16" s="27" t="s">
        <v>78</v>
      </c>
      <c r="F16" s="24" t="s">
        <v>33</v>
      </c>
      <c r="G16" s="12">
        <v>3</v>
      </c>
      <c r="H16" s="88">
        <f>IF(B$20=0,0,G16/B$20)</f>
        <v>3.5714285714285712E-2</v>
      </c>
      <c r="I16" s="58">
        <v>4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8.7333333333333361</v>
      </c>
      <c r="Q16" s="77">
        <v>6</v>
      </c>
      <c r="R16" s="68">
        <v>52.400000000000013</v>
      </c>
    </row>
    <row r="17" spans="1:18" x14ac:dyDescent="0.45">
      <c r="A17" s="19" t="s">
        <v>118</v>
      </c>
      <c r="B17" s="12">
        <v>72</v>
      </c>
      <c r="C17" s="6">
        <f>IF(B$3=0,0,B17/B$3)</f>
        <v>0.23606557377049181</v>
      </c>
      <c r="E17" s="27" t="s">
        <v>155</v>
      </c>
      <c r="F17" s="24" t="s">
        <v>156</v>
      </c>
      <c r="G17" s="12">
        <v>2</v>
      </c>
      <c r="H17" s="88">
        <f>IF(B$20=0,0,G17/B$20)</f>
        <v>2.3809523809523808E-2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-3.9166666666666674</v>
      </c>
      <c r="Q17" s="77">
        <v>12</v>
      </c>
      <c r="R17" s="68">
        <v>-47.000000000000007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0.47297297297297297</v>
      </c>
      <c r="E18" s="27" t="s">
        <v>73</v>
      </c>
      <c r="F18" s="24" t="s">
        <v>28</v>
      </c>
      <c r="G18" s="12">
        <v>1</v>
      </c>
      <c r="H18" s="88">
        <f>IF(B$20=0,0,G18/B$20)</f>
        <v>1.1904761904761904E-2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-5.5357142857142891</v>
      </c>
      <c r="Q18" s="77">
        <v>28</v>
      </c>
      <c r="R18" s="68">
        <v>-155.00000000000009</v>
      </c>
    </row>
    <row r="19" spans="1:18" x14ac:dyDescent="0.45">
      <c r="A19" s="18" t="s">
        <v>124</v>
      </c>
      <c r="B19" s="11">
        <f>B25</f>
        <v>26</v>
      </c>
      <c r="C19" s="5">
        <f>IF(B$17=0,0,B19/B$17)</f>
        <v>0.3611111111111111</v>
      </c>
      <c r="E19" s="27" t="s">
        <v>79</v>
      </c>
      <c r="F19" s="24" t="s">
        <v>34</v>
      </c>
      <c r="G19" s="12">
        <v>1</v>
      </c>
      <c r="H19" s="88">
        <f>IF(B$20=0,0,G19/B$20)</f>
        <v>1.1904761904761904E-2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192</v>
      </c>
      <c r="P19" s="83">
        <f>IF(Q19=0,0,R19/Q19)</f>
        <v>-14.78571428571429</v>
      </c>
      <c r="Q19" s="77">
        <v>7</v>
      </c>
      <c r="R19" s="68">
        <v>-103.50000000000003</v>
      </c>
    </row>
    <row r="20" spans="1:18" x14ac:dyDescent="0.45">
      <c r="A20" s="18" t="s">
        <v>10</v>
      </c>
      <c r="B20" s="11">
        <f>B23+B22</f>
        <v>84</v>
      </c>
      <c r="C20" s="5">
        <f>IF(B$3=0,0,B20/B$3)</f>
        <v>0.27540983606557379</v>
      </c>
      <c r="E20" s="27" t="s">
        <v>85</v>
      </c>
      <c r="F20" s="24" t="s">
        <v>40</v>
      </c>
      <c r="G20" s="12">
        <v>1</v>
      </c>
      <c r="H20" s="88">
        <f>IF(B$20=0,0,G20/B$20)</f>
        <v>1.1904761904761904E-2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189</v>
      </c>
      <c r="P20" s="83">
        <f>IF(Q20=0,0,R20/Q20)</f>
        <v>-17.012499999999999</v>
      </c>
      <c r="Q20" s="77">
        <v>8</v>
      </c>
      <c r="R20" s="68">
        <v>-136.1</v>
      </c>
    </row>
    <row r="21" spans="1:18" x14ac:dyDescent="0.45">
      <c r="A21" s="19" t="s">
        <v>13</v>
      </c>
      <c r="B21" s="12">
        <v>57</v>
      </c>
      <c r="C21" s="6">
        <f>IF(B$3=0,0,B21/B$3)</f>
        <v>0.18688524590163935</v>
      </c>
      <c r="E21" s="27" t="s">
        <v>88</v>
      </c>
      <c r="F21" s="24" t="s">
        <v>43</v>
      </c>
      <c r="G21" s="12">
        <v>1</v>
      </c>
      <c r="H21" s="88">
        <f>IF(B$20=0,0,G21/B$20)</f>
        <v>1.1904761904761904E-2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39</v>
      </c>
      <c r="C22" s="6">
        <f>IF(B$20=0,0,B22/B$20)</f>
        <v>0.4642857142857143</v>
      </c>
      <c r="E22" s="27" t="s">
        <v>91</v>
      </c>
      <c r="F22" s="24" t="s">
        <v>46</v>
      </c>
      <c r="G22" s="12">
        <v>1</v>
      </c>
      <c r="H22" s="88">
        <f>IF(B$20=0,0,G22/B$20)</f>
        <v>1.1904761904761904E-2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45</v>
      </c>
      <c r="C23" s="6">
        <f>IF(B$20=0,0,B23/B$20)</f>
        <v>0.5357142857142857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35</v>
      </c>
      <c r="C24" s="6">
        <f>IF(B$20=0,0,B24/B$20)</f>
        <v>0.41666666666666669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26</v>
      </c>
      <c r="C25" s="6">
        <f>IF(B$20=0,0,B25/B$20)</f>
        <v>0.30952380952380953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23</v>
      </c>
      <c r="C26" s="6">
        <f>IF(B$20=0,0,B26/B$20)</f>
        <v>0.27380952380952384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8515.4761904761908</v>
      </c>
      <c r="C27" s="8">
        <v>715300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8939.6551724137935</v>
      </c>
      <c r="C28" s="96">
        <v>518500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7569.2307692307695</v>
      </c>
      <c r="C29" s="96">
        <v>196800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-7896.4912280701756</v>
      </c>
      <c r="C30" s="96">
        <v>-450100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5">
      <c r="A32" s="19" t="s">
        <v>158</v>
      </c>
      <c r="B32" s="12">
        <v>19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5">
      <c r="A35" s="21" t="s">
        <v>137</v>
      </c>
      <c r="B35" s="29">
        <v>1</v>
      </c>
      <c r="C35" s="9">
        <f>IF(B$3=0,0,B35/B$3)</f>
        <v>3.2786885245901639E-3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5">
      <c r="A37" s="54" t="s">
        <v>171</v>
      </c>
      <c r="B37" s="123">
        <v>8</v>
      </c>
      <c r="C37" s="98">
        <f t="shared" ref="C37:C49" si="2">IF(B$20=0,0,B37/B$20)</f>
        <v>9.5238095238095233E-2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5">
      <c r="A38" s="19" t="s">
        <v>167</v>
      </c>
      <c r="B38" s="12">
        <v>9</v>
      </c>
      <c r="C38" s="6">
        <f t="shared" si="2"/>
        <v>0.10714285714285714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16</v>
      </c>
      <c r="C39" s="6">
        <f t="shared" si="2"/>
        <v>0.19047619047619047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17</v>
      </c>
      <c r="C40" s="6">
        <f t="shared" si="2"/>
        <v>0.20238095238095238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15</v>
      </c>
      <c r="C41" s="6">
        <f t="shared" si="2"/>
        <v>0.17857142857142858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10</v>
      </c>
      <c r="C42" s="6">
        <f t="shared" si="2"/>
        <v>0.11904761904761904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13" x14ac:dyDescent="0.45">
      <c r="A43" s="19" t="s">
        <v>173</v>
      </c>
      <c r="B43" s="124">
        <v>4</v>
      </c>
      <c r="C43" s="6">
        <f t="shared" si="2"/>
        <v>4.7619047619047616E-2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3</v>
      </c>
      <c r="C44" s="6">
        <f t="shared" si="2"/>
        <v>3.5714285714285712E-2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1.1904761904761904E-2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1.1904761904761904E-2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954B-8BE5-402D-8C7B-31E367C74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30</v>
      </c>
      <c r="C2" s="134"/>
      <c r="E2" s="26" t="s">
        <v>66</v>
      </c>
      <c r="F2" s="23" t="s">
        <v>22</v>
      </c>
      <c r="G2" s="11">
        <v>54</v>
      </c>
      <c r="H2" s="87">
        <f>IF(B$20=0,0,G2/B$20)</f>
        <v>0.68354430379746833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743.33333333333337</v>
      </c>
      <c r="Q2" s="76">
        <v>30</v>
      </c>
      <c r="R2" s="63">
        <v>22300</v>
      </c>
    </row>
    <row r="3" spans="1:18" x14ac:dyDescent="0.45">
      <c r="A3" s="19" t="s">
        <v>8</v>
      </c>
      <c r="B3" s="135">
        <v>268</v>
      </c>
      <c r="C3" s="136"/>
      <c r="E3" s="27" t="s">
        <v>72</v>
      </c>
      <c r="F3" s="24" t="s">
        <v>27</v>
      </c>
      <c r="G3" s="12">
        <v>51</v>
      </c>
      <c r="H3" s="88">
        <f>IF(B$20=0,0,G3/B$20)</f>
        <v>0.64556962025316456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-780</v>
      </c>
      <c r="Q3" s="77">
        <v>30</v>
      </c>
      <c r="R3" s="64">
        <v>-23400</v>
      </c>
    </row>
    <row r="4" spans="1:18" x14ac:dyDescent="0.45">
      <c r="A4" s="19" t="s">
        <v>6</v>
      </c>
      <c r="B4" s="137">
        <v>11.199999999999989</v>
      </c>
      <c r="C4" s="138"/>
      <c r="E4" s="27" t="s">
        <v>64</v>
      </c>
      <c r="F4" s="24" t="s">
        <v>20</v>
      </c>
      <c r="G4" s="12">
        <v>33</v>
      </c>
      <c r="H4" s="88">
        <f>IF(B$20=0,0,G4/B$20)</f>
        <v>0.41772151898734178</v>
      </c>
      <c r="I4" s="58">
        <v>4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1076.6666666666667</v>
      </c>
      <c r="Q4" s="77">
        <v>30</v>
      </c>
      <c r="R4" s="64">
        <v>32300</v>
      </c>
    </row>
    <row r="5" spans="1:18" x14ac:dyDescent="0.45">
      <c r="A5" s="19" t="s">
        <v>7</v>
      </c>
      <c r="B5" s="125">
        <f>IF(B$2=0,0,B$4/B$2)</f>
        <v>0.37333333333333296</v>
      </c>
      <c r="C5" s="126"/>
      <c r="E5" s="27" t="s">
        <v>68</v>
      </c>
      <c r="F5" s="24" t="s">
        <v>12</v>
      </c>
      <c r="G5" s="12">
        <v>25</v>
      </c>
      <c r="H5" s="88">
        <f>IF(B$20=0,0,G5/B$20)</f>
        <v>0.31645569620253167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266.66666666666669</v>
      </c>
      <c r="Q5" s="77">
        <v>30</v>
      </c>
      <c r="R5" s="64">
        <v>8000</v>
      </c>
    </row>
    <row r="6" spans="1:18" x14ac:dyDescent="0.45">
      <c r="A6" s="19" t="s">
        <v>196</v>
      </c>
      <c r="B6" s="129">
        <v>1461.3380512742167</v>
      </c>
      <c r="C6" s="130"/>
      <c r="E6" s="27" t="s">
        <v>159</v>
      </c>
      <c r="F6" s="24" t="s">
        <v>160</v>
      </c>
      <c r="G6" s="12">
        <v>23</v>
      </c>
      <c r="H6" s="88">
        <f>IF(B$20=0,0,G6/B$20)</f>
        <v>0.29113924050632911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-1773.3333333333333</v>
      </c>
      <c r="Q6" s="77">
        <v>30</v>
      </c>
      <c r="R6" s="64">
        <v>-53200</v>
      </c>
    </row>
    <row r="7" spans="1:18" x14ac:dyDescent="0.45">
      <c r="A7" s="19" t="s">
        <v>1</v>
      </c>
      <c r="B7" s="139">
        <f>IF(B$2=0,0,(B$8*1+B$9*2+B$10*3)/B$2)</f>
        <v>1.9666666666666666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0.25316455696202533</v>
      </c>
      <c r="I7" s="58">
        <v>3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834.78260869565213</v>
      </c>
      <c r="Q7" s="78">
        <v>23</v>
      </c>
      <c r="R7" s="65">
        <v>19200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0.36666666666666664</v>
      </c>
      <c r="E8" s="27" t="s">
        <v>70</v>
      </c>
      <c r="F8" s="24" t="s">
        <v>25</v>
      </c>
      <c r="G8" s="12">
        <v>9</v>
      </c>
      <c r="H8" s="88">
        <f>IF(B$20=0,0,G8/B$20)</f>
        <v>0.11392405063291139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</v>
      </c>
      <c r="E9" s="27" t="s">
        <v>89</v>
      </c>
      <c r="F9" s="24" t="s">
        <v>44</v>
      </c>
      <c r="G9" s="12">
        <v>9</v>
      </c>
      <c r="H9" s="88">
        <f>IF(B$20=0,0,G9/B$20)</f>
        <v>0.11392405063291139</v>
      </c>
      <c r="I9" s="58">
        <v>8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0.33333333333333331</v>
      </c>
      <c r="E10" s="27" t="s">
        <v>69</v>
      </c>
      <c r="F10" s="24" t="s">
        <v>24</v>
      </c>
      <c r="G10" s="12">
        <v>8</v>
      </c>
      <c r="H10" s="88">
        <f>IF(B$20=0,0,G10/B$20)</f>
        <v>0.10126582278481013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8.6333333333333329</v>
      </c>
      <c r="Q10" s="76">
        <v>9</v>
      </c>
      <c r="R10" s="67">
        <v>77.7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6</v>
      </c>
      <c r="H11" s="88">
        <f>IF(B$20=0,0,G11/B$20)</f>
        <v>7.5949367088607597E-2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-3.1222222222222222</v>
      </c>
      <c r="Q11" s="77">
        <v>9</v>
      </c>
      <c r="R11" s="68">
        <v>-28.1</v>
      </c>
    </row>
    <row r="12" spans="1:18" x14ac:dyDescent="0.45">
      <c r="A12" s="20" t="s">
        <v>185</v>
      </c>
      <c r="B12" s="109">
        <f>IF(B9=0,0,C12/B9)</f>
        <v>4.7777777777777777</v>
      </c>
      <c r="C12" s="110">
        <v>43</v>
      </c>
      <c r="E12" s="27" t="s">
        <v>71</v>
      </c>
      <c r="F12" s="24" t="s">
        <v>26</v>
      </c>
      <c r="G12" s="12">
        <v>4</v>
      </c>
      <c r="H12" s="88">
        <f>IF(B$20=0,0,G12/B$20)</f>
        <v>5.0632911392405063E-2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-3.2000000000000015</v>
      </c>
      <c r="Q12" s="78">
        <v>12</v>
      </c>
      <c r="R12" s="69">
        <v>-38.40000000000002</v>
      </c>
    </row>
    <row r="13" spans="1:18" x14ac:dyDescent="0.45">
      <c r="A13" s="20" t="s">
        <v>186</v>
      </c>
      <c r="B13" s="109">
        <f>IF(B10=0,0,C13/B10)</f>
        <v>-32.28</v>
      </c>
      <c r="C13" s="110">
        <v>-322.8</v>
      </c>
      <c r="E13" s="27" t="s">
        <v>81</v>
      </c>
      <c r="F13" s="24" t="s">
        <v>36</v>
      </c>
      <c r="G13" s="12">
        <v>4</v>
      </c>
      <c r="H13" s="88">
        <f>IF(B$20=0,0,G13/B$20)</f>
        <v>5.0632911392405063E-2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-0.34922558922558977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5.0632911392405063E-2</v>
      </c>
      <c r="I14" s="58">
        <v>4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3.3333333333333333E-2</v>
      </c>
      <c r="E15" s="27" t="s">
        <v>79</v>
      </c>
      <c r="F15" s="24" t="s">
        <v>34</v>
      </c>
      <c r="G15" s="12">
        <v>3</v>
      </c>
      <c r="H15" s="88">
        <f>IF(B$20=0,0,G15/B$20)</f>
        <v>3.7974683544303799E-2</v>
      </c>
      <c r="I15" s="58">
        <v>2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73</v>
      </c>
      <c r="C16" s="10">
        <f>IF(B$3=0,0,B16/B$3)</f>
        <v>0.27238805970149255</v>
      </c>
      <c r="E16" s="27" t="s">
        <v>78</v>
      </c>
      <c r="F16" s="24" t="s">
        <v>33</v>
      </c>
      <c r="G16" s="12">
        <v>2</v>
      </c>
      <c r="H16" s="88">
        <f>IF(B$20=0,0,G16/B$20)</f>
        <v>2.5316455696202531E-2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>IF(Q16=0,0,R16/Q16)</f>
        <v>17.012500000000003</v>
      </c>
      <c r="Q16" s="77">
        <v>8</v>
      </c>
      <c r="R16" s="68">
        <v>136.10000000000002</v>
      </c>
    </row>
    <row r="17" spans="1:18" x14ac:dyDescent="0.45">
      <c r="A17" s="19" t="s">
        <v>118</v>
      </c>
      <c r="B17" s="12">
        <v>79</v>
      </c>
      <c r="C17" s="6">
        <f>IF(B$3=0,0,B17/B$3)</f>
        <v>0.29477611940298509</v>
      </c>
      <c r="E17" s="27" t="s">
        <v>86</v>
      </c>
      <c r="F17" s="24" t="s">
        <v>41</v>
      </c>
      <c r="G17" s="12">
        <v>2</v>
      </c>
      <c r="H17" s="88">
        <f>IF(B$20=0,0,G17/B$20)</f>
        <v>2.5316455696202531E-2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34</v>
      </c>
      <c r="C18" s="5">
        <f>IF(B$16=0,0,B18/B$16)</f>
        <v>0.46575342465753422</v>
      </c>
      <c r="E18" s="27" t="s">
        <v>91</v>
      </c>
      <c r="F18" s="24" t="s">
        <v>46</v>
      </c>
      <c r="G18" s="12">
        <v>2</v>
      </c>
      <c r="H18" s="88">
        <f>IF(B$20=0,0,G18/B$20)</f>
        <v>2.5316455696202531E-2</v>
      </c>
      <c r="I18" s="58">
        <v>2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5.9777777777777761</v>
      </c>
      <c r="Q18" s="77">
        <v>27</v>
      </c>
      <c r="R18" s="68">
        <v>161.39999999999995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0.39240506329113922</v>
      </c>
      <c r="E19" s="27" t="s">
        <v>88</v>
      </c>
      <c r="F19" s="24" t="s">
        <v>43</v>
      </c>
      <c r="G19" s="12">
        <v>1</v>
      </c>
      <c r="H19" s="88">
        <f>IF(B$20=0,0,G19/B$20)</f>
        <v>1.2658227848101266E-2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79</v>
      </c>
      <c r="C20" s="5">
        <f>IF(B$3=0,0,B20/B$3)</f>
        <v>0.29477611940298509</v>
      </c>
      <c r="E20" s="27" t="s">
        <v>93</v>
      </c>
      <c r="F20" s="24" t="s">
        <v>48</v>
      </c>
      <c r="G20" s="12">
        <v>1</v>
      </c>
      <c r="H20" s="88">
        <f>IF(B$20=0,0,G20/B$20)</f>
        <v>1.2658227848101266E-2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-19.570588235294121</v>
      </c>
      <c r="Q20" s="77">
        <v>17</v>
      </c>
      <c r="R20" s="68">
        <v>-332.70000000000005</v>
      </c>
    </row>
    <row r="21" spans="1:18" x14ac:dyDescent="0.45">
      <c r="A21" s="19" t="s">
        <v>13</v>
      </c>
      <c r="B21" s="12">
        <v>46</v>
      </c>
      <c r="C21" s="6">
        <f>IF(B$3=0,0,B21/B$3)</f>
        <v>0.17164179104477612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39</v>
      </c>
      <c r="C22" s="6">
        <f>IF(B$20=0,0,B22/B$20)</f>
        <v>0.49367088607594939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40</v>
      </c>
      <c r="C23" s="6">
        <f>IF(B$20=0,0,B23/B$20)</f>
        <v>0.50632911392405067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34</v>
      </c>
      <c r="C24" s="6">
        <f>IF(B$20=0,0,B24/B$20)</f>
        <v>0.43037974683544306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31</v>
      </c>
      <c r="C25" s="6">
        <f>IF(B$20=0,0,B25/B$20)</f>
        <v>0.39240506329113922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14</v>
      </c>
      <c r="C26" s="6">
        <f>IF(B$20=0,0,B26/B$20)</f>
        <v>0.17721518987341772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7453.164556962025</v>
      </c>
      <c r="C27" s="8">
        <v>588800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8770.8333333333339</v>
      </c>
      <c r="C28" s="96">
        <v>421000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5412.9032258064517</v>
      </c>
      <c r="C29" s="96">
        <v>167800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-7539.130434782609</v>
      </c>
      <c r="C30" s="96">
        <v>-346800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36.699999999999989</v>
      </c>
      <c r="M31" s="117">
        <v>1465.0825465535379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3.7313432835820895E-3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10</v>
      </c>
      <c r="C37" s="98">
        <f t="shared" ref="C37:C49" si="2">IF(B$20=0,0,B37/B$20)</f>
        <v>0.12658227848101267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2"/>
        <v>0.26582278481012656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2"/>
        <v>0.13924050632911392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16</v>
      </c>
      <c r="C40" s="6">
        <f t="shared" si="2"/>
        <v>0.20253164556962025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6.3291139240506333E-2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3.7974683544303799E-2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3.7974683544303799E-2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2.5316455696202531E-2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2"/>
        <v>5.0632911392405063E-2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3</v>
      </c>
      <c r="C46" s="6">
        <f t="shared" si="2"/>
        <v>3.7974683544303799E-2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1.2658227848101266E-2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B0CBF-76F1-4D97-B8FF-C0A3EC60F132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30</v>
      </c>
      <c r="H2" s="87">
        <f>IF(B$20=0,0,G2/B$20)</f>
        <v>0.967741935483871</v>
      </c>
      <c r="I2" s="57">
        <v>2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-458.8235294117647</v>
      </c>
      <c r="Q2" s="76">
        <v>17</v>
      </c>
      <c r="R2" s="63">
        <v>-7800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18</v>
      </c>
      <c r="H3" s="88">
        <f>IF(B$20=0,0,G3/B$20)</f>
        <v>0.58064516129032262</v>
      </c>
      <c r="I3" s="58">
        <v>7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1423.5294117647059</v>
      </c>
      <c r="Q3" s="77">
        <v>17</v>
      </c>
      <c r="R3" s="64">
        <v>24200</v>
      </c>
    </row>
    <row r="4" spans="1:18" x14ac:dyDescent="0.45">
      <c r="A4" s="19" t="s">
        <v>6</v>
      </c>
      <c r="B4" s="137">
        <v>-47.800000000000018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0.54838709677419351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747.05882352941171</v>
      </c>
      <c r="Q4" s="77">
        <v>17</v>
      </c>
      <c r="R4" s="64">
        <v>12700</v>
      </c>
    </row>
    <row r="5" spans="1:18" x14ac:dyDescent="0.45">
      <c r="A5" s="19" t="s">
        <v>7</v>
      </c>
      <c r="B5" s="125">
        <f>IF(B$2=0,0,B$4/B$2)</f>
        <v>-2.8117647058823541</v>
      </c>
      <c r="C5" s="126"/>
      <c r="E5" s="27" t="s">
        <v>159</v>
      </c>
      <c r="F5" s="24" t="s">
        <v>160</v>
      </c>
      <c r="G5" s="12">
        <v>14</v>
      </c>
      <c r="H5" s="88">
        <f>IF(B$20=0,0,G5/B$20)</f>
        <v>0.45161290322580644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-3120</v>
      </c>
      <c r="Q5" s="77">
        <v>15</v>
      </c>
      <c r="R5" s="64">
        <v>-46800</v>
      </c>
    </row>
    <row r="6" spans="1:18" x14ac:dyDescent="0.45">
      <c r="A6" s="19" t="s">
        <v>196</v>
      </c>
      <c r="B6" s="129">
        <v>1524.9050618397528</v>
      </c>
      <c r="C6" s="130"/>
      <c r="E6" s="27" t="s">
        <v>67</v>
      </c>
      <c r="F6" s="24" t="s">
        <v>23</v>
      </c>
      <c r="G6" s="12">
        <v>8</v>
      </c>
      <c r="H6" s="88">
        <f>IF(B$20=0,0,G6/B$20)</f>
        <v>0.25806451612903225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528.57142857142856</v>
      </c>
      <c r="Q6" s="77">
        <v>14</v>
      </c>
      <c r="R6" s="64">
        <v>7400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65</v>
      </c>
      <c r="F7" s="24" t="s">
        <v>21</v>
      </c>
      <c r="G7" s="12">
        <v>7</v>
      </c>
      <c r="H7" s="88">
        <f>IF(B$20=0,0,G7/B$20)</f>
        <v>0.22580645161290322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-2318.181818181818</v>
      </c>
      <c r="Q7" s="78">
        <v>11</v>
      </c>
      <c r="R7" s="65">
        <v>-25500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0.23529411764705882</v>
      </c>
      <c r="E8" s="27" t="s">
        <v>69</v>
      </c>
      <c r="F8" s="24" t="s">
        <v>24</v>
      </c>
      <c r="G8" s="12">
        <v>5</v>
      </c>
      <c r="H8" s="88">
        <f>IF(B$20=0,0,G8/B$20)</f>
        <v>0.16129032258064516</v>
      </c>
      <c r="I8" s="58">
        <v>3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0.52941176470588236</v>
      </c>
      <c r="E9" s="27" t="s">
        <v>68</v>
      </c>
      <c r="F9" s="24" t="s">
        <v>12</v>
      </c>
      <c r="G9" s="12">
        <v>4</v>
      </c>
      <c r="H9" s="88">
        <f>IF(B$20=0,0,G9/B$20)</f>
        <v>0.12903225806451613</v>
      </c>
      <c r="I9" s="58">
        <v>11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0.23529411764705882</v>
      </c>
      <c r="E10" s="27" t="s">
        <v>89</v>
      </c>
      <c r="F10" s="24" t="s">
        <v>44</v>
      </c>
      <c r="G10" s="12">
        <v>3</v>
      </c>
      <c r="H10" s="88">
        <f>IF(B$20=0,0,G10/B$20)</f>
        <v>9.6774193548387094E-2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-16.766666666666666</v>
      </c>
      <c r="Q10" s="76">
        <v>6</v>
      </c>
      <c r="R10" s="67">
        <v>-100.6</v>
      </c>
    </row>
    <row r="11" spans="1:18" x14ac:dyDescent="0.45">
      <c r="A11" s="20" t="s">
        <v>184</v>
      </c>
      <c r="B11" s="109">
        <f>IF(B8=0,0,C11/B8)</f>
        <v>30.274999999999999</v>
      </c>
      <c r="C11" s="110">
        <v>121.1</v>
      </c>
      <c r="E11" s="27" t="s">
        <v>79</v>
      </c>
      <c r="F11" s="24" t="s">
        <v>34</v>
      </c>
      <c r="G11" s="12">
        <v>2</v>
      </c>
      <c r="H11" s="88">
        <f>IF(B$20=0,0,G11/B$20)</f>
        <v>6.4516129032258063E-2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-1.6999999999999993</v>
      </c>
      <c r="Q11" s="77">
        <v>4</v>
      </c>
      <c r="R11" s="68">
        <v>-6.7999999999999972</v>
      </c>
    </row>
    <row r="12" spans="1:18" x14ac:dyDescent="0.45">
      <c r="A12" s="20" t="s">
        <v>185</v>
      </c>
      <c r="B12" s="109">
        <f>IF(B9=0,0,C12/B9)</f>
        <v>-2.0999999999999996</v>
      </c>
      <c r="C12" s="110">
        <v>-18.899999999999999</v>
      </c>
      <c r="E12" s="27" t="s">
        <v>86</v>
      </c>
      <c r="F12" s="24" t="s">
        <v>41</v>
      </c>
      <c r="G12" s="12">
        <v>2</v>
      </c>
      <c r="H12" s="88">
        <f>IF(B$20=0,0,G12/B$20)</f>
        <v>6.4516129032258063E-2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5">
      <c r="A13" s="20" t="s">
        <v>186</v>
      </c>
      <c r="B13" s="109">
        <f>IF(B10=0,0,C13/B10)</f>
        <v>-37.5</v>
      </c>
      <c r="C13" s="110">
        <v>-150</v>
      </c>
      <c r="E13" s="27" t="s">
        <v>70</v>
      </c>
      <c r="F13" s="24" t="s">
        <v>25</v>
      </c>
      <c r="G13" s="12">
        <v>1</v>
      </c>
      <c r="H13" s="88">
        <f>IF(B$20=0,0,G13/B$20)</f>
        <v>3.2258064516129031E-2</v>
      </c>
      <c r="I13" s="58">
        <v>9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-3.1083333333333343</v>
      </c>
      <c r="C14" s="126"/>
      <c r="E14" s="27" t="s">
        <v>81</v>
      </c>
      <c r="F14" s="24" t="s">
        <v>36</v>
      </c>
      <c r="G14" s="12">
        <v>1</v>
      </c>
      <c r="H14" s="88">
        <f>IF(B$20=0,0,G14/B$20)</f>
        <v>3.2258064516129031E-2</v>
      </c>
      <c r="I14" s="58">
        <v>8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5.8823529411764705E-2</v>
      </c>
      <c r="E15" s="27" t="s">
        <v>83</v>
      </c>
      <c r="F15" s="24" t="s">
        <v>38</v>
      </c>
      <c r="G15" s="12">
        <v>1</v>
      </c>
      <c r="H15" s="88">
        <f>IF(B$20=0,0,G15/B$20)</f>
        <v>3.2258064516129031E-2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126</v>
      </c>
      <c r="P15" s="82">
        <f>IF(Q15=0,0,R15/Q15)</f>
        <v>-0.20714285714285804</v>
      </c>
      <c r="Q15" s="76">
        <v>14</v>
      </c>
      <c r="R15" s="67">
        <v>-2.9000000000000128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>IF(Q16=0,0,R16/Q16)</f>
        <v>-3.0714285714285707</v>
      </c>
      <c r="Q16" s="77">
        <v>7</v>
      </c>
      <c r="R16" s="68">
        <v>-21.499999999999996</v>
      </c>
    </row>
    <row r="17" spans="1:18" x14ac:dyDescent="0.45">
      <c r="A17" s="19" t="s">
        <v>118</v>
      </c>
      <c r="B17" s="12">
        <v>28</v>
      </c>
      <c r="C17" s="6">
        <f>IF(B$3=0,0,B17/B$3)</f>
        <v>0.20588235294117646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-8.0399999999999991</v>
      </c>
      <c r="Q17" s="77">
        <v>5</v>
      </c>
      <c r="R17" s="68">
        <v>-40.199999999999996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0.56666666666666665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5">
      <c r="A19" s="18" t="s">
        <v>124</v>
      </c>
      <c r="B19" s="11">
        <f>B25</f>
        <v>11</v>
      </c>
      <c r="C19" s="5">
        <f>IF(B$17=0,0,B19/B$17)</f>
        <v>0.39285714285714285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-47.800000000000018</v>
      </c>
      <c r="M19" s="117">
        <v>1524.9050618397528</v>
      </c>
      <c r="O19" s="74" t="s">
        <v>189</v>
      </c>
      <c r="P19" s="83">
        <f>IF(Q19=0,0,R19/Q19)</f>
        <v>-13.200000000000003</v>
      </c>
      <c r="Q19" s="77">
        <v>2</v>
      </c>
      <c r="R19" s="68">
        <v>-26.400000000000006</v>
      </c>
    </row>
    <row r="20" spans="1:18" x14ac:dyDescent="0.45">
      <c r="A20" s="18" t="s">
        <v>10</v>
      </c>
      <c r="B20" s="11">
        <f>B23+B22</f>
        <v>31</v>
      </c>
      <c r="C20" s="5">
        <f>IF(B$3=0,0,B20/B$3)</f>
        <v>0.22794117647058823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14</v>
      </c>
      <c r="C21" s="6">
        <f>IF(B$3=0,0,B21/B$3)</f>
        <v>0.10294117647058823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4</v>
      </c>
      <c r="C22" s="6">
        <f>IF(B$20=0,0,B22/B$20)</f>
        <v>0.12903225806451613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27</v>
      </c>
      <c r="C23" s="6">
        <f>IF(B$20=0,0,B23/B$20)</f>
        <v>0.87096774193548387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17</v>
      </c>
      <c r="C24" s="6">
        <f>IF(B$20=0,0,B24/B$20)</f>
        <v>0.54838709677419351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11</v>
      </c>
      <c r="C25" s="6">
        <f>IF(B$20=0,0,B25/B$20)</f>
        <v>0.35483870967741937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3</v>
      </c>
      <c r="C26" s="6">
        <f>IF(B$20=0,0,B26/B$20)</f>
        <v>9.6774193548387094E-2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7654.8387096774195</v>
      </c>
      <c r="C27" s="8">
        <v>237300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7600</v>
      </c>
      <c r="C28" s="96">
        <v>152000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7754.545454545455</v>
      </c>
      <c r="C29" s="96">
        <v>85300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-5385.7142857142853</v>
      </c>
      <c r="C30" s="96">
        <v>-75400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3.2258064516129031E-2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7</v>
      </c>
      <c r="C38" s="6">
        <f t="shared" si="2"/>
        <v>0.22580645161290322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0.22580645161290322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0.25806451612903225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9.6774193548387094E-2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6.4516129032258063E-2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6.4516129032258063E-2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3.2258064516129031E-2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F1CDB-2796-4712-AE74-C542B28C762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31</v>
      </c>
      <c r="C2" s="134"/>
      <c r="E2" s="26" t="s">
        <v>66</v>
      </c>
      <c r="F2" s="23" t="s">
        <v>22</v>
      </c>
      <c r="G2" s="11">
        <v>61</v>
      </c>
      <c r="H2" s="87">
        <f>IF(B$20=0,0,G2/B$20)</f>
        <v>0.76249999999999996</v>
      </c>
      <c r="I2" s="57">
        <v>7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306.45161290322579</v>
      </c>
      <c r="Q2" s="76">
        <v>31</v>
      </c>
      <c r="R2" s="63">
        <v>9500</v>
      </c>
    </row>
    <row r="3" spans="1:18" x14ac:dyDescent="0.45">
      <c r="A3" s="19" t="s">
        <v>8</v>
      </c>
      <c r="B3" s="135">
        <v>251</v>
      </c>
      <c r="C3" s="136"/>
      <c r="E3" s="27" t="s">
        <v>72</v>
      </c>
      <c r="F3" s="24" t="s">
        <v>27</v>
      </c>
      <c r="G3" s="12">
        <v>48</v>
      </c>
      <c r="H3" s="88">
        <f>IF(B$20=0,0,G3/B$20)</f>
        <v>0.6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1396.7741935483871</v>
      </c>
      <c r="Q3" s="77">
        <v>31</v>
      </c>
      <c r="R3" s="64">
        <v>43300</v>
      </c>
    </row>
    <row r="4" spans="1:18" x14ac:dyDescent="0.45">
      <c r="A4" s="19" t="s">
        <v>6</v>
      </c>
      <c r="B4" s="137">
        <v>119.79999999999998</v>
      </c>
      <c r="C4" s="138"/>
      <c r="E4" s="27" t="s">
        <v>64</v>
      </c>
      <c r="F4" s="24" t="s">
        <v>20</v>
      </c>
      <c r="G4" s="12">
        <v>31</v>
      </c>
      <c r="H4" s="88">
        <f>IF(B$20=0,0,G4/B$20)</f>
        <v>0.38750000000000001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2129.0322580645161</v>
      </c>
      <c r="Q4" s="77">
        <v>31</v>
      </c>
      <c r="R4" s="64">
        <v>66000</v>
      </c>
    </row>
    <row r="5" spans="1:18" x14ac:dyDescent="0.45">
      <c r="A5" s="19" t="s">
        <v>7</v>
      </c>
      <c r="B5" s="125">
        <f>IF(B$2=0,0,B$4/B$2)</f>
        <v>3.8645161290322574</v>
      </c>
      <c r="C5" s="126"/>
      <c r="E5" s="27" t="s">
        <v>67</v>
      </c>
      <c r="F5" s="24" t="s">
        <v>23</v>
      </c>
      <c r="G5" s="12">
        <v>20</v>
      </c>
      <c r="H5" s="88">
        <f>IF(B$20=0,0,G5/B$20)</f>
        <v>0.25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189.28571428571428</v>
      </c>
      <c r="Q5" s="77">
        <v>28</v>
      </c>
      <c r="R5" s="64">
        <v>5300</v>
      </c>
    </row>
    <row r="6" spans="1:18" x14ac:dyDescent="0.45">
      <c r="A6" s="19" t="s">
        <v>196</v>
      </c>
      <c r="B6" s="129">
        <v>1524.7772705857617</v>
      </c>
      <c r="C6" s="130"/>
      <c r="E6" s="27" t="s">
        <v>159</v>
      </c>
      <c r="F6" s="24" t="s">
        <v>160</v>
      </c>
      <c r="G6" s="12">
        <v>20</v>
      </c>
      <c r="H6" s="88">
        <f>IF(B$20=0,0,G6/B$20)</f>
        <v>0.25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-1412.5</v>
      </c>
      <c r="Q6" s="77">
        <v>24</v>
      </c>
      <c r="R6" s="64">
        <v>-33900</v>
      </c>
    </row>
    <row r="7" spans="1:18" x14ac:dyDescent="0.45">
      <c r="A7" s="19" t="s">
        <v>1</v>
      </c>
      <c r="B7" s="139">
        <f>IF(B$2=0,0,(B$8*1+B$9*2+B$10*3)/B$2)</f>
        <v>1.903225806451613</v>
      </c>
      <c r="C7" s="140"/>
      <c r="E7" s="27" t="s">
        <v>68</v>
      </c>
      <c r="F7" s="24" t="s">
        <v>12</v>
      </c>
      <c r="G7" s="12">
        <v>19</v>
      </c>
      <c r="H7" s="88">
        <f>IF(B$20=0,0,G7/B$20)</f>
        <v>0.23749999999999999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954.5454545454545</v>
      </c>
      <c r="Q7" s="78">
        <v>22</v>
      </c>
      <c r="R7" s="65">
        <v>21000</v>
      </c>
    </row>
    <row r="8" spans="1:18" x14ac:dyDescent="0.45">
      <c r="A8" s="19" t="s">
        <v>2</v>
      </c>
      <c r="B8" s="12">
        <v>13</v>
      </c>
      <c r="C8" s="6">
        <f t="shared" ref="C8:C15" si="1">IF(B$2=0,0,B8/B$2)</f>
        <v>0.41935483870967744</v>
      </c>
      <c r="E8" s="27" t="s">
        <v>89</v>
      </c>
      <c r="F8" s="24" t="s">
        <v>44</v>
      </c>
      <c r="G8" s="12">
        <v>15</v>
      </c>
      <c r="H8" s="88">
        <f>IF(B$20=0,0,G8/B$20)</f>
        <v>0.1875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0.25806451612903225</v>
      </c>
      <c r="E9" s="27" t="s">
        <v>69</v>
      </c>
      <c r="F9" s="24" t="s">
        <v>24</v>
      </c>
      <c r="G9" s="12">
        <v>11</v>
      </c>
      <c r="H9" s="88">
        <f>IF(B$20=0,0,G9/B$20)</f>
        <v>0.13750000000000001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0.32258064516129031</v>
      </c>
      <c r="E10" s="27" t="s">
        <v>71</v>
      </c>
      <c r="F10" s="24" t="s">
        <v>26</v>
      </c>
      <c r="G10" s="12">
        <v>7</v>
      </c>
      <c r="H10" s="88">
        <f>IF(B$20=0,0,G10/B$20)</f>
        <v>8.7499999999999994E-2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31.938461538461539</v>
      </c>
      <c r="C11" s="110">
        <v>415.2</v>
      </c>
      <c r="E11" s="27" t="s">
        <v>86</v>
      </c>
      <c r="F11" s="24" t="s">
        <v>41</v>
      </c>
      <c r="G11" s="12">
        <v>7</v>
      </c>
      <c r="H11" s="88">
        <f>IF(B$20=0,0,G11/B$20)</f>
        <v>8.7499999999999994E-2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6.5700000000000021</v>
      </c>
      <c r="Q11" s="77">
        <v>10</v>
      </c>
      <c r="R11" s="68">
        <v>65.700000000000017</v>
      </c>
    </row>
    <row r="12" spans="1:18" x14ac:dyDescent="0.45">
      <c r="A12" s="20" t="s">
        <v>185</v>
      </c>
      <c r="B12" s="109">
        <f>IF(B9=0,0,C12/B9)</f>
        <v>0.77499999999999969</v>
      </c>
      <c r="C12" s="110">
        <v>6.1999999999999975</v>
      </c>
      <c r="E12" s="27" t="s">
        <v>83</v>
      </c>
      <c r="F12" s="24" t="s">
        <v>38</v>
      </c>
      <c r="G12" s="12">
        <v>5</v>
      </c>
      <c r="H12" s="88">
        <f>IF(B$20=0,0,G12/B$20)</f>
        <v>6.25E-2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7.1428571428571432</v>
      </c>
      <c r="Q12" s="78">
        <v>14</v>
      </c>
      <c r="R12" s="69">
        <v>100</v>
      </c>
    </row>
    <row r="13" spans="1:18" x14ac:dyDescent="0.45">
      <c r="A13" s="20" t="s">
        <v>186</v>
      </c>
      <c r="B13" s="109">
        <f>IF(B10=0,0,C13/B10)</f>
        <v>-30.160000000000004</v>
      </c>
      <c r="C13" s="110">
        <v>-301.60000000000002</v>
      </c>
      <c r="E13" s="27" t="s">
        <v>91</v>
      </c>
      <c r="F13" s="24" t="s">
        <v>46</v>
      </c>
      <c r="G13" s="12">
        <v>5</v>
      </c>
      <c r="H13" s="88">
        <f>IF(B$20=0,0,G13/B$20)</f>
        <v>6.25E-2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0.85115384615384448</v>
      </c>
      <c r="C14" s="126"/>
      <c r="E14" s="27" t="s">
        <v>65</v>
      </c>
      <c r="F14" s="24" t="s">
        <v>21</v>
      </c>
      <c r="G14" s="12">
        <v>3</v>
      </c>
      <c r="H14" s="88">
        <f>IF(B$20=0,0,G14/B$20)</f>
        <v>3.7499999999999999E-2</v>
      </c>
      <c r="I14" s="58">
        <v>10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6.4516129032258063E-2</v>
      </c>
      <c r="E15" s="27" t="s">
        <v>70</v>
      </c>
      <c r="F15" s="24" t="s">
        <v>25</v>
      </c>
      <c r="G15" s="12">
        <v>3</v>
      </c>
      <c r="H15" s="88">
        <f>IF(B$20=0,0,G15/B$20)</f>
        <v>3.7499999999999999E-2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52</v>
      </c>
      <c r="C16" s="10">
        <f>IF(B$3=0,0,B16/B$3)</f>
        <v>0.20717131474103587</v>
      </c>
      <c r="E16" s="27" t="s">
        <v>78</v>
      </c>
      <c r="F16" s="24" t="s">
        <v>33</v>
      </c>
      <c r="G16" s="12">
        <v>3</v>
      </c>
      <c r="H16" s="88">
        <f>IF(B$20=0,0,G16/B$20)</f>
        <v>3.7499999999999999E-2</v>
      </c>
      <c r="I16" s="58">
        <v>2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60</v>
      </c>
      <c r="C17" s="6">
        <f>IF(B$3=0,0,B17/B$3)</f>
        <v>0.23904382470119523</v>
      </c>
      <c r="E17" s="27" t="s">
        <v>81</v>
      </c>
      <c r="F17" s="24" t="s">
        <v>36</v>
      </c>
      <c r="G17" s="12">
        <v>3</v>
      </c>
      <c r="H17" s="88">
        <f>IF(B$20=0,0,G17/B$20)</f>
        <v>3.7499999999999999E-2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>IF(Q17=0,0,R17/Q17)</f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30</v>
      </c>
      <c r="C18" s="5">
        <f>IF(B$16=0,0,B18/B$16)</f>
        <v>0.57692307692307687</v>
      </c>
      <c r="E18" s="27" t="s">
        <v>73</v>
      </c>
      <c r="F18" s="24" t="s">
        <v>28</v>
      </c>
      <c r="G18" s="12">
        <v>2</v>
      </c>
      <c r="H18" s="88">
        <f>IF(B$20=0,0,G18/B$20)</f>
        <v>2.5000000000000001E-2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>IF(Q18=0,0,R18/Q18)</f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0.51666666666666672</v>
      </c>
      <c r="E19" s="27" t="s">
        <v>75</v>
      </c>
      <c r="F19" s="24" t="s">
        <v>30</v>
      </c>
      <c r="G19" s="12">
        <v>1</v>
      </c>
      <c r="H19" s="88">
        <f>IF(B$20=0,0,G19/B$20)</f>
        <v>1.2500000000000001E-2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>IF(Q19=0,0,R19/Q19)</f>
        <v>8.0399999999999974</v>
      </c>
      <c r="Q19" s="77">
        <v>5</v>
      </c>
      <c r="R19" s="68">
        <v>40.199999999999989</v>
      </c>
    </row>
    <row r="20" spans="1:18" x14ac:dyDescent="0.45">
      <c r="A20" s="18" t="s">
        <v>10</v>
      </c>
      <c r="B20" s="11">
        <f>B23+B22</f>
        <v>80</v>
      </c>
      <c r="C20" s="5">
        <f>IF(B$3=0,0,B20/B$3)</f>
        <v>0.31872509960159362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>IF(Q20=0,0,R20/Q20)</f>
        <v>3.9166666666666674</v>
      </c>
      <c r="Q20" s="77">
        <v>12</v>
      </c>
      <c r="R20" s="68">
        <v>47.000000000000007</v>
      </c>
    </row>
    <row r="21" spans="1:18" x14ac:dyDescent="0.45">
      <c r="A21" s="19" t="s">
        <v>13</v>
      </c>
      <c r="B21" s="12">
        <v>35</v>
      </c>
      <c r="C21" s="6">
        <f>IF(B$3=0,0,B21/B$3)</f>
        <v>0.1394422310756972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>IF(Q21=0,0,R21/Q21)</f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32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>IF(Q22=0,0,R22/Q22)</f>
        <v>-5.0631578947368414</v>
      </c>
      <c r="Q22" s="77">
        <v>19</v>
      </c>
      <c r="R22" s="68">
        <v>-96.199999999999989</v>
      </c>
    </row>
    <row r="23" spans="1:18" x14ac:dyDescent="0.45">
      <c r="A23" s="19" t="s">
        <v>11</v>
      </c>
      <c r="B23" s="12">
        <v>48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30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31</v>
      </c>
      <c r="C25" s="6">
        <f>IF(B$20=0,0,B25/B$20)</f>
        <v>0.38750000000000001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19</v>
      </c>
      <c r="C26" s="6">
        <f>IF(B$20=0,0,B26/B$20)</f>
        <v>0.23749999999999999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7840</v>
      </c>
      <c r="C27" s="8">
        <v>627200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8169.3877551020405</v>
      </c>
      <c r="C28" s="96">
        <v>400300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7319.3548387096771</v>
      </c>
      <c r="C29" s="96">
        <v>226900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-6771.4285714285716</v>
      </c>
      <c r="C30" s="96">
        <v>-237000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13" x14ac:dyDescent="0.45">
      <c r="A35" s="21" t="s">
        <v>137</v>
      </c>
      <c r="B35" s="29">
        <v>3</v>
      </c>
      <c r="C35" s="9">
        <f>IF(B$3=0,0,B35/B$3)</f>
        <v>1.1952191235059761E-2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7</v>
      </c>
      <c r="C37" s="98">
        <f t="shared" ref="C37:C49" si="2">IF(B$20=0,0,B37/B$20)</f>
        <v>8.7499999999999994E-2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19</v>
      </c>
      <c r="C38" s="6">
        <f t="shared" si="2"/>
        <v>0.23749999999999999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13</v>
      </c>
      <c r="C39" s="6">
        <f t="shared" si="2"/>
        <v>0.16250000000000001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11</v>
      </c>
      <c r="C40" s="6">
        <f t="shared" si="2"/>
        <v>0.13750000000000001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10</v>
      </c>
      <c r="C41" s="6">
        <f t="shared" si="2"/>
        <v>0.125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8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5</v>
      </c>
      <c r="C43" s="6">
        <f t="shared" si="2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4</v>
      </c>
      <c r="C44" s="6">
        <f t="shared" si="2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1.2500000000000001E-2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1.2500000000000001E-2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1.2500000000000001E-2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F089-D714-4333-BBF8-559A5823291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36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0.75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-58.333333333333336</v>
      </c>
      <c r="Q2" s="76">
        <v>36</v>
      </c>
      <c r="R2" s="63">
        <v>-2100</v>
      </c>
    </row>
    <row r="3" spans="1:18" x14ac:dyDescent="0.45">
      <c r="A3" s="19" t="s">
        <v>8</v>
      </c>
      <c r="B3" s="135">
        <v>312</v>
      </c>
      <c r="C3" s="136"/>
      <c r="E3" s="27" t="s">
        <v>72</v>
      </c>
      <c r="F3" s="24" t="s">
        <v>27</v>
      </c>
      <c r="G3" s="12">
        <v>70</v>
      </c>
      <c r="H3" s="88">
        <f>IF(B$20=0,0,G3/B$20)</f>
        <v>0.64814814814814814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2032.3529411764705</v>
      </c>
      <c r="Q3" s="77">
        <v>34</v>
      </c>
      <c r="R3" s="64">
        <v>69100</v>
      </c>
    </row>
    <row r="4" spans="1:18" x14ac:dyDescent="0.45">
      <c r="A4" s="19" t="s">
        <v>6</v>
      </c>
      <c r="B4" s="137">
        <v>334.59999999999997</v>
      </c>
      <c r="C4" s="138"/>
      <c r="E4" s="27" t="s">
        <v>159</v>
      </c>
      <c r="F4" s="24" t="s">
        <v>160</v>
      </c>
      <c r="G4" s="12">
        <v>55</v>
      </c>
      <c r="H4" s="88">
        <f>IF(B$20=0,0,G4/B$20)</f>
        <v>0.5092592592592593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217.14285714285714</v>
      </c>
      <c r="Q4" s="77">
        <v>35</v>
      </c>
      <c r="R4" s="64">
        <v>7600</v>
      </c>
    </row>
    <row r="5" spans="1:18" x14ac:dyDescent="0.45">
      <c r="A5" s="19" t="s">
        <v>7</v>
      </c>
      <c r="B5" s="125">
        <f>IF(B$2=0,0,B$4/B$2)</f>
        <v>9.2944444444444443</v>
      </c>
      <c r="C5" s="126"/>
      <c r="E5" s="27" t="s">
        <v>64</v>
      </c>
      <c r="F5" s="24" t="s">
        <v>20</v>
      </c>
      <c r="G5" s="12">
        <v>36</v>
      </c>
      <c r="H5" s="88">
        <f>IF(B$20=0,0,G5/B$20)</f>
        <v>0.33333333333333331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2978.787878787879</v>
      </c>
      <c r="Q5" s="77">
        <v>33</v>
      </c>
      <c r="R5" s="64">
        <v>98300</v>
      </c>
    </row>
    <row r="6" spans="1:18" x14ac:dyDescent="0.45">
      <c r="A6" s="19" t="s">
        <v>196</v>
      </c>
      <c r="B6" s="129">
        <v>1589.9026760335635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0.25925925925925924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1513.3333333333333</v>
      </c>
      <c r="Q6" s="77">
        <v>30</v>
      </c>
      <c r="R6" s="64">
        <v>45400</v>
      </c>
    </row>
    <row r="7" spans="1:18" x14ac:dyDescent="0.45">
      <c r="A7" s="19" t="s">
        <v>1</v>
      </c>
      <c r="B7" s="139">
        <f>IF(B$2=0,0,(B$8*1+B$9*2+B$10*3)/B$2)</f>
        <v>1.6944444444444444</v>
      </c>
      <c r="C7" s="140"/>
      <c r="E7" s="27" t="s">
        <v>70</v>
      </c>
      <c r="F7" s="24" t="s">
        <v>25</v>
      </c>
      <c r="G7" s="12">
        <v>16</v>
      </c>
      <c r="H7" s="88">
        <f>IF(B$20=0,0,G7/B$20)</f>
        <v>0.14814814814814814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279.16666666666669</v>
      </c>
      <c r="Q7" s="78">
        <v>24</v>
      </c>
      <c r="R7" s="65">
        <v>6700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14</v>
      </c>
      <c r="H8" s="88">
        <f>IF(B$20=0,0,G8/B$20)</f>
        <v>0.12962962962962962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0.30555555555555558</v>
      </c>
      <c r="E9" s="27" t="s">
        <v>89</v>
      </c>
      <c r="F9" s="24" t="s">
        <v>44</v>
      </c>
      <c r="G9" s="12">
        <v>12</v>
      </c>
      <c r="H9" s="88">
        <f>IF(B$20=0,0,G9/B$20)</f>
        <v>0.1111111111111111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0.19444444444444445</v>
      </c>
      <c r="E10" s="27" t="s">
        <v>69</v>
      </c>
      <c r="F10" s="24" t="s">
        <v>24</v>
      </c>
      <c r="G10" s="12">
        <v>9</v>
      </c>
      <c r="H10" s="88">
        <f>IF(B$20=0,0,G10/B$20)</f>
        <v>8.3333333333333329E-2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35.81111111111111</v>
      </c>
      <c r="C11" s="110">
        <v>644.6</v>
      </c>
      <c r="E11" s="27" t="s">
        <v>71</v>
      </c>
      <c r="F11" s="24" t="s">
        <v>26</v>
      </c>
      <c r="G11" s="12">
        <v>9</v>
      </c>
      <c r="H11" s="88">
        <f>IF(B$20=0,0,G11/B$20)</f>
        <v>8.3333333333333329E-2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5">
      <c r="A12" s="20" t="s">
        <v>185</v>
      </c>
      <c r="B12" s="109">
        <f>IF(B9=0,0,C12/B9)</f>
        <v>-5.6454545454545446</v>
      </c>
      <c r="C12" s="110">
        <v>-62.099999999999994</v>
      </c>
      <c r="E12" s="27" t="s">
        <v>65</v>
      </c>
      <c r="F12" s="24" t="s">
        <v>21</v>
      </c>
      <c r="G12" s="12">
        <v>5</v>
      </c>
      <c r="H12" s="88">
        <f>IF(B$20=0,0,G12/B$20)</f>
        <v>4.6296296296296294E-2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7.5428571428571427</v>
      </c>
      <c r="Q12" s="78">
        <v>7</v>
      </c>
      <c r="R12" s="69">
        <v>52.8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3.7037037037037035E-2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-1.7495430495430508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2.7777777777777776E-2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5.5555555555555552E-2</v>
      </c>
      <c r="E15" s="27" t="s">
        <v>81</v>
      </c>
      <c r="F15" s="24" t="s">
        <v>36</v>
      </c>
      <c r="G15" s="12">
        <v>3</v>
      </c>
      <c r="H15" s="88">
        <f>IF(B$20=0,0,G15/B$20)</f>
        <v>2.7777777777777776E-2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67</v>
      </c>
      <c r="C16" s="10">
        <f>IF(B$3=0,0,B16/B$3)</f>
        <v>0.21474358974358973</v>
      </c>
      <c r="E16" s="27" t="s">
        <v>86</v>
      </c>
      <c r="F16" s="24" t="s">
        <v>41</v>
      </c>
      <c r="G16" s="12">
        <v>3</v>
      </c>
      <c r="H16" s="88">
        <f>IF(B$20=0,0,G16/B$20)</f>
        <v>2.7777777777777776E-2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80</v>
      </c>
      <c r="C17" s="6">
        <f>IF(B$3=0,0,B17/B$3)</f>
        <v>0.25641025641025639</v>
      </c>
      <c r="E17" s="27" t="s">
        <v>83</v>
      </c>
      <c r="F17" s="24" t="s">
        <v>38</v>
      </c>
      <c r="G17" s="12">
        <v>2</v>
      </c>
      <c r="H17" s="88">
        <f>IF(B$20=0,0,G17/B$20)</f>
        <v>1.8518518518518517E-2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19.570588235294117</v>
      </c>
      <c r="Q17" s="77">
        <v>17</v>
      </c>
      <c r="R17" s="68">
        <v>332.7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0.52238805970149249</v>
      </c>
      <c r="E18" s="27" t="s">
        <v>73</v>
      </c>
      <c r="F18" s="24" t="s">
        <v>28</v>
      </c>
      <c r="G18" s="12">
        <v>1</v>
      </c>
      <c r="H18" s="88">
        <f>IF(B$20=0,0,G18/B$20)</f>
        <v>9.2592592592592587E-3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38</v>
      </c>
      <c r="C19" s="5">
        <f>IF(B$17=0,0,B19/B$17)</f>
        <v>0.47499999999999998</v>
      </c>
      <c r="E19" s="27" t="s">
        <v>88</v>
      </c>
      <c r="F19" s="24" t="s">
        <v>43</v>
      </c>
      <c r="G19" s="12">
        <v>1</v>
      </c>
      <c r="H19" s="88">
        <f>IF(B$20=0,0,G19/B$20)</f>
        <v>9.2592592592592587E-3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108</v>
      </c>
      <c r="C20" s="5">
        <f>IF(B$3=0,0,B20/B$3)</f>
        <v>0.34615384615384615</v>
      </c>
      <c r="E20" s="27" t="s">
        <v>92</v>
      </c>
      <c r="F20" s="24" t="s">
        <v>47</v>
      </c>
      <c r="G20" s="12">
        <v>1</v>
      </c>
      <c r="H20" s="88">
        <f>IF(B$20=0,0,G20/B$20)</f>
        <v>9.2592592592592587E-3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14.226666666666663</v>
      </c>
      <c r="Q20" s="77">
        <v>30</v>
      </c>
      <c r="R20" s="68">
        <v>426.7999999999999</v>
      </c>
    </row>
    <row r="21" spans="1:18" x14ac:dyDescent="0.45">
      <c r="A21" s="19" t="s">
        <v>13</v>
      </c>
      <c r="B21" s="12">
        <v>39</v>
      </c>
      <c r="C21" s="6">
        <f>IF(B$3=0,0,B21/B$3)</f>
        <v>0.125</v>
      </c>
      <c r="E21" s="27" t="s">
        <v>102</v>
      </c>
      <c r="F21" s="24" t="s">
        <v>57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45</v>
      </c>
      <c r="C22" s="6">
        <f>IF(B$20=0,0,B22/B$20)</f>
        <v>0.41666666666666669</v>
      </c>
      <c r="E22" s="27" t="s">
        <v>155</v>
      </c>
      <c r="F22" s="24" t="s">
        <v>156</v>
      </c>
      <c r="G22" s="12">
        <v>1</v>
      </c>
      <c r="H22" s="88">
        <f>IF(B$20=0,0,G22/B$20)</f>
        <v>9.2592592592592587E-3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63</v>
      </c>
      <c r="C23" s="6">
        <f>IF(B$20=0,0,B23/B$20)</f>
        <v>0.58333333333333337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35</v>
      </c>
      <c r="C24" s="6">
        <f>IF(B$20=0,0,B24/B$20)</f>
        <v>0.32407407407407407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38</v>
      </c>
      <c r="C25" s="6">
        <f>IF(B$20=0,0,B25/B$20)</f>
        <v>0.35185185185185186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35</v>
      </c>
      <c r="C26" s="6">
        <f>IF(B$20=0,0,B26/B$20)</f>
        <v>0.32407407407407407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7805.5555555555557</v>
      </c>
      <c r="C27" s="8">
        <v>843000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9262.8571428571431</v>
      </c>
      <c r="C28" s="96">
        <v>648400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5121.0526315789475</v>
      </c>
      <c r="C29" s="96">
        <v>194600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51</v>
      </c>
      <c r="C32" s="90">
        <v>51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10</v>
      </c>
      <c r="C37" s="98">
        <f t="shared" ref="C37:C49" si="2">IF(B$20=0,0,B37/B$20)</f>
        <v>9.2592592592592587E-2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5">
      <c r="A38" s="19" t="s">
        <v>167</v>
      </c>
      <c r="B38" s="12">
        <v>25</v>
      </c>
      <c r="C38" s="6">
        <f t="shared" si="2"/>
        <v>0.23148148148148148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5">
      <c r="A39" s="19" t="s">
        <v>168</v>
      </c>
      <c r="B39" s="124">
        <v>24</v>
      </c>
      <c r="C39" s="6">
        <f t="shared" si="2"/>
        <v>0.22222222222222221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17</v>
      </c>
      <c r="C40" s="6">
        <f t="shared" si="2"/>
        <v>0.15740740740740741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15</v>
      </c>
      <c r="C41" s="6">
        <f t="shared" si="2"/>
        <v>0.1388888888888889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2"/>
        <v>2.7777777777777776E-2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2"/>
        <v>7.407407407407407E-2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1.8518518518518517E-2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9.2592592592592587E-3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9.2592592592592587E-3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2"/>
        <v>1.8518518518518517E-2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BCF3-B003-419F-9A01-7D54A7803046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>IF(Q17=0,0,R17/Q17)</f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>IF(Q20=0,0,R20/Q20)</f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42F72-2CE2-4F00-9BF3-2E919059608B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4B0B-994B-4B66-9FB9-9E7AD05D511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0.84210526315789469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-5575</v>
      </c>
      <c r="Q2" s="76">
        <v>8</v>
      </c>
      <c r="R2" s="63">
        <v>-44600</v>
      </c>
    </row>
    <row r="3" spans="1:18" x14ac:dyDescent="0.45">
      <c r="A3" s="19" t="s">
        <v>8</v>
      </c>
      <c r="B3" s="135">
        <v>65</v>
      </c>
      <c r="C3" s="136"/>
      <c r="E3" s="27" t="s">
        <v>159</v>
      </c>
      <c r="F3" s="24" t="s">
        <v>160</v>
      </c>
      <c r="G3" s="12">
        <v>12</v>
      </c>
      <c r="H3" s="88">
        <f>IF(B$20=0,0,G3/B$20)</f>
        <v>0.63157894736842102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6157.1428571428569</v>
      </c>
      <c r="Q3" s="77">
        <v>7</v>
      </c>
      <c r="R3" s="64">
        <v>43100</v>
      </c>
    </row>
    <row r="4" spans="1:18" x14ac:dyDescent="0.45">
      <c r="A4" s="19" t="s">
        <v>6</v>
      </c>
      <c r="B4" s="137">
        <v>-45.7</v>
      </c>
      <c r="C4" s="138"/>
      <c r="E4" s="27" t="s">
        <v>64</v>
      </c>
      <c r="F4" s="24" t="s">
        <v>20</v>
      </c>
      <c r="G4" s="12">
        <v>10</v>
      </c>
      <c r="H4" s="88">
        <f>IF(B$20=0,0,G4/B$20)</f>
        <v>0.52631578947368418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-1325</v>
      </c>
      <c r="Q4" s="77">
        <v>8</v>
      </c>
      <c r="R4" s="64">
        <v>-10600</v>
      </c>
    </row>
    <row r="5" spans="1:18" x14ac:dyDescent="0.45">
      <c r="A5" s="19" t="s">
        <v>7</v>
      </c>
      <c r="B5" s="125">
        <f>IF(B$2=0,0,B$4/B$2)</f>
        <v>-5.7125000000000004</v>
      </c>
      <c r="C5" s="126"/>
      <c r="E5" s="27" t="s">
        <v>68</v>
      </c>
      <c r="F5" s="24" t="s">
        <v>12</v>
      </c>
      <c r="G5" s="12">
        <v>9</v>
      </c>
      <c r="H5" s="88">
        <f>IF(B$20=0,0,G5/B$20)</f>
        <v>0.47368421052631576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-6850</v>
      </c>
      <c r="Q5" s="77">
        <v>8</v>
      </c>
      <c r="R5" s="64">
        <v>-54800</v>
      </c>
    </row>
    <row r="6" spans="1:18" x14ac:dyDescent="0.45">
      <c r="A6" s="19" t="s">
        <v>196</v>
      </c>
      <c r="B6" s="129">
        <v>1392.9145746195986</v>
      </c>
      <c r="C6" s="130"/>
      <c r="E6" s="27" t="s">
        <v>72</v>
      </c>
      <c r="F6" s="24" t="s">
        <v>27</v>
      </c>
      <c r="G6" s="12">
        <v>8</v>
      </c>
      <c r="H6" s="88">
        <f>IF(B$20=0,0,G6/B$20)</f>
        <v>0.42105263157894735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1742.8571428571429</v>
      </c>
      <c r="Q6" s="77">
        <v>7</v>
      </c>
      <c r="R6" s="64">
        <v>12200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</v>
      </c>
      <c r="H7" s="88">
        <f>IF(B$20=0,0,G7/B$20)</f>
        <v>0.36842105263157893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1285.7142857142858</v>
      </c>
      <c r="Q7" s="78">
        <v>7</v>
      </c>
      <c r="R7" s="65">
        <v>9000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6</v>
      </c>
      <c r="H8" s="88">
        <f>IF(B$20=0,0,G8/B$20)</f>
        <v>0.31578947368421051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0.15789473684210525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5.2631578947368418E-2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28.724999999999998</v>
      </c>
      <c r="C11" s="110">
        <v>114.89999999999999</v>
      </c>
      <c r="E11" s="27" t="s">
        <v>81</v>
      </c>
      <c r="F11" s="24" t="s">
        <v>36</v>
      </c>
      <c r="G11" s="12">
        <v>1</v>
      </c>
      <c r="H11" s="88">
        <f>IF(B$20=0,0,G11/B$20)</f>
        <v>5.2631578947368418E-2</v>
      </c>
      <c r="I11" s="58">
        <v>3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89</v>
      </c>
      <c r="F12" s="24" t="s">
        <v>44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-7.0250000000000004</v>
      </c>
      <c r="Q12" s="78">
        <v>4</v>
      </c>
      <c r="R12" s="69">
        <v>-28.1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-3.8083333333333336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0.25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13</v>
      </c>
      <c r="C16" s="10">
        <f>IF(B$3=0,0,B16/B$3)</f>
        <v>0.2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9</v>
      </c>
      <c r="C17" s="6">
        <f>IF(B$3=0,0,B17/B$3)</f>
        <v>0.13846153846153847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0.45000000000000046</v>
      </c>
      <c r="Q17" s="77">
        <v>6</v>
      </c>
      <c r="R17" s="68">
        <v>2.7000000000000028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0.76923076923076927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-36.479999999999997</v>
      </c>
      <c r="Q18" s="77">
        <v>5</v>
      </c>
      <c r="R18" s="68">
        <v>-182.39999999999998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211</v>
      </c>
      <c r="P19" s="83">
        <f>IF(Q19=0,0,R19/Q19)</f>
        <v>-44.4</v>
      </c>
      <c r="Q19" s="77">
        <v>1</v>
      </c>
      <c r="R19" s="68">
        <v>-44.4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0.29230769230769232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11</v>
      </c>
      <c r="C21" s="6">
        <f>IF(B$3=0,0,B21/B$3)</f>
        <v>0.16923076923076924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10</v>
      </c>
      <c r="C24" s="6">
        <f>IF(B$20=0,0,B24/B$20)</f>
        <v>0.52631578947368418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0.21052631578947367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5</v>
      </c>
      <c r="C26" s="6">
        <f>IF(B$20=0,0,B26/B$20)</f>
        <v>0.26315789473684209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8526.3157894736851</v>
      </c>
      <c r="C27" s="8">
        <v>162000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8720</v>
      </c>
      <c r="C28" s="96">
        <v>130800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1.5384615384615385E-2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1368-171F-4585-BDE9-E4BD1169404F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419B-B8E6-4578-B5CA-AF41D426B57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B0188-87C9-4894-85F4-DA9C7887EC0B}">
  <sheetPr codeName="Sheet24"/>
  <dimension ref="A1:Q1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2DEA6-0140-44DE-BDE5-4A272D593F70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BF506-00EF-4F64-A889-066789A7275E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0CA8-74CF-4DF4-92EB-312E8B0E0C76}">
  <sheetPr codeName="Sheet18"/>
  <dimension ref="A1:Q3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5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5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AEE92-920B-4A70-9C5A-0A59F0437585}">
  <sheetPr codeName="Sheet16"/>
  <dimension ref="A1:Q3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5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5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5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23A6E-89C4-41B9-ADF1-DF16E443D252}">
  <sheetPr codeName="Sheet14"/>
  <dimension ref="A1:Q2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5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5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5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5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A71FC-2D2D-4931-B45C-2343D01D655B}">
  <sheetPr codeName="Sheet12"/>
  <dimension ref="A1:Q3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5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5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8395-EB67-482F-ACF4-8E4B7986C530}">
  <sheetPr codeName="Sheet10"/>
  <dimension ref="A1:Q3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5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5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5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5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5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5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5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EB820-E466-4097-BF53-FC57CA425394}">
  <sheetPr codeName="Sheet8"/>
  <dimension ref="A1:Q7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5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5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5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5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5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5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5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5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5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FE85-2393-4A76-90D7-7AC96D91B1D9}">
  <sheetPr codeName="Sheet6"/>
  <dimension ref="A1:Q8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5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5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5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5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5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5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5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5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5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2020-11-14T17:25:09Z</dcterms:modified>
</cp:coreProperties>
</file>