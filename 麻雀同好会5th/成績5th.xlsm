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AC79CE26-90B6-4AAA-A63C-491355520B3B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6866" l="1"/>
  <c r="P20" i="6852"/>
  <c r="P17" i="6854" l="1"/>
  <c r="P18" i="6856"/>
  <c r="P21" i="6860"/>
  <c r="P15" i="6856"/>
  <c r="P19" i="6862" l="1"/>
  <c r="P15" i="6854"/>
  <c r="P17" i="6866" l="1"/>
  <c r="P20" i="6850"/>
  <c r="P21" i="6858" l="1"/>
  <c r="P19" i="6854"/>
  <c r="P15" i="6860" l="1"/>
  <c r="P18" i="6860"/>
  <c r="P18" i="6866"/>
  <c r="P17" i="6868"/>
  <c r="P18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8" i="6848"/>
  <c r="P19" i="6866"/>
  <c r="P16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4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7" i="6848"/>
  <c r="C19" i="6866" l="1"/>
  <c r="H26" i="6866"/>
  <c r="H31" i="6866"/>
  <c r="H17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2" i="6866"/>
  <c r="H10" i="6866"/>
  <c r="C25" i="6866"/>
  <c r="H4" i="6866"/>
  <c r="C26" i="6866"/>
  <c r="H5" i="6866"/>
  <c r="H15" i="6866"/>
  <c r="H28" i="6866"/>
  <c r="H37" i="6866"/>
  <c r="H20" i="6866"/>
  <c r="B28" i="6866"/>
  <c r="C37" i="6866"/>
  <c r="H48" i="6866"/>
  <c r="H47" i="6866"/>
  <c r="H9" i="6866"/>
  <c r="C22" i="6866"/>
  <c r="H29" i="6866"/>
  <c r="H39" i="6866"/>
  <c r="H49" i="6866"/>
  <c r="H7" i="6866"/>
  <c r="H18" i="6866"/>
  <c r="C20" i="6866"/>
  <c r="H13" i="6866"/>
  <c r="H6" i="6866"/>
  <c r="H2" i="6866"/>
  <c r="H8" i="6866"/>
  <c r="H16" i="6866"/>
  <c r="H24" i="6866"/>
  <c r="H40" i="6866"/>
  <c r="H3" i="6866"/>
  <c r="H21" i="6866"/>
  <c r="H23" i="6866"/>
  <c r="H27" i="6866"/>
  <c r="H30" i="6866"/>
  <c r="H36" i="6866"/>
  <c r="C40" i="6866"/>
  <c r="C44" i="6866"/>
  <c r="C48" i="6866"/>
  <c r="C41" i="6866"/>
  <c r="C45" i="6866"/>
  <c r="C49" i="6866"/>
  <c r="H19" i="6866"/>
  <c r="H11" i="6866"/>
  <c r="C23" i="6866"/>
  <c r="B27" i="6866"/>
  <c r="H32" i="6866"/>
  <c r="H38" i="6866"/>
  <c r="H42" i="6866"/>
  <c r="H46" i="6866"/>
  <c r="H50" i="6866"/>
  <c r="H25" i="6866"/>
  <c r="H12" i="6866"/>
  <c r="H33" i="6866"/>
  <c r="C38" i="6866"/>
  <c r="C42" i="6866"/>
  <c r="C46" i="6866"/>
  <c r="H51" i="6866"/>
  <c r="C39" i="6866"/>
  <c r="C43" i="6866"/>
  <c r="C47" i="6866"/>
  <c r="P18" i="6852" l="1"/>
  <c r="P20" i="6860"/>
  <c r="P16" i="6858"/>
  <c r="P16" i="6860"/>
  <c r="P22" i="6860"/>
  <c r="P18" i="6862"/>
  <c r="P20" i="6858"/>
  <c r="P20" i="6862"/>
  <c r="P17" i="6852"/>
  <c r="P15" i="6852"/>
  <c r="P17" i="6864" l="1"/>
  <c r="P16" i="6862"/>
  <c r="P15" i="6850"/>
  <c r="P17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7" i="6858"/>
  <c r="P15" i="6848"/>
  <c r="P16" i="6848"/>
  <c r="B14" i="6862" l="1"/>
  <c r="B14" i="6864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10" i="6862"/>
  <c r="H19" i="6862"/>
  <c r="H9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19" i="6860"/>
  <c r="P17" i="6860"/>
  <c r="C35" i="6860"/>
  <c r="B30" i="6860"/>
  <c r="C21" i="6860"/>
  <c r="B20" i="6860"/>
  <c r="H22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C24" i="6860" l="1"/>
  <c r="C39" i="6860"/>
  <c r="H46" i="6860"/>
  <c r="B14" i="6860"/>
  <c r="H23" i="6860"/>
  <c r="H11" i="6860"/>
  <c r="C19" i="6860"/>
  <c r="H6" i="6860"/>
  <c r="H12" i="6860"/>
  <c r="C47" i="6860"/>
  <c r="H13" i="6860"/>
  <c r="H42" i="6860"/>
  <c r="C40" i="6860"/>
  <c r="H14" i="6860"/>
  <c r="H49" i="6860"/>
  <c r="C45" i="6860"/>
  <c r="C48" i="6860"/>
  <c r="C20" i="6860"/>
  <c r="H2" i="6860"/>
  <c r="H28" i="6860"/>
  <c r="H37" i="6860"/>
  <c r="H21" i="6860"/>
  <c r="H19" i="6860"/>
  <c r="H25" i="6860"/>
  <c r="H17" i="6860"/>
  <c r="B28" i="6860"/>
  <c r="H38" i="6860"/>
  <c r="H44" i="6860"/>
  <c r="C49" i="6860"/>
  <c r="C25" i="6860"/>
  <c r="H31" i="6860"/>
  <c r="H10" i="6860"/>
  <c r="H18" i="6860"/>
  <c r="H8" i="6860"/>
  <c r="H7" i="6860"/>
  <c r="H27" i="6860"/>
  <c r="C22" i="6860"/>
  <c r="H32" i="6860"/>
  <c r="H39" i="6860"/>
  <c r="C43" i="6860"/>
  <c r="H4" i="6860"/>
  <c r="H20" i="6860"/>
  <c r="H3" i="6860"/>
  <c r="H36" i="6860"/>
  <c r="H24" i="6860"/>
  <c r="C26" i="6860"/>
  <c r="C41" i="6860"/>
  <c r="H5" i="6860"/>
  <c r="H26" i="6860"/>
  <c r="H29" i="6860"/>
  <c r="H33" i="6860"/>
  <c r="C37" i="6860"/>
  <c r="C44" i="6860"/>
  <c r="H52" i="6860"/>
  <c r="H48" i="6860"/>
  <c r="H16" i="6860"/>
  <c r="H41" i="6860"/>
  <c r="H45" i="6860"/>
  <c r="H50" i="6860"/>
  <c r="H15" i="6860"/>
  <c r="C23" i="6860"/>
  <c r="B27" i="6860"/>
  <c r="H34" i="6860"/>
  <c r="H40" i="6860"/>
  <c r="H43" i="6860"/>
  <c r="H47" i="6860"/>
  <c r="H51" i="6860"/>
  <c r="H30" i="6860"/>
  <c r="H9" i="6860"/>
  <c r="H35" i="6860"/>
  <c r="C38" i="6860"/>
  <c r="C42" i="6860"/>
  <c r="C46" i="6860"/>
  <c r="P19" i="6850" l="1"/>
  <c r="P16" i="6850"/>
  <c r="P19" i="6858"/>
  <c r="P22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19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7" i="6856"/>
  <c r="B14" i="6858"/>
  <c r="C19" i="6858"/>
  <c r="H4" i="6858"/>
  <c r="H15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0" i="6858"/>
  <c r="H40" i="6858"/>
  <c r="C26" i="6858"/>
  <c r="H8" i="6858"/>
  <c r="H19" i="6858"/>
  <c r="H29" i="6858"/>
  <c r="H43" i="6858"/>
  <c r="H49" i="6858"/>
  <c r="H21" i="6858"/>
  <c r="C22" i="6858"/>
  <c r="B27" i="6858"/>
  <c r="H37" i="6858"/>
  <c r="C43" i="6858"/>
  <c r="C49" i="6858"/>
  <c r="H11" i="6858"/>
  <c r="H25" i="6858"/>
  <c r="H26" i="6858"/>
  <c r="C37" i="6858"/>
  <c r="H44" i="6858"/>
  <c r="H6" i="6858"/>
  <c r="H7" i="6858"/>
  <c r="H18" i="6858"/>
  <c r="H31" i="6858"/>
  <c r="H13" i="6858"/>
  <c r="H3" i="6858"/>
  <c r="H35" i="6858"/>
  <c r="H2" i="6858"/>
  <c r="H17" i="6858"/>
  <c r="B28" i="6858"/>
  <c r="H5" i="6858"/>
  <c r="H14" i="6858"/>
  <c r="H22" i="6858"/>
  <c r="C23" i="6858"/>
  <c r="H30" i="6858"/>
  <c r="H39" i="6858"/>
  <c r="H45" i="6858"/>
  <c r="H52" i="6858"/>
  <c r="H24" i="6858"/>
  <c r="H16" i="6858"/>
  <c r="H28" i="6858"/>
  <c r="H12" i="6858"/>
  <c r="H36" i="6858"/>
  <c r="C40" i="6858"/>
  <c r="C44" i="6858"/>
  <c r="C48" i="6858"/>
  <c r="H32" i="6858"/>
  <c r="H38" i="6858"/>
  <c r="H42" i="6858"/>
  <c r="H46" i="6858"/>
  <c r="H50" i="6858"/>
  <c r="H27" i="6858"/>
  <c r="H9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6" i="6856"/>
  <c r="H15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3" i="6856"/>
  <c r="H3" i="6856"/>
  <c r="H25" i="6856"/>
  <c r="B27" i="6856"/>
  <c r="H35" i="6856"/>
  <c r="C40" i="6856"/>
  <c r="C45" i="6856"/>
  <c r="H5" i="6856"/>
  <c r="H4" i="6856"/>
  <c r="H14" i="6856"/>
  <c r="H42" i="6856"/>
  <c r="H19" i="6856"/>
  <c r="H24" i="6856"/>
  <c r="H17" i="6856"/>
  <c r="H32" i="6856"/>
  <c r="H8" i="6856"/>
  <c r="H16" i="6856"/>
  <c r="H18" i="6856"/>
  <c r="H22" i="6856"/>
  <c r="H12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6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6" i="6852"/>
  <c r="P19" i="6852"/>
  <c r="C35" i="6852"/>
  <c r="B30" i="6852"/>
  <c r="C21" i="6852"/>
  <c r="B20" i="6852"/>
  <c r="H17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1" i="6848"/>
  <c r="P21" i="6850"/>
  <c r="P18" i="6850"/>
  <c r="C35" i="6850"/>
  <c r="B30" i="6850"/>
  <c r="C21" i="6850"/>
  <c r="B20" i="6850"/>
  <c r="H13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2" i="6848"/>
  <c r="P20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4" i="6850"/>
  <c r="C19" i="6850"/>
  <c r="B14" i="6848"/>
  <c r="C19" i="6854"/>
  <c r="H31" i="6854"/>
  <c r="H6" i="6854"/>
  <c r="H10" i="6854"/>
  <c r="C20" i="6854"/>
  <c r="H17" i="6854"/>
  <c r="H18" i="6854"/>
  <c r="H37" i="6854"/>
  <c r="C41" i="6854"/>
  <c r="H46" i="6854"/>
  <c r="H52" i="6854"/>
  <c r="H27" i="6854"/>
  <c r="C25" i="6854"/>
  <c r="C37" i="6854"/>
  <c r="H42" i="6854"/>
  <c r="H47" i="6854"/>
  <c r="H21" i="6854"/>
  <c r="H24" i="6854"/>
  <c r="H30" i="6854"/>
  <c r="H32" i="6854"/>
  <c r="H38" i="6854"/>
  <c r="H43" i="6854"/>
  <c r="C47" i="6854"/>
  <c r="C24" i="6854"/>
  <c r="H41" i="6854"/>
  <c r="H23" i="6854"/>
  <c r="H7" i="6854"/>
  <c r="C26" i="6854"/>
  <c r="C43" i="6854"/>
  <c r="H4" i="6854"/>
  <c r="H25" i="6854"/>
  <c r="C22" i="6854"/>
  <c r="H19" i="6854"/>
  <c r="H34" i="6854"/>
  <c r="C39" i="6854"/>
  <c r="H44" i="6854"/>
  <c r="C48" i="6854"/>
  <c r="H3" i="6854"/>
  <c r="H36" i="6854"/>
  <c r="C45" i="6854"/>
  <c r="H2" i="6854"/>
  <c r="H14" i="6854"/>
  <c r="H8" i="6854"/>
  <c r="H26" i="6854"/>
  <c r="H13" i="6854"/>
  <c r="H20" i="6854"/>
  <c r="H39" i="6854"/>
  <c r="H48" i="6854"/>
  <c r="H5" i="6854"/>
  <c r="H12" i="6854"/>
  <c r="H22" i="6854"/>
  <c r="H28" i="6854"/>
  <c r="B27" i="6854"/>
  <c r="H35" i="6854"/>
  <c r="H40" i="6854"/>
  <c r="C44" i="6854"/>
  <c r="H49" i="6854"/>
  <c r="H11" i="6854"/>
  <c r="H16" i="6854"/>
  <c r="H15" i="6854"/>
  <c r="C23" i="6854"/>
  <c r="B28" i="6854"/>
  <c r="C40" i="6854"/>
  <c r="H45" i="6854"/>
  <c r="H50" i="6854"/>
  <c r="C49" i="6854"/>
  <c r="H29" i="6854"/>
  <c r="H9" i="6854"/>
  <c r="H33" i="6854"/>
  <c r="C38" i="6854"/>
  <c r="C42" i="6854"/>
  <c r="C46" i="6854"/>
  <c r="H12" i="6852"/>
  <c r="H37" i="6852"/>
  <c r="H42" i="6852"/>
  <c r="H48" i="6852"/>
  <c r="H18" i="6852"/>
  <c r="H11" i="6852"/>
  <c r="H23" i="6852"/>
  <c r="C25" i="6852"/>
  <c r="H44" i="6852"/>
  <c r="H49" i="6852"/>
  <c r="C20" i="6852"/>
  <c r="H38" i="6852"/>
  <c r="H9" i="6852"/>
  <c r="C37" i="6852"/>
  <c r="H24" i="6852"/>
  <c r="H29" i="6852"/>
  <c r="H32" i="6852"/>
  <c r="H39" i="6852"/>
  <c r="C43" i="6852"/>
  <c r="C48" i="6852"/>
  <c r="C47" i="6852"/>
  <c r="H21" i="6852"/>
  <c r="C26" i="6852"/>
  <c r="H50" i="6852"/>
  <c r="H30" i="6852"/>
  <c r="H26" i="6852"/>
  <c r="H33" i="6852"/>
  <c r="H7" i="6852"/>
  <c r="H16" i="6852"/>
  <c r="H25" i="6852"/>
  <c r="C22" i="6852"/>
  <c r="H20" i="6852"/>
  <c r="H35" i="6852"/>
  <c r="C39" i="6852"/>
  <c r="C44" i="6852"/>
  <c r="C49" i="6852"/>
  <c r="C24" i="6852"/>
  <c r="H31" i="6852"/>
  <c r="H27" i="6852"/>
  <c r="H40" i="6852"/>
  <c r="H4" i="6852"/>
  <c r="H28" i="6852"/>
  <c r="B27" i="6852"/>
  <c r="H36" i="6852"/>
  <c r="H41" i="6852"/>
  <c r="H46" i="6852"/>
  <c r="H5" i="6852"/>
  <c r="H3" i="6852"/>
  <c r="C41" i="6852"/>
  <c r="H2" i="6852"/>
  <c r="H13" i="6852"/>
  <c r="H45" i="6852"/>
  <c r="H6" i="6852"/>
  <c r="H14" i="6852"/>
  <c r="H22" i="6852"/>
  <c r="H15" i="6852"/>
  <c r="H10" i="6852"/>
  <c r="C23" i="6852"/>
  <c r="B28" i="6852"/>
  <c r="C40" i="6852"/>
  <c r="C45" i="6852"/>
  <c r="H52" i="6852"/>
  <c r="H43" i="6852"/>
  <c r="H47" i="6852"/>
  <c r="H51" i="6852"/>
  <c r="H19" i="6852"/>
  <c r="H8" i="6852"/>
  <c r="H34" i="6852"/>
  <c r="C38" i="6852"/>
  <c r="C42" i="6852"/>
  <c r="C46" i="6852"/>
  <c r="C19" i="6848"/>
  <c r="H14" i="6850"/>
  <c r="H6" i="6850"/>
  <c r="H46" i="6850"/>
  <c r="H11" i="6850"/>
  <c r="H23" i="6850"/>
  <c r="H21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2" i="6850"/>
  <c r="C45" i="6850"/>
  <c r="H28" i="6850"/>
  <c r="H20" i="6850"/>
  <c r="H25" i="6850"/>
  <c r="H7" i="6850"/>
  <c r="H9" i="6850"/>
  <c r="H29" i="6850"/>
  <c r="H32" i="6850"/>
  <c r="H38" i="6850"/>
  <c r="C43" i="6850"/>
  <c r="H5" i="6850"/>
  <c r="H40" i="6850"/>
  <c r="C39" i="6850"/>
  <c r="H3" i="6850"/>
  <c r="H35" i="6850"/>
  <c r="H2" i="6850"/>
  <c r="H15" i="6850"/>
  <c r="H4" i="6850"/>
  <c r="H26" i="6850"/>
  <c r="C24" i="6850"/>
  <c r="H17" i="6850"/>
  <c r="C37" i="6850"/>
  <c r="C44" i="6850"/>
  <c r="H52" i="6850"/>
  <c r="H41" i="6850"/>
  <c r="H45" i="6850"/>
  <c r="H49" i="6850"/>
  <c r="C48" i="6850"/>
  <c r="H18" i="6850"/>
  <c r="H16" i="6850"/>
  <c r="C23" i="6850"/>
  <c r="B27" i="6850"/>
  <c r="H33" i="6850"/>
  <c r="H39" i="6850"/>
  <c r="H43" i="6850"/>
  <c r="H47" i="6850"/>
  <c r="H51" i="6850"/>
  <c r="H22" i="6850"/>
  <c r="H10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3" i="6848"/>
  <c r="B28" i="6848"/>
  <c r="H36" i="6848"/>
  <c r="H41" i="6848"/>
  <c r="H44" i="6848"/>
  <c r="H48" i="6848"/>
  <c r="H5" i="6848"/>
  <c r="H31" i="6848"/>
  <c r="H13" i="6848"/>
  <c r="H34" i="6848"/>
  <c r="H37" i="6848"/>
  <c r="C39" i="6848"/>
  <c r="C43" i="6848"/>
  <c r="C47" i="6848"/>
  <c r="H52" i="6848"/>
  <c r="H20" i="6848"/>
  <c r="H29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30" i="6848"/>
  <c r="H15" i="6848"/>
  <c r="H33" i="6848"/>
  <c r="H17" i="6848"/>
  <c r="H38" i="6848"/>
  <c r="C40" i="6848"/>
  <c r="C44" i="6848"/>
  <c r="C48" i="6848"/>
  <c r="H4" i="6848"/>
  <c r="H24" i="6848"/>
  <c r="C22" i="6848"/>
  <c r="C26" i="6848"/>
  <c r="H39" i="6848"/>
  <c r="H27" i="6848"/>
  <c r="H46" i="6848"/>
  <c r="H50" i="6848"/>
  <c r="H6" i="6848"/>
  <c r="H12" i="6848"/>
  <c r="H28" i="6848"/>
  <c r="H32" i="6848"/>
  <c r="H22" i="6848"/>
  <c r="H25" i="6848"/>
  <c r="C37" i="6848"/>
  <c r="C41" i="6848"/>
  <c r="C45" i="6848"/>
  <c r="C49" i="6848"/>
  <c r="H11" i="6848"/>
  <c r="H16" i="6848"/>
  <c r="H14" i="6848"/>
  <c r="C23" i="6848"/>
  <c r="B27" i="6848"/>
  <c r="H26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<sst xmlns="http://schemas.openxmlformats.org/spreadsheetml/2006/main" count="2944" uniqueCount="242">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</sst>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全体!$K$2:$K$215</c:f>
              <c:numCache>
                <c:formatCode>General</c:formatCode>
                <c:ptCount val="2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</c:numCache>
            </c:numRef>
          </c:xVal>
          <c:yVal>
            <c:numRef>
              <c:f>全体!$L$2:$L$215</c:f>
              <c:numCache>
                <c:formatCode>\+0.0;\-0.0;\±0</c:formatCode>
                <c:ptCount val="214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-42.25352112676056</c:v>
                </c:pt>
                <c:pt idx="1">
                  <c:v>43.478260869565219</c:v>
                </c:pt>
                <c:pt idx="2">
                  <c:v>-28.571428571428573</c:v>
                </c:pt>
                <c:pt idx="3">
                  <c:v>10.256410256410257</c:v>
                </c:pt>
                <c:pt idx="4">
                  <c:v>5.6497175141242941</c:v>
                </c:pt>
                <c:pt idx="5">
                  <c:v>20.833333333333332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45</c:v>
                </c:pt>
                <c:pt idx="1">
                  <c:v>107</c:v>
                </c:pt>
                <c:pt idx="2">
                  <c:v>102</c:v>
                </c:pt>
                <c:pt idx="3">
                  <c:v>89</c:v>
                </c:pt>
                <c:pt idx="4">
                  <c:v>68</c:v>
                </c:pt>
                <c:pt idx="5">
                  <c:v>49</c:v>
                </c:pt>
                <c:pt idx="6">
                  <c:v>28</c:v>
                </c:pt>
                <c:pt idx="7">
                  <c:v>15</c:v>
                </c:pt>
                <c:pt idx="8">
                  <c:v>11</c:v>
                </c:pt>
                <c:pt idx="9">
                  <c:v>7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全体!$K$2:$K$215</c:f>
              <c:numCache>
                <c:formatCode>General</c:formatCode>
                <c:ptCount val="2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</c:numCache>
            </c:numRef>
          </c:xVal>
          <c:yVal>
            <c:numRef>
              <c:f>全体!$M$2:$M$215</c:f>
              <c:numCache>
                <c:formatCode>0</c:formatCode>
                <c:ptCount val="214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だいち!$L$2:$L$59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815.78947368421052</c:v>
                </c:pt>
                <c:pt idx="1">
                  <c:v>-816.36363636363637</c:v>
                </c:pt>
                <c:pt idx="2">
                  <c:v>-980.35714285714289</c:v>
                </c:pt>
                <c:pt idx="3">
                  <c:v>164.15094339622641</c:v>
                </c:pt>
                <c:pt idx="4">
                  <c:v>-404.16666666666669</c:v>
                </c:pt>
                <c:pt idx="5">
                  <c:v>-1023.6842105263158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7</c:v>
                </c:pt>
                <c:pt idx="1">
                  <c:v>24</c:v>
                </c:pt>
                <c:pt idx="2">
                  <c:v>35</c:v>
                </c:pt>
                <c:pt idx="3">
                  <c:v>20</c:v>
                </c:pt>
                <c:pt idx="4">
                  <c:v>22</c:v>
                </c:pt>
                <c:pt idx="5">
                  <c:v>18</c:v>
                </c:pt>
                <c:pt idx="6">
                  <c:v>8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だいち!$M$2:$M$59</c:f>
              <c:numCache>
                <c:formatCode>0</c:formatCode>
                <c:ptCount val="58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れんたろう!$L$2:$L$28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2015.3846153846155</c:v>
                </c:pt>
                <c:pt idx="1">
                  <c:v>-2392</c:v>
                </c:pt>
                <c:pt idx="2">
                  <c:v>-192</c:v>
                </c:pt>
                <c:pt idx="3">
                  <c:v>545.83333333333337</c:v>
                </c:pt>
                <c:pt idx="4">
                  <c:v>223.8095238095238</c:v>
                </c:pt>
                <c:pt idx="5">
                  <c:v>-268.75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11</c:v>
                </c:pt>
                <c:pt idx="3">
                  <c:v>11</c:v>
                </c:pt>
                <c:pt idx="4">
                  <c:v>13</c:v>
                </c:pt>
                <c:pt idx="5">
                  <c:v>8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れんたろう!$M$2:$M$28</c:f>
              <c:numCache>
                <c:formatCode>0</c:formatCode>
                <c:ptCount val="27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510.71428571428572</c:v>
                </c:pt>
                <c:pt idx="1">
                  <c:v>-478.57142857142856</c:v>
                </c:pt>
                <c:pt idx="2">
                  <c:v>1278.5714285714287</c:v>
                </c:pt>
                <c:pt idx="3">
                  <c:v>214.28571428571428</c:v>
                </c:pt>
                <c:pt idx="4">
                  <c:v>-1346.4285714285713</c:v>
                </c:pt>
                <c:pt idx="5">
                  <c:v>1335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21</c:v>
                </c:pt>
                <c:pt idx="2">
                  <c:v>11</c:v>
                </c:pt>
                <c:pt idx="3">
                  <c:v>16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たかの!$M$2:$M$30</c:f>
              <c:numCache>
                <c:formatCode>0</c:formatCode>
                <c:ptCount val="2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いちかわ!$L$2:$L$28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-992.30769230769226</c:v>
                </c:pt>
                <c:pt idx="1">
                  <c:v>826.92307692307691</c:v>
                </c:pt>
                <c:pt idx="2">
                  <c:v>2288.4615384615386</c:v>
                </c:pt>
                <c:pt idx="3">
                  <c:v>108.69565217391305</c:v>
                </c:pt>
                <c:pt idx="4">
                  <c:v>1405.2631578947369</c:v>
                </c:pt>
                <c:pt idx="5">
                  <c:v>1672.2222222222222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10</c:v>
                </c:pt>
                <c:pt idx="3">
                  <c:v>9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いちかわ!$M$2:$M$28</c:f>
              <c:numCache>
                <c:formatCode>0</c:formatCode>
                <c:ptCount val="27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ただ!$L$2:$L$36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-208.8235294117647</c:v>
                </c:pt>
                <c:pt idx="1">
                  <c:v>2331.25</c:v>
                </c:pt>
                <c:pt idx="2">
                  <c:v>145.45454545454547</c:v>
                </c:pt>
                <c:pt idx="3">
                  <c:v>1220</c:v>
                </c:pt>
                <c:pt idx="4">
                  <c:v>1889.2857142857142</c:v>
                </c:pt>
                <c:pt idx="5">
                  <c:v>-59.090909090909093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24</c:v>
                </c:pt>
                <c:pt idx="3">
                  <c:v>15</c:v>
                </c:pt>
                <c:pt idx="4">
                  <c:v>14</c:v>
                </c:pt>
                <c:pt idx="5">
                  <c:v>3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ただ!$M$2:$M$36</c:f>
              <c:numCache>
                <c:formatCode>0</c:formatCode>
                <c:ptCount val="35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-5575</c:v>
                </c:pt>
                <c:pt idx="1">
                  <c:v>6157.1428571428569</c:v>
                </c:pt>
                <c:pt idx="2">
                  <c:v>-1325</c:v>
                </c:pt>
                <c:pt idx="3">
                  <c:v>-3500</c:v>
                </c:pt>
                <c:pt idx="4">
                  <c:v>1742.8571428571429</c:v>
                </c:pt>
                <c:pt idx="5">
                  <c:v>1285.7142857142858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りくと!$M$2:$M$10</c:f>
              <c:numCache>
                <c:formatCode>0</c:formatCode>
                <c:ptCount val="9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りくと2!$B$3:$B$11</c:f>
              <c:numCache>
                <c:formatCode>\+0.0;\-0.0;\±0</c:formatCode>
                <c:ptCount val="9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りくと2!$C$3:$C$11</c:f>
              <c:numCache>
                <c:formatCode>\+0.0;\-0.0;\±0</c:formatCode>
                <c:ptCount val="9"/>
                <c:pt idx="1">
                  <c:v>-24.2</c:v>
                </c:pt>
                <c:pt idx="2">
                  <c:v>-3.0999999999999996</c:v>
                </c:pt>
                <c:pt idx="3">
                  <c:v>6.0333333333333341</c:v>
                </c:pt>
                <c:pt idx="4">
                  <c:v>-3.6749999999999989</c:v>
                </c:pt>
                <c:pt idx="5">
                  <c:v>-13.36</c:v>
                </c:pt>
                <c:pt idx="6">
                  <c:v>-19.716666666666665</c:v>
                </c:pt>
                <c:pt idx="7">
                  <c:v>-12.342857142857143</c:v>
                </c:pt>
                <c:pt idx="8">
                  <c:v>-5.7125000000000004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007644165635214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りくと2!$D$3:$D$11</c:f>
              <c:numCache>
                <c:formatCode>0.00\ "位"</c:formatCode>
                <c:ptCount val="9"/>
                <c:pt idx="1">
                  <c:v>3</c:v>
                </c:pt>
                <c:pt idx="2">
                  <c:v>2</c:v>
                </c:pt>
                <c:pt idx="3">
                  <c:v>1.6666666666666667</c:v>
                </c:pt>
                <c:pt idx="4">
                  <c:v>2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305164319248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りくと2!$E$3:$E$11</c:f>
              <c:numCache>
                <c:formatCode>0.0%</c:formatCode>
                <c:ptCount val="9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802816901408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りくと2!$F$3:$F$11</c:f>
              <c:numCache>
                <c:formatCode>0.0%</c:formatCode>
                <c:ptCount val="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りくと2!$G$3:$G$11</c:f>
              <c:numCache>
                <c:formatCode>0.0%</c:formatCode>
                <c:ptCount val="9"/>
                <c:pt idx="1">
                  <c:v>0.2</c:v>
                </c:pt>
                <c:pt idx="2">
                  <c:v>0.27777777777777779</c:v>
                </c:pt>
                <c:pt idx="3">
                  <c:v>0.29166666666666669</c:v>
                </c:pt>
                <c:pt idx="4">
                  <c:v>0.25</c:v>
                </c:pt>
                <c:pt idx="5">
                  <c:v>0.25</c:v>
                </c:pt>
                <c:pt idx="6">
                  <c:v>0.22448979591836735</c:v>
                </c:pt>
                <c:pt idx="7">
                  <c:v>0.26315789473684209</c:v>
                </c:pt>
                <c:pt idx="8">
                  <c:v>0.29230769230769232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756967670011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りくと2!$H$3:$H$11</c:f>
              <c:numCache>
                <c:formatCode>0.0%</c:formatCode>
                <c:ptCount val="9"/>
                <c:pt idx="1">
                  <c:v>0.1</c:v>
                </c:pt>
                <c:pt idx="2">
                  <c:v>0.16666666666666666</c:v>
                </c:pt>
                <c:pt idx="3">
                  <c:v>0.20833333333333334</c:v>
                </c:pt>
                <c:pt idx="4">
                  <c:v>0.1388888888888889</c:v>
                </c:pt>
                <c:pt idx="5">
                  <c:v>0.15</c:v>
                </c:pt>
                <c:pt idx="6">
                  <c:v>0.18367346938775511</c:v>
                </c:pt>
                <c:pt idx="7">
                  <c:v>0.17543859649122806</c:v>
                </c:pt>
                <c:pt idx="8">
                  <c:v>0.16923076923076924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109253065774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りくと2!$I$3:$I$11</c:f>
              <c:numCache>
                <c:formatCode>0</c:formatCode>
                <c:ptCount val="9"/>
                <c:pt idx="1">
                  <c:v>4400</c:v>
                </c:pt>
                <c:pt idx="2">
                  <c:v>7460</c:v>
                </c:pt>
                <c:pt idx="3">
                  <c:v>9314.2857142857138</c:v>
                </c:pt>
                <c:pt idx="4">
                  <c:v>9022.2222222222226</c:v>
                </c:pt>
                <c:pt idx="5">
                  <c:v>8330</c:v>
                </c:pt>
                <c:pt idx="6">
                  <c:v>8272.7272727272721</c:v>
                </c:pt>
                <c:pt idx="7">
                  <c:v>7946.666666666667</c:v>
                </c:pt>
                <c:pt idx="8">
                  <c:v>8526.3157894736851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64.70588235294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りくと2!$J$3:$J$11</c:f>
              <c:numCache>
                <c:formatCode>0</c:formatCode>
                <c:ptCount val="9"/>
                <c:pt idx="1">
                  <c:v>-1300</c:v>
                </c:pt>
                <c:pt idx="2">
                  <c:v>-5766.666666666667</c:v>
                </c:pt>
                <c:pt idx="3">
                  <c:v>-6380</c:v>
                </c:pt>
                <c:pt idx="4">
                  <c:v>-6380</c:v>
                </c:pt>
                <c:pt idx="5">
                  <c:v>-5966.666666666667</c:v>
                </c:pt>
                <c:pt idx="6">
                  <c:v>-7666.666666666667</c:v>
                </c:pt>
                <c:pt idx="7">
                  <c:v>-7480</c:v>
                </c:pt>
                <c:pt idx="8">
                  <c:v>-7154.545454545455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332.88590604026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りくと2!$K$3:$K$11</c:f>
              <c:numCache>
                <c:formatCode>0.0%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981220657276995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りくと2!$L$3:$L$11</c:f>
              <c:numCache>
                <c:formatCode>0.0%</c:formatCode>
                <c:ptCount val="9"/>
                <c:pt idx="1">
                  <c:v>0.1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0.20408163265306123</c:v>
                </c:pt>
                <c:pt idx="7">
                  <c:v>0.21052631578947367</c:v>
                </c:pt>
                <c:pt idx="8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261984392419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りくと2!$M$3:$M$11</c:f>
              <c:numCache>
                <c:formatCode>0.0%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8.3333333333333329E-2</c:v>
                </c:pt>
                <c:pt idx="4">
                  <c:v>5.5555555555555552E-2</c:v>
                </c:pt>
                <c:pt idx="5">
                  <c:v>0.05</c:v>
                </c:pt>
                <c:pt idx="6">
                  <c:v>6.1224489795918366E-2</c:v>
                </c:pt>
                <c:pt idx="7">
                  <c:v>0.10526315789473684</c:v>
                </c:pt>
                <c:pt idx="8">
                  <c:v>0.13846153846153847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4671125975473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りくと2!$N$3:$N$11</c:f>
              <c:numCache>
                <c:formatCode>0.0%</c:formatCode>
                <c:ptCount val="9"/>
                <c:pt idx="1">
                  <c:v>1</c:v>
                </c:pt>
                <c:pt idx="2">
                  <c:v>1</c:v>
                </c:pt>
                <c:pt idx="3">
                  <c:v>0.83333333333333337</c:v>
                </c:pt>
                <c:pt idx="4">
                  <c:v>0.77777777777777779</c:v>
                </c:pt>
                <c:pt idx="5">
                  <c:v>0.7</c:v>
                </c:pt>
                <c:pt idx="6">
                  <c:v>0.7</c:v>
                </c:pt>
                <c:pt idx="7">
                  <c:v>0.75</c:v>
                </c:pt>
                <c:pt idx="8">
                  <c:v>0.76923076923076927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04545454545454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りくと2!$O$3:$O$11</c:f>
              <c:numCache>
                <c:formatCode>0.0%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0.66666666666666663</c:v>
                </c:pt>
                <c:pt idx="7">
                  <c:v>0.33333333333333331</c:v>
                </c:pt>
                <c:pt idx="8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7553444180522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りくと2!$A$3:$A$11</c:f>
              <c:numCache>
                <c:formatCode>0\ "回"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りくと2!$P$3:$P$11</c:f>
              <c:numCache>
                <c:formatCode>0.0%</c:formatCode>
                <c:ptCount val="9"/>
                <c:pt idx="1">
                  <c:v>1</c:v>
                </c:pt>
                <c:pt idx="2">
                  <c:v>0.8</c:v>
                </c:pt>
                <c:pt idx="3">
                  <c:v>0.7142857142857143</c:v>
                </c:pt>
                <c:pt idx="4">
                  <c:v>0.77777777777777779</c:v>
                </c:pt>
                <c:pt idx="5">
                  <c:v>0.8</c:v>
                </c:pt>
                <c:pt idx="6">
                  <c:v>0.72727272727272729</c:v>
                </c:pt>
                <c:pt idx="7">
                  <c:v>0.6</c:v>
                </c:pt>
                <c:pt idx="8">
                  <c:v>0.47368421052631576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740037950664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27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7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7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7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7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7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7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7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7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7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7" x14ac:dyDescent="0.45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7" x14ac:dyDescent="0.45">
      <c r="A27" s="2" t="s">
        <v>241</v>
      </c>
      <c r="B27" s="3">
        <v>44145.85533564815</v>
      </c>
      <c r="C27" s="2" t="s">
        <v>127</v>
      </c>
      <c r="D27" s="2" t="s">
        <v>188</v>
      </c>
      <c r="E27" s="2" t="s">
        <v>191</v>
      </c>
      <c r="F27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57</v>
      </c>
      <c r="C2" s="120">
        <v>1842.3339395535957</v>
      </c>
    </row>
    <row r="3" spans="1:3" x14ac:dyDescent="0.45">
      <c r="A3" t="s">
        <v>163</v>
      </c>
      <c r="B3" s="120">
        <v>26</v>
      </c>
      <c r="C3" s="120">
        <v>1653.1699313523677</v>
      </c>
    </row>
    <row r="4" spans="1:3" x14ac:dyDescent="0.45">
      <c r="A4" t="s">
        <v>139</v>
      </c>
      <c r="B4" s="120">
        <v>213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34</v>
      </c>
      <c r="C6" s="120">
        <v>1517.1288342047803</v>
      </c>
    </row>
    <row r="7" spans="1:3" x14ac:dyDescent="0.45">
      <c r="A7" t="s">
        <v>211</v>
      </c>
      <c r="B7" s="120">
        <v>26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28</v>
      </c>
      <c r="C10" s="120">
        <v>1433.30445236539</v>
      </c>
    </row>
    <row r="11" spans="1:3" x14ac:dyDescent="0.45">
      <c r="A11" t="s">
        <v>195</v>
      </c>
      <c r="B11" s="120">
        <v>8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5">
      <c r="A2" s="36" t="s">
        <v>208</v>
      </c>
      <c r="B2" s="143">
        <v>0.80782420842615577</v>
      </c>
      <c r="C2" s="144"/>
      <c r="D2" s="143">
        <v>-5.4963602718488762E-2</v>
      </c>
      <c r="E2" s="144"/>
      <c r="F2" s="143">
        <v>0.11760320161659338</v>
      </c>
      <c r="G2" s="144"/>
      <c r="H2" s="145"/>
      <c r="I2" s="146"/>
      <c r="J2" s="143">
        <v>-2.0935818281847422E-2</v>
      </c>
      <c r="K2" s="144"/>
      <c r="L2" s="143">
        <v>-3.3370933948421266E-3</v>
      </c>
      <c r="M2" s="144"/>
      <c r="N2" s="143">
        <v>-4.6941856365073642E-2</v>
      </c>
      <c r="O2" s="144"/>
      <c r="P2" s="143">
        <v>0.24800199552582119</v>
      </c>
      <c r="Q2" s="144"/>
      <c r="R2" s="143">
        <v>-0.17702786826383801</v>
      </c>
      <c r="S2" s="144"/>
      <c r="T2" s="143">
        <v>0.68555691144324538</v>
      </c>
      <c r="U2" s="144"/>
      <c r="V2" s="143">
        <v>-8.4222871729101326E-2</v>
      </c>
      <c r="W2" s="144"/>
      <c r="X2" s="143">
        <v>-0.26594830419174853</v>
      </c>
      <c r="Y2" s="144"/>
      <c r="Z2" s="143">
        <v>8.4943274923076323E-2</v>
      </c>
      <c r="AA2" s="144"/>
      <c r="AB2" s="143">
        <v>-0.11309700909128126</v>
      </c>
      <c r="AC2" s="144"/>
      <c r="AD2" s="143">
        <v>0.23024516886963703</v>
      </c>
      <c r="AE2" s="144"/>
      <c r="AF2" s="143">
        <v>0.16294186781403278</v>
      </c>
      <c r="AG2" s="144"/>
      <c r="AH2" s="143">
        <v>0.18157446019182666</v>
      </c>
      <c r="AI2" s="144"/>
      <c r="AJ2" s="143">
        <v>0.91356760177248353</v>
      </c>
      <c r="AK2" s="144"/>
    </row>
    <row r="3" spans="1:37" x14ac:dyDescent="0.45">
      <c r="A3" s="38">
        <v>1</v>
      </c>
      <c r="B3" s="41" t="s">
        <v>139</v>
      </c>
      <c r="C3" s="113">
        <v>71</v>
      </c>
      <c r="D3" s="39" t="s">
        <v>192</v>
      </c>
      <c r="E3" s="40">
        <v>320.7</v>
      </c>
      <c r="F3" s="41" t="s">
        <v>192</v>
      </c>
      <c r="G3" s="60">
        <v>9.4323529411764699</v>
      </c>
      <c r="H3" s="41" t="s">
        <v>126</v>
      </c>
      <c r="I3" s="45">
        <v>1757.111611638225</v>
      </c>
      <c r="J3" s="41" t="s">
        <v>192</v>
      </c>
      <c r="K3" s="42">
        <v>1.7058823529411764</v>
      </c>
      <c r="L3" s="41" t="s">
        <v>192</v>
      </c>
      <c r="M3" s="43">
        <v>0.5</v>
      </c>
      <c r="N3" s="41" t="s">
        <v>192</v>
      </c>
      <c r="O3" s="43">
        <v>0.20588235294117646</v>
      </c>
      <c r="P3" s="41" t="s">
        <v>192</v>
      </c>
      <c r="Q3" s="44">
        <v>0.34448160535117056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189</v>
      </c>
      <c r="AA3" s="44">
        <v>0.27450980392156865</v>
      </c>
      <c r="AB3" s="41" t="s">
        <v>189</v>
      </c>
      <c r="AC3" s="44">
        <v>0.29803921568627451</v>
      </c>
      <c r="AD3" s="41" t="s">
        <v>195</v>
      </c>
      <c r="AE3" s="44">
        <v>0.76923076923076927</v>
      </c>
      <c r="AF3" s="41" t="s">
        <v>211</v>
      </c>
      <c r="AG3" s="44">
        <v>0.51020408163265307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57</v>
      </c>
      <c r="D4" s="47" t="s">
        <v>211</v>
      </c>
      <c r="E4" s="48">
        <v>123.09999999999998</v>
      </c>
      <c r="F4" s="49" t="s">
        <v>211</v>
      </c>
      <c r="G4" s="61">
        <v>4.7346153846153838</v>
      </c>
      <c r="H4" s="49" t="s">
        <v>163</v>
      </c>
      <c r="I4" s="53">
        <v>1635.4381044902418</v>
      </c>
      <c r="J4" s="49" t="s">
        <v>211</v>
      </c>
      <c r="K4" s="50">
        <v>1.8846153846153846</v>
      </c>
      <c r="L4" s="49" t="s">
        <v>195</v>
      </c>
      <c r="M4" s="51">
        <v>0.5</v>
      </c>
      <c r="N4" s="49" t="s">
        <v>189</v>
      </c>
      <c r="O4" s="51">
        <v>0.2857142857142857</v>
      </c>
      <c r="P4" s="49" t="s">
        <v>211</v>
      </c>
      <c r="Q4" s="52">
        <v>0.31862745098039214</v>
      </c>
      <c r="R4" s="49" t="s">
        <v>192</v>
      </c>
      <c r="S4" s="52">
        <v>0.13043478260869565</v>
      </c>
      <c r="T4" s="49" t="s">
        <v>163</v>
      </c>
      <c r="U4" s="53">
        <v>8891.5254237288136</v>
      </c>
      <c r="V4" s="49" t="s">
        <v>126</v>
      </c>
      <c r="W4" s="53">
        <v>-6837.5</v>
      </c>
      <c r="X4" s="49" t="s">
        <v>193</v>
      </c>
      <c r="Y4" s="51">
        <v>0</v>
      </c>
      <c r="Z4" s="49" t="s">
        <v>190</v>
      </c>
      <c r="AA4" s="52">
        <v>0.27272727272727271</v>
      </c>
      <c r="AB4" s="49" t="s">
        <v>193</v>
      </c>
      <c r="AC4" s="52">
        <v>0.2857142857142857</v>
      </c>
      <c r="AD4" s="49" t="s">
        <v>211</v>
      </c>
      <c r="AE4" s="52">
        <v>0.56818181818181823</v>
      </c>
      <c r="AF4" s="49" t="s">
        <v>192</v>
      </c>
      <c r="AG4" s="52">
        <v>0.47435897435897434</v>
      </c>
      <c r="AH4" s="49" t="s">
        <v>189</v>
      </c>
      <c r="AI4" s="52">
        <v>0.48717948717948717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34</v>
      </c>
      <c r="D5" s="47" t="s">
        <v>189</v>
      </c>
      <c r="E5" s="48">
        <v>61.199999999999989</v>
      </c>
      <c r="F5" s="49" t="s">
        <v>189</v>
      </c>
      <c r="G5" s="61">
        <v>2.1857142857142855</v>
      </c>
      <c r="H5" s="49" t="s">
        <v>139</v>
      </c>
      <c r="I5" s="53">
        <v>1599.4369374325906</v>
      </c>
      <c r="J5" s="49" t="s">
        <v>189</v>
      </c>
      <c r="K5" s="50">
        <v>1.8928571428571428</v>
      </c>
      <c r="L5" s="49" t="s">
        <v>211</v>
      </c>
      <c r="M5" s="51">
        <v>0.42307692307692307</v>
      </c>
      <c r="N5" s="49" t="s">
        <v>190</v>
      </c>
      <c r="O5" s="51">
        <v>0.3</v>
      </c>
      <c r="P5" s="49" t="s">
        <v>189</v>
      </c>
      <c r="Q5" s="52">
        <v>0.30588235294117649</v>
      </c>
      <c r="R5" s="49" t="s">
        <v>211</v>
      </c>
      <c r="S5" s="52">
        <v>0.14705882352941177</v>
      </c>
      <c r="T5" s="49" t="s">
        <v>195</v>
      </c>
      <c r="U5" s="53">
        <v>8526.3157894736851</v>
      </c>
      <c r="V5" s="49" t="s">
        <v>211</v>
      </c>
      <c r="W5" s="53">
        <v>-6940</v>
      </c>
      <c r="X5" s="49" t="s">
        <v>221</v>
      </c>
      <c r="Y5" s="51">
        <v>0</v>
      </c>
      <c r="Z5" s="49" t="s">
        <v>126</v>
      </c>
      <c r="AA5" s="52">
        <v>0.25786163522012578</v>
      </c>
      <c r="AB5" s="49" t="s">
        <v>221</v>
      </c>
      <c r="AC5" s="52">
        <v>0.27777777777777779</v>
      </c>
      <c r="AD5" s="49" t="s">
        <v>126</v>
      </c>
      <c r="AE5" s="52">
        <v>0.54471544715447151</v>
      </c>
      <c r="AF5" s="49" t="s">
        <v>195</v>
      </c>
      <c r="AG5" s="52">
        <v>0.44444444444444442</v>
      </c>
      <c r="AH5" s="49" t="s">
        <v>195</v>
      </c>
      <c r="AI5" s="52">
        <v>0.47368421052631576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189</v>
      </c>
      <c r="C6" s="114">
        <v>28</v>
      </c>
      <c r="D6" s="47" t="s">
        <v>139</v>
      </c>
      <c r="E6" s="48">
        <v>2.1316282072803006E-14</v>
      </c>
      <c r="F6" s="49" t="s">
        <v>139</v>
      </c>
      <c r="G6" s="61">
        <v>1.0007644165635214E-16</v>
      </c>
      <c r="H6" s="49" t="s">
        <v>192</v>
      </c>
      <c r="I6" s="53">
        <v>1587.2015837819306</v>
      </c>
      <c r="J6" s="49" t="s">
        <v>139</v>
      </c>
      <c r="K6" s="50">
        <v>1.9953051643192488</v>
      </c>
      <c r="L6" s="49" t="s">
        <v>189</v>
      </c>
      <c r="M6" s="51">
        <v>0.39285714285714285</v>
      </c>
      <c r="N6" s="49" t="s">
        <v>211</v>
      </c>
      <c r="O6" s="51">
        <v>0.30769230769230771</v>
      </c>
      <c r="P6" s="49" t="s">
        <v>126</v>
      </c>
      <c r="Q6" s="52">
        <v>0.2976939203354298</v>
      </c>
      <c r="R6" s="49" t="s">
        <v>139</v>
      </c>
      <c r="S6" s="52">
        <v>0.16610925306577481</v>
      </c>
      <c r="T6" s="49" t="s">
        <v>126</v>
      </c>
      <c r="U6" s="53">
        <v>8437.3239436619715</v>
      </c>
      <c r="V6" s="49" t="s">
        <v>195</v>
      </c>
      <c r="W6" s="53">
        <v>-7154.545454545455</v>
      </c>
      <c r="X6" s="49" t="s">
        <v>189</v>
      </c>
      <c r="Y6" s="51">
        <v>3.5714285714285712E-2</v>
      </c>
      <c r="Z6" s="49" t="s">
        <v>193</v>
      </c>
      <c r="AA6" s="52">
        <v>0.25714285714285712</v>
      </c>
      <c r="AB6" s="49" t="s">
        <v>192</v>
      </c>
      <c r="AC6" s="52">
        <v>0.2608695652173913</v>
      </c>
      <c r="AD6" s="49" t="s">
        <v>190</v>
      </c>
      <c r="AE6" s="52">
        <v>0.52380952380952384</v>
      </c>
      <c r="AF6" s="49" t="s">
        <v>190</v>
      </c>
      <c r="AG6" s="52">
        <v>0.4375</v>
      </c>
      <c r="AH6" s="49" t="s">
        <v>163</v>
      </c>
      <c r="AI6" s="52">
        <v>0.4576271186440678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163</v>
      </c>
      <c r="C7" s="114">
        <v>26</v>
      </c>
      <c r="D7" s="47" t="s">
        <v>221</v>
      </c>
      <c r="E7" s="48">
        <v>-13.5</v>
      </c>
      <c r="F7" s="49" t="s">
        <v>126</v>
      </c>
      <c r="G7" s="61">
        <v>-1.3035087719298253</v>
      </c>
      <c r="H7" s="49" t="s">
        <v>211</v>
      </c>
      <c r="I7" s="53">
        <v>1522.6913378373931</v>
      </c>
      <c r="J7" s="49" t="s">
        <v>195</v>
      </c>
      <c r="K7" s="50">
        <v>2</v>
      </c>
      <c r="L7" s="49" t="s">
        <v>139</v>
      </c>
      <c r="M7" s="51">
        <v>0.3380281690140845</v>
      </c>
      <c r="N7" s="49" t="s">
        <v>139</v>
      </c>
      <c r="O7" s="51">
        <v>0.33333333333333331</v>
      </c>
      <c r="P7" s="49" t="s">
        <v>139</v>
      </c>
      <c r="Q7" s="52">
        <v>0.29375696767001114</v>
      </c>
      <c r="R7" s="49" t="s">
        <v>221</v>
      </c>
      <c r="S7" s="52">
        <v>0.16666666666666666</v>
      </c>
      <c r="T7" s="49" t="s">
        <v>193</v>
      </c>
      <c r="U7" s="53">
        <v>8212.5</v>
      </c>
      <c r="V7" s="49" t="s">
        <v>139</v>
      </c>
      <c r="W7" s="53">
        <v>-7332.8859060402683</v>
      </c>
      <c r="X7" s="49" t="s">
        <v>192</v>
      </c>
      <c r="Y7" s="51">
        <v>5.8823529411764705E-2</v>
      </c>
      <c r="Z7" s="49" t="s">
        <v>163</v>
      </c>
      <c r="AA7" s="52">
        <v>0.2544642857142857</v>
      </c>
      <c r="AB7" s="49" t="s">
        <v>211</v>
      </c>
      <c r="AC7" s="52">
        <v>0.24019607843137256</v>
      </c>
      <c r="AD7" s="49" t="s">
        <v>192</v>
      </c>
      <c r="AE7" s="52">
        <v>0.52238805970149249</v>
      </c>
      <c r="AF7" s="49" t="s">
        <v>139</v>
      </c>
      <c r="AG7" s="52">
        <v>0.42755344418052255</v>
      </c>
      <c r="AH7" s="49" t="s">
        <v>126</v>
      </c>
      <c r="AI7" s="52">
        <v>0.44366197183098594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211</v>
      </c>
      <c r="C8" s="114">
        <v>26</v>
      </c>
      <c r="D8" s="47" t="s">
        <v>195</v>
      </c>
      <c r="E8" s="48">
        <v>-45.7</v>
      </c>
      <c r="F8" s="49" t="s">
        <v>163</v>
      </c>
      <c r="G8" s="61">
        <v>-3.2500000000000004</v>
      </c>
      <c r="H8" s="49" t="s">
        <v>190</v>
      </c>
      <c r="I8" s="53">
        <v>1519.2183815819624</v>
      </c>
      <c r="J8" s="49" t="s">
        <v>163</v>
      </c>
      <c r="K8" s="50">
        <v>2.0384615384615383</v>
      </c>
      <c r="L8" s="49" t="s">
        <v>163</v>
      </c>
      <c r="M8" s="51">
        <v>0.30769230769230771</v>
      </c>
      <c r="N8" s="49" t="s">
        <v>163</v>
      </c>
      <c r="O8" s="51">
        <v>0.34615384615384615</v>
      </c>
      <c r="P8" s="49" t="s">
        <v>195</v>
      </c>
      <c r="Q8" s="52">
        <v>0.29230769230769232</v>
      </c>
      <c r="R8" s="49" t="s">
        <v>195</v>
      </c>
      <c r="S8" s="52">
        <v>0.16923076923076924</v>
      </c>
      <c r="T8" s="49" t="s">
        <v>139</v>
      </c>
      <c r="U8" s="53">
        <v>8064.7058823529414</v>
      </c>
      <c r="V8" s="49" t="s">
        <v>192</v>
      </c>
      <c r="W8" s="53">
        <v>-7448.7179487179483</v>
      </c>
      <c r="X8" s="49" t="s">
        <v>126</v>
      </c>
      <c r="Y8" s="51">
        <v>7.0175438596491224E-2</v>
      </c>
      <c r="Z8" s="49" t="s">
        <v>139</v>
      </c>
      <c r="AA8" s="52">
        <v>0.24526198439241917</v>
      </c>
      <c r="AB8" s="49" t="s">
        <v>139</v>
      </c>
      <c r="AC8" s="52">
        <v>0.23467112597547379</v>
      </c>
      <c r="AD8" s="49" t="s">
        <v>139</v>
      </c>
      <c r="AE8" s="52">
        <v>0.50454545454545452</v>
      </c>
      <c r="AF8" s="49" t="s">
        <v>126</v>
      </c>
      <c r="AG8" s="52">
        <v>0.42307692307692307</v>
      </c>
      <c r="AH8" s="49" t="s">
        <v>216</v>
      </c>
      <c r="AI8" s="52">
        <v>0.43333333333333335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18</v>
      </c>
      <c r="D9" s="47" t="s">
        <v>193</v>
      </c>
      <c r="E9" s="48">
        <v>-51.699999999999996</v>
      </c>
      <c r="F9" s="49" t="s">
        <v>190</v>
      </c>
      <c r="G9" s="61">
        <v>-5.5</v>
      </c>
      <c r="H9" s="49" t="s">
        <v>221</v>
      </c>
      <c r="I9" s="53">
        <v>1497.379788</v>
      </c>
      <c r="J9" s="49" t="s">
        <v>126</v>
      </c>
      <c r="K9" s="50">
        <v>2.1052631578947367</v>
      </c>
      <c r="L9" s="49" t="s">
        <v>126</v>
      </c>
      <c r="M9" s="51">
        <v>0.26315789473684209</v>
      </c>
      <c r="N9" s="49" t="s">
        <v>126</v>
      </c>
      <c r="O9" s="51">
        <v>0.36842105263157893</v>
      </c>
      <c r="P9" s="49" t="s">
        <v>163</v>
      </c>
      <c r="Q9" s="52">
        <v>0.26339285714285715</v>
      </c>
      <c r="R9" s="49" t="s">
        <v>189</v>
      </c>
      <c r="S9" s="52">
        <v>0.17254901960784313</v>
      </c>
      <c r="T9" s="49" t="s">
        <v>211</v>
      </c>
      <c r="U9" s="53">
        <v>8015.3846153846152</v>
      </c>
      <c r="V9" s="49" t="s">
        <v>189</v>
      </c>
      <c r="W9" s="53">
        <v>-7518.181818181818</v>
      </c>
      <c r="X9" s="49" t="s">
        <v>211</v>
      </c>
      <c r="Y9" s="51">
        <v>7.6923076923076927E-2</v>
      </c>
      <c r="Z9" s="49" t="s">
        <v>216</v>
      </c>
      <c r="AA9" s="52">
        <v>0.22857142857142856</v>
      </c>
      <c r="AB9" s="49" t="s">
        <v>163</v>
      </c>
      <c r="AC9" s="52">
        <v>0.22321428571428573</v>
      </c>
      <c r="AD9" s="49" t="s">
        <v>189</v>
      </c>
      <c r="AE9" s="52">
        <v>0.47142857142857142</v>
      </c>
      <c r="AF9" s="49" t="s">
        <v>189</v>
      </c>
      <c r="AG9" s="52">
        <v>0.40789473684210525</v>
      </c>
      <c r="AH9" s="49" t="s">
        <v>139</v>
      </c>
      <c r="AI9" s="52">
        <v>0.43074003795066412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190</v>
      </c>
      <c r="E10" s="48">
        <v>-55</v>
      </c>
      <c r="F10" s="49" t="s">
        <v>195</v>
      </c>
      <c r="G10" s="61">
        <v>-5.7125000000000004</v>
      </c>
      <c r="H10" s="49" t="s">
        <v>216</v>
      </c>
      <c r="I10" s="53">
        <v>1475.2783888604056</v>
      </c>
      <c r="J10" s="49" t="s">
        <v>190</v>
      </c>
      <c r="K10" s="50">
        <v>2.2000000000000002</v>
      </c>
      <c r="L10" s="49" t="s">
        <v>193</v>
      </c>
      <c r="M10" s="51">
        <v>0.25</v>
      </c>
      <c r="N10" s="49" t="s">
        <v>216</v>
      </c>
      <c r="O10" s="51">
        <v>0.44444444444444442</v>
      </c>
      <c r="P10" s="49" t="s">
        <v>190</v>
      </c>
      <c r="Q10" s="52">
        <v>0.24675324675324675</v>
      </c>
      <c r="R10" s="49" t="s">
        <v>163</v>
      </c>
      <c r="S10" s="52">
        <v>0.18303571428571427</v>
      </c>
      <c r="T10" s="49" t="s">
        <v>192</v>
      </c>
      <c r="U10" s="53">
        <v>7923.3009708737864</v>
      </c>
      <c r="V10" s="49" t="s">
        <v>216</v>
      </c>
      <c r="W10" s="53">
        <v>-7886.2068965517237</v>
      </c>
      <c r="X10" s="49" t="s">
        <v>139</v>
      </c>
      <c r="Y10" s="51">
        <v>7.9812206572769953E-2</v>
      </c>
      <c r="Z10" s="49" t="s">
        <v>192</v>
      </c>
      <c r="AA10" s="52">
        <v>0.22408026755852842</v>
      </c>
      <c r="AB10" s="49" t="s">
        <v>126</v>
      </c>
      <c r="AC10" s="52">
        <v>0.2180293501048218</v>
      </c>
      <c r="AD10" s="49" t="s">
        <v>216</v>
      </c>
      <c r="AE10" s="52">
        <v>0.4375</v>
      </c>
      <c r="AF10" s="49" t="s">
        <v>193</v>
      </c>
      <c r="AG10" s="52">
        <v>0.4</v>
      </c>
      <c r="AH10" s="49" t="s">
        <v>192</v>
      </c>
      <c r="AI10" s="52">
        <v>0.40776699029126212</v>
      </c>
      <c r="AJ10" s="49" t="s">
        <v>189</v>
      </c>
      <c r="AK10" s="56">
        <v>69000</v>
      </c>
    </row>
    <row r="11" spans="1:37" x14ac:dyDescent="0.45">
      <c r="A11" s="46">
        <v>9</v>
      </c>
      <c r="B11" s="49" t="s">
        <v>195</v>
      </c>
      <c r="C11" s="114">
        <v>8</v>
      </c>
      <c r="D11" s="47" t="s">
        <v>126</v>
      </c>
      <c r="E11" s="48">
        <v>-74.30000000000004</v>
      </c>
      <c r="F11" s="49" t="s">
        <v>221</v>
      </c>
      <c r="G11" s="61">
        <v>-6.75</v>
      </c>
      <c r="H11" s="49" t="s">
        <v>189</v>
      </c>
      <c r="I11" s="53">
        <v>1468.6685579009436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195</v>
      </c>
      <c r="O11" s="51">
        <v>0.5</v>
      </c>
      <c r="P11" s="49" t="s">
        <v>193</v>
      </c>
      <c r="Q11" s="52">
        <v>0.22857142857142856</v>
      </c>
      <c r="R11" s="49" t="s">
        <v>126</v>
      </c>
      <c r="S11" s="52">
        <v>0.18448637316561844</v>
      </c>
      <c r="T11" s="49" t="s">
        <v>189</v>
      </c>
      <c r="U11" s="53">
        <v>7446.1538461538457</v>
      </c>
      <c r="V11" s="49" t="s">
        <v>163</v>
      </c>
      <c r="W11" s="53">
        <v>-7895.1219512195121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190</v>
      </c>
      <c r="AC11" s="52">
        <v>0.20779220779220781</v>
      </c>
      <c r="AD11" s="49" t="s">
        <v>163</v>
      </c>
      <c r="AE11" s="52">
        <v>0.42105263157894735</v>
      </c>
      <c r="AF11" s="49" t="s">
        <v>221</v>
      </c>
      <c r="AG11" s="52">
        <v>0.4</v>
      </c>
      <c r="AH11" s="49" t="s">
        <v>211</v>
      </c>
      <c r="AI11" s="52">
        <v>0.4</v>
      </c>
      <c r="AJ11" s="49" t="s">
        <v>195</v>
      </c>
      <c r="AK11" s="56">
        <v>65700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-84.500000000000014</v>
      </c>
      <c r="F12" s="49" t="s">
        <v>216</v>
      </c>
      <c r="G12" s="61">
        <v>-10.016666666666667</v>
      </c>
      <c r="H12" s="49" t="s">
        <v>195</v>
      </c>
      <c r="I12" s="53">
        <v>1392.9145746195986</v>
      </c>
      <c r="J12" s="49" t="s">
        <v>193</v>
      </c>
      <c r="K12" s="50">
        <v>2.25</v>
      </c>
      <c r="L12" s="49" t="s">
        <v>190</v>
      </c>
      <c r="M12" s="51">
        <v>0.1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216</v>
      </c>
      <c r="U12" s="53">
        <v>7183.333333333333</v>
      </c>
      <c r="V12" s="49" t="s">
        <v>193</v>
      </c>
      <c r="W12" s="53">
        <v>-9387.5</v>
      </c>
      <c r="X12" s="49" t="s">
        <v>163</v>
      </c>
      <c r="Y12" s="51">
        <v>0.15384615384615385</v>
      </c>
      <c r="Z12" s="49" t="s">
        <v>211</v>
      </c>
      <c r="AA12" s="52">
        <v>0.21568627450980393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0.38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195</v>
      </c>
      <c r="Y13" s="51">
        <v>0.25</v>
      </c>
      <c r="Z13" s="49" t="s">
        <v>195</v>
      </c>
      <c r="AA13" s="52">
        <v>0.2</v>
      </c>
      <c r="AB13" s="49" t="s">
        <v>195</v>
      </c>
      <c r="AC13" s="52">
        <v>0.13846153846153847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215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213</v>
      </c>
      <c r="C2" s="134"/>
      <c r="E2" s="26" t="s">
        <v>66</v>
      </c>
      <c r="F2" s="23" t="s">
        <v>22</v>
      </c>
      <c r="G2" s="11">
        <v>416</v>
      </c>
      <c r="H2" s="87">
        <f>IF(B$20=0,0,G2/B$20)</f>
        <v>0.78937381404174578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-42.25352112676056</v>
      </c>
      <c r="Q2" s="76">
        <v>213</v>
      </c>
      <c r="R2" s="63">
        <v>-9000</v>
      </c>
    </row>
    <row r="3" spans="1:18" x14ac:dyDescent="0.45">
      <c r="A3" s="19" t="s">
        <v>8</v>
      </c>
      <c r="B3" s="135">
        <v>1794</v>
      </c>
      <c r="C3" s="136"/>
      <c r="E3" s="27" t="s">
        <v>72</v>
      </c>
      <c r="F3" s="24" t="s">
        <v>27</v>
      </c>
      <c r="G3" s="12">
        <v>322</v>
      </c>
      <c r="H3" s="88">
        <f>IF(B$20=0,0,G3/B$20)</f>
        <v>0.61100569259962045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43.478260869565219</v>
      </c>
      <c r="Q3" s="77">
        <v>207</v>
      </c>
      <c r="R3" s="64">
        <v>9000</v>
      </c>
    </row>
    <row r="4" spans="1:18" x14ac:dyDescent="0.45">
      <c r="A4" s="19" t="s">
        <v>6</v>
      </c>
      <c r="B4" s="137">
        <v>2.1316282072803006E-14</v>
      </c>
      <c r="C4" s="138"/>
      <c r="E4" s="27" t="s">
        <v>64</v>
      </c>
      <c r="F4" s="24" t="s">
        <v>20</v>
      </c>
      <c r="G4" s="12">
        <v>211</v>
      </c>
      <c r="H4" s="88">
        <f>IF(B$20=0,0,G4/B$20)</f>
        <v>0.40037950664136623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-28.571428571428573</v>
      </c>
      <c r="Q4" s="77">
        <v>210</v>
      </c>
      <c r="R4" s="64">
        <v>-6000</v>
      </c>
    </row>
    <row r="5" spans="1:18" x14ac:dyDescent="0.45">
      <c r="A5" s="19" t="s">
        <v>7</v>
      </c>
      <c r="B5" s="125">
        <f>IF(B$2=0,0,B$4/B$2)</f>
        <v>1.0007644165635214E-16</v>
      </c>
      <c r="C5" s="126"/>
      <c r="E5" s="27" t="s">
        <v>159</v>
      </c>
      <c r="F5" s="24" t="s">
        <v>160</v>
      </c>
      <c r="G5" s="12">
        <v>199</v>
      </c>
      <c r="H5" s="88">
        <f>IF(B$20=0,0,G5/B$20)</f>
        <v>0.3776091081593928</v>
      </c>
      <c r="I5" s="58">
        <v>5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10.256410256410257</v>
      </c>
      <c r="Q5" s="77">
        <v>195</v>
      </c>
      <c r="R5" s="64">
        <v>2000</v>
      </c>
    </row>
    <row r="6" spans="1:18" x14ac:dyDescent="0.45">
      <c r="A6" s="19" t="s">
        <v>196</v>
      </c>
      <c r="B6" s="129">
        <v>1599.4369374325906</v>
      </c>
      <c r="C6" s="130"/>
      <c r="E6" s="27" t="s">
        <v>68</v>
      </c>
      <c r="F6" s="24" t="s">
        <v>12</v>
      </c>
      <c r="G6" s="12">
        <v>155</v>
      </c>
      <c r="H6" s="88">
        <f>IF(B$20=0,0,G6/B$20)</f>
        <v>0.29411764705882354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5.6497175141242941</v>
      </c>
      <c r="Q6" s="77">
        <v>177</v>
      </c>
      <c r="R6" s="64">
        <v>1000</v>
      </c>
    </row>
    <row r="7" spans="1:18" x14ac:dyDescent="0.45">
      <c r="A7" s="19" t="s">
        <v>1</v>
      </c>
      <c r="B7" s="139">
        <f>IF(B$2=0,0,(B$8*1+B$9*2+B$10*3)/B$2)</f>
        <v>1.9953051643192488</v>
      </c>
      <c r="C7" s="140"/>
      <c r="E7" s="27" t="s">
        <v>67</v>
      </c>
      <c r="F7" s="24" t="s">
        <v>23</v>
      </c>
      <c r="G7" s="12">
        <v>108</v>
      </c>
      <c r="H7" s="88">
        <f>IF(B$20=0,0,G7/B$20)</f>
        <v>0.2049335863377609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20.833333333333332</v>
      </c>
      <c r="Q7" s="78">
        <v>144</v>
      </c>
      <c r="R7" s="65">
        <v>3000</v>
      </c>
    </row>
    <row r="8" spans="1:18" x14ac:dyDescent="0.45">
      <c r="A8" s="19" t="s">
        <v>2</v>
      </c>
      <c r="B8" s="12">
        <v>72</v>
      </c>
      <c r="C8" s="6">
        <f t="shared" ref="C8:C15" si="1">IF(B$2=0,0,B8/B$2)</f>
        <v>0.3380281690140845</v>
      </c>
      <c r="E8" s="27" t="s">
        <v>89</v>
      </c>
      <c r="F8" s="24" t="s">
        <v>44</v>
      </c>
      <c r="G8" s="12">
        <v>73</v>
      </c>
      <c r="H8" s="88">
        <f>IF(B$20=0,0,G8/B$20)</f>
        <v>0.13851992409867173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70</v>
      </c>
      <c r="C9" s="6">
        <f t="shared" si="1"/>
        <v>0.32863849765258218</v>
      </c>
      <c r="E9" s="27" t="s">
        <v>69</v>
      </c>
      <c r="F9" s="24" t="s">
        <v>24</v>
      </c>
      <c r="G9" s="12">
        <v>68</v>
      </c>
      <c r="H9" s="88">
        <f>IF(B$20=0,0,G9/B$20)</f>
        <v>0.12903225806451613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71</v>
      </c>
      <c r="C10" s="7">
        <f t="shared" si="1"/>
        <v>0.33333333333333331</v>
      </c>
      <c r="E10" s="27" t="s">
        <v>70</v>
      </c>
      <c r="F10" s="24" t="s">
        <v>25</v>
      </c>
      <c r="G10" s="12">
        <v>56</v>
      </c>
      <c r="H10" s="88">
        <f>IF(B$20=0,0,G10/B$20)</f>
        <v>0.10626185958254269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3.1154929577464792</v>
      </c>
      <c r="Q10" s="76">
        <v>71</v>
      </c>
      <c r="R10" s="67">
        <v>221.20000000000002</v>
      </c>
    </row>
    <row r="11" spans="1:18" x14ac:dyDescent="0.45">
      <c r="A11" s="20" t="s">
        <v>184</v>
      </c>
      <c r="B11" s="109">
        <f>IF(B8=0,0,C11/B8)</f>
        <v>34.749999999999986</v>
      </c>
      <c r="C11" s="110">
        <v>2501.9999999999991</v>
      </c>
      <c r="E11" s="27" t="s">
        <v>65</v>
      </c>
      <c r="F11" s="24" t="s">
        <v>21</v>
      </c>
      <c r="G11" s="12">
        <v>43</v>
      </c>
      <c r="H11" s="88">
        <f>IF(B$20=0,0,G11/B$20)</f>
        <v>8.1593927893738136E-2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-6.1028169014084499</v>
      </c>
      <c r="Q11" s="77">
        <v>71</v>
      </c>
      <c r="R11" s="68">
        <v>-433.29999999999995</v>
      </c>
    </row>
    <row r="12" spans="1:18" x14ac:dyDescent="0.45">
      <c r="A12" s="20" t="s">
        <v>185</v>
      </c>
      <c r="B12" s="109">
        <f>IF(B9=0,0,C12/B9)</f>
        <v>-1.0428571428571427</v>
      </c>
      <c r="C12" s="110">
        <v>-72.999999999999986</v>
      </c>
      <c r="E12" s="27" t="s">
        <v>71</v>
      </c>
      <c r="F12" s="24" t="s">
        <v>26</v>
      </c>
      <c r="G12" s="12">
        <v>29</v>
      </c>
      <c r="H12" s="88">
        <f>IF(B$20=0,0,G12/B$20)</f>
        <v>5.5028462998102469E-2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2.9873239436619721</v>
      </c>
      <c r="Q12" s="78">
        <v>71</v>
      </c>
      <c r="R12" s="69">
        <v>212.10000000000002</v>
      </c>
    </row>
    <row r="13" spans="1:18" x14ac:dyDescent="0.45">
      <c r="A13" s="20" t="s">
        <v>186</v>
      </c>
      <c r="B13" s="109">
        <f>IF(B10=0,0,C13/B10)</f>
        <v>-34.2112676056338</v>
      </c>
      <c r="C13" s="110">
        <v>-2429</v>
      </c>
      <c r="E13" s="27" t="s">
        <v>86</v>
      </c>
      <c r="F13" s="24" t="s">
        <v>41</v>
      </c>
      <c r="G13" s="12">
        <v>28</v>
      </c>
      <c r="H13" s="88">
        <f>IF(B$20=0,0,G13/B$20)</f>
        <v>5.3130929791271347E-2</v>
      </c>
      <c r="I13" s="58">
        <v>5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-0.16804158283031967</v>
      </c>
      <c r="C14" s="126"/>
      <c r="E14" s="27" t="s">
        <v>81</v>
      </c>
      <c r="F14" s="24" t="s">
        <v>36</v>
      </c>
      <c r="G14" s="12">
        <v>22</v>
      </c>
      <c r="H14" s="88">
        <f>IF(B$20=0,0,G14/B$20)</f>
        <v>4.1745730550284632E-2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17</v>
      </c>
      <c r="C15" s="9">
        <f t="shared" si="1"/>
        <v>7.9812206572769953E-2</v>
      </c>
      <c r="E15" s="27" t="s">
        <v>83</v>
      </c>
      <c r="F15" s="24" t="s">
        <v>38</v>
      </c>
      <c r="G15" s="12">
        <v>21</v>
      </c>
      <c r="H15" s="88">
        <f>IF(B$20=0,0,G15/B$20)</f>
        <v>3.9848197343453511E-2</v>
      </c>
      <c r="I15" s="58">
        <v>7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5">
      <c r="A16" s="22" t="s">
        <v>121</v>
      </c>
      <c r="B16" s="15">
        <v>440</v>
      </c>
      <c r="C16" s="10">
        <f>IF(B$3=0,0,B16/B$3)</f>
        <v>0.24526198439241917</v>
      </c>
      <c r="E16" s="27" t="s">
        <v>78</v>
      </c>
      <c r="F16" s="24" t="s">
        <v>33</v>
      </c>
      <c r="G16" s="12">
        <v>15</v>
      </c>
      <c r="H16" s="88">
        <f>IF(B$20=0,0,G16/B$20)</f>
        <v>2.8462998102466792E-2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5">
      <c r="A17" s="19" t="s">
        <v>118</v>
      </c>
      <c r="B17" s="12">
        <v>421</v>
      </c>
      <c r="C17" s="6">
        <f>IF(B$3=0,0,B17/B$3)</f>
        <v>0.23467112597547379</v>
      </c>
      <c r="E17" s="27" t="s">
        <v>91</v>
      </c>
      <c r="F17" s="24" t="s">
        <v>46</v>
      </c>
      <c r="G17" s="12">
        <v>11</v>
      </c>
      <c r="H17" s="88">
        <f>IF(B$20=0,0,G17/B$20)</f>
        <v>2.0872865275142316E-2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5">
      <c r="A18" s="18" t="s">
        <v>123</v>
      </c>
      <c r="B18" s="11">
        <f>B24</f>
        <v>222</v>
      </c>
      <c r="C18" s="5">
        <f>IF(B$16=0,0,B18/B$16)</f>
        <v>0.50454545454545452</v>
      </c>
      <c r="E18" s="27" t="s">
        <v>155</v>
      </c>
      <c r="F18" s="24" t="s">
        <v>156</v>
      </c>
      <c r="G18" s="12">
        <v>11</v>
      </c>
      <c r="H18" s="88">
        <f>IF(B$20=0,0,G18/B$20)</f>
        <v>2.0872865275142316E-2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8.568750000000005</v>
      </c>
      <c r="Q18" s="77">
        <v>16</v>
      </c>
      <c r="R18" s="68">
        <v>137.10000000000008</v>
      </c>
    </row>
    <row r="19" spans="1:18" x14ac:dyDescent="0.45">
      <c r="A19" s="18" t="s">
        <v>124</v>
      </c>
      <c r="B19" s="11">
        <f>B25</f>
        <v>180</v>
      </c>
      <c r="C19" s="5">
        <f>IF(B$17=0,0,B19/B$17)</f>
        <v>0.42755344418052255</v>
      </c>
      <c r="E19" s="27" t="s">
        <v>79</v>
      </c>
      <c r="F19" s="24" t="s">
        <v>34</v>
      </c>
      <c r="G19" s="12">
        <v>9</v>
      </c>
      <c r="H19" s="88">
        <f>IF(B$20=0,0,G19/B$20)</f>
        <v>1.7077798861480076E-2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190</v>
      </c>
      <c r="P19" s="83">
        <f>IF(Q19=0,0,R19/Q19)</f>
        <v>8.2500000000000036</v>
      </c>
      <c r="Q19" s="77">
        <v>20</v>
      </c>
      <c r="R19" s="68">
        <v>165.00000000000009</v>
      </c>
    </row>
    <row r="20" spans="1:18" x14ac:dyDescent="0.45">
      <c r="A20" s="18" t="s">
        <v>10</v>
      </c>
      <c r="B20" s="11">
        <f>B23+B22</f>
        <v>527</v>
      </c>
      <c r="C20" s="5">
        <f>IF(B$3=0,0,B20/B$3)</f>
        <v>0.29375696767001114</v>
      </c>
      <c r="E20" s="27" t="s">
        <v>73</v>
      </c>
      <c r="F20" s="24" t="s">
        <v>28</v>
      </c>
      <c r="G20" s="12">
        <v>4</v>
      </c>
      <c r="H20" s="88">
        <f>IF(B$20=0,0,G20/B$20)</f>
        <v>7.5901328273244783E-3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163</v>
      </c>
      <c r="P20" s="83">
        <f>IF(Q20=0,0,R20/Q20)</f>
        <v>4.8750000000000027</v>
      </c>
      <c r="Q20" s="77">
        <v>52</v>
      </c>
      <c r="R20" s="68">
        <v>253.50000000000014</v>
      </c>
    </row>
    <row r="21" spans="1:18" x14ac:dyDescent="0.45">
      <c r="A21" s="19" t="s">
        <v>13</v>
      </c>
      <c r="B21" s="12">
        <v>298</v>
      </c>
      <c r="C21" s="6">
        <f>IF(B$3=0,0,B21/B$3)</f>
        <v>0.16610925306577481</v>
      </c>
      <c r="E21" s="27" t="s">
        <v>85</v>
      </c>
      <c r="F21" s="24" t="s">
        <v>40</v>
      </c>
      <c r="G21" s="12">
        <v>3</v>
      </c>
      <c r="H21" s="88">
        <f>IF(B$20=0,0,G21/B$20)</f>
        <v>5.6925996204933585E-3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126</v>
      </c>
      <c r="P21" s="83">
        <f>IF(Q21=0,0,R21/Q21)</f>
        <v>1.9552631578947401</v>
      </c>
      <c r="Q21" s="77">
        <v>114</v>
      </c>
      <c r="R21" s="68">
        <v>222.90000000000038</v>
      </c>
    </row>
    <row r="22" spans="1:18" x14ac:dyDescent="0.45">
      <c r="A22" s="19" t="s">
        <v>12</v>
      </c>
      <c r="B22" s="12">
        <v>227</v>
      </c>
      <c r="C22" s="6">
        <f>IF(B$20=0,0,B22/B$20)</f>
        <v>0.43074003795066412</v>
      </c>
      <c r="E22" s="27" t="s">
        <v>88</v>
      </c>
      <c r="F22" s="24" t="s">
        <v>43</v>
      </c>
      <c r="G22" s="12">
        <v>3</v>
      </c>
      <c r="H22" s="88">
        <f>IF(B$20=0,0,G22/B$20)</f>
        <v>5.6925996204933585E-3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-3.2785714285714276</v>
      </c>
      <c r="Q22" s="77">
        <v>56</v>
      </c>
      <c r="R22" s="68">
        <v>-183.59999999999994</v>
      </c>
    </row>
    <row r="23" spans="1:18" x14ac:dyDescent="0.45">
      <c r="A23" s="19" t="s">
        <v>11</v>
      </c>
      <c r="B23" s="12">
        <v>300</v>
      </c>
      <c r="C23" s="6">
        <f>IF(B$20=0,0,B23/B$20)</f>
        <v>0.56925996204933582</v>
      </c>
      <c r="E23" s="27" t="s">
        <v>75</v>
      </c>
      <c r="F23" s="24" t="s">
        <v>30</v>
      </c>
      <c r="G23" s="12">
        <v>2</v>
      </c>
      <c r="H23" s="88">
        <f>IF(B$20=0,0,G23/B$20)</f>
        <v>3.7950664136622392E-3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-7.1019230769230779</v>
      </c>
      <c r="Q23" s="77">
        <v>52</v>
      </c>
      <c r="R23" s="68">
        <v>-369.30000000000007</v>
      </c>
    </row>
    <row r="24" spans="1:18" x14ac:dyDescent="0.45">
      <c r="A24" s="19" t="s">
        <v>183</v>
      </c>
      <c r="B24" s="12">
        <v>222</v>
      </c>
      <c r="C24" s="6">
        <f>IF(B$20=0,0,B24/B$20)</f>
        <v>0.42125237191650855</v>
      </c>
      <c r="E24" s="27" t="s">
        <v>77</v>
      </c>
      <c r="F24" s="24" t="s">
        <v>32</v>
      </c>
      <c r="G24" s="12">
        <v>2</v>
      </c>
      <c r="H24" s="88">
        <f>IF(B$20=0,0,G24/B$20)</f>
        <v>3.7950664136622392E-3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-14.148529411764711</v>
      </c>
      <c r="Q24" s="77">
        <v>68</v>
      </c>
      <c r="R24" s="68">
        <v>-962.10000000000036</v>
      </c>
    </row>
    <row r="25" spans="1:18" x14ac:dyDescent="0.45">
      <c r="A25" s="19" t="s">
        <v>181</v>
      </c>
      <c r="B25" s="12">
        <v>180</v>
      </c>
      <c r="C25" s="6">
        <f>IF(B$20=0,0,B25/B$20)</f>
        <v>0.34155597722960152</v>
      </c>
      <c r="E25" s="27" t="s">
        <v>92</v>
      </c>
      <c r="F25" s="24" t="s">
        <v>47</v>
      </c>
      <c r="G25" s="12">
        <v>2</v>
      </c>
      <c r="H25" s="88">
        <f>IF(B$20=0,0,G25/B$20)</f>
        <v>3.7950664136622392E-3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125</v>
      </c>
      <c r="C26" s="6">
        <f>IF(B$20=0,0,B26/B$20)</f>
        <v>0.23719165085388993</v>
      </c>
      <c r="E26" s="27" t="s">
        <v>93</v>
      </c>
      <c r="F26" s="24" t="s">
        <v>48</v>
      </c>
      <c r="G26" s="12">
        <v>1</v>
      </c>
      <c r="H26" s="88">
        <f>IF(B$20=0,0,G26/B$20)</f>
        <v>1.8975332068311196E-3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8064.7058823529414</v>
      </c>
      <c r="C27" s="8">
        <v>4250100</v>
      </c>
      <c r="E27" s="27" t="s">
        <v>102</v>
      </c>
      <c r="F27" s="24" t="s">
        <v>57</v>
      </c>
      <c r="G27" s="12">
        <v>1</v>
      </c>
      <c r="H27" s="88">
        <f>IF(B$20=0,0,G27/B$20)</f>
        <v>1.8975332068311196E-3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8780.979827089337</v>
      </c>
      <c r="C28" s="96">
        <v>3047000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6683.8888888888887</v>
      </c>
      <c r="C29" s="96">
        <v>1203100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-7332.8859060402683</v>
      </c>
      <c r="C30" s="96">
        <v>-2185200</v>
      </c>
      <c r="E30" s="27" t="s">
        <v>80</v>
      </c>
      <c r="F30" s="24" t="s">
        <v>35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0</v>
      </c>
      <c r="E32" s="27" t="s">
        <v>84</v>
      </c>
      <c r="F32" s="24" t="s">
        <v>39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2.787068004459309E-3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45</v>
      </c>
      <c r="C37" s="98">
        <f t="shared" ref="C37:C49" si="2">IF(B$20=0,0,B37/B$20)</f>
        <v>8.5388994307400379E-2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107</v>
      </c>
      <c r="C38" s="6">
        <f t="shared" si="2"/>
        <v>0.20303605313092979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102</v>
      </c>
      <c r="C39" s="6">
        <f t="shared" si="2"/>
        <v>0.19354838709677419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89</v>
      </c>
      <c r="C40" s="6">
        <f t="shared" si="2"/>
        <v>0.16888045540796964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68</v>
      </c>
      <c r="C41" s="6">
        <f t="shared" si="2"/>
        <v>0.12903225806451613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49</v>
      </c>
      <c r="C42" s="6">
        <f t="shared" si="2"/>
        <v>9.2979127134724851E-2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28</v>
      </c>
      <c r="C43" s="6">
        <f t="shared" si="2"/>
        <v>5.3130929791271347E-2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15</v>
      </c>
      <c r="C44" s="6">
        <f t="shared" si="2"/>
        <v>2.8462998102466792E-2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11</v>
      </c>
      <c r="C45" s="6">
        <f t="shared" si="2"/>
        <v>2.0872865275142316E-2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7</v>
      </c>
      <c r="C46" s="6">
        <f t="shared" si="2"/>
        <v>1.3282732447817837E-2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3.7950664136622392E-3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4</v>
      </c>
      <c r="C49" s="9">
        <f t="shared" si="2"/>
        <v>7.5901328273244783E-3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  <row r="189" spans="11:13" x14ac:dyDescent="0.45">
      <c r="K189" s="74">
        <v>187</v>
      </c>
      <c r="L189" s="119">
        <v>-12.799999999999986</v>
      </c>
      <c r="M189" s="117">
        <v>1597.6672105193993</v>
      </c>
    </row>
    <row r="190" spans="11:13" x14ac:dyDescent="0.45">
      <c r="K190" s="74">
        <v>188</v>
      </c>
      <c r="L190" s="119">
        <v>29.400000000000016</v>
      </c>
      <c r="M190" s="117">
        <v>1605.439207256283</v>
      </c>
    </row>
    <row r="191" spans="11:13" x14ac:dyDescent="0.45">
      <c r="K191" s="74">
        <v>189</v>
      </c>
      <c r="L191" s="119">
        <v>1.7763568394002505E-14</v>
      </c>
      <c r="M191" s="117">
        <v>1600.2765720127452</v>
      </c>
    </row>
    <row r="192" spans="11:13" x14ac:dyDescent="0.45">
      <c r="K192" s="74">
        <v>190</v>
      </c>
      <c r="L192" s="119">
        <v>43.90000000000002</v>
      </c>
      <c r="M192" s="117">
        <v>1608.3389125806686</v>
      </c>
    </row>
    <row r="193" spans="11:13" x14ac:dyDescent="0.45">
      <c r="K193" s="74">
        <v>191</v>
      </c>
      <c r="L193" s="119">
        <v>-1.8999999999999773</v>
      </c>
      <c r="M193" s="117">
        <v>1600.2068791051847</v>
      </c>
    </row>
    <row r="194" spans="11:13" x14ac:dyDescent="0.45">
      <c r="K194" s="74">
        <v>192</v>
      </c>
      <c r="L194" s="119">
        <v>2.2648549702353193E-14</v>
      </c>
      <c r="M194" s="117">
        <v>1600.7096378305537</v>
      </c>
    </row>
    <row r="195" spans="11:13" x14ac:dyDescent="0.45">
      <c r="K195" s="74">
        <v>193</v>
      </c>
      <c r="L195" s="119">
        <v>4.1000000000000227</v>
      </c>
      <c r="M195" s="117">
        <v>1601.6053800035704</v>
      </c>
    </row>
    <row r="196" spans="11:13" x14ac:dyDescent="0.45">
      <c r="K196" s="74">
        <v>194</v>
      </c>
      <c r="L196" s="119">
        <v>-30.999999999999979</v>
      </c>
      <c r="M196" s="117">
        <v>1595.4397477235491</v>
      </c>
    </row>
    <row r="197" spans="11:13" x14ac:dyDescent="0.45">
      <c r="K197" s="74">
        <v>195</v>
      </c>
      <c r="L197" s="119">
        <v>2.1316282072803006E-14</v>
      </c>
      <c r="M197" s="117">
        <v>1601.2091092372077</v>
      </c>
    </row>
    <row r="198" spans="11:13" x14ac:dyDescent="0.45">
      <c r="K198" s="74">
        <v>196</v>
      </c>
      <c r="L198" s="119">
        <v>-18.399999999999977</v>
      </c>
      <c r="M198" s="117">
        <v>1597.5598545817845</v>
      </c>
    </row>
    <row r="199" spans="11:13" x14ac:dyDescent="0.45">
      <c r="K199" s="74">
        <v>197</v>
      </c>
      <c r="L199" s="119">
        <v>-20.199999999999978</v>
      </c>
      <c r="M199" s="117">
        <v>1596.9204954542938</v>
      </c>
    </row>
    <row r="200" spans="11:13" x14ac:dyDescent="0.45">
      <c r="K200" s="74">
        <v>198</v>
      </c>
      <c r="L200" s="119">
        <v>2.1316282072803006E-14</v>
      </c>
      <c r="M200" s="117">
        <v>1600.2449724815681</v>
      </c>
    </row>
    <row r="201" spans="11:13" x14ac:dyDescent="0.45">
      <c r="K201" s="74">
        <v>199</v>
      </c>
      <c r="L201" s="119">
        <v>-2.3999999999999786</v>
      </c>
      <c r="M201" s="117">
        <v>1599.4815026466786</v>
      </c>
    </row>
    <row r="202" spans="11:13" x14ac:dyDescent="0.45">
      <c r="K202" s="74">
        <v>200</v>
      </c>
      <c r="L202" s="119">
        <v>-32.699999999999982</v>
      </c>
      <c r="M202" s="117">
        <v>1593.7006136307984</v>
      </c>
    </row>
    <row r="203" spans="11:13" x14ac:dyDescent="0.45">
      <c r="K203" s="74">
        <v>201</v>
      </c>
      <c r="L203" s="119">
        <v>2.1316282072803006E-14</v>
      </c>
      <c r="M203" s="117">
        <v>1599.2944099490137</v>
      </c>
    </row>
    <row r="204" spans="11:13" x14ac:dyDescent="0.45">
      <c r="K204" s="74">
        <v>202</v>
      </c>
      <c r="L204" s="119">
        <v>-21.699999999999978</v>
      </c>
      <c r="M204" s="117">
        <v>1595.4466434893195</v>
      </c>
    </row>
    <row r="205" spans="11:13" x14ac:dyDescent="0.45">
      <c r="K205" s="74">
        <v>203</v>
      </c>
      <c r="L205" s="119">
        <v>8.4000000000000234</v>
      </c>
      <c r="M205" s="117">
        <v>1600.9459636283837</v>
      </c>
    </row>
    <row r="206" spans="11:13" x14ac:dyDescent="0.45">
      <c r="K206" s="74">
        <v>204</v>
      </c>
      <c r="L206" s="119">
        <v>2.3092638912203256E-14</v>
      </c>
      <c r="M206" s="117">
        <v>1599.4822878466134</v>
      </c>
    </row>
    <row r="207" spans="11:13" x14ac:dyDescent="0.45">
      <c r="K207" s="74">
        <v>205</v>
      </c>
      <c r="L207" s="119">
        <v>44.000000000000021</v>
      </c>
      <c r="M207" s="117">
        <v>1607.4593941195337</v>
      </c>
    </row>
    <row r="208" spans="11:13" x14ac:dyDescent="0.45">
      <c r="K208" s="74">
        <v>206</v>
      </c>
      <c r="L208" s="119">
        <v>3.3000000000000185</v>
      </c>
      <c r="M208" s="117">
        <v>1600.1426377548166</v>
      </c>
    </row>
    <row r="209" spans="11:13" x14ac:dyDescent="0.45">
      <c r="K209" s="74">
        <v>207</v>
      </c>
      <c r="L209" s="119">
        <v>1.865174681370263E-14</v>
      </c>
      <c r="M209" s="117">
        <v>1599.6017819282877</v>
      </c>
    </row>
    <row r="210" spans="11:13" x14ac:dyDescent="0.45">
      <c r="K210" s="74">
        <v>208</v>
      </c>
      <c r="L210" s="119">
        <v>-6.1999999999999815</v>
      </c>
      <c r="M210" s="117">
        <v>1598.458171236718</v>
      </c>
    </row>
    <row r="211" spans="11:13" x14ac:dyDescent="0.45">
      <c r="K211" s="74">
        <v>209</v>
      </c>
      <c r="L211" s="119">
        <v>-31.899999999999981</v>
      </c>
      <c r="M211" s="117">
        <v>1593.8114222092977</v>
      </c>
    </row>
    <row r="212" spans="11:13" x14ac:dyDescent="0.45">
      <c r="K212" s="74">
        <v>210</v>
      </c>
      <c r="L212" s="119">
        <v>1.7763568394002505E-14</v>
      </c>
      <c r="M212" s="117">
        <v>1599.560553676042</v>
      </c>
    </row>
    <row r="213" spans="11:13" x14ac:dyDescent="0.45">
      <c r="K213" s="74">
        <v>211</v>
      </c>
      <c r="L213" s="119">
        <v>-0.89999999999998226</v>
      </c>
      <c r="M213" s="117">
        <v>1599.3711903539856</v>
      </c>
    </row>
    <row r="214" spans="11:13" x14ac:dyDescent="0.45">
      <c r="K214" s="74">
        <v>212</v>
      </c>
      <c r="L214" s="119">
        <v>39.800000000000018</v>
      </c>
      <c r="M214" s="117">
        <v>1606.6709632118618</v>
      </c>
    </row>
    <row r="215" spans="11:13" x14ac:dyDescent="0.45">
      <c r="K215" s="74">
        <v>213</v>
      </c>
      <c r="L215" s="119">
        <v>2.1316282072803006E-14</v>
      </c>
      <c r="M215" s="117">
        <v>1599.4369374325906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59"/>
  <sheetViews>
    <sheetView showGridLines="0" topLeftCell="D1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57</v>
      </c>
      <c r="C2" s="134"/>
      <c r="E2" s="26" t="s">
        <v>66</v>
      </c>
      <c r="F2" s="23" t="s">
        <v>22</v>
      </c>
      <c r="G2" s="11">
        <v>109</v>
      </c>
      <c r="H2" s="87">
        <f>IF(B$20=0,0,G2/B$20)</f>
        <v>0.76760563380281688</v>
      </c>
      <c r="I2" s="57">
        <v>6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815.78947368421052</v>
      </c>
      <c r="Q2" s="76">
        <v>57</v>
      </c>
      <c r="R2" s="63">
        <v>46500</v>
      </c>
    </row>
    <row r="3" spans="1:18" x14ac:dyDescent="0.45">
      <c r="A3" s="19" t="s">
        <v>8</v>
      </c>
      <c r="B3" s="135">
        <v>477</v>
      </c>
      <c r="C3" s="136"/>
      <c r="E3" s="27" t="s">
        <v>72</v>
      </c>
      <c r="F3" s="24" t="s">
        <v>27</v>
      </c>
      <c r="G3" s="12">
        <v>87</v>
      </c>
      <c r="H3" s="88">
        <f>IF(B$20=0,0,G3/B$20)</f>
        <v>0.61267605633802813</v>
      </c>
      <c r="I3" s="58">
        <v>6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-816.36363636363637</v>
      </c>
      <c r="Q3" s="77">
        <v>55</v>
      </c>
      <c r="R3" s="64">
        <v>-44900</v>
      </c>
    </row>
    <row r="4" spans="1:18" x14ac:dyDescent="0.45">
      <c r="A4" s="19" t="s">
        <v>6</v>
      </c>
      <c r="B4" s="137">
        <v>-74.30000000000004</v>
      </c>
      <c r="C4" s="138"/>
      <c r="E4" s="27" t="s">
        <v>64</v>
      </c>
      <c r="F4" s="24" t="s">
        <v>20</v>
      </c>
      <c r="G4" s="12">
        <v>60</v>
      </c>
      <c r="H4" s="88">
        <f>IF(B$20=0,0,G4/B$20)</f>
        <v>0.42253521126760563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-980.35714285714289</v>
      </c>
      <c r="Q4" s="77">
        <v>56</v>
      </c>
      <c r="R4" s="64">
        <v>-54900</v>
      </c>
    </row>
    <row r="5" spans="1:18" x14ac:dyDescent="0.45">
      <c r="A5" s="19" t="s">
        <v>7</v>
      </c>
      <c r="B5" s="125">
        <f>IF(B$2=0,0,B$4/B$2)</f>
        <v>-1.3035087719298253</v>
      </c>
      <c r="C5" s="126"/>
      <c r="E5" s="27" t="s">
        <v>159</v>
      </c>
      <c r="F5" s="24" t="s">
        <v>160</v>
      </c>
      <c r="G5" s="12">
        <v>51</v>
      </c>
      <c r="H5" s="88">
        <f>IF(B$20=0,0,G5/B$20)</f>
        <v>0.35915492957746481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164.15094339622641</v>
      </c>
      <c r="Q5" s="77">
        <v>53</v>
      </c>
      <c r="R5" s="64">
        <v>8700</v>
      </c>
    </row>
    <row r="6" spans="1:18" x14ac:dyDescent="0.45">
      <c r="A6" s="19" t="s">
        <v>196</v>
      </c>
      <c r="B6" s="129">
        <v>1757.111611638225</v>
      </c>
      <c r="C6" s="130"/>
      <c r="E6" s="27" t="s">
        <v>68</v>
      </c>
      <c r="F6" s="24" t="s">
        <v>12</v>
      </c>
      <c r="G6" s="12">
        <v>43</v>
      </c>
      <c r="H6" s="88">
        <f>IF(B$20=0,0,G6/B$20)</f>
        <v>0.30281690140845069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-404.16666666666669</v>
      </c>
      <c r="Q6" s="77">
        <v>48</v>
      </c>
      <c r="R6" s="64">
        <v>-19400</v>
      </c>
    </row>
    <row r="7" spans="1:18" x14ac:dyDescent="0.45">
      <c r="A7" s="19" t="s">
        <v>1</v>
      </c>
      <c r="B7" s="139">
        <f>IF(B$2=0,0,(B$8*1+B$9*2+B$10*3)/B$2)</f>
        <v>2.1052631578947367</v>
      </c>
      <c r="C7" s="140"/>
      <c r="E7" s="27" t="s">
        <v>67</v>
      </c>
      <c r="F7" s="24" t="s">
        <v>23</v>
      </c>
      <c r="G7" s="12">
        <v>29</v>
      </c>
      <c r="H7" s="88">
        <f>IF(B$20=0,0,G7/B$20)</f>
        <v>0.20422535211267606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-1023.6842105263158</v>
      </c>
      <c r="Q7" s="78">
        <v>38</v>
      </c>
      <c r="R7" s="65">
        <v>-38900</v>
      </c>
    </row>
    <row r="8" spans="1:18" x14ac:dyDescent="0.45">
      <c r="A8" s="19" t="s">
        <v>2</v>
      </c>
      <c r="B8" s="12">
        <v>15</v>
      </c>
      <c r="C8" s="6">
        <f t="shared" ref="C8:C15" si="1">IF(B$2=0,0,B8/B$2)</f>
        <v>0.26315789473684209</v>
      </c>
      <c r="E8" s="27" t="s">
        <v>69</v>
      </c>
      <c r="F8" s="24" t="s">
        <v>24</v>
      </c>
      <c r="G8" s="12">
        <v>27</v>
      </c>
      <c r="H8" s="88">
        <f>IF(B$20=0,0,G8/B$20)</f>
        <v>0.19014084507042253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21</v>
      </c>
      <c r="C9" s="6">
        <f t="shared" si="1"/>
        <v>0.36842105263157893</v>
      </c>
      <c r="E9" s="27" t="s">
        <v>70</v>
      </c>
      <c r="F9" s="24" t="s">
        <v>25</v>
      </c>
      <c r="G9" s="12">
        <v>22</v>
      </c>
      <c r="H9" s="88">
        <f>IF(B$20=0,0,G9/B$20)</f>
        <v>0.15492957746478872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21</v>
      </c>
      <c r="C10" s="7">
        <f t="shared" si="1"/>
        <v>0.36842105263157893</v>
      </c>
      <c r="E10" s="27" t="s">
        <v>89</v>
      </c>
      <c r="F10" s="24" t="s">
        <v>44</v>
      </c>
      <c r="G10" s="12">
        <v>20</v>
      </c>
      <c r="H10" s="88">
        <f>IF(B$20=0,0,G10/B$20)</f>
        <v>0.14084507042253522</v>
      </c>
      <c r="I10" s="58">
        <v>6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6.1052631578947345</v>
      </c>
      <c r="Q10" s="76">
        <v>19</v>
      </c>
      <c r="R10" s="67">
        <v>115.99999999999996</v>
      </c>
    </row>
    <row r="11" spans="1:18" x14ac:dyDescent="0.45">
      <c r="A11" s="20" t="s">
        <v>184</v>
      </c>
      <c r="B11" s="109">
        <f>IF(B8=0,0,C11/B8)</f>
        <v>40.006666666666668</v>
      </c>
      <c r="C11" s="110">
        <v>600.1</v>
      </c>
      <c r="E11" s="27" t="s">
        <v>65</v>
      </c>
      <c r="F11" s="24" t="s">
        <v>21</v>
      </c>
      <c r="G11" s="12">
        <v>13</v>
      </c>
      <c r="H11" s="88">
        <f>IF(B$20=0,0,G11/B$20)</f>
        <v>9.154929577464789E-2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-10.881818181818181</v>
      </c>
      <c r="Q11" s="77">
        <v>22</v>
      </c>
      <c r="R11" s="68">
        <v>-239.39999999999998</v>
      </c>
    </row>
    <row r="12" spans="1:18" x14ac:dyDescent="0.45">
      <c r="A12" s="20" t="s">
        <v>185</v>
      </c>
      <c r="B12" s="109">
        <f>IF(B9=0,0,C12/B9)</f>
        <v>-2.7047619047619045</v>
      </c>
      <c r="C12" s="110">
        <v>-56.8</v>
      </c>
      <c r="E12" s="27" t="s">
        <v>86</v>
      </c>
      <c r="F12" s="24" t="s">
        <v>41</v>
      </c>
      <c r="G12" s="12">
        <v>8</v>
      </c>
      <c r="H12" s="88">
        <f>IF(B$20=0,0,G12/B$20)</f>
        <v>5.6338028169014086E-2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3.0687500000000005</v>
      </c>
      <c r="Q12" s="78">
        <v>16</v>
      </c>
      <c r="R12" s="69">
        <v>49.100000000000009</v>
      </c>
    </row>
    <row r="13" spans="1:18" x14ac:dyDescent="0.45">
      <c r="A13" s="20" t="s">
        <v>186</v>
      </c>
      <c r="B13" s="109">
        <f>IF(B10=0,0,C13/B10)</f>
        <v>-29.409523809523812</v>
      </c>
      <c r="C13" s="110">
        <v>-617.6</v>
      </c>
      <c r="E13" s="27" t="s">
        <v>155</v>
      </c>
      <c r="F13" s="24" t="s">
        <v>156</v>
      </c>
      <c r="G13" s="12">
        <v>8</v>
      </c>
      <c r="H13" s="88">
        <f>IF(B$20=0,0,G13/B$20)</f>
        <v>5.6338028169014086E-2</v>
      </c>
      <c r="I13" s="58">
        <v>1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2.6307936507936511</v>
      </c>
      <c r="C14" s="126"/>
      <c r="E14" s="27" t="s">
        <v>71</v>
      </c>
      <c r="F14" s="24" t="s">
        <v>26</v>
      </c>
      <c r="G14" s="12">
        <v>6</v>
      </c>
      <c r="H14" s="88">
        <f>IF(B$20=0,0,G14/B$20)</f>
        <v>4.2253521126760563E-2</v>
      </c>
      <c r="I14" s="58">
        <v>7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7.0175438596491224E-2</v>
      </c>
      <c r="E15" s="27" t="s">
        <v>83</v>
      </c>
      <c r="F15" s="24" t="s">
        <v>38</v>
      </c>
      <c r="G15" s="12">
        <v>6</v>
      </c>
      <c r="H15" s="88">
        <f>IF(B$20=0,0,G15/B$20)</f>
        <v>4.2253521126760563E-2</v>
      </c>
      <c r="I15" s="58">
        <v>6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5">
      <c r="A16" s="22" t="s">
        <v>121</v>
      </c>
      <c r="B16" s="15">
        <v>123</v>
      </c>
      <c r="C16" s="10">
        <f>IF(B$3=0,0,B16/B$3)</f>
        <v>0.25786163522012578</v>
      </c>
      <c r="E16" s="27" t="s">
        <v>81</v>
      </c>
      <c r="F16" s="24" t="s">
        <v>36</v>
      </c>
      <c r="G16" s="12">
        <v>4</v>
      </c>
      <c r="H16" s="88">
        <f>IF(B$20=0,0,G16/B$20)</f>
        <v>2.8169014084507043E-2</v>
      </c>
      <c r="I16" s="58">
        <v>10</v>
      </c>
      <c r="K16" s="74">
        <v>14</v>
      </c>
      <c r="L16" s="119">
        <v>222</v>
      </c>
      <c r="M16" s="117">
        <v>1861.6993429866839</v>
      </c>
      <c r="O16" s="74" t="s">
        <v>190</v>
      </c>
      <c r="P16" s="83">
        <f>IF(Q16=0,0,R16/Q16)</f>
        <v>12.162499999999998</v>
      </c>
      <c r="Q16" s="77">
        <v>8</v>
      </c>
      <c r="R16" s="68">
        <v>97.299999999999983</v>
      </c>
    </row>
    <row r="17" spans="1:18" x14ac:dyDescent="0.45">
      <c r="A17" s="19" t="s">
        <v>118</v>
      </c>
      <c r="B17" s="12">
        <v>104</v>
      </c>
      <c r="C17" s="6">
        <f>IF(B$3=0,0,B17/B$3)</f>
        <v>0.2180293501048218</v>
      </c>
      <c r="E17" s="27" t="s">
        <v>91</v>
      </c>
      <c r="F17" s="24" t="s">
        <v>46</v>
      </c>
      <c r="G17" s="12">
        <v>4</v>
      </c>
      <c r="H17" s="88">
        <f>IF(B$20=0,0,G17/B$20)</f>
        <v>2.8169014084507043E-2</v>
      </c>
      <c r="I17" s="58">
        <v>2</v>
      </c>
      <c r="K17" s="74">
        <v>15</v>
      </c>
      <c r="L17" s="119">
        <v>190.9</v>
      </c>
      <c r="M17" s="117">
        <v>1854.6511469287639</v>
      </c>
      <c r="O17" s="74" t="s">
        <v>216</v>
      </c>
      <c r="P17" s="83">
        <f>IF(Q17=0,0,R17/Q17)</f>
        <v>11.879999999999999</v>
      </c>
      <c r="Q17" s="77">
        <v>10</v>
      </c>
      <c r="R17" s="68">
        <v>118.79999999999998</v>
      </c>
    </row>
    <row r="18" spans="1:18" x14ac:dyDescent="0.45">
      <c r="A18" s="18" t="s">
        <v>123</v>
      </c>
      <c r="B18" s="11">
        <f>B24</f>
        <v>67</v>
      </c>
      <c r="C18" s="5">
        <f>IF(B$16=0,0,B18/B$16)</f>
        <v>0.54471544715447151</v>
      </c>
      <c r="E18" s="27" t="s">
        <v>78</v>
      </c>
      <c r="F18" s="24" t="s">
        <v>33</v>
      </c>
      <c r="G18" s="12">
        <v>3</v>
      </c>
      <c r="H18" s="88">
        <f>IF(B$20=0,0,G18/B$20)</f>
        <v>2.1126760563380281E-2</v>
      </c>
      <c r="I18" s="58">
        <v>7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6.5449999999999999</v>
      </c>
      <c r="Q18" s="77">
        <v>20</v>
      </c>
      <c r="R18" s="68">
        <v>130.9</v>
      </c>
    </row>
    <row r="19" spans="1:18" x14ac:dyDescent="0.45">
      <c r="A19" s="18" t="s">
        <v>124</v>
      </c>
      <c r="B19" s="11">
        <f>B25</f>
        <v>44</v>
      </c>
      <c r="C19" s="5">
        <f>IF(B$17=0,0,B19/B$17)</f>
        <v>0.42307692307692307</v>
      </c>
      <c r="E19" s="27" t="s">
        <v>73</v>
      </c>
      <c r="F19" s="24" t="s">
        <v>28</v>
      </c>
      <c r="G19" s="12">
        <v>1</v>
      </c>
      <c r="H19" s="88">
        <f>IF(B$20=0,0,G19/B$20)</f>
        <v>7.0422535211267607E-3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>IF(Q19=0,0,R19/Q19)</f>
        <v>4.7666666666666666</v>
      </c>
      <c r="Q19" s="77">
        <v>15</v>
      </c>
      <c r="R19" s="68">
        <v>71.5</v>
      </c>
    </row>
    <row r="20" spans="1:18" x14ac:dyDescent="0.45">
      <c r="A20" s="18" t="s">
        <v>10</v>
      </c>
      <c r="B20" s="11">
        <f>B23+B22</f>
        <v>142</v>
      </c>
      <c r="C20" s="5">
        <f>IF(B$3=0,0,B20/B$3)</f>
        <v>0.2976939203354298</v>
      </c>
      <c r="E20" s="27" t="s">
        <v>75</v>
      </c>
      <c r="F20" s="24" t="s">
        <v>30</v>
      </c>
      <c r="G20" s="12">
        <v>1</v>
      </c>
      <c r="H20" s="88">
        <f>IF(B$20=0,0,G20/B$20)</f>
        <v>7.0422535211267607E-3</v>
      </c>
      <c r="I20" s="58">
        <v>2</v>
      </c>
      <c r="K20" s="74">
        <v>18</v>
      </c>
      <c r="L20" s="119">
        <v>188.9</v>
      </c>
      <c r="M20" s="117">
        <v>1849.7792249072668</v>
      </c>
      <c r="O20" s="74" t="s">
        <v>195</v>
      </c>
      <c r="P20" s="83">
        <f>IF(Q20=0,0,R20/Q20)</f>
        <v>-0.44999999999999812</v>
      </c>
      <c r="Q20" s="77">
        <v>6</v>
      </c>
      <c r="R20" s="68">
        <v>-2.6999999999999886</v>
      </c>
    </row>
    <row r="21" spans="1:18" x14ac:dyDescent="0.45">
      <c r="A21" s="19" t="s">
        <v>13</v>
      </c>
      <c r="B21" s="12">
        <v>88</v>
      </c>
      <c r="C21" s="6">
        <f>IF(B$3=0,0,B21/B$3)</f>
        <v>0.18448637316561844</v>
      </c>
      <c r="E21" s="27" t="s">
        <v>79</v>
      </c>
      <c r="F21" s="24" t="s">
        <v>34</v>
      </c>
      <c r="G21" s="12">
        <v>1</v>
      </c>
      <c r="H21" s="88">
        <f>IF(B$20=0,0,G21/B$20)</f>
        <v>7.0422535211267607E-3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-9.9</v>
      </c>
      <c r="Q21" s="77">
        <v>25</v>
      </c>
      <c r="R21" s="68">
        <v>-247.5</v>
      </c>
    </row>
    <row r="22" spans="1:18" x14ac:dyDescent="0.45">
      <c r="A22" s="19" t="s">
        <v>12</v>
      </c>
      <c r="B22" s="12">
        <v>63</v>
      </c>
      <c r="C22" s="6">
        <f>IF(B$20=0,0,B22/B$20)</f>
        <v>0.44366197183098594</v>
      </c>
      <c r="E22" s="27" t="s">
        <v>85</v>
      </c>
      <c r="F22" s="24" t="s">
        <v>40</v>
      </c>
      <c r="G22" s="12">
        <v>1</v>
      </c>
      <c r="H22" s="88">
        <f>IF(B$20=0,0,G22/B$20)</f>
        <v>7.0422535211267607E-3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-16.035714285714288</v>
      </c>
      <c r="Q22" s="77">
        <v>28</v>
      </c>
      <c r="R22" s="68">
        <v>-449.00000000000006</v>
      </c>
    </row>
    <row r="23" spans="1:18" x14ac:dyDescent="0.45">
      <c r="A23" s="19" t="s">
        <v>11</v>
      </c>
      <c r="B23" s="12">
        <v>79</v>
      </c>
      <c r="C23" s="6">
        <f>IF(B$20=0,0,B23/B$20)</f>
        <v>0.55633802816901412</v>
      </c>
      <c r="E23" s="27" t="s">
        <v>92</v>
      </c>
      <c r="F23" s="24" t="s">
        <v>47</v>
      </c>
      <c r="G23" s="12">
        <v>1</v>
      </c>
      <c r="H23" s="88">
        <f>IF(B$20=0,0,G23/B$20)</f>
        <v>7.0422535211267607E-3</v>
      </c>
      <c r="I23" s="58">
        <v>2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67</v>
      </c>
      <c r="C24" s="6">
        <f>IF(B$20=0,0,B24/B$20)</f>
        <v>0.47183098591549294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44</v>
      </c>
      <c r="C25" s="6">
        <f>IF(B$20=0,0,B25/B$20)</f>
        <v>0.30985915492957744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31</v>
      </c>
      <c r="C26" s="6">
        <f>IF(B$20=0,0,B26/B$20)</f>
        <v>0.21830985915492956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8437.3239436619715</v>
      </c>
      <c r="C27" s="8">
        <v>1198100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8890.8163265306121</v>
      </c>
      <c r="C28" s="96">
        <v>871300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7427.272727272727</v>
      </c>
      <c r="C29" s="96">
        <v>326800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-6837.5</v>
      </c>
      <c r="C30" s="96">
        <v>-601700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2.0964360587002098E-3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7</v>
      </c>
      <c r="C37" s="98">
        <f t="shared" ref="C37:C49" si="2">IF(B$20=0,0,B37/B$20)</f>
        <v>4.9295774647887321E-2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24</v>
      </c>
      <c r="C38" s="6">
        <f t="shared" si="2"/>
        <v>0.16901408450704225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35</v>
      </c>
      <c r="C39" s="6">
        <f t="shared" si="2"/>
        <v>0.24647887323943662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20</v>
      </c>
      <c r="C40" s="6">
        <f t="shared" si="2"/>
        <v>0.14084507042253522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22</v>
      </c>
      <c r="C41" s="6">
        <f t="shared" si="2"/>
        <v>0.15492957746478872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18</v>
      </c>
      <c r="C42" s="6">
        <f t="shared" si="2"/>
        <v>0.12676056338028169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8</v>
      </c>
      <c r="C43" s="6">
        <f t="shared" si="2"/>
        <v>5.6338028169014086E-2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1</v>
      </c>
      <c r="C44" s="6">
        <f t="shared" si="2"/>
        <v>7.0422535211267607E-3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2.8169014084507043E-2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7.0422535211267607E-3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7.0422535211267607E-3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7.0422535211267607E-3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5">
      <c r="K53" s="74">
        <v>51</v>
      </c>
      <c r="L53" s="119">
        <v>68.399999999999963</v>
      </c>
      <c r="M53" s="117">
        <v>1788.8356828322449</v>
      </c>
    </row>
    <row r="54" spans="1:13" x14ac:dyDescent="0.45">
      <c r="K54" s="74">
        <v>52</v>
      </c>
      <c r="L54" s="119">
        <v>22.599999999999966</v>
      </c>
      <c r="M54" s="117">
        <v>1779.6206687352515</v>
      </c>
    </row>
    <row r="55" spans="1:13" x14ac:dyDescent="0.45">
      <c r="K55" s="74">
        <v>53</v>
      </c>
      <c r="L55" s="119">
        <v>53.599999999999966</v>
      </c>
      <c r="M55" s="117">
        <v>1784.28494472284</v>
      </c>
    </row>
    <row r="56" spans="1:13" x14ac:dyDescent="0.45">
      <c r="K56" s="74">
        <v>54</v>
      </c>
      <c r="L56" s="119">
        <v>31.899999999999967</v>
      </c>
      <c r="M56" s="117">
        <v>1779.327235054503</v>
      </c>
    </row>
    <row r="57" spans="1:13" x14ac:dyDescent="0.45">
      <c r="K57" s="74">
        <v>55</v>
      </c>
      <c r="L57" s="119">
        <v>-8.8000000000000362</v>
      </c>
      <c r="M57" s="117">
        <v>1770.9792716441759</v>
      </c>
    </row>
    <row r="58" spans="1:13" x14ac:dyDescent="0.45">
      <c r="K58" s="74">
        <v>56</v>
      </c>
      <c r="L58" s="119">
        <v>-34.500000000000036</v>
      </c>
      <c r="M58" s="117">
        <v>1765.2973960143108</v>
      </c>
    </row>
    <row r="59" spans="1:13" x14ac:dyDescent="0.45">
      <c r="K59" s="74">
        <v>57</v>
      </c>
      <c r="L59" s="119">
        <v>-74.30000000000004</v>
      </c>
      <c r="M59" s="117">
        <v>1757.111611638225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topLeftCell="F1" zoomScaleNormal="100" workbookViewId="0">
      <selection activeCell="L21" sqref="L21"/>
    </sheetView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26</v>
      </c>
      <c r="C2" s="134"/>
      <c r="E2" s="26" t="s">
        <v>66</v>
      </c>
      <c r="F2" s="23" t="s">
        <v>22</v>
      </c>
      <c r="G2" s="11">
        <v>63</v>
      </c>
      <c r="H2" s="87">
        <f>IF(B$20=0,0,G2/B$20)</f>
        <v>1.0677966101694916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2015.3846153846155</v>
      </c>
      <c r="Q2" s="76">
        <v>26</v>
      </c>
      <c r="R2" s="63">
        <v>52400</v>
      </c>
    </row>
    <row r="3" spans="1:18" x14ac:dyDescent="0.45">
      <c r="A3" s="19" t="s">
        <v>8</v>
      </c>
      <c r="B3" s="135">
        <v>224</v>
      </c>
      <c r="C3" s="136"/>
      <c r="E3" s="27" t="s">
        <v>72</v>
      </c>
      <c r="F3" s="24" t="s">
        <v>27</v>
      </c>
      <c r="G3" s="12">
        <v>34</v>
      </c>
      <c r="H3" s="88">
        <f>IF(B$20=0,0,G3/B$20)</f>
        <v>0.57627118644067798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-2392</v>
      </c>
      <c r="Q3" s="77">
        <v>25</v>
      </c>
      <c r="R3" s="64">
        <v>-59800</v>
      </c>
    </row>
    <row r="4" spans="1:18" x14ac:dyDescent="0.45">
      <c r="A4" s="19" t="s">
        <v>6</v>
      </c>
      <c r="B4" s="137">
        <v>-84.500000000000014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0.38983050847457629</v>
      </c>
      <c r="I4" s="58">
        <v>7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-192</v>
      </c>
      <c r="Q4" s="77">
        <v>25</v>
      </c>
      <c r="R4" s="64">
        <v>-4800</v>
      </c>
    </row>
    <row r="5" spans="1:18" x14ac:dyDescent="0.45">
      <c r="A5" s="19" t="s">
        <v>7</v>
      </c>
      <c r="B5" s="125">
        <f>IF(B$2=0,0,B$4/B$2)</f>
        <v>-3.2500000000000004</v>
      </c>
      <c r="C5" s="126"/>
      <c r="E5" s="27" t="s">
        <v>159</v>
      </c>
      <c r="F5" s="24" t="s">
        <v>160</v>
      </c>
      <c r="G5" s="12">
        <v>23</v>
      </c>
      <c r="H5" s="88">
        <f>IF(B$20=0,0,G5/B$20)</f>
        <v>0.38983050847457629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545.83333333333337</v>
      </c>
      <c r="Q5" s="77">
        <v>24</v>
      </c>
      <c r="R5" s="64">
        <v>13100</v>
      </c>
    </row>
    <row r="6" spans="1:18" x14ac:dyDescent="0.45">
      <c r="A6" s="19" t="s">
        <v>196</v>
      </c>
      <c r="B6" s="129">
        <v>1635.4381044902418</v>
      </c>
      <c r="C6" s="130"/>
      <c r="E6" s="27" t="s">
        <v>68</v>
      </c>
      <c r="F6" s="24" t="s">
        <v>12</v>
      </c>
      <c r="G6" s="12">
        <v>20</v>
      </c>
      <c r="H6" s="88">
        <f>IF(B$20=0,0,G6/B$20)</f>
        <v>0.33898305084745761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223.8095238095238</v>
      </c>
      <c r="Q6" s="77">
        <v>21</v>
      </c>
      <c r="R6" s="64">
        <v>4700</v>
      </c>
    </row>
    <row r="7" spans="1:18" x14ac:dyDescent="0.45">
      <c r="A7" s="19" t="s">
        <v>1</v>
      </c>
      <c r="B7" s="139">
        <f>IF(B$2=0,0,(B$8*1+B$9*2+B$10*3)/B$2)</f>
        <v>2.0384615384615383</v>
      </c>
      <c r="C7" s="140"/>
      <c r="E7" s="27" t="s">
        <v>67</v>
      </c>
      <c r="F7" s="24" t="s">
        <v>23</v>
      </c>
      <c r="G7" s="12">
        <v>11</v>
      </c>
      <c r="H7" s="88">
        <f>IF(B$20=0,0,G7/B$20)</f>
        <v>0.1864406779661017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-268.75</v>
      </c>
      <c r="Q7" s="78">
        <v>16</v>
      </c>
      <c r="R7" s="65">
        <v>-4300</v>
      </c>
    </row>
    <row r="8" spans="1:18" x14ac:dyDescent="0.45">
      <c r="A8" s="19" t="s">
        <v>2</v>
      </c>
      <c r="B8" s="12">
        <v>8</v>
      </c>
      <c r="C8" s="6">
        <f t="shared" ref="C8:C15" si="1">IF(B$2=0,0,B8/B$2)</f>
        <v>0.30769230769230771</v>
      </c>
      <c r="E8" s="27" t="s">
        <v>89</v>
      </c>
      <c r="F8" s="24" t="s">
        <v>44</v>
      </c>
      <c r="G8" s="12">
        <v>10</v>
      </c>
      <c r="H8" s="88">
        <f>IF(B$20=0,0,G8/B$20)</f>
        <v>0.16949152542372881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0.34615384615384615</v>
      </c>
      <c r="E9" s="27" t="s">
        <v>69</v>
      </c>
      <c r="F9" s="24" t="s">
        <v>24</v>
      </c>
      <c r="G9" s="12">
        <v>5</v>
      </c>
      <c r="H9" s="88">
        <f>IF(B$20=0,0,G9/B$20)</f>
        <v>8.4745762711864403E-2</v>
      </c>
      <c r="I9" s="58">
        <v>7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0.34615384615384615</v>
      </c>
      <c r="E10" s="27" t="s">
        <v>81</v>
      </c>
      <c r="F10" s="24" t="s">
        <v>36</v>
      </c>
      <c r="G10" s="12">
        <v>5</v>
      </c>
      <c r="H10" s="88">
        <f>IF(B$20=0,0,G10/B$20)</f>
        <v>8.4745762711864403E-2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-5.416666666666667</v>
      </c>
      <c r="Q10" s="76">
        <v>12</v>
      </c>
      <c r="R10" s="67">
        <v>-65</v>
      </c>
    </row>
    <row r="11" spans="1:18" x14ac:dyDescent="0.45">
      <c r="A11" s="20" t="s">
        <v>184</v>
      </c>
      <c r="B11" s="109">
        <f>IF(B8=0,0,C11/B8)</f>
        <v>35.949999999999996</v>
      </c>
      <c r="C11" s="110">
        <v>287.59999999999997</v>
      </c>
      <c r="E11" s="27" t="s">
        <v>86</v>
      </c>
      <c r="F11" s="24" t="s">
        <v>41</v>
      </c>
      <c r="G11" s="12">
        <v>5</v>
      </c>
      <c r="H11" s="88">
        <f>IF(B$20=0,0,G11/B$20)</f>
        <v>8.4745762711864403E-2</v>
      </c>
      <c r="I11" s="58">
        <v>3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-5.7285714285714322</v>
      </c>
      <c r="Q11" s="77">
        <v>7</v>
      </c>
      <c r="R11" s="68">
        <v>-40.100000000000023</v>
      </c>
    </row>
    <row r="12" spans="1:18" x14ac:dyDescent="0.45">
      <c r="A12" s="20" t="s">
        <v>185</v>
      </c>
      <c r="B12" s="109">
        <f>IF(B9=0,0,C12/B9)</f>
        <v>1.7</v>
      </c>
      <c r="C12" s="110">
        <v>15.299999999999999</v>
      </c>
      <c r="E12" s="27" t="s">
        <v>65</v>
      </c>
      <c r="F12" s="24" t="s">
        <v>21</v>
      </c>
      <c r="G12" s="12">
        <v>4</v>
      </c>
      <c r="H12" s="88">
        <f>IF(B$20=0,0,G12/B$20)</f>
        <v>6.7796610169491525E-2</v>
      </c>
      <c r="I12" s="58">
        <v>8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2.9428571428571426</v>
      </c>
      <c r="Q12" s="78">
        <v>7</v>
      </c>
      <c r="R12" s="69">
        <v>20.599999999999998</v>
      </c>
    </row>
    <row r="13" spans="1:18" x14ac:dyDescent="0.45">
      <c r="A13" s="20" t="s">
        <v>186</v>
      </c>
      <c r="B13" s="109">
        <f>IF(B10=0,0,C13/B10)</f>
        <v>-43.044444444444444</v>
      </c>
      <c r="C13" s="110">
        <v>-387.4</v>
      </c>
      <c r="E13" s="27" t="s">
        <v>83</v>
      </c>
      <c r="F13" s="24" t="s">
        <v>38</v>
      </c>
      <c r="G13" s="12">
        <v>4</v>
      </c>
      <c r="H13" s="88">
        <f>IF(B$20=0,0,G13/B$20)</f>
        <v>6.7796610169491525E-2</v>
      </c>
      <c r="I13" s="58">
        <v>2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-1.7981481481481485</v>
      </c>
      <c r="C14" s="126"/>
      <c r="E14" s="27" t="s">
        <v>71</v>
      </c>
      <c r="F14" s="24" t="s">
        <v>26</v>
      </c>
      <c r="G14" s="12">
        <v>3</v>
      </c>
      <c r="H14" s="88">
        <f>IF(B$20=0,0,G14/B$20)</f>
        <v>5.0847457627118647E-2</v>
      </c>
      <c r="I14" s="58">
        <v>6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0.15384615384615385</v>
      </c>
      <c r="E15" s="27" t="s">
        <v>78</v>
      </c>
      <c r="F15" s="24" t="s">
        <v>33</v>
      </c>
      <c r="G15" s="12">
        <v>3</v>
      </c>
      <c r="H15" s="88">
        <f>IF(B$20=0,0,G15/B$20)</f>
        <v>5.0847457627118647E-2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5">
      <c r="A16" s="22" t="s">
        <v>121</v>
      </c>
      <c r="B16" s="15">
        <v>57</v>
      </c>
      <c r="C16" s="10">
        <f>IF(B$3=0,0,B16/B$3)</f>
        <v>0.2544642857142857</v>
      </c>
      <c r="E16" s="27" t="s">
        <v>70</v>
      </c>
      <c r="F16" s="24" t="s">
        <v>25</v>
      </c>
      <c r="G16" s="12">
        <v>2</v>
      </c>
      <c r="H16" s="88">
        <f>IF(B$20=0,0,G16/B$20)</f>
        <v>3.3898305084745763E-2</v>
      </c>
      <c r="I16" s="58">
        <v>8</v>
      </c>
      <c r="K16" s="74">
        <v>14</v>
      </c>
      <c r="L16" s="119">
        <v>-125.80000000000004</v>
      </c>
      <c r="M16" s="117">
        <v>1630.1668189337324</v>
      </c>
      <c r="O16" s="74" t="s">
        <v>126</v>
      </c>
      <c r="P16" s="83">
        <f>IF(Q16=0,0,R16/Q16)</f>
        <v>-6.5450000000000044</v>
      </c>
      <c r="Q16" s="77">
        <v>20</v>
      </c>
      <c r="R16" s="68">
        <v>-130.90000000000009</v>
      </c>
    </row>
    <row r="17" spans="1:18" x14ac:dyDescent="0.45">
      <c r="A17" s="19" t="s">
        <v>118</v>
      </c>
      <c r="B17" s="12">
        <v>50</v>
      </c>
      <c r="C17" s="6">
        <f>IF(B$3=0,0,B17/B$3)</f>
        <v>0.22321428571428573</v>
      </c>
      <c r="E17" s="27" t="s">
        <v>155</v>
      </c>
      <c r="F17" s="24" t="s">
        <v>156</v>
      </c>
      <c r="G17" s="12">
        <v>2</v>
      </c>
      <c r="H17" s="88">
        <f>IF(B$20=0,0,G17/B$20)</f>
        <v>3.3898305084745763E-2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211</v>
      </c>
      <c r="P17" s="83">
        <f>IF(Q17=0,0,R17/Q17)</f>
        <v>-6.5750000000000011</v>
      </c>
      <c r="Q17" s="77">
        <v>8</v>
      </c>
      <c r="R17" s="68">
        <v>-52.600000000000009</v>
      </c>
    </row>
    <row r="18" spans="1:18" x14ac:dyDescent="0.45">
      <c r="A18" s="18" t="s">
        <v>123</v>
      </c>
      <c r="B18" s="11">
        <f>B24</f>
        <v>24</v>
      </c>
      <c r="C18" s="5">
        <f>IF(B$16=0,0,B18/B$16)</f>
        <v>0.42105263157894735</v>
      </c>
      <c r="E18" s="27" t="s">
        <v>79</v>
      </c>
      <c r="F18" s="24" t="s">
        <v>34</v>
      </c>
      <c r="G18" s="12">
        <v>1</v>
      </c>
      <c r="H18" s="88">
        <f>IF(B$20=0,0,G18/B$20)</f>
        <v>1.6949152542372881E-2</v>
      </c>
      <c r="I18" s="58">
        <v>5</v>
      </c>
      <c r="K18" s="74">
        <v>16</v>
      </c>
      <c r="L18" s="119">
        <v>-95.40000000000002</v>
      </c>
      <c r="M18" s="117">
        <v>1635.5699351120093</v>
      </c>
      <c r="O18" s="74" t="s">
        <v>192</v>
      </c>
      <c r="P18" s="83">
        <f>IF(Q18=0,0,R18/Q18)</f>
        <v>-14.78571428571429</v>
      </c>
      <c r="Q18" s="77">
        <v>7</v>
      </c>
      <c r="R18" s="68">
        <v>-103.50000000000003</v>
      </c>
    </row>
    <row r="19" spans="1:18" x14ac:dyDescent="0.45">
      <c r="A19" s="18" t="s">
        <v>124</v>
      </c>
      <c r="B19" s="11">
        <f>B25</f>
        <v>19</v>
      </c>
      <c r="C19" s="5">
        <f>IF(B$17=0,0,B19/B$17)</f>
        <v>0.38</v>
      </c>
      <c r="E19" s="27" t="s">
        <v>85</v>
      </c>
      <c r="F19" s="24" t="s">
        <v>40</v>
      </c>
      <c r="G19" s="12">
        <v>1</v>
      </c>
      <c r="H19" s="88">
        <f>IF(B$20=0,0,G19/B$20)</f>
        <v>1.6949152542372881E-2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-17.012499999999999</v>
      </c>
      <c r="Q19" s="77">
        <v>8</v>
      </c>
      <c r="R19" s="68">
        <v>-136.1</v>
      </c>
    </row>
    <row r="20" spans="1:18" x14ac:dyDescent="0.45">
      <c r="A20" s="18" t="s">
        <v>10</v>
      </c>
      <c r="B20" s="11">
        <f>B23+B22</f>
        <v>59</v>
      </c>
      <c r="C20" s="5">
        <f>IF(B$3=0,0,B20/B$3)</f>
        <v>0.26339285714285715</v>
      </c>
      <c r="E20" s="27" t="s">
        <v>88</v>
      </c>
      <c r="F20" s="24" t="s">
        <v>43</v>
      </c>
      <c r="G20" s="12">
        <v>1</v>
      </c>
      <c r="H20" s="88">
        <f>IF(B$20=0,0,G20/B$20)</f>
        <v>1.6949152542372881E-2</v>
      </c>
      <c r="I20" s="58">
        <v>1</v>
      </c>
      <c r="K20" s="74">
        <v>18</v>
      </c>
      <c r="L20" s="119">
        <v>-91.000000000000014</v>
      </c>
      <c r="M20" s="117">
        <v>1635.974524408329</v>
      </c>
      <c r="O20" s="74" t="s">
        <v>195</v>
      </c>
      <c r="P20" s="83">
        <f>IF(Q20=0,0,R20/Q20)</f>
        <v>-39.85</v>
      </c>
      <c r="Q20" s="77">
        <v>2</v>
      </c>
      <c r="R20" s="68">
        <v>-79.7</v>
      </c>
    </row>
    <row r="21" spans="1:18" x14ac:dyDescent="0.45">
      <c r="A21" s="19" t="s">
        <v>13</v>
      </c>
      <c r="B21" s="12">
        <v>41</v>
      </c>
      <c r="C21" s="6">
        <f>IF(B$3=0,0,B21/B$3)</f>
        <v>0.18303571428571427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5</v>
      </c>
      <c r="K21" s="74">
        <v>19</v>
      </c>
      <c r="L21" s="119">
        <v>-143.4</v>
      </c>
      <c r="M21" s="117">
        <v>1626.518677261879</v>
      </c>
    </row>
    <row r="22" spans="1:18" x14ac:dyDescent="0.45">
      <c r="A22" s="19" t="s">
        <v>12</v>
      </c>
      <c r="B22" s="12">
        <v>27</v>
      </c>
      <c r="C22" s="6">
        <f>IF(B$20=0,0,B22/B$20)</f>
        <v>0.4576271186440678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-101.2</v>
      </c>
      <c r="M22" s="117">
        <v>1634.1175651983078</v>
      </c>
    </row>
    <row r="23" spans="1:18" x14ac:dyDescent="0.45">
      <c r="A23" s="19" t="s">
        <v>11</v>
      </c>
      <c r="B23" s="12">
        <v>32</v>
      </c>
      <c r="C23" s="6">
        <f>IF(B$20=0,0,B23/B$20)</f>
        <v>0.5423728813559322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-99.3</v>
      </c>
      <c r="M23" s="117">
        <v>1634.416859807118</v>
      </c>
    </row>
    <row r="24" spans="1:18" x14ac:dyDescent="0.45">
      <c r="A24" s="19" t="s">
        <v>183</v>
      </c>
      <c r="B24" s="12">
        <v>24</v>
      </c>
      <c r="C24" s="6">
        <f>IF(B$20=0,0,B24/B$20)</f>
        <v>0.40677966101694918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-95.2</v>
      </c>
      <c r="M24" s="117">
        <v>1635.1103586482752</v>
      </c>
    </row>
    <row r="25" spans="1:18" x14ac:dyDescent="0.45">
      <c r="A25" s="19" t="s">
        <v>181</v>
      </c>
      <c r="B25" s="12">
        <v>19</v>
      </c>
      <c r="C25" s="6">
        <f>IF(B$20=0,0,B25/B$20)</f>
        <v>0.32203389830508472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-75</v>
      </c>
      <c r="M25" s="117">
        <v>1638.2056964963856</v>
      </c>
    </row>
    <row r="26" spans="1:18" x14ac:dyDescent="0.45">
      <c r="A26" s="19" t="s">
        <v>182</v>
      </c>
      <c r="B26" s="12">
        <v>16</v>
      </c>
      <c r="C26" s="6">
        <f>IF(B$20=0,0,B26/B$20)</f>
        <v>0.2711864406779661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-77.400000000000006</v>
      </c>
      <c r="M26" s="117">
        <v>1637.2144623174072</v>
      </c>
    </row>
    <row r="27" spans="1:18" x14ac:dyDescent="0.45">
      <c r="A27" s="19" t="s">
        <v>5</v>
      </c>
      <c r="B27" s="16">
        <f>IF(B$20=0,0,C27/B$20)</f>
        <v>8891.5254237288136</v>
      </c>
      <c r="C27" s="8">
        <v>524600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5">
      <c r="A28" s="20" t="s">
        <v>165</v>
      </c>
      <c r="B28" s="95">
        <f>IF($B$20-B$19=0,0,C28/($B$20-B$19))</f>
        <v>8992.5</v>
      </c>
      <c r="C28" s="96">
        <v>359700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5">
      <c r="A29" s="20" t="s">
        <v>166</v>
      </c>
      <c r="B29" s="95">
        <f>IF(B$19=0,0,C29/B$19)</f>
        <v>8678.9473684210534</v>
      </c>
      <c r="C29" s="96">
        <v>164900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-7895.1219512195121</v>
      </c>
      <c r="C30" s="96">
        <v>-323700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19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4.464285714285714E-3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5</v>
      </c>
      <c r="C37" s="98">
        <f t="shared" ref="C37:C49" si="2">IF(B$20=0,0,B37/B$20)</f>
        <v>8.4745762711864403E-2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8.4745762711864403E-2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11</v>
      </c>
      <c r="C39" s="6">
        <f t="shared" si="2"/>
        <v>0.1864406779661017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11</v>
      </c>
      <c r="C40" s="6">
        <f t="shared" si="2"/>
        <v>0.1864406779661017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13</v>
      </c>
      <c r="C41" s="6">
        <f t="shared" si="2"/>
        <v>0.22033898305084745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8</v>
      </c>
      <c r="C42" s="6">
        <f t="shared" si="2"/>
        <v>0.13559322033898305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9" x14ac:dyDescent="0.45">
      <c r="A43" s="19" t="s">
        <v>173</v>
      </c>
      <c r="B43" s="124">
        <v>2</v>
      </c>
      <c r="C43" s="6">
        <f t="shared" si="2"/>
        <v>3.3898305084745763E-2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3.3898305084745763E-2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2"/>
        <v>1.6949152542372881E-2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2"/>
        <v>1.6949152542372881E-2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topLeftCell="A24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54</v>
      </c>
      <c r="H2" s="87">
        <f>IF(B$20=0,0,G2/B$20)</f>
        <v>0.69230769230769229</v>
      </c>
      <c r="I2" s="57">
        <v>10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510.71428571428572</v>
      </c>
      <c r="Q2" s="76">
        <v>28</v>
      </c>
      <c r="R2" s="63">
        <v>14300</v>
      </c>
    </row>
    <row r="3" spans="1:18" x14ac:dyDescent="0.45">
      <c r="A3" s="19" t="s">
        <v>8</v>
      </c>
      <c r="B3" s="135">
        <v>255</v>
      </c>
      <c r="C3" s="136"/>
      <c r="E3" s="27" t="s">
        <v>72</v>
      </c>
      <c r="F3" s="24" t="s">
        <v>27</v>
      </c>
      <c r="G3" s="12">
        <v>50</v>
      </c>
      <c r="H3" s="88">
        <f>IF(B$20=0,0,G3/B$20)</f>
        <v>0.64102564102564108</v>
      </c>
      <c r="I3" s="58">
        <v>4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-478.57142857142856</v>
      </c>
      <c r="Q3" s="77">
        <v>28</v>
      </c>
      <c r="R3" s="64">
        <v>-13400</v>
      </c>
    </row>
    <row r="4" spans="1:18" x14ac:dyDescent="0.45">
      <c r="A4" s="19" t="s">
        <v>6</v>
      </c>
      <c r="B4" s="137">
        <v>61.199999999999989</v>
      </c>
      <c r="C4" s="138"/>
      <c r="E4" s="27" t="s">
        <v>64</v>
      </c>
      <c r="F4" s="24" t="s">
        <v>20</v>
      </c>
      <c r="G4" s="12">
        <v>32</v>
      </c>
      <c r="H4" s="88">
        <f>IF(B$20=0,0,G4/B$20)</f>
        <v>0.41025641025641024</v>
      </c>
      <c r="I4" s="58">
        <v>5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1278.5714285714287</v>
      </c>
      <c r="Q4" s="77">
        <v>28</v>
      </c>
      <c r="R4" s="64">
        <v>35800</v>
      </c>
    </row>
    <row r="5" spans="1:18" x14ac:dyDescent="0.45">
      <c r="A5" s="19" t="s">
        <v>7</v>
      </c>
      <c r="B5" s="125">
        <f>IF(B$2=0,0,B$4/B$2)</f>
        <v>2.1857142857142855</v>
      </c>
      <c r="C5" s="126"/>
      <c r="E5" s="27" t="s">
        <v>68</v>
      </c>
      <c r="F5" s="24" t="s">
        <v>12</v>
      </c>
      <c r="G5" s="12">
        <v>24</v>
      </c>
      <c r="H5" s="88">
        <f>IF(B$20=0,0,G5/B$20)</f>
        <v>0.30769230769230771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214.28571428571428</v>
      </c>
      <c r="Q5" s="77">
        <v>28</v>
      </c>
      <c r="R5" s="64">
        <v>6000</v>
      </c>
    </row>
    <row r="6" spans="1:18" x14ac:dyDescent="0.45">
      <c r="A6" s="19" t="s">
        <v>196</v>
      </c>
      <c r="B6" s="129">
        <v>1468.6685579009436</v>
      </c>
      <c r="C6" s="130"/>
      <c r="E6" s="27" t="s">
        <v>159</v>
      </c>
      <c r="F6" s="24" t="s">
        <v>160</v>
      </c>
      <c r="G6" s="12">
        <v>23</v>
      </c>
      <c r="H6" s="88">
        <f>IF(B$20=0,0,G6/B$20)</f>
        <v>0.29487179487179488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-1346.4285714285713</v>
      </c>
      <c r="Q6" s="77">
        <v>28</v>
      </c>
      <c r="R6" s="64">
        <v>-37700</v>
      </c>
    </row>
    <row r="7" spans="1:18" x14ac:dyDescent="0.45">
      <c r="A7" s="19" t="s">
        <v>1</v>
      </c>
      <c r="B7" s="139">
        <f>IF(B$2=0,0,(B$8*1+B$9*2+B$10*3)/B$2)</f>
        <v>1.8928571428571428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0.25641025641025639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1335</v>
      </c>
      <c r="Q7" s="78">
        <v>20</v>
      </c>
      <c r="R7" s="65">
        <v>26700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0.39285714285714285</v>
      </c>
      <c r="E8" s="27" t="s">
        <v>70</v>
      </c>
      <c r="F8" s="24" t="s">
        <v>25</v>
      </c>
      <c r="G8" s="12">
        <v>9</v>
      </c>
      <c r="H8" s="88">
        <f>IF(B$20=0,0,G8/B$20)</f>
        <v>0.11538461538461539</v>
      </c>
      <c r="I8" s="58">
        <v>4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0.32142857142857145</v>
      </c>
      <c r="E9" s="27" t="s">
        <v>89</v>
      </c>
      <c r="F9" s="24" t="s">
        <v>44</v>
      </c>
      <c r="G9" s="12">
        <v>9</v>
      </c>
      <c r="H9" s="88">
        <f>IF(B$20=0,0,G9/B$20)</f>
        <v>0.11538461538461539</v>
      </c>
      <c r="I9" s="58">
        <v>8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0.2857142857142857</v>
      </c>
      <c r="E10" s="27" t="s">
        <v>69</v>
      </c>
      <c r="F10" s="24" t="s">
        <v>24</v>
      </c>
      <c r="G10" s="12">
        <v>8</v>
      </c>
      <c r="H10" s="88">
        <f>IF(B$20=0,0,G10/B$20)</f>
        <v>0.10256410256410256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12.775</v>
      </c>
      <c r="Q10" s="76">
        <v>8</v>
      </c>
      <c r="R10" s="67">
        <v>102.2</v>
      </c>
    </row>
    <row r="11" spans="1:18" x14ac:dyDescent="0.45">
      <c r="A11" s="20" t="s">
        <v>184</v>
      </c>
      <c r="B11" s="109">
        <f>IF(B8=0,0,C11/B8)</f>
        <v>26.454545454545453</v>
      </c>
      <c r="C11" s="110">
        <v>291</v>
      </c>
      <c r="E11" s="27" t="s">
        <v>65</v>
      </c>
      <c r="F11" s="24" t="s">
        <v>21</v>
      </c>
      <c r="G11" s="12">
        <v>6</v>
      </c>
      <c r="H11" s="88">
        <f>IF(B$20=0,0,G11/B$20)</f>
        <v>7.6923076923076927E-2</v>
      </c>
      <c r="I11" s="58">
        <v>7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-0.32500000000000018</v>
      </c>
      <c r="Q11" s="77">
        <v>8</v>
      </c>
      <c r="R11" s="68">
        <v>-2.6000000000000014</v>
      </c>
    </row>
    <row r="12" spans="1:18" x14ac:dyDescent="0.45">
      <c r="A12" s="20" t="s">
        <v>185</v>
      </c>
      <c r="B12" s="109">
        <f>IF(B9=0,0,C12/B9)</f>
        <v>4.7777777777777777</v>
      </c>
      <c r="C12" s="110">
        <v>43</v>
      </c>
      <c r="E12" s="27" t="s">
        <v>71</v>
      </c>
      <c r="F12" s="24" t="s">
        <v>26</v>
      </c>
      <c r="G12" s="12">
        <v>4</v>
      </c>
      <c r="H12" s="88">
        <f>IF(B$20=0,0,G12/B$20)</f>
        <v>5.128205128205128E-2</v>
      </c>
      <c r="I12" s="58">
        <v>5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-3.2000000000000015</v>
      </c>
      <c r="Q12" s="78">
        <v>12</v>
      </c>
      <c r="R12" s="69">
        <v>-38.40000000000002</v>
      </c>
    </row>
    <row r="13" spans="1:18" x14ac:dyDescent="0.45">
      <c r="A13" s="20" t="s">
        <v>186</v>
      </c>
      <c r="B13" s="109">
        <f>IF(B10=0,0,C13/B10)</f>
        <v>-34.1</v>
      </c>
      <c r="C13" s="110">
        <v>-272.8</v>
      </c>
      <c r="E13" s="27" t="s">
        <v>83</v>
      </c>
      <c r="F13" s="24" t="s">
        <v>38</v>
      </c>
      <c r="G13" s="12">
        <v>4</v>
      </c>
      <c r="H13" s="88">
        <f>IF(B$20=0,0,G13/B$20)</f>
        <v>5.128205128205128E-2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-0.95589225589225657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3.8461538461538464E-2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3.5714285714285712E-2</v>
      </c>
      <c r="E15" s="27" t="s">
        <v>81</v>
      </c>
      <c r="F15" s="24" t="s">
        <v>36</v>
      </c>
      <c r="G15" s="12">
        <v>3</v>
      </c>
      <c r="H15" s="88">
        <f>IF(B$20=0,0,G15/B$20)</f>
        <v>3.8461538461538464E-2</v>
      </c>
      <c r="I15" s="58">
        <v>7</v>
      </c>
      <c r="K15" s="74">
        <v>13</v>
      </c>
      <c r="L15" s="119">
        <v>35.000000000000007</v>
      </c>
      <c r="M15" s="117">
        <v>1449.5174194108242</v>
      </c>
      <c r="O15" s="73" t="s">
        <v>216</v>
      </c>
      <c r="P15" s="82">
        <f t="shared" ref="P15:P20" si="2">IF(Q15=0,0,R15/Q15)</f>
        <v>35.5</v>
      </c>
      <c r="Q15" s="76">
        <v>1</v>
      </c>
      <c r="R15" s="67">
        <v>35.5</v>
      </c>
    </row>
    <row r="16" spans="1:18" x14ac:dyDescent="0.45">
      <c r="A16" s="22" t="s">
        <v>121</v>
      </c>
      <c r="B16" s="15">
        <v>70</v>
      </c>
      <c r="C16" s="10">
        <f>IF(B$3=0,0,B16/B$3)</f>
        <v>0.27450980392156865</v>
      </c>
      <c r="E16" s="27" t="s">
        <v>78</v>
      </c>
      <c r="F16" s="24" t="s">
        <v>33</v>
      </c>
      <c r="G16" s="12">
        <v>2</v>
      </c>
      <c r="H16" s="88">
        <f>IF(B$20=0,0,G16/B$20)</f>
        <v>2.564102564102564E-2</v>
      </c>
      <c r="I16" s="58">
        <v>6</v>
      </c>
      <c r="K16" s="74">
        <v>14</v>
      </c>
      <c r="L16" s="119">
        <v>42.800000000000004</v>
      </c>
      <c r="M16" s="117">
        <v>1451.8303148943594</v>
      </c>
      <c r="O16" s="74" t="s">
        <v>163</v>
      </c>
      <c r="P16" s="83">
        <f t="shared" si="2"/>
        <v>17.012500000000003</v>
      </c>
      <c r="Q16" s="77">
        <v>8</v>
      </c>
      <c r="R16" s="68">
        <v>136.10000000000002</v>
      </c>
    </row>
    <row r="17" spans="1:18" x14ac:dyDescent="0.45">
      <c r="A17" s="19" t="s">
        <v>118</v>
      </c>
      <c r="B17" s="12">
        <v>76</v>
      </c>
      <c r="C17" s="6">
        <f>IF(B$3=0,0,B17/B$3)</f>
        <v>0.29803921568627451</v>
      </c>
      <c r="E17" s="27" t="s">
        <v>86</v>
      </c>
      <c r="F17" s="24" t="s">
        <v>41</v>
      </c>
      <c r="G17" s="12">
        <v>2</v>
      </c>
      <c r="H17" s="88">
        <f>IF(B$20=0,0,G17/B$20)</f>
        <v>2.564102564102564E-2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33</v>
      </c>
      <c r="C18" s="5">
        <f>IF(B$16=0,0,B18/B$16)</f>
        <v>0.47142857142857142</v>
      </c>
      <c r="E18" s="27" t="s">
        <v>91</v>
      </c>
      <c r="F18" s="24" t="s">
        <v>46</v>
      </c>
      <c r="G18" s="12">
        <v>2</v>
      </c>
      <c r="H18" s="88">
        <f>IF(B$20=0,0,G18/B$20)</f>
        <v>2.564102564102564E-2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 t="shared" si="2"/>
        <v>9.8999999999999986</v>
      </c>
      <c r="Q18" s="77">
        <v>25</v>
      </c>
      <c r="R18" s="68">
        <v>247.49999999999994</v>
      </c>
    </row>
    <row r="19" spans="1:18" x14ac:dyDescent="0.45">
      <c r="A19" s="18" t="s">
        <v>124</v>
      </c>
      <c r="B19" s="11">
        <f>B25</f>
        <v>31</v>
      </c>
      <c r="C19" s="5">
        <f>IF(B$17=0,0,B19/B$17)</f>
        <v>0.40789473684210525</v>
      </c>
      <c r="E19" s="27" t="s">
        <v>88</v>
      </c>
      <c r="F19" s="24" t="s">
        <v>43</v>
      </c>
      <c r="G19" s="12">
        <v>1</v>
      </c>
      <c r="H19" s="88">
        <f>IF(B$20=0,0,G19/B$20)</f>
        <v>1.282051282051282E-2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78</v>
      </c>
      <c r="C20" s="5">
        <f>IF(B$3=0,0,B20/B$3)</f>
        <v>0.30588235294117649</v>
      </c>
      <c r="E20" s="27" t="s">
        <v>93</v>
      </c>
      <c r="F20" s="24" t="s">
        <v>48</v>
      </c>
      <c r="G20" s="12">
        <v>1</v>
      </c>
      <c r="H20" s="88">
        <f>IF(B$20=0,0,G20/B$20)</f>
        <v>1.282051282051282E-2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 t="shared" si="2"/>
        <v>-17.920000000000005</v>
      </c>
      <c r="Q20" s="77">
        <v>15</v>
      </c>
      <c r="R20" s="68">
        <v>-268.80000000000007</v>
      </c>
    </row>
    <row r="21" spans="1:18" x14ac:dyDescent="0.45">
      <c r="A21" s="19" t="s">
        <v>13</v>
      </c>
      <c r="B21" s="12">
        <v>44</v>
      </c>
      <c r="C21" s="6">
        <f>IF(B$3=0,0,B21/B$3)</f>
        <v>0.17254901960784313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5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38</v>
      </c>
      <c r="C22" s="6">
        <f>IF(B$20=0,0,B22/B$20)</f>
        <v>0.48717948717948717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40</v>
      </c>
      <c r="C23" s="6">
        <f>IF(B$20=0,0,B23/B$20)</f>
        <v>0.51282051282051277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33</v>
      </c>
      <c r="C24" s="6">
        <f>IF(B$20=0,0,B24/B$20)</f>
        <v>0.42307692307692307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31</v>
      </c>
      <c r="C25" s="6">
        <f>IF(B$20=0,0,B25/B$20)</f>
        <v>0.39743589743589741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14</v>
      </c>
      <c r="C26" s="6">
        <f>IF(B$20=0,0,B26/B$20)</f>
        <v>0.17948717948717949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16.79999999999999</v>
      </c>
      <c r="M26" s="117">
        <v>1456.9028974082835</v>
      </c>
    </row>
    <row r="27" spans="1:18" x14ac:dyDescent="0.45">
      <c r="A27" s="19" t="s">
        <v>5</v>
      </c>
      <c r="B27" s="16">
        <f>IF(B$20=0,0,C27/B$20)</f>
        <v>7446.1538461538457</v>
      </c>
      <c r="C27" s="8">
        <v>580800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60.699999999999989</v>
      </c>
      <c r="M27" s="117">
        <v>1465.8254800238337</v>
      </c>
    </row>
    <row r="28" spans="1:18" x14ac:dyDescent="0.45">
      <c r="A28" s="20" t="s">
        <v>165</v>
      </c>
      <c r="B28" s="95">
        <f>IF($B$20-B$19=0,0,C28/($B$20-B$19))</f>
        <v>8787.2340425531911</v>
      </c>
      <c r="C28" s="96">
        <v>413000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5">
      <c r="A29" s="20" t="s">
        <v>166</v>
      </c>
      <c r="B29" s="95">
        <f>IF(B$19=0,0,C29/B$19)</f>
        <v>5412.9032258064517</v>
      </c>
      <c r="C29" s="96">
        <v>167800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17.199999999999989</v>
      </c>
      <c r="M29" s="117">
        <v>1459.8536799808285</v>
      </c>
    </row>
    <row r="30" spans="1:18" x14ac:dyDescent="0.45">
      <c r="A30" s="20" t="s">
        <v>164</v>
      </c>
      <c r="B30" s="95">
        <f>IF(B$21=0,0,C30/B$21)</f>
        <v>-7518.181818181818</v>
      </c>
      <c r="C30" s="96">
        <v>-330800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61.199999999999989</v>
      </c>
      <c r="M30" s="117">
        <v>1468.6685579009436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5">
      <c r="A32" s="19" t="s">
        <v>158</v>
      </c>
      <c r="B32" s="12">
        <v>21</v>
      </c>
      <c r="C32" s="90">
        <v>7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3.9215686274509803E-3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10</v>
      </c>
      <c r="C37" s="98">
        <f t="shared" ref="C37:C49" si="3">IF(B$20=0,0,B37/B$20)</f>
        <v>0.12820512820512819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21</v>
      </c>
      <c r="C38" s="6">
        <f t="shared" si="3"/>
        <v>0.26923076923076922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11</v>
      </c>
      <c r="C39" s="6">
        <f t="shared" si="3"/>
        <v>0.14102564102564102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16</v>
      </c>
      <c r="C40" s="6">
        <f t="shared" si="3"/>
        <v>0.20512820512820512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4</v>
      </c>
      <c r="C41" s="6">
        <f t="shared" si="3"/>
        <v>5.128205128205128E-2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3.8461538461538464E-2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3</v>
      </c>
      <c r="C43" s="6">
        <f t="shared" si="3"/>
        <v>3.8461538461538464E-2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3"/>
        <v>2.564102564102564E-2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4</v>
      </c>
      <c r="C45" s="6">
        <f t="shared" si="3"/>
        <v>5.128205128205128E-2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3</v>
      </c>
      <c r="C46" s="6">
        <f t="shared" si="3"/>
        <v>3.8461538461538464E-2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1</v>
      </c>
      <c r="C49" s="9">
        <f t="shared" si="3"/>
        <v>1.282051282051282E-2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9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1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7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2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5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3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26</v>
      </c>
      <c r="C2" s="134"/>
      <c r="E2" s="26" t="s">
        <v>66</v>
      </c>
      <c r="F2" s="23" t="s">
        <v>22</v>
      </c>
      <c r="G2" s="11">
        <v>53</v>
      </c>
      <c r="H2" s="87">
        <f>IF(B$20=0,0,G2/B$20)</f>
        <v>0.81538461538461537</v>
      </c>
      <c r="I2" s="57">
        <v>4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-992.30769230769226</v>
      </c>
      <c r="Q2" s="76">
        <v>26</v>
      </c>
      <c r="R2" s="63">
        <v>-25800</v>
      </c>
    </row>
    <row r="3" spans="1:18" x14ac:dyDescent="0.45">
      <c r="A3" s="19" t="s">
        <v>8</v>
      </c>
      <c r="B3" s="135">
        <v>204</v>
      </c>
      <c r="C3" s="136"/>
      <c r="E3" s="27" t="s">
        <v>72</v>
      </c>
      <c r="F3" s="24" t="s">
        <v>27</v>
      </c>
      <c r="G3" s="12">
        <v>41</v>
      </c>
      <c r="H3" s="88">
        <f>IF(B$20=0,0,G3/B$20)</f>
        <v>0.63076923076923075</v>
      </c>
      <c r="I3" s="58">
        <v>5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826.92307692307691</v>
      </c>
      <c r="Q3" s="77">
        <v>26</v>
      </c>
      <c r="R3" s="64">
        <v>21500</v>
      </c>
    </row>
    <row r="4" spans="1:18" x14ac:dyDescent="0.45">
      <c r="A4" s="19" t="s">
        <v>6</v>
      </c>
      <c r="B4" s="137">
        <v>123.09999999999998</v>
      </c>
      <c r="C4" s="138"/>
      <c r="E4" s="27" t="s">
        <v>64</v>
      </c>
      <c r="F4" s="24" t="s">
        <v>20</v>
      </c>
      <c r="G4" s="12">
        <v>25</v>
      </c>
      <c r="H4" s="88">
        <f>IF(B$20=0,0,G4/B$20)</f>
        <v>0.38461538461538464</v>
      </c>
      <c r="I4" s="58">
        <v>8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2288.4615384615386</v>
      </c>
      <c r="Q4" s="77">
        <v>26</v>
      </c>
      <c r="R4" s="64">
        <v>59500</v>
      </c>
    </row>
    <row r="5" spans="1:18" x14ac:dyDescent="0.45">
      <c r="A5" s="19" t="s">
        <v>7</v>
      </c>
      <c r="B5" s="125">
        <f>IF(B$2=0,0,B$4/B$2)</f>
        <v>4.7346153846153838</v>
      </c>
      <c r="C5" s="126"/>
      <c r="E5" s="27" t="s">
        <v>67</v>
      </c>
      <c r="F5" s="24" t="s">
        <v>23</v>
      </c>
      <c r="G5" s="12">
        <v>17</v>
      </c>
      <c r="H5" s="88">
        <f>IF(B$20=0,0,G5/B$20)</f>
        <v>0.26153846153846155</v>
      </c>
      <c r="I5" s="58">
        <v>3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108.69565217391305</v>
      </c>
      <c r="Q5" s="77">
        <v>23</v>
      </c>
      <c r="R5" s="64">
        <v>2500</v>
      </c>
    </row>
    <row r="6" spans="1:18" x14ac:dyDescent="0.45">
      <c r="A6" s="19" t="s">
        <v>196</v>
      </c>
      <c r="B6" s="129">
        <v>1522.6913378373931</v>
      </c>
      <c r="C6" s="130"/>
      <c r="E6" s="27" t="s">
        <v>159</v>
      </c>
      <c r="F6" s="24" t="s">
        <v>160</v>
      </c>
      <c r="G6" s="12">
        <v>16</v>
      </c>
      <c r="H6" s="88">
        <f>IF(B$20=0,0,G6/B$20)</f>
        <v>0.24615384615384617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1405.2631578947369</v>
      </c>
      <c r="Q6" s="77">
        <v>19</v>
      </c>
      <c r="R6" s="64">
        <v>26700</v>
      </c>
    </row>
    <row r="7" spans="1:18" x14ac:dyDescent="0.45">
      <c r="A7" s="19" t="s">
        <v>1</v>
      </c>
      <c r="B7" s="139">
        <f>IF(B$2=0,0,(B$8*1+B$9*2+B$10*3)/B$2)</f>
        <v>1.8846153846153846</v>
      </c>
      <c r="C7" s="140"/>
      <c r="E7" s="27" t="s">
        <v>68</v>
      </c>
      <c r="F7" s="24" t="s">
        <v>12</v>
      </c>
      <c r="G7" s="12">
        <v>15</v>
      </c>
      <c r="H7" s="88">
        <f>IF(B$20=0,0,G7/B$20)</f>
        <v>0.23076923076923078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1672.2222222222222</v>
      </c>
      <c r="Q7" s="78">
        <v>18</v>
      </c>
      <c r="R7" s="65">
        <v>30100</v>
      </c>
    </row>
    <row r="8" spans="1:18" x14ac:dyDescent="0.45">
      <c r="A8" s="19" t="s">
        <v>2</v>
      </c>
      <c r="B8" s="12">
        <v>11</v>
      </c>
      <c r="C8" s="6">
        <f t="shared" ref="C8:C15" si="1">IF(B$2=0,0,B8/B$2)</f>
        <v>0.42307692307692307</v>
      </c>
      <c r="E8" s="27" t="s">
        <v>69</v>
      </c>
      <c r="F8" s="24" t="s">
        <v>24</v>
      </c>
      <c r="G8" s="12">
        <v>10</v>
      </c>
      <c r="H8" s="88">
        <f>IF(B$20=0,0,G8/B$20)</f>
        <v>0.15384615384615385</v>
      </c>
      <c r="I8" s="58">
        <v>3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0.26923076923076922</v>
      </c>
      <c r="E9" s="27" t="s">
        <v>89</v>
      </c>
      <c r="F9" s="24" t="s">
        <v>44</v>
      </c>
      <c r="G9" s="12">
        <v>10</v>
      </c>
      <c r="H9" s="88">
        <f>IF(B$20=0,0,G9/B$20)</f>
        <v>0.15384615384615385</v>
      </c>
      <c r="I9" s="58">
        <v>5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0.30769230769230771</v>
      </c>
      <c r="E10" s="27" t="s">
        <v>71</v>
      </c>
      <c r="F10" s="24" t="s">
        <v>26</v>
      </c>
      <c r="G10" s="12">
        <v>6</v>
      </c>
      <c r="H10" s="88">
        <f>IF(B$20=0,0,G10/B$20)</f>
        <v>9.2307692307692313E-2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-4.583333333333333</v>
      </c>
      <c r="Q10" s="76">
        <v>6</v>
      </c>
      <c r="R10" s="67">
        <v>-27.5</v>
      </c>
    </row>
    <row r="11" spans="1:18" x14ac:dyDescent="0.45">
      <c r="A11" s="20" t="s">
        <v>184</v>
      </c>
      <c r="B11" s="109">
        <f>IF(B8=0,0,C11/B8)</f>
        <v>32.472727272727269</v>
      </c>
      <c r="C11" s="110">
        <v>357.2</v>
      </c>
      <c r="E11" s="27" t="s">
        <v>86</v>
      </c>
      <c r="F11" s="24" t="s">
        <v>41</v>
      </c>
      <c r="G11" s="12">
        <v>6</v>
      </c>
      <c r="H11" s="88">
        <f>IF(B$20=0,0,G11/B$20)</f>
        <v>9.2307692307692313E-2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0.96250000000000124</v>
      </c>
      <c r="Q11" s="77">
        <v>8</v>
      </c>
      <c r="R11" s="68">
        <v>7.7000000000000099</v>
      </c>
    </row>
    <row r="12" spans="1:18" x14ac:dyDescent="0.45">
      <c r="A12" s="20" t="s">
        <v>185</v>
      </c>
      <c r="B12" s="109">
        <f>IF(B9=0,0,C12/B9)</f>
        <v>0.64285714285714246</v>
      </c>
      <c r="C12" s="110">
        <v>4.4999999999999973</v>
      </c>
      <c r="E12" s="27" t="s">
        <v>91</v>
      </c>
      <c r="F12" s="24" t="s">
        <v>46</v>
      </c>
      <c r="G12" s="12">
        <v>5</v>
      </c>
      <c r="H12" s="88">
        <f>IF(B$20=0,0,G12/B$20)</f>
        <v>7.6923076923076927E-2</v>
      </c>
      <c r="I12" s="58">
        <v>1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11.908333333333333</v>
      </c>
      <c r="Q12" s="78">
        <v>12</v>
      </c>
      <c r="R12" s="69">
        <v>142.9</v>
      </c>
    </row>
    <row r="13" spans="1:18" x14ac:dyDescent="0.45">
      <c r="A13" s="20" t="s">
        <v>186</v>
      </c>
      <c r="B13" s="109">
        <f>IF(B10=0,0,C13/B10)</f>
        <v>-29.825000000000003</v>
      </c>
      <c r="C13" s="110">
        <v>-238.60000000000002</v>
      </c>
      <c r="E13" s="27" t="s">
        <v>65</v>
      </c>
      <c r="F13" s="24" t="s">
        <v>21</v>
      </c>
      <c r="G13" s="12">
        <v>3</v>
      </c>
      <c r="H13" s="88">
        <f>IF(B$20=0,0,G13/B$20)</f>
        <v>4.6153846153846156E-2</v>
      </c>
      <c r="I13" s="58">
        <v>10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1.0968614718614706</v>
      </c>
      <c r="C14" s="126"/>
      <c r="E14" s="27" t="s">
        <v>70</v>
      </c>
      <c r="F14" s="24" t="s">
        <v>25</v>
      </c>
      <c r="G14" s="12">
        <v>3</v>
      </c>
      <c r="H14" s="88">
        <f>IF(B$20=0,0,G14/B$20)</f>
        <v>4.6153846153846156E-2</v>
      </c>
      <c r="I14" s="58">
        <v>7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7.6923076923076927E-2</v>
      </c>
      <c r="E15" s="27" t="s">
        <v>81</v>
      </c>
      <c r="F15" s="24" t="s">
        <v>36</v>
      </c>
      <c r="G15" s="12">
        <v>3</v>
      </c>
      <c r="H15" s="88">
        <f>IF(B$20=0,0,G15/B$20)</f>
        <v>4.6153846153846156E-2</v>
      </c>
      <c r="I15" s="58">
        <v>5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44</v>
      </c>
      <c r="C16" s="10">
        <f>IF(B$3=0,0,B16/B$3)</f>
        <v>0.21568627450980393</v>
      </c>
      <c r="E16" s="27" t="s">
        <v>83</v>
      </c>
      <c r="F16" s="24" t="s">
        <v>38</v>
      </c>
      <c r="G16" s="12">
        <v>3</v>
      </c>
      <c r="H16" s="88">
        <f>IF(B$20=0,0,G16/B$20)</f>
        <v>4.6153846153846156E-2</v>
      </c>
      <c r="I16" s="58">
        <v>5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 t="shared" si="2"/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49</v>
      </c>
      <c r="C17" s="6">
        <f>IF(B$3=0,0,B17/B$3)</f>
        <v>0.24019607843137256</v>
      </c>
      <c r="E17" s="27" t="s">
        <v>73</v>
      </c>
      <c r="F17" s="24" t="s">
        <v>28</v>
      </c>
      <c r="G17" s="12">
        <v>2</v>
      </c>
      <c r="H17" s="88">
        <f>IF(B$20=0,0,G17/B$20)</f>
        <v>3.0769230769230771E-2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216</v>
      </c>
      <c r="P17" s="83">
        <f t="shared" si="2"/>
        <v>16.453846153846158</v>
      </c>
      <c r="Q17" s="77">
        <v>13</v>
      </c>
      <c r="R17" s="68">
        <v>213.90000000000003</v>
      </c>
    </row>
    <row r="18" spans="1:18" x14ac:dyDescent="0.45">
      <c r="A18" s="18" t="s">
        <v>123</v>
      </c>
      <c r="B18" s="11">
        <f>B24</f>
        <v>25</v>
      </c>
      <c r="C18" s="5">
        <f>IF(B$16=0,0,B18/B$16)</f>
        <v>0.56818181818181823</v>
      </c>
      <c r="E18" s="27" t="s">
        <v>78</v>
      </c>
      <c r="F18" s="24" t="s">
        <v>33</v>
      </c>
      <c r="G18" s="12">
        <v>2</v>
      </c>
      <c r="H18" s="88">
        <f>IF(B$20=0,0,G18/B$20)</f>
        <v>3.0769230769230771E-2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221</v>
      </c>
      <c r="P18" s="83">
        <f t="shared" si="2"/>
        <v>16.2</v>
      </c>
      <c r="Q18" s="77">
        <v>1</v>
      </c>
      <c r="R18" s="68">
        <v>16.2</v>
      </c>
    </row>
    <row r="19" spans="1:18" x14ac:dyDescent="0.45">
      <c r="A19" s="18" t="s">
        <v>124</v>
      </c>
      <c r="B19" s="11">
        <f>B25</f>
        <v>25</v>
      </c>
      <c r="C19" s="5">
        <f>IF(B$17=0,0,B19/B$17)</f>
        <v>0.51020408163265307</v>
      </c>
      <c r="E19" s="27" t="s">
        <v>75</v>
      </c>
      <c r="F19" s="24" t="s">
        <v>30</v>
      </c>
      <c r="G19" s="12">
        <v>1</v>
      </c>
      <c r="H19" s="88">
        <f>IF(B$20=0,0,G19/B$20)</f>
        <v>1.5384615384615385E-2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190</v>
      </c>
      <c r="P19" s="83">
        <f t="shared" si="2"/>
        <v>6.5999999999999988</v>
      </c>
      <c r="Q19" s="77">
        <v>3</v>
      </c>
      <c r="R19" s="68">
        <v>19.799999999999997</v>
      </c>
    </row>
    <row r="20" spans="1:18" x14ac:dyDescent="0.45">
      <c r="A20" s="18" t="s">
        <v>10</v>
      </c>
      <c r="B20" s="11">
        <f>B23+B22</f>
        <v>65</v>
      </c>
      <c r="C20" s="5">
        <f>IF(B$3=0,0,B20/B$3)</f>
        <v>0.31862745098039214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163</v>
      </c>
      <c r="P20" s="83">
        <f t="shared" si="2"/>
        <v>6.5750000000000002</v>
      </c>
      <c r="Q20" s="77">
        <v>8</v>
      </c>
      <c r="R20" s="68">
        <v>52.6</v>
      </c>
    </row>
    <row r="21" spans="1:18" x14ac:dyDescent="0.45">
      <c r="A21" s="19" t="s">
        <v>13</v>
      </c>
      <c r="B21" s="12">
        <v>30</v>
      </c>
      <c r="C21" s="6">
        <f>IF(B$3=0,0,B21/B$3)</f>
        <v>0.14705882352941177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 t="shared" si="2"/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26</v>
      </c>
      <c r="C22" s="6">
        <f>IF(B$20=0,0,B22/B$20)</f>
        <v>0.4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 t="shared" si="2"/>
        <v>-4.7666666666666666</v>
      </c>
      <c r="Q22" s="77">
        <v>15</v>
      </c>
      <c r="R22" s="68">
        <v>-71.5</v>
      </c>
    </row>
    <row r="23" spans="1:18" x14ac:dyDescent="0.45">
      <c r="A23" s="19" t="s">
        <v>11</v>
      </c>
      <c r="B23" s="12">
        <v>39</v>
      </c>
      <c r="C23" s="6">
        <f>IF(B$20=0,0,B23/B$20)</f>
        <v>0.6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25</v>
      </c>
      <c r="C24" s="6">
        <f>IF(B$20=0,0,B24/B$20)</f>
        <v>0.38461538461538464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25</v>
      </c>
      <c r="C25" s="6">
        <f>IF(B$20=0,0,B25/B$20)</f>
        <v>0.38461538461538464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15</v>
      </c>
      <c r="C26" s="6">
        <f>IF(B$20=0,0,B26/B$20)</f>
        <v>0.23076923076923078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8015.3846153846152</v>
      </c>
      <c r="C27" s="8">
        <v>521000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5">
      <c r="A28" s="20" t="s">
        <v>165</v>
      </c>
      <c r="B28" s="95">
        <f>IF($B$20-B$19=0,0,C28/($B$20-B$19))</f>
        <v>8512.5</v>
      </c>
      <c r="C28" s="96">
        <v>340500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5">
      <c r="A29" s="20" t="s">
        <v>166</v>
      </c>
      <c r="B29" s="95">
        <f>IF(B$19=0,0,C29/B$19)</f>
        <v>7220</v>
      </c>
      <c r="C29" s="96">
        <v>180500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164</v>
      </c>
      <c r="B30" s="95">
        <f>IF(B$21=0,0,C30/B$21)</f>
        <v>-6940</v>
      </c>
      <c r="C30" s="96">
        <v>-208200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30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4.9019607843137254E-3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5</v>
      </c>
      <c r="C37" s="98">
        <f t="shared" ref="C37:C49" si="3">IF(B$20=0,0,B37/B$20)</f>
        <v>7.6923076923076927E-2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16</v>
      </c>
      <c r="C38" s="6">
        <f t="shared" si="3"/>
        <v>0.24615384615384617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3"/>
        <v>0.15384615384615385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3"/>
        <v>0.13846153846153847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7</v>
      </c>
      <c r="C41" s="6">
        <f t="shared" si="3"/>
        <v>0.1076923076923077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7</v>
      </c>
      <c r="C42" s="6">
        <f t="shared" si="3"/>
        <v>0.1076923076923077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3"/>
        <v>7.6923076923076927E-2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3"/>
        <v>4.6153846153846156E-2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1.5384615384615385E-2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1.5384615384615385E-2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1.5384615384615385E-2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34</v>
      </c>
      <c r="C2" s="134"/>
      <c r="E2" s="26" t="s">
        <v>66</v>
      </c>
      <c r="F2" s="23" t="s">
        <v>22</v>
      </c>
      <c r="G2" s="11">
        <v>79</v>
      </c>
      <c r="H2" s="87">
        <f>IF(B$20=0,0,G2/B$20)</f>
        <v>0.76699029126213591</v>
      </c>
      <c r="I2" s="57">
        <v>7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-208.8235294117647</v>
      </c>
      <c r="Q2" s="76">
        <v>34</v>
      </c>
      <c r="R2" s="63">
        <v>-7100</v>
      </c>
    </row>
    <row r="3" spans="1:18" x14ac:dyDescent="0.45">
      <c r="A3" s="19" t="s">
        <v>8</v>
      </c>
      <c r="B3" s="135">
        <v>299</v>
      </c>
      <c r="C3" s="136"/>
      <c r="E3" s="27" t="s">
        <v>72</v>
      </c>
      <c r="F3" s="24" t="s">
        <v>27</v>
      </c>
      <c r="G3" s="12">
        <v>67</v>
      </c>
      <c r="H3" s="88">
        <f>IF(B$20=0,0,G3/B$20)</f>
        <v>0.65048543689320393</v>
      </c>
      <c r="I3" s="58">
        <v>3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2331.25</v>
      </c>
      <c r="Q3" s="77">
        <v>32</v>
      </c>
      <c r="R3" s="64">
        <v>74600</v>
      </c>
    </row>
    <row r="4" spans="1:18" x14ac:dyDescent="0.45">
      <c r="A4" s="19" t="s">
        <v>6</v>
      </c>
      <c r="B4" s="137">
        <v>320.7</v>
      </c>
      <c r="C4" s="138"/>
      <c r="E4" s="27" t="s">
        <v>159</v>
      </c>
      <c r="F4" s="24" t="s">
        <v>160</v>
      </c>
      <c r="G4" s="12">
        <v>51</v>
      </c>
      <c r="H4" s="88">
        <f>IF(B$20=0,0,G4/B$20)</f>
        <v>0.49514563106796117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145.45454545454547</v>
      </c>
      <c r="Q4" s="77">
        <v>33</v>
      </c>
      <c r="R4" s="64">
        <v>4800</v>
      </c>
    </row>
    <row r="5" spans="1:18" x14ac:dyDescent="0.45">
      <c r="A5" s="19" t="s">
        <v>7</v>
      </c>
      <c r="B5" s="125">
        <f>IF(B$2=0,0,B$4/B$2)</f>
        <v>9.4323529411764699</v>
      </c>
      <c r="C5" s="126"/>
      <c r="E5" s="27" t="s">
        <v>64</v>
      </c>
      <c r="F5" s="24" t="s">
        <v>20</v>
      </c>
      <c r="G5" s="12">
        <v>34</v>
      </c>
      <c r="H5" s="88">
        <f>IF(B$20=0,0,G5/B$20)</f>
        <v>0.3300970873786408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1220</v>
      </c>
      <c r="Q5" s="77">
        <v>30</v>
      </c>
      <c r="R5" s="64">
        <v>36600</v>
      </c>
    </row>
    <row r="6" spans="1:18" x14ac:dyDescent="0.45">
      <c r="A6" s="19" t="s">
        <v>196</v>
      </c>
      <c r="B6" s="129">
        <v>1587.2015837819306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0.27184466019417475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1889.2857142857142</v>
      </c>
      <c r="Q6" s="77">
        <v>28</v>
      </c>
      <c r="R6" s="64">
        <v>52900</v>
      </c>
    </row>
    <row r="7" spans="1:18" x14ac:dyDescent="0.45">
      <c r="A7" s="19" t="s">
        <v>1</v>
      </c>
      <c r="B7" s="139">
        <f>IF(B$2=0,0,(B$8*1+B$9*2+B$10*3)/B$2)</f>
        <v>1.7058823529411764</v>
      </c>
      <c r="C7" s="140"/>
      <c r="E7" s="27" t="s">
        <v>70</v>
      </c>
      <c r="F7" s="24" t="s">
        <v>25</v>
      </c>
      <c r="G7" s="12">
        <v>15</v>
      </c>
      <c r="H7" s="88">
        <f>IF(B$20=0,0,G7/B$20)</f>
        <v>0.14563106796116504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-59.090909090909093</v>
      </c>
      <c r="Q7" s="78">
        <v>22</v>
      </c>
      <c r="R7" s="65">
        <v>-1300</v>
      </c>
    </row>
    <row r="8" spans="1:18" x14ac:dyDescent="0.45">
      <c r="A8" s="19" t="s">
        <v>2</v>
      </c>
      <c r="B8" s="12">
        <v>17</v>
      </c>
      <c r="C8" s="6">
        <f t="shared" ref="C8:C15" si="1">IF(B$2=0,0,B8/B$2)</f>
        <v>0.5</v>
      </c>
      <c r="E8" s="27" t="s">
        <v>67</v>
      </c>
      <c r="F8" s="24" t="s">
        <v>23</v>
      </c>
      <c r="G8" s="12">
        <v>14</v>
      </c>
      <c r="H8" s="88">
        <f>IF(B$20=0,0,G8/B$20)</f>
        <v>0.13592233009708737</v>
      </c>
      <c r="I8" s="58">
        <v>9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10</v>
      </c>
      <c r="C9" s="6">
        <f t="shared" si="1"/>
        <v>0.29411764705882354</v>
      </c>
      <c r="E9" s="27" t="s">
        <v>89</v>
      </c>
      <c r="F9" s="24" t="s">
        <v>44</v>
      </c>
      <c r="G9" s="12">
        <v>11</v>
      </c>
      <c r="H9" s="88">
        <f>IF(B$20=0,0,G9/B$20)</f>
        <v>0.10679611650485436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0.20588235294117646</v>
      </c>
      <c r="E10" s="27" t="s">
        <v>69</v>
      </c>
      <c r="F10" s="24" t="s">
        <v>24</v>
      </c>
      <c r="G10" s="12">
        <v>8</v>
      </c>
      <c r="H10" s="88">
        <f>IF(B$20=0,0,G10/B$20)</f>
        <v>7.7669902912621352E-2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18.3</v>
      </c>
      <c r="Q10" s="76">
        <v>15</v>
      </c>
      <c r="R10" s="67">
        <v>274.5</v>
      </c>
    </row>
    <row r="11" spans="1:18" x14ac:dyDescent="0.45">
      <c r="A11" s="20" t="s">
        <v>184</v>
      </c>
      <c r="B11" s="109">
        <f>IF(B8=0,0,C11/B8)</f>
        <v>36.511764705882356</v>
      </c>
      <c r="C11" s="110">
        <v>620.70000000000005</v>
      </c>
      <c r="E11" s="27" t="s">
        <v>71</v>
      </c>
      <c r="F11" s="24" t="s">
        <v>26</v>
      </c>
      <c r="G11" s="12">
        <v>8</v>
      </c>
      <c r="H11" s="88">
        <f>IF(B$20=0,0,G11/B$20)</f>
        <v>7.7669902912621352E-2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-1.2769230769230764</v>
      </c>
      <c r="Q11" s="77">
        <v>13</v>
      </c>
      <c r="R11" s="68">
        <v>-16.599999999999994</v>
      </c>
    </row>
    <row r="12" spans="1:18" x14ac:dyDescent="0.45">
      <c r="A12" s="20" t="s">
        <v>185</v>
      </c>
      <c r="B12" s="109">
        <f>IF(B9=0,0,C12/B9)</f>
        <v>-5.2099999999999991</v>
      </c>
      <c r="C12" s="110">
        <v>-52.099999999999994</v>
      </c>
      <c r="E12" s="27" t="s">
        <v>65</v>
      </c>
      <c r="F12" s="24" t="s">
        <v>21</v>
      </c>
      <c r="G12" s="12">
        <v>5</v>
      </c>
      <c r="H12" s="88">
        <f>IF(B$20=0,0,G12/B$20)</f>
        <v>4.8543689320388349E-2</v>
      </c>
      <c r="I12" s="58">
        <v>9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10.466666666666667</v>
      </c>
      <c r="Q12" s="78">
        <v>6</v>
      </c>
      <c r="R12" s="69">
        <v>62.8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78</v>
      </c>
      <c r="F13" s="24" t="s">
        <v>33</v>
      </c>
      <c r="G13" s="12">
        <v>4</v>
      </c>
      <c r="H13" s="88">
        <f>IF(B$20=0,0,G13/B$20)</f>
        <v>3.8834951456310676E-2</v>
      </c>
      <c r="I13" s="58">
        <v>3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-1.3708403361344541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2.9126213592233011E-2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5.8823529411764705E-2</v>
      </c>
      <c r="E15" s="27" t="s">
        <v>81</v>
      </c>
      <c r="F15" s="24" t="s">
        <v>36</v>
      </c>
      <c r="G15" s="12">
        <v>3</v>
      </c>
      <c r="H15" s="88">
        <f>IF(B$20=0,0,G15/B$20)</f>
        <v>2.9126213592233011E-2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67</v>
      </c>
      <c r="C16" s="10">
        <f>IF(B$3=0,0,B16/B$3)</f>
        <v>0.22408026755852842</v>
      </c>
      <c r="E16" s="27" t="s">
        <v>86</v>
      </c>
      <c r="F16" s="24" t="s">
        <v>41</v>
      </c>
      <c r="G16" s="12">
        <v>3</v>
      </c>
      <c r="H16" s="88">
        <f>IF(B$20=0,0,G16/B$20)</f>
        <v>2.9126213592233011E-2</v>
      </c>
      <c r="I16" s="58">
        <v>7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78</v>
      </c>
      <c r="C17" s="6">
        <f>IF(B$3=0,0,B17/B$3)</f>
        <v>0.2608695652173913</v>
      </c>
      <c r="E17" s="27" t="s">
        <v>83</v>
      </c>
      <c r="F17" s="24" t="s">
        <v>38</v>
      </c>
      <c r="G17" s="12">
        <v>2</v>
      </c>
      <c r="H17" s="88">
        <f>IF(B$20=0,0,G17/B$20)</f>
        <v>1.9417475728155338E-2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17.920000000000002</v>
      </c>
      <c r="Q17" s="77">
        <v>15</v>
      </c>
      <c r="R17" s="68">
        <v>268.8</v>
      </c>
    </row>
    <row r="18" spans="1:18" x14ac:dyDescent="0.45">
      <c r="A18" s="18" t="s">
        <v>123</v>
      </c>
      <c r="B18" s="11">
        <f>B24</f>
        <v>35</v>
      </c>
      <c r="C18" s="5">
        <f>IF(B$16=0,0,B18/B$16)</f>
        <v>0.52238805970149249</v>
      </c>
      <c r="E18" s="27" t="s">
        <v>73</v>
      </c>
      <c r="F18" s="24" t="s">
        <v>28</v>
      </c>
      <c r="G18" s="12">
        <v>1</v>
      </c>
      <c r="H18" s="88">
        <f>IF(B$20=0,0,G18/B$20)</f>
        <v>9.7087378640776691E-3</v>
      </c>
      <c r="I18" s="58">
        <v>2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37</v>
      </c>
      <c r="C19" s="5">
        <f>IF(B$17=0,0,B19/B$17)</f>
        <v>0.47435897435897434</v>
      </c>
      <c r="E19" s="27" t="s">
        <v>88</v>
      </c>
      <c r="F19" s="24" t="s">
        <v>43</v>
      </c>
      <c r="G19" s="12">
        <v>1</v>
      </c>
      <c r="H19" s="88">
        <f>IF(B$20=0,0,G19/B$20)</f>
        <v>9.7087378640776691E-3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126</v>
      </c>
      <c r="P19" s="83">
        <f t="shared" si="2"/>
        <v>16.035714285714285</v>
      </c>
      <c r="Q19" s="77">
        <v>28</v>
      </c>
      <c r="R19" s="68">
        <v>448.99999999999994</v>
      </c>
    </row>
    <row r="20" spans="1:18" x14ac:dyDescent="0.45">
      <c r="A20" s="18" t="s">
        <v>10</v>
      </c>
      <c r="B20" s="11">
        <f>B23+B22</f>
        <v>103</v>
      </c>
      <c r="C20" s="5">
        <f>IF(B$3=0,0,B20/B$3)</f>
        <v>0.34448160535117056</v>
      </c>
      <c r="E20" s="27" t="s">
        <v>92</v>
      </c>
      <c r="F20" s="24" t="s">
        <v>47</v>
      </c>
      <c r="G20" s="12">
        <v>1</v>
      </c>
      <c r="H20" s="88">
        <f>IF(B$20=0,0,G20/B$20)</f>
        <v>9.7087378640776691E-3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14.785714285714286</v>
      </c>
      <c r="Q20" s="77">
        <v>7</v>
      </c>
      <c r="R20" s="68">
        <v>103.5</v>
      </c>
    </row>
    <row r="21" spans="1:18" x14ac:dyDescent="0.45">
      <c r="A21" s="19" t="s">
        <v>13</v>
      </c>
      <c r="B21" s="12">
        <v>39</v>
      </c>
      <c r="C21" s="6">
        <f>IF(B$3=0,0,B21/B$3)</f>
        <v>0.13043478260869565</v>
      </c>
      <c r="E21" s="27" t="s">
        <v>102</v>
      </c>
      <c r="F21" s="24" t="s">
        <v>57</v>
      </c>
      <c r="G21" s="12">
        <v>1</v>
      </c>
      <c r="H21" s="88">
        <f>IF(B$20=0,0,G21/B$20)</f>
        <v>9.7087378640776691E-3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42</v>
      </c>
      <c r="C22" s="6">
        <f>IF(B$20=0,0,B22/B$20)</f>
        <v>0.40776699029126212</v>
      </c>
      <c r="E22" s="27" t="s">
        <v>155</v>
      </c>
      <c r="F22" s="24" t="s">
        <v>156</v>
      </c>
      <c r="G22" s="12">
        <v>1</v>
      </c>
      <c r="H22" s="88">
        <f>IF(B$20=0,0,G22/B$20)</f>
        <v>9.7087378640776691E-3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61</v>
      </c>
      <c r="C23" s="6">
        <f>IF(B$20=0,0,B23/B$20)</f>
        <v>0.59223300970873782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35</v>
      </c>
      <c r="C24" s="6">
        <f>IF(B$20=0,0,B24/B$20)</f>
        <v>0.33980582524271846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37</v>
      </c>
      <c r="C25" s="6">
        <f>IF(B$20=0,0,B25/B$20)</f>
        <v>0.35922330097087379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31</v>
      </c>
      <c r="C26" s="6">
        <f>IF(B$20=0,0,B26/B$20)</f>
        <v>0.30097087378640774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7923.3009708737864</v>
      </c>
      <c r="C27" s="8">
        <v>816100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9462.121212121212</v>
      </c>
      <c r="C28" s="96">
        <v>624500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5178.3783783783783</v>
      </c>
      <c r="C29" s="96">
        <v>191600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38</v>
      </c>
      <c r="C32" s="90">
        <v>38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5">
      <c r="A37" s="54" t="s">
        <v>171</v>
      </c>
      <c r="B37" s="123">
        <v>10</v>
      </c>
      <c r="C37" s="98">
        <f t="shared" ref="C37:C49" si="3">IF(B$20=0,0,B37/B$20)</f>
        <v>9.7087378640776698E-2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23</v>
      </c>
      <c r="C38" s="6">
        <f t="shared" si="3"/>
        <v>0.22330097087378642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24</v>
      </c>
      <c r="C39" s="6">
        <f t="shared" si="3"/>
        <v>0.23300970873786409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15</v>
      </c>
      <c r="C40" s="6">
        <f t="shared" si="3"/>
        <v>0.14563106796116504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14</v>
      </c>
      <c r="C41" s="6">
        <f t="shared" si="3"/>
        <v>0.13592233009708737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3"/>
        <v>2.9126213592233011E-2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8</v>
      </c>
      <c r="C43" s="6">
        <f t="shared" si="3"/>
        <v>7.7669902912621352E-2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3"/>
        <v>1.9417475728155338E-2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3"/>
        <v>9.7087378640776691E-3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3"/>
        <v>9.7087378640776691E-3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3"/>
        <v>1.9417475728155338E-2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5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5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5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3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5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5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10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5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8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5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6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4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8</v>
      </c>
      <c r="C2" s="134"/>
      <c r="E2" s="26" t="s">
        <v>66</v>
      </c>
      <c r="F2" s="23" t="s">
        <v>22</v>
      </c>
      <c r="G2" s="11">
        <v>16</v>
      </c>
      <c r="H2" s="87">
        <f>IF(B$20=0,0,G2/B$20)</f>
        <v>0.84210526315789469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-5575</v>
      </c>
      <c r="Q2" s="76">
        <v>8</v>
      </c>
      <c r="R2" s="63">
        <v>-44600</v>
      </c>
    </row>
    <row r="3" spans="1:18" x14ac:dyDescent="0.45">
      <c r="A3" s="19" t="s">
        <v>8</v>
      </c>
      <c r="B3" s="135">
        <v>65</v>
      </c>
      <c r="C3" s="136"/>
      <c r="E3" s="27" t="s">
        <v>159</v>
      </c>
      <c r="F3" s="24" t="s">
        <v>160</v>
      </c>
      <c r="G3" s="12">
        <v>12</v>
      </c>
      <c r="H3" s="88">
        <f>IF(B$20=0,0,G3/B$20)</f>
        <v>0.63157894736842102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6157.1428571428569</v>
      </c>
      <c r="Q3" s="77">
        <v>7</v>
      </c>
      <c r="R3" s="64">
        <v>43100</v>
      </c>
    </row>
    <row r="4" spans="1:18" x14ac:dyDescent="0.45">
      <c r="A4" s="19" t="s">
        <v>6</v>
      </c>
      <c r="B4" s="137">
        <v>-45.7</v>
      </c>
      <c r="C4" s="138"/>
      <c r="E4" s="27" t="s">
        <v>64</v>
      </c>
      <c r="F4" s="24" t="s">
        <v>20</v>
      </c>
      <c r="G4" s="12">
        <v>10</v>
      </c>
      <c r="H4" s="88">
        <f>IF(B$20=0,0,G4/B$20)</f>
        <v>0.52631578947368418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-1325</v>
      </c>
      <c r="Q4" s="77">
        <v>8</v>
      </c>
      <c r="R4" s="64">
        <v>-10600</v>
      </c>
    </row>
    <row r="5" spans="1:18" x14ac:dyDescent="0.45">
      <c r="A5" s="19" t="s">
        <v>7</v>
      </c>
      <c r="B5" s="125">
        <f>IF(B$2=0,0,B$4/B$2)</f>
        <v>-5.7125000000000004</v>
      </c>
      <c r="C5" s="126"/>
      <c r="E5" s="27" t="s">
        <v>68</v>
      </c>
      <c r="F5" s="24" t="s">
        <v>12</v>
      </c>
      <c r="G5" s="12">
        <v>9</v>
      </c>
      <c r="H5" s="88">
        <f>IF(B$20=0,0,G5/B$20)</f>
        <v>0.47368421052631576</v>
      </c>
      <c r="I5" s="58">
        <v>2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-3500</v>
      </c>
      <c r="Q5" s="77">
        <v>7</v>
      </c>
      <c r="R5" s="64">
        <v>-24500</v>
      </c>
    </row>
    <row r="6" spans="1:18" x14ac:dyDescent="0.45">
      <c r="A6" s="19" t="s">
        <v>196</v>
      </c>
      <c r="B6" s="129">
        <v>1392.9145746195986</v>
      </c>
      <c r="C6" s="130"/>
      <c r="E6" s="27" t="s">
        <v>72</v>
      </c>
      <c r="F6" s="24" t="s">
        <v>27</v>
      </c>
      <c r="G6" s="12">
        <v>8</v>
      </c>
      <c r="H6" s="88">
        <f>IF(B$20=0,0,G6/B$20)</f>
        <v>0.42105263157894735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1742.8571428571429</v>
      </c>
      <c r="Q6" s="77">
        <v>7</v>
      </c>
      <c r="R6" s="64">
        <v>12200</v>
      </c>
    </row>
    <row r="7" spans="1:18" x14ac:dyDescent="0.45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</v>
      </c>
      <c r="H7" s="88">
        <f>IF(B$20=0,0,G7/B$20)</f>
        <v>0.36842105263157893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1285.7142857142858</v>
      </c>
      <c r="Q7" s="78">
        <v>7</v>
      </c>
      <c r="R7" s="65">
        <v>9000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6</v>
      </c>
      <c r="H8" s="88">
        <f>IF(B$20=0,0,G8/B$20)</f>
        <v>0.31578947368421051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3</v>
      </c>
      <c r="H9" s="88">
        <f>IF(B$20=0,0,G9/B$20)</f>
        <v>0.15789473684210525</v>
      </c>
      <c r="I9" s="58">
        <v>2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5.2631578947368418E-2</v>
      </c>
      <c r="I10" s="58">
        <v>6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28.724999999999998</v>
      </c>
      <c r="C11" s="110">
        <v>114.89999999999999</v>
      </c>
      <c r="E11" s="27" t="s">
        <v>81</v>
      </c>
      <c r="F11" s="24" t="s">
        <v>36</v>
      </c>
      <c r="G11" s="12">
        <v>1</v>
      </c>
      <c r="H11" s="88">
        <f>IF(B$20=0,0,G11/B$20)</f>
        <v>5.2631578947368418E-2</v>
      </c>
      <c r="I11" s="58">
        <v>3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89</v>
      </c>
      <c r="F12" s="24" t="s">
        <v>44</v>
      </c>
      <c r="G12" s="12">
        <v>1</v>
      </c>
      <c r="H12" s="88">
        <f>IF(B$20=0,0,G12/B$20)</f>
        <v>5.2631578947368418E-2</v>
      </c>
      <c r="I12" s="58">
        <v>11</v>
      </c>
      <c r="O12" s="75" t="s">
        <v>153</v>
      </c>
      <c r="P12" s="84">
        <f>IF(Q12=0,0,R12/Q12)</f>
        <v>-7.0250000000000004</v>
      </c>
      <c r="Q12" s="78">
        <v>4</v>
      </c>
      <c r="R12" s="69">
        <v>-28.1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-3.8083333333333336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0.25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39.850000000000009</v>
      </c>
      <c r="Q15" s="76">
        <v>2</v>
      </c>
      <c r="R15" s="67">
        <v>79.700000000000017</v>
      </c>
    </row>
    <row r="16" spans="1:18" x14ac:dyDescent="0.45">
      <c r="A16" s="22" t="s">
        <v>121</v>
      </c>
      <c r="B16" s="15">
        <v>13</v>
      </c>
      <c r="C16" s="10">
        <f>IF(B$3=0,0,B16/B$3)</f>
        <v>0.2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5">
      <c r="A17" s="19" t="s">
        <v>118</v>
      </c>
      <c r="B17" s="12">
        <v>9</v>
      </c>
      <c r="C17" s="6">
        <f>IF(B$3=0,0,B17/B$3)</f>
        <v>0.13846153846153847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0.45000000000000046</v>
      </c>
      <c r="Q17" s="77">
        <v>6</v>
      </c>
      <c r="R17" s="68">
        <v>2.7000000000000028</v>
      </c>
    </row>
    <row r="18" spans="1:18" x14ac:dyDescent="0.45">
      <c r="A18" s="18" t="s">
        <v>123</v>
      </c>
      <c r="B18" s="11">
        <f>B24</f>
        <v>10</v>
      </c>
      <c r="C18" s="5">
        <f>IF(B$16=0,0,B18/B$16)</f>
        <v>0.76923076923076927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  <c r="O18" s="74" t="s">
        <v>192</v>
      </c>
      <c r="P18" s="83">
        <f>IF(Q18=0,0,R18/Q18)</f>
        <v>-36.479999999999997</v>
      </c>
      <c r="Q18" s="77">
        <v>5</v>
      </c>
      <c r="R18" s="68">
        <v>-182.39999999999998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0.44444444444444442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8</v>
      </c>
      <c r="O19" s="74" t="s">
        <v>211</v>
      </c>
      <c r="P19" s="83">
        <f>IF(Q19=0,0,R19/Q19)</f>
        <v>-44.4</v>
      </c>
      <c r="Q19" s="77">
        <v>1</v>
      </c>
      <c r="R19" s="68">
        <v>-44.4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0.29230769230769232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</row>
    <row r="21" spans="1:18" x14ac:dyDescent="0.45">
      <c r="A21" s="19" t="s">
        <v>13</v>
      </c>
      <c r="B21" s="12">
        <v>11</v>
      </c>
      <c r="C21" s="6">
        <f>IF(B$3=0,0,B21/B$3)</f>
        <v>0.16923076923076924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9</v>
      </c>
      <c r="C22" s="6">
        <f>IF(B$20=0,0,B22/B$20)</f>
        <v>0.47368421052631576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0.52631578947368418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10</v>
      </c>
      <c r="C24" s="6">
        <f>IF(B$20=0,0,B24/B$20)</f>
        <v>0.52631578947368418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0.21052631578947367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5</v>
      </c>
      <c r="C26" s="6">
        <f>IF(B$20=0,0,B26/B$20)</f>
        <v>0.26315789473684209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8526.3157894736851</v>
      </c>
      <c r="C27" s="8">
        <v>162000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8720</v>
      </c>
      <c r="C28" s="96">
        <v>130800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7800</v>
      </c>
      <c r="C29" s="96">
        <v>31200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-7154.545454545455</v>
      </c>
      <c r="C30" s="96">
        <v>-78700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1.5384615384615385E-2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4</v>
      </c>
      <c r="C38" s="6">
        <f t="shared" si="2"/>
        <v>0.21052631578947367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4</v>
      </c>
      <c r="C39" s="6">
        <f t="shared" si="2"/>
        <v>0.21052631578947367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5</v>
      </c>
      <c r="C40" s="6">
        <f t="shared" si="2"/>
        <v>0.26315789473684209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0.10526315789473684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2"/>
        <v>0.15789473684210525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1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4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1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5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5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2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5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5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3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5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5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2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5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5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31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5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5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5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5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5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2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5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5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5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5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5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5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5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6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5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5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5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5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5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5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5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7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5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5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5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5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5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5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5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5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5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2020-11-10T12:01:51Z</dcterms:modified>
</cp:coreProperties>
</file>