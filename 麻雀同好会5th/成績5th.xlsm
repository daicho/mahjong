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15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16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7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8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19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1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2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3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24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25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6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27.xml" ContentType="application/vnd.openxmlformats-officedocument.drawing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28.xml" ContentType="application/vnd.openxmlformats-officedocument.drawing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"/>
    </mc:Choice>
  </mc:AlternateContent>
  <xr:revisionPtr revIDLastSave="0" documentId="13_ncr:1_{EC53EBE3-F6D6-4E84-B999-CA47A38D5907}" xr6:coauthVersionLast="45" xr6:coauthVersionMax="45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958" r:id="rId6"/>
    <sheet name="だいち" sheetId="6960" r:id="rId7"/>
    <sheet name="れんたろう" sheetId="6962" r:id="rId8"/>
    <sheet name="たかの" sheetId="6964" r:id="rId9"/>
    <sheet name="まっつん" sheetId="6966" r:id="rId10"/>
    <sheet name="いちかわ" sheetId="6968" r:id="rId11"/>
    <sheet name="ただ" sheetId="6970" r:id="rId12"/>
    <sheet name="たか" sheetId="6972" r:id="rId13"/>
    <sheet name="のり" sheetId="6974" r:id="rId14"/>
    <sheet name="りくと" sheetId="6976" r:id="rId15"/>
    <sheet name="わさび" sheetId="6978" r:id="rId16"/>
    <sheet name="わさび2" sheetId="6979" state="hidden" r:id="rId17"/>
    <sheet name="りくと2" sheetId="6977" state="hidden" r:id="rId18"/>
    <sheet name="のり2" sheetId="6975" state="hidden" r:id="rId19"/>
    <sheet name="たか2" sheetId="6973" state="hidden" r:id="rId20"/>
    <sheet name="ただ2" sheetId="6971" state="hidden" r:id="rId21"/>
    <sheet name="いちかわ2" sheetId="6969" state="hidden" r:id="rId22"/>
    <sheet name="まっつん2" sheetId="6967" state="hidden" r:id="rId23"/>
    <sheet name="たかの2" sheetId="6965" state="hidden" r:id="rId24"/>
    <sheet name="れんたろう2" sheetId="6963" state="hidden" r:id="rId25"/>
    <sheet name="だいち2" sheetId="6961" state="hidden" r:id="rId26"/>
    <sheet name="全体2" sheetId="6959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リーチ率" sheetId="3524" state="hidden" r:id="rId38"/>
    <sheet name="副露率" sheetId="3525" state="hidden" r:id="rId39"/>
    <sheet name="リーチ成功率" sheetId="4841" state="hidden" r:id="rId40"/>
    <sheet name="副露成功率" sheetId="3527" state="hidden" r:id="rId41"/>
    <sheet name="ツモ率" sheetId="3528" state="hidden" r:id="rId42"/>
  </sheets>
  <definedNames>
    <definedName name="アガリ数" localSheetId="3">Template1!$B$20</definedName>
    <definedName name="アガリ数" localSheetId="10">いちかわ!$B$20</definedName>
    <definedName name="アガリ数" localSheetId="6">だいち!$B$20</definedName>
    <definedName name="アガリ数" localSheetId="12">たか!$B$20</definedName>
    <definedName name="アガリ数" localSheetId="8">たかの!$B$20</definedName>
    <definedName name="アガリ数" localSheetId="11">ただ!$B$20</definedName>
    <definedName name="アガリ数" localSheetId="13">のり!$B$20</definedName>
    <definedName name="アガリ数" localSheetId="9">まっつん!$B$20</definedName>
    <definedName name="アガリ数" localSheetId="14">りくと!$B$20</definedName>
    <definedName name="アガリ数" localSheetId="7">れんたろう!$B$20</definedName>
    <definedName name="アガリ数" localSheetId="15">わさび!$B$20</definedName>
    <definedName name="アガリ数" localSheetId="5">全体!$B$20</definedName>
    <definedName name="アガリ率" localSheetId="3">Template1!$C$20</definedName>
    <definedName name="アガリ率" localSheetId="10">いちかわ!$C$20</definedName>
    <definedName name="アガリ率" localSheetId="6">だいち!$C$20</definedName>
    <definedName name="アガリ率" localSheetId="12">たか!$C$20</definedName>
    <definedName name="アガリ率" localSheetId="8">たかの!$C$20</definedName>
    <definedName name="アガリ率" localSheetId="11">ただ!$C$20</definedName>
    <definedName name="アガリ率" localSheetId="13">のり!$C$20</definedName>
    <definedName name="アガリ率" localSheetId="9">まっつん!$C$20</definedName>
    <definedName name="アガリ率" localSheetId="14">りくと!$C$20</definedName>
    <definedName name="アガリ率" localSheetId="7">れんたろう!$C$20</definedName>
    <definedName name="アガリ率" localSheetId="15">わさび!$C$20</definedName>
    <definedName name="アガリ率" localSheetId="5">全体!$C$20</definedName>
    <definedName name="ダマアガリ数" localSheetId="3">Template1!$B$26</definedName>
    <definedName name="ダマアガリ数" localSheetId="10">いちかわ!$B$26</definedName>
    <definedName name="ダマアガリ数" localSheetId="6">だいち!$B$26</definedName>
    <definedName name="ダマアガリ数" localSheetId="12">たか!$B$26</definedName>
    <definedName name="ダマアガリ数" localSheetId="8">たかの!$B$26</definedName>
    <definedName name="ダマアガリ数" localSheetId="11">ただ!$B$26</definedName>
    <definedName name="ダマアガリ数" localSheetId="13">のり!$B$26</definedName>
    <definedName name="ダマアガリ数" localSheetId="9">まっつん!$B$26</definedName>
    <definedName name="ダマアガリ数" localSheetId="14">りくと!$B$26</definedName>
    <definedName name="ダマアガリ数" localSheetId="7">れんたろう!$B$26</definedName>
    <definedName name="ダマアガリ数" localSheetId="15">わさび!$B$26</definedName>
    <definedName name="ダマアガリ数" localSheetId="5">全体!$B$26</definedName>
    <definedName name="ダマアガリ率" localSheetId="3">Template1!$C$26</definedName>
    <definedName name="ダマアガリ率" localSheetId="10">いちかわ!$C$26</definedName>
    <definedName name="ダマアガリ率" localSheetId="6">だいち!$C$26</definedName>
    <definedName name="ダマアガリ率" localSheetId="12">たか!$C$26</definedName>
    <definedName name="ダマアガリ率" localSheetId="8">たかの!$C$26</definedName>
    <definedName name="ダマアガリ率" localSheetId="11">ただ!$C$26</definedName>
    <definedName name="ダマアガリ率" localSheetId="13">のり!$C$26</definedName>
    <definedName name="ダマアガリ率" localSheetId="9">まっつん!$C$26</definedName>
    <definedName name="ダマアガリ率" localSheetId="14">りくと!$C$26</definedName>
    <definedName name="ダマアガリ率" localSheetId="7">れんたろう!$C$26</definedName>
    <definedName name="ダマアガリ率" localSheetId="15">わさび!$C$26</definedName>
    <definedName name="ダマアガリ率" localSheetId="5">全体!$C$26</definedName>
    <definedName name="チョンボ数" localSheetId="3">Template1!$B$35</definedName>
    <definedName name="チョンボ数" localSheetId="10">いちかわ!$B$35</definedName>
    <definedName name="チョンボ数" localSheetId="6">だいち!$B$35</definedName>
    <definedName name="チョンボ数" localSheetId="12">たか!$B$35</definedName>
    <definedName name="チョンボ数" localSheetId="8">たかの!$B$35</definedName>
    <definedName name="チョンボ数" localSheetId="11">ただ!$B$35</definedName>
    <definedName name="チョンボ数" localSheetId="13">のり!$B$35</definedName>
    <definedName name="チョンボ数" localSheetId="9">まっつん!$B$35</definedName>
    <definedName name="チョンボ数" localSheetId="14">りくと!$B$35</definedName>
    <definedName name="チョンボ数" localSheetId="7">れんたろう!$B$35</definedName>
    <definedName name="チョンボ数" localSheetId="15">わさび!$B$35</definedName>
    <definedName name="チョンボ数" localSheetId="5">全体!$B$35</definedName>
    <definedName name="チョンボ率" localSheetId="3">Template1!$C$35</definedName>
    <definedName name="チョンボ率" localSheetId="10">いちかわ!$C$35</definedName>
    <definedName name="チョンボ率" localSheetId="6">だいち!$C$35</definedName>
    <definedName name="チョンボ率" localSheetId="12">たか!$C$35</definedName>
    <definedName name="チョンボ率" localSheetId="8">たかの!$C$35</definedName>
    <definedName name="チョンボ率" localSheetId="11">ただ!$C$35</definedName>
    <definedName name="チョンボ率" localSheetId="13">のり!$C$35</definedName>
    <definedName name="チョンボ率" localSheetId="9">まっつん!$C$35</definedName>
    <definedName name="チョンボ率" localSheetId="14">りくと!$C$35</definedName>
    <definedName name="チョンボ率" localSheetId="7">れんたろう!$C$35</definedName>
    <definedName name="チョンボ率" localSheetId="15">わさび!$C$35</definedName>
    <definedName name="チョンボ率" localSheetId="5">全体!$C$35</definedName>
    <definedName name="ツモ数" localSheetId="3">Template1!$B$22</definedName>
    <definedName name="ツモ数" localSheetId="10">いちかわ!$B$22</definedName>
    <definedName name="ツモ数" localSheetId="6">だいち!$B$22</definedName>
    <definedName name="ツモ数" localSheetId="12">たか!$B$22</definedName>
    <definedName name="ツモ数" localSheetId="8">たかの!$B$22</definedName>
    <definedName name="ツモ数" localSheetId="11">ただ!$B$22</definedName>
    <definedName name="ツモ数" localSheetId="13">のり!$B$22</definedName>
    <definedName name="ツモ数" localSheetId="9">まっつん!$B$22</definedName>
    <definedName name="ツモ数" localSheetId="14">りくと!$B$22</definedName>
    <definedName name="ツモ数" localSheetId="7">れんたろう!$B$22</definedName>
    <definedName name="ツモ数" localSheetId="15">わさび!$B$22</definedName>
    <definedName name="ツモ数" localSheetId="5">全体!$B$22</definedName>
    <definedName name="ツモ率" localSheetId="3">Template1!$C$22</definedName>
    <definedName name="ツモ率" localSheetId="10">いちかわ!$C$22</definedName>
    <definedName name="ツモ率" localSheetId="6">だいち!$C$22</definedName>
    <definedName name="ツモ率" localSheetId="12">たか!$C$22</definedName>
    <definedName name="ツモ率" localSheetId="8">たかの!$C$22</definedName>
    <definedName name="ツモ率" localSheetId="11">ただ!$C$22</definedName>
    <definedName name="ツモ率" localSheetId="13">のり!$C$22</definedName>
    <definedName name="ツモ率" localSheetId="9">まっつん!$C$22</definedName>
    <definedName name="ツモ率" localSheetId="14">りくと!$C$22</definedName>
    <definedName name="ツモ率" localSheetId="7">れんたろう!$C$22</definedName>
    <definedName name="ツモ率" localSheetId="15">わさび!$C$22</definedName>
    <definedName name="ツモ率" localSheetId="5">全体!$C$22</definedName>
    <definedName name="トップ数" localSheetId="3">Template1!$B$8</definedName>
    <definedName name="トップ数" localSheetId="10">いちかわ!$B$8</definedName>
    <definedName name="トップ数" localSheetId="6">だいち!$B$8</definedName>
    <definedName name="トップ数" localSheetId="12">たか!$B$8</definedName>
    <definedName name="トップ数" localSheetId="8">たかの!$B$8</definedName>
    <definedName name="トップ数" localSheetId="11">ただ!$B$8</definedName>
    <definedName name="トップ数" localSheetId="13">のり!$B$8</definedName>
    <definedName name="トップ数" localSheetId="9">まっつん!$B$8</definedName>
    <definedName name="トップ数" localSheetId="14">りくと!$B$8</definedName>
    <definedName name="トップ数" localSheetId="7">れんたろう!$B$8</definedName>
    <definedName name="トップ数" localSheetId="15">わさび!$B$8</definedName>
    <definedName name="トップ数" localSheetId="5">全体!$B$8</definedName>
    <definedName name="トップ率" localSheetId="3">Template1!$C$8</definedName>
    <definedName name="トップ率" localSheetId="10">いちかわ!$C$8</definedName>
    <definedName name="トップ率" localSheetId="6">だいち!$C$8</definedName>
    <definedName name="トップ率" localSheetId="12">たか!$C$8</definedName>
    <definedName name="トップ率" localSheetId="8">たかの!$C$8</definedName>
    <definedName name="トップ率" localSheetId="11">ただ!$C$8</definedName>
    <definedName name="トップ率" localSheetId="13">のり!$C$8</definedName>
    <definedName name="トップ率" localSheetId="9">まっつん!$C$8</definedName>
    <definedName name="トップ率" localSheetId="14">りくと!$C$8</definedName>
    <definedName name="トップ率" localSheetId="7">れんたろう!$C$8</definedName>
    <definedName name="トップ率" localSheetId="15">わさび!$C$8</definedName>
    <definedName name="トップ率" localSheetId="5">全体!$C$8</definedName>
    <definedName name="バランス" localSheetId="10">いちかわ!$B$14</definedName>
    <definedName name="バランス" localSheetId="6">だいち!$B$14</definedName>
    <definedName name="バランス" localSheetId="12">たか!$B$14</definedName>
    <definedName name="バランス" localSheetId="8">たかの!$B$14</definedName>
    <definedName name="バランス" localSheetId="11">ただ!$B$14</definedName>
    <definedName name="バランス" localSheetId="13">のり!$B$14</definedName>
    <definedName name="バランス" localSheetId="9">まっつん!$B$14</definedName>
    <definedName name="バランス" localSheetId="14">りくと!$B$14</definedName>
    <definedName name="バランス" localSheetId="7">れんたろう!$B$14</definedName>
    <definedName name="バランス" localSheetId="15">わさび!$B$14</definedName>
    <definedName name="バランス" localSheetId="5">全体!$B$14</definedName>
    <definedName name="バランス">Template1!$B$14</definedName>
    <definedName name="ふっとび数" localSheetId="3">Template1!$B$15</definedName>
    <definedName name="ふっとび数" localSheetId="10">いちかわ!$B$15</definedName>
    <definedName name="ふっとび数" localSheetId="6">だいち!$B$15</definedName>
    <definedName name="ふっとび数" localSheetId="12">たか!$B$15</definedName>
    <definedName name="ふっとび数" localSheetId="8">たかの!$B$15</definedName>
    <definedName name="ふっとび数" localSheetId="11">ただ!$B$15</definedName>
    <definedName name="ふっとび数" localSheetId="13">のり!$B$15</definedName>
    <definedName name="ふっとび数" localSheetId="9">まっつん!$B$15</definedName>
    <definedName name="ふっとび数" localSheetId="14">りくと!$B$15</definedName>
    <definedName name="ふっとび数" localSheetId="7">れんたろう!$B$15</definedName>
    <definedName name="ふっとび数" localSheetId="15">わさび!$B$15</definedName>
    <definedName name="ふっとび数" localSheetId="5">全体!$B$15</definedName>
    <definedName name="ふっとび率" localSheetId="3">Template1!$C$15</definedName>
    <definedName name="ふっとび率" localSheetId="10">いちかわ!$C$15</definedName>
    <definedName name="ふっとび率" localSheetId="6">だいち!$C$15</definedName>
    <definedName name="ふっとび率" localSheetId="12">たか!$C$15</definedName>
    <definedName name="ふっとび率" localSheetId="8">たかの!$C$15</definedName>
    <definedName name="ふっとび率" localSheetId="11">ただ!$C$15</definedName>
    <definedName name="ふっとび率" localSheetId="13">のり!$C$15</definedName>
    <definedName name="ふっとび率" localSheetId="9">まっつん!$C$15</definedName>
    <definedName name="ふっとび率" localSheetId="14">りくと!$C$15</definedName>
    <definedName name="ふっとび率" localSheetId="7">れんたろう!$C$15</definedName>
    <definedName name="ふっとび率" localSheetId="15">わさび!$C$15</definedName>
    <definedName name="ふっとび率" localSheetId="5">全体!$C$15</definedName>
    <definedName name="ラス数" localSheetId="3">Template1!$B$10</definedName>
    <definedName name="ラス数" localSheetId="10">いちかわ!$B$10</definedName>
    <definedName name="ラス数" localSheetId="6">だいち!$B$10</definedName>
    <definedName name="ラス数" localSheetId="12">たか!$B$10</definedName>
    <definedName name="ラス数" localSheetId="8">たかの!$B$10</definedName>
    <definedName name="ラス数" localSheetId="11">ただ!$B$10</definedName>
    <definedName name="ラス数" localSheetId="13">のり!$B$10</definedName>
    <definedName name="ラス数" localSheetId="9">まっつん!$B$10</definedName>
    <definedName name="ラス数" localSheetId="14">りくと!$B$10</definedName>
    <definedName name="ラス数" localSheetId="7">れんたろう!$B$10</definedName>
    <definedName name="ラス数" localSheetId="15">わさび!$B$10</definedName>
    <definedName name="ラス数" localSheetId="5">全体!$B$10</definedName>
    <definedName name="ラス率" localSheetId="3">Template1!$C$10</definedName>
    <definedName name="ラス率" localSheetId="10">いちかわ!$C$10</definedName>
    <definedName name="ラス率" localSheetId="6">だいち!$C$10</definedName>
    <definedName name="ラス率" localSheetId="12">たか!$C$10</definedName>
    <definedName name="ラス率" localSheetId="8">たかの!$C$10</definedName>
    <definedName name="ラス率" localSheetId="11">ただ!$C$10</definedName>
    <definedName name="ラス率" localSheetId="13">のり!$C$10</definedName>
    <definedName name="ラス率" localSheetId="9">まっつん!$C$10</definedName>
    <definedName name="ラス率" localSheetId="14">りくと!$C$10</definedName>
    <definedName name="ラス率" localSheetId="7">れんたろう!$C$10</definedName>
    <definedName name="ラス率" localSheetId="15">わさび!$C$10</definedName>
    <definedName name="ラス率" localSheetId="5">全体!$C$10</definedName>
    <definedName name="リーチアガリ数" localSheetId="3">Template1!$B$24</definedName>
    <definedName name="リーチアガリ数" localSheetId="10">いちかわ!$B$24</definedName>
    <definedName name="リーチアガリ数" localSheetId="6">だいち!$B$24</definedName>
    <definedName name="リーチアガリ数" localSheetId="12">たか!$B$24</definedName>
    <definedName name="リーチアガリ数" localSheetId="8">たかの!$B$24</definedName>
    <definedName name="リーチアガリ数" localSheetId="11">ただ!$B$24</definedName>
    <definedName name="リーチアガリ数" localSheetId="13">のり!$B$24</definedName>
    <definedName name="リーチアガリ数" localSheetId="9">まっつん!$B$24</definedName>
    <definedName name="リーチアガリ数" localSheetId="14">りくと!$B$24</definedName>
    <definedName name="リーチアガリ数" localSheetId="7">れんたろう!$B$24</definedName>
    <definedName name="リーチアガリ数" localSheetId="15">わさび!$B$24</definedName>
    <definedName name="リーチアガリ数" localSheetId="5">全体!$B$24</definedName>
    <definedName name="リーチアガリ率" localSheetId="3">Template1!$C$24</definedName>
    <definedName name="リーチアガリ率" localSheetId="10">いちかわ!$C$24</definedName>
    <definedName name="リーチアガリ率" localSheetId="6">だいち!$C$24</definedName>
    <definedName name="リーチアガリ率" localSheetId="12">たか!$C$24</definedName>
    <definedName name="リーチアガリ率" localSheetId="8">たかの!$C$24</definedName>
    <definedName name="リーチアガリ率" localSheetId="11">ただ!$C$24</definedName>
    <definedName name="リーチアガリ率" localSheetId="13">のり!$C$24</definedName>
    <definedName name="リーチアガリ率" localSheetId="9">まっつん!$C$24</definedName>
    <definedName name="リーチアガリ率" localSheetId="14">りくと!$C$24</definedName>
    <definedName name="リーチアガリ率" localSheetId="7">れんたろう!$C$24</definedName>
    <definedName name="リーチアガリ率" localSheetId="15">わさび!$C$24</definedName>
    <definedName name="リーチアガリ率" localSheetId="5">全体!$C$24</definedName>
    <definedName name="リーチ数" localSheetId="3">Template1!$B$16</definedName>
    <definedName name="リーチ数" localSheetId="10">いちかわ!$B$16</definedName>
    <definedName name="リーチ数" localSheetId="6">だいち!$B$16</definedName>
    <definedName name="リーチ数" localSheetId="12">たか!$B$16</definedName>
    <definedName name="リーチ数" localSheetId="8">たかの!$B$16</definedName>
    <definedName name="リーチ数" localSheetId="11">ただ!$B$16</definedName>
    <definedName name="リーチ数" localSheetId="13">のり!$B$16</definedName>
    <definedName name="リーチ数" localSheetId="9">まっつん!$B$16</definedName>
    <definedName name="リーチ数" localSheetId="14">りくと!$B$16</definedName>
    <definedName name="リーチ数" localSheetId="7">れんたろう!$B$16</definedName>
    <definedName name="リーチ数" localSheetId="15">わさび!$B$16</definedName>
    <definedName name="リーチ数" localSheetId="5">全体!$B$16</definedName>
    <definedName name="リーチ成功数" localSheetId="3">Template1!$B$18</definedName>
    <definedName name="リーチ成功数" localSheetId="10">いちかわ!$B$18</definedName>
    <definedName name="リーチ成功数" localSheetId="6">だいち!$B$18</definedName>
    <definedName name="リーチ成功数" localSheetId="12">たか!$B$18</definedName>
    <definedName name="リーチ成功数" localSheetId="8">たかの!$B$18</definedName>
    <definedName name="リーチ成功数" localSheetId="11">ただ!$B$18</definedName>
    <definedName name="リーチ成功数" localSheetId="13">のり!$B$18</definedName>
    <definedName name="リーチ成功数" localSheetId="9">まっつん!$B$18</definedName>
    <definedName name="リーチ成功数" localSheetId="14">りくと!$B$18</definedName>
    <definedName name="リーチ成功数" localSheetId="7">れんたろう!$B$18</definedName>
    <definedName name="リーチ成功数" localSheetId="15">わさび!$B$18</definedName>
    <definedName name="リーチ成功数" localSheetId="5">全体!$B$18</definedName>
    <definedName name="リーチ成功率" localSheetId="3">Template1!$C$18</definedName>
    <definedName name="リーチ成功率" localSheetId="10">いちかわ!$C$18</definedName>
    <definedName name="リーチ成功率" localSheetId="6">だいち!$C$18</definedName>
    <definedName name="リーチ成功率" localSheetId="12">たか!$C$18</definedName>
    <definedName name="リーチ成功率" localSheetId="8">たかの!$C$18</definedName>
    <definedName name="リーチ成功率" localSheetId="11">ただ!$C$18</definedName>
    <definedName name="リーチ成功率" localSheetId="13">のり!$C$18</definedName>
    <definedName name="リーチ成功率" localSheetId="9">まっつん!$C$18</definedName>
    <definedName name="リーチ成功率" localSheetId="14">りくと!$C$18</definedName>
    <definedName name="リーチ成功率" localSheetId="7">れんたろう!$C$18</definedName>
    <definedName name="リーチ成功率" localSheetId="15">わさび!$C$18</definedName>
    <definedName name="リーチ成功率" localSheetId="5">全体!$C$18</definedName>
    <definedName name="リーチ率" localSheetId="3">Template1!$C$16</definedName>
    <definedName name="リーチ率" localSheetId="10">いちかわ!$C$16</definedName>
    <definedName name="リーチ率" localSheetId="6">だいち!$C$16</definedName>
    <definedName name="リーチ率" localSheetId="12">たか!$C$16</definedName>
    <definedName name="リーチ率" localSheetId="8">たかの!$C$16</definedName>
    <definedName name="リーチ率" localSheetId="11">ただ!$C$16</definedName>
    <definedName name="リーチ率" localSheetId="13">のり!$C$16</definedName>
    <definedName name="リーチ率" localSheetId="9">まっつん!$C$16</definedName>
    <definedName name="リーチ率" localSheetId="14">りくと!$C$16</definedName>
    <definedName name="リーチ率" localSheetId="7">れんたろう!$C$16</definedName>
    <definedName name="リーチ率" localSheetId="15">わさび!$C$16</definedName>
    <definedName name="リーチ率" localSheetId="5">全体!$C$16</definedName>
    <definedName name="レーティング" localSheetId="10">いちかわ!$B$6</definedName>
    <definedName name="レーティング" localSheetId="6">だいち!$B$6</definedName>
    <definedName name="レーティング" localSheetId="12">たか!$B$6</definedName>
    <definedName name="レーティング" localSheetId="8">たかの!$B$6</definedName>
    <definedName name="レーティング" localSheetId="11">ただ!$B$6</definedName>
    <definedName name="レーティング" localSheetId="13">のり!$B$6</definedName>
    <definedName name="レーティング" localSheetId="9">まっつん!$B$6</definedName>
    <definedName name="レーティング" localSheetId="14">りくと!$B$6</definedName>
    <definedName name="レーティング" localSheetId="7">れんたろう!$B$6</definedName>
    <definedName name="レーティング" localSheetId="15">わさび!$B$6</definedName>
    <definedName name="レーティング" localSheetId="5">全体!$B$6</definedName>
    <definedName name="レーティング">Template1!$B$6</definedName>
    <definedName name="ロン数" localSheetId="3">Template1!$B$23</definedName>
    <definedName name="ロン数" localSheetId="10">いちかわ!$B$23</definedName>
    <definedName name="ロン数" localSheetId="6">だいち!$B$23</definedName>
    <definedName name="ロン数" localSheetId="12">たか!$B$23</definedName>
    <definedName name="ロン数" localSheetId="8">たかの!$B$23</definedName>
    <definedName name="ロン数" localSheetId="11">ただ!$B$23</definedName>
    <definedName name="ロン数" localSheetId="13">のり!$B$23</definedName>
    <definedName name="ロン数" localSheetId="9">まっつん!$B$23</definedName>
    <definedName name="ロン数" localSheetId="14">りくと!$B$23</definedName>
    <definedName name="ロン数" localSheetId="7">れんたろう!$B$23</definedName>
    <definedName name="ロン数" localSheetId="15">わさび!$B$23</definedName>
    <definedName name="ロン数" localSheetId="5">全体!$B$23</definedName>
    <definedName name="ロン率" localSheetId="3">Template1!$C$23</definedName>
    <definedName name="ロン率" localSheetId="10">いちかわ!$C$23</definedName>
    <definedName name="ロン率" localSheetId="6">だいち!$C$23</definedName>
    <definedName name="ロン率" localSheetId="12">たか!$C$23</definedName>
    <definedName name="ロン率" localSheetId="8">たかの!$C$23</definedName>
    <definedName name="ロン率" localSheetId="11">ただ!$C$23</definedName>
    <definedName name="ロン率" localSheetId="13">のり!$C$23</definedName>
    <definedName name="ロン率" localSheetId="9">まっつん!$C$23</definedName>
    <definedName name="ロン率" localSheetId="14">りくと!$C$23</definedName>
    <definedName name="ロン率" localSheetId="7">れんたろう!$C$23</definedName>
    <definedName name="ロン率" localSheetId="15">わさび!$C$23</definedName>
    <definedName name="ロン率" localSheetId="5">全体!$C$23</definedName>
    <definedName name="一位スコア" localSheetId="10">いちかわ!$B$11</definedName>
    <definedName name="一位スコア" localSheetId="6">だいち!$B$11</definedName>
    <definedName name="一位スコア" localSheetId="12">たか!$B$11</definedName>
    <definedName name="一位スコア" localSheetId="8">たかの!$B$11</definedName>
    <definedName name="一位スコア" localSheetId="11">ただ!$B$11</definedName>
    <definedName name="一位スコア" localSheetId="13">のり!$B$11</definedName>
    <definedName name="一位スコア" localSheetId="9">まっつん!$B$11</definedName>
    <definedName name="一位スコア" localSheetId="14">りくと!$B$11</definedName>
    <definedName name="一位スコア" localSheetId="7">れんたろう!$B$11</definedName>
    <definedName name="一位スコア" localSheetId="15">わさび!$B$11</definedName>
    <definedName name="一位スコア" localSheetId="5">全体!$B$11</definedName>
    <definedName name="一位スコア">Template1!$B$11</definedName>
    <definedName name="一位通算スコア" localSheetId="10">いちかわ!$C$11</definedName>
    <definedName name="一位通算スコア" localSheetId="6">だいち!$C$11</definedName>
    <definedName name="一位通算スコア" localSheetId="12">たか!$C$11</definedName>
    <definedName name="一位通算スコア" localSheetId="8">たかの!$C$11</definedName>
    <definedName name="一位通算スコア" localSheetId="11">ただ!$C$11</definedName>
    <definedName name="一位通算スコア" localSheetId="13">のり!$C$11</definedName>
    <definedName name="一位通算スコア" localSheetId="9">まっつん!$C$11</definedName>
    <definedName name="一位通算スコア" localSheetId="14">りくと!$C$11</definedName>
    <definedName name="一位通算スコア" localSheetId="7">れんたろう!$C$11</definedName>
    <definedName name="一位通算スコア" localSheetId="15">わさび!$C$11</definedName>
    <definedName name="一位通算スコア" localSheetId="5">全体!$C$11</definedName>
    <definedName name="一位通算スコア">Template1!$C$11</definedName>
    <definedName name="一翻数" localSheetId="10">いちかわ!$B$37</definedName>
    <definedName name="一翻数" localSheetId="6">だいち!$B$37</definedName>
    <definedName name="一翻数" localSheetId="12">たか!$B$37</definedName>
    <definedName name="一翻数" localSheetId="8">たかの!$B$37</definedName>
    <definedName name="一翻数" localSheetId="11">ただ!$B$37</definedName>
    <definedName name="一翻数" localSheetId="13">のり!$B$37</definedName>
    <definedName name="一翻数" localSheetId="9">まっつん!$B$37</definedName>
    <definedName name="一翻数" localSheetId="14">りくと!$B$37</definedName>
    <definedName name="一翻数" localSheetId="7">れんたろう!$B$37</definedName>
    <definedName name="一翻数" localSheetId="15">わさび!$B$37</definedName>
    <definedName name="一翻数" localSheetId="5">全体!$B$37</definedName>
    <definedName name="一翻数">Template1!$B$37</definedName>
    <definedName name="一翻率" localSheetId="10">いちかわ!$C$37</definedName>
    <definedName name="一翻率" localSheetId="6">だいち!$C$37</definedName>
    <definedName name="一翻率" localSheetId="12">たか!$C$37</definedName>
    <definedName name="一翻率" localSheetId="8">たかの!$C$37</definedName>
    <definedName name="一翻率" localSheetId="11">ただ!$C$37</definedName>
    <definedName name="一翻率" localSheetId="13">のり!$C$37</definedName>
    <definedName name="一翻率" localSheetId="9">まっつん!$C$37</definedName>
    <definedName name="一翻率" localSheetId="14">りくと!$C$37</definedName>
    <definedName name="一翻率" localSheetId="7">れんたろう!$C$37</definedName>
    <definedName name="一翻率" localSheetId="15">わさび!$C$37</definedName>
    <definedName name="一翻率" localSheetId="5">全体!$C$37</definedName>
    <definedName name="一翻率">Template1!$C$37</definedName>
    <definedName name="現行連続アガリ" localSheetId="3">Template1!$C$31</definedName>
    <definedName name="現行連続アガリ" localSheetId="10">いちかわ!$C$31</definedName>
    <definedName name="現行連続アガリ" localSheetId="6">だいち!$C$31</definedName>
    <definedName name="現行連続アガリ" localSheetId="12">たか!$C$31</definedName>
    <definedName name="現行連続アガリ" localSheetId="8">たかの!$C$31</definedName>
    <definedName name="現行連続アガリ" localSheetId="11">ただ!$C$31</definedName>
    <definedName name="現行連続アガリ" localSheetId="13">のり!$C$31</definedName>
    <definedName name="現行連続アガリ" localSheetId="9">まっつん!$C$31</definedName>
    <definedName name="現行連続アガリ" localSheetId="14">りくと!$C$31</definedName>
    <definedName name="現行連続アガリ" localSheetId="7">れんたろう!$C$31</definedName>
    <definedName name="現行連続アガリ" localSheetId="15">わさび!$C$31</definedName>
    <definedName name="現行連続アガリ" localSheetId="5">全体!$C$31</definedName>
    <definedName name="現行連続無放銃" localSheetId="3">Template1!$C$32</definedName>
    <definedName name="現行連続無放銃" localSheetId="10">いちかわ!$C$32</definedName>
    <definedName name="現行連続無放銃" localSheetId="6">だいち!$C$32</definedName>
    <definedName name="現行連続無放銃" localSheetId="12">たか!$C$32</definedName>
    <definedName name="現行連続無放銃" localSheetId="8">たかの!$C$32</definedName>
    <definedName name="現行連続無放銃" localSheetId="11">ただ!$C$32</definedName>
    <definedName name="現行連続無放銃" localSheetId="13">のり!$C$32</definedName>
    <definedName name="現行連続無放銃" localSheetId="9">まっつん!$C$32</definedName>
    <definedName name="現行連続無放銃" localSheetId="14">りくと!$C$32</definedName>
    <definedName name="現行連続無放銃" localSheetId="7">れんたろう!$C$32</definedName>
    <definedName name="現行連続無放銃" localSheetId="15">わさび!$C$32</definedName>
    <definedName name="現行連続無放銃" localSheetId="5">全体!$C$32</definedName>
    <definedName name="最高点" localSheetId="3">Template1!$B$34</definedName>
    <definedName name="最高点" localSheetId="10">いちかわ!$B$34</definedName>
    <definedName name="最高点" localSheetId="6">だいち!$B$34</definedName>
    <definedName name="最高点" localSheetId="12">たか!$B$34</definedName>
    <definedName name="最高点" localSheetId="8">たかの!$B$34</definedName>
    <definedName name="最高点" localSheetId="11">ただ!$B$34</definedName>
    <definedName name="最高点" localSheetId="13">のり!$B$34</definedName>
    <definedName name="最高点" localSheetId="9">まっつん!$B$34</definedName>
    <definedName name="最高点" localSheetId="14">りくと!$B$34</definedName>
    <definedName name="最高点" localSheetId="7">れんたろう!$B$34</definedName>
    <definedName name="最高点" localSheetId="15">わさび!$B$34</definedName>
    <definedName name="最高点" localSheetId="5">全体!$B$34</definedName>
    <definedName name="最大ドラ数" localSheetId="3">Template1!$B$33</definedName>
    <definedName name="最大ドラ数" localSheetId="10">いちかわ!$B$33</definedName>
    <definedName name="最大ドラ数" localSheetId="6">だいち!$B$33</definedName>
    <definedName name="最大ドラ数" localSheetId="12">たか!$B$33</definedName>
    <definedName name="最大ドラ数" localSheetId="8">たかの!$B$33</definedName>
    <definedName name="最大ドラ数" localSheetId="11">ただ!$B$33</definedName>
    <definedName name="最大ドラ数" localSheetId="13">のり!$B$33</definedName>
    <definedName name="最大ドラ数" localSheetId="9">まっつん!$B$33</definedName>
    <definedName name="最大ドラ数" localSheetId="14">りくと!$B$33</definedName>
    <definedName name="最大ドラ数" localSheetId="7">れんたろう!$B$33</definedName>
    <definedName name="最大ドラ数" localSheetId="15">わさび!$B$33</definedName>
    <definedName name="最大ドラ数" localSheetId="5">全体!$B$33</definedName>
    <definedName name="最大点数" localSheetId="3">Template1!$B$34</definedName>
    <definedName name="最大点数" localSheetId="10">いちかわ!$B$34</definedName>
    <definedName name="最大点数" localSheetId="6">だいち!$B$34</definedName>
    <definedName name="最大点数" localSheetId="12">たか!$B$34</definedName>
    <definedName name="最大点数" localSheetId="8">たかの!$B$34</definedName>
    <definedName name="最大点数" localSheetId="11">ただ!$B$34</definedName>
    <definedName name="最大点数" localSheetId="13">のり!$B$34</definedName>
    <definedName name="最大点数" localSheetId="9">まっつん!$B$34</definedName>
    <definedName name="最大点数" localSheetId="14">りくと!$B$34</definedName>
    <definedName name="最大点数" localSheetId="7">れんたろう!$B$34</definedName>
    <definedName name="最大点数" localSheetId="15">わさび!$B$34</definedName>
    <definedName name="最大点数" localSheetId="5">全体!$B$34</definedName>
    <definedName name="三位スコア" localSheetId="10">いちかわ!$B$13</definedName>
    <definedName name="三位スコア" localSheetId="6">だいち!$B$13</definedName>
    <definedName name="三位スコア" localSheetId="12">たか!$B$13</definedName>
    <definedName name="三位スコア" localSheetId="8">たかの!$B$13</definedName>
    <definedName name="三位スコア" localSheetId="11">ただ!$B$13</definedName>
    <definedName name="三位スコア" localSheetId="13">のり!$B$13</definedName>
    <definedName name="三位スコア" localSheetId="9">まっつん!$B$13</definedName>
    <definedName name="三位スコア" localSheetId="14">りくと!$B$13</definedName>
    <definedName name="三位スコア" localSheetId="7">れんたろう!$B$13</definedName>
    <definedName name="三位スコア" localSheetId="15">わさび!$B$13</definedName>
    <definedName name="三位スコア" localSheetId="5">全体!$B$13</definedName>
    <definedName name="三位スコア">Template1!$B$13</definedName>
    <definedName name="三位通算スコア" localSheetId="10">いちかわ!$C$13</definedName>
    <definedName name="三位通算スコア" localSheetId="6">だいち!$C$13</definedName>
    <definedName name="三位通算スコア" localSheetId="12">たか!$C$13</definedName>
    <definedName name="三位通算スコア" localSheetId="8">たかの!$C$13</definedName>
    <definedName name="三位通算スコア" localSheetId="11">ただ!$C$13</definedName>
    <definedName name="三位通算スコア" localSheetId="13">のり!$C$13</definedName>
    <definedName name="三位通算スコア" localSheetId="9">まっつん!$C$13</definedName>
    <definedName name="三位通算スコア" localSheetId="14">りくと!$C$13</definedName>
    <definedName name="三位通算スコア" localSheetId="7">れんたろう!$C$13</definedName>
    <definedName name="三位通算スコア" localSheetId="15">わさび!$C$13</definedName>
    <definedName name="三位通算スコア" localSheetId="5">全体!$C$13</definedName>
    <definedName name="三位通算スコア">Template1!$C$13</definedName>
    <definedName name="総局数" localSheetId="3">Template1!$B$3</definedName>
    <definedName name="総局数" localSheetId="10">いちかわ!$B$3</definedName>
    <definedName name="総局数" localSheetId="6">だいち!$B$3</definedName>
    <definedName name="総局数" localSheetId="12">たか!$B$3</definedName>
    <definedName name="総局数" localSheetId="8">たかの!$B$3</definedName>
    <definedName name="総局数" localSheetId="11">ただ!$B$3</definedName>
    <definedName name="総局数" localSheetId="13">のり!$B$3</definedName>
    <definedName name="総局数" localSheetId="9">まっつん!$B$3</definedName>
    <definedName name="総局数" localSheetId="14">りくと!$B$3</definedName>
    <definedName name="総局数" localSheetId="7">れんたろう!$B$3</definedName>
    <definedName name="総局数" localSheetId="15">わさび!$B$3</definedName>
    <definedName name="総局数" localSheetId="5">全体!$B$3</definedName>
    <definedName name="対戦数" localSheetId="3">Template1!$B$2</definedName>
    <definedName name="対戦数" localSheetId="10">いちかわ!$B$2</definedName>
    <definedName name="対戦数" localSheetId="6">だいち!$B$2</definedName>
    <definedName name="対戦数" localSheetId="12">たか!$B$2</definedName>
    <definedName name="対戦数" localSheetId="8">たかの!$B$2</definedName>
    <definedName name="対戦数" localSheetId="11">ただ!$B$2</definedName>
    <definedName name="対戦数" localSheetId="13">のり!$B$2</definedName>
    <definedName name="対戦数" localSheetId="9">まっつん!$B$2</definedName>
    <definedName name="対戦数" localSheetId="14">りくと!$B$2</definedName>
    <definedName name="対戦数" localSheetId="7">れんたろう!$B$2</definedName>
    <definedName name="対戦数" localSheetId="15">わさび!$B$2</definedName>
    <definedName name="対戦数" localSheetId="5">全体!$B$2</definedName>
    <definedName name="通算アガリ点" localSheetId="3">Template1!$C$27</definedName>
    <definedName name="通算アガリ点" localSheetId="10">いちかわ!$C$27</definedName>
    <definedName name="通算アガリ点" localSheetId="6">だいち!$C$27</definedName>
    <definedName name="通算アガリ点" localSheetId="12">たか!$C$27</definedName>
    <definedName name="通算アガリ点" localSheetId="8">たかの!$C$27</definedName>
    <definedName name="通算アガリ点" localSheetId="11">ただ!$C$27</definedName>
    <definedName name="通算アガリ点" localSheetId="13">のり!$C$27</definedName>
    <definedName name="通算アガリ点" localSheetId="9">まっつん!$C$27</definedName>
    <definedName name="通算アガリ点" localSheetId="14">りくと!$C$27</definedName>
    <definedName name="通算アガリ点" localSheetId="7">れんたろう!$C$27</definedName>
    <definedName name="通算アガリ点" localSheetId="15">わさび!$C$27</definedName>
    <definedName name="通算アガリ点" localSheetId="5">全体!$C$27</definedName>
    <definedName name="通算スコア" localSheetId="3">Template1!$B$4</definedName>
    <definedName name="通算スコア" localSheetId="10">いちかわ!$B$4</definedName>
    <definedName name="通算スコア" localSheetId="6">だいち!$B$4</definedName>
    <definedName name="通算スコア" localSheetId="12">たか!$B$4</definedName>
    <definedName name="通算スコア" localSheetId="8">たかの!$B$4</definedName>
    <definedName name="通算スコア" localSheetId="11">ただ!$B$4</definedName>
    <definedName name="通算スコア" localSheetId="13">のり!$B$4</definedName>
    <definedName name="通算スコア" localSheetId="9">まっつん!$B$4</definedName>
    <definedName name="通算スコア" localSheetId="14">りくと!$B$4</definedName>
    <definedName name="通算スコア" localSheetId="7">れんたろう!$B$4</definedName>
    <definedName name="通算スコア" localSheetId="15">わさび!$B$4</definedName>
    <definedName name="通算スコア" localSheetId="5">全体!$B$4</definedName>
    <definedName name="通算副露アガリ点" localSheetId="3">Template1!$C$29</definedName>
    <definedName name="通算副露アガリ点" localSheetId="10">いちかわ!$C$29</definedName>
    <definedName name="通算副露アガリ点" localSheetId="6">だいち!$C$29</definedName>
    <definedName name="通算副露アガリ点" localSheetId="12">たか!$C$29</definedName>
    <definedName name="通算副露アガリ点" localSheetId="8">たかの!$C$29</definedName>
    <definedName name="通算副露アガリ点" localSheetId="11">ただ!$C$29</definedName>
    <definedName name="通算副露アガリ点" localSheetId="13">のり!$C$29</definedName>
    <definedName name="通算副露アガリ点" localSheetId="9">まっつん!$C$29</definedName>
    <definedName name="通算副露アガリ点" localSheetId="14">りくと!$C$29</definedName>
    <definedName name="通算副露アガリ点" localSheetId="7">れんたろう!$C$29</definedName>
    <definedName name="通算副露アガリ点" localSheetId="15">わさび!$C$29</definedName>
    <definedName name="通算副露アガリ点" localSheetId="5">全体!$C$29</definedName>
    <definedName name="通算放銃点" localSheetId="3">Template1!$C$30</definedName>
    <definedName name="通算放銃点" localSheetId="10">いちかわ!$C$30</definedName>
    <definedName name="通算放銃点" localSheetId="6">だいち!$C$30</definedName>
    <definedName name="通算放銃点" localSheetId="12">たか!$C$30</definedName>
    <definedName name="通算放銃点" localSheetId="8">たかの!$C$30</definedName>
    <definedName name="通算放銃点" localSheetId="11">ただ!$C$30</definedName>
    <definedName name="通算放銃点" localSheetId="13">のり!$C$30</definedName>
    <definedName name="通算放銃点" localSheetId="9">まっつん!$C$30</definedName>
    <definedName name="通算放銃点" localSheetId="14">りくと!$C$30</definedName>
    <definedName name="通算放銃点" localSheetId="7">れんたろう!$C$30</definedName>
    <definedName name="通算放銃点" localSheetId="15">わさび!$C$30</definedName>
    <definedName name="通算放銃点" localSheetId="5">全体!$C$30</definedName>
    <definedName name="通算門前アガリ点" localSheetId="3">Template1!$C$28</definedName>
    <definedName name="通算門前アガリ点" localSheetId="10">いちかわ!$C$28</definedName>
    <definedName name="通算門前アガリ点" localSheetId="6">だいち!$C$28</definedName>
    <definedName name="通算門前アガリ点" localSheetId="12">たか!$C$28</definedName>
    <definedName name="通算門前アガリ点" localSheetId="8">たかの!$C$28</definedName>
    <definedName name="通算門前アガリ点" localSheetId="11">ただ!$C$28</definedName>
    <definedName name="通算門前アガリ点" localSheetId="13">のり!$C$28</definedName>
    <definedName name="通算門前アガリ点" localSheetId="9">まっつん!$C$28</definedName>
    <definedName name="通算門前アガリ点" localSheetId="14">りくと!$C$28</definedName>
    <definedName name="通算門前アガリ点" localSheetId="7">れんたろう!$C$28</definedName>
    <definedName name="通算門前アガリ点" localSheetId="15">わさび!$C$28</definedName>
    <definedName name="通算門前アガリ点" localSheetId="5">全体!$C$28</definedName>
    <definedName name="二位スコア" localSheetId="10">いちかわ!$B$12</definedName>
    <definedName name="二位スコア" localSheetId="6">だいち!$B$12</definedName>
    <definedName name="二位スコア" localSheetId="12">たか!$B$12</definedName>
    <definedName name="二位スコア" localSheetId="8">たかの!$B$12</definedName>
    <definedName name="二位スコア" localSheetId="11">ただ!$B$12</definedName>
    <definedName name="二位スコア" localSheetId="13">のり!$B$12</definedName>
    <definedName name="二位スコア" localSheetId="9">まっつん!$B$12</definedName>
    <definedName name="二位スコア" localSheetId="14">りくと!$B$12</definedName>
    <definedName name="二位スコア" localSheetId="7">れんたろう!$B$12</definedName>
    <definedName name="二位スコア" localSheetId="15">わさび!$B$12</definedName>
    <definedName name="二位スコア" localSheetId="5">全体!$B$12</definedName>
    <definedName name="二位スコア">Template1!$B$12</definedName>
    <definedName name="二位数" localSheetId="3">Template1!$B$9</definedName>
    <definedName name="二位数" localSheetId="10">いちかわ!$B$9</definedName>
    <definedName name="二位数" localSheetId="6">だいち!$B$9</definedName>
    <definedName name="二位数" localSheetId="12">たか!$B$9</definedName>
    <definedName name="二位数" localSheetId="8">たかの!$B$9</definedName>
    <definedName name="二位数" localSheetId="11">ただ!$B$9</definedName>
    <definedName name="二位数" localSheetId="13">のり!$B$9</definedName>
    <definedName name="二位数" localSheetId="9">まっつん!$B$9</definedName>
    <definedName name="二位数" localSheetId="14">りくと!$B$9</definedName>
    <definedName name="二位数" localSheetId="7">れんたろう!$B$9</definedName>
    <definedName name="二位数" localSheetId="15">わさび!$B$9</definedName>
    <definedName name="二位数" localSheetId="5">全体!$B$9</definedName>
    <definedName name="二位通算スコア" localSheetId="10">いちかわ!$C$12</definedName>
    <definedName name="二位通算スコア" localSheetId="6">だいち!$C$12</definedName>
    <definedName name="二位通算スコア" localSheetId="12">たか!$C$12</definedName>
    <definedName name="二位通算スコア" localSheetId="8">たかの!$C$12</definedName>
    <definedName name="二位通算スコア" localSheetId="11">ただ!$C$12</definedName>
    <definedName name="二位通算スコア" localSheetId="13">のり!$C$12</definedName>
    <definedName name="二位通算スコア" localSheetId="9">まっつん!$C$12</definedName>
    <definedName name="二位通算スコア" localSheetId="14">りくと!$C$12</definedName>
    <definedName name="二位通算スコア" localSheetId="7">れんたろう!$C$12</definedName>
    <definedName name="二位通算スコア" localSheetId="15">わさび!$C$12</definedName>
    <definedName name="二位通算スコア" localSheetId="5">全体!$C$12</definedName>
    <definedName name="二位通算スコア">Template1!$C$12</definedName>
    <definedName name="二位率" localSheetId="3">Template1!$C$9</definedName>
    <definedName name="二位率" localSheetId="10">いちかわ!$C$9</definedName>
    <definedName name="二位率" localSheetId="6">だいち!$C$9</definedName>
    <definedName name="二位率" localSheetId="12">たか!$C$9</definedName>
    <definedName name="二位率" localSheetId="8">たかの!$C$9</definedName>
    <definedName name="二位率" localSheetId="11">ただ!$C$9</definedName>
    <definedName name="二位率" localSheetId="13">のり!$C$9</definedName>
    <definedName name="二位率" localSheetId="9">まっつん!$C$9</definedName>
    <definedName name="二位率" localSheetId="14">りくと!$C$9</definedName>
    <definedName name="二位率" localSheetId="7">れんたろう!$C$9</definedName>
    <definedName name="二位率" localSheetId="15">わさび!$C$9</definedName>
    <definedName name="二位率" localSheetId="5">全体!$C$9</definedName>
    <definedName name="副露アガリ数" localSheetId="3">Template1!$B$25</definedName>
    <definedName name="副露アガリ数" localSheetId="10">いちかわ!$B$25</definedName>
    <definedName name="副露アガリ数" localSheetId="6">だいち!$B$25</definedName>
    <definedName name="副露アガリ数" localSheetId="12">たか!$B$25</definedName>
    <definedName name="副露アガリ数" localSheetId="8">たかの!$B$25</definedName>
    <definedName name="副露アガリ数" localSheetId="11">ただ!$B$25</definedName>
    <definedName name="副露アガリ数" localSheetId="13">のり!$B$25</definedName>
    <definedName name="副露アガリ数" localSheetId="9">まっつん!$B$25</definedName>
    <definedName name="副露アガリ数" localSheetId="14">りくと!$B$25</definedName>
    <definedName name="副露アガリ数" localSheetId="7">れんたろう!$B$25</definedName>
    <definedName name="副露アガリ数" localSheetId="15">わさび!$B$25</definedName>
    <definedName name="副露アガリ数" localSheetId="5">全体!$B$25</definedName>
    <definedName name="副露アガリ点" localSheetId="3">Template1!$B$29</definedName>
    <definedName name="副露アガリ点" localSheetId="10">いちかわ!$B$29</definedName>
    <definedName name="副露アガリ点" localSheetId="6">だいち!$B$29</definedName>
    <definedName name="副露アガリ点" localSheetId="12">たか!$B$29</definedName>
    <definedName name="副露アガリ点" localSheetId="8">たかの!$B$29</definedName>
    <definedName name="副露アガリ点" localSheetId="11">ただ!$B$29</definedName>
    <definedName name="副露アガリ点" localSheetId="13">のり!$B$29</definedName>
    <definedName name="副露アガリ点" localSheetId="9">まっつん!$B$29</definedName>
    <definedName name="副露アガリ点" localSheetId="14">りくと!$B$29</definedName>
    <definedName name="副露アガリ点" localSheetId="7">れんたろう!$B$29</definedName>
    <definedName name="副露アガリ点" localSheetId="15">わさび!$B$29</definedName>
    <definedName name="副露アガリ点" localSheetId="5">全体!$B$29</definedName>
    <definedName name="副露アガリ率" localSheetId="3">Template1!$C$25</definedName>
    <definedName name="副露アガリ率" localSheetId="10">いちかわ!$C$25</definedName>
    <definedName name="副露アガリ率" localSheetId="6">だいち!$C$25</definedName>
    <definedName name="副露アガリ率" localSheetId="12">たか!$C$25</definedName>
    <definedName name="副露アガリ率" localSheetId="8">たかの!$C$25</definedName>
    <definedName name="副露アガリ率" localSheetId="11">ただ!$C$25</definedName>
    <definedName name="副露アガリ率" localSheetId="13">のり!$C$25</definedName>
    <definedName name="副露アガリ率" localSheetId="9">まっつん!$C$25</definedName>
    <definedName name="副露アガリ率" localSheetId="14">りくと!$C$25</definedName>
    <definedName name="副露アガリ率" localSheetId="7">れんたろう!$C$25</definedName>
    <definedName name="副露アガリ率" localSheetId="15">わさび!$C$25</definedName>
    <definedName name="副露アガリ率" localSheetId="5">全体!$C$25</definedName>
    <definedName name="副露数" localSheetId="3">Template1!$B$17</definedName>
    <definedName name="副露数" localSheetId="10">いちかわ!$B$17</definedName>
    <definedName name="副露数" localSheetId="6">だいち!$B$17</definedName>
    <definedName name="副露数" localSheetId="12">たか!$B$17</definedName>
    <definedName name="副露数" localSheetId="8">たかの!$B$17</definedName>
    <definedName name="副露数" localSheetId="11">ただ!$B$17</definedName>
    <definedName name="副露数" localSheetId="13">のり!$B$17</definedName>
    <definedName name="副露数" localSheetId="9">まっつん!$B$17</definedName>
    <definedName name="副露数" localSheetId="14">りくと!$B$17</definedName>
    <definedName name="副露数" localSheetId="7">れんたろう!$B$17</definedName>
    <definedName name="副露数" localSheetId="15">わさび!$B$17</definedName>
    <definedName name="副露数" localSheetId="5">全体!$B$17</definedName>
    <definedName name="副露成功数" localSheetId="3">Template1!$B$19</definedName>
    <definedName name="副露成功数" localSheetId="10">いちかわ!$B$19</definedName>
    <definedName name="副露成功数" localSheetId="6">だいち!$B$19</definedName>
    <definedName name="副露成功数" localSheetId="12">たか!$B$19</definedName>
    <definedName name="副露成功数" localSheetId="8">たかの!$B$19</definedName>
    <definedName name="副露成功数" localSheetId="11">ただ!$B$19</definedName>
    <definedName name="副露成功数" localSheetId="13">のり!$B$19</definedName>
    <definedName name="副露成功数" localSheetId="9">まっつん!$B$19</definedName>
    <definedName name="副露成功数" localSheetId="14">りくと!$B$19</definedName>
    <definedName name="副露成功数" localSheetId="7">れんたろう!$B$19</definedName>
    <definedName name="副露成功数" localSheetId="15">わさび!$B$19</definedName>
    <definedName name="副露成功数" localSheetId="5">全体!$B$19</definedName>
    <definedName name="副露成功率" localSheetId="3">Template1!$C$19</definedName>
    <definedName name="副露成功率" localSheetId="10">いちかわ!$C$19</definedName>
    <definedName name="副露成功率" localSheetId="6">だいち!$C$19</definedName>
    <definedName name="副露成功率" localSheetId="12">たか!$C$19</definedName>
    <definedName name="副露成功率" localSheetId="8">たかの!$C$19</definedName>
    <definedName name="副露成功率" localSheetId="11">ただ!$C$19</definedName>
    <definedName name="副露成功率" localSheetId="13">のり!$C$19</definedName>
    <definedName name="副露成功率" localSheetId="9">まっつん!$C$19</definedName>
    <definedName name="副露成功率" localSheetId="14">りくと!$C$19</definedName>
    <definedName name="副露成功率" localSheetId="7">れんたろう!$C$19</definedName>
    <definedName name="副露成功率" localSheetId="15">わさび!$C$19</definedName>
    <definedName name="副露成功率" localSheetId="5">全体!$C$19</definedName>
    <definedName name="副露率" localSheetId="3">Template1!$C$17</definedName>
    <definedName name="副露率" localSheetId="10">いちかわ!$C$17</definedName>
    <definedName name="副露率" localSheetId="6">だいち!$C$17</definedName>
    <definedName name="副露率" localSheetId="12">たか!$C$17</definedName>
    <definedName name="副露率" localSheetId="8">たかの!$C$17</definedName>
    <definedName name="副露率" localSheetId="11">ただ!$C$17</definedName>
    <definedName name="副露率" localSheetId="13">のり!$C$17</definedName>
    <definedName name="副露率" localSheetId="9">まっつん!$C$17</definedName>
    <definedName name="副露率" localSheetId="14">りくと!$C$17</definedName>
    <definedName name="副露率" localSheetId="7">れんたろう!$C$17</definedName>
    <definedName name="副露率" localSheetId="15">わさび!$C$17</definedName>
    <definedName name="副露率" localSheetId="5">全体!$C$17</definedName>
    <definedName name="平均アガリ点" localSheetId="3">Template1!$B$27</definedName>
    <definedName name="平均アガリ点" localSheetId="10">いちかわ!$B$27</definedName>
    <definedName name="平均アガリ点" localSheetId="6">だいち!$B$27</definedName>
    <definedName name="平均アガリ点" localSheetId="12">たか!$B$27</definedName>
    <definedName name="平均アガリ点" localSheetId="8">たかの!$B$27</definedName>
    <definedName name="平均アガリ点" localSheetId="11">ただ!$B$27</definedName>
    <definedName name="平均アガリ点" localSheetId="13">のり!$B$27</definedName>
    <definedName name="平均アガリ点" localSheetId="9">まっつん!$B$27</definedName>
    <definedName name="平均アガリ点" localSheetId="14">りくと!$B$27</definedName>
    <definedName name="平均アガリ点" localSheetId="7">れんたろう!$B$27</definedName>
    <definedName name="平均アガリ点" localSheetId="15">わさび!$B$27</definedName>
    <definedName name="平均アガリ点" localSheetId="5">全体!$B$27</definedName>
    <definedName name="平均スコア" localSheetId="3">Template1!$B$5</definedName>
    <definedName name="平均スコア" localSheetId="10">いちかわ!$B$5</definedName>
    <definedName name="平均スコア" localSheetId="6">だいち!$B$5</definedName>
    <definedName name="平均スコア" localSheetId="12">たか!$B$5</definedName>
    <definedName name="平均スコア" localSheetId="8">たかの!$B$5</definedName>
    <definedName name="平均スコア" localSheetId="11">ただ!$B$5</definedName>
    <definedName name="平均スコア" localSheetId="13">のり!$B$5</definedName>
    <definedName name="平均スコア" localSheetId="9">まっつん!$B$5</definedName>
    <definedName name="平均スコア" localSheetId="14">りくと!$B$5</definedName>
    <definedName name="平均スコア" localSheetId="7">れんたろう!$B$5</definedName>
    <definedName name="平均スコア" localSheetId="15">わさび!$B$5</definedName>
    <definedName name="平均スコア" localSheetId="5">全体!$B$5</definedName>
    <definedName name="平均順位" localSheetId="3">Template1!$B$7</definedName>
    <definedName name="平均順位" localSheetId="10">いちかわ!$B$7</definedName>
    <definedName name="平均順位" localSheetId="6">だいち!$B$7</definedName>
    <definedName name="平均順位" localSheetId="12">たか!$B$7</definedName>
    <definedName name="平均順位" localSheetId="8">たかの!$B$7</definedName>
    <definedName name="平均順位" localSheetId="11">ただ!$B$7</definedName>
    <definedName name="平均順位" localSheetId="13">のり!$B$7</definedName>
    <definedName name="平均順位" localSheetId="9">まっつん!$B$7</definedName>
    <definedName name="平均順位" localSheetId="14">りくと!$B$7</definedName>
    <definedName name="平均順位" localSheetId="7">れんたろう!$B$7</definedName>
    <definedName name="平均順位" localSheetId="15">わさび!$B$7</definedName>
    <definedName name="平均順位" localSheetId="5">全体!$B$7</definedName>
    <definedName name="平均放銃点" localSheetId="3">Template1!$B$30</definedName>
    <definedName name="平均放銃点" localSheetId="10">いちかわ!$B$30</definedName>
    <definedName name="平均放銃点" localSheetId="6">だいち!$B$30</definedName>
    <definedName name="平均放銃点" localSheetId="12">たか!$B$30</definedName>
    <definedName name="平均放銃点" localSheetId="8">たかの!$B$30</definedName>
    <definedName name="平均放銃点" localSheetId="11">ただ!$B$30</definedName>
    <definedName name="平均放銃点" localSheetId="13">のり!$B$30</definedName>
    <definedName name="平均放銃点" localSheetId="9">まっつん!$B$30</definedName>
    <definedName name="平均放銃点" localSheetId="14">りくと!$B$30</definedName>
    <definedName name="平均放銃点" localSheetId="7">れんたろう!$B$30</definedName>
    <definedName name="平均放銃点" localSheetId="15">わさび!$B$30</definedName>
    <definedName name="平均放銃点" localSheetId="5">全体!$B$30</definedName>
    <definedName name="放銃数" localSheetId="3">Template1!$B$21</definedName>
    <definedName name="放銃数" localSheetId="10">いちかわ!$B$21</definedName>
    <definedName name="放銃数" localSheetId="6">だいち!$B$21</definedName>
    <definedName name="放銃数" localSheetId="12">たか!$B$21</definedName>
    <definedName name="放銃数" localSheetId="8">たかの!$B$21</definedName>
    <definedName name="放銃数" localSheetId="11">ただ!$B$21</definedName>
    <definedName name="放銃数" localSheetId="13">のり!$B$21</definedName>
    <definedName name="放銃数" localSheetId="9">まっつん!$B$21</definedName>
    <definedName name="放銃数" localSheetId="14">りくと!$B$21</definedName>
    <definedName name="放銃数" localSheetId="7">れんたろう!$B$21</definedName>
    <definedName name="放銃数" localSheetId="15">わさび!$B$21</definedName>
    <definedName name="放銃数" localSheetId="5">全体!$B$21</definedName>
    <definedName name="放銃率" localSheetId="3">Template1!$C$21</definedName>
    <definedName name="放銃率" localSheetId="10">いちかわ!$C$21</definedName>
    <definedName name="放銃率" localSheetId="6">だいち!$C$21</definedName>
    <definedName name="放銃率" localSheetId="12">たか!$C$21</definedName>
    <definedName name="放銃率" localSheetId="8">たかの!$C$21</definedName>
    <definedName name="放銃率" localSheetId="11">ただ!$C$21</definedName>
    <definedName name="放銃率" localSheetId="13">のり!$C$21</definedName>
    <definedName name="放銃率" localSheetId="9">まっつん!$C$21</definedName>
    <definedName name="放銃率" localSheetId="14">りくと!$C$21</definedName>
    <definedName name="放銃率" localSheetId="7">れんたろう!$C$21</definedName>
    <definedName name="放銃率" localSheetId="15">わさび!$C$21</definedName>
    <definedName name="放銃率" localSheetId="5">全体!$C$21</definedName>
    <definedName name="名前" localSheetId="3">Template1!$B$1</definedName>
    <definedName name="名前" localSheetId="10">いちかわ!$B$1</definedName>
    <definedName name="名前" localSheetId="6">だいち!$B$1</definedName>
    <definedName name="名前" localSheetId="12">たか!$B$1</definedName>
    <definedName name="名前" localSheetId="8">たかの!$B$1</definedName>
    <definedName name="名前" localSheetId="11">ただ!$B$1</definedName>
    <definedName name="名前" localSheetId="13">のり!$B$1</definedName>
    <definedName name="名前" localSheetId="9">まっつん!$B$1</definedName>
    <definedName name="名前" localSheetId="14">りくと!$B$1</definedName>
    <definedName name="名前" localSheetId="7">れんたろう!$B$1</definedName>
    <definedName name="名前" localSheetId="15">わさび!$B$1</definedName>
    <definedName name="名前" localSheetId="5">全体!$B$1</definedName>
    <definedName name="門前アガリ点" localSheetId="3">Template1!$B$28</definedName>
    <definedName name="門前アガリ点" localSheetId="10">いちかわ!$B$28</definedName>
    <definedName name="門前アガリ点" localSheetId="6">だいち!$B$28</definedName>
    <definedName name="門前アガリ点" localSheetId="12">たか!$B$28</definedName>
    <definedName name="門前アガリ点" localSheetId="8">たかの!$B$28</definedName>
    <definedName name="門前アガリ点" localSheetId="11">ただ!$B$28</definedName>
    <definedName name="門前アガリ点" localSheetId="13">のり!$B$28</definedName>
    <definedName name="門前アガリ点" localSheetId="9">まっつん!$B$28</definedName>
    <definedName name="門前アガリ点" localSheetId="14">りくと!$B$28</definedName>
    <definedName name="門前アガリ点" localSheetId="7">れんたろう!$B$28</definedName>
    <definedName name="門前アガリ点" localSheetId="15">わさび!$B$28</definedName>
    <definedName name="門前アガリ点" localSheetId="5">全体!$B$28</definedName>
    <definedName name="連続アガリ" localSheetId="3">Template1!$B$31</definedName>
    <definedName name="連続アガリ" localSheetId="10">いちかわ!$B$31</definedName>
    <definedName name="連続アガリ" localSheetId="6">だいち!$B$31</definedName>
    <definedName name="連続アガリ" localSheetId="12">たか!$B$31</definedName>
    <definedName name="連続アガリ" localSheetId="8">たかの!$B$31</definedName>
    <definedName name="連続アガリ" localSheetId="11">ただ!$B$31</definedName>
    <definedName name="連続アガリ" localSheetId="13">のり!$B$31</definedName>
    <definedName name="連続アガリ" localSheetId="9">まっつん!$B$31</definedName>
    <definedName name="連続アガリ" localSheetId="14">りくと!$B$31</definedName>
    <definedName name="連続アガリ" localSheetId="7">れんたろう!$B$31</definedName>
    <definedName name="連続アガリ" localSheetId="15">わさび!$B$31</definedName>
    <definedName name="連続アガリ" localSheetId="5">全体!$B$31</definedName>
    <definedName name="連続無放銃" localSheetId="3">Template1!$B$32</definedName>
    <definedName name="連続無放銃" localSheetId="10">いちかわ!$B$32</definedName>
    <definedName name="連続無放銃" localSheetId="6">だいち!$B$32</definedName>
    <definedName name="連続無放銃" localSheetId="12">たか!$B$32</definedName>
    <definedName name="連続無放銃" localSheetId="8">たかの!$B$32</definedName>
    <definedName name="連続無放銃" localSheetId="11">ただ!$B$32</definedName>
    <definedName name="連続無放銃" localSheetId="13">のり!$B$32</definedName>
    <definedName name="連続無放銃" localSheetId="9">まっつん!$B$32</definedName>
    <definedName name="連続無放銃" localSheetId="14">りくと!$B$32</definedName>
    <definedName name="連続無放銃" localSheetId="7">れんたろう!$B$32</definedName>
    <definedName name="連続無放銃" localSheetId="15">わさび!$B$32</definedName>
    <definedName name="連続無放銃" localSheetId="5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21" i="6976" l="1"/>
  <c r="P15" i="6964"/>
  <c r="P16" i="6976" l="1"/>
  <c r="P19" i="6966"/>
  <c r="P16" i="6962" l="1"/>
  <c r="P18" i="6966"/>
  <c r="P15" i="6976" l="1"/>
  <c r="P21" i="6962"/>
  <c r="P17" i="6964" l="1"/>
  <c r="P20" i="6966"/>
  <c r="P21" i="6970"/>
  <c r="P16" i="6966"/>
  <c r="P19" i="6972" l="1"/>
  <c r="P16" i="6964"/>
  <c r="P17" i="6976" l="1"/>
  <c r="P21" i="6960"/>
  <c r="P22" i="6968" l="1"/>
  <c r="P18" i="6964"/>
  <c r="P15" i="6970" l="1"/>
  <c r="P18" i="6970"/>
  <c r="P20" i="6976"/>
  <c r="P17" i="6978"/>
  <c r="P17" i="6968"/>
  <c r="P19" i="6968"/>
  <c r="P15" i="6978"/>
  <c r="P16" i="6978"/>
  <c r="C35" i="6978"/>
  <c r="H34" i="6978"/>
  <c r="H31" i="6978"/>
  <c r="B30" i="6978"/>
  <c r="C21" i="6978"/>
  <c r="B20" i="6978"/>
  <c r="H52" i="6978" s="1"/>
  <c r="H21" i="6978"/>
  <c r="B19" i="6978"/>
  <c r="C19" i="6978" s="1"/>
  <c r="C18" i="6978"/>
  <c r="B18" i="6978"/>
  <c r="C17" i="6978"/>
  <c r="C16" i="6978"/>
  <c r="C15" i="6978"/>
  <c r="B13" i="6978"/>
  <c r="P12" i="6978"/>
  <c r="H15" i="6978"/>
  <c r="B12" i="6978"/>
  <c r="P11" i="6978"/>
  <c r="B11" i="6978"/>
  <c r="P10" i="6978"/>
  <c r="C10" i="6978"/>
  <c r="H13" i="6978"/>
  <c r="C9" i="6978"/>
  <c r="C8" i="6978"/>
  <c r="P7" i="6978"/>
  <c r="B7" i="6978"/>
  <c r="P6" i="6978"/>
  <c r="P5" i="6978"/>
  <c r="B5" i="6978"/>
  <c r="P4" i="6978"/>
  <c r="P3" i="6978"/>
  <c r="P2" i="6978"/>
  <c r="P19" i="6958"/>
  <c r="P19" i="6976"/>
  <c r="P18" i="6976"/>
  <c r="C35" i="6976"/>
  <c r="B30" i="6976"/>
  <c r="C21" i="6976"/>
  <c r="B20" i="6976"/>
  <c r="H52" i="6976" s="1"/>
  <c r="C19" i="6976"/>
  <c r="B19" i="6976"/>
  <c r="B29" i="6976" s="1"/>
  <c r="B18" i="6976"/>
  <c r="C18" i="6976" s="1"/>
  <c r="C17" i="6976"/>
  <c r="C16" i="6976"/>
  <c r="C15" i="6976"/>
  <c r="B13" i="6976"/>
  <c r="P12" i="6976"/>
  <c r="B12" i="6976"/>
  <c r="P11" i="6976"/>
  <c r="B11" i="6976"/>
  <c r="P10" i="6976"/>
  <c r="C10" i="6976"/>
  <c r="C9" i="6976"/>
  <c r="C8" i="6976"/>
  <c r="P7" i="6976"/>
  <c r="B7" i="6976"/>
  <c r="P6" i="6976"/>
  <c r="P5" i="6976"/>
  <c r="B5" i="6976"/>
  <c r="P4" i="6976"/>
  <c r="P3" i="6976"/>
  <c r="P2" i="6976"/>
  <c r="P17" i="6958"/>
  <c r="B14" i="6976" l="1"/>
  <c r="H10" i="6976"/>
  <c r="B29" i="6978"/>
  <c r="C24" i="6978"/>
  <c r="H4" i="6978"/>
  <c r="H5" i="6978"/>
  <c r="H7" i="6978"/>
  <c r="C25" i="6978"/>
  <c r="B14" i="6978"/>
  <c r="C41" i="6978"/>
  <c r="H43" i="6978"/>
  <c r="H44" i="6978"/>
  <c r="H19" i="6978"/>
  <c r="H28" i="6978"/>
  <c r="C45" i="6978"/>
  <c r="B27" i="6978"/>
  <c r="C26" i="6978"/>
  <c r="H3" i="6978"/>
  <c r="H37" i="6978"/>
  <c r="H2" i="6978"/>
  <c r="H11" i="6978"/>
  <c r="C37" i="6978"/>
  <c r="H17" i="6978"/>
  <c r="C22" i="6978"/>
  <c r="B28" i="6978"/>
  <c r="H39" i="6978"/>
  <c r="H48" i="6978"/>
  <c r="H47" i="6978"/>
  <c r="H14" i="6978"/>
  <c r="H20" i="6978"/>
  <c r="H24" i="6978"/>
  <c r="H40" i="6978"/>
  <c r="C49" i="6978"/>
  <c r="H10" i="6978"/>
  <c r="C20" i="6978"/>
  <c r="H16" i="6978"/>
  <c r="H6" i="6978"/>
  <c r="H12" i="6978"/>
  <c r="H18" i="6978"/>
  <c r="C23" i="6978"/>
  <c r="H41" i="6978"/>
  <c r="H9" i="6978"/>
  <c r="H23" i="6978"/>
  <c r="H27" i="6978"/>
  <c r="H30" i="6978"/>
  <c r="H36" i="6978"/>
  <c r="C40" i="6978"/>
  <c r="C44" i="6978"/>
  <c r="C48" i="6978"/>
  <c r="H45" i="6978"/>
  <c r="H49" i="6978"/>
  <c r="H32" i="6978"/>
  <c r="H38" i="6978"/>
  <c r="H42" i="6978"/>
  <c r="H46" i="6978"/>
  <c r="H50" i="6978"/>
  <c r="H25" i="6978"/>
  <c r="H8" i="6978"/>
  <c r="H33" i="6978"/>
  <c r="C38" i="6978"/>
  <c r="C42" i="6978"/>
  <c r="C46" i="6978"/>
  <c r="H51" i="6978"/>
  <c r="H22" i="6978"/>
  <c r="H26" i="6978"/>
  <c r="H29" i="6978"/>
  <c r="H35" i="6978"/>
  <c r="C39" i="6978"/>
  <c r="C43" i="6978"/>
  <c r="C47" i="6978"/>
  <c r="C20" i="6976"/>
  <c r="H7" i="6976"/>
  <c r="H6" i="6976"/>
  <c r="H33" i="6976"/>
  <c r="C46" i="6976"/>
  <c r="H2" i="6976"/>
  <c r="H8" i="6976"/>
  <c r="H16" i="6976"/>
  <c r="H18" i="6976"/>
  <c r="C25" i="6976"/>
  <c r="H40" i="6976"/>
  <c r="H44" i="6976"/>
  <c r="H48" i="6976"/>
  <c r="H27" i="6976"/>
  <c r="H30" i="6976"/>
  <c r="C40" i="6976"/>
  <c r="C44" i="6976"/>
  <c r="C22" i="6976"/>
  <c r="C26" i="6976"/>
  <c r="H37" i="6976"/>
  <c r="H41" i="6976"/>
  <c r="H45" i="6976"/>
  <c r="H49" i="6976"/>
  <c r="H5" i="6976"/>
  <c r="H15" i="6976"/>
  <c r="H17" i="6976"/>
  <c r="H24" i="6976"/>
  <c r="H28" i="6976"/>
  <c r="H31" i="6976"/>
  <c r="C37" i="6976"/>
  <c r="C41" i="6976"/>
  <c r="C45" i="6976"/>
  <c r="C49" i="6976"/>
  <c r="H21" i="6976"/>
  <c r="H23" i="6976"/>
  <c r="H36" i="6976"/>
  <c r="C48" i="6976"/>
  <c r="H4" i="6976"/>
  <c r="H19" i="6976"/>
  <c r="H9" i="6976"/>
  <c r="H12" i="6976"/>
  <c r="H13" i="6976"/>
  <c r="C23" i="6976"/>
  <c r="B27" i="6976"/>
  <c r="H32" i="6976"/>
  <c r="H38" i="6976"/>
  <c r="H42" i="6976"/>
  <c r="H46" i="6976"/>
  <c r="H50" i="6976"/>
  <c r="H25" i="6976"/>
  <c r="H14" i="6976"/>
  <c r="C38" i="6976"/>
  <c r="C42" i="6976"/>
  <c r="H51" i="6976"/>
  <c r="H11" i="6976"/>
  <c r="H20" i="6976"/>
  <c r="C24" i="6976"/>
  <c r="B28" i="6976"/>
  <c r="H34" i="6976"/>
  <c r="H39" i="6976"/>
  <c r="H43" i="6976"/>
  <c r="H47" i="6976"/>
  <c r="H3" i="6976"/>
  <c r="H22" i="6976"/>
  <c r="H26" i="6976"/>
  <c r="H29" i="6976"/>
  <c r="H35" i="6976"/>
  <c r="C39" i="6976"/>
  <c r="C43" i="6976"/>
  <c r="C47" i="6976"/>
  <c r="P20" i="6962" l="1"/>
  <c r="P19" i="6970"/>
  <c r="P15" i="6968"/>
  <c r="P16" i="6970"/>
  <c r="P22" i="6970"/>
  <c r="P18" i="6972"/>
  <c r="P18" i="6968"/>
  <c r="P20" i="6972"/>
  <c r="P17" i="6962"/>
  <c r="P15" i="6962"/>
  <c r="P17" i="6974" l="1"/>
  <c r="P16" i="6972"/>
  <c r="P15" i="6960"/>
  <c r="P16" i="6960"/>
  <c r="P16" i="6974"/>
  <c r="P15" i="6974"/>
  <c r="C35" i="6974"/>
  <c r="B30" i="6974"/>
  <c r="C21" i="6974"/>
  <c r="B20" i="6974"/>
  <c r="H5" i="6974" s="1"/>
  <c r="H9" i="6974"/>
  <c r="B19" i="6974"/>
  <c r="B29" i="6974" s="1"/>
  <c r="B18" i="6974"/>
  <c r="C18" i="6974" s="1"/>
  <c r="C17" i="6974"/>
  <c r="C16" i="6974"/>
  <c r="C15" i="6974"/>
  <c r="H18" i="6974"/>
  <c r="B13" i="6974"/>
  <c r="P12" i="6974"/>
  <c r="B12" i="6974"/>
  <c r="B14" i="6974" s="1"/>
  <c r="P11" i="6974"/>
  <c r="B11" i="6974"/>
  <c r="P10" i="6974"/>
  <c r="C10" i="6974"/>
  <c r="C9" i="6974"/>
  <c r="C8" i="6974"/>
  <c r="P7" i="6974"/>
  <c r="B7" i="6974"/>
  <c r="P6" i="6974"/>
  <c r="P5" i="6974"/>
  <c r="B5" i="6974"/>
  <c r="P4" i="6974"/>
  <c r="P3" i="6974"/>
  <c r="H8" i="6974"/>
  <c r="P2" i="6974"/>
  <c r="H6" i="6974"/>
  <c r="P17" i="6972"/>
  <c r="P15" i="6972"/>
  <c r="C35" i="6972"/>
  <c r="B30" i="6972"/>
  <c r="C21" i="6972"/>
  <c r="B20" i="6972"/>
  <c r="H52" i="6972" s="1"/>
  <c r="B19" i="6972"/>
  <c r="B29" i="6972" s="1"/>
  <c r="B18" i="6972"/>
  <c r="C18" i="6972" s="1"/>
  <c r="C17" i="6972"/>
  <c r="C16" i="6972"/>
  <c r="C15" i="6972"/>
  <c r="B13" i="6972"/>
  <c r="P12" i="6972"/>
  <c r="B12" i="6972"/>
  <c r="P11" i="6972"/>
  <c r="B11" i="6972"/>
  <c r="P10" i="6972"/>
  <c r="C10" i="6972"/>
  <c r="C9" i="6972"/>
  <c r="C8" i="6972"/>
  <c r="P7" i="6972"/>
  <c r="B7" i="6972"/>
  <c r="P6" i="6972"/>
  <c r="P5" i="6972"/>
  <c r="B5" i="6972"/>
  <c r="P4" i="6972"/>
  <c r="P3" i="6972"/>
  <c r="P2" i="6972"/>
  <c r="P21" i="6968"/>
  <c r="P16" i="6968"/>
  <c r="P15" i="6958"/>
  <c r="P16" i="6958"/>
  <c r="B14" i="6972" l="1"/>
  <c r="C22" i="6974"/>
  <c r="H15" i="6974"/>
  <c r="C43" i="6974"/>
  <c r="H13" i="6974"/>
  <c r="C23" i="6974"/>
  <c r="H26" i="6974"/>
  <c r="C47" i="6974"/>
  <c r="H42" i="6974"/>
  <c r="H46" i="6974"/>
  <c r="C25" i="6974"/>
  <c r="H19" i="6974"/>
  <c r="H44" i="6974"/>
  <c r="H14" i="6974"/>
  <c r="H7" i="6974"/>
  <c r="C19" i="6974"/>
  <c r="H32" i="6974"/>
  <c r="H11" i="6974"/>
  <c r="H16" i="6974"/>
  <c r="H20" i="6974"/>
  <c r="H35" i="6974"/>
  <c r="C26" i="6974"/>
  <c r="H38" i="6974"/>
  <c r="H48" i="6974"/>
  <c r="C20" i="6974"/>
  <c r="B27" i="6974"/>
  <c r="H50" i="6974"/>
  <c r="H2" i="6974"/>
  <c r="C39" i="6974"/>
  <c r="H3" i="6974"/>
  <c r="H12" i="6974"/>
  <c r="H17" i="6974"/>
  <c r="H21" i="6974"/>
  <c r="H23" i="6974"/>
  <c r="H29" i="6974"/>
  <c r="H40" i="6974"/>
  <c r="H52" i="6974"/>
  <c r="H22" i="6974"/>
  <c r="H10" i="6974"/>
  <c r="H27" i="6974"/>
  <c r="H30" i="6974"/>
  <c r="H36" i="6974"/>
  <c r="C40" i="6974"/>
  <c r="C44" i="6974"/>
  <c r="C48" i="6974"/>
  <c r="H37" i="6974"/>
  <c r="H41" i="6974"/>
  <c r="H45" i="6974"/>
  <c r="H49" i="6974"/>
  <c r="H24" i="6974"/>
  <c r="H28" i="6974"/>
  <c r="H31" i="6974"/>
  <c r="C37" i="6974"/>
  <c r="C41" i="6974"/>
  <c r="C45" i="6974"/>
  <c r="C49" i="6974"/>
  <c r="H25" i="6974"/>
  <c r="H4" i="6974"/>
  <c r="H33" i="6974"/>
  <c r="C38" i="6974"/>
  <c r="C42" i="6974"/>
  <c r="C46" i="6974"/>
  <c r="H51" i="6974"/>
  <c r="C24" i="6974"/>
  <c r="B28" i="6974"/>
  <c r="H34" i="6974"/>
  <c r="H39" i="6974"/>
  <c r="H43" i="6974"/>
  <c r="H47" i="6974"/>
  <c r="C19" i="6972"/>
  <c r="C20" i="6972"/>
  <c r="C46" i="6972"/>
  <c r="H34" i="6972"/>
  <c r="C25" i="6972"/>
  <c r="H48" i="6972"/>
  <c r="H9" i="6972"/>
  <c r="H10" i="6972"/>
  <c r="H23" i="6972"/>
  <c r="H25" i="6972"/>
  <c r="H27" i="6972"/>
  <c r="H30" i="6972"/>
  <c r="H36" i="6972"/>
  <c r="C40" i="6972"/>
  <c r="C44" i="6972"/>
  <c r="C48" i="6972"/>
  <c r="H33" i="6972"/>
  <c r="H2" i="6972"/>
  <c r="C24" i="6972"/>
  <c r="C26" i="6972"/>
  <c r="H37" i="6972"/>
  <c r="H41" i="6972"/>
  <c r="H45" i="6972"/>
  <c r="H49" i="6972"/>
  <c r="H3" i="6972"/>
  <c r="H16" i="6972"/>
  <c r="C38" i="6972"/>
  <c r="H43" i="6972"/>
  <c r="H17" i="6972"/>
  <c r="H40" i="6972"/>
  <c r="H4" i="6972"/>
  <c r="H6" i="6972"/>
  <c r="H13" i="6972"/>
  <c r="H18" i="6972"/>
  <c r="H26" i="6972"/>
  <c r="H28" i="6972"/>
  <c r="H31" i="6972"/>
  <c r="C37" i="6972"/>
  <c r="C41" i="6972"/>
  <c r="C45" i="6972"/>
  <c r="C49" i="6972"/>
  <c r="H51" i="6972"/>
  <c r="H22" i="6972"/>
  <c r="H39" i="6972"/>
  <c r="H20" i="6972"/>
  <c r="H44" i="6972"/>
  <c r="H14" i="6972"/>
  <c r="C22" i="6972"/>
  <c r="H8" i="6972"/>
  <c r="H21" i="6972"/>
  <c r="H15" i="6972"/>
  <c r="C23" i="6972"/>
  <c r="B27" i="6972"/>
  <c r="H32" i="6972"/>
  <c r="H38" i="6972"/>
  <c r="H42" i="6972"/>
  <c r="H46" i="6972"/>
  <c r="H50" i="6972"/>
  <c r="H7" i="6972"/>
  <c r="C42" i="6972"/>
  <c r="H12" i="6972"/>
  <c r="H19" i="6972"/>
  <c r="B28" i="6972"/>
  <c r="H47" i="6972"/>
  <c r="H5" i="6972"/>
  <c r="H24" i="6972"/>
  <c r="H11" i="6972"/>
  <c r="H29" i="6972"/>
  <c r="H35" i="6972"/>
  <c r="C39" i="6972"/>
  <c r="C43" i="6972"/>
  <c r="C47" i="6972"/>
  <c r="P21" i="6964" l="1"/>
  <c r="P20" i="6970"/>
  <c r="P17" i="6970"/>
  <c r="C35" i="6970"/>
  <c r="B30" i="6970"/>
  <c r="C21" i="6970"/>
  <c r="B20" i="6970"/>
  <c r="H22" i="6970" s="1"/>
  <c r="C19" i="6970"/>
  <c r="B19" i="6970"/>
  <c r="B29" i="6970" s="1"/>
  <c r="B18" i="6970"/>
  <c r="C18" i="6970" s="1"/>
  <c r="C17" i="6970"/>
  <c r="C16" i="6970"/>
  <c r="C15" i="6970"/>
  <c r="B13" i="6970"/>
  <c r="P12" i="6970"/>
  <c r="B12" i="6970"/>
  <c r="P11" i="6970"/>
  <c r="B11" i="6970"/>
  <c r="P10" i="6970"/>
  <c r="C10" i="6970"/>
  <c r="C9" i="6970"/>
  <c r="C8" i="6970"/>
  <c r="P7" i="6970"/>
  <c r="B7" i="6970"/>
  <c r="P6" i="6970"/>
  <c r="P5" i="6970"/>
  <c r="B5" i="6970"/>
  <c r="P4" i="6970"/>
  <c r="P3" i="6970"/>
  <c r="P2" i="6970"/>
  <c r="P22" i="6960"/>
  <c r="P24" i="6958"/>
  <c r="B14" i="6970" l="1"/>
  <c r="H26" i="6970"/>
  <c r="C39" i="6970"/>
  <c r="H17" i="6970"/>
  <c r="H18" i="6970"/>
  <c r="H2" i="6970"/>
  <c r="C37" i="6970"/>
  <c r="H7" i="6970"/>
  <c r="H8" i="6970"/>
  <c r="H29" i="6970"/>
  <c r="H24" i="6970"/>
  <c r="H27" i="6970"/>
  <c r="H19" i="6970"/>
  <c r="H46" i="6970"/>
  <c r="H11" i="6970"/>
  <c r="C43" i="6970"/>
  <c r="H5" i="6970"/>
  <c r="H25" i="6970"/>
  <c r="C45" i="6970"/>
  <c r="H39" i="6970"/>
  <c r="C22" i="6970"/>
  <c r="H32" i="6970"/>
  <c r="H52" i="6970"/>
  <c r="B28" i="6970"/>
  <c r="C24" i="6970"/>
  <c r="H33" i="6970"/>
  <c r="H41" i="6970"/>
  <c r="H48" i="6970"/>
  <c r="H14" i="6970"/>
  <c r="H50" i="6970"/>
  <c r="H6" i="6970"/>
  <c r="C20" i="6970"/>
  <c r="C25" i="6970"/>
  <c r="H20" i="6970"/>
  <c r="H21" i="6970"/>
  <c r="H12" i="6970"/>
  <c r="H15" i="6970"/>
  <c r="H31" i="6970"/>
  <c r="H36" i="6970"/>
  <c r="C41" i="6970"/>
  <c r="C49" i="6970"/>
  <c r="C47" i="6970"/>
  <c r="H10" i="6970"/>
  <c r="H23" i="6970"/>
  <c r="H28" i="6970"/>
  <c r="H3" i="6970"/>
  <c r="C26" i="6970"/>
  <c r="H37" i="6970"/>
  <c r="H44" i="6970"/>
  <c r="H4" i="6970"/>
  <c r="H42" i="6970"/>
  <c r="H45" i="6970"/>
  <c r="H49" i="6970"/>
  <c r="H38" i="6970"/>
  <c r="C40" i="6970"/>
  <c r="C44" i="6970"/>
  <c r="C48" i="6970"/>
  <c r="H13" i="6970"/>
  <c r="H16" i="6970"/>
  <c r="C23" i="6970"/>
  <c r="B27" i="6970"/>
  <c r="H34" i="6970"/>
  <c r="H40" i="6970"/>
  <c r="H43" i="6970"/>
  <c r="H47" i="6970"/>
  <c r="H51" i="6970"/>
  <c r="H30" i="6970"/>
  <c r="H9" i="6970"/>
  <c r="H35" i="6970"/>
  <c r="C38" i="6970"/>
  <c r="C42" i="6970"/>
  <c r="C46" i="6970"/>
  <c r="P18" i="6960" l="1"/>
  <c r="P19" i="6960"/>
  <c r="P23" i="6968"/>
  <c r="P20" i="6968"/>
  <c r="C35" i="6968"/>
  <c r="B30" i="6968"/>
  <c r="C21" i="6968"/>
  <c r="B20" i="6968"/>
  <c r="H52" i="6968" s="1"/>
  <c r="B19" i="6968"/>
  <c r="B29" i="6968" s="1"/>
  <c r="B18" i="6968"/>
  <c r="C18" i="6968" s="1"/>
  <c r="C17" i="6968"/>
  <c r="C16" i="6968"/>
  <c r="C15" i="6968"/>
  <c r="B13" i="6968"/>
  <c r="P12" i="6968"/>
  <c r="B12" i="6968"/>
  <c r="P11" i="6968"/>
  <c r="B11" i="6968"/>
  <c r="P10" i="6968"/>
  <c r="C10" i="6968"/>
  <c r="C9" i="6968"/>
  <c r="C8" i="6968"/>
  <c r="P7" i="6968"/>
  <c r="B7" i="6968"/>
  <c r="P6" i="6968"/>
  <c r="P5" i="6968"/>
  <c r="B5" i="6968"/>
  <c r="P4" i="6968"/>
  <c r="P3" i="6968"/>
  <c r="P2" i="6968"/>
  <c r="P22" i="6958"/>
  <c r="P17" i="6966"/>
  <c r="P15" i="6966"/>
  <c r="C35" i="6966"/>
  <c r="B30" i="6966"/>
  <c r="C21" i="6966"/>
  <c r="B20" i="6966"/>
  <c r="H51" i="6966" s="1"/>
  <c r="B19" i="6966"/>
  <c r="B29" i="6966" s="1"/>
  <c r="B18" i="6966"/>
  <c r="C18" i="6966" s="1"/>
  <c r="C17" i="6966"/>
  <c r="C16" i="6966"/>
  <c r="C15" i="6966"/>
  <c r="B13" i="6966"/>
  <c r="P12" i="6966"/>
  <c r="B12" i="6966"/>
  <c r="P11" i="6966"/>
  <c r="B11" i="6966"/>
  <c r="P10" i="6966"/>
  <c r="C10" i="6966"/>
  <c r="C9" i="6966"/>
  <c r="C8" i="6966"/>
  <c r="P7" i="6966"/>
  <c r="B7" i="6966"/>
  <c r="P6" i="6966"/>
  <c r="P5" i="6966"/>
  <c r="B5" i="6966"/>
  <c r="P4" i="6966"/>
  <c r="P3" i="6966"/>
  <c r="P2" i="6966"/>
  <c r="P20" i="6958"/>
  <c r="B14" i="6966" l="1"/>
  <c r="C19" i="6966"/>
  <c r="B14" i="6968"/>
  <c r="C23" i="6966"/>
  <c r="H7" i="6966"/>
  <c r="H8" i="6966"/>
  <c r="H22" i="6966"/>
  <c r="B28" i="6966"/>
  <c r="H18" i="6966"/>
  <c r="H15" i="6966"/>
  <c r="H37" i="6966"/>
  <c r="H14" i="6966"/>
  <c r="H45" i="6966"/>
  <c r="C19" i="6968"/>
  <c r="C20" i="6968"/>
  <c r="H3" i="6968"/>
  <c r="H8" i="6968"/>
  <c r="C38" i="6968"/>
  <c r="C46" i="6968"/>
  <c r="H9" i="6968"/>
  <c r="H18" i="6968"/>
  <c r="H21" i="6968"/>
  <c r="C25" i="6968"/>
  <c r="H40" i="6968"/>
  <c r="H44" i="6968"/>
  <c r="H48" i="6968"/>
  <c r="H6" i="6968"/>
  <c r="H12" i="6968"/>
  <c r="H28" i="6968"/>
  <c r="H36" i="6968"/>
  <c r="C44" i="6968"/>
  <c r="H4" i="6968"/>
  <c r="H22" i="6968"/>
  <c r="C22" i="6968"/>
  <c r="H41" i="6968"/>
  <c r="H49" i="6968"/>
  <c r="H7" i="6968"/>
  <c r="H10" i="6968"/>
  <c r="H20" i="6968"/>
  <c r="H26" i="6968"/>
  <c r="H29" i="6968"/>
  <c r="H31" i="6968"/>
  <c r="C37" i="6968"/>
  <c r="C41" i="6968"/>
  <c r="C45" i="6968"/>
  <c r="C49" i="6968"/>
  <c r="H15" i="6968"/>
  <c r="H24" i="6968"/>
  <c r="H14" i="6968"/>
  <c r="C40" i="6968"/>
  <c r="C48" i="6968"/>
  <c r="C26" i="6968"/>
  <c r="H37" i="6968"/>
  <c r="H45" i="6968"/>
  <c r="H13" i="6968"/>
  <c r="H17" i="6968"/>
  <c r="H16" i="6968"/>
  <c r="C23" i="6968"/>
  <c r="B27" i="6968"/>
  <c r="H32" i="6968"/>
  <c r="H38" i="6968"/>
  <c r="H42" i="6968"/>
  <c r="H46" i="6968"/>
  <c r="H50" i="6968"/>
  <c r="H27" i="6968"/>
  <c r="H33" i="6968"/>
  <c r="C42" i="6968"/>
  <c r="H51" i="6968"/>
  <c r="H2" i="6968"/>
  <c r="H19" i="6968"/>
  <c r="H23" i="6968"/>
  <c r="C24" i="6968"/>
  <c r="B28" i="6968"/>
  <c r="H34" i="6968"/>
  <c r="H39" i="6968"/>
  <c r="H43" i="6968"/>
  <c r="H47" i="6968"/>
  <c r="H5" i="6968"/>
  <c r="H25" i="6968"/>
  <c r="H11" i="6968"/>
  <c r="H30" i="6968"/>
  <c r="H35" i="6968"/>
  <c r="C39" i="6968"/>
  <c r="C43" i="6968"/>
  <c r="C47" i="6968"/>
  <c r="C24" i="6966"/>
  <c r="H3" i="6966"/>
  <c r="H47" i="6966"/>
  <c r="H29" i="6966"/>
  <c r="H13" i="6966"/>
  <c r="H30" i="6966"/>
  <c r="C25" i="6966"/>
  <c r="C39" i="6966"/>
  <c r="C47" i="6966"/>
  <c r="H46" i="6966"/>
  <c r="H41" i="6966"/>
  <c r="H10" i="6966"/>
  <c r="H24" i="6966"/>
  <c r="H20" i="6966"/>
  <c r="H32" i="6966"/>
  <c r="H49" i="6966"/>
  <c r="H17" i="6966"/>
  <c r="H16" i="6966"/>
  <c r="C26" i="6966"/>
  <c r="H34" i="6966"/>
  <c r="H42" i="6966"/>
  <c r="H50" i="6966"/>
  <c r="H38" i="6966"/>
  <c r="H39" i="6966"/>
  <c r="H6" i="6966"/>
  <c r="H11" i="6966"/>
  <c r="H21" i="6966"/>
  <c r="C22" i="6966"/>
  <c r="H28" i="6966"/>
  <c r="H35" i="6966"/>
  <c r="H43" i="6966"/>
  <c r="H5" i="6966"/>
  <c r="C20" i="6966"/>
  <c r="H12" i="6966"/>
  <c r="H2" i="6966"/>
  <c r="H19" i="6966"/>
  <c r="H27" i="6966"/>
  <c r="H23" i="6966"/>
  <c r="H4" i="6966"/>
  <c r="H25" i="6966"/>
  <c r="B27" i="6966"/>
  <c r="C43" i="6966"/>
  <c r="H52" i="6966"/>
  <c r="H40" i="6966"/>
  <c r="H44" i="6966"/>
  <c r="H48" i="6966"/>
  <c r="H36" i="6966"/>
  <c r="C40" i="6966"/>
  <c r="C44" i="6966"/>
  <c r="C48" i="6966"/>
  <c r="H31" i="6966"/>
  <c r="C37" i="6966"/>
  <c r="C41" i="6966"/>
  <c r="C45" i="6966"/>
  <c r="C49" i="6966"/>
  <c r="H26" i="6966"/>
  <c r="H9" i="6966"/>
  <c r="H33" i="6966"/>
  <c r="C38" i="6966"/>
  <c r="C42" i="6966"/>
  <c r="C46" i="6966"/>
  <c r="P19" i="6964" l="1"/>
  <c r="P20" i="6964"/>
  <c r="C35" i="6964"/>
  <c r="B30" i="6964"/>
  <c r="C21" i="6964"/>
  <c r="B20" i="6964"/>
  <c r="H51" i="6964" s="1"/>
  <c r="B19" i="6964"/>
  <c r="B29" i="6964" s="1"/>
  <c r="B18" i="6964"/>
  <c r="C18" i="6964" s="1"/>
  <c r="C17" i="6964"/>
  <c r="C16" i="6964"/>
  <c r="C15" i="6964"/>
  <c r="B13" i="6964"/>
  <c r="P12" i="6964"/>
  <c r="B12" i="6964"/>
  <c r="P11" i="6964"/>
  <c r="B11" i="6964"/>
  <c r="B14" i="6964" s="1"/>
  <c r="P10" i="6964"/>
  <c r="C10" i="6964"/>
  <c r="C9" i="6964"/>
  <c r="C8" i="6964"/>
  <c r="P7" i="6964"/>
  <c r="B7" i="6964"/>
  <c r="P6" i="6964"/>
  <c r="P5" i="6964"/>
  <c r="B5" i="6964"/>
  <c r="P4" i="6964"/>
  <c r="P3" i="6964"/>
  <c r="P2" i="6964"/>
  <c r="P18" i="6962"/>
  <c r="P19" i="6962"/>
  <c r="C35" i="6962"/>
  <c r="B30" i="6962"/>
  <c r="C21" i="6962"/>
  <c r="B20" i="6962"/>
  <c r="H52" i="6962" s="1"/>
  <c r="B19" i="6962"/>
  <c r="B29" i="6962" s="1"/>
  <c r="B18" i="6962"/>
  <c r="C18" i="6962" s="1"/>
  <c r="C17" i="6962"/>
  <c r="C16" i="6962"/>
  <c r="C15" i="6962"/>
  <c r="B13" i="6962"/>
  <c r="P12" i="6962"/>
  <c r="B12" i="6962"/>
  <c r="P11" i="6962"/>
  <c r="B11" i="6962"/>
  <c r="P10" i="6962"/>
  <c r="C10" i="6962"/>
  <c r="C9" i="6962"/>
  <c r="C8" i="6962"/>
  <c r="P7" i="6962"/>
  <c r="B7" i="6962"/>
  <c r="P6" i="6962"/>
  <c r="P5" i="6962"/>
  <c r="B5" i="6962"/>
  <c r="P4" i="6962"/>
  <c r="P3" i="6962"/>
  <c r="P2" i="6962"/>
  <c r="P21" i="6958"/>
  <c r="P20" i="6960"/>
  <c r="P17" i="6960"/>
  <c r="C35" i="6960"/>
  <c r="B30" i="6960"/>
  <c r="C21" i="6960"/>
  <c r="B20" i="6960"/>
  <c r="H15" i="6960" s="1"/>
  <c r="B19" i="6960"/>
  <c r="B29" i="6960" s="1"/>
  <c r="B18" i="6960"/>
  <c r="C18" i="6960" s="1"/>
  <c r="C17" i="6960"/>
  <c r="C16" i="6960"/>
  <c r="C15" i="6960"/>
  <c r="B13" i="6960"/>
  <c r="P12" i="6960"/>
  <c r="B12" i="6960"/>
  <c r="P11" i="6960"/>
  <c r="B11" i="6960"/>
  <c r="P10" i="6960"/>
  <c r="C10" i="6960"/>
  <c r="C9" i="6960"/>
  <c r="C8" i="6960"/>
  <c r="P7" i="6960"/>
  <c r="B7" i="6960"/>
  <c r="P6" i="6960"/>
  <c r="P5" i="6960"/>
  <c r="B5" i="6960"/>
  <c r="P4" i="6960"/>
  <c r="P3" i="6960"/>
  <c r="P2" i="6960"/>
  <c r="P23" i="6958"/>
  <c r="P18" i="6958"/>
  <c r="C35" i="6958"/>
  <c r="B30" i="6958"/>
  <c r="C21" i="6958"/>
  <c r="B20" i="6958"/>
  <c r="H5" i="6958" s="1"/>
  <c r="B19" i="6958"/>
  <c r="B29" i="6958" s="1"/>
  <c r="B18" i="6958"/>
  <c r="C18" i="6958" s="1"/>
  <c r="C17" i="6958"/>
  <c r="C16" i="6958"/>
  <c r="C15" i="6958"/>
  <c r="B13" i="6958"/>
  <c r="P12" i="6958"/>
  <c r="B12" i="6958"/>
  <c r="P11" i="6958"/>
  <c r="B11" i="6958"/>
  <c r="P10" i="6958"/>
  <c r="C10" i="6958"/>
  <c r="C9" i="6958"/>
  <c r="C8" i="6958"/>
  <c r="P7" i="6958"/>
  <c r="B7" i="6958"/>
  <c r="P6" i="6958"/>
  <c r="P5" i="6958"/>
  <c r="B5" i="6958"/>
  <c r="P4" i="6958"/>
  <c r="P3" i="6958"/>
  <c r="P2" i="6958"/>
  <c r="H13" i="6960" l="1"/>
  <c r="H39" i="6960"/>
  <c r="C19" i="6962"/>
  <c r="B14" i="6960"/>
  <c r="B14" i="6958"/>
  <c r="H17" i="6960"/>
  <c r="H27" i="6960"/>
  <c r="C19" i="6960"/>
  <c r="H6" i="6960"/>
  <c r="B27" i="6960"/>
  <c r="C19" i="6958"/>
  <c r="H25" i="6964"/>
  <c r="B27" i="6964"/>
  <c r="H6" i="6964"/>
  <c r="H2" i="6964"/>
  <c r="H38" i="6964"/>
  <c r="C37" i="6964"/>
  <c r="H22" i="6964"/>
  <c r="H29" i="6964"/>
  <c r="C41" i="6964"/>
  <c r="H26" i="6964"/>
  <c r="H10" i="6964"/>
  <c r="H16" i="6964"/>
  <c r="C23" i="6964"/>
  <c r="H43" i="6964"/>
  <c r="C22" i="6964"/>
  <c r="C26" i="6964"/>
  <c r="H44" i="6964"/>
  <c r="C19" i="6964"/>
  <c r="H32" i="6964"/>
  <c r="H47" i="6964"/>
  <c r="H7" i="6964"/>
  <c r="H14" i="6964"/>
  <c r="H28" i="6964"/>
  <c r="C47" i="6964"/>
  <c r="H13" i="6964"/>
  <c r="H23" i="6964"/>
  <c r="H48" i="6964"/>
  <c r="B28" i="6964"/>
  <c r="H4" i="6964"/>
  <c r="H15" i="6964"/>
  <c r="C24" i="6964"/>
  <c r="H39" i="6964"/>
  <c r="C43" i="6964"/>
  <c r="H49" i="6964"/>
  <c r="H17" i="6964"/>
  <c r="H33" i="6964"/>
  <c r="H40" i="6964"/>
  <c r="H45" i="6964"/>
  <c r="C49" i="6964"/>
  <c r="H9" i="6964"/>
  <c r="C20" i="6964"/>
  <c r="C25" i="6964"/>
  <c r="H20" i="6964"/>
  <c r="C39" i="6964"/>
  <c r="H21" i="6964"/>
  <c r="H50" i="6964"/>
  <c r="H35" i="6964"/>
  <c r="H41" i="6964"/>
  <c r="C45" i="6964"/>
  <c r="H5" i="6964"/>
  <c r="H3" i="6964"/>
  <c r="H11" i="6964"/>
  <c r="H24" i="6964"/>
  <c r="H19" i="6964"/>
  <c r="H36" i="6964"/>
  <c r="H42" i="6964"/>
  <c r="H46" i="6964"/>
  <c r="H52" i="6964"/>
  <c r="H27" i="6964"/>
  <c r="H12" i="6964"/>
  <c r="H31" i="6964"/>
  <c r="H18" i="6964"/>
  <c r="H37" i="6964"/>
  <c r="C40" i="6964"/>
  <c r="C44" i="6964"/>
  <c r="C48" i="6964"/>
  <c r="H30" i="6964"/>
  <c r="H8" i="6964"/>
  <c r="H34" i="6964"/>
  <c r="C38" i="6964"/>
  <c r="C42" i="6964"/>
  <c r="C46" i="6964"/>
  <c r="B14" i="6962"/>
  <c r="C25" i="6962"/>
  <c r="H18" i="6962"/>
  <c r="H45" i="6962"/>
  <c r="H46" i="6962"/>
  <c r="H6" i="6962"/>
  <c r="H12" i="6962"/>
  <c r="H23" i="6962"/>
  <c r="C20" i="6962"/>
  <c r="B28" i="6962"/>
  <c r="H40" i="6962"/>
  <c r="H48" i="6962"/>
  <c r="H37" i="6962"/>
  <c r="H38" i="6962"/>
  <c r="H10" i="6962"/>
  <c r="H19" i="6962"/>
  <c r="H41" i="6962"/>
  <c r="H49" i="6962"/>
  <c r="H7" i="6962"/>
  <c r="H26" i="6962"/>
  <c r="C44" i="6962"/>
  <c r="C26" i="6962"/>
  <c r="H3" i="6962"/>
  <c r="H15" i="6962"/>
  <c r="H22" i="6962"/>
  <c r="C40" i="6962"/>
  <c r="C48" i="6962"/>
  <c r="H11" i="6962"/>
  <c r="H30" i="6962"/>
  <c r="H4" i="6962"/>
  <c r="H2" i="6962"/>
  <c r="H9" i="6962"/>
  <c r="H24" i="6962"/>
  <c r="C22" i="6962"/>
  <c r="H42" i="6962"/>
  <c r="H50" i="6962"/>
  <c r="H25" i="6962"/>
  <c r="H27" i="6962"/>
  <c r="C24" i="6962"/>
  <c r="H35" i="6962"/>
  <c r="H44" i="6962"/>
  <c r="H5" i="6962"/>
  <c r="H29" i="6962"/>
  <c r="H21" i="6962"/>
  <c r="H32" i="6962"/>
  <c r="C37" i="6962"/>
  <c r="C41" i="6962"/>
  <c r="C45" i="6962"/>
  <c r="C49" i="6962"/>
  <c r="H16" i="6962"/>
  <c r="H14" i="6962"/>
  <c r="C23" i="6962"/>
  <c r="B27" i="6962"/>
  <c r="H33" i="6962"/>
  <c r="H39" i="6962"/>
  <c r="H43" i="6962"/>
  <c r="H47" i="6962"/>
  <c r="H51" i="6962"/>
  <c r="H20" i="6962"/>
  <c r="H8" i="6962"/>
  <c r="H34" i="6962"/>
  <c r="C38" i="6962"/>
  <c r="C42" i="6962"/>
  <c r="C46" i="6962"/>
  <c r="H17" i="6962"/>
  <c r="H28" i="6962"/>
  <c r="H13" i="6962"/>
  <c r="H31" i="6962"/>
  <c r="H36" i="6962"/>
  <c r="C39" i="6962"/>
  <c r="C43" i="6962"/>
  <c r="C47" i="6962"/>
  <c r="H18" i="6960"/>
  <c r="H30" i="6960"/>
  <c r="H4" i="6960"/>
  <c r="H28" i="6960"/>
  <c r="H43" i="6960"/>
  <c r="H42" i="6960"/>
  <c r="C41" i="6960"/>
  <c r="C24" i="6960"/>
  <c r="H32" i="6960"/>
  <c r="H47" i="6960"/>
  <c r="H36" i="6960"/>
  <c r="H48" i="6960"/>
  <c r="H9" i="6960"/>
  <c r="C47" i="6960"/>
  <c r="H7" i="6960"/>
  <c r="H26" i="6960"/>
  <c r="C22" i="6960"/>
  <c r="H38" i="6960"/>
  <c r="H52" i="6960"/>
  <c r="B28" i="6960"/>
  <c r="C23" i="6960"/>
  <c r="H24" i="6960"/>
  <c r="C37" i="6960"/>
  <c r="H44" i="6960"/>
  <c r="H49" i="6960"/>
  <c r="H19" i="6960"/>
  <c r="C49" i="6960"/>
  <c r="H12" i="6960"/>
  <c r="H25" i="6960"/>
  <c r="H40" i="6960"/>
  <c r="H45" i="6960"/>
  <c r="H3" i="6960"/>
  <c r="C20" i="6960"/>
  <c r="C25" i="6960"/>
  <c r="H33" i="6960"/>
  <c r="C39" i="6960"/>
  <c r="H46" i="6960"/>
  <c r="H51" i="6960"/>
  <c r="C43" i="6960"/>
  <c r="H50" i="6960"/>
  <c r="H11" i="6960"/>
  <c r="H2" i="6960"/>
  <c r="H8" i="6960"/>
  <c r="H20" i="6960"/>
  <c r="H21" i="6960"/>
  <c r="H29" i="6960"/>
  <c r="C26" i="6960"/>
  <c r="H35" i="6960"/>
  <c r="H41" i="6960"/>
  <c r="C45" i="6960"/>
  <c r="H5" i="6960"/>
  <c r="H22" i="6960"/>
  <c r="H14" i="6960"/>
  <c r="H31" i="6960"/>
  <c r="H16" i="6960"/>
  <c r="H37" i="6960"/>
  <c r="C40" i="6960"/>
  <c r="C44" i="6960"/>
  <c r="C48" i="6960"/>
  <c r="H23" i="6960"/>
  <c r="H10" i="6960"/>
  <c r="H34" i="6960"/>
  <c r="C38" i="6960"/>
  <c r="C42" i="6960"/>
  <c r="C46" i="6960"/>
  <c r="H34" i="6958"/>
  <c r="H15" i="6958"/>
  <c r="H6" i="6958"/>
  <c r="H31" i="6958"/>
  <c r="C23" i="6958"/>
  <c r="H16" i="6958"/>
  <c r="H11" i="6958"/>
  <c r="H12" i="6958"/>
  <c r="C41" i="6958"/>
  <c r="C43" i="6958"/>
  <c r="H46" i="6958"/>
  <c r="H13" i="6958"/>
  <c r="H9" i="6958"/>
  <c r="C25" i="6958"/>
  <c r="H38" i="6958"/>
  <c r="C45" i="6958"/>
  <c r="C47" i="6958"/>
  <c r="C20" i="6958"/>
  <c r="H35" i="6958"/>
  <c r="H20" i="6958"/>
  <c r="H32" i="6958"/>
  <c r="C26" i="6958"/>
  <c r="C37" i="6958"/>
  <c r="H49" i="6958"/>
  <c r="H3" i="6958"/>
  <c r="H25" i="6958"/>
  <c r="H2" i="6958"/>
  <c r="H21" i="6958"/>
  <c r="H7" i="6958"/>
  <c r="H26" i="6958"/>
  <c r="H23" i="6958"/>
  <c r="C39" i="6958"/>
  <c r="C49" i="6958"/>
  <c r="H19" i="6958"/>
  <c r="H33" i="6958"/>
  <c r="H10" i="6958"/>
  <c r="H14" i="6958"/>
  <c r="H4" i="6958"/>
  <c r="H24" i="6958"/>
  <c r="C22" i="6958"/>
  <c r="H27" i="6958"/>
  <c r="H43" i="6958"/>
  <c r="H52" i="6958"/>
  <c r="H18" i="6958"/>
  <c r="H39" i="6958"/>
  <c r="C40" i="6958"/>
  <c r="C44" i="6958"/>
  <c r="C48" i="6958"/>
  <c r="H40" i="6958"/>
  <c r="H29" i="6958"/>
  <c r="H30" i="6958"/>
  <c r="H50" i="6958"/>
  <c r="B27" i="6958"/>
  <c r="H28" i="6958"/>
  <c r="H41" i="6958"/>
  <c r="H44" i="6958"/>
  <c r="H47" i="6958"/>
  <c r="H51" i="6958"/>
  <c r="H22" i="6958"/>
  <c r="H8" i="6958"/>
  <c r="H36" i="6958"/>
  <c r="C38" i="6958"/>
  <c r="C42" i="6958"/>
  <c r="C46" i="6958"/>
  <c r="H17" i="6958"/>
  <c r="C24" i="6958"/>
  <c r="B28" i="6958"/>
  <c r="H37" i="6958"/>
  <c r="H42" i="6958"/>
  <c r="H45" i="6958"/>
  <c r="H48" i="6958"/>
  <c r="C35" i="6023" l="1"/>
  <c r="B30" i="6023"/>
  <c r="C21" i="6023"/>
  <c r="C20" i="6023"/>
  <c r="B20" i="6023"/>
  <c r="H52" i="6023" s="1"/>
  <c r="C19" i="6023"/>
  <c r="B19" i="6023"/>
  <c r="B29" i="6023" s="1"/>
  <c r="C18" i="6023"/>
  <c r="B18" i="6023"/>
  <c r="C17" i="6023"/>
  <c r="C16" i="6023"/>
  <c r="C15" i="6023"/>
  <c r="P12" i="6023"/>
  <c r="H12" i="6023"/>
  <c r="B13" i="6023"/>
  <c r="P11" i="6023"/>
  <c r="B12" i="6023"/>
  <c r="P10" i="6023"/>
  <c r="B11" i="6023"/>
  <c r="C10" i="6023"/>
  <c r="C9" i="6023"/>
  <c r="P7" i="6023"/>
  <c r="C8" i="6023"/>
  <c r="P6" i="6023"/>
  <c r="B7" i="6023"/>
  <c r="P5" i="6023"/>
  <c r="B5" i="6023"/>
  <c r="P4" i="6023"/>
  <c r="P3" i="6023"/>
  <c r="H3" i="6023"/>
  <c r="P2" i="6023"/>
  <c r="H9" i="6023" l="1"/>
  <c r="B14" i="6023"/>
  <c r="H6" i="6023"/>
  <c r="H17" i="6023"/>
  <c r="H20" i="6023"/>
  <c r="H24" i="6023"/>
  <c r="H28" i="6023"/>
  <c r="H31" i="6023"/>
  <c r="C38" i="6023"/>
  <c r="C40" i="6023"/>
  <c r="C44" i="6023"/>
  <c r="C48" i="6023"/>
  <c r="H11" i="6023"/>
  <c r="H14" i="6023"/>
  <c r="C22" i="6023"/>
  <c r="B28" i="6023"/>
  <c r="H32" i="6023"/>
  <c r="H45" i="6023"/>
  <c r="H19" i="6023"/>
  <c r="H21" i="6023"/>
  <c r="H23" i="6023"/>
  <c r="H25" i="6023"/>
  <c r="H27" i="6023"/>
  <c r="H29" i="6023"/>
  <c r="H33" i="6023"/>
  <c r="C37" i="6023"/>
  <c r="C39" i="6023"/>
  <c r="C41" i="6023"/>
  <c r="C43" i="6023"/>
  <c r="C45" i="6023"/>
  <c r="C47" i="6023"/>
  <c r="C49" i="6023"/>
  <c r="H51" i="6023"/>
  <c r="H22" i="6023"/>
  <c r="H26" i="6023"/>
  <c r="H34" i="6023"/>
  <c r="C42" i="6023"/>
  <c r="C46" i="6023"/>
  <c r="H49" i="6023"/>
  <c r="H5" i="6023"/>
  <c r="H16" i="6023"/>
  <c r="C24" i="6023"/>
  <c r="C26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3" i="6023"/>
  <c r="C25" i="6023"/>
  <c r="B27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<sst xmlns="http://schemas.openxmlformats.org/spreadsheetml/2006/main" count="2987" uniqueCount="253">
  <si>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</si>
  <si>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</si>
  <si>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</si>
  <si>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</si>
  <si>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</si>
  <si>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</si>
  <si>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</si>
  <si>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</si>
  <si>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</si>
  <si>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</si>
  <si>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</si>
  <si>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</si>
  <si>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</si>
  <si>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</si>
  <si>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</si>
  <si>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</si>
  <si>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</si>
  <si>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</si>
  <si>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</si>
  <si>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</si>
  <si>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</si>
  <si>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</si>
  <si>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</si>
  <si>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</si>
  <si>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</si>
  <si>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</si>
  <si>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</si>
  <si>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</si>
  <si>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</si>
  <si>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</si>
  <si>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</si>
  <si>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</si>
  <si>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</si>
  <si>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</si>
  <si>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</si>
  <si>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</si>
  <si>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</si>
  <si>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</si>
  <si>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</si>
  <si>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</si>
  <si>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</si>
  <si>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</si>
  <si>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</si>
  <si>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</si>
  <si>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</si>
  <si>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</si>
  <si>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</si>
  <si>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</si>
  <si>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</si>
  <si>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</si>
  <si>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</si>
  <si>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</si>
  <si>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</si>
  <si>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</si>
  <si>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</si>
  <si>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</si>
  <si>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</si>
  <si>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</si>
  <si>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</si>
  <si>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</si>
  <si>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</si>
  <si>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</si>
  <si>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</si>
  <si>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</si>
  <si>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</si>
  <si>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</si>
  <si>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</si>
  <si>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</si>
  <si>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</si>
  <si>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</si>
  <si>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</si>
  <si>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</si>
  <si>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</si>
  <si>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</si>
  <si>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</si>
  <si>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</si>
  <si>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</si>
  <si>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</si>
  <si>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</si>
  <si>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</si>
  <si>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</si>
  <si>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</si>
  <si>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</si>
  <si>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</si>
  <si>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</si>
  <si>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</si>
  <si>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</si>
  <si>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</si>
  <si>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</si>
  <si>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</si>
  <si>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</si>
  <si>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</si>
  <si>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</si>
  <si>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</si>
  <si>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</si>
  <si>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</si>
  <si>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</si>
  <si>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</si>
  <si>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</si>
  <si>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</si>
  <si>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</si>
  <si>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</si>
  <si>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</si>
  <si>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</si>
  <si>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</si>
  <si>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</si>
  <si>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</si>
  <si>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</si>
  <si>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</si>
  <si>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</si>
  <si>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</si>
  <si>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</si>
  <si>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</si>
  <si>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</si>
  <si>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</si>
  <si>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</si>
  <si>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</si>
  <si>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</si>
  <si>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</si>
  <si>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</si>
  <si>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</si>
  <si>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</si>
  <si>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</si>
  <si>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</si>
  <si>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</si>
  <si>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</si>
  <si>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</si>
  <si>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</si>
  <si>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</si>
  <si>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</si>
  <si>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</si>
  <si>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</si>
  <si>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</si>
  <si>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</si>
  <si>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</si>
  <si>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</si>
  <si>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</si>
  <si>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</si>
  <si>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</si>
  <si>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</si>
  <si>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</si>
  <si>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</si>
  <si>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</si>
  <si>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</si>
  <si>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</si>
  <si>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</si>
  <si>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</si>
  <si>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</si>
  <si>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</si>
  <si>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</si>
  <si>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</si>
  <si>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</si>
  <si>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</si>
  <si>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</si>
  <si>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</si>
  <si>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</si>
  <si>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</si>
  <si>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</si>
  <si>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</si>
  <si>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</si>
  <si>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</si>
  <si>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</si>
  <si>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</si>
  <si>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</si>
  <si>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</si>
  <si>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</si>
  <si>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</si>
  <si>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</si>
  <si>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</si>
  <si>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</si>
  <si>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</si>
  <si>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</si>
  <si>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</si>
  <si>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</si>
  <si>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</si>
  <si>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</si>
  <si>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</si>
  <si>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</si>
  <si>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</si>
  <si>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</si>
  <si>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</si>
  <si>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</si>
  <si>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</si>
  <si>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</si>
  <si>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</si>
  <si>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</si>
  <si>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</si>
  <si>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</si>
  <si>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Sheet2</t>
  </si>
  <si>
    <t>たかの</t>
  </si>
  <si>
    <t>まっつん</t>
  </si>
  <si>
    <t>Sheet3</t>
  </si>
  <si>
    <t>ただ</t>
  </si>
  <si>
    <t>のり</t>
  </si>
  <si>
    <t>Sheet4</t>
  </si>
  <si>
    <t>りくと</t>
  </si>
  <si>
    <t>レーティング</t>
    <phoneticPr fontId="1"/>
  </si>
  <si>
    <t>R</t>
    <phoneticPr fontId="1"/>
  </si>
  <si>
    <t>ともき</t>
  </si>
  <si>
    <t>ぱぱ</t>
  </si>
  <si>
    <t>あさひ</t>
  </si>
  <si>
    <t>いっしー</t>
  </si>
  <si>
    <t>ほたに</t>
  </si>
  <si>
    <t>かわたつ</t>
  </si>
  <si>
    <t>やがさき</t>
  </si>
  <si>
    <t>ちさと</t>
  </si>
  <si>
    <t>かこたろう</t>
  </si>
  <si>
    <t>がくと</t>
  </si>
  <si>
    <t>相関</t>
    <rPh sb="0" eb="2">
      <t>ソウカン</t>
    </rPh>
    <phoneticPr fontId="1"/>
  </si>
  <si>
    <t>ゆう</t>
  </si>
  <si>
    <t>てんちゃん</t>
  </si>
  <si>
    <t>いちかわ</t>
  </si>
  <si>
    <t>2020-09-25@0.xlsm</t>
  </si>
  <si>
    <t>2020-09-27@0.xlsm</t>
  </si>
  <si>
    <t>2020-10-01@0.xlsm</t>
  </si>
  <si>
    <t>2020-10-03@0.xlsm</t>
  </si>
  <si>
    <t>たか</t>
  </si>
  <si>
    <t>2020-10-04@0.xlsm</t>
  </si>
  <si>
    <t>2020-10-05@0.xlsm</t>
  </si>
  <si>
    <t>2020-10-06@0.xlsm</t>
  </si>
  <si>
    <t>2020-10-07@0.xlsm</t>
  </si>
  <si>
    <t>わさび</t>
  </si>
  <si>
    <t>2020-10-08@0.xlsm</t>
  </si>
  <si>
    <t>2020-10-09@0.xlsm</t>
  </si>
  <si>
    <t>2020-10-10@0.xlsm</t>
  </si>
  <si>
    <t>わさび</t>
    <phoneticPr fontId="1"/>
  </si>
  <si>
    <t>2020-10-12@0.xlsm</t>
  </si>
  <si>
    <t>2020-10-14@0.xlsm</t>
  </si>
  <si>
    <t>2020-10-15@0.xlsm</t>
  </si>
  <si>
    <t>2020-10-17@0.xlsm</t>
  </si>
  <si>
    <t>2020-10-19@0.xlsm</t>
  </si>
  <si>
    <t>2020-10-21@0.xlsm</t>
  </si>
  <si>
    <t>2020-10-22@0.xlsm</t>
  </si>
  <si>
    <t>2020-10-23@0.xlsm</t>
  </si>
  <si>
    <t>2020-10-25@0.xlsm</t>
  </si>
  <si>
    <t>2020-10-26@0.xlsm</t>
  </si>
  <si>
    <t>2020-10-27@0.xlsm</t>
  </si>
  <si>
    <t>2020-10-28@0.xlsm</t>
  </si>
  <si>
    <t>2020-10-29@0.xlsm</t>
  </si>
  <si>
    <t>2020-11-09@0.xlsm</t>
  </si>
  <si>
    <t>Sheet5</t>
  </si>
  <si>
    <t>2020-11-10@0.xlsm</t>
  </si>
  <si>
    <t>2020-11-11@0.xlsm</t>
  </si>
  <si>
    <t>2020-11-12@0.xlsm</t>
  </si>
  <si>
    <t>2020-11-14@0.xlsm</t>
  </si>
  <si>
    <t>Sheet7</t>
  </si>
  <si>
    <t>Sheet6</t>
  </si>
  <si>
    <t>2020-11-15@0.xlsm</t>
  </si>
  <si>
    <t>2020-11-17@0.xlsm</t>
  </si>
  <si>
    <t>2020-11-18@0.xlsm</t>
  </si>
  <si>
    <t>2020-11-19@0.xlsm</t>
  </si>
  <si>
    <t>2020-11-20@0.xlsm</t>
  </si>
  <si>
    <t>2020-11-21@0.xlsm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</si>
</sst>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9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全体!$K$2:$K$299</c:f>
              <c:numCache>
                <c:formatCode>General</c:formatCode>
                <c:ptCount val="2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</c:numCache>
            </c:numRef>
          </c:xVal>
          <c:yVal>
            <c:numRef>
              <c:f>全体!$L$2:$L$299</c:f>
              <c:numCache>
                <c:formatCode>\+0.0;\-0.0;\±0</c:formatCode>
                <c:ptCount val="298"/>
                <c:pt idx="0">
                  <c:v>0</c:v>
                </c:pt>
                <c:pt idx="1">
                  <c:v>20.9</c:v>
                </c:pt>
                <c:pt idx="2">
                  <c:v>-10.100000000000001</c:v>
                </c:pt>
                <c:pt idx="3">
                  <c:v>-1.7763568394002505E-15</c:v>
                </c:pt>
                <c:pt idx="4">
                  <c:v>26.299999999999997</c:v>
                </c:pt>
                <c:pt idx="5">
                  <c:v>-41.600000000000009</c:v>
                </c:pt>
                <c:pt idx="6">
                  <c:v>-7.1054273576010019E-15</c:v>
                </c:pt>
                <c:pt idx="7">
                  <c:v>-33.600000000000009</c:v>
                </c:pt>
                <c:pt idx="8">
                  <c:v>21.999999999999993</c:v>
                </c:pt>
                <c:pt idx="9">
                  <c:v>-7.1054273576010019E-15</c:v>
                </c:pt>
                <c:pt idx="10">
                  <c:v>-30.700000000000006</c:v>
                </c:pt>
                <c:pt idx="11">
                  <c:v>-34.000000000000007</c:v>
                </c:pt>
                <c:pt idx="12">
                  <c:v>-7.1054273576010019E-15</c:v>
                </c:pt>
                <c:pt idx="13">
                  <c:v>48.999999999999993</c:v>
                </c:pt>
                <c:pt idx="14">
                  <c:v>3.4999999999999929</c:v>
                </c:pt>
                <c:pt idx="15">
                  <c:v>-7.1054273576010019E-15</c:v>
                </c:pt>
                <c:pt idx="16">
                  <c:v>-11.600000000000007</c:v>
                </c:pt>
                <c:pt idx="17">
                  <c:v>-7.1054273576010019E-15</c:v>
                </c:pt>
                <c:pt idx="18">
                  <c:v>-7.1054273576010019E-15</c:v>
                </c:pt>
                <c:pt idx="19">
                  <c:v>-23.100000000000009</c:v>
                </c:pt>
                <c:pt idx="20">
                  <c:v>-31.300000000000008</c:v>
                </c:pt>
                <c:pt idx="21">
                  <c:v>-7.1054273576010019E-15</c:v>
                </c:pt>
                <c:pt idx="22">
                  <c:v>-4.4000000000000075</c:v>
                </c:pt>
                <c:pt idx="23">
                  <c:v>37.999999999999993</c:v>
                </c:pt>
                <c:pt idx="24">
                  <c:v>-7.1054273576010019E-15</c:v>
                </c:pt>
                <c:pt idx="25">
                  <c:v>-28.000000000000007</c:v>
                </c:pt>
                <c:pt idx="26">
                  <c:v>-8.0000000000000071</c:v>
                </c:pt>
                <c:pt idx="27">
                  <c:v>-7.1054273576010019E-15</c:v>
                </c:pt>
                <c:pt idx="28">
                  <c:v>36.899999999999991</c:v>
                </c:pt>
                <c:pt idx="29">
                  <c:v>-3.1000000000000085</c:v>
                </c:pt>
                <c:pt idx="30">
                  <c:v>-8.4376949871511897E-15</c:v>
                </c:pt>
                <c:pt idx="31">
                  <c:v>49.599999999999994</c:v>
                </c:pt>
                <c:pt idx="32">
                  <c:v>36.799999999999997</c:v>
                </c:pt>
                <c:pt idx="33">
                  <c:v>0</c:v>
                </c:pt>
                <c:pt idx="34">
                  <c:v>33.6</c:v>
                </c:pt>
                <c:pt idx="35">
                  <c:v>-20.199999999999996</c:v>
                </c:pt>
                <c:pt idx="36">
                  <c:v>3.5527136788005009E-15</c:v>
                </c:pt>
                <c:pt idx="37">
                  <c:v>-34.399999999999991</c:v>
                </c:pt>
                <c:pt idx="38">
                  <c:v>-23.79999999999999</c:v>
                </c:pt>
                <c:pt idx="39">
                  <c:v>1.0658141036401503E-14</c:v>
                </c:pt>
                <c:pt idx="40">
                  <c:v>-28.79999999999999</c:v>
                </c:pt>
                <c:pt idx="41">
                  <c:v>-22.499999999999989</c:v>
                </c:pt>
                <c:pt idx="42">
                  <c:v>1.0658141036401503E-14</c:v>
                </c:pt>
                <c:pt idx="43">
                  <c:v>26.600000000000012</c:v>
                </c:pt>
                <c:pt idx="44">
                  <c:v>-6.5999999999999908</c:v>
                </c:pt>
                <c:pt idx="45">
                  <c:v>8.8817841970012523E-15</c:v>
                </c:pt>
                <c:pt idx="46">
                  <c:v>-27.999999999999993</c:v>
                </c:pt>
                <c:pt idx="47">
                  <c:v>50.000000000000007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-26.599999999999991</c:v>
                </c:pt>
                <c:pt idx="51">
                  <c:v>1.0658141036401503E-14</c:v>
                </c:pt>
                <c:pt idx="52">
                  <c:v>-24.199999999999989</c:v>
                </c:pt>
                <c:pt idx="53">
                  <c:v>-20.199999999999989</c:v>
                </c:pt>
                <c:pt idx="54">
                  <c:v>1.0658141036401503E-14</c:v>
                </c:pt>
                <c:pt idx="55">
                  <c:v>-17.499999999999989</c:v>
                </c:pt>
                <c:pt idx="56">
                  <c:v>0.50000000000001066</c:v>
                </c:pt>
                <c:pt idx="57">
                  <c:v>1.0658141036401503E-14</c:v>
                </c:pt>
                <c:pt idx="58">
                  <c:v>16.600000000000012</c:v>
                </c:pt>
                <c:pt idx="59">
                  <c:v>13.600000000000012</c:v>
                </c:pt>
                <c:pt idx="60">
                  <c:v>1.2434497875801753E-14</c:v>
                </c:pt>
                <c:pt idx="61">
                  <c:v>-13.999999999999988</c:v>
                </c:pt>
                <c:pt idx="62">
                  <c:v>-39.699999999999989</c:v>
                </c:pt>
                <c:pt idx="63">
                  <c:v>1.4210854715202004E-14</c:v>
                </c:pt>
                <c:pt idx="64">
                  <c:v>-19.799999999999986</c:v>
                </c:pt>
                <c:pt idx="65">
                  <c:v>-50.899999999999991</c:v>
                </c:pt>
                <c:pt idx="66">
                  <c:v>7.1054273576010019E-15</c:v>
                </c:pt>
                <c:pt idx="67">
                  <c:v>-26.699999999999992</c:v>
                </c:pt>
                <c:pt idx="68">
                  <c:v>7.0000000000000107</c:v>
                </c:pt>
                <c:pt idx="69">
                  <c:v>1.0658141036401503E-14</c:v>
                </c:pt>
                <c:pt idx="70">
                  <c:v>-24.399999999999988</c:v>
                </c:pt>
                <c:pt idx="71">
                  <c:v>-24.299999999999986</c:v>
                </c:pt>
                <c:pt idx="72">
                  <c:v>1.4210854715202004E-14</c:v>
                </c:pt>
                <c:pt idx="73">
                  <c:v>8.2000000000000135</c:v>
                </c:pt>
                <c:pt idx="74">
                  <c:v>32.800000000000011</c:v>
                </c:pt>
                <c:pt idx="75">
                  <c:v>1.4210854715202004E-14</c:v>
                </c:pt>
                <c:pt idx="76">
                  <c:v>-14.299999999999986</c:v>
                </c:pt>
                <c:pt idx="77">
                  <c:v>-14.799999999999986</c:v>
                </c:pt>
                <c:pt idx="78">
                  <c:v>1.4210854715202004E-14</c:v>
                </c:pt>
                <c:pt idx="79">
                  <c:v>-6.8999999999999861</c:v>
                </c:pt>
                <c:pt idx="80">
                  <c:v>20.100000000000016</c:v>
                </c:pt>
                <c:pt idx="81">
                  <c:v>1.4210854715202004E-14</c:v>
                </c:pt>
                <c:pt idx="82">
                  <c:v>-0.69999999999998574</c:v>
                </c:pt>
                <c:pt idx="83">
                  <c:v>-24.199999999999985</c:v>
                </c:pt>
                <c:pt idx="84">
                  <c:v>1.4210854715202004E-14</c:v>
                </c:pt>
                <c:pt idx="85">
                  <c:v>33.500000000000014</c:v>
                </c:pt>
                <c:pt idx="86">
                  <c:v>34.500000000000014</c:v>
                </c:pt>
                <c:pt idx="87">
                  <c:v>1.4210854715202004E-14</c:v>
                </c:pt>
                <c:pt idx="88">
                  <c:v>-24.699999999999985</c:v>
                </c:pt>
                <c:pt idx="89">
                  <c:v>-4.0999999999999837</c:v>
                </c:pt>
                <c:pt idx="90">
                  <c:v>1.5987211554602254E-14</c:v>
                </c:pt>
                <c:pt idx="91">
                  <c:v>-37.899999999999984</c:v>
                </c:pt>
                <c:pt idx="92">
                  <c:v>-13.099999999999984</c:v>
                </c:pt>
                <c:pt idx="93">
                  <c:v>1.5987211554602254E-14</c:v>
                </c:pt>
                <c:pt idx="94">
                  <c:v>-41.399999999999984</c:v>
                </c:pt>
                <c:pt idx="95">
                  <c:v>-49.59999999999998</c:v>
                </c:pt>
                <c:pt idx="96">
                  <c:v>2.1316282072803006E-14</c:v>
                </c:pt>
                <c:pt idx="97">
                  <c:v>3.6000000000000214</c:v>
                </c:pt>
                <c:pt idx="98">
                  <c:v>-46.499999999999979</c:v>
                </c:pt>
                <c:pt idx="99">
                  <c:v>2.1316282072803006E-14</c:v>
                </c:pt>
                <c:pt idx="100">
                  <c:v>28.300000000000022</c:v>
                </c:pt>
                <c:pt idx="101">
                  <c:v>-8.7999999999999794</c:v>
                </c:pt>
                <c:pt idx="102">
                  <c:v>2.1316282072803006E-14</c:v>
                </c:pt>
                <c:pt idx="103">
                  <c:v>-31.09999999999998</c:v>
                </c:pt>
                <c:pt idx="104">
                  <c:v>11.600000000000023</c:v>
                </c:pt>
                <c:pt idx="105">
                  <c:v>2.3092638912203256E-14</c:v>
                </c:pt>
                <c:pt idx="106">
                  <c:v>58.500000000000021</c:v>
                </c:pt>
                <c:pt idx="107">
                  <c:v>24.100000000000023</c:v>
                </c:pt>
                <c:pt idx="108">
                  <c:v>2.1316282072803006E-14</c:v>
                </c:pt>
                <c:pt idx="109">
                  <c:v>-15.599999999999978</c:v>
                </c:pt>
                <c:pt idx="110">
                  <c:v>-7.7999999999999785</c:v>
                </c:pt>
                <c:pt idx="111">
                  <c:v>2.1316282072803006E-14</c:v>
                </c:pt>
                <c:pt idx="112">
                  <c:v>18.100000000000023</c:v>
                </c:pt>
                <c:pt idx="113">
                  <c:v>1.4000000000000234</c:v>
                </c:pt>
                <c:pt idx="114">
                  <c:v>2.3536728122053319E-14</c:v>
                </c:pt>
                <c:pt idx="115">
                  <c:v>-4.5999999999999766</c:v>
                </c:pt>
                <c:pt idx="116">
                  <c:v>-26.899999999999977</c:v>
                </c:pt>
                <c:pt idx="117">
                  <c:v>2.1316282072803006E-14</c:v>
                </c:pt>
                <c:pt idx="118">
                  <c:v>31.90000000000002</c:v>
                </c:pt>
                <c:pt idx="119">
                  <c:v>33.500000000000021</c:v>
                </c:pt>
                <c:pt idx="120">
                  <c:v>2.1316282072803006E-14</c:v>
                </c:pt>
                <c:pt idx="121">
                  <c:v>-45.699999999999982</c:v>
                </c:pt>
                <c:pt idx="122">
                  <c:v>-43.59999999999998</c:v>
                </c:pt>
                <c:pt idx="123">
                  <c:v>2.1316282072803006E-14</c:v>
                </c:pt>
                <c:pt idx="124">
                  <c:v>42.000000000000021</c:v>
                </c:pt>
                <c:pt idx="125">
                  <c:v>-7.6999999999999815</c:v>
                </c:pt>
                <c:pt idx="126">
                  <c:v>1.865174681370263E-14</c:v>
                </c:pt>
                <c:pt idx="127">
                  <c:v>-0.99999999999998135</c:v>
                </c:pt>
                <c:pt idx="128">
                  <c:v>-54.999999999999979</c:v>
                </c:pt>
                <c:pt idx="129">
                  <c:v>2.1316282072803006E-14</c:v>
                </c:pt>
                <c:pt idx="130">
                  <c:v>39.600000000000023</c:v>
                </c:pt>
                <c:pt idx="131">
                  <c:v>6.8000000000000256</c:v>
                </c:pt>
                <c:pt idx="132">
                  <c:v>2.5757174171303632E-14</c:v>
                </c:pt>
                <c:pt idx="133">
                  <c:v>-25.399999999999974</c:v>
                </c:pt>
                <c:pt idx="134">
                  <c:v>-30.799999999999976</c:v>
                </c:pt>
                <c:pt idx="135">
                  <c:v>2.4868995751603507E-14</c:v>
                </c:pt>
                <c:pt idx="136">
                  <c:v>28.300000000000026</c:v>
                </c:pt>
                <c:pt idx="137">
                  <c:v>31.000000000000025</c:v>
                </c:pt>
                <c:pt idx="138">
                  <c:v>2.4868995751603507E-14</c:v>
                </c:pt>
                <c:pt idx="139">
                  <c:v>7.5000000000000249</c:v>
                </c:pt>
                <c:pt idx="140">
                  <c:v>-29.399999999999974</c:v>
                </c:pt>
                <c:pt idx="141">
                  <c:v>2.4868995751603507E-14</c:v>
                </c:pt>
                <c:pt idx="142">
                  <c:v>8.9000000000000252</c:v>
                </c:pt>
                <c:pt idx="143">
                  <c:v>45.700000000000024</c:v>
                </c:pt>
                <c:pt idx="144">
                  <c:v>2.1316282072803006E-14</c:v>
                </c:pt>
                <c:pt idx="145">
                  <c:v>22.100000000000023</c:v>
                </c:pt>
                <c:pt idx="146">
                  <c:v>-5.4999999999999787</c:v>
                </c:pt>
                <c:pt idx="147">
                  <c:v>2.1316282072803006E-14</c:v>
                </c:pt>
                <c:pt idx="148">
                  <c:v>73.800000000000011</c:v>
                </c:pt>
                <c:pt idx="149">
                  <c:v>21.70000000000001</c:v>
                </c:pt>
                <c:pt idx="150">
                  <c:v>1.0658141036401503E-14</c:v>
                </c:pt>
                <c:pt idx="151">
                  <c:v>31.20000000000001</c:v>
                </c:pt>
                <c:pt idx="152">
                  <c:v>51.500000000000014</c:v>
                </c:pt>
                <c:pt idx="153">
                  <c:v>1.4210854715202004E-14</c:v>
                </c:pt>
                <c:pt idx="154">
                  <c:v>-39.299999999999983</c:v>
                </c:pt>
                <c:pt idx="155">
                  <c:v>21.000000000000014</c:v>
                </c:pt>
                <c:pt idx="156">
                  <c:v>1.4210854715202004E-14</c:v>
                </c:pt>
                <c:pt idx="157">
                  <c:v>4.1000000000000139</c:v>
                </c:pt>
                <c:pt idx="158">
                  <c:v>-36.199999999999982</c:v>
                </c:pt>
                <c:pt idx="159">
                  <c:v>2.1316282072803006E-14</c:v>
                </c:pt>
                <c:pt idx="160">
                  <c:v>69.700000000000017</c:v>
                </c:pt>
                <c:pt idx="161">
                  <c:v>46.300000000000018</c:v>
                </c:pt>
                <c:pt idx="162">
                  <c:v>2.1316282072803006E-14</c:v>
                </c:pt>
                <c:pt idx="163">
                  <c:v>20.500000000000021</c:v>
                </c:pt>
                <c:pt idx="164">
                  <c:v>24.90000000000002</c:v>
                </c:pt>
                <c:pt idx="165">
                  <c:v>2.1316282072803006E-14</c:v>
                </c:pt>
                <c:pt idx="166">
                  <c:v>47.000000000000021</c:v>
                </c:pt>
                <c:pt idx="167">
                  <c:v>-1.9999999999999787</c:v>
                </c:pt>
                <c:pt idx="168">
                  <c:v>2.1316282072803006E-14</c:v>
                </c:pt>
                <c:pt idx="169">
                  <c:v>-3.5999999999999788</c:v>
                </c:pt>
                <c:pt idx="170">
                  <c:v>-33.999999999999979</c:v>
                </c:pt>
                <c:pt idx="171">
                  <c:v>2.1316282072803006E-14</c:v>
                </c:pt>
                <c:pt idx="172">
                  <c:v>2.1316282072803006E-14</c:v>
                </c:pt>
                <c:pt idx="173">
                  <c:v>27.300000000000022</c:v>
                </c:pt>
                <c:pt idx="174">
                  <c:v>2.1316282072803006E-14</c:v>
                </c:pt>
                <c:pt idx="175">
                  <c:v>-52.399999999999977</c:v>
                </c:pt>
                <c:pt idx="176">
                  <c:v>-13.299999999999976</c:v>
                </c:pt>
                <c:pt idx="177">
                  <c:v>2.4868995751603507E-14</c:v>
                </c:pt>
                <c:pt idx="178">
                  <c:v>50.800000000000026</c:v>
                </c:pt>
                <c:pt idx="179">
                  <c:v>66.40000000000002</c:v>
                </c:pt>
                <c:pt idx="180">
                  <c:v>1.4210854715202004E-14</c:v>
                </c:pt>
                <c:pt idx="181">
                  <c:v>44.600000000000016</c:v>
                </c:pt>
                <c:pt idx="182">
                  <c:v>-2.8999999999999844</c:v>
                </c:pt>
                <c:pt idx="183">
                  <c:v>1.5543122344752192E-14</c:v>
                </c:pt>
                <c:pt idx="184">
                  <c:v>-24.899999999999984</c:v>
                </c:pt>
                <c:pt idx="185">
                  <c:v>-28.199999999999985</c:v>
                </c:pt>
                <c:pt idx="186">
                  <c:v>1.4210854715202004E-14</c:v>
                </c:pt>
                <c:pt idx="187">
                  <c:v>-12.799999999999986</c:v>
                </c:pt>
                <c:pt idx="188">
                  <c:v>29.400000000000016</c:v>
                </c:pt>
                <c:pt idx="189">
                  <c:v>1.7763568394002505E-14</c:v>
                </c:pt>
                <c:pt idx="190">
                  <c:v>43.90000000000002</c:v>
                </c:pt>
                <c:pt idx="191">
                  <c:v>-1.8999999999999773</c:v>
                </c:pt>
                <c:pt idx="192">
                  <c:v>2.2648549702353193E-14</c:v>
                </c:pt>
                <c:pt idx="193">
                  <c:v>4.1000000000000227</c:v>
                </c:pt>
                <c:pt idx="194">
                  <c:v>-30.999999999999979</c:v>
                </c:pt>
                <c:pt idx="195">
                  <c:v>2.1316282072803006E-14</c:v>
                </c:pt>
                <c:pt idx="196">
                  <c:v>-18.399999999999977</c:v>
                </c:pt>
                <c:pt idx="197">
                  <c:v>-20.199999999999978</c:v>
                </c:pt>
                <c:pt idx="198">
                  <c:v>2.1316282072803006E-14</c:v>
                </c:pt>
                <c:pt idx="199">
                  <c:v>-2.3999999999999786</c:v>
                </c:pt>
                <c:pt idx="200">
                  <c:v>-32.699999999999982</c:v>
                </c:pt>
                <c:pt idx="201">
                  <c:v>2.1316282072803006E-14</c:v>
                </c:pt>
                <c:pt idx="202">
                  <c:v>-21.699999999999978</c:v>
                </c:pt>
                <c:pt idx="203">
                  <c:v>8.4000000000000234</c:v>
                </c:pt>
                <c:pt idx="204">
                  <c:v>2.3092638912203256E-14</c:v>
                </c:pt>
                <c:pt idx="205">
                  <c:v>44.000000000000021</c:v>
                </c:pt>
                <c:pt idx="206">
                  <c:v>3.3000000000000185</c:v>
                </c:pt>
                <c:pt idx="207">
                  <c:v>1.865174681370263E-14</c:v>
                </c:pt>
                <c:pt idx="208">
                  <c:v>-6.1999999999999815</c:v>
                </c:pt>
                <c:pt idx="209">
                  <c:v>-31.899999999999981</c:v>
                </c:pt>
                <c:pt idx="210">
                  <c:v>1.7763568394002505E-14</c:v>
                </c:pt>
                <c:pt idx="211">
                  <c:v>-0.89999999999998226</c:v>
                </c:pt>
                <c:pt idx="212">
                  <c:v>39.800000000000018</c:v>
                </c:pt>
                <c:pt idx="213">
                  <c:v>2.1316282072803006E-14</c:v>
                </c:pt>
                <c:pt idx="214">
                  <c:v>-53.899999999999977</c:v>
                </c:pt>
                <c:pt idx="215">
                  <c:v>-1.6999999999999744</c:v>
                </c:pt>
                <c:pt idx="216">
                  <c:v>2.55351295663786E-14</c:v>
                </c:pt>
                <c:pt idx="217">
                  <c:v>-18.399999999999974</c:v>
                </c:pt>
                <c:pt idx="218">
                  <c:v>-16.799999999999972</c:v>
                </c:pt>
                <c:pt idx="219">
                  <c:v>2.8421709430404007E-14</c:v>
                </c:pt>
                <c:pt idx="220">
                  <c:v>36.200000000000031</c:v>
                </c:pt>
                <c:pt idx="221">
                  <c:v>34.800000000000033</c:v>
                </c:pt>
                <c:pt idx="222">
                  <c:v>3.5527136788005009E-14</c:v>
                </c:pt>
                <c:pt idx="223">
                  <c:v>-24.499999999999964</c:v>
                </c:pt>
                <c:pt idx="224">
                  <c:v>-0.59999999999996589</c:v>
                </c:pt>
                <c:pt idx="225">
                  <c:v>3.4083846855992306E-14</c:v>
                </c:pt>
                <c:pt idx="226">
                  <c:v>35.500000000000036</c:v>
                </c:pt>
                <c:pt idx="227">
                  <c:v>10.000000000000036</c:v>
                </c:pt>
                <c:pt idx="228">
                  <c:v>3.5527136788005009E-14</c:v>
                </c:pt>
                <c:pt idx="229">
                  <c:v>14.300000000000036</c:v>
                </c:pt>
                <c:pt idx="230">
                  <c:v>-3.3999999999999631</c:v>
                </c:pt>
                <c:pt idx="231">
                  <c:v>3.6859404417555197E-14</c:v>
                </c:pt>
                <c:pt idx="232">
                  <c:v>-22.699999999999964</c:v>
                </c:pt>
                <c:pt idx="233">
                  <c:v>12.300000000000036</c:v>
                </c:pt>
                <c:pt idx="234">
                  <c:v>3.5527136788005009E-14</c:v>
                </c:pt>
                <c:pt idx="235">
                  <c:v>-5.5999999999999641</c:v>
                </c:pt>
                <c:pt idx="236">
                  <c:v>-22.199999999999967</c:v>
                </c:pt>
                <c:pt idx="237">
                  <c:v>3.1974423109204508E-14</c:v>
                </c:pt>
                <c:pt idx="238">
                  <c:v>50.900000000000034</c:v>
                </c:pt>
                <c:pt idx="239">
                  <c:v>-1.9999999999999645</c:v>
                </c:pt>
                <c:pt idx="240">
                  <c:v>3.5527136788005009E-14</c:v>
                </c:pt>
                <c:pt idx="241">
                  <c:v>-25.999999999999964</c:v>
                </c:pt>
                <c:pt idx="242">
                  <c:v>-4.4999999999999645</c:v>
                </c:pt>
                <c:pt idx="243">
                  <c:v>3.5527136788005009E-14</c:v>
                </c:pt>
                <c:pt idx="244">
                  <c:v>-40.699999999999967</c:v>
                </c:pt>
                <c:pt idx="245">
                  <c:v>-4.1999999999999673</c:v>
                </c:pt>
                <c:pt idx="246">
                  <c:v>3.2862601528904634E-14</c:v>
                </c:pt>
                <c:pt idx="247">
                  <c:v>4.700000000000033</c:v>
                </c:pt>
                <c:pt idx="248">
                  <c:v>44.60000000000003</c:v>
                </c:pt>
                <c:pt idx="249">
                  <c:v>2.8421709430404007E-14</c:v>
                </c:pt>
                <c:pt idx="250">
                  <c:v>15.400000000000029</c:v>
                </c:pt>
                <c:pt idx="251">
                  <c:v>17.800000000000029</c:v>
                </c:pt>
                <c:pt idx="252">
                  <c:v>2.8421709430404007E-14</c:v>
                </c:pt>
                <c:pt idx="253">
                  <c:v>5.1000000000000281</c:v>
                </c:pt>
                <c:pt idx="254">
                  <c:v>22.900000000000027</c:v>
                </c:pt>
                <c:pt idx="255">
                  <c:v>2.8421709430404007E-14</c:v>
                </c:pt>
                <c:pt idx="256">
                  <c:v>-11.499999999999972</c:v>
                </c:pt>
                <c:pt idx="257">
                  <c:v>-0.49999999999997158</c:v>
                </c:pt>
                <c:pt idx="258">
                  <c:v>2.8421709430404007E-14</c:v>
                </c:pt>
                <c:pt idx="259">
                  <c:v>-5.0999999999999712</c:v>
                </c:pt>
                <c:pt idx="260">
                  <c:v>45.300000000000026</c:v>
                </c:pt>
                <c:pt idx="261">
                  <c:v>2.8421709430404007E-14</c:v>
                </c:pt>
                <c:pt idx="262">
                  <c:v>-6.8999999999999719</c:v>
                </c:pt>
                <c:pt idx="263">
                  <c:v>18.800000000000026</c:v>
                </c:pt>
                <c:pt idx="264">
                  <c:v>2.4868995751603507E-14</c:v>
                </c:pt>
                <c:pt idx="265">
                  <c:v>-19.299999999999976</c:v>
                </c:pt>
                <c:pt idx="266">
                  <c:v>-17.699999999999974</c:v>
                </c:pt>
                <c:pt idx="267">
                  <c:v>2.4868995751603507E-14</c:v>
                </c:pt>
                <c:pt idx="268">
                  <c:v>0.70000000000002482</c:v>
                </c:pt>
                <c:pt idx="269">
                  <c:v>-36.299999999999976</c:v>
                </c:pt>
                <c:pt idx="270">
                  <c:v>2.1316282072803006E-14</c:v>
                </c:pt>
                <c:pt idx="271">
                  <c:v>12.500000000000021</c:v>
                </c:pt>
                <c:pt idx="272">
                  <c:v>-24.499999999999979</c:v>
                </c:pt>
                <c:pt idx="273">
                  <c:v>2.1316282072803006E-14</c:v>
                </c:pt>
                <c:pt idx="274">
                  <c:v>8.7000000000000206</c:v>
                </c:pt>
                <c:pt idx="275">
                  <c:v>-21.999999999999979</c:v>
                </c:pt>
                <c:pt idx="276">
                  <c:v>2.1316282072803006E-14</c:v>
                </c:pt>
                <c:pt idx="277">
                  <c:v>40.500000000000021</c:v>
                </c:pt>
                <c:pt idx="278">
                  <c:v>-12.299999999999976</c:v>
                </c:pt>
                <c:pt idx="279">
                  <c:v>2.4868995751603507E-14</c:v>
                </c:pt>
                <c:pt idx="280">
                  <c:v>63.000000000000028</c:v>
                </c:pt>
                <c:pt idx="281">
                  <c:v>53.200000000000031</c:v>
                </c:pt>
                <c:pt idx="282">
                  <c:v>2.8421709430404007E-14</c:v>
                </c:pt>
                <c:pt idx="283">
                  <c:v>50.900000000000027</c:v>
                </c:pt>
                <c:pt idx="284">
                  <c:v>30.800000000000026</c:v>
                </c:pt>
                <c:pt idx="285">
                  <c:v>2.4868995751603507E-14</c:v>
                </c:pt>
                <c:pt idx="286">
                  <c:v>14.900000000000025</c:v>
                </c:pt>
                <c:pt idx="287">
                  <c:v>16.700000000000024</c:v>
                </c:pt>
                <c:pt idx="288">
                  <c:v>2.4868995751603507E-14</c:v>
                </c:pt>
                <c:pt idx="289">
                  <c:v>-5.4999999999999751</c:v>
                </c:pt>
                <c:pt idx="290">
                  <c:v>-64.899999999999977</c:v>
                </c:pt>
                <c:pt idx="291">
                  <c:v>2.8421709430404007E-14</c:v>
                </c:pt>
                <c:pt idx="292">
                  <c:v>-4.7999999999999714</c:v>
                </c:pt>
                <c:pt idx="293">
                  <c:v>24.200000000000028</c:v>
                </c:pt>
                <c:pt idx="294">
                  <c:v>2.8421709430404007E-14</c:v>
                </c:pt>
                <c:pt idx="295">
                  <c:v>-23.599999999999973</c:v>
                </c:pt>
                <c:pt idx="296">
                  <c:v>9.0000000000000284</c:v>
                </c:pt>
                <c:pt idx="297">
                  <c:v>2.8421709430404007E-14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1D-42B7-B27D-3C929E02D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-37.037037037037038</c:v>
                </c:pt>
                <c:pt idx="1">
                  <c:v>34.722222222222221</c:v>
                </c:pt>
                <c:pt idx="2">
                  <c:v>-17.361111111111111</c:v>
                </c:pt>
                <c:pt idx="3">
                  <c:v>-7.2463768115942031</c:v>
                </c:pt>
                <c:pt idx="4">
                  <c:v>19.607843137254903</c:v>
                </c:pt>
                <c:pt idx="5">
                  <c:v>13.698630136986301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74-48A5-9232-5D5C7D1F6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63</c:v>
                </c:pt>
                <c:pt idx="1">
                  <c:v>139</c:v>
                </c:pt>
                <c:pt idx="2">
                  <c:v>145</c:v>
                </c:pt>
                <c:pt idx="3">
                  <c:v>141</c:v>
                </c:pt>
                <c:pt idx="4">
                  <c:v>102</c:v>
                </c:pt>
                <c:pt idx="5">
                  <c:v>68</c:v>
                </c:pt>
                <c:pt idx="6">
                  <c:v>34</c:v>
                </c:pt>
                <c:pt idx="7">
                  <c:v>20</c:v>
                </c:pt>
                <c:pt idx="8">
                  <c:v>13</c:v>
                </c:pt>
                <c:pt idx="9">
                  <c:v>9</c:v>
                </c:pt>
                <c:pt idx="10">
                  <c:v>2</c:v>
                </c:pt>
                <c:pt idx="11">
                  <c:v>0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10-4561-8F06-FC8290A35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全体!$K$2:$K$299</c:f>
              <c:numCache>
                <c:formatCode>General</c:formatCode>
                <c:ptCount val="2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</c:numCache>
            </c:numRef>
          </c:xVal>
          <c:yVal>
            <c:numRef>
              <c:f>全体!$M$2:$M$299</c:f>
              <c:numCache>
                <c:formatCode>0</c:formatCode>
                <c:ptCount val="298"/>
                <c:pt idx="0">
                  <c:v>1594.5463045050694</c:v>
                </c:pt>
                <c:pt idx="1">
                  <c:v>1597.7410266780389</c:v>
                </c:pt>
                <c:pt idx="2">
                  <c:v>1591.5745805179706</c:v>
                </c:pt>
                <c:pt idx="3">
                  <c:v>1592.8431330348628</c:v>
                </c:pt>
                <c:pt idx="4">
                  <c:v>1597.8720742366536</c:v>
                </c:pt>
                <c:pt idx="5">
                  <c:v>1585.9148417912336</c:v>
                </c:pt>
                <c:pt idx="6">
                  <c:v>1593.7393527404861</c:v>
                </c:pt>
                <c:pt idx="7">
                  <c:v>1587.8309166240431</c:v>
                </c:pt>
                <c:pt idx="8">
                  <c:v>1598.0139311242988</c:v>
                </c:pt>
                <c:pt idx="9">
                  <c:v>1594.1678475375529</c:v>
                </c:pt>
                <c:pt idx="10">
                  <c:v>1588.8028404523277</c:v>
                </c:pt>
                <c:pt idx="11">
                  <c:v>1588.4020234096138</c:v>
                </c:pt>
                <c:pt idx="12">
                  <c:v>1594.7176112691561</c:v>
                </c:pt>
                <c:pt idx="13">
                  <c:v>1603.6953056015411</c:v>
                </c:pt>
                <c:pt idx="14">
                  <c:v>1595.6091337679318</c:v>
                </c:pt>
                <c:pt idx="15">
                  <c:v>1595.1314789653243</c:v>
                </c:pt>
                <c:pt idx="16">
                  <c:v>1593.0666900915323</c:v>
                </c:pt>
                <c:pt idx="17">
                  <c:v>1595.1902899509832</c:v>
                </c:pt>
                <c:pt idx="18">
                  <c:v>1595.2131482112773</c:v>
                </c:pt>
                <c:pt idx="19">
                  <c:v>1591.1138693220096</c:v>
                </c:pt>
                <c:pt idx="20">
                  <c:v>1589.7211861060775</c:v>
                </c:pt>
                <c:pt idx="21">
                  <c:v>1595.4468589894411</c:v>
                </c:pt>
                <c:pt idx="22">
                  <c:v>1594.0581778355045</c:v>
                </c:pt>
                <c:pt idx="23">
                  <c:v>1601.1018287684915</c:v>
                </c:pt>
                <c:pt idx="24">
                  <c:v>1593.6312177958805</c:v>
                </c:pt>
                <c:pt idx="25">
                  <c:v>1587.7054304891053</c:v>
                </c:pt>
                <c:pt idx="26">
                  <c:v>1590.4551979061707</c:v>
                </c:pt>
                <c:pt idx="27">
                  <c:v>1591.0284667187336</c:v>
                </c:pt>
                <c:pt idx="28">
                  <c:v>1597.5382959184212</c:v>
                </c:pt>
                <c:pt idx="29">
                  <c:v>1590.1670661429107</c:v>
                </c:pt>
                <c:pt idx="30">
                  <c:v>1590.5980637460532</c:v>
                </c:pt>
                <c:pt idx="31">
                  <c:v>1599.3964753635769</c:v>
                </c:pt>
                <c:pt idx="32">
                  <c:v>1596.9100965113955</c:v>
                </c:pt>
                <c:pt idx="33">
                  <c:v>1590.1186359323272</c:v>
                </c:pt>
                <c:pt idx="34">
                  <c:v>1595.8779241167331</c:v>
                </c:pt>
                <c:pt idx="35">
                  <c:v>1585.8706565720327</c:v>
                </c:pt>
                <c:pt idx="36">
                  <c:v>1589.2434326326004</c:v>
                </c:pt>
                <c:pt idx="37">
                  <c:v>1582.7679720368048</c:v>
                </c:pt>
                <c:pt idx="38">
                  <c:v>1584.431364204584</c:v>
                </c:pt>
                <c:pt idx="39">
                  <c:v>1588.4607760193564</c:v>
                </c:pt>
                <c:pt idx="40">
                  <c:v>1582.7880113632402</c:v>
                </c:pt>
                <c:pt idx="41">
                  <c:v>1583.4672832950607</c:v>
                </c:pt>
                <c:pt idx="42">
                  <c:v>1587.0584795952905</c:v>
                </c:pt>
                <c:pt idx="43">
                  <c:v>1592.3501287177187</c:v>
                </c:pt>
                <c:pt idx="44">
                  <c:v>1586.8460279454123</c:v>
                </c:pt>
                <c:pt idx="45">
                  <c:v>1588.5389517777398</c:v>
                </c:pt>
                <c:pt idx="46">
                  <c:v>1583.9937180670734</c:v>
                </c:pt>
                <c:pt idx="47">
                  <c:v>1598.555755758671</c:v>
                </c:pt>
                <c:pt idx="48">
                  <c:v>1589.990421224119</c:v>
                </c:pt>
                <c:pt idx="49">
                  <c:v>1586.2644786967744</c:v>
                </c:pt>
                <c:pt idx="50">
                  <c:v>1585.4768918245938</c:v>
                </c:pt>
                <c:pt idx="51">
                  <c:v>1590.4180304736462</c:v>
                </c:pt>
                <c:pt idx="52">
                  <c:v>1585.5015222908044</c:v>
                </c:pt>
                <c:pt idx="53">
                  <c:v>1585.6905131570595</c:v>
                </c:pt>
                <c:pt idx="54">
                  <c:v>1588.7943700781173</c:v>
                </c:pt>
                <c:pt idx="55">
                  <c:v>1584.9436038576484</c:v>
                </c:pt>
                <c:pt idx="56">
                  <c:v>1587.5059422345025</c:v>
                </c:pt>
                <c:pt idx="57">
                  <c:v>1586.7229065810955</c:v>
                </c:pt>
                <c:pt idx="58">
                  <c:v>1589.7965691416089</c:v>
                </c:pt>
                <c:pt idx="59">
                  <c:v>1589.3237897267593</c:v>
                </c:pt>
                <c:pt idx="60">
                  <c:v>1586.9458469883987</c:v>
                </c:pt>
                <c:pt idx="61">
                  <c:v>1584.6241719064683</c:v>
                </c:pt>
                <c:pt idx="62">
                  <c:v>1580.2104268750295</c:v>
                </c:pt>
                <c:pt idx="63">
                  <c:v>1587.5951643137794</c:v>
                </c:pt>
                <c:pt idx="64">
                  <c:v>1584.2255933278966</c:v>
                </c:pt>
                <c:pt idx="65">
                  <c:v>1578.8422397679292</c:v>
                </c:pt>
                <c:pt idx="66">
                  <c:v>1588.2511863293216</c:v>
                </c:pt>
                <c:pt idx="67">
                  <c:v>1583.6356792113456</c:v>
                </c:pt>
                <c:pt idx="68">
                  <c:v>1589.9198651360775</c:v>
                </c:pt>
                <c:pt idx="69">
                  <c:v>1588.8403459452611</c:v>
                </c:pt>
                <c:pt idx="70">
                  <c:v>1584.4493038695896</c:v>
                </c:pt>
                <c:pt idx="71">
                  <c:v>1584.4946080463722</c:v>
                </c:pt>
                <c:pt idx="72">
                  <c:v>1588.895640398094</c:v>
                </c:pt>
                <c:pt idx="73">
                  <c:v>1590.3722665557054</c:v>
                </c:pt>
                <c:pt idx="74">
                  <c:v>1594.7920329563713</c:v>
                </c:pt>
                <c:pt idx="75">
                  <c:v>1588.853280758633</c:v>
                </c:pt>
                <c:pt idx="76">
                  <c:v>1586.3761610740812</c:v>
                </c:pt>
                <c:pt idx="77">
                  <c:v>1586.3979041076368</c:v>
                </c:pt>
                <c:pt idx="78">
                  <c:v>1589.173516682991</c:v>
                </c:pt>
                <c:pt idx="79">
                  <c:v>1588.026475582893</c:v>
                </c:pt>
                <c:pt idx="80">
                  <c:v>1592.9883167293956</c:v>
                </c:pt>
                <c:pt idx="81">
                  <c:v>1589.4423868290191</c:v>
                </c:pt>
                <c:pt idx="82">
                  <c:v>1589.409732508045</c:v>
                </c:pt>
                <c:pt idx="83">
                  <c:v>1585.2732741129967</c:v>
                </c:pt>
                <c:pt idx="84">
                  <c:v>1589.7476344683187</c:v>
                </c:pt>
                <c:pt idx="85">
                  <c:v>1595.1791486615089</c:v>
                </c:pt>
                <c:pt idx="86">
                  <c:v>1594.7280737695398</c:v>
                </c:pt>
                <c:pt idx="87">
                  <c:v>1587.8897053269227</c:v>
                </c:pt>
                <c:pt idx="88">
                  <c:v>1583.8223670949612</c:v>
                </c:pt>
                <c:pt idx="89">
                  <c:v>1587.9334328923915</c:v>
                </c:pt>
                <c:pt idx="90">
                  <c:v>1589.049832295037</c:v>
                </c:pt>
                <c:pt idx="91">
                  <c:v>1582.5995333012668</c:v>
                </c:pt>
                <c:pt idx="92">
                  <c:v>1587.4739361014592</c:v>
                </c:pt>
                <c:pt idx="93">
                  <c:v>1590.2130924848504</c:v>
                </c:pt>
                <c:pt idx="94">
                  <c:v>1583.1258139299414</c:v>
                </c:pt>
                <c:pt idx="95">
                  <c:v>1582.0570590463617</c:v>
                </c:pt>
                <c:pt idx="96">
                  <c:v>1591.3987166920836</c:v>
                </c:pt>
                <c:pt idx="97">
                  <c:v>1592.236324391931</c:v>
                </c:pt>
                <c:pt idx="98">
                  <c:v>1583.4029064455794</c:v>
                </c:pt>
                <c:pt idx="99">
                  <c:v>1592.010489006906</c:v>
                </c:pt>
                <c:pt idx="100">
                  <c:v>1596.5344260728646</c:v>
                </c:pt>
                <c:pt idx="101">
                  <c:v>1589.2592195164273</c:v>
                </c:pt>
                <c:pt idx="102">
                  <c:v>1590.2896641993286</c:v>
                </c:pt>
                <c:pt idx="103">
                  <c:v>1584.1319262141326</c:v>
                </c:pt>
                <c:pt idx="104">
                  <c:v>1591.2951346568477</c:v>
                </c:pt>
                <c:pt idx="105">
                  <c:v>1588.6413638489066</c:v>
                </c:pt>
                <c:pt idx="106">
                  <c:v>1599.2455156658132</c:v>
                </c:pt>
                <c:pt idx="107">
                  <c:v>1593.0640425718184</c:v>
                </c:pt>
                <c:pt idx="108">
                  <c:v>1588.7736583163876</c:v>
                </c:pt>
                <c:pt idx="109">
                  <c:v>1586.0390163664892</c:v>
                </c:pt>
                <c:pt idx="110">
                  <c:v>1587.5327822682902</c:v>
                </c:pt>
                <c:pt idx="111">
                  <c:v>1589.0175855746804</c:v>
                </c:pt>
                <c:pt idx="112">
                  <c:v>1592.3474800612323</c:v>
                </c:pt>
                <c:pt idx="113">
                  <c:v>1589.3933951808649</c:v>
                </c:pt>
                <c:pt idx="114">
                  <c:v>1589.2110348097797</c:v>
                </c:pt>
                <c:pt idx="115">
                  <c:v>1588.7057686009209</c:v>
                </c:pt>
                <c:pt idx="116">
                  <c:v>1585.0175339893153</c:v>
                </c:pt>
                <c:pt idx="117">
                  <c:v>1590.2074287853795</c:v>
                </c:pt>
                <c:pt idx="118">
                  <c:v>1596.3801842126672</c:v>
                </c:pt>
                <c:pt idx="119">
                  <c:v>1597.0619031073913</c:v>
                </c:pt>
                <c:pt idx="120">
                  <c:v>1591.4215316887471</c:v>
                </c:pt>
                <c:pt idx="121">
                  <c:v>1583.6190024986147</c:v>
                </c:pt>
                <c:pt idx="122">
                  <c:v>1584.467288483623</c:v>
                </c:pt>
                <c:pt idx="123">
                  <c:v>1592.7804847527211</c:v>
                </c:pt>
                <c:pt idx="124">
                  <c:v>1600.5338018442048</c:v>
                </c:pt>
                <c:pt idx="125">
                  <c:v>1591.7345990331396</c:v>
                </c:pt>
                <c:pt idx="126">
                  <c:v>1593.3201914389408</c:v>
                </c:pt>
                <c:pt idx="127">
                  <c:v>1593.3302702903072</c:v>
                </c:pt>
                <c:pt idx="128">
                  <c:v>1583.8002886685654</c:v>
                </c:pt>
                <c:pt idx="129">
                  <c:v>1593.947486936554</c:v>
                </c:pt>
                <c:pt idx="130">
                  <c:v>1601.2618020149348</c:v>
                </c:pt>
                <c:pt idx="131">
                  <c:v>1595.5002312028453</c:v>
                </c:pt>
                <c:pt idx="132">
                  <c:v>1594.4532298156282</c:v>
                </c:pt>
                <c:pt idx="133">
                  <c:v>1590.0645104367345</c:v>
                </c:pt>
                <c:pt idx="134">
                  <c:v>1589.302123374114</c:v>
                </c:pt>
                <c:pt idx="135">
                  <c:v>1595.0603106338692</c:v>
                </c:pt>
                <c:pt idx="136">
                  <c:v>1600.2019487700661</c:v>
                </c:pt>
                <c:pt idx="137">
                  <c:v>1600.7047370774458</c:v>
                </c:pt>
                <c:pt idx="138">
                  <c:v>1595.138508654981</c:v>
                </c:pt>
                <c:pt idx="139">
                  <c:v>1596.5356776030512</c:v>
                </c:pt>
                <c:pt idx="140">
                  <c:v>1589.932463537433</c:v>
                </c:pt>
                <c:pt idx="141">
                  <c:v>1595.3028687562085</c:v>
                </c:pt>
                <c:pt idx="142">
                  <c:v>1597.3050515436712</c:v>
                </c:pt>
                <c:pt idx="143">
                  <c:v>1604.3172212344091</c:v>
                </c:pt>
                <c:pt idx="144">
                  <c:v>1596.4373179070026</c:v>
                </c:pt>
                <c:pt idx="145">
                  <c:v>1600.8086939995605</c:v>
                </c:pt>
                <c:pt idx="146">
                  <c:v>1596.2078418355632</c:v>
                </c:pt>
                <c:pt idx="147">
                  <c:v>1597.5925947845499</c:v>
                </c:pt>
                <c:pt idx="148">
                  <c:v>1610.7890392158426</c:v>
                </c:pt>
                <c:pt idx="149">
                  <c:v>1601.2443049805477</c:v>
                </c:pt>
                <c:pt idx="150">
                  <c:v>1597.2288391506643</c:v>
                </c:pt>
                <c:pt idx="151">
                  <c:v>1602.7594661157602</c:v>
                </c:pt>
                <c:pt idx="152">
                  <c:v>1606.2949093190657</c:v>
                </c:pt>
                <c:pt idx="153">
                  <c:v>1596.8851398631514</c:v>
                </c:pt>
                <c:pt idx="154">
                  <c:v>1590.2318290239725</c:v>
                </c:pt>
                <c:pt idx="155">
                  <c:v>1601.5464380498288</c:v>
                </c:pt>
                <c:pt idx="156">
                  <c:v>1598.1591594215299</c:v>
                </c:pt>
                <c:pt idx="157">
                  <c:v>1599.1062044650007</c:v>
                </c:pt>
                <c:pt idx="158">
                  <c:v>1592.0555672382106</c:v>
                </c:pt>
                <c:pt idx="159">
                  <c:v>1598.8172338347813</c:v>
                </c:pt>
                <c:pt idx="160">
                  <c:v>1611.2203304317727</c:v>
                </c:pt>
                <c:pt idx="161">
                  <c:v>1606.7910084491821</c:v>
                </c:pt>
                <c:pt idx="162">
                  <c:v>1598.266262398487</c:v>
                </c:pt>
                <c:pt idx="163">
                  <c:v>1601.8166648240961</c:v>
                </c:pt>
                <c:pt idx="164">
                  <c:v>1602.4477648351515</c:v>
                </c:pt>
                <c:pt idx="165">
                  <c:v>1597.8010782461406</c:v>
                </c:pt>
                <c:pt idx="166">
                  <c:v>1606.2922717766637</c:v>
                </c:pt>
                <c:pt idx="167">
                  <c:v>1597.4525181460037</c:v>
                </c:pt>
                <c:pt idx="168">
                  <c:v>1597.8458030371278</c:v>
                </c:pt>
                <c:pt idx="169">
                  <c:v>1597.234728218905</c:v>
                </c:pt>
                <c:pt idx="170">
                  <c:v>1591.8033198495916</c:v>
                </c:pt>
                <c:pt idx="171">
                  <c:v>1597.9964999304941</c:v>
                </c:pt>
                <c:pt idx="172">
                  <c:v>1598.2005209309111</c:v>
                </c:pt>
                <c:pt idx="173">
                  <c:v>1603.3173178053257</c:v>
                </c:pt>
                <c:pt idx="174">
                  <c:v>1598.5754138984937</c:v>
                </c:pt>
                <c:pt idx="175">
                  <c:v>1589.3439614151027</c:v>
                </c:pt>
                <c:pt idx="176">
                  <c:v>1596.6378976466121</c:v>
                </c:pt>
                <c:pt idx="177">
                  <c:v>1599.2440702607325</c:v>
                </c:pt>
                <c:pt idx="178">
                  <c:v>1608.4646058391681</c:v>
                </c:pt>
                <c:pt idx="179">
                  <c:v>1611.2938182041332</c:v>
                </c:pt>
                <c:pt idx="180">
                  <c:v>1599.3460552949084</c:v>
                </c:pt>
                <c:pt idx="181">
                  <c:v>1607.4499789631391</c:v>
                </c:pt>
                <c:pt idx="182">
                  <c:v>1598.9272790893601</c:v>
                </c:pt>
                <c:pt idx="183">
                  <c:v>1599.5277154148239</c:v>
                </c:pt>
                <c:pt idx="184">
                  <c:v>1595.120549122335</c:v>
                </c:pt>
                <c:pt idx="185">
                  <c:v>1594.6278258276009</c:v>
                </c:pt>
                <c:pt idx="186">
                  <c:v>1599.8080588726352</c:v>
                </c:pt>
                <c:pt idx="187">
                  <c:v>1597.6672105193993</c:v>
                </c:pt>
                <c:pt idx="188">
                  <c:v>1605.439207256283</c:v>
                </c:pt>
                <c:pt idx="189">
                  <c:v>1600.2765720127452</c:v>
                </c:pt>
                <c:pt idx="190">
                  <c:v>1608.3389125806686</c:v>
                </c:pt>
                <c:pt idx="191">
                  <c:v>1600.2068791051847</c:v>
                </c:pt>
                <c:pt idx="192">
                  <c:v>1600.7096378305537</c:v>
                </c:pt>
                <c:pt idx="193">
                  <c:v>1601.6053800035704</c:v>
                </c:pt>
                <c:pt idx="194">
                  <c:v>1595.4397477235491</c:v>
                </c:pt>
                <c:pt idx="195">
                  <c:v>1601.2091092372077</c:v>
                </c:pt>
                <c:pt idx="196">
                  <c:v>1597.5598545817845</c:v>
                </c:pt>
                <c:pt idx="197">
                  <c:v>1596.9204954542938</c:v>
                </c:pt>
                <c:pt idx="198">
                  <c:v>1600.2449724815681</c:v>
                </c:pt>
                <c:pt idx="199">
                  <c:v>1599.4815026466786</c:v>
                </c:pt>
                <c:pt idx="200">
                  <c:v>1593.7006136307984</c:v>
                </c:pt>
                <c:pt idx="201">
                  <c:v>1599.2944099490137</c:v>
                </c:pt>
                <c:pt idx="202">
                  <c:v>1595.4466434893195</c:v>
                </c:pt>
                <c:pt idx="203">
                  <c:v>1600.9459636283837</c:v>
                </c:pt>
                <c:pt idx="204">
                  <c:v>1599.4822878466134</c:v>
                </c:pt>
                <c:pt idx="205">
                  <c:v>1607.4593941195337</c:v>
                </c:pt>
                <c:pt idx="206">
                  <c:v>1600.1426377548166</c:v>
                </c:pt>
                <c:pt idx="207">
                  <c:v>1599.6017819282877</c:v>
                </c:pt>
                <c:pt idx="208">
                  <c:v>1598.458171236718</c:v>
                </c:pt>
                <c:pt idx="209">
                  <c:v>1593.8114222092977</c:v>
                </c:pt>
                <c:pt idx="210">
                  <c:v>1599.560553676042</c:v>
                </c:pt>
                <c:pt idx="211">
                  <c:v>1599.3711903539856</c:v>
                </c:pt>
                <c:pt idx="212">
                  <c:v>1606.6709632118618</c:v>
                </c:pt>
                <c:pt idx="213">
                  <c:v>1599.4369374325906</c:v>
                </c:pt>
                <c:pt idx="214">
                  <c:v>1589.4923158079951</c:v>
                </c:pt>
                <c:pt idx="215">
                  <c:v>1598.705361913147</c:v>
                </c:pt>
                <c:pt idx="216">
                  <c:v>1598.7731297416681</c:v>
                </c:pt>
                <c:pt idx="217">
                  <c:v>1595.450490963218</c:v>
                </c:pt>
                <c:pt idx="218">
                  <c:v>1595.7477880174388</c:v>
                </c:pt>
                <c:pt idx="219">
                  <c:v>1598.7793012893342</c:v>
                </c:pt>
                <c:pt idx="220">
                  <c:v>1605.5306254815982</c:v>
                </c:pt>
                <c:pt idx="221">
                  <c:v>1605.4734417287086</c:v>
                </c:pt>
                <c:pt idx="222">
                  <c:v>1599.4046010783363</c:v>
                </c:pt>
                <c:pt idx="223">
                  <c:v>1595.0341734718663</c:v>
                </c:pt>
                <c:pt idx="224">
                  <c:v>1599.4019684310351</c:v>
                </c:pt>
                <c:pt idx="225">
                  <c:v>1599.5495566204488</c:v>
                </c:pt>
                <c:pt idx="226">
                  <c:v>1605.9782592807262</c:v>
                </c:pt>
                <c:pt idx="227">
                  <c:v>1601.3883897250419</c:v>
                </c:pt>
                <c:pt idx="228">
                  <c:v>1599.6160593866916</c:v>
                </c:pt>
                <c:pt idx="229">
                  <c:v>1602.4323630303716</c:v>
                </c:pt>
                <c:pt idx="230">
                  <c:v>1599.4717688521894</c:v>
                </c:pt>
                <c:pt idx="231">
                  <c:v>1600.3269382390763</c:v>
                </c:pt>
                <c:pt idx="232">
                  <c:v>1596.4789766096419</c:v>
                </c:pt>
                <c:pt idx="233">
                  <c:v>1603.040102749984</c:v>
                </c:pt>
                <c:pt idx="234">
                  <c:v>1601.0478621334842</c:v>
                </c:pt>
                <c:pt idx="235">
                  <c:v>1600.2675749606833</c:v>
                </c:pt>
                <c:pt idx="236">
                  <c:v>1597.5119695109192</c:v>
                </c:pt>
                <c:pt idx="237">
                  <c:v>1601.7568976938537</c:v>
                </c:pt>
                <c:pt idx="238">
                  <c:v>1611.1483563076906</c:v>
                </c:pt>
                <c:pt idx="239">
                  <c:v>1601.7994661698444</c:v>
                </c:pt>
                <c:pt idx="240">
                  <c:v>1602.3886693728255</c:v>
                </c:pt>
                <c:pt idx="241">
                  <c:v>1597.9223373565885</c:v>
                </c:pt>
                <c:pt idx="242">
                  <c:v>1602.032803332449</c:v>
                </c:pt>
                <c:pt idx="243">
                  <c:v>1603.0586065124544</c:v>
                </c:pt>
                <c:pt idx="244">
                  <c:v>1595.9422548733796</c:v>
                </c:pt>
                <c:pt idx="245">
                  <c:v>1602.7646013441392</c:v>
                </c:pt>
                <c:pt idx="246">
                  <c:v>1603.7320137360744</c:v>
                </c:pt>
                <c:pt idx="247">
                  <c:v>1604.783621653658</c:v>
                </c:pt>
                <c:pt idx="248">
                  <c:v>1612.1649199237361</c:v>
                </c:pt>
                <c:pt idx="249">
                  <c:v>1604.2919304041936</c:v>
                </c:pt>
                <c:pt idx="250">
                  <c:v>1607.1401788217686</c:v>
                </c:pt>
                <c:pt idx="251">
                  <c:v>1607.631337748838</c:v>
                </c:pt>
                <c:pt idx="252">
                  <c:v>1604.4835497223448</c:v>
                </c:pt>
                <c:pt idx="253">
                  <c:v>1605.4766484240108</c:v>
                </c:pt>
                <c:pt idx="254">
                  <c:v>1608.7497885334667</c:v>
                </c:pt>
                <c:pt idx="255">
                  <c:v>1604.6772898022659</c:v>
                </c:pt>
                <c:pt idx="256">
                  <c:v>1602.9392260634522</c:v>
                </c:pt>
                <c:pt idx="257">
                  <c:v>1605.2615907070715</c:v>
                </c:pt>
                <c:pt idx="258">
                  <c:v>1605.680021162829</c:v>
                </c:pt>
                <c:pt idx="259">
                  <c:v>1605.0879410358521</c:v>
                </c:pt>
                <c:pt idx="260">
                  <c:v>1614.4894133896369</c:v>
                </c:pt>
                <c:pt idx="261">
                  <c:v>1606.608476909299</c:v>
                </c:pt>
                <c:pt idx="262">
                  <c:v>1605.3508260478432</c:v>
                </c:pt>
                <c:pt idx="263">
                  <c:v>1609.9687210915561</c:v>
                </c:pt>
                <c:pt idx="264">
                  <c:v>1606.5489087650067</c:v>
                </c:pt>
                <c:pt idx="265">
                  <c:v>1602.9216153124166</c:v>
                </c:pt>
                <c:pt idx="266">
                  <c:v>1603.0780856205422</c:v>
                </c:pt>
                <c:pt idx="267">
                  <c:v>1606.131617106819</c:v>
                </c:pt>
                <c:pt idx="268">
                  <c:v>1606.3168274041782</c:v>
                </c:pt>
                <c:pt idx="269">
                  <c:v>1599.7149264397531</c:v>
                </c:pt>
                <c:pt idx="270">
                  <c:v>1606.3466368811146</c:v>
                </c:pt>
                <c:pt idx="271">
                  <c:v>1607.8505570598279</c:v>
                </c:pt>
                <c:pt idx="272">
                  <c:v>1600.435453717469</c:v>
                </c:pt>
                <c:pt idx="273">
                  <c:v>1604.1348409951643</c:v>
                </c:pt>
                <c:pt idx="274">
                  <c:v>1605.7720319491932</c:v>
                </c:pt>
                <c:pt idx="275">
                  <c:v>1600.3073997574979</c:v>
                </c:pt>
                <c:pt idx="276">
                  <c:v>1604.361555358953</c:v>
                </c:pt>
                <c:pt idx="277">
                  <c:v>1611.6553860267993</c:v>
                </c:pt>
                <c:pt idx="278">
                  <c:v>1602.1114537106384</c:v>
                </c:pt>
                <c:pt idx="279">
                  <c:v>1604.3427849883747</c:v>
                </c:pt>
                <c:pt idx="280">
                  <c:v>1615.8487282784445</c:v>
                </c:pt>
                <c:pt idx="281">
                  <c:v>1614.1816359087738</c:v>
                </c:pt>
                <c:pt idx="282">
                  <c:v>1604.7125460933212</c:v>
                </c:pt>
                <c:pt idx="283">
                  <c:v>1613.5162708167613</c:v>
                </c:pt>
                <c:pt idx="284">
                  <c:v>1609.4871731918608</c:v>
                </c:pt>
                <c:pt idx="285">
                  <c:v>1603.5562501527097</c:v>
                </c:pt>
                <c:pt idx="286">
                  <c:v>1606.0429126517934</c:v>
                </c:pt>
                <c:pt idx="287">
                  <c:v>1606.1566551758826</c:v>
                </c:pt>
                <c:pt idx="288">
                  <c:v>1602.9397152448273</c:v>
                </c:pt>
                <c:pt idx="289">
                  <c:v>1601.8600769533584</c:v>
                </c:pt>
                <c:pt idx="290">
                  <c:v>1591.0849164916383</c:v>
                </c:pt>
                <c:pt idx="291">
                  <c:v>1602.7484069926884</c:v>
                </c:pt>
                <c:pt idx="292">
                  <c:v>1601.0219165507322</c:v>
                </c:pt>
                <c:pt idx="293">
                  <c:v>1605.3897850514277</c:v>
                </c:pt>
                <c:pt idx="294">
                  <c:v>1600.1554463411192</c:v>
                </c:pt>
                <c:pt idx="295">
                  <c:v>1595.0605136630725</c:v>
                </c:pt>
                <c:pt idx="296">
                  <c:v>1600.1121505810941</c:v>
                </c:pt>
                <c:pt idx="297">
                  <c:v>1597.6454776776075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69-43D9-AD37-A532EA1843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だいち!$K$2:$K$82</c:f>
              <c:numCache>
                <c:formatCode>General</c:formatCode>
                <c:ptCount val="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</c:numCache>
            </c:numRef>
          </c:xVal>
          <c:yVal>
            <c:numRef>
              <c:f>だいち!$L$2:$L$82</c:f>
              <c:numCache>
                <c:formatCode>\+0.0;\-0.0;\±0</c:formatCode>
                <c:ptCount val="81"/>
                <c:pt idx="0">
                  <c:v>0</c:v>
                </c:pt>
                <c:pt idx="1">
                  <c:v>20.9</c:v>
                </c:pt>
                <c:pt idx="2">
                  <c:v>62.5</c:v>
                </c:pt>
                <c:pt idx="3">
                  <c:v>40.5</c:v>
                </c:pt>
                <c:pt idx="4">
                  <c:v>74.5</c:v>
                </c:pt>
                <c:pt idx="5">
                  <c:v>123.5</c:v>
                </c:pt>
                <c:pt idx="6">
                  <c:v>111.9</c:v>
                </c:pt>
                <c:pt idx="7">
                  <c:v>103.7</c:v>
                </c:pt>
                <c:pt idx="8">
                  <c:v>140.6</c:v>
                </c:pt>
                <c:pt idx="9">
                  <c:v>127.8</c:v>
                </c:pt>
                <c:pt idx="10">
                  <c:v>134.4</c:v>
                </c:pt>
                <c:pt idx="11">
                  <c:v>212.4</c:v>
                </c:pt>
                <c:pt idx="12">
                  <c:v>239</c:v>
                </c:pt>
                <c:pt idx="13">
                  <c:v>236</c:v>
                </c:pt>
                <c:pt idx="14">
                  <c:v>222</c:v>
                </c:pt>
                <c:pt idx="15">
                  <c:v>190.9</c:v>
                </c:pt>
                <c:pt idx="16">
                  <c:v>164.20000000000002</c:v>
                </c:pt>
                <c:pt idx="17">
                  <c:v>164.3</c:v>
                </c:pt>
                <c:pt idx="18">
                  <c:v>188.9</c:v>
                </c:pt>
                <c:pt idx="19">
                  <c:v>174.6</c:v>
                </c:pt>
                <c:pt idx="20">
                  <c:v>154.5</c:v>
                </c:pt>
                <c:pt idx="21">
                  <c:v>131</c:v>
                </c:pt>
                <c:pt idx="22">
                  <c:v>106.3</c:v>
                </c:pt>
                <c:pt idx="23">
                  <c:v>119.39999999999999</c:v>
                </c:pt>
                <c:pt idx="24">
                  <c:v>111.19999999999999</c:v>
                </c:pt>
                <c:pt idx="25">
                  <c:v>157.69999999999999</c:v>
                </c:pt>
                <c:pt idx="26">
                  <c:v>216.2</c:v>
                </c:pt>
                <c:pt idx="27">
                  <c:v>200.6</c:v>
                </c:pt>
                <c:pt idx="28">
                  <c:v>183.9</c:v>
                </c:pt>
                <c:pt idx="29">
                  <c:v>179.3</c:v>
                </c:pt>
                <c:pt idx="30">
                  <c:v>211.20000000000002</c:v>
                </c:pt>
                <c:pt idx="31">
                  <c:v>213.3</c:v>
                </c:pt>
                <c:pt idx="32">
                  <c:v>163.60000000000002</c:v>
                </c:pt>
                <c:pt idx="33">
                  <c:v>162.60000000000002</c:v>
                </c:pt>
                <c:pt idx="34">
                  <c:v>202.20000000000002</c:v>
                </c:pt>
                <c:pt idx="35">
                  <c:v>196.8</c:v>
                </c:pt>
                <c:pt idx="36">
                  <c:v>199.5</c:v>
                </c:pt>
                <c:pt idx="37">
                  <c:v>162.6</c:v>
                </c:pt>
                <c:pt idx="38">
                  <c:v>116.89999999999999</c:v>
                </c:pt>
                <c:pt idx="39">
                  <c:v>89.299999999999983</c:v>
                </c:pt>
                <c:pt idx="40">
                  <c:v>67.59999999999998</c:v>
                </c:pt>
                <c:pt idx="41">
                  <c:v>87.899999999999977</c:v>
                </c:pt>
                <c:pt idx="42">
                  <c:v>66.899999999999977</c:v>
                </c:pt>
                <c:pt idx="43">
                  <c:v>70.999999999999972</c:v>
                </c:pt>
                <c:pt idx="44">
                  <c:v>117.99999999999997</c:v>
                </c:pt>
                <c:pt idx="45">
                  <c:v>151.99999999999997</c:v>
                </c:pt>
                <c:pt idx="46">
                  <c:v>124.69999999999997</c:v>
                </c:pt>
                <c:pt idx="47">
                  <c:v>137.99999999999997</c:v>
                </c:pt>
                <c:pt idx="48">
                  <c:v>153.59999999999997</c:v>
                </c:pt>
                <c:pt idx="49">
                  <c:v>106.09999999999997</c:v>
                </c:pt>
                <c:pt idx="50">
                  <c:v>81.19999999999996</c:v>
                </c:pt>
                <c:pt idx="51">
                  <c:v>68.399999999999963</c:v>
                </c:pt>
                <c:pt idx="52">
                  <c:v>22.599999999999966</c:v>
                </c:pt>
                <c:pt idx="53">
                  <c:v>53.599999999999966</c:v>
                </c:pt>
                <c:pt idx="54">
                  <c:v>31.899999999999967</c:v>
                </c:pt>
                <c:pt idx="55">
                  <c:v>-8.8000000000000362</c:v>
                </c:pt>
                <c:pt idx="56">
                  <c:v>-34.500000000000036</c:v>
                </c:pt>
                <c:pt idx="57">
                  <c:v>-74.30000000000004</c:v>
                </c:pt>
                <c:pt idx="58">
                  <c:v>-72.700000000000045</c:v>
                </c:pt>
                <c:pt idx="59">
                  <c:v>-36.500000000000043</c:v>
                </c:pt>
                <c:pt idx="60">
                  <c:v>-35.900000000000041</c:v>
                </c:pt>
                <c:pt idx="61">
                  <c:v>-0.40000000000004121</c:v>
                </c:pt>
                <c:pt idx="62">
                  <c:v>-18.100000000000041</c:v>
                </c:pt>
                <c:pt idx="63">
                  <c:v>-40.80000000000004</c:v>
                </c:pt>
                <c:pt idx="64">
                  <c:v>-18.600000000000041</c:v>
                </c:pt>
                <c:pt idx="65">
                  <c:v>-71.500000000000043</c:v>
                </c:pt>
                <c:pt idx="66">
                  <c:v>-97.500000000000043</c:v>
                </c:pt>
                <c:pt idx="67">
                  <c:v>-93.30000000000004</c:v>
                </c:pt>
                <c:pt idx="68">
                  <c:v>-53.400000000000041</c:v>
                </c:pt>
                <c:pt idx="69">
                  <c:v>-38.000000000000043</c:v>
                </c:pt>
                <c:pt idx="70">
                  <c:v>-20.200000000000042</c:v>
                </c:pt>
                <c:pt idx="71">
                  <c:v>-31.700000000000042</c:v>
                </c:pt>
                <c:pt idx="72">
                  <c:v>18.699999999999957</c:v>
                </c:pt>
                <c:pt idx="73">
                  <c:v>11.799999999999956</c:v>
                </c:pt>
                <c:pt idx="74">
                  <c:v>-7.5000000000000444</c:v>
                </c:pt>
                <c:pt idx="75">
                  <c:v>28.799999999999955</c:v>
                </c:pt>
                <c:pt idx="76">
                  <c:v>50.799999999999955</c:v>
                </c:pt>
                <c:pt idx="77">
                  <c:v>63.099999999999952</c:v>
                </c:pt>
                <c:pt idx="78">
                  <c:v>126.09999999999995</c:v>
                </c:pt>
                <c:pt idx="79">
                  <c:v>109.39999999999995</c:v>
                </c:pt>
                <c:pt idx="80">
                  <c:v>49.99999999999995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58-4C4B-8608-6CC417056F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206.25</c:v>
                </c:pt>
                <c:pt idx="1">
                  <c:v>-1171.4285714285713</c:v>
                </c:pt>
                <c:pt idx="2">
                  <c:v>-600</c:v>
                </c:pt>
                <c:pt idx="3">
                  <c:v>921.33333333333337</c:v>
                </c:pt>
                <c:pt idx="4">
                  <c:v>434.78260869565219</c:v>
                </c:pt>
                <c:pt idx="5">
                  <c:v>10.169491525423728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67-451B-A351-EB4604DBAE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14</c:v>
                </c:pt>
                <c:pt idx="1">
                  <c:v>37</c:v>
                </c:pt>
                <c:pt idx="2">
                  <c:v>45</c:v>
                </c:pt>
                <c:pt idx="3">
                  <c:v>39</c:v>
                </c:pt>
                <c:pt idx="4">
                  <c:v>35</c:v>
                </c:pt>
                <c:pt idx="5">
                  <c:v>25</c:v>
                </c:pt>
                <c:pt idx="6">
                  <c:v>8</c:v>
                </c:pt>
                <c:pt idx="7">
                  <c:v>2</c:v>
                </c:pt>
                <c:pt idx="8">
                  <c:v>4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1A-475F-8F0F-B53BA1FEF6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だいち!$K$2:$K$82</c:f>
              <c:numCache>
                <c:formatCode>General</c:formatCode>
                <c:ptCount val="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</c:numCache>
            </c:numRef>
          </c:xVal>
          <c:yVal>
            <c:numRef>
              <c:f>だいち!$M$2:$M$82</c:f>
              <c:numCache>
                <c:formatCode>0</c:formatCode>
                <c:ptCount val="81"/>
                <c:pt idx="0">
                  <c:v>1842.3339395535957</c:v>
                </c:pt>
                <c:pt idx="1">
                  <c:v>1844.041935916274</c:v>
                </c:pt>
                <c:pt idx="2">
                  <c:v>1850.3176843007764</c:v>
                </c:pt>
                <c:pt idx="3">
                  <c:v>1844.9577781949718</c:v>
                </c:pt>
                <c:pt idx="4">
                  <c:v>1849.7340315258018</c:v>
                </c:pt>
                <c:pt idx="5">
                  <c:v>1857.1816273366469</c:v>
                </c:pt>
                <c:pt idx="6">
                  <c:v>1853.544537572627</c:v>
                </c:pt>
                <c:pt idx="7">
                  <c:v>1850.5772703471912</c:v>
                </c:pt>
                <c:pt idx="8">
                  <c:v>1855.5298067251081</c:v>
                </c:pt>
                <c:pt idx="9">
                  <c:v>1851.5066278847573</c:v>
                </c:pt>
                <c:pt idx="10">
                  <c:v>1851.6115881174487</c:v>
                </c:pt>
                <c:pt idx="11">
                  <c:v>1864.5679185887441</c:v>
                </c:pt>
                <c:pt idx="12">
                  <c:v>1867.8345110772116</c:v>
                </c:pt>
                <c:pt idx="13">
                  <c:v>1865.6935040107483</c:v>
                </c:pt>
                <c:pt idx="14">
                  <c:v>1861.6993429866839</c:v>
                </c:pt>
                <c:pt idx="15">
                  <c:v>1854.6511469287639</c:v>
                </c:pt>
                <c:pt idx="16">
                  <c:v>1848.4372400471914</c:v>
                </c:pt>
                <c:pt idx="17">
                  <c:v>1846.8986166069083</c:v>
                </c:pt>
                <c:pt idx="18">
                  <c:v>1849.7792249072668</c:v>
                </c:pt>
                <c:pt idx="19">
                  <c:v>1845.7365495578231</c:v>
                </c:pt>
                <c:pt idx="20">
                  <c:v>1840.6741302604762</c:v>
                </c:pt>
                <c:pt idx="21">
                  <c:v>1835.0300854789134</c:v>
                </c:pt>
                <c:pt idx="22">
                  <c:v>1829.4799049660398</c:v>
                </c:pt>
                <c:pt idx="23">
                  <c:v>1830.7670255362436</c:v>
                </c:pt>
                <c:pt idx="24">
                  <c:v>1828.2124233830261</c:v>
                </c:pt>
                <c:pt idx="25">
                  <c:v>1835.351148842728</c:v>
                </c:pt>
                <c:pt idx="26">
                  <c:v>1844.4750419496715</c:v>
                </c:pt>
                <c:pt idx="27">
                  <c:v>1840.2061916979735</c:v>
                </c:pt>
                <c:pt idx="28">
                  <c:v>1835.7649545477857</c:v>
                </c:pt>
                <c:pt idx="29">
                  <c:v>1833.780364820499</c:v>
                </c:pt>
                <c:pt idx="30">
                  <c:v>1838.4916826315759</c:v>
                </c:pt>
                <c:pt idx="31">
                  <c:v>1837.8107325357864</c:v>
                </c:pt>
                <c:pt idx="32">
                  <c:v>1827.5878681405718</c:v>
                </c:pt>
                <c:pt idx="33">
                  <c:v>1826.1923409317283</c:v>
                </c:pt>
                <c:pt idx="34">
                  <c:v>1832.113186886138</c:v>
                </c:pt>
                <c:pt idx="35">
                  <c:v>1829.8985077648213</c:v>
                </c:pt>
                <c:pt idx="36">
                  <c:v>1829.0231167182324</c:v>
                </c:pt>
                <c:pt idx="37">
                  <c:v>1821.0249780179229</c:v>
                </c:pt>
                <c:pt idx="38">
                  <c:v>1811.8448281498154</c:v>
                </c:pt>
                <c:pt idx="39">
                  <c:v>1805.9777591809166</c:v>
                </c:pt>
                <c:pt idx="40">
                  <c:v>1800.733892625831</c:v>
                </c:pt>
                <c:pt idx="41">
                  <c:v>1803.081489270076</c:v>
                </c:pt>
                <c:pt idx="42">
                  <c:v>1798.4850003344554</c:v>
                </c:pt>
                <c:pt idx="43">
                  <c:v>1798.2300903324488</c:v>
                </c:pt>
                <c:pt idx="44">
                  <c:v>1805.5187097904541</c:v>
                </c:pt>
                <c:pt idx="45">
                  <c:v>1810.4295975317114</c:v>
                </c:pt>
                <c:pt idx="46">
                  <c:v>1804.4450199465211</c:v>
                </c:pt>
                <c:pt idx="47">
                  <c:v>1805.8043498268421</c:v>
                </c:pt>
                <c:pt idx="48">
                  <c:v>1807.4495237278811</c:v>
                </c:pt>
                <c:pt idx="49">
                  <c:v>1797.7268265855139</c:v>
                </c:pt>
                <c:pt idx="50">
                  <c:v>1792.1304656260008</c:v>
                </c:pt>
                <c:pt idx="51">
                  <c:v>1788.8356828322449</c:v>
                </c:pt>
                <c:pt idx="52">
                  <c:v>1779.6206687352515</c:v>
                </c:pt>
                <c:pt idx="53">
                  <c:v>1784.28494472284</c:v>
                </c:pt>
                <c:pt idx="54">
                  <c:v>1779.327235054503</c:v>
                </c:pt>
                <c:pt idx="55">
                  <c:v>1770.9792716441759</c:v>
                </c:pt>
                <c:pt idx="56">
                  <c:v>1765.2973960143108</c:v>
                </c:pt>
                <c:pt idx="57">
                  <c:v>1757.111611638225</c:v>
                </c:pt>
                <c:pt idx="58">
                  <c:v>1756.4389419683957</c:v>
                </c:pt>
                <c:pt idx="59">
                  <c:v>1762.2443083165854</c:v>
                </c:pt>
                <c:pt idx="60">
                  <c:v>1761.414842466686</c:v>
                </c:pt>
                <c:pt idx="61">
                  <c:v>1766.8723534118858</c:v>
                </c:pt>
                <c:pt idx="62">
                  <c:v>1762.9251192914144</c:v>
                </c:pt>
                <c:pt idx="63">
                  <c:v>1758.1015685756659</c:v>
                </c:pt>
                <c:pt idx="64">
                  <c:v>1761.3829591642118</c:v>
                </c:pt>
                <c:pt idx="65">
                  <c:v>1751.1326614092266</c:v>
                </c:pt>
                <c:pt idx="66">
                  <c:v>1745.7738654407713</c:v>
                </c:pt>
                <c:pt idx="67">
                  <c:v>1745.8832222481267</c:v>
                </c:pt>
                <c:pt idx="68">
                  <c:v>1752.417922914638</c:v>
                </c:pt>
                <c:pt idx="69">
                  <c:v>1754.3774153771501</c:v>
                </c:pt>
                <c:pt idx="70">
                  <c:v>1756.7571508848871</c:v>
                </c:pt>
                <c:pt idx="71">
                  <c:v>1754.1066079795778</c:v>
                </c:pt>
                <c:pt idx="72">
                  <c:v>1762.6139683317003</c:v>
                </c:pt>
                <c:pt idx="73">
                  <c:v>1760.4202845217101</c:v>
                </c:pt>
                <c:pt idx="74">
                  <c:v>1755.8697628145799</c:v>
                </c:pt>
                <c:pt idx="75">
                  <c:v>1761.5645442376924</c:v>
                </c:pt>
                <c:pt idx="76">
                  <c:v>1764.6511569722663</c:v>
                </c:pt>
                <c:pt idx="77">
                  <c:v>1765.9072500304328</c:v>
                </c:pt>
                <c:pt idx="78">
                  <c:v>1776.4438065302502</c:v>
                </c:pt>
                <c:pt idx="79">
                  <c:v>1772.2051436910688</c:v>
                </c:pt>
                <c:pt idx="80">
                  <c:v>1760.4079128289225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02C-466A-AFAE-66320FD4E2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れんたろう!$K$2:$K$43</c:f>
              <c:numCache>
                <c:formatCode>General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れんたろう!$L$2:$L$43</c:f>
              <c:numCache>
                <c:formatCode>\+0.0;\-0.0;\±0</c:formatCode>
                <c:ptCount val="42"/>
                <c:pt idx="0">
                  <c:v>0</c:v>
                </c:pt>
                <c:pt idx="1">
                  <c:v>-31</c:v>
                </c:pt>
                <c:pt idx="2">
                  <c:v>-98.9</c:v>
                </c:pt>
                <c:pt idx="3">
                  <c:v>-65.300000000000011</c:v>
                </c:pt>
                <c:pt idx="4">
                  <c:v>-99.700000000000017</c:v>
                </c:pt>
                <c:pt idx="5">
                  <c:v>-132.90000000000003</c:v>
                </c:pt>
                <c:pt idx="6">
                  <c:v>-182.90000000000003</c:v>
                </c:pt>
                <c:pt idx="7">
                  <c:v>-162.30000000000004</c:v>
                </c:pt>
                <c:pt idx="8">
                  <c:v>-137.50000000000003</c:v>
                </c:pt>
                <c:pt idx="9">
                  <c:v>-87.900000000000034</c:v>
                </c:pt>
                <c:pt idx="10">
                  <c:v>-61.000000000000036</c:v>
                </c:pt>
                <c:pt idx="11">
                  <c:v>-94.500000000000028</c:v>
                </c:pt>
                <c:pt idx="12">
                  <c:v>-140.20000000000005</c:v>
                </c:pt>
                <c:pt idx="13">
                  <c:v>-131.30000000000004</c:v>
                </c:pt>
                <c:pt idx="14">
                  <c:v>-125.80000000000004</c:v>
                </c:pt>
                <c:pt idx="15">
                  <c:v>-165.10000000000002</c:v>
                </c:pt>
                <c:pt idx="16">
                  <c:v>-95.40000000000002</c:v>
                </c:pt>
                <c:pt idx="17">
                  <c:v>-91.000000000000014</c:v>
                </c:pt>
                <c:pt idx="18">
                  <c:v>-91.000000000000014</c:v>
                </c:pt>
                <c:pt idx="19">
                  <c:v>-143.4</c:v>
                </c:pt>
                <c:pt idx="20">
                  <c:v>-101.2</c:v>
                </c:pt>
                <c:pt idx="21">
                  <c:v>-99.3</c:v>
                </c:pt>
                <c:pt idx="22">
                  <c:v>-95.2</c:v>
                </c:pt>
                <c:pt idx="23">
                  <c:v>-75</c:v>
                </c:pt>
                <c:pt idx="24">
                  <c:v>-77.400000000000006</c:v>
                </c:pt>
                <c:pt idx="25">
                  <c:v>-83.600000000000009</c:v>
                </c:pt>
                <c:pt idx="26">
                  <c:v>-84.500000000000014</c:v>
                </c:pt>
                <c:pt idx="27">
                  <c:v>-32.300000000000011</c:v>
                </c:pt>
                <c:pt idx="28">
                  <c:v>-67.100000000000009</c:v>
                </c:pt>
                <c:pt idx="29">
                  <c:v>-63.70000000000001</c:v>
                </c:pt>
                <c:pt idx="30">
                  <c:v>-76.000000000000014</c:v>
                </c:pt>
                <c:pt idx="31">
                  <c:v>-92.600000000000023</c:v>
                </c:pt>
                <c:pt idx="32">
                  <c:v>-41.700000000000024</c:v>
                </c:pt>
                <c:pt idx="33">
                  <c:v>-37.200000000000024</c:v>
                </c:pt>
                <c:pt idx="34">
                  <c:v>-77.900000000000034</c:v>
                </c:pt>
                <c:pt idx="35">
                  <c:v>-73.200000000000031</c:v>
                </c:pt>
                <c:pt idx="36">
                  <c:v>-91.000000000000028</c:v>
                </c:pt>
                <c:pt idx="37">
                  <c:v>-85.900000000000034</c:v>
                </c:pt>
                <c:pt idx="38">
                  <c:v>-74.900000000000034</c:v>
                </c:pt>
                <c:pt idx="39">
                  <c:v>-120.20000000000003</c:v>
                </c:pt>
                <c:pt idx="40">
                  <c:v>-119.50000000000003</c:v>
                </c:pt>
                <c:pt idx="41">
                  <c:v>-150.20000000000002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E7-47B1-8656-9D8675F92A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1743.9024390243903</c:v>
                </c:pt>
                <c:pt idx="1">
                  <c:v>-169.23076923076923</c:v>
                </c:pt>
                <c:pt idx="2">
                  <c:v>-464.10256410256409</c:v>
                </c:pt>
                <c:pt idx="3">
                  <c:v>-286.84210526315792</c:v>
                </c:pt>
                <c:pt idx="4">
                  <c:v>-31.428571428571427</c:v>
                </c:pt>
                <c:pt idx="5">
                  <c:v>-913.79310344827582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72-4C3A-ADF1-CB8F9F0BE6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8</c:v>
                </c:pt>
                <c:pt idx="1">
                  <c:v>9</c:v>
                </c:pt>
                <c:pt idx="2">
                  <c:v>18</c:v>
                </c:pt>
                <c:pt idx="3">
                  <c:v>20</c:v>
                </c:pt>
                <c:pt idx="4">
                  <c:v>17</c:v>
                </c:pt>
                <c:pt idx="5">
                  <c:v>10</c:v>
                </c:pt>
                <c:pt idx="6">
                  <c:v>6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B3-4B4C-8CD2-858526B151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れんたろう!$K$2:$K$43</c:f>
              <c:numCache>
                <c:formatCode>General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れんたろう!$M$2:$M$43</c:f>
              <c:numCache>
                <c:formatCode>0</c:formatCode>
                <c:ptCount val="42"/>
                <c:pt idx="0">
                  <c:v>1653.1699313523677</c:v>
                </c:pt>
                <c:pt idx="1">
                  <c:v>1646.6709117642536</c:v>
                </c:pt>
                <c:pt idx="2">
                  <c:v>1634.420886293668</c:v>
                </c:pt>
                <c:pt idx="3">
                  <c:v>1639.914360975906</c:v>
                </c:pt>
                <c:pt idx="4">
                  <c:v>1633.1348748100506</c:v>
                </c:pt>
                <c:pt idx="5">
                  <c:v>1627.3860655611904</c:v>
                </c:pt>
                <c:pt idx="6">
                  <c:v>1618.6477491678233</c:v>
                </c:pt>
                <c:pt idx="7">
                  <c:v>1622.5498626728165</c:v>
                </c:pt>
                <c:pt idx="8">
                  <c:v>1627.1845634967797</c:v>
                </c:pt>
                <c:pt idx="9">
                  <c:v>1636.255456115799</c:v>
                </c:pt>
                <c:pt idx="10">
                  <c:v>1641.1379233791042</c:v>
                </c:pt>
                <c:pt idx="11">
                  <c:v>1635.2330958388295</c:v>
                </c:pt>
                <c:pt idx="12">
                  <c:v>1627.1676972637965</c:v>
                </c:pt>
                <c:pt idx="13">
                  <c:v>1628.9786910802138</c:v>
                </c:pt>
                <c:pt idx="14">
                  <c:v>1630.1668189337324</c:v>
                </c:pt>
                <c:pt idx="15">
                  <c:v>1623.3138180201299</c:v>
                </c:pt>
                <c:pt idx="16">
                  <c:v>1635.5699351120093</c:v>
                </c:pt>
                <c:pt idx="17">
                  <c:v>1635.9985155013371</c:v>
                </c:pt>
                <c:pt idx="18">
                  <c:v>1635.974524408329</c:v>
                </c:pt>
                <c:pt idx="19">
                  <c:v>1626.518677261879</c:v>
                </c:pt>
                <c:pt idx="20">
                  <c:v>1634.1175651983078</c:v>
                </c:pt>
                <c:pt idx="21">
                  <c:v>1634.416859807118</c:v>
                </c:pt>
                <c:pt idx="22">
                  <c:v>1635.1103586482752</c:v>
                </c:pt>
                <c:pt idx="23">
                  <c:v>1638.2056964963856</c:v>
                </c:pt>
                <c:pt idx="24">
                  <c:v>1637.2144623174072</c:v>
                </c:pt>
                <c:pt idx="25">
                  <c:v>1635.8451755435028</c:v>
                </c:pt>
                <c:pt idx="26">
                  <c:v>1635.4381044902418</c:v>
                </c:pt>
                <c:pt idx="27">
                  <c:v>1644.3754758633004</c:v>
                </c:pt>
                <c:pt idx="28">
                  <c:v>1638.0732230081205</c:v>
                </c:pt>
                <c:pt idx="29">
                  <c:v>1638.6967836700719</c:v>
                </c:pt>
                <c:pt idx="30">
                  <c:v>1636.4906029680515</c:v>
                </c:pt>
                <c:pt idx="31">
                  <c:v>1633.5176593502431</c:v>
                </c:pt>
                <c:pt idx="32">
                  <c:v>1642.7185533941417</c:v>
                </c:pt>
                <c:pt idx="33">
                  <c:v>1643.5002420737769</c:v>
                </c:pt>
                <c:pt idx="34">
                  <c:v>1636.1412406213342</c:v>
                </c:pt>
                <c:pt idx="35">
                  <c:v>1636.9983931776062</c:v>
                </c:pt>
                <c:pt idx="36">
                  <c:v>1633.6744028185406</c:v>
                </c:pt>
                <c:pt idx="37">
                  <c:v>1634.4923564016294</c:v>
                </c:pt>
                <c:pt idx="38">
                  <c:v>1636.6254022632197</c:v>
                </c:pt>
                <c:pt idx="39">
                  <c:v>1628.6116498496403</c:v>
                </c:pt>
                <c:pt idx="40">
                  <c:v>1628.6619799505424</c:v>
                </c:pt>
                <c:pt idx="41">
                  <c:v>1623.0600080708391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EA-4D37-AE39-D3C3500135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たかの!$L$2:$L$41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10.1</c:v>
                </c:pt>
                <c:pt idx="2">
                  <c:v>36.4</c:v>
                </c:pt>
                <c:pt idx="3">
                  <c:v>36.4</c:v>
                </c:pt>
                <c:pt idx="4">
                  <c:v>13.299999999999997</c:v>
                </c:pt>
                <c:pt idx="5">
                  <c:v>8.0999999999999979</c:v>
                </c:pt>
                <c:pt idx="6">
                  <c:v>24.7</c:v>
                </c:pt>
                <c:pt idx="7">
                  <c:v>39.5</c:v>
                </c:pt>
                <c:pt idx="8">
                  <c:v>66.5</c:v>
                </c:pt>
                <c:pt idx="9">
                  <c:v>90.7</c:v>
                </c:pt>
                <c:pt idx="10">
                  <c:v>91.7</c:v>
                </c:pt>
                <c:pt idx="11">
                  <c:v>100.5</c:v>
                </c:pt>
                <c:pt idx="12">
                  <c:v>69.400000000000006</c:v>
                </c:pt>
                <c:pt idx="13">
                  <c:v>35.000000000000007</c:v>
                </c:pt>
                <c:pt idx="14">
                  <c:v>42.800000000000004</c:v>
                </c:pt>
                <c:pt idx="15">
                  <c:v>60.900000000000006</c:v>
                </c:pt>
                <c:pt idx="16">
                  <c:v>38.600000000000009</c:v>
                </c:pt>
                <c:pt idx="17">
                  <c:v>7.6000000000000085</c:v>
                </c:pt>
                <c:pt idx="18">
                  <c:v>15.100000000000009</c:v>
                </c:pt>
                <c:pt idx="19">
                  <c:v>42.400000000000006</c:v>
                </c:pt>
                <c:pt idx="20">
                  <c:v>81.5</c:v>
                </c:pt>
                <c:pt idx="21">
                  <c:v>15.099999999999994</c:v>
                </c:pt>
                <c:pt idx="22">
                  <c:v>17.999999999999993</c:v>
                </c:pt>
                <c:pt idx="23">
                  <c:v>46.199999999999989</c:v>
                </c:pt>
                <c:pt idx="24">
                  <c:v>16.79999999999999</c:v>
                </c:pt>
                <c:pt idx="25">
                  <c:v>60.699999999999989</c:v>
                </c:pt>
                <c:pt idx="26">
                  <c:v>25.599999999999987</c:v>
                </c:pt>
                <c:pt idx="27">
                  <c:v>17.199999999999989</c:v>
                </c:pt>
                <c:pt idx="28">
                  <c:v>61.199999999999989</c:v>
                </c:pt>
                <c:pt idx="29">
                  <c:v>36.699999999999989</c:v>
                </c:pt>
                <c:pt idx="30">
                  <c:v>11.199999999999989</c:v>
                </c:pt>
                <c:pt idx="31">
                  <c:v>13.599999999999989</c:v>
                </c:pt>
                <c:pt idx="32">
                  <c:v>-9.3000000000000096</c:v>
                </c:pt>
                <c:pt idx="33">
                  <c:v>8.3999999999999897</c:v>
                </c:pt>
                <c:pt idx="34">
                  <c:v>-28.600000000000009</c:v>
                </c:pt>
                <c:pt idx="35">
                  <c:v>-19.900000000000009</c:v>
                </c:pt>
                <c:pt idx="36">
                  <c:v>-72.7</c:v>
                </c:pt>
                <c:pt idx="37">
                  <c:v>-7.7999999999999972</c:v>
                </c:pt>
                <c:pt idx="38">
                  <c:v>21.200000000000003</c:v>
                </c:pt>
                <c:pt idx="39">
                  <c:v>53.800000000000004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A6-4021-89F5-909909D9E7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233.33333333333334</c:v>
                </c:pt>
                <c:pt idx="1">
                  <c:v>-864.10256410256409</c:v>
                </c:pt>
                <c:pt idx="2">
                  <c:v>1144.7368421052631</c:v>
                </c:pt>
                <c:pt idx="3">
                  <c:v>-673.68421052631584</c:v>
                </c:pt>
                <c:pt idx="4">
                  <c:v>-871.0526315789474</c:v>
                </c:pt>
                <c:pt idx="5">
                  <c:v>674.19354838709683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46-4EDD-B0B6-CA827A04B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13</c:v>
                </c:pt>
                <c:pt idx="1">
                  <c:v>24</c:v>
                </c:pt>
                <c:pt idx="2">
                  <c:v>21</c:v>
                </c:pt>
                <c:pt idx="3">
                  <c:v>19</c:v>
                </c:pt>
                <c:pt idx="4">
                  <c:v>5</c:v>
                </c:pt>
                <c:pt idx="5">
                  <c:v>4</c:v>
                </c:pt>
                <c:pt idx="6">
                  <c:v>5</c:v>
                </c:pt>
                <c:pt idx="7">
                  <c:v>2</c:v>
                </c:pt>
                <c:pt idx="8">
                  <c:v>4</c:v>
                </c:pt>
                <c:pt idx="9">
                  <c:v>4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8E-4853-8591-97A362C4E5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たかの!$M$2:$M$41</c:f>
              <c:numCache>
                <c:formatCode>0</c:formatCode>
                <c:ptCount val="40"/>
                <c:pt idx="0">
                  <c:v>1433.30445236539</c:v>
                </c:pt>
                <c:pt idx="1">
                  <c:v>1435.5226256511976</c:v>
                </c:pt>
                <c:pt idx="2">
                  <c:v>1441.4954898972903</c:v>
                </c:pt>
                <c:pt idx="3">
                  <c:v>1442.4405169579065</c:v>
                </c:pt>
                <c:pt idx="4">
                  <c:v>1439.257873856159</c:v>
                </c:pt>
                <c:pt idx="5">
                  <c:v>1439.3523266130221</c:v>
                </c:pt>
                <c:pt idx="6">
                  <c:v>1443.310212653344</c:v>
                </c:pt>
                <c:pt idx="7">
                  <c:v>1446.944351377424</c:v>
                </c:pt>
                <c:pt idx="8">
                  <c:v>1452.7526852691594</c:v>
                </c:pt>
                <c:pt idx="9">
                  <c:v>1458.0221691575446</c:v>
                </c:pt>
                <c:pt idx="10">
                  <c:v>1458.3940361425994</c:v>
                </c:pt>
                <c:pt idx="11">
                  <c:v>1460.2096719257438</c:v>
                </c:pt>
                <c:pt idx="12">
                  <c:v>1454.8324138941894</c:v>
                </c:pt>
                <c:pt idx="13">
                  <c:v>1449.5174194108242</c:v>
                </c:pt>
                <c:pt idx="14">
                  <c:v>1451.8303148943594</c:v>
                </c:pt>
                <c:pt idx="15">
                  <c:v>1455.9833330049933</c:v>
                </c:pt>
                <c:pt idx="16">
                  <c:v>1453.0914330069634</c:v>
                </c:pt>
                <c:pt idx="17">
                  <c:v>1448.4108844089217</c:v>
                </c:pt>
                <c:pt idx="18">
                  <c:v>1450.6884191024681</c:v>
                </c:pt>
                <c:pt idx="19">
                  <c:v>1456.6902885878533</c:v>
                </c:pt>
                <c:pt idx="20">
                  <c:v>1464.7801468563262</c:v>
                </c:pt>
                <c:pt idx="21">
                  <c:v>1453.7114659751883</c:v>
                </c:pt>
                <c:pt idx="22">
                  <c:v>1455.1831971793372</c:v>
                </c:pt>
                <c:pt idx="23">
                  <c:v>1461.2000979962611</c:v>
                </c:pt>
                <c:pt idx="24">
                  <c:v>1456.9028974082835</c:v>
                </c:pt>
                <c:pt idx="25">
                  <c:v>1465.8254800238337</c:v>
                </c:pt>
                <c:pt idx="26">
                  <c:v>1460.4745271436907</c:v>
                </c:pt>
                <c:pt idx="27">
                  <c:v>1459.8536799808285</c:v>
                </c:pt>
                <c:pt idx="28">
                  <c:v>1468.6685579009436</c:v>
                </c:pt>
                <c:pt idx="29">
                  <c:v>1465.0825465535379</c:v>
                </c:pt>
                <c:pt idx="30">
                  <c:v>1461.3380512742167</c:v>
                </c:pt>
                <c:pt idx="31">
                  <c:v>1462.7040229665713</c:v>
                </c:pt>
                <c:pt idx="32">
                  <c:v>1459.5077988287719</c:v>
                </c:pt>
                <c:pt idx="33">
                  <c:v>1463.4227520357992</c:v>
                </c:pt>
                <c:pt idx="34">
                  <c:v>1457.6782155235844</c:v>
                </c:pt>
                <c:pt idx="35">
                  <c:v>1460.1941462304428</c:v>
                </c:pt>
                <c:pt idx="36">
                  <c:v>1451.5589813530601</c:v>
                </c:pt>
                <c:pt idx="37">
                  <c:v>1464.0596274649417</c:v>
                </c:pt>
                <c:pt idx="38">
                  <c:v>1469.2492697001521</c:v>
                </c:pt>
                <c:pt idx="39">
                  <c:v>1475.0557740819513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C8-4A00-A87C-2A3D4FB901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まっつん!$L$2:$L$25</c:f>
              <c:numCache>
                <c:formatCode>\+0.0;\-0.0;\±0</c:formatCode>
                <c:ptCount val="24"/>
                <c:pt idx="0">
                  <c:v>0</c:v>
                </c:pt>
                <c:pt idx="1">
                  <c:v>-33.6</c:v>
                </c:pt>
                <c:pt idx="2">
                  <c:v>-36.9</c:v>
                </c:pt>
                <c:pt idx="3">
                  <c:v>-40.4</c:v>
                </c:pt>
                <c:pt idx="4">
                  <c:v>-36.799999999999997</c:v>
                </c:pt>
                <c:pt idx="5">
                  <c:v>-73.900000000000006</c:v>
                </c:pt>
                <c:pt idx="6">
                  <c:v>-85.5</c:v>
                </c:pt>
                <c:pt idx="7">
                  <c:v>-77.8</c:v>
                </c:pt>
                <c:pt idx="8">
                  <c:v>-22.799999999999997</c:v>
                </c:pt>
                <c:pt idx="9">
                  <c:v>-29.599999999999998</c:v>
                </c:pt>
                <c:pt idx="10">
                  <c:v>-55</c:v>
                </c:pt>
                <c:pt idx="11">
                  <c:v>-108.9</c:v>
                </c:pt>
                <c:pt idx="12">
                  <c:v>-92.100000000000009</c:v>
                </c:pt>
                <c:pt idx="13">
                  <c:v>-93.500000000000014</c:v>
                </c:pt>
                <c:pt idx="14">
                  <c:v>-79.200000000000017</c:v>
                </c:pt>
                <c:pt idx="15">
                  <c:v>-44.200000000000017</c:v>
                </c:pt>
                <c:pt idx="16">
                  <c:v>-49.800000000000018</c:v>
                </c:pt>
                <c:pt idx="17">
                  <c:v>-47.800000000000018</c:v>
                </c:pt>
                <c:pt idx="18">
                  <c:v>-22.100000000000019</c:v>
                </c:pt>
                <c:pt idx="19">
                  <c:v>-9.6000000000000192</c:v>
                </c:pt>
                <c:pt idx="20">
                  <c:v>-19.40000000000002</c:v>
                </c:pt>
                <c:pt idx="21">
                  <c:v>31.499999999999979</c:v>
                </c:pt>
                <c:pt idx="22">
                  <c:v>33.299999999999976</c:v>
                </c:pt>
                <c:pt idx="23">
                  <c:v>27.799999999999976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B4-49D0-9D9B-9F90D52BAE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108.69565217391305</c:v>
                </c:pt>
                <c:pt idx="1">
                  <c:v>634.78260869565213</c:v>
                </c:pt>
                <c:pt idx="2">
                  <c:v>377.27272727272725</c:v>
                </c:pt>
                <c:pt idx="3">
                  <c:v>-2180</c:v>
                </c:pt>
                <c:pt idx="4">
                  <c:v>2289.4736842105262</c:v>
                </c:pt>
                <c:pt idx="5">
                  <c:v>-343.75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D7-4672-9A1E-5004515058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1</c:v>
                </c:pt>
                <c:pt idx="1">
                  <c:v>9</c:v>
                </c:pt>
                <c:pt idx="2">
                  <c:v>11</c:v>
                </c:pt>
                <c:pt idx="3">
                  <c:v>15</c:v>
                </c:pt>
                <c:pt idx="4">
                  <c:v>5</c:v>
                </c:pt>
                <c:pt idx="5">
                  <c:v>4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EB-4556-9C1E-73D821B34B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まっつん!$M$2:$M$25</c:f>
              <c:numCache>
                <c:formatCode>0</c:formatCode>
                <c:ptCount val="24"/>
                <c:pt idx="0">
                  <c:v>1524.3778689305989</c:v>
                </c:pt>
                <c:pt idx="1">
                  <c:v>1518.8856017170153</c:v>
                </c:pt>
                <c:pt idx="2">
                  <c:v>1518.9042881067132</c:v>
                </c:pt>
                <c:pt idx="3">
                  <c:v>1518.8868623780729</c:v>
                </c:pt>
                <c:pt idx="4">
                  <c:v>1520.1595412038046</c:v>
                </c:pt>
                <c:pt idx="5">
                  <c:v>1513.3425839565818</c:v>
                </c:pt>
                <c:pt idx="6">
                  <c:v>1511.1565284528424</c:v>
                </c:pt>
                <c:pt idx="7">
                  <c:v>1513.2255892821254</c:v>
                </c:pt>
                <c:pt idx="8">
                  <c:v>1523.7962357464326</c:v>
                </c:pt>
                <c:pt idx="9">
                  <c:v>1523.179458331954</c:v>
                </c:pt>
                <c:pt idx="10">
                  <c:v>1519.2183815819624</c:v>
                </c:pt>
                <c:pt idx="11">
                  <c:v>1509.7550712924706</c:v>
                </c:pt>
                <c:pt idx="12">
                  <c:v>1513.3025408647156</c:v>
                </c:pt>
                <c:pt idx="13">
                  <c:v>1513.7987256195274</c:v>
                </c:pt>
                <c:pt idx="14">
                  <c:v>1517.1299332658102</c:v>
                </c:pt>
                <c:pt idx="15">
                  <c:v>1524.1671536662154</c:v>
                </c:pt>
                <c:pt idx="16">
                  <c:v>1523.8481507442182</c:v>
                </c:pt>
                <c:pt idx="17">
                  <c:v>1524.9050618397528</c:v>
                </c:pt>
                <c:pt idx="18">
                  <c:v>1530.0056314687142</c:v>
                </c:pt>
                <c:pt idx="19">
                  <c:v>1531.9675976799019</c:v>
                </c:pt>
                <c:pt idx="20">
                  <c:v>1530.8037920938225</c:v>
                </c:pt>
                <c:pt idx="21">
                  <c:v>1540.0509693412596</c:v>
                </c:pt>
                <c:pt idx="22">
                  <c:v>1540.560663525212</c:v>
                </c:pt>
                <c:pt idx="23">
                  <c:v>1539.8552995440607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D2-4993-9E9C-0841B6635B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いちかわ!$K$2:$K$39</c:f>
              <c:numCache>
                <c:formatCode>General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いちかわ!$L$2:$L$39</c:f>
              <c:numCache>
                <c:formatCode>\+0.0;\-0.0;\±0</c:formatCode>
                <c:ptCount val="38"/>
                <c:pt idx="0">
                  <c:v>0</c:v>
                </c:pt>
                <c:pt idx="1">
                  <c:v>55.6</c:v>
                </c:pt>
                <c:pt idx="2">
                  <c:v>24.900000000000002</c:v>
                </c:pt>
                <c:pt idx="3">
                  <c:v>-20.599999999999998</c:v>
                </c:pt>
                <c:pt idx="4">
                  <c:v>-25</c:v>
                </c:pt>
                <c:pt idx="5">
                  <c:v>-53</c:v>
                </c:pt>
                <c:pt idx="6">
                  <c:v>-32.799999999999997</c:v>
                </c:pt>
                <c:pt idx="7">
                  <c:v>-22.199999999999996</c:v>
                </c:pt>
                <c:pt idx="8">
                  <c:v>0.30000000000000426</c:v>
                </c:pt>
                <c:pt idx="9">
                  <c:v>20.500000000000004</c:v>
                </c:pt>
                <c:pt idx="10">
                  <c:v>6.9000000000000039</c:v>
                </c:pt>
                <c:pt idx="11">
                  <c:v>-18.799999999999997</c:v>
                </c:pt>
                <c:pt idx="12">
                  <c:v>32.1</c:v>
                </c:pt>
                <c:pt idx="13">
                  <c:v>65.800000000000011</c:v>
                </c:pt>
                <c:pt idx="14">
                  <c:v>99.300000000000011</c:v>
                </c:pt>
                <c:pt idx="15">
                  <c:v>75.200000000000017</c:v>
                </c:pt>
                <c:pt idx="16">
                  <c:v>83.000000000000014</c:v>
                </c:pt>
                <c:pt idx="17">
                  <c:v>81.600000000000009</c:v>
                </c:pt>
                <c:pt idx="18">
                  <c:v>83.2</c:v>
                </c:pt>
                <c:pt idx="19">
                  <c:v>126.80000000000001</c:v>
                </c:pt>
                <c:pt idx="20">
                  <c:v>163</c:v>
                </c:pt>
                <c:pt idx="21">
                  <c:v>116.7</c:v>
                </c:pt>
                <c:pt idx="22">
                  <c:v>137.19999999999999</c:v>
                </c:pt>
                <c:pt idx="23">
                  <c:v>139.19999999999999</c:v>
                </c:pt>
                <c:pt idx="24">
                  <c:v>108.79999999999998</c:v>
                </c:pt>
                <c:pt idx="25">
                  <c:v>90.399999999999977</c:v>
                </c:pt>
                <c:pt idx="26">
                  <c:v>123.09999999999998</c:v>
                </c:pt>
                <c:pt idx="27">
                  <c:v>124.79999999999998</c:v>
                </c:pt>
                <c:pt idx="28">
                  <c:v>106.39999999999998</c:v>
                </c:pt>
                <c:pt idx="29">
                  <c:v>127.89999999999998</c:v>
                </c:pt>
                <c:pt idx="30">
                  <c:v>164.39999999999998</c:v>
                </c:pt>
                <c:pt idx="31">
                  <c:v>119.79999999999998</c:v>
                </c:pt>
                <c:pt idx="32">
                  <c:v>100.99999999999999</c:v>
                </c:pt>
                <c:pt idx="33">
                  <c:v>102.59999999999998</c:v>
                </c:pt>
                <c:pt idx="34">
                  <c:v>65.59999999999998</c:v>
                </c:pt>
                <c:pt idx="35">
                  <c:v>45.499999999999979</c:v>
                </c:pt>
                <c:pt idx="36">
                  <c:v>40.699999999999982</c:v>
                </c:pt>
                <c:pt idx="37">
                  <c:v>17.09999999999998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3D-4C66-9600-E2C39A4238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いちかわ!$P$2:$P$7</c:f>
              <c:numCache>
                <c:formatCode>\+0;\-0;\±0</c:formatCode>
                <c:ptCount val="6"/>
                <c:pt idx="0">
                  <c:v>-8.1081081081081088</c:v>
                </c:pt>
                <c:pt idx="1">
                  <c:v>1072.9729729729729</c:v>
                </c:pt>
                <c:pt idx="2">
                  <c:v>1364.8648648648648</c:v>
                </c:pt>
                <c:pt idx="3">
                  <c:v>-885.29411764705878</c:v>
                </c:pt>
                <c:pt idx="4">
                  <c:v>-1010</c:v>
                </c:pt>
                <c:pt idx="5">
                  <c:v>321.42857142857144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56-4EF0-BC4A-0415CD8207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いちかわ!$B$37:$B$49</c:f>
              <c:numCache>
                <c:formatCode>0\ "回"</c:formatCode>
                <c:ptCount val="13"/>
                <c:pt idx="0">
                  <c:v>8</c:v>
                </c:pt>
                <c:pt idx="1">
                  <c:v>21</c:v>
                </c:pt>
                <c:pt idx="2">
                  <c:v>17</c:v>
                </c:pt>
                <c:pt idx="3">
                  <c:v>12</c:v>
                </c:pt>
                <c:pt idx="4">
                  <c:v>11</c:v>
                </c:pt>
                <c:pt idx="5">
                  <c:v>11</c:v>
                </c:pt>
                <c:pt idx="6">
                  <c:v>5</c:v>
                </c:pt>
                <c:pt idx="7">
                  <c:v>4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17-4666-BF12-572D85BCF7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いちかわ!$K$2:$K$39</c:f>
              <c:numCache>
                <c:formatCode>General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いちかわ!$M$2:$M$39</c:f>
              <c:numCache>
                <c:formatCode>0</c:formatCode>
                <c:ptCount val="38"/>
                <c:pt idx="0">
                  <c:v>1488.8318648771276</c:v>
                </c:pt>
                <c:pt idx="1">
                  <c:v>1499.6088736878648</c:v>
                </c:pt>
                <c:pt idx="2">
                  <c:v>1494.8112204457377</c:v>
                </c:pt>
                <c:pt idx="3">
                  <c:v>1487.3783531230633</c:v>
                </c:pt>
                <c:pt idx="4">
                  <c:v>1486.6380830043249</c:v>
                </c:pt>
                <c:pt idx="5">
                  <c:v>1481.354254506299</c:v>
                </c:pt>
                <c:pt idx="6">
                  <c:v>1485.3541289792611</c:v>
                </c:pt>
                <c:pt idx="7">
                  <c:v>1487.6020042053856</c:v>
                </c:pt>
                <c:pt idx="8">
                  <c:v>1491.7683921801533</c:v>
                </c:pt>
                <c:pt idx="9">
                  <c:v>1495.4357818270723</c:v>
                </c:pt>
                <c:pt idx="10">
                  <c:v>1493.62116713611</c:v>
                </c:pt>
                <c:pt idx="11">
                  <c:v>1489.7534401332932</c:v>
                </c:pt>
                <c:pt idx="12">
                  <c:v>1499.6969194924934</c:v>
                </c:pt>
                <c:pt idx="13">
                  <c:v>1506.4847379755383</c:v>
                </c:pt>
                <c:pt idx="14">
                  <c:v>1512.415829547685</c:v>
                </c:pt>
                <c:pt idx="15">
                  <c:v>1508.6093345703989</c:v>
                </c:pt>
                <c:pt idx="16">
                  <c:v>1510.5676785629764</c:v>
                </c:pt>
                <c:pt idx="17">
                  <c:v>1510.8582724915987</c:v>
                </c:pt>
                <c:pt idx="18">
                  <c:v>1512.053122856649</c:v>
                </c:pt>
                <c:pt idx="19">
                  <c:v>1520.8008041195092</c:v>
                </c:pt>
                <c:pt idx="20">
                  <c:v>1527.9899992947921</c:v>
                </c:pt>
                <c:pt idx="21">
                  <c:v>1519.9380592990233</c:v>
                </c:pt>
                <c:pt idx="22">
                  <c:v>1523.9584309432291</c:v>
                </c:pt>
                <c:pt idx="23">
                  <c:v>1524.7926803575697</c:v>
                </c:pt>
                <c:pt idx="24">
                  <c:v>1519.7959242754243</c:v>
                </c:pt>
                <c:pt idx="25">
                  <c:v>1516.6351487297718</c:v>
                </c:pt>
                <c:pt idx="26">
                  <c:v>1522.6913378373931</c:v>
                </c:pt>
                <c:pt idx="27">
                  <c:v>1523.2151898103687</c:v>
                </c:pt>
                <c:pt idx="28">
                  <c:v>1520.3458986715063</c:v>
                </c:pt>
                <c:pt idx="29">
                  <c:v>1524.9218232794774</c:v>
                </c:pt>
                <c:pt idx="30">
                  <c:v>1532.1702923398004</c:v>
                </c:pt>
                <c:pt idx="31">
                  <c:v>1524.7772705857617</c:v>
                </c:pt>
                <c:pt idx="32">
                  <c:v>1521.8686069622472</c:v>
                </c:pt>
                <c:pt idx="33">
                  <c:v>1522.5113953204736</c:v>
                </c:pt>
                <c:pt idx="34">
                  <c:v>1515.6083269485507</c:v>
                </c:pt>
                <c:pt idx="35">
                  <c:v>1512.1666769868593</c:v>
                </c:pt>
                <c:pt idx="36">
                  <c:v>1510.9836769249382</c:v>
                </c:pt>
                <c:pt idx="37">
                  <c:v>1506.4237748633886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57-4F27-ADFC-545683BE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ただ!$K$2:$K$43</c:f>
              <c:numCache>
                <c:formatCode>General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ただ!$L$2:$L$43</c:f>
              <c:numCache>
                <c:formatCode>\+0.0;\-0.0;\±0</c:formatCode>
                <c:ptCount val="42"/>
                <c:pt idx="0">
                  <c:v>0</c:v>
                </c:pt>
                <c:pt idx="1">
                  <c:v>11.6</c:v>
                </c:pt>
                <c:pt idx="2">
                  <c:v>42.9</c:v>
                </c:pt>
                <c:pt idx="3">
                  <c:v>49.199999999999996</c:v>
                </c:pt>
                <c:pt idx="4">
                  <c:v>75.8</c:v>
                </c:pt>
                <c:pt idx="5">
                  <c:v>47.8</c:v>
                </c:pt>
                <c:pt idx="6">
                  <c:v>26.4</c:v>
                </c:pt>
                <c:pt idx="7">
                  <c:v>25.9</c:v>
                </c:pt>
                <c:pt idx="8">
                  <c:v>1.5</c:v>
                </c:pt>
                <c:pt idx="9">
                  <c:v>9.6999999999999993</c:v>
                </c:pt>
                <c:pt idx="10">
                  <c:v>9.1999999999999993</c:v>
                </c:pt>
                <c:pt idx="11">
                  <c:v>2.2999999999999989</c:v>
                </c:pt>
                <c:pt idx="12">
                  <c:v>1.599999999999999</c:v>
                </c:pt>
                <c:pt idx="13">
                  <c:v>-48.5</c:v>
                </c:pt>
                <c:pt idx="14">
                  <c:v>-20.2</c:v>
                </c:pt>
                <c:pt idx="15">
                  <c:v>22.500000000000004</c:v>
                </c:pt>
                <c:pt idx="16">
                  <c:v>64.5</c:v>
                </c:pt>
                <c:pt idx="17">
                  <c:v>10.5</c:v>
                </c:pt>
                <c:pt idx="18">
                  <c:v>-22.299999999999997</c:v>
                </c:pt>
                <c:pt idx="19">
                  <c:v>8.5000000000000036</c:v>
                </c:pt>
                <c:pt idx="20">
                  <c:v>36.800000000000004</c:v>
                </c:pt>
                <c:pt idx="21">
                  <c:v>66.2</c:v>
                </c:pt>
                <c:pt idx="22">
                  <c:v>103</c:v>
                </c:pt>
                <c:pt idx="23">
                  <c:v>125.1</c:v>
                </c:pt>
                <c:pt idx="24">
                  <c:v>198.89999999999998</c:v>
                </c:pt>
                <c:pt idx="25">
                  <c:v>230.09999999999997</c:v>
                </c:pt>
                <c:pt idx="26">
                  <c:v>290.39999999999998</c:v>
                </c:pt>
                <c:pt idx="27">
                  <c:v>250.09999999999997</c:v>
                </c:pt>
                <c:pt idx="28">
                  <c:v>226.69999999999996</c:v>
                </c:pt>
                <c:pt idx="29">
                  <c:v>201.79999999999995</c:v>
                </c:pt>
                <c:pt idx="30">
                  <c:v>252.59999999999997</c:v>
                </c:pt>
                <c:pt idx="31">
                  <c:v>297.2</c:v>
                </c:pt>
                <c:pt idx="32">
                  <c:v>293.89999999999998</c:v>
                </c:pt>
                <c:pt idx="33">
                  <c:v>324</c:v>
                </c:pt>
                <c:pt idx="34">
                  <c:v>320.7</c:v>
                </c:pt>
                <c:pt idx="35">
                  <c:v>344.59999999999997</c:v>
                </c:pt>
                <c:pt idx="36">
                  <c:v>334.59999999999997</c:v>
                </c:pt>
                <c:pt idx="37">
                  <c:v>335.09999999999997</c:v>
                </c:pt>
                <c:pt idx="38">
                  <c:v>329.99999999999994</c:v>
                </c:pt>
                <c:pt idx="39">
                  <c:v>370.49999999999994</c:v>
                </c:pt>
                <c:pt idx="40">
                  <c:v>317.29999999999995</c:v>
                </c:pt>
                <c:pt idx="41">
                  <c:v>286.49999999999994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47-4262-8004-9E2C8D9B3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-2.4390243902439024</c:v>
                </c:pt>
                <c:pt idx="1">
                  <c:v>1786.8421052631579</c:v>
                </c:pt>
                <c:pt idx="2">
                  <c:v>17.948717948717949</c:v>
                </c:pt>
                <c:pt idx="3">
                  <c:v>2318.9189189189187</c:v>
                </c:pt>
                <c:pt idx="4">
                  <c:v>755.88235294117646</c:v>
                </c:pt>
                <c:pt idx="5">
                  <c:v>310.71428571428572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A5-4463-B4A3-594907051F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11</c:v>
                </c:pt>
                <c:pt idx="1">
                  <c:v>27</c:v>
                </c:pt>
                <c:pt idx="2">
                  <c:v>26</c:v>
                </c:pt>
                <c:pt idx="3">
                  <c:v>18</c:v>
                </c:pt>
                <c:pt idx="4">
                  <c:v>19</c:v>
                </c:pt>
                <c:pt idx="5">
                  <c:v>4</c:v>
                </c:pt>
                <c:pt idx="6">
                  <c:v>8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91-4BE4-B5D5-AD8DDF9452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ただ!$K$2:$K$43</c:f>
              <c:numCache>
                <c:formatCode>General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ただ!$M$2:$M$43</c:f>
              <c:numCache>
                <c:formatCode>0</c:formatCode>
                <c:ptCount val="42"/>
                <c:pt idx="0">
                  <c:v>1517.1288342047803</c:v>
                </c:pt>
                <c:pt idx="1">
                  <c:v>1519.7080611995516</c:v>
                </c:pt>
                <c:pt idx="2">
                  <c:v>1525.8538128323544</c:v>
                </c:pt>
                <c:pt idx="3">
                  <c:v>1526.8746899553603</c:v>
                </c:pt>
                <c:pt idx="4">
                  <c:v>1532.5274418156282</c:v>
                </c:pt>
                <c:pt idx="5">
                  <c:v>1528.3182771647344</c:v>
                </c:pt>
                <c:pt idx="6">
                  <c:v>1524.962367501746</c:v>
                </c:pt>
                <c:pt idx="7">
                  <c:v>1524.5545932967354</c:v>
                </c:pt>
                <c:pt idx="8">
                  <c:v>1520.549265736955</c:v>
                </c:pt>
                <c:pt idx="9">
                  <c:v>1522.4359701425333</c:v>
                </c:pt>
                <c:pt idx="10">
                  <c:v>1522.8413543216782</c:v>
                </c:pt>
                <c:pt idx="11">
                  <c:v>1522.0923061957481</c:v>
                </c:pt>
                <c:pt idx="12">
                  <c:v>1522.4637523585736</c:v>
                </c:pt>
                <c:pt idx="13">
                  <c:v>1514.0489698444221</c:v>
                </c:pt>
                <c:pt idx="14">
                  <c:v>1519.0406760253557</c:v>
                </c:pt>
                <c:pt idx="15">
                  <c:v>1526.5944319692035</c:v>
                </c:pt>
                <c:pt idx="16">
                  <c:v>1534.7448653773884</c:v>
                </c:pt>
                <c:pt idx="17">
                  <c:v>1525.5663961851239</c:v>
                </c:pt>
                <c:pt idx="18">
                  <c:v>1520.2589978080132</c:v>
                </c:pt>
                <c:pt idx="19">
                  <c:v>1526.4314438211652</c:v>
                </c:pt>
                <c:pt idx="20">
                  <c:v>1531.9848551582381</c:v>
                </c:pt>
                <c:pt idx="21">
                  <c:v>1537.7029460272888</c:v>
                </c:pt>
                <c:pt idx="22">
                  <c:v>1545.0727283511251</c:v>
                </c:pt>
                <c:pt idx="23">
                  <c:v>1549.7522919810183</c:v>
                </c:pt>
                <c:pt idx="24">
                  <c:v>1563.2357782291322</c:v>
                </c:pt>
                <c:pt idx="25">
                  <c:v>1568.9703635597573</c:v>
                </c:pt>
                <c:pt idx="26">
                  <c:v>1580.4125413783988</c:v>
                </c:pt>
                <c:pt idx="27">
                  <c:v>1573.4740661301284</c:v>
                </c:pt>
                <c:pt idx="28">
                  <c:v>1569.2712217333476</c:v>
                </c:pt>
                <c:pt idx="29">
                  <c:v>1564.8235944029475</c:v>
                </c:pt>
                <c:pt idx="30">
                  <c:v>1574.2506528365298</c:v>
                </c:pt>
                <c:pt idx="31">
                  <c:v>1582.5051489195105</c:v>
                </c:pt>
                <c:pt idx="32">
                  <c:v>1582.0881180259935</c:v>
                </c:pt>
                <c:pt idx="33">
                  <c:v>1587.6675893178376</c:v>
                </c:pt>
                <c:pt idx="34">
                  <c:v>1587.2015837819306</c:v>
                </c:pt>
                <c:pt idx="35">
                  <c:v>1591.6163742792389</c:v>
                </c:pt>
                <c:pt idx="36">
                  <c:v>1589.9026760335635</c:v>
                </c:pt>
                <c:pt idx="37">
                  <c:v>1590.413259977362</c:v>
                </c:pt>
                <c:pt idx="38">
                  <c:v>1589.912780417498</c:v>
                </c:pt>
                <c:pt idx="39">
                  <c:v>1597.2933037349931</c:v>
                </c:pt>
                <c:pt idx="40">
                  <c:v>1587.9255439125832</c:v>
                </c:pt>
                <c:pt idx="41">
                  <c:v>1582.1239906491078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C2-4587-BDD8-DD7781263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42.4</c:v>
                </c:pt>
                <c:pt idx="2">
                  <c:v>50.4</c:v>
                </c:pt>
                <c:pt idx="3">
                  <c:v>10.399999999999999</c:v>
                </c:pt>
                <c:pt idx="4">
                  <c:v>60</c:v>
                </c:pt>
                <c:pt idx="5">
                  <c:v>6.2000000000000028</c:v>
                </c:pt>
                <c:pt idx="6">
                  <c:v>30.000000000000004</c:v>
                </c:pt>
                <c:pt idx="7">
                  <c:v>1.2000000000000028</c:v>
                </c:pt>
                <c:pt idx="8">
                  <c:v>40.900000000000006</c:v>
                </c:pt>
                <c:pt idx="9">
                  <c:v>21.100000000000005</c:v>
                </c:pt>
                <c:pt idx="10">
                  <c:v>14.100000000000005</c:v>
                </c:pt>
                <c:pt idx="11">
                  <c:v>-20.399999999999995</c:v>
                </c:pt>
                <c:pt idx="12">
                  <c:v>-16.299999999999997</c:v>
                </c:pt>
                <c:pt idx="13">
                  <c:v>-54.199999999999996</c:v>
                </c:pt>
                <c:pt idx="14">
                  <c:v>-95.6</c:v>
                </c:pt>
                <c:pt idx="15">
                  <c:v>-144.6</c:v>
                </c:pt>
                <c:pt idx="16">
                  <c:v>-148.19999999999999</c:v>
                </c:pt>
                <c:pt idx="17">
                  <c:v>-150</c:v>
                </c:pt>
                <c:pt idx="18">
                  <c:v>-180.3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B2-4F91-B8D9-DFDC9453AA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たか!$P$2:$P$7</c:f>
              <c:numCache>
                <c:formatCode>\+0;\-0;\±0</c:formatCode>
                <c:ptCount val="6"/>
                <c:pt idx="0">
                  <c:v>-1394.4444444444443</c:v>
                </c:pt>
                <c:pt idx="1">
                  <c:v>-1588.8888888888889</c:v>
                </c:pt>
                <c:pt idx="2">
                  <c:v>-3911.1111111111113</c:v>
                </c:pt>
                <c:pt idx="3">
                  <c:v>-670.58823529411768</c:v>
                </c:pt>
                <c:pt idx="4">
                  <c:v>-457.14285714285717</c:v>
                </c:pt>
                <c:pt idx="5">
                  <c:v>1700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6F-48C4-B1C1-425E994B2E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たか!$B$37:$B$49</c:f>
              <c:numCache>
                <c:formatCode>0\ "回"</c:formatCode>
                <c:ptCount val="13"/>
                <c:pt idx="0">
                  <c:v>6</c:v>
                </c:pt>
                <c:pt idx="1">
                  <c:v>6</c:v>
                </c:pt>
                <c:pt idx="2">
                  <c:v>1</c:v>
                </c:pt>
                <c:pt idx="3">
                  <c:v>6</c:v>
                </c:pt>
                <c:pt idx="4">
                  <c:v>5</c:v>
                </c:pt>
                <c:pt idx="5">
                  <c:v>3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B6-4C59-9E5A-5E114B72CE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たか!$M$2:$M$20</c:f>
              <c:numCache>
                <c:formatCode>0</c:formatCode>
                <c:ptCount val="19"/>
                <c:pt idx="0">
                  <c:v>1500</c:v>
                </c:pt>
                <c:pt idx="1">
                  <c:v>1507.6079999999999</c:v>
                </c:pt>
                <c:pt idx="2">
                  <c:v>1508.6783519999999</c:v>
                </c:pt>
                <c:pt idx="3">
                  <c:v>1501.8402818879999</c:v>
                </c:pt>
                <c:pt idx="4">
                  <c:v>1511.171240196672</c:v>
                </c:pt>
                <c:pt idx="5">
                  <c:v>1501.672212755492</c:v>
                </c:pt>
                <c:pt idx="6">
                  <c:v>1506.198179478959</c:v>
                </c:pt>
                <c:pt idx="7">
                  <c:v>1501.0189904020851</c:v>
                </c:pt>
                <c:pt idx="8">
                  <c:v>1508.8788764596727</c:v>
                </c:pt>
                <c:pt idx="9">
                  <c:v>1505.9816032009146</c:v>
                </c:pt>
                <c:pt idx="10">
                  <c:v>1505.4057135817091</c:v>
                </c:pt>
                <c:pt idx="11">
                  <c:v>1499.1032793002189</c:v>
                </c:pt>
                <c:pt idx="12">
                  <c:v>1500.7526596244177</c:v>
                </c:pt>
                <c:pt idx="13">
                  <c:v>1494.8321436666711</c:v>
                </c:pt>
                <c:pt idx="14">
                  <c:v>1488.317150804671</c:v>
                </c:pt>
                <c:pt idx="15">
                  <c:v>1480.185247899843</c:v>
                </c:pt>
                <c:pt idx="16">
                  <c:v>1480.2801364124439</c:v>
                </c:pt>
                <c:pt idx="17">
                  <c:v>1480.3444555939693</c:v>
                </c:pt>
                <c:pt idx="18">
                  <c:v>1475.2783888604056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37-4447-BF3E-BB29FE7DFC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-38</c:v>
                </c:pt>
                <c:pt idx="2">
                  <c:v>-18</c:v>
                </c:pt>
                <c:pt idx="3">
                  <c:v>-14.9</c:v>
                </c:pt>
                <c:pt idx="4">
                  <c:v>-51.699999999999996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4-46E1-89DD-24DAAE9C56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-6625</c:v>
                </c:pt>
                <c:pt idx="1">
                  <c:v>-1125</c:v>
                </c:pt>
                <c:pt idx="2">
                  <c:v>6750</c:v>
                </c:pt>
                <c:pt idx="3">
                  <c:v>-766.66666666666663</c:v>
                </c:pt>
                <c:pt idx="4">
                  <c:v>-4000</c:v>
                </c:pt>
                <c:pt idx="5">
                  <c:v>-7800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2D-49CE-A64A-201581F9F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89-4128-9844-66BA595D74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のり!$M$2:$M$6</c:f>
              <c:numCache>
                <c:formatCode>0</c:formatCode>
                <c:ptCount val="5"/>
                <c:pt idx="0">
                  <c:v>1348.2487416206377</c:v>
                </c:pt>
                <c:pt idx="1">
                  <c:v>1342.2952491709138</c:v>
                </c:pt>
                <c:pt idx="2">
                  <c:v>1346.5174776758884</c:v>
                </c:pt>
                <c:pt idx="3">
                  <c:v>1348.410372809833</c:v>
                </c:pt>
                <c:pt idx="4">
                  <c:v>1343.1099105729741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66-4C88-895F-40027EBF9C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りくと!$L$2:$L$14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-24.2</c:v>
                </c:pt>
                <c:pt idx="2">
                  <c:v>-6.1999999999999993</c:v>
                </c:pt>
                <c:pt idx="3">
                  <c:v>18.100000000000001</c:v>
                </c:pt>
                <c:pt idx="4">
                  <c:v>-14.699999999999996</c:v>
                </c:pt>
                <c:pt idx="5">
                  <c:v>-66.8</c:v>
                </c:pt>
                <c:pt idx="6">
                  <c:v>-118.3</c:v>
                </c:pt>
                <c:pt idx="7">
                  <c:v>-86.4</c:v>
                </c:pt>
                <c:pt idx="8">
                  <c:v>-45.7</c:v>
                </c:pt>
                <c:pt idx="9">
                  <c:v>-21.200000000000003</c:v>
                </c:pt>
                <c:pt idx="10">
                  <c:v>-6.3000000000000025</c:v>
                </c:pt>
                <c:pt idx="11">
                  <c:v>-30.5</c:v>
                </c:pt>
                <c:pt idx="12">
                  <c:v>-39.5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54-4403-89A7-8463110130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-4275</c:v>
                </c:pt>
                <c:pt idx="1">
                  <c:v>4827.272727272727</c:v>
                </c:pt>
                <c:pt idx="2">
                  <c:v>666.66666666666663</c:v>
                </c:pt>
                <c:pt idx="3">
                  <c:v>-3233.3333333333335</c:v>
                </c:pt>
                <c:pt idx="4">
                  <c:v>-1363.6363636363637</c:v>
                </c:pt>
                <c:pt idx="5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35-4BB8-B36F-BCCB3B065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7D-426C-972F-81BA41BE1C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りくと!$M$2:$M$14</c:f>
              <c:numCache>
                <c:formatCode>0</c:formatCode>
                <c:ptCount val="13"/>
                <c:pt idx="0">
                  <c:v>1392.8042574192286</c:v>
                </c:pt>
                <c:pt idx="1">
                  <c:v>1389.0734318747132</c:v>
                </c:pt>
                <c:pt idx="2">
                  <c:v>1392.8109912834648</c:v>
                </c:pt>
                <c:pt idx="3">
                  <c:v>1398.3621253357639</c:v>
                </c:pt>
                <c:pt idx="4">
                  <c:v>1393.6019525837494</c:v>
                </c:pt>
                <c:pt idx="5">
                  <c:v>1385.3603408682468</c:v>
                </c:pt>
                <c:pt idx="6">
                  <c:v>1377.2761788230373</c:v>
                </c:pt>
                <c:pt idx="7">
                  <c:v>1384.3245217500992</c:v>
                </c:pt>
                <c:pt idx="8">
                  <c:v>1392.9145746195986</c:v>
                </c:pt>
                <c:pt idx="9">
                  <c:v>1397.8590871718811</c:v>
                </c:pt>
                <c:pt idx="10">
                  <c:v>1401.5799326488498</c:v>
                </c:pt>
                <c:pt idx="11">
                  <c:v>1397.5684530529566</c:v>
                </c:pt>
                <c:pt idx="12">
                  <c:v>1396.3170423346389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FE-4FE3-A398-DB4447DB6C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2D-428A-B4D8-99BC09AA31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-3650</c:v>
                </c:pt>
                <c:pt idx="1">
                  <c:v>-850</c:v>
                </c:pt>
                <c:pt idx="2">
                  <c:v>-4150</c:v>
                </c:pt>
                <c:pt idx="3">
                  <c:v>2900</c:v>
                </c:pt>
                <c:pt idx="4">
                  <c:v>1850</c:v>
                </c:pt>
                <c:pt idx="5">
                  <c:v>2150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F3-4FE7-9470-F8DD5D3C8E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47-4EBD-81EB-738DD5C6A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わさび!$M$2:$M$4</c:f>
              <c:numCache>
                <c:formatCode>0</c:formatCode>
                <c:ptCount val="3"/>
                <c:pt idx="0">
                  <c:v>1500</c:v>
                </c:pt>
                <c:pt idx="1">
                  <c:v>1500.702</c:v>
                </c:pt>
                <c:pt idx="2">
                  <c:v>1497.379788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07-4C73-84D0-4B33CF3E19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りくと2!$B$1:$B$2</c:f>
              <c:strCache>
                <c:ptCount val="2"/>
                <c:pt idx="0">
                  <c:v>りくと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りくと2!$B$3:$B$15</c:f>
              <c:numCache>
                <c:formatCode>\+0.0;\-0.0;\±0</c:formatCode>
                <c:ptCount val="13"/>
                <c:pt idx="0">
                  <c:v>0</c:v>
                </c:pt>
                <c:pt idx="1">
                  <c:v>-24.2</c:v>
                </c:pt>
                <c:pt idx="2">
                  <c:v>-6.1999999999999993</c:v>
                </c:pt>
                <c:pt idx="3">
                  <c:v>18.100000000000001</c:v>
                </c:pt>
                <c:pt idx="4">
                  <c:v>-14.699999999999996</c:v>
                </c:pt>
                <c:pt idx="5">
                  <c:v>-66.8</c:v>
                </c:pt>
                <c:pt idx="6">
                  <c:v>-118.3</c:v>
                </c:pt>
                <c:pt idx="7">
                  <c:v>-86.4</c:v>
                </c:pt>
                <c:pt idx="8">
                  <c:v>-45.7</c:v>
                </c:pt>
                <c:pt idx="9">
                  <c:v>-21.200000000000003</c:v>
                </c:pt>
                <c:pt idx="10">
                  <c:v>-6.3000000000000025</c:v>
                </c:pt>
                <c:pt idx="11">
                  <c:v>-30.5</c:v>
                </c:pt>
                <c:pt idx="12">
                  <c:v>-39.5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.8421709430404007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りくと2!$C$1:$C$2</c:f>
              <c:strCache>
                <c:ptCount val="2"/>
                <c:pt idx="0">
                  <c:v>りくと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りくと2!$C$3:$C$15</c:f>
              <c:numCache>
                <c:formatCode>\+0.0;\-0.0;\±0</c:formatCode>
                <c:ptCount val="13"/>
                <c:pt idx="1">
                  <c:v>-24.2</c:v>
                </c:pt>
                <c:pt idx="2">
                  <c:v>-3.0999999999999996</c:v>
                </c:pt>
                <c:pt idx="3">
                  <c:v>6.0333333333333341</c:v>
                </c:pt>
                <c:pt idx="4">
                  <c:v>-3.6749999999999989</c:v>
                </c:pt>
                <c:pt idx="5">
                  <c:v>-13.36</c:v>
                </c:pt>
                <c:pt idx="6">
                  <c:v>-19.716666666666665</c:v>
                </c:pt>
                <c:pt idx="7">
                  <c:v>-12.342857142857143</c:v>
                </c:pt>
                <c:pt idx="8">
                  <c:v>-5.7125000000000004</c:v>
                </c:pt>
                <c:pt idx="9">
                  <c:v>-2.3555555555555561</c:v>
                </c:pt>
                <c:pt idx="10">
                  <c:v>-0.63000000000000023</c:v>
                </c:pt>
                <c:pt idx="11">
                  <c:v>-2.7727272727272729</c:v>
                </c:pt>
                <c:pt idx="12">
                  <c:v>-3.2916666666666665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5695991348161637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りくと2!$D$1:$D$2</c:f>
              <c:strCache>
                <c:ptCount val="2"/>
                <c:pt idx="0">
                  <c:v>りくと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りくと2!$D$3:$D$15</c:f>
              <c:numCache>
                <c:formatCode>0.00\ "位"</c:formatCode>
                <c:ptCount val="13"/>
                <c:pt idx="1">
                  <c:v>3</c:v>
                </c:pt>
                <c:pt idx="2">
                  <c:v>2</c:v>
                </c:pt>
                <c:pt idx="3">
                  <c:v>1.6666666666666667</c:v>
                </c:pt>
                <c:pt idx="4">
                  <c:v>2</c:v>
                </c:pt>
                <c:pt idx="5">
                  <c:v>2.2000000000000002</c:v>
                </c:pt>
                <c:pt idx="6">
                  <c:v>2.3333333333333335</c:v>
                </c:pt>
                <c:pt idx="7">
                  <c:v>2.1428571428571428</c:v>
                </c:pt>
                <c:pt idx="8">
                  <c:v>2</c:v>
                </c:pt>
                <c:pt idx="9">
                  <c:v>1.8888888888888888</c:v>
                </c:pt>
                <c:pt idx="10">
                  <c:v>1.8</c:v>
                </c:pt>
                <c:pt idx="11">
                  <c:v>1.9090909090909092</c:v>
                </c:pt>
                <c:pt idx="12">
                  <c:v>1.9166666666666667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9966329966329965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りくと2!$E$1:$E$2</c:f>
              <c:strCache>
                <c:ptCount val="2"/>
                <c:pt idx="0">
                  <c:v>りくと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りくと2!$E$3:$E$15</c:f>
              <c:numCache>
                <c:formatCode>0.0%</c:formatCode>
                <c:ptCount val="13"/>
                <c:pt idx="1">
                  <c:v>0</c:v>
                </c:pt>
                <c:pt idx="2">
                  <c:v>0.5</c:v>
                </c:pt>
                <c:pt idx="3">
                  <c:v>0.66666666666666663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0.5</c:v>
                </c:pt>
                <c:pt idx="9">
                  <c:v>0.55555555555555558</c:v>
                </c:pt>
                <c:pt idx="10">
                  <c:v>0.6</c:v>
                </c:pt>
                <c:pt idx="11">
                  <c:v>0.54545454545454541</c:v>
                </c:pt>
                <c:pt idx="1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67003367003367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りくと2!$F$1:$F$2</c:f>
              <c:strCache>
                <c:ptCount val="2"/>
                <c:pt idx="0">
                  <c:v>りくと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りくと2!$F$3:$F$15</c:f>
              <c:numCache>
                <c:formatCode>0.0%</c:formatCode>
                <c:ptCount val="13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0.6</c:v>
                </c:pt>
                <c:pt idx="6">
                  <c:v>0.66666666666666663</c:v>
                </c:pt>
                <c:pt idx="7">
                  <c:v>0.5714285714285714</c:v>
                </c:pt>
                <c:pt idx="8">
                  <c:v>0.5</c:v>
                </c:pt>
                <c:pt idx="9">
                  <c:v>0.44444444444444442</c:v>
                </c:pt>
                <c:pt idx="10">
                  <c:v>0.4</c:v>
                </c:pt>
                <c:pt idx="11">
                  <c:v>0.45454545454545453</c:v>
                </c:pt>
                <c:pt idx="12">
                  <c:v>0.41666666666666669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りくと2!$G$1:$G$2</c:f>
              <c:strCache>
                <c:ptCount val="2"/>
                <c:pt idx="0">
                  <c:v>りくと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りくと2!$G$3:$G$15</c:f>
              <c:numCache>
                <c:formatCode>0.0%</c:formatCode>
                <c:ptCount val="13"/>
                <c:pt idx="1">
                  <c:v>0.2</c:v>
                </c:pt>
                <c:pt idx="2">
                  <c:v>0.27777777777777779</c:v>
                </c:pt>
                <c:pt idx="3">
                  <c:v>0.29166666666666669</c:v>
                </c:pt>
                <c:pt idx="4">
                  <c:v>0.25</c:v>
                </c:pt>
                <c:pt idx="5">
                  <c:v>0.25</c:v>
                </c:pt>
                <c:pt idx="6">
                  <c:v>0.22448979591836735</c:v>
                </c:pt>
                <c:pt idx="7">
                  <c:v>0.26315789473684209</c:v>
                </c:pt>
                <c:pt idx="8">
                  <c:v>0.29230769230769232</c:v>
                </c:pt>
                <c:pt idx="9">
                  <c:v>0.29729729729729731</c:v>
                </c:pt>
                <c:pt idx="10">
                  <c:v>0.29268292682926828</c:v>
                </c:pt>
                <c:pt idx="11">
                  <c:v>0.27777777777777779</c:v>
                </c:pt>
                <c:pt idx="12">
                  <c:v>0.28155339805825241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6163069544364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りくと2!$H$1:$H$2</c:f>
              <c:strCache>
                <c:ptCount val="2"/>
                <c:pt idx="0">
                  <c:v>りくと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りくと2!$H$3:$H$15</c:f>
              <c:numCache>
                <c:formatCode>0.0%</c:formatCode>
                <c:ptCount val="13"/>
                <c:pt idx="1">
                  <c:v>0.1</c:v>
                </c:pt>
                <c:pt idx="2">
                  <c:v>0.16666666666666666</c:v>
                </c:pt>
                <c:pt idx="3">
                  <c:v>0.20833333333333334</c:v>
                </c:pt>
                <c:pt idx="4">
                  <c:v>0.1388888888888889</c:v>
                </c:pt>
                <c:pt idx="5">
                  <c:v>0.15</c:v>
                </c:pt>
                <c:pt idx="6">
                  <c:v>0.18367346938775511</c:v>
                </c:pt>
                <c:pt idx="7">
                  <c:v>0.17543859649122806</c:v>
                </c:pt>
                <c:pt idx="8">
                  <c:v>0.16923076923076924</c:v>
                </c:pt>
                <c:pt idx="9">
                  <c:v>0.14864864864864866</c:v>
                </c:pt>
                <c:pt idx="10">
                  <c:v>0.14634146341463414</c:v>
                </c:pt>
                <c:pt idx="11">
                  <c:v>0.15555555555555556</c:v>
                </c:pt>
                <c:pt idx="12">
                  <c:v>0.1650485436893204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5067945643485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りくと2!$I$1:$I$2</c:f>
              <c:strCache>
                <c:ptCount val="2"/>
                <c:pt idx="0">
                  <c:v>りくと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りくと2!$I$3:$I$15</c:f>
              <c:numCache>
                <c:formatCode>0</c:formatCode>
                <c:ptCount val="13"/>
                <c:pt idx="1">
                  <c:v>4400</c:v>
                </c:pt>
                <c:pt idx="2">
                  <c:v>7460</c:v>
                </c:pt>
                <c:pt idx="3">
                  <c:v>9314.2857142857138</c:v>
                </c:pt>
                <c:pt idx="4">
                  <c:v>9022.2222222222226</c:v>
                </c:pt>
                <c:pt idx="5">
                  <c:v>8330</c:v>
                </c:pt>
                <c:pt idx="6">
                  <c:v>8272.7272727272721</c:v>
                </c:pt>
                <c:pt idx="7">
                  <c:v>7946.666666666667</c:v>
                </c:pt>
                <c:pt idx="8">
                  <c:v>8526.3157894736851</c:v>
                </c:pt>
                <c:pt idx="9">
                  <c:v>8727.2727272727279</c:v>
                </c:pt>
                <c:pt idx="10">
                  <c:v>8720.8333333333339</c:v>
                </c:pt>
                <c:pt idx="11">
                  <c:v>8680</c:v>
                </c:pt>
                <c:pt idx="12">
                  <c:v>8606.8965517241377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7983.670715249662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りくと2!$J$1:$J$2</c:f>
              <c:strCache>
                <c:ptCount val="2"/>
                <c:pt idx="0">
                  <c:v>りくと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りくと2!$J$3:$J$15</c:f>
              <c:numCache>
                <c:formatCode>0</c:formatCode>
                <c:ptCount val="13"/>
                <c:pt idx="1">
                  <c:v>-1300</c:v>
                </c:pt>
                <c:pt idx="2">
                  <c:v>-5766.666666666667</c:v>
                </c:pt>
                <c:pt idx="3">
                  <c:v>-6380</c:v>
                </c:pt>
                <c:pt idx="4">
                  <c:v>-6380</c:v>
                </c:pt>
                <c:pt idx="5">
                  <c:v>-5966.666666666667</c:v>
                </c:pt>
                <c:pt idx="6">
                  <c:v>-7666.666666666667</c:v>
                </c:pt>
                <c:pt idx="7">
                  <c:v>-7480</c:v>
                </c:pt>
                <c:pt idx="8">
                  <c:v>-7154.545454545455</c:v>
                </c:pt>
                <c:pt idx="9">
                  <c:v>-7154.545454545455</c:v>
                </c:pt>
                <c:pt idx="10">
                  <c:v>-7225</c:v>
                </c:pt>
                <c:pt idx="11">
                  <c:v>-7114.2857142857147</c:v>
                </c:pt>
                <c:pt idx="12">
                  <c:v>-7629.411764705882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421.791767554479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りくと2!$K$1:$K$2</c:f>
              <c:strCache>
                <c:ptCount val="2"/>
                <c:pt idx="0">
                  <c:v>りくと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りくと2!$K$3:$K$15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7.7441077441077436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りくと2!$L$1:$L$2</c:f>
              <c:strCache>
                <c:ptCount val="2"/>
                <c:pt idx="0">
                  <c:v>りくと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りくと2!$L$3:$L$15</c:f>
              <c:numCache>
                <c:formatCode>0.0%</c:formatCode>
                <c:ptCount val="13"/>
                <c:pt idx="1">
                  <c:v>0.1</c:v>
                </c:pt>
                <c:pt idx="2">
                  <c:v>0.22222222222222221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0.20408163265306123</c:v>
                </c:pt>
                <c:pt idx="7">
                  <c:v>0.21052631578947367</c:v>
                </c:pt>
                <c:pt idx="8">
                  <c:v>0.2</c:v>
                </c:pt>
                <c:pt idx="9">
                  <c:v>0.21621621621621623</c:v>
                </c:pt>
                <c:pt idx="10">
                  <c:v>0.23170731707317074</c:v>
                </c:pt>
                <c:pt idx="11">
                  <c:v>0.22222222222222221</c:v>
                </c:pt>
                <c:pt idx="12">
                  <c:v>0.22330097087378642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58113509192645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りくと2!$M$1:$M$2</c:f>
              <c:strCache>
                <c:ptCount val="2"/>
                <c:pt idx="0">
                  <c:v>りくと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りくと2!$M$3:$M$15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8.3333333333333329E-2</c:v>
                </c:pt>
                <c:pt idx="4">
                  <c:v>5.5555555555555552E-2</c:v>
                </c:pt>
                <c:pt idx="5">
                  <c:v>0.05</c:v>
                </c:pt>
                <c:pt idx="6">
                  <c:v>6.1224489795918366E-2</c:v>
                </c:pt>
                <c:pt idx="7">
                  <c:v>0.10526315789473684</c:v>
                </c:pt>
                <c:pt idx="8">
                  <c:v>0.13846153846153847</c:v>
                </c:pt>
                <c:pt idx="9">
                  <c:v>0.12162162162162163</c:v>
                </c:pt>
                <c:pt idx="10">
                  <c:v>0.12195121951219512</c:v>
                </c:pt>
                <c:pt idx="11">
                  <c:v>0.13333333333333333</c:v>
                </c:pt>
                <c:pt idx="12">
                  <c:v>0.13592233009708737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14148681055155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りくと2!$N$1:$N$2</c:f>
              <c:strCache>
                <c:ptCount val="2"/>
                <c:pt idx="0">
                  <c:v>りくと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りくと2!$N$3:$N$15</c:f>
              <c:numCache>
                <c:formatCode>0.0%</c:formatCode>
                <c:ptCount val="13"/>
                <c:pt idx="1">
                  <c:v>1</c:v>
                </c:pt>
                <c:pt idx="2">
                  <c:v>1</c:v>
                </c:pt>
                <c:pt idx="3">
                  <c:v>0.83333333333333337</c:v>
                </c:pt>
                <c:pt idx="4">
                  <c:v>0.77777777777777779</c:v>
                </c:pt>
                <c:pt idx="5">
                  <c:v>0.7</c:v>
                </c:pt>
                <c:pt idx="6">
                  <c:v>0.7</c:v>
                </c:pt>
                <c:pt idx="7">
                  <c:v>0.75</c:v>
                </c:pt>
                <c:pt idx="8">
                  <c:v>0.76923076923076927</c:v>
                </c:pt>
                <c:pt idx="9">
                  <c:v>0.6875</c:v>
                </c:pt>
                <c:pt idx="10">
                  <c:v>0.68421052631578949</c:v>
                </c:pt>
                <c:pt idx="11">
                  <c:v>0.7</c:v>
                </c:pt>
                <c:pt idx="12">
                  <c:v>0.69565217391304346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220338983050847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りくと2!$O$1:$O$2</c:f>
              <c:strCache>
                <c:ptCount val="2"/>
                <c:pt idx="0">
                  <c:v>りくと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りくと2!$O$3:$O$15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0.66666666666666663</c:v>
                </c:pt>
                <c:pt idx="7">
                  <c:v>0.33333333333333331</c:v>
                </c:pt>
                <c:pt idx="8">
                  <c:v>0.44444444444444442</c:v>
                </c:pt>
                <c:pt idx="9">
                  <c:v>0.44444444444444442</c:v>
                </c:pt>
                <c:pt idx="10">
                  <c:v>0.4</c:v>
                </c:pt>
                <c:pt idx="11">
                  <c:v>0.33333333333333331</c:v>
                </c:pt>
                <c:pt idx="12">
                  <c:v>0.35714285714285715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79620034542314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りくと2!$P$1:$P$2</c:f>
              <c:strCache>
                <c:ptCount val="2"/>
                <c:pt idx="0">
                  <c:v>りくと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りくと2!$P$3:$P$15</c:f>
              <c:numCache>
                <c:formatCode>0.0%</c:formatCode>
                <c:ptCount val="13"/>
                <c:pt idx="1">
                  <c:v>1</c:v>
                </c:pt>
                <c:pt idx="2">
                  <c:v>0.8</c:v>
                </c:pt>
                <c:pt idx="3">
                  <c:v>0.7142857142857143</c:v>
                </c:pt>
                <c:pt idx="4">
                  <c:v>0.77777777777777779</c:v>
                </c:pt>
                <c:pt idx="5">
                  <c:v>0.8</c:v>
                </c:pt>
                <c:pt idx="6">
                  <c:v>0.72727272727272729</c:v>
                </c:pt>
                <c:pt idx="7">
                  <c:v>0.6</c:v>
                </c:pt>
                <c:pt idx="8">
                  <c:v>0.47368421052631576</c:v>
                </c:pt>
                <c:pt idx="9">
                  <c:v>0.54545454545454541</c:v>
                </c:pt>
                <c:pt idx="10">
                  <c:v>0.54166666666666663</c:v>
                </c:pt>
                <c:pt idx="11">
                  <c:v>0.52</c:v>
                </c:pt>
                <c:pt idx="12">
                  <c:v>0.55172413793103448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5897435897435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2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I36"/>
  <sheetViews>
    <sheetView workbookViewId="0"/>
  </sheetViews>
  <sheetFormatPr defaultColWidth="9" defaultRowHeight="18.75" x14ac:dyDescent="0.4"/>
  <cols>
    <col min="1" max="1" width="19.125" style="2" customWidth="1"/>
    <col min="2" max="2" width="19.125" style="3" customWidth="1"/>
    <col min="3" max="16384" width="9" style="2"/>
  </cols>
  <sheetData>
    <row r="1" spans="1:6" x14ac:dyDescent="0.4">
      <c r="A1" s="1">
        <v>32874</v>
      </c>
      <c r="B1" s="1">
        <v>2958465</v>
      </c>
    </row>
    <row r="2" spans="1:6" x14ac:dyDescent="0.4">
      <c r="A2" s="2" t="s">
        <v>212</v>
      </c>
      <c r="B2" s="3">
        <v>44118.006006944444</v>
      </c>
      <c r="C2" s="2" t="s">
        <v>127</v>
      </c>
      <c r="D2" s="2" t="s">
        <v>188</v>
      </c>
    </row>
    <row r="3" spans="1:6" x14ac:dyDescent="0.4">
      <c r="A3" s="2" t="s">
        <v>213</v>
      </c>
      <c r="B3" s="3">
        <v>44118.006006944444</v>
      </c>
      <c r="C3" s="2" t="s">
        <v>127</v>
      </c>
      <c r="D3" s="2" t="s">
        <v>188</v>
      </c>
      <c r="E3" s="2" t="s">
        <v>191</v>
      </c>
    </row>
    <row r="4" spans="1:6" x14ac:dyDescent="0.4">
      <c r="A4" s="2" t="s">
        <v>214</v>
      </c>
      <c r="B4" s="3">
        <v>44118.006006944444</v>
      </c>
      <c r="C4" s="2" t="s">
        <v>127</v>
      </c>
      <c r="D4" s="2" t="s">
        <v>188</v>
      </c>
    </row>
    <row r="5" spans="1:6" x14ac:dyDescent="0.4">
      <c r="A5" s="2" t="s">
        <v>215</v>
      </c>
      <c r="B5" s="3">
        <v>44118.006006944444</v>
      </c>
      <c r="C5" s="2" t="s">
        <v>127</v>
      </c>
      <c r="D5" s="2" t="s">
        <v>188</v>
      </c>
      <c r="E5" s="2" t="s">
        <v>191</v>
      </c>
      <c r="F5" s="2" t="s">
        <v>194</v>
      </c>
    </row>
    <row r="6" spans="1:6" x14ac:dyDescent="0.4">
      <c r="A6" s="2" t="s">
        <v>217</v>
      </c>
      <c r="B6" s="3">
        <v>44118.006006944444</v>
      </c>
      <c r="C6" s="2" t="s">
        <v>127</v>
      </c>
      <c r="D6" s="2" t="s">
        <v>188</v>
      </c>
      <c r="E6" s="2" t="s">
        <v>191</v>
      </c>
      <c r="F6" s="2" t="s">
        <v>194</v>
      </c>
    </row>
    <row r="7" spans="1:6" x14ac:dyDescent="0.4">
      <c r="A7" s="2" t="s">
        <v>218</v>
      </c>
      <c r="B7" s="3">
        <v>44118.006006944444</v>
      </c>
      <c r="C7" s="2" t="s">
        <v>127</v>
      </c>
    </row>
    <row r="8" spans="1:6" x14ac:dyDescent="0.4">
      <c r="A8" s="2" t="s">
        <v>219</v>
      </c>
      <c r="B8" s="3">
        <v>44118.006006944444</v>
      </c>
      <c r="C8" s="2" t="s">
        <v>127</v>
      </c>
    </row>
    <row r="9" spans="1:6" x14ac:dyDescent="0.4">
      <c r="A9" s="2" t="s">
        <v>220</v>
      </c>
      <c r="B9" s="3">
        <v>44118.006006944444</v>
      </c>
      <c r="C9" s="2" t="s">
        <v>127</v>
      </c>
      <c r="D9" s="2" t="s">
        <v>188</v>
      </c>
    </row>
    <row r="10" spans="1:6" x14ac:dyDescent="0.4">
      <c r="A10" s="2" t="s">
        <v>222</v>
      </c>
      <c r="B10" s="3">
        <v>44118.006006944444</v>
      </c>
      <c r="C10" s="2" t="s">
        <v>127</v>
      </c>
    </row>
    <row r="11" spans="1:6" x14ac:dyDescent="0.4">
      <c r="A11" s="2" t="s">
        <v>223</v>
      </c>
      <c r="B11" s="3">
        <v>44118.006006944444</v>
      </c>
      <c r="C11" s="2" t="s">
        <v>127</v>
      </c>
      <c r="D11" s="2" t="s">
        <v>188</v>
      </c>
      <c r="E11" s="2" t="s">
        <v>191</v>
      </c>
    </row>
    <row r="12" spans="1:6" x14ac:dyDescent="0.4">
      <c r="A12" s="2" t="s">
        <v>224</v>
      </c>
      <c r="B12" s="3">
        <v>44118.006006944444</v>
      </c>
      <c r="C12" s="2" t="s">
        <v>127</v>
      </c>
      <c r="D12" s="2" t="s">
        <v>188</v>
      </c>
    </row>
    <row r="13" spans="1:6" x14ac:dyDescent="0.4">
      <c r="A13" s="2" t="s">
        <v>226</v>
      </c>
      <c r="B13" s="3">
        <v>44116.720555555556</v>
      </c>
      <c r="C13" s="2" t="s">
        <v>127</v>
      </c>
      <c r="D13" s="2" t="s">
        <v>188</v>
      </c>
      <c r="E13" s="2" t="s">
        <v>191</v>
      </c>
      <c r="F13" s="2" t="s">
        <v>194</v>
      </c>
    </row>
    <row r="14" spans="1:6" x14ac:dyDescent="0.4">
      <c r="A14" s="2" t="s">
        <v>227</v>
      </c>
      <c r="B14" s="3">
        <v>44118.945081018515</v>
      </c>
      <c r="C14" s="2" t="s">
        <v>127</v>
      </c>
      <c r="D14" s="2" t="s">
        <v>188</v>
      </c>
      <c r="E14" s="2" t="s">
        <v>191</v>
      </c>
    </row>
    <row r="15" spans="1:6" x14ac:dyDescent="0.4">
      <c r="A15" s="2" t="s">
        <v>228</v>
      </c>
      <c r="B15" s="3">
        <v>44119.742905092593</v>
      </c>
      <c r="C15" s="2" t="s">
        <v>127</v>
      </c>
      <c r="D15" s="2" t="s">
        <v>188</v>
      </c>
      <c r="E15" s="2" t="s">
        <v>191</v>
      </c>
    </row>
    <row r="16" spans="1:6" x14ac:dyDescent="0.4">
      <c r="A16" s="2" t="s">
        <v>229</v>
      </c>
      <c r="B16" s="3">
        <v>44121.651458333334</v>
      </c>
      <c r="C16" s="2" t="s">
        <v>127</v>
      </c>
      <c r="D16" s="2" t="s">
        <v>188</v>
      </c>
      <c r="E16" s="2" t="s">
        <v>191</v>
      </c>
    </row>
    <row r="17" spans="1:9" x14ac:dyDescent="0.4">
      <c r="A17" s="2" t="s">
        <v>230</v>
      </c>
      <c r="B17" s="3">
        <v>44123.99422453704</v>
      </c>
      <c r="C17" s="2" t="s">
        <v>127</v>
      </c>
      <c r="D17" s="2" t="s">
        <v>188</v>
      </c>
      <c r="E17" s="2" t="s">
        <v>191</v>
      </c>
    </row>
    <row r="18" spans="1:9" x14ac:dyDescent="0.4">
      <c r="A18" s="2" t="s">
        <v>231</v>
      </c>
      <c r="B18" s="3">
        <v>44125.710949074077</v>
      </c>
      <c r="C18" s="2" t="s">
        <v>127</v>
      </c>
      <c r="D18" s="2" t="s">
        <v>188</v>
      </c>
      <c r="E18" s="2" t="s">
        <v>191</v>
      </c>
      <c r="F18" s="2" t="s">
        <v>194</v>
      </c>
    </row>
    <row r="19" spans="1:9" x14ac:dyDescent="0.4">
      <c r="A19" s="2" t="s">
        <v>232</v>
      </c>
      <c r="B19" s="3">
        <v>44126.860625000001</v>
      </c>
      <c r="C19" s="2" t="s">
        <v>127</v>
      </c>
      <c r="D19" s="2" t="s">
        <v>188</v>
      </c>
    </row>
    <row r="20" spans="1:9" x14ac:dyDescent="0.4">
      <c r="A20" s="2" t="s">
        <v>233</v>
      </c>
      <c r="B20" s="3">
        <v>44127.875057870369</v>
      </c>
      <c r="C20" s="2" t="s">
        <v>127</v>
      </c>
      <c r="D20" s="2" t="s">
        <v>188</v>
      </c>
    </row>
    <row r="21" spans="1:9" x14ac:dyDescent="0.4">
      <c r="A21" s="2" t="s">
        <v>234</v>
      </c>
      <c r="B21" s="3">
        <v>44129.719571759262</v>
      </c>
      <c r="C21" s="2" t="s">
        <v>127</v>
      </c>
      <c r="D21" s="2" t="s">
        <v>188</v>
      </c>
    </row>
    <row r="22" spans="1:9" x14ac:dyDescent="0.4">
      <c r="A22" s="2" t="s">
        <v>235</v>
      </c>
      <c r="B22" s="3">
        <v>44130.766145833331</v>
      </c>
      <c r="C22" s="2" t="s">
        <v>127</v>
      </c>
      <c r="D22" s="2" t="s">
        <v>188</v>
      </c>
      <c r="E22" s="2" t="s">
        <v>191</v>
      </c>
      <c r="F22" s="2" t="s">
        <v>194</v>
      </c>
    </row>
    <row r="23" spans="1:9" x14ac:dyDescent="0.4">
      <c r="A23" s="2" t="s">
        <v>236</v>
      </c>
      <c r="B23" s="3">
        <v>44131.760706018518</v>
      </c>
      <c r="C23" s="2" t="s">
        <v>127</v>
      </c>
      <c r="D23" s="2" t="s">
        <v>188</v>
      </c>
    </row>
    <row r="24" spans="1:9" x14ac:dyDescent="0.4">
      <c r="A24" s="2" t="s">
        <v>237</v>
      </c>
      <c r="B24" s="3">
        <v>44132.743032407408</v>
      </c>
      <c r="C24" s="2" t="s">
        <v>127</v>
      </c>
      <c r="D24" s="2" t="s">
        <v>188</v>
      </c>
      <c r="E24" s="2" t="s">
        <v>191</v>
      </c>
    </row>
    <row r="25" spans="1:9" x14ac:dyDescent="0.4">
      <c r="A25" s="2" t="s">
        <v>238</v>
      </c>
      <c r="B25" s="3">
        <v>44133.763518518521</v>
      </c>
      <c r="C25" s="2" t="s">
        <v>127</v>
      </c>
      <c r="D25" s="2" t="s">
        <v>188</v>
      </c>
    </row>
    <row r="26" spans="1:9" x14ac:dyDescent="0.4">
      <c r="A26" s="2" t="s">
        <v>239</v>
      </c>
      <c r="B26" s="3">
        <v>44144.827731481484</v>
      </c>
      <c r="C26" s="2" t="s">
        <v>127</v>
      </c>
      <c r="D26" s="2" t="s">
        <v>188</v>
      </c>
      <c r="E26" s="2" t="s">
        <v>191</v>
      </c>
      <c r="F26" s="2" t="s">
        <v>194</v>
      </c>
      <c r="G26" s="2" t="s">
        <v>240</v>
      </c>
    </row>
    <row r="27" spans="1:9" x14ac:dyDescent="0.4">
      <c r="A27" s="2" t="s">
        <v>241</v>
      </c>
      <c r="B27" s="3">
        <v>44145.876342592594</v>
      </c>
      <c r="C27" s="2" t="s">
        <v>127</v>
      </c>
      <c r="D27" s="2" t="s">
        <v>188</v>
      </c>
      <c r="E27" s="2" t="s">
        <v>191</v>
      </c>
      <c r="F27" s="2" t="s">
        <v>194</v>
      </c>
    </row>
    <row r="28" spans="1:9" x14ac:dyDescent="0.4">
      <c r="A28" s="2" t="s">
        <v>242</v>
      </c>
      <c r="B28" s="3">
        <v>44146.71334490741</v>
      </c>
      <c r="C28" s="2" t="s">
        <v>127</v>
      </c>
      <c r="D28" s="2" t="s">
        <v>188</v>
      </c>
      <c r="E28" s="2" t="s">
        <v>191</v>
      </c>
    </row>
    <row r="29" spans="1:9" x14ac:dyDescent="0.4">
      <c r="A29" s="2" t="s">
        <v>243</v>
      </c>
      <c r="B29" s="3">
        <v>44147.875798611109</v>
      </c>
      <c r="C29" s="2" t="s">
        <v>127</v>
      </c>
      <c r="D29" s="2" t="s">
        <v>188</v>
      </c>
    </row>
    <row r="30" spans="1:9" x14ac:dyDescent="0.4">
      <c r="A30" s="2" t="s">
        <v>244</v>
      </c>
      <c r="B30" s="3">
        <v>44150.099849537037</v>
      </c>
      <c r="C30" s="2" t="s">
        <v>127</v>
      </c>
      <c r="D30" s="2" t="s">
        <v>188</v>
      </c>
      <c r="E30" s="2" t="s">
        <v>191</v>
      </c>
      <c r="F30" s="2" t="s">
        <v>194</v>
      </c>
      <c r="G30" s="2" t="s">
        <v>240</v>
      </c>
      <c r="H30" s="2" t="s">
        <v>246</v>
      </c>
      <c r="I30" s="2" t="s">
        <v>245</v>
      </c>
    </row>
    <row r="31" spans="1:9" x14ac:dyDescent="0.4">
      <c r="A31" s="2" t="s">
        <v>247</v>
      </c>
      <c r="B31" s="3">
        <v>44150.72215277778</v>
      </c>
      <c r="C31" s="2" t="s">
        <v>127</v>
      </c>
      <c r="D31" s="2" t="s">
        <v>188</v>
      </c>
    </row>
    <row r="32" spans="1:9" x14ac:dyDescent="0.4">
      <c r="A32" s="2" t="s">
        <v>248</v>
      </c>
      <c r="B32" s="3">
        <v>44152.771898148145</v>
      </c>
      <c r="C32" s="2" t="s">
        <v>127</v>
      </c>
      <c r="D32" s="2" t="s">
        <v>188</v>
      </c>
    </row>
    <row r="33" spans="1:7" x14ac:dyDescent="0.4">
      <c r="A33" s="2" t="s">
        <v>249</v>
      </c>
      <c r="B33" s="3">
        <v>44153.792916666665</v>
      </c>
      <c r="C33" s="2" t="s">
        <v>127</v>
      </c>
      <c r="D33" s="2" t="s">
        <v>188</v>
      </c>
      <c r="E33" s="2" t="s">
        <v>191</v>
      </c>
      <c r="F33" s="2" t="s">
        <v>194</v>
      </c>
      <c r="G33" s="2" t="s">
        <v>240</v>
      </c>
    </row>
    <row r="34" spans="1:7" x14ac:dyDescent="0.4">
      <c r="A34" s="2" t="s">
        <v>250</v>
      </c>
      <c r="B34" s="3">
        <v>44155.643067129633</v>
      </c>
      <c r="C34" s="2" t="s">
        <v>127</v>
      </c>
      <c r="D34" s="2" t="s">
        <v>188</v>
      </c>
      <c r="E34" s="2" t="s">
        <v>191</v>
      </c>
    </row>
    <row r="35" spans="1:7" x14ac:dyDescent="0.4">
      <c r="A35" s="2" t="s">
        <v>251</v>
      </c>
      <c r="B35" s="3">
        <v>44155.656064814815</v>
      </c>
      <c r="C35" s="2" t="s">
        <v>127</v>
      </c>
      <c r="D35" s="2" t="s">
        <v>188</v>
      </c>
    </row>
    <row r="36" spans="1:7" x14ac:dyDescent="0.4">
      <c r="A36" s="2" t="s">
        <v>252</v>
      </c>
      <c r="B36" s="3">
        <v>44156.833032407405</v>
      </c>
      <c r="C36" s="2" t="s">
        <v>127</v>
      </c>
      <c r="D36" s="2" t="s">
        <v>188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6" x14ac:dyDescent="0.4">
      <c r="A1" s="34"/>
      <c r="B1" s="34"/>
      <c r="C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6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6" x14ac:dyDescent="0.4">
      <c r="A3" s="33">
        <v>0</v>
      </c>
      <c r="B3" s="30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H24"/>
  <sheetViews>
    <sheetView workbookViewId="0"/>
  </sheetViews>
  <sheetFormatPr defaultRowHeight="18.75" x14ac:dyDescent="0.4"/>
  <cols>
    <col min="1" max="1" width="11" customWidth="1"/>
    <col min="2" max="2" width="9" style="120" customWidth="1"/>
    <col min="3" max="3" width="9" style="120"/>
  </cols>
  <sheetData>
    <row r="1" spans="1:3" x14ac:dyDescent="0.4">
      <c r="A1" t="s">
        <v>225</v>
      </c>
    </row>
    <row r="2" spans="1:3" x14ac:dyDescent="0.4">
      <c r="A2" t="s">
        <v>126</v>
      </c>
      <c r="B2" s="120">
        <v>80</v>
      </c>
      <c r="C2" s="120">
        <v>1842.3339395535957</v>
      </c>
    </row>
    <row r="3" spans="1:3" x14ac:dyDescent="0.4">
      <c r="A3" t="s">
        <v>163</v>
      </c>
      <c r="B3" s="120">
        <v>41</v>
      </c>
      <c r="C3" s="120">
        <v>1653.1699313523677</v>
      </c>
    </row>
    <row r="4" spans="1:3" x14ac:dyDescent="0.4">
      <c r="A4" t="s">
        <v>139</v>
      </c>
      <c r="B4" s="120">
        <v>297</v>
      </c>
      <c r="C4" s="120">
        <v>1594.5463045050694</v>
      </c>
    </row>
    <row r="5" spans="1:3" x14ac:dyDescent="0.4">
      <c r="A5" t="s">
        <v>190</v>
      </c>
      <c r="B5" s="120">
        <v>23</v>
      </c>
      <c r="C5" s="120">
        <v>1524.3778689305989</v>
      </c>
    </row>
    <row r="6" spans="1:3" x14ac:dyDescent="0.4">
      <c r="A6" t="s">
        <v>192</v>
      </c>
      <c r="B6" s="120">
        <v>41</v>
      </c>
      <c r="C6" s="120">
        <v>1517.1288342047803</v>
      </c>
    </row>
    <row r="7" spans="1:3" x14ac:dyDescent="0.4">
      <c r="A7" t="s">
        <v>211</v>
      </c>
      <c r="B7" s="120">
        <v>37</v>
      </c>
      <c r="C7" s="120">
        <v>1488.8318648771276</v>
      </c>
    </row>
    <row r="8" spans="1:3" x14ac:dyDescent="0.4">
      <c r="A8" t="s">
        <v>210</v>
      </c>
      <c r="C8" s="120">
        <v>1483.0119085897741</v>
      </c>
    </row>
    <row r="9" spans="1:3" x14ac:dyDescent="0.4">
      <c r="A9" t="s">
        <v>198</v>
      </c>
      <c r="C9" s="120">
        <v>1463.4239467393418</v>
      </c>
    </row>
    <row r="10" spans="1:3" x14ac:dyDescent="0.4">
      <c r="A10" t="s">
        <v>189</v>
      </c>
      <c r="B10" s="120">
        <v>39</v>
      </c>
      <c r="C10" s="120">
        <v>1433.30445236539</v>
      </c>
    </row>
    <row r="11" spans="1:3" x14ac:dyDescent="0.4">
      <c r="A11" t="s">
        <v>195</v>
      </c>
      <c r="B11" s="120">
        <v>12</v>
      </c>
      <c r="C11" s="120">
        <v>1392.8042574192286</v>
      </c>
    </row>
    <row r="12" spans="1:3" x14ac:dyDescent="0.4">
      <c r="A12" t="s">
        <v>199</v>
      </c>
      <c r="C12" s="120">
        <v>1382.1789004547948</v>
      </c>
    </row>
    <row r="13" spans="1:3" x14ac:dyDescent="0.4">
      <c r="A13" t="s">
        <v>193</v>
      </c>
      <c r="B13" s="120">
        <v>4</v>
      </c>
      <c r="C13" s="120">
        <v>1348.2487416206377</v>
      </c>
    </row>
    <row r="14" spans="1:3" x14ac:dyDescent="0.4">
      <c r="A14" t="s">
        <v>201</v>
      </c>
      <c r="C14" s="120">
        <v>1500.437982464869</v>
      </c>
    </row>
    <row r="15" spans="1:3" x14ac:dyDescent="0.4">
      <c r="A15" t="s">
        <v>202</v>
      </c>
      <c r="C15" s="120">
        <v>1491.5152195648213</v>
      </c>
    </row>
    <row r="16" spans="1:3" x14ac:dyDescent="0.4">
      <c r="A16" t="s">
        <v>209</v>
      </c>
      <c r="C16" s="120">
        <v>1484.4200922656562</v>
      </c>
    </row>
    <row r="17" spans="1:8" x14ac:dyDescent="0.4">
      <c r="A17" t="s">
        <v>204</v>
      </c>
      <c r="C17" s="120">
        <v>1519.3079580555725</v>
      </c>
      <c r="G17" s="120"/>
      <c r="H17" s="120"/>
    </row>
    <row r="18" spans="1:8" x14ac:dyDescent="0.4">
      <c r="A18" t="s">
        <v>200</v>
      </c>
      <c r="C18" s="120">
        <v>1519.2052586122145</v>
      </c>
      <c r="G18" s="120"/>
      <c r="H18" s="120"/>
    </row>
    <row r="19" spans="1:8" x14ac:dyDescent="0.4">
      <c r="A19" t="s">
        <v>203</v>
      </c>
      <c r="C19" s="120">
        <v>1503.1020000000001</v>
      </c>
      <c r="G19" s="120"/>
      <c r="H19" s="120"/>
    </row>
    <row r="20" spans="1:8" x14ac:dyDescent="0.4">
      <c r="A20" t="s">
        <v>205</v>
      </c>
      <c r="C20" s="120">
        <v>1489.2889468180317</v>
      </c>
      <c r="G20" s="120"/>
      <c r="H20" s="120"/>
    </row>
    <row r="21" spans="1:8" x14ac:dyDescent="0.4">
      <c r="A21" t="s">
        <v>207</v>
      </c>
      <c r="C21" s="120">
        <v>1484.6521503082251</v>
      </c>
      <c r="G21" s="120"/>
      <c r="H21" s="120"/>
    </row>
    <row r="22" spans="1:8" x14ac:dyDescent="0.4">
      <c r="A22" t="s">
        <v>206</v>
      </c>
      <c r="C22" s="120">
        <v>1476.2954110473599</v>
      </c>
      <c r="G22" s="120"/>
      <c r="H22" s="120"/>
    </row>
    <row r="23" spans="1:8" x14ac:dyDescent="0.4">
      <c r="A23" t="s">
        <v>221</v>
      </c>
      <c r="B23" s="120">
        <v>2</v>
      </c>
      <c r="C23" s="120">
        <v>1500</v>
      </c>
    </row>
    <row r="24" spans="1:8" x14ac:dyDescent="0.4">
      <c r="A24" t="s">
        <v>216</v>
      </c>
      <c r="B24" s="120">
        <v>18</v>
      </c>
      <c r="C24" s="120">
        <v>1500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/>
      <c r="C1" s="132"/>
      <c r="E1" s="104" t="s">
        <v>154</v>
      </c>
      <c r="F1" s="100" t="s">
        <v>115</v>
      </c>
      <c r="G1" s="99" t="s">
        <v>116</v>
      </c>
      <c r="H1" s="86" t="s">
        <v>117</v>
      </c>
      <c r="I1" s="100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0</v>
      </c>
      <c r="C2" s="134"/>
      <c r="E2" s="26" t="s">
        <v>64</v>
      </c>
      <c r="F2" s="23" t="s">
        <v>20</v>
      </c>
      <c r="G2" s="11">
        <v>0</v>
      </c>
      <c r="H2" s="87">
        <f t="shared" ref="H2:H33" si="0">IF(B$20=0,0,G2/B$20)</f>
        <v>0</v>
      </c>
      <c r="I2" s="57"/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0</v>
      </c>
      <c r="Q2" s="76">
        <v>0</v>
      </c>
      <c r="R2" s="63">
        <v>0</v>
      </c>
    </row>
    <row r="3" spans="1:18" x14ac:dyDescent="0.4">
      <c r="A3" s="19" t="s">
        <v>8</v>
      </c>
      <c r="B3" s="135">
        <v>0</v>
      </c>
      <c r="C3" s="136"/>
      <c r="E3" s="27" t="s">
        <v>65</v>
      </c>
      <c r="F3" s="24" t="s">
        <v>21</v>
      </c>
      <c r="G3" s="12">
        <v>0</v>
      </c>
      <c r="H3" s="88">
        <f t="shared" si="0"/>
        <v>0</v>
      </c>
      <c r="I3" s="58"/>
      <c r="O3" s="74" t="s">
        <v>129</v>
      </c>
      <c r="P3" s="80">
        <f t="shared" si="1"/>
        <v>0</v>
      </c>
      <c r="Q3" s="77">
        <v>0</v>
      </c>
      <c r="R3" s="64">
        <v>0</v>
      </c>
    </row>
    <row r="4" spans="1:18" x14ac:dyDescent="0.4">
      <c r="A4" s="19" t="s">
        <v>6</v>
      </c>
      <c r="B4" s="137">
        <v>0</v>
      </c>
      <c r="C4" s="138"/>
      <c r="E4" s="27" t="s">
        <v>66</v>
      </c>
      <c r="F4" s="24" t="s">
        <v>22</v>
      </c>
      <c r="G4" s="12">
        <v>0</v>
      </c>
      <c r="H4" s="88">
        <f t="shared" si="0"/>
        <v>0</v>
      </c>
      <c r="I4" s="58"/>
      <c r="O4" s="74" t="s">
        <v>130</v>
      </c>
      <c r="P4" s="80">
        <f t="shared" si="1"/>
        <v>0</v>
      </c>
      <c r="Q4" s="77">
        <v>0</v>
      </c>
      <c r="R4" s="64">
        <v>0</v>
      </c>
    </row>
    <row r="5" spans="1:18" x14ac:dyDescent="0.4">
      <c r="A5" s="19" t="s">
        <v>7</v>
      </c>
      <c r="B5" s="125">
        <f>IF(B$2=0,0,B$4/B$2)</f>
        <v>0</v>
      </c>
      <c r="C5" s="126"/>
      <c r="E5" s="27" t="s">
        <v>67</v>
      </c>
      <c r="F5" s="24" t="s">
        <v>23</v>
      </c>
      <c r="G5" s="12">
        <v>0</v>
      </c>
      <c r="H5" s="88">
        <f t="shared" si="0"/>
        <v>0</v>
      </c>
      <c r="I5" s="58"/>
      <c r="O5" s="74" t="s">
        <v>131</v>
      </c>
      <c r="P5" s="80">
        <f t="shared" si="1"/>
        <v>0</v>
      </c>
      <c r="Q5" s="77">
        <v>0</v>
      </c>
      <c r="R5" s="64">
        <v>0</v>
      </c>
    </row>
    <row r="6" spans="1:18" x14ac:dyDescent="0.4">
      <c r="A6" s="19" t="s">
        <v>196</v>
      </c>
      <c r="B6" s="129">
        <v>1500</v>
      </c>
      <c r="C6" s="130"/>
      <c r="E6" s="27" t="s">
        <v>68</v>
      </c>
      <c r="F6" s="24" t="s">
        <v>12</v>
      </c>
      <c r="G6" s="12">
        <v>0</v>
      </c>
      <c r="H6" s="88">
        <f t="shared" si="0"/>
        <v>0</v>
      </c>
      <c r="I6" s="58"/>
      <c r="O6" s="74" t="s">
        <v>132</v>
      </c>
      <c r="P6" s="80">
        <f t="shared" si="1"/>
        <v>0</v>
      </c>
      <c r="Q6" s="77">
        <v>0</v>
      </c>
      <c r="R6" s="64">
        <v>0</v>
      </c>
    </row>
    <row r="7" spans="1:18" x14ac:dyDescent="0.4">
      <c r="A7" s="19" t="s">
        <v>1</v>
      </c>
      <c r="B7" s="139">
        <f>IF(B$2=0,0,(B$8*1+B$9*2+B$10*3)/B$2)</f>
        <v>0</v>
      </c>
      <c r="C7" s="140"/>
      <c r="E7" s="27" t="s">
        <v>69</v>
      </c>
      <c r="F7" s="24" t="s">
        <v>24</v>
      </c>
      <c r="G7" s="12">
        <v>0</v>
      </c>
      <c r="H7" s="88">
        <f t="shared" si="0"/>
        <v>0</v>
      </c>
      <c r="I7" s="58"/>
      <c r="O7" s="75" t="s">
        <v>133</v>
      </c>
      <c r="P7" s="81">
        <f t="shared" si="1"/>
        <v>0</v>
      </c>
      <c r="Q7" s="78">
        <v>0</v>
      </c>
      <c r="R7" s="65">
        <v>0</v>
      </c>
    </row>
    <row r="8" spans="1:18" x14ac:dyDescent="0.4">
      <c r="A8" s="19" t="s">
        <v>2</v>
      </c>
      <c r="B8" s="12">
        <v>0</v>
      </c>
      <c r="C8" s="6">
        <f t="shared" ref="C8:C15" si="2">IF(B$2=0,0,B8/B$2)</f>
        <v>0</v>
      </c>
      <c r="E8" s="27" t="s">
        <v>70</v>
      </c>
      <c r="F8" s="24" t="s">
        <v>25</v>
      </c>
      <c r="G8" s="12">
        <v>0</v>
      </c>
      <c r="H8" s="88">
        <f t="shared" si="0"/>
        <v>0</v>
      </c>
      <c r="I8" s="58"/>
      <c r="O8" s="107"/>
      <c r="P8" s="85"/>
      <c r="Q8" s="108"/>
      <c r="R8" s="70"/>
    </row>
    <row r="9" spans="1:18" x14ac:dyDescent="0.4">
      <c r="A9" s="19" t="s">
        <v>3</v>
      </c>
      <c r="B9" s="12">
        <v>0</v>
      </c>
      <c r="C9" s="6">
        <f t="shared" si="2"/>
        <v>0</v>
      </c>
      <c r="E9" s="27" t="s">
        <v>71</v>
      </c>
      <c r="F9" s="24" t="s">
        <v>26</v>
      </c>
      <c r="G9" s="12">
        <v>0</v>
      </c>
      <c r="H9" s="88">
        <f t="shared" si="0"/>
        <v>0</v>
      </c>
      <c r="I9" s="58"/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0</v>
      </c>
      <c r="C10" s="7">
        <f t="shared" si="2"/>
        <v>0</v>
      </c>
      <c r="E10" s="27" t="s">
        <v>72</v>
      </c>
      <c r="F10" s="24" t="s">
        <v>27</v>
      </c>
      <c r="G10" s="12">
        <v>0</v>
      </c>
      <c r="H10" s="88">
        <f t="shared" si="0"/>
        <v>0</v>
      </c>
      <c r="I10" s="58"/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73</v>
      </c>
      <c r="F11" s="24" t="s">
        <v>28</v>
      </c>
      <c r="G11" s="12">
        <v>0</v>
      </c>
      <c r="H11" s="88">
        <f t="shared" si="0"/>
        <v>0</v>
      </c>
      <c r="I11" s="58"/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185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 t="shared" si="0"/>
        <v>0</v>
      </c>
      <c r="I12" s="58"/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186</v>
      </c>
      <c r="B13" s="109">
        <f>IF(B10=0,0,C13/B10)</f>
        <v>0</v>
      </c>
      <c r="C13" s="110">
        <v>0</v>
      </c>
      <c r="E13" s="27" t="s">
        <v>75</v>
      </c>
      <c r="F13" s="24" t="s">
        <v>30</v>
      </c>
      <c r="G13" s="12">
        <v>0</v>
      </c>
      <c r="H13" s="88">
        <f t="shared" si="0"/>
        <v>0</v>
      </c>
      <c r="I13" s="58"/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0</v>
      </c>
      <c r="C14" s="126"/>
      <c r="E14" s="27" t="s">
        <v>76</v>
      </c>
      <c r="F14" s="24" t="s">
        <v>31</v>
      </c>
      <c r="G14" s="12">
        <v>0</v>
      </c>
      <c r="H14" s="88">
        <f t="shared" si="0"/>
        <v>0</v>
      </c>
      <c r="I14" s="58"/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2"/>
        <v>0</v>
      </c>
      <c r="E15" s="27" t="s">
        <v>77</v>
      </c>
      <c r="F15" s="24" t="s">
        <v>32</v>
      </c>
      <c r="G15" s="12">
        <v>0</v>
      </c>
      <c r="H15" s="88">
        <f t="shared" si="0"/>
        <v>0</v>
      </c>
      <c r="I15" s="58"/>
      <c r="O15" s="73"/>
      <c r="P15" s="82"/>
      <c r="Q15" s="76"/>
      <c r="R15" s="67"/>
    </row>
    <row r="16" spans="1:18" x14ac:dyDescent="0.4">
      <c r="A16" s="22" t="s">
        <v>121</v>
      </c>
      <c r="B16" s="15">
        <v>0</v>
      </c>
      <c r="C16" s="10">
        <f>IF(B$3=0,0,B16/B$3)</f>
        <v>0</v>
      </c>
      <c r="E16" s="27" t="s">
        <v>78</v>
      </c>
      <c r="F16" s="24" t="s">
        <v>33</v>
      </c>
      <c r="G16" s="12">
        <v>0</v>
      </c>
      <c r="H16" s="88">
        <f t="shared" si="0"/>
        <v>0</v>
      </c>
      <c r="I16" s="58"/>
    </row>
    <row r="17" spans="1:9" x14ac:dyDescent="0.4">
      <c r="A17" s="19" t="s">
        <v>118</v>
      </c>
      <c r="B17" s="12">
        <v>0</v>
      </c>
      <c r="C17" s="6">
        <f>IF(B$3=0,0,B17/B$3)</f>
        <v>0</v>
      </c>
      <c r="E17" s="27" t="s">
        <v>79</v>
      </c>
      <c r="F17" s="24" t="s">
        <v>34</v>
      </c>
      <c r="G17" s="12">
        <v>0</v>
      </c>
      <c r="H17" s="88">
        <f t="shared" si="0"/>
        <v>0</v>
      </c>
      <c r="I17" s="58"/>
    </row>
    <row r="18" spans="1:9" x14ac:dyDescent="0.4">
      <c r="A18" s="18" t="s">
        <v>123</v>
      </c>
      <c r="B18" s="11">
        <f>B24</f>
        <v>0</v>
      </c>
      <c r="C18" s="5">
        <f>IF(B$16=0,0,B18/B$16)</f>
        <v>0</v>
      </c>
      <c r="E18" s="27" t="s">
        <v>80</v>
      </c>
      <c r="F18" s="24" t="s">
        <v>35</v>
      </c>
      <c r="G18" s="12">
        <v>0</v>
      </c>
      <c r="H18" s="88">
        <f t="shared" si="0"/>
        <v>0</v>
      </c>
      <c r="I18" s="58"/>
    </row>
    <row r="19" spans="1:9" x14ac:dyDescent="0.4">
      <c r="A19" s="18" t="s">
        <v>124</v>
      </c>
      <c r="B19" s="11">
        <f>B25</f>
        <v>0</v>
      </c>
      <c r="C19" s="5">
        <f>IF(B$17=0,0,B19/B$17)</f>
        <v>0</v>
      </c>
      <c r="E19" s="27" t="s">
        <v>81</v>
      </c>
      <c r="F19" s="24" t="s">
        <v>36</v>
      </c>
      <c r="G19" s="12">
        <v>0</v>
      </c>
      <c r="H19" s="88">
        <f t="shared" si="0"/>
        <v>0</v>
      </c>
      <c r="I19" s="58"/>
    </row>
    <row r="20" spans="1:9" x14ac:dyDescent="0.4">
      <c r="A20" s="18" t="s">
        <v>10</v>
      </c>
      <c r="B20" s="11">
        <f>B23+B22</f>
        <v>0</v>
      </c>
      <c r="C20" s="5">
        <f>IF(B$3=0,0,B20/B$3)</f>
        <v>0</v>
      </c>
      <c r="E20" s="27" t="s">
        <v>82</v>
      </c>
      <c r="F20" s="24" t="s">
        <v>37</v>
      </c>
      <c r="G20" s="12">
        <v>0</v>
      </c>
      <c r="H20" s="88">
        <f t="shared" si="0"/>
        <v>0</v>
      </c>
      <c r="I20" s="58"/>
    </row>
    <row r="21" spans="1:9" x14ac:dyDescent="0.4">
      <c r="A21" s="19" t="s">
        <v>13</v>
      </c>
      <c r="B21" s="12">
        <v>0</v>
      </c>
      <c r="C21" s="6">
        <f>IF(B$3=0,0,B21/B$3)</f>
        <v>0</v>
      </c>
      <c r="E21" s="27" t="s">
        <v>83</v>
      </c>
      <c r="F21" s="24" t="s">
        <v>38</v>
      </c>
      <c r="G21" s="12">
        <v>0</v>
      </c>
      <c r="H21" s="88">
        <f t="shared" si="0"/>
        <v>0</v>
      </c>
      <c r="I21" s="58"/>
    </row>
    <row r="22" spans="1:9" x14ac:dyDescent="0.4">
      <c r="A22" s="19" t="s">
        <v>12</v>
      </c>
      <c r="B22" s="12">
        <v>0</v>
      </c>
      <c r="C22" s="6">
        <f>IF(B$20=0,0,B22/B$20)</f>
        <v>0</v>
      </c>
      <c r="E22" s="27" t="s">
        <v>84</v>
      </c>
      <c r="F22" s="24" t="s">
        <v>39</v>
      </c>
      <c r="G22" s="12">
        <v>0</v>
      </c>
      <c r="H22" s="88">
        <f t="shared" si="0"/>
        <v>0</v>
      </c>
      <c r="I22" s="58"/>
    </row>
    <row r="23" spans="1:9" x14ac:dyDescent="0.4">
      <c r="A23" s="19" t="s">
        <v>11</v>
      </c>
      <c r="B23" s="12">
        <v>0</v>
      </c>
      <c r="C23" s="6">
        <f>IF(B$20=0,0,B23/B$20)</f>
        <v>0</v>
      </c>
      <c r="E23" s="27" t="s">
        <v>85</v>
      </c>
      <c r="F23" s="24" t="s">
        <v>40</v>
      </c>
      <c r="G23" s="12">
        <v>0</v>
      </c>
      <c r="H23" s="88">
        <f t="shared" si="0"/>
        <v>0</v>
      </c>
      <c r="I23" s="58"/>
    </row>
    <row r="24" spans="1:9" x14ac:dyDescent="0.4">
      <c r="A24" s="19" t="s">
        <v>183</v>
      </c>
      <c r="B24" s="12">
        <v>0</v>
      </c>
      <c r="C24" s="6">
        <f>IF(B$20=0,0,B24/B$20)</f>
        <v>0</v>
      </c>
      <c r="E24" s="27" t="s">
        <v>86</v>
      </c>
      <c r="F24" s="24" t="s">
        <v>41</v>
      </c>
      <c r="G24" s="12">
        <v>0</v>
      </c>
      <c r="H24" s="88">
        <f t="shared" si="0"/>
        <v>0</v>
      </c>
      <c r="I24" s="58"/>
    </row>
    <row r="25" spans="1:9" x14ac:dyDescent="0.4">
      <c r="A25" s="19" t="s">
        <v>181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 t="shared" si="0"/>
        <v>0</v>
      </c>
      <c r="I25" s="58"/>
    </row>
    <row r="26" spans="1:9" x14ac:dyDescent="0.4">
      <c r="A26" s="19" t="s">
        <v>182</v>
      </c>
      <c r="B26" s="12">
        <v>0</v>
      </c>
      <c r="C26" s="6">
        <f>IF(B$20=0,0,B26/B$20)</f>
        <v>0</v>
      </c>
      <c r="E26" s="27" t="s">
        <v>88</v>
      </c>
      <c r="F26" s="24" t="s">
        <v>43</v>
      </c>
      <c r="G26" s="12">
        <v>0</v>
      </c>
      <c r="H26" s="88">
        <f t="shared" si="0"/>
        <v>0</v>
      </c>
      <c r="I26" s="58"/>
    </row>
    <row r="27" spans="1:9" x14ac:dyDescent="0.4">
      <c r="A27" s="19" t="s">
        <v>5</v>
      </c>
      <c r="B27" s="16">
        <f>IF(B$20=0,0,C27/B$20)</f>
        <v>0</v>
      </c>
      <c r="C27" s="8">
        <v>0</v>
      </c>
      <c r="E27" s="27" t="s">
        <v>89</v>
      </c>
      <c r="F27" s="24" t="s">
        <v>44</v>
      </c>
      <c r="G27" s="12">
        <v>0</v>
      </c>
      <c r="H27" s="88">
        <f t="shared" si="0"/>
        <v>0</v>
      </c>
      <c r="I27" s="58"/>
    </row>
    <row r="28" spans="1:9" x14ac:dyDescent="0.4">
      <c r="A28" s="20" t="s">
        <v>165</v>
      </c>
      <c r="B28" s="95">
        <f>IF($B$20-B$19=0,0,C28/($B$20-B$19))</f>
        <v>0</v>
      </c>
      <c r="C28" s="96">
        <v>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/>
    </row>
    <row r="29" spans="1:9" x14ac:dyDescent="0.4">
      <c r="A29" s="20" t="s">
        <v>166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/>
    </row>
    <row r="30" spans="1:9" x14ac:dyDescent="0.4">
      <c r="A30" s="20" t="s">
        <v>164</v>
      </c>
      <c r="B30" s="95">
        <f>IF(B$21=0,0,C30/B$21)</f>
        <v>0</v>
      </c>
      <c r="C30" s="96">
        <v>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/>
    </row>
    <row r="31" spans="1:9" x14ac:dyDescent="0.4">
      <c r="A31" s="19" t="s">
        <v>157</v>
      </c>
      <c r="B31" s="12">
        <v>0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/>
    </row>
    <row r="32" spans="1:9" x14ac:dyDescent="0.4">
      <c r="A32" s="19" t="s">
        <v>158</v>
      </c>
      <c r="B32" s="12">
        <v>0</v>
      </c>
      <c r="C32" s="90">
        <v>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/>
    </row>
    <row r="33" spans="1:9" x14ac:dyDescent="0.4">
      <c r="A33" s="54" t="s">
        <v>136</v>
      </c>
      <c r="B33" s="127">
        <v>0</v>
      </c>
      <c r="C33" s="128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/>
    </row>
    <row r="34" spans="1:9" x14ac:dyDescent="0.4">
      <c r="A34" s="22" t="s">
        <v>180</v>
      </c>
      <c r="B34" s="129">
        <v>-1000000</v>
      </c>
      <c r="C34" s="130"/>
      <c r="E34" s="27" t="s">
        <v>96</v>
      </c>
      <c r="F34" s="24" t="s">
        <v>51</v>
      </c>
      <c r="G34" s="12">
        <v>0</v>
      </c>
      <c r="H34" s="88">
        <f t="shared" ref="H34:H52" si="3">IF(B$20=0,0,G34/B$20)</f>
        <v>0</v>
      </c>
      <c r="I34" s="58"/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/>
    </row>
    <row r="36" spans="1:9" x14ac:dyDescent="0.4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/>
    </row>
    <row r="37" spans="1:9" x14ac:dyDescent="0.4">
      <c r="A37" s="54" t="s">
        <v>171</v>
      </c>
      <c r="B37" s="101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/>
    </row>
    <row r="38" spans="1:9" x14ac:dyDescent="0.4">
      <c r="A38" s="19" t="s">
        <v>167</v>
      </c>
      <c r="B38" s="12">
        <v>0</v>
      </c>
      <c r="C38" s="6">
        <f t="shared" si="4"/>
        <v>0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/>
    </row>
    <row r="39" spans="1:9" x14ac:dyDescent="0.4">
      <c r="A39" s="19" t="s">
        <v>168</v>
      </c>
      <c r="B39" s="102">
        <v>0</v>
      </c>
      <c r="C39" s="6">
        <f t="shared" si="4"/>
        <v>0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/>
    </row>
    <row r="40" spans="1:9" x14ac:dyDescent="0.4">
      <c r="A40" s="19" t="s">
        <v>169</v>
      </c>
      <c r="B40" s="102">
        <v>0</v>
      </c>
      <c r="C40" s="6">
        <f t="shared" si="4"/>
        <v>0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/>
    </row>
    <row r="41" spans="1:9" x14ac:dyDescent="0.4">
      <c r="A41" s="19" t="s">
        <v>170</v>
      </c>
      <c r="B41" s="102">
        <v>0</v>
      </c>
      <c r="C41" s="6">
        <f t="shared" si="4"/>
        <v>0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/>
    </row>
    <row r="42" spans="1:9" x14ac:dyDescent="0.4">
      <c r="A42" s="19" t="s">
        <v>172</v>
      </c>
      <c r="B42" s="102">
        <v>0</v>
      </c>
      <c r="C42" s="6">
        <f t="shared" si="4"/>
        <v>0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/>
    </row>
    <row r="43" spans="1:9" x14ac:dyDescent="0.4">
      <c r="A43" s="19" t="s">
        <v>173</v>
      </c>
      <c r="B43" s="102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/>
    </row>
    <row r="44" spans="1:9" x14ac:dyDescent="0.4">
      <c r="A44" s="19" t="s">
        <v>174</v>
      </c>
      <c r="B44" s="102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/>
    </row>
    <row r="45" spans="1:9" x14ac:dyDescent="0.4">
      <c r="A45" s="19" t="s">
        <v>175</v>
      </c>
      <c r="B45" s="102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/>
    </row>
    <row r="46" spans="1:9" x14ac:dyDescent="0.4">
      <c r="A46" s="19" t="s">
        <v>176</v>
      </c>
      <c r="B46" s="102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/>
    </row>
    <row r="47" spans="1:9" x14ac:dyDescent="0.4">
      <c r="A47" s="19" t="s">
        <v>177</v>
      </c>
      <c r="B47" s="102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/>
    </row>
    <row r="48" spans="1:9" x14ac:dyDescent="0.4">
      <c r="A48" s="19" t="s">
        <v>178</v>
      </c>
      <c r="B48" s="102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/>
    </row>
    <row r="49" spans="1:9" x14ac:dyDescent="0.4">
      <c r="A49" s="21" t="s">
        <v>179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/>
    </row>
    <row r="50" spans="1:9" x14ac:dyDescent="0.4">
      <c r="E50" s="27" t="s">
        <v>155</v>
      </c>
      <c r="F50" s="24" t="s">
        <v>156</v>
      </c>
      <c r="G50" s="12">
        <v>0</v>
      </c>
      <c r="H50" s="88">
        <f t="shared" si="3"/>
        <v>0</v>
      </c>
      <c r="I50" s="58"/>
    </row>
    <row r="51" spans="1:9" x14ac:dyDescent="0.4">
      <c r="E51" s="91" t="s">
        <v>159</v>
      </c>
      <c r="F51" s="92" t="s">
        <v>160</v>
      </c>
      <c r="G51" s="13">
        <v>0</v>
      </c>
      <c r="H51" s="93">
        <f t="shared" si="3"/>
        <v>0</v>
      </c>
      <c r="I51" s="94"/>
    </row>
    <row r="52" spans="1:9" x14ac:dyDescent="0.4">
      <c r="E52" s="28" t="s">
        <v>161</v>
      </c>
      <c r="F52" s="25" t="s">
        <v>162</v>
      </c>
      <c r="G52" s="14">
        <v>0</v>
      </c>
      <c r="H52" s="89">
        <f t="shared" si="3"/>
        <v>0</v>
      </c>
      <c r="I52" s="59"/>
    </row>
  </sheetData>
  <mergeCells count="10">
    <mergeCell ref="B14:C14"/>
    <mergeCell ref="B33:C33"/>
    <mergeCell ref="B34:C34"/>
    <mergeCell ref="B1:C1"/>
    <mergeCell ref="B2:C2"/>
    <mergeCell ref="B3:C3"/>
    <mergeCell ref="B4:C4"/>
    <mergeCell ref="B5:C5"/>
    <mergeCell ref="B7:C7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3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46" customWidth="1"/>
    <col min="2" max="2" width="10.625" style="49" customWidth="1"/>
    <col min="3" max="3" width="10.625" style="114" customWidth="1"/>
    <col min="4" max="4" width="10.625" style="47" customWidth="1"/>
    <col min="5" max="5" width="10.625" style="48" customWidth="1"/>
    <col min="6" max="6" width="10.625" style="49" customWidth="1"/>
    <col min="7" max="7" width="10.625" style="61" customWidth="1"/>
    <col min="8" max="8" width="10.625" style="49" customWidth="1"/>
    <col min="9" max="9" width="10.625" style="53" customWidth="1"/>
    <col min="10" max="10" width="10.625" style="49" customWidth="1"/>
    <col min="11" max="11" width="10.625" style="50" customWidth="1"/>
    <col min="12" max="12" width="10.625" style="49" customWidth="1"/>
    <col min="13" max="13" width="10.625" style="51" customWidth="1"/>
    <col min="14" max="14" width="10.625" style="49" customWidth="1"/>
    <col min="15" max="15" width="10.625" style="51" customWidth="1"/>
    <col min="16" max="16" width="10.625" style="49" customWidth="1"/>
    <col min="17" max="17" width="10.625" style="52" customWidth="1"/>
    <col min="18" max="18" width="10.625" style="49" customWidth="1"/>
    <col min="19" max="19" width="10.625" style="52" customWidth="1"/>
    <col min="20" max="20" width="10.625" style="49" customWidth="1"/>
    <col min="21" max="21" width="10.625" style="53" customWidth="1"/>
    <col min="22" max="22" width="10.625" style="49" customWidth="1"/>
    <col min="23" max="23" width="10.625" style="53" customWidth="1"/>
    <col min="24" max="24" width="10.625" style="49" customWidth="1"/>
    <col min="25" max="25" width="10.625" style="51" customWidth="1"/>
    <col min="26" max="26" width="10.625" style="49" customWidth="1"/>
    <col min="27" max="27" width="10.625" style="52" customWidth="1"/>
    <col min="28" max="28" width="10.625" style="49" customWidth="1"/>
    <col min="29" max="29" width="10.625" style="52" customWidth="1"/>
    <col min="30" max="30" width="10.625" style="49" customWidth="1"/>
    <col min="31" max="31" width="10.625" style="52" customWidth="1"/>
    <col min="32" max="32" width="10.625" style="49" customWidth="1"/>
    <col min="33" max="33" width="10.625" style="52" customWidth="1"/>
    <col min="34" max="34" width="10.625" style="49" customWidth="1"/>
    <col min="35" max="35" width="10.625" style="52" customWidth="1"/>
    <col min="36" max="36" width="10.625" style="49" customWidth="1"/>
    <col min="37" max="37" width="10.625" style="56" customWidth="1"/>
    <col min="38" max="16384" width="9" style="37"/>
  </cols>
  <sheetData>
    <row r="1" spans="1:37" x14ac:dyDescent="0.4">
      <c r="A1" s="36"/>
      <c r="B1" s="145" t="s">
        <v>9</v>
      </c>
      <c r="C1" s="146"/>
      <c r="D1" s="143" t="s">
        <v>6</v>
      </c>
      <c r="E1" s="144"/>
      <c r="F1" s="143" t="s">
        <v>7</v>
      </c>
      <c r="G1" s="144"/>
      <c r="H1" s="145" t="s">
        <v>196</v>
      </c>
      <c r="I1" s="146"/>
      <c r="J1" s="143" t="s">
        <v>15</v>
      </c>
      <c r="K1" s="144"/>
      <c r="L1" s="143" t="s">
        <v>14</v>
      </c>
      <c r="M1" s="144"/>
      <c r="N1" s="143" t="s">
        <v>149</v>
      </c>
      <c r="O1" s="144"/>
      <c r="P1" s="143" t="s">
        <v>143</v>
      </c>
      <c r="Q1" s="144"/>
      <c r="R1" s="143" t="s">
        <v>144</v>
      </c>
      <c r="S1" s="144"/>
      <c r="T1" s="143" t="s">
        <v>5</v>
      </c>
      <c r="U1" s="144"/>
      <c r="V1" s="143" t="s">
        <v>16</v>
      </c>
      <c r="W1" s="144"/>
      <c r="X1" s="143" t="s">
        <v>17</v>
      </c>
      <c r="Y1" s="144"/>
      <c r="Z1" s="143" t="s">
        <v>122</v>
      </c>
      <c r="AA1" s="144"/>
      <c r="AB1" s="143" t="s">
        <v>119</v>
      </c>
      <c r="AC1" s="144"/>
      <c r="AD1" s="143" t="s">
        <v>125</v>
      </c>
      <c r="AE1" s="144"/>
      <c r="AF1" s="143" t="s">
        <v>145</v>
      </c>
      <c r="AG1" s="144"/>
      <c r="AH1" s="143" t="s">
        <v>138</v>
      </c>
      <c r="AI1" s="144"/>
      <c r="AJ1" s="143" t="s">
        <v>180</v>
      </c>
      <c r="AK1" s="144"/>
    </row>
    <row r="2" spans="1:37" x14ac:dyDescent="0.4">
      <c r="A2" s="36" t="s">
        <v>208</v>
      </c>
      <c r="B2" s="141">
        <v>0.89887244114523035</v>
      </c>
      <c r="C2" s="142"/>
      <c r="D2" s="141">
        <v>0.20983569587168194</v>
      </c>
      <c r="E2" s="142"/>
      <c r="F2" s="141">
        <v>0.30274321243445917</v>
      </c>
      <c r="G2" s="142"/>
      <c r="H2" s="147"/>
      <c r="I2" s="148"/>
      <c r="J2" s="141">
        <v>-9.3744660451015621E-2</v>
      </c>
      <c r="K2" s="142"/>
      <c r="L2" s="141">
        <v>-0.33133118288830005</v>
      </c>
      <c r="M2" s="142"/>
      <c r="N2" s="141">
        <v>0.21326094353897604</v>
      </c>
      <c r="O2" s="142"/>
      <c r="P2" s="141">
        <v>0.41029713660660139</v>
      </c>
      <c r="Q2" s="142"/>
      <c r="R2" s="141">
        <v>-0.11066618976561043</v>
      </c>
      <c r="S2" s="142"/>
      <c r="T2" s="141">
        <v>0.14937362208437555</v>
      </c>
      <c r="U2" s="142"/>
      <c r="V2" s="141">
        <v>5.6901917730368311E-2</v>
      </c>
      <c r="W2" s="142"/>
      <c r="X2" s="141">
        <v>0.29702992550016782</v>
      </c>
      <c r="Y2" s="142"/>
      <c r="Z2" s="141">
        <v>0.23596686279762094</v>
      </c>
      <c r="AA2" s="142"/>
      <c r="AB2" s="141">
        <v>0.27672222153756959</v>
      </c>
      <c r="AC2" s="142"/>
      <c r="AD2" s="141">
        <v>-0.17629160595564114</v>
      </c>
      <c r="AE2" s="142"/>
      <c r="AF2" s="141">
        <v>0.41090122733664858</v>
      </c>
      <c r="AG2" s="142"/>
      <c r="AH2" s="141">
        <v>-0.1553368489739389</v>
      </c>
      <c r="AI2" s="142"/>
      <c r="AJ2" s="141">
        <v>0.85779984251375718</v>
      </c>
      <c r="AK2" s="142"/>
    </row>
    <row r="3" spans="1:37" x14ac:dyDescent="0.4">
      <c r="A3" s="38">
        <v>1</v>
      </c>
      <c r="B3" s="41" t="s">
        <v>139</v>
      </c>
      <c r="C3" s="113">
        <v>99</v>
      </c>
      <c r="D3" s="39" t="s">
        <v>192</v>
      </c>
      <c r="E3" s="40">
        <v>286.49999999999994</v>
      </c>
      <c r="F3" s="41" t="s">
        <v>192</v>
      </c>
      <c r="G3" s="60">
        <v>6.9878048780487791</v>
      </c>
      <c r="H3" s="41" t="s">
        <v>126</v>
      </c>
      <c r="I3" s="45">
        <v>1760.4079128289225</v>
      </c>
      <c r="J3" s="41" t="s">
        <v>192</v>
      </c>
      <c r="K3" s="42">
        <v>1.7560975609756098</v>
      </c>
      <c r="L3" s="41" t="s">
        <v>195</v>
      </c>
      <c r="M3" s="43">
        <v>0.5</v>
      </c>
      <c r="N3" s="41" t="s">
        <v>190</v>
      </c>
      <c r="O3" s="43">
        <v>0.17391304347826086</v>
      </c>
      <c r="P3" s="41" t="s">
        <v>192</v>
      </c>
      <c r="Q3" s="44">
        <v>0.3342696629213483</v>
      </c>
      <c r="R3" s="41" t="s">
        <v>190</v>
      </c>
      <c r="S3" s="44">
        <v>0.10106382978723404</v>
      </c>
      <c r="T3" s="41" t="s">
        <v>221</v>
      </c>
      <c r="U3" s="45">
        <v>10925</v>
      </c>
      <c r="V3" s="41" t="s">
        <v>190</v>
      </c>
      <c r="W3" s="45">
        <v>-5489.4736842105267</v>
      </c>
      <c r="X3" s="41" t="s">
        <v>193</v>
      </c>
      <c r="Y3" s="43">
        <v>0</v>
      </c>
      <c r="Z3" s="41" t="s">
        <v>189</v>
      </c>
      <c r="AA3" s="44">
        <v>0.26470588235294118</v>
      </c>
      <c r="AB3" s="41" t="s">
        <v>189</v>
      </c>
      <c r="AC3" s="44">
        <v>0.30294117647058821</v>
      </c>
      <c r="AD3" s="41" t="s">
        <v>195</v>
      </c>
      <c r="AE3" s="44">
        <v>0.69565217391304346</v>
      </c>
      <c r="AF3" s="41" t="s">
        <v>211</v>
      </c>
      <c r="AG3" s="44">
        <v>0.47761194029850745</v>
      </c>
      <c r="AH3" s="41" t="s">
        <v>221</v>
      </c>
      <c r="AI3" s="44">
        <v>1</v>
      </c>
      <c r="AJ3" s="41" t="s">
        <v>126</v>
      </c>
      <c r="AK3" s="55">
        <v>103000</v>
      </c>
    </row>
    <row r="4" spans="1:37" x14ac:dyDescent="0.4">
      <c r="A4" s="46">
        <v>2</v>
      </c>
      <c r="B4" s="49" t="s">
        <v>126</v>
      </c>
      <c r="C4" s="114">
        <v>80</v>
      </c>
      <c r="D4" s="47" t="s">
        <v>189</v>
      </c>
      <c r="E4" s="48">
        <v>53.800000000000004</v>
      </c>
      <c r="F4" s="49" t="s">
        <v>189</v>
      </c>
      <c r="G4" s="61">
        <v>1.3794871794871797</v>
      </c>
      <c r="H4" s="49" t="s">
        <v>163</v>
      </c>
      <c r="I4" s="53">
        <v>1623.0600080708391</v>
      </c>
      <c r="J4" s="49" t="s">
        <v>190</v>
      </c>
      <c r="K4" s="50">
        <v>1.9130434782608696</v>
      </c>
      <c r="L4" s="49" t="s">
        <v>192</v>
      </c>
      <c r="M4" s="51">
        <v>0.46341463414634149</v>
      </c>
      <c r="N4" s="49" t="s">
        <v>192</v>
      </c>
      <c r="O4" s="51">
        <v>0.21951219512195122</v>
      </c>
      <c r="P4" s="49" t="s">
        <v>126</v>
      </c>
      <c r="Q4" s="52">
        <v>0.32126696832579188</v>
      </c>
      <c r="R4" s="49" t="s">
        <v>192</v>
      </c>
      <c r="S4" s="52">
        <v>0.12359550561797752</v>
      </c>
      <c r="T4" s="49" t="s">
        <v>163</v>
      </c>
      <c r="U4" s="53">
        <v>8634.0425531914898</v>
      </c>
      <c r="V4" s="49" t="s">
        <v>211</v>
      </c>
      <c r="W4" s="53">
        <v>-6369.7674418604647</v>
      </c>
      <c r="X4" s="49" t="s">
        <v>221</v>
      </c>
      <c r="Y4" s="51">
        <v>0</v>
      </c>
      <c r="Z4" s="49" t="s">
        <v>193</v>
      </c>
      <c r="AA4" s="52">
        <v>0.25714285714285712</v>
      </c>
      <c r="AB4" s="49" t="s">
        <v>193</v>
      </c>
      <c r="AC4" s="52">
        <v>0.2857142857142857</v>
      </c>
      <c r="AD4" s="49" t="s">
        <v>126</v>
      </c>
      <c r="AE4" s="52">
        <v>0.57055214723926384</v>
      </c>
      <c r="AF4" s="49" t="s">
        <v>126</v>
      </c>
      <c r="AG4" s="52">
        <v>0.46762589928057552</v>
      </c>
      <c r="AH4" s="49" t="s">
        <v>195</v>
      </c>
      <c r="AI4" s="52">
        <v>0.55172413793103448</v>
      </c>
      <c r="AJ4" s="49" t="s">
        <v>139</v>
      </c>
      <c r="AK4" s="56">
        <v>103000</v>
      </c>
    </row>
    <row r="5" spans="1:37" x14ac:dyDescent="0.4">
      <c r="A5" s="46">
        <v>3</v>
      </c>
      <c r="B5" s="49" t="s">
        <v>163</v>
      </c>
      <c r="C5" s="114">
        <v>41</v>
      </c>
      <c r="D5" s="47" t="s">
        <v>126</v>
      </c>
      <c r="E5" s="48">
        <v>49.99999999999995</v>
      </c>
      <c r="F5" s="49" t="s">
        <v>190</v>
      </c>
      <c r="G5" s="61">
        <v>1.2086956521739121</v>
      </c>
      <c r="H5" s="49" t="s">
        <v>139</v>
      </c>
      <c r="I5" s="53">
        <v>1597.6454776776075</v>
      </c>
      <c r="J5" s="49" t="s">
        <v>195</v>
      </c>
      <c r="K5" s="50">
        <v>1.9166666666666667</v>
      </c>
      <c r="L5" s="49" t="s">
        <v>189</v>
      </c>
      <c r="M5" s="51">
        <v>0.38461538461538464</v>
      </c>
      <c r="N5" s="49" t="s">
        <v>189</v>
      </c>
      <c r="O5" s="51">
        <v>0.33333333333333331</v>
      </c>
      <c r="P5" s="49" t="s">
        <v>189</v>
      </c>
      <c r="Q5" s="52">
        <v>0.30294117647058821</v>
      </c>
      <c r="R5" s="49" t="s">
        <v>211</v>
      </c>
      <c r="S5" s="52">
        <v>0.13915857605177995</v>
      </c>
      <c r="T5" s="49" t="s">
        <v>195</v>
      </c>
      <c r="U5" s="53">
        <v>8606.8965517241377</v>
      </c>
      <c r="V5" s="49" t="s">
        <v>126</v>
      </c>
      <c r="W5" s="53">
        <v>-7146.4</v>
      </c>
      <c r="X5" s="49" t="s">
        <v>190</v>
      </c>
      <c r="Y5" s="51">
        <v>4.3478260869565216E-2</v>
      </c>
      <c r="Z5" s="49" t="s">
        <v>163</v>
      </c>
      <c r="AA5" s="52">
        <v>0.25428571428571428</v>
      </c>
      <c r="AB5" s="49" t="s">
        <v>221</v>
      </c>
      <c r="AC5" s="52">
        <v>0.27777777777777779</v>
      </c>
      <c r="AD5" s="49" t="s">
        <v>190</v>
      </c>
      <c r="AE5" s="52">
        <v>0.56818181818181823</v>
      </c>
      <c r="AF5" s="49" t="s">
        <v>192</v>
      </c>
      <c r="AG5" s="52">
        <v>0.43617021276595747</v>
      </c>
      <c r="AH5" s="49" t="s">
        <v>189</v>
      </c>
      <c r="AI5" s="52">
        <v>0.46601941747572817</v>
      </c>
      <c r="AJ5" s="49" t="s">
        <v>192</v>
      </c>
      <c r="AK5" s="56">
        <v>98800</v>
      </c>
    </row>
    <row r="6" spans="1:37" x14ac:dyDescent="0.4">
      <c r="A6" s="46">
        <v>4</v>
      </c>
      <c r="B6" s="49" t="s">
        <v>192</v>
      </c>
      <c r="C6" s="114">
        <v>41</v>
      </c>
      <c r="D6" s="47" t="s">
        <v>190</v>
      </c>
      <c r="E6" s="48">
        <v>27.799999999999976</v>
      </c>
      <c r="F6" s="49" t="s">
        <v>126</v>
      </c>
      <c r="G6" s="61">
        <v>0.62499999999999933</v>
      </c>
      <c r="H6" s="49" t="s">
        <v>192</v>
      </c>
      <c r="I6" s="53">
        <v>1582.1239906491078</v>
      </c>
      <c r="J6" s="49" t="s">
        <v>189</v>
      </c>
      <c r="K6" s="50">
        <v>1.9487179487179487</v>
      </c>
      <c r="L6" s="49" t="s">
        <v>211</v>
      </c>
      <c r="M6" s="51">
        <v>0.35135135135135137</v>
      </c>
      <c r="N6" s="49" t="s">
        <v>139</v>
      </c>
      <c r="O6" s="51">
        <v>0.33333333333333331</v>
      </c>
      <c r="P6" s="49" t="s">
        <v>211</v>
      </c>
      <c r="Q6" s="52">
        <v>0.29773462783171523</v>
      </c>
      <c r="R6" s="49" t="s">
        <v>195</v>
      </c>
      <c r="S6" s="52">
        <v>0.1650485436893204</v>
      </c>
      <c r="T6" s="49" t="s">
        <v>193</v>
      </c>
      <c r="U6" s="53">
        <v>8212.5</v>
      </c>
      <c r="V6" s="49" t="s">
        <v>139</v>
      </c>
      <c r="W6" s="53">
        <v>-7421.7917675544795</v>
      </c>
      <c r="X6" s="49" t="s">
        <v>189</v>
      </c>
      <c r="Y6" s="51">
        <v>5.128205128205128E-2</v>
      </c>
      <c r="Z6" s="49" t="s">
        <v>126</v>
      </c>
      <c r="AA6" s="52">
        <v>0.2458521870286576</v>
      </c>
      <c r="AB6" s="49" t="s">
        <v>192</v>
      </c>
      <c r="AC6" s="52">
        <v>0.2640449438202247</v>
      </c>
      <c r="AD6" s="49" t="s">
        <v>211</v>
      </c>
      <c r="AE6" s="52">
        <v>0.55555555555555558</v>
      </c>
      <c r="AF6" s="49" t="s">
        <v>139</v>
      </c>
      <c r="AG6" s="52">
        <v>0.41796200345423146</v>
      </c>
      <c r="AH6" s="49" t="s">
        <v>126</v>
      </c>
      <c r="AI6" s="52">
        <v>0.46478873239436619</v>
      </c>
      <c r="AJ6" s="49" t="s">
        <v>163</v>
      </c>
      <c r="AK6" s="56">
        <v>94700</v>
      </c>
    </row>
    <row r="7" spans="1:37" x14ac:dyDescent="0.4">
      <c r="A7" s="46">
        <v>5</v>
      </c>
      <c r="B7" s="49" t="s">
        <v>189</v>
      </c>
      <c r="C7" s="114">
        <v>39</v>
      </c>
      <c r="D7" s="47" t="s">
        <v>211</v>
      </c>
      <c r="E7" s="48">
        <v>17.09999999999998</v>
      </c>
      <c r="F7" s="49" t="s">
        <v>211</v>
      </c>
      <c r="G7" s="61">
        <v>0.4621621621621616</v>
      </c>
      <c r="H7" s="49" t="s">
        <v>190</v>
      </c>
      <c r="I7" s="53">
        <v>1539.8552995440607</v>
      </c>
      <c r="J7" s="49" t="s">
        <v>139</v>
      </c>
      <c r="K7" s="50">
        <v>1.9966329966329965</v>
      </c>
      <c r="L7" s="49" t="s">
        <v>139</v>
      </c>
      <c r="M7" s="51">
        <v>0.33670033670033672</v>
      </c>
      <c r="N7" s="49" t="s">
        <v>211</v>
      </c>
      <c r="O7" s="51">
        <v>0.35135135135135137</v>
      </c>
      <c r="P7" s="49" t="s">
        <v>139</v>
      </c>
      <c r="Q7" s="52">
        <v>0.2961630695443645</v>
      </c>
      <c r="R7" s="49" t="s">
        <v>139</v>
      </c>
      <c r="S7" s="52">
        <v>0.1650679456434852</v>
      </c>
      <c r="T7" s="49" t="s">
        <v>126</v>
      </c>
      <c r="U7" s="53">
        <v>8080.2816901408451</v>
      </c>
      <c r="V7" s="49" t="s">
        <v>195</v>
      </c>
      <c r="W7" s="53">
        <v>-7629.411764705882</v>
      </c>
      <c r="X7" s="49" t="s">
        <v>211</v>
      </c>
      <c r="Y7" s="51">
        <v>5.4054054054054057E-2</v>
      </c>
      <c r="Z7" s="49" t="s">
        <v>139</v>
      </c>
      <c r="AA7" s="52">
        <v>0.23581135091926458</v>
      </c>
      <c r="AB7" s="49" t="s">
        <v>163</v>
      </c>
      <c r="AC7" s="52">
        <v>0.24</v>
      </c>
      <c r="AD7" s="49" t="s">
        <v>192</v>
      </c>
      <c r="AE7" s="52">
        <v>0.53424657534246578</v>
      </c>
      <c r="AF7" s="49" t="s">
        <v>190</v>
      </c>
      <c r="AG7" s="52">
        <v>0.41025641025641024</v>
      </c>
      <c r="AH7" s="49" t="s">
        <v>163</v>
      </c>
      <c r="AI7" s="52">
        <v>0.45744680851063829</v>
      </c>
      <c r="AJ7" s="49" t="s">
        <v>189</v>
      </c>
      <c r="AK7" s="56">
        <v>89900</v>
      </c>
    </row>
    <row r="8" spans="1:37" x14ac:dyDescent="0.4">
      <c r="A8" s="46">
        <v>6</v>
      </c>
      <c r="B8" s="49" t="s">
        <v>211</v>
      </c>
      <c r="C8" s="114">
        <v>37</v>
      </c>
      <c r="D8" s="47" t="s">
        <v>139</v>
      </c>
      <c r="E8" s="48">
        <v>2.8421709430404007E-14</v>
      </c>
      <c r="F8" s="49" t="s">
        <v>139</v>
      </c>
      <c r="G8" s="61">
        <v>9.5695991348161637E-17</v>
      </c>
      <c r="H8" s="49" t="s">
        <v>211</v>
      </c>
      <c r="I8" s="53">
        <v>1506.4237748633886</v>
      </c>
      <c r="J8" s="49" t="s">
        <v>211</v>
      </c>
      <c r="K8" s="50">
        <v>2</v>
      </c>
      <c r="L8" s="49" t="s">
        <v>126</v>
      </c>
      <c r="M8" s="51">
        <v>0.3125</v>
      </c>
      <c r="N8" s="49" t="s">
        <v>126</v>
      </c>
      <c r="O8" s="51">
        <v>0.36249999999999999</v>
      </c>
      <c r="P8" s="49" t="s">
        <v>195</v>
      </c>
      <c r="Q8" s="52">
        <v>0.28155339805825241</v>
      </c>
      <c r="R8" s="49" t="s">
        <v>221</v>
      </c>
      <c r="S8" s="52">
        <v>0.16666666666666666</v>
      </c>
      <c r="T8" s="49" t="s">
        <v>190</v>
      </c>
      <c r="U8" s="53">
        <v>7989.7959183673465</v>
      </c>
      <c r="V8" s="49" t="s">
        <v>192</v>
      </c>
      <c r="W8" s="53">
        <v>-7654.545454545455</v>
      </c>
      <c r="X8" s="49" t="s">
        <v>192</v>
      </c>
      <c r="Y8" s="51">
        <v>7.3170731707317069E-2</v>
      </c>
      <c r="Z8" s="49" t="s">
        <v>190</v>
      </c>
      <c r="AA8" s="52">
        <v>0.23404255319148937</v>
      </c>
      <c r="AB8" s="49" t="s">
        <v>139</v>
      </c>
      <c r="AC8" s="52">
        <v>0.23141486810551559</v>
      </c>
      <c r="AD8" s="49" t="s">
        <v>139</v>
      </c>
      <c r="AE8" s="52">
        <v>0.52203389830508473</v>
      </c>
      <c r="AF8" s="49" t="s">
        <v>189</v>
      </c>
      <c r="AG8" s="52">
        <v>0.40776699029126212</v>
      </c>
      <c r="AH8" s="49" t="s">
        <v>139</v>
      </c>
      <c r="AI8" s="52">
        <v>0.4358974358974359</v>
      </c>
      <c r="AJ8" s="49" t="s">
        <v>211</v>
      </c>
      <c r="AK8" s="56">
        <v>80600</v>
      </c>
    </row>
    <row r="9" spans="1:37" x14ac:dyDescent="0.4">
      <c r="A9" s="46">
        <v>7</v>
      </c>
      <c r="B9" s="49" t="s">
        <v>190</v>
      </c>
      <c r="C9" s="114">
        <v>23</v>
      </c>
      <c r="D9" s="47" t="s">
        <v>221</v>
      </c>
      <c r="E9" s="48">
        <v>-13.5</v>
      </c>
      <c r="F9" s="49" t="s">
        <v>195</v>
      </c>
      <c r="G9" s="61">
        <v>-3.2916666666666665</v>
      </c>
      <c r="H9" s="49" t="s">
        <v>221</v>
      </c>
      <c r="I9" s="53">
        <v>1497.379788</v>
      </c>
      <c r="J9" s="49" t="s">
        <v>126</v>
      </c>
      <c r="K9" s="50">
        <v>2.0499999999999998</v>
      </c>
      <c r="L9" s="49" t="s">
        <v>163</v>
      </c>
      <c r="M9" s="51">
        <v>0.26829268292682928</v>
      </c>
      <c r="N9" s="49" t="s">
        <v>163</v>
      </c>
      <c r="O9" s="51">
        <v>0.36585365853658536</v>
      </c>
      <c r="P9" s="49" t="s">
        <v>163</v>
      </c>
      <c r="Q9" s="52">
        <v>0.26857142857142857</v>
      </c>
      <c r="R9" s="49" t="s">
        <v>189</v>
      </c>
      <c r="S9" s="52">
        <v>0.17352941176470588</v>
      </c>
      <c r="T9" s="49" t="s">
        <v>139</v>
      </c>
      <c r="U9" s="53">
        <v>7983.6707152496629</v>
      </c>
      <c r="V9" s="49" t="s">
        <v>189</v>
      </c>
      <c r="W9" s="53">
        <v>-7798.3050847457625</v>
      </c>
      <c r="X9" s="49" t="s">
        <v>126</v>
      </c>
      <c r="Y9" s="51">
        <v>7.4999999999999997E-2</v>
      </c>
      <c r="Z9" s="49" t="s">
        <v>216</v>
      </c>
      <c r="AA9" s="52">
        <v>0.22857142857142856</v>
      </c>
      <c r="AB9" s="49" t="s">
        <v>211</v>
      </c>
      <c r="AC9" s="52">
        <v>0.2168284789644013</v>
      </c>
      <c r="AD9" s="49" t="s">
        <v>189</v>
      </c>
      <c r="AE9" s="52">
        <v>0.46666666666666667</v>
      </c>
      <c r="AF9" s="49" t="s">
        <v>193</v>
      </c>
      <c r="AG9" s="52">
        <v>0.4</v>
      </c>
      <c r="AH9" s="49" t="s">
        <v>216</v>
      </c>
      <c r="AI9" s="52">
        <v>0.43333333333333335</v>
      </c>
      <c r="AJ9" s="49" t="s">
        <v>190</v>
      </c>
      <c r="AK9" s="56">
        <v>80000</v>
      </c>
    </row>
    <row r="10" spans="1:37" x14ac:dyDescent="0.4">
      <c r="A10" s="46">
        <v>8</v>
      </c>
      <c r="B10" s="49" t="s">
        <v>216</v>
      </c>
      <c r="C10" s="114">
        <v>18</v>
      </c>
      <c r="D10" s="47" t="s">
        <v>195</v>
      </c>
      <c r="E10" s="48">
        <v>-39.5</v>
      </c>
      <c r="F10" s="49" t="s">
        <v>163</v>
      </c>
      <c r="G10" s="61">
        <v>-3.6634146341463421</v>
      </c>
      <c r="H10" s="49" t="s">
        <v>216</v>
      </c>
      <c r="I10" s="53">
        <v>1475.2783888604056</v>
      </c>
      <c r="J10" s="49" t="s">
        <v>163</v>
      </c>
      <c r="K10" s="50">
        <v>2.0975609756097562</v>
      </c>
      <c r="L10" s="49" t="s">
        <v>190</v>
      </c>
      <c r="M10" s="51">
        <v>0.2608695652173913</v>
      </c>
      <c r="N10" s="49" t="s">
        <v>195</v>
      </c>
      <c r="O10" s="51">
        <v>0.41666666666666669</v>
      </c>
      <c r="P10" s="49" t="s">
        <v>190</v>
      </c>
      <c r="Q10" s="52">
        <v>0.26063829787234044</v>
      </c>
      <c r="R10" s="49" t="s">
        <v>126</v>
      </c>
      <c r="S10" s="52">
        <v>0.18853695324283559</v>
      </c>
      <c r="T10" s="49" t="s">
        <v>211</v>
      </c>
      <c r="U10" s="53">
        <v>7730.434782608696</v>
      </c>
      <c r="V10" s="49" t="s">
        <v>216</v>
      </c>
      <c r="W10" s="53">
        <v>-7886.2068965517237</v>
      </c>
      <c r="X10" s="49" t="s">
        <v>139</v>
      </c>
      <c r="Y10" s="51">
        <v>7.7441077441077436E-2</v>
      </c>
      <c r="Z10" s="49" t="s">
        <v>195</v>
      </c>
      <c r="AA10" s="52">
        <v>0.22330097087378642</v>
      </c>
      <c r="AB10" s="49" t="s">
        <v>126</v>
      </c>
      <c r="AC10" s="52">
        <v>0.20965309200603319</v>
      </c>
      <c r="AD10" s="49" t="s">
        <v>163</v>
      </c>
      <c r="AE10" s="52">
        <v>0.4606741573033708</v>
      </c>
      <c r="AF10" s="49" t="s">
        <v>221</v>
      </c>
      <c r="AG10" s="52">
        <v>0.4</v>
      </c>
      <c r="AH10" s="49" t="s">
        <v>211</v>
      </c>
      <c r="AI10" s="52">
        <v>0.41304347826086957</v>
      </c>
      <c r="AJ10" s="49" t="s">
        <v>216</v>
      </c>
      <c r="AK10" s="56">
        <v>74600</v>
      </c>
    </row>
    <row r="11" spans="1:37" x14ac:dyDescent="0.4">
      <c r="A11" s="46">
        <v>9</v>
      </c>
      <c r="B11" s="49" t="s">
        <v>195</v>
      </c>
      <c r="C11" s="114">
        <v>12</v>
      </c>
      <c r="D11" s="47" t="s">
        <v>193</v>
      </c>
      <c r="E11" s="48">
        <v>-51.699999999999996</v>
      </c>
      <c r="F11" s="49" t="s">
        <v>221</v>
      </c>
      <c r="G11" s="61">
        <v>-6.75</v>
      </c>
      <c r="H11" s="49" t="s">
        <v>189</v>
      </c>
      <c r="I11" s="53">
        <v>1475.0557740819513</v>
      </c>
      <c r="J11" s="49" t="s">
        <v>216</v>
      </c>
      <c r="K11" s="50">
        <v>2.2222222222222223</v>
      </c>
      <c r="L11" s="49" t="s">
        <v>193</v>
      </c>
      <c r="M11" s="51">
        <v>0.25</v>
      </c>
      <c r="N11" s="49" t="s">
        <v>216</v>
      </c>
      <c r="O11" s="51">
        <v>0.44444444444444442</v>
      </c>
      <c r="P11" s="49" t="s">
        <v>193</v>
      </c>
      <c r="Q11" s="52">
        <v>0.22857142857142856</v>
      </c>
      <c r="R11" s="49" t="s">
        <v>163</v>
      </c>
      <c r="S11" s="52">
        <v>0.18857142857142858</v>
      </c>
      <c r="T11" s="49" t="s">
        <v>192</v>
      </c>
      <c r="U11" s="53">
        <v>7712.6050420168067</v>
      </c>
      <c r="V11" s="49" t="s">
        <v>163</v>
      </c>
      <c r="W11" s="53">
        <v>-8066.666666666667</v>
      </c>
      <c r="X11" s="49" t="s">
        <v>216</v>
      </c>
      <c r="Y11" s="51">
        <v>0.1111111111111111</v>
      </c>
      <c r="Z11" s="49" t="s">
        <v>221</v>
      </c>
      <c r="AA11" s="52">
        <v>0.22222222222222221</v>
      </c>
      <c r="AB11" s="49" t="s">
        <v>190</v>
      </c>
      <c r="AC11" s="52">
        <v>0.20744680851063829</v>
      </c>
      <c r="AD11" s="49" t="s">
        <v>216</v>
      </c>
      <c r="AE11" s="52">
        <v>0.4375</v>
      </c>
      <c r="AF11" s="49" t="s">
        <v>195</v>
      </c>
      <c r="AG11" s="52">
        <v>0.35714285714285715</v>
      </c>
      <c r="AH11" s="49" t="s">
        <v>192</v>
      </c>
      <c r="AI11" s="52">
        <v>0.40336134453781514</v>
      </c>
      <c r="AJ11" s="49" t="s">
        <v>195</v>
      </c>
      <c r="AK11" s="56">
        <v>65700</v>
      </c>
    </row>
    <row r="12" spans="1:37" x14ac:dyDescent="0.4">
      <c r="A12" s="46">
        <v>10</v>
      </c>
      <c r="B12" s="49" t="s">
        <v>193</v>
      </c>
      <c r="C12" s="114">
        <v>4</v>
      </c>
      <c r="D12" s="47" t="s">
        <v>163</v>
      </c>
      <c r="E12" s="48">
        <v>-150.20000000000002</v>
      </c>
      <c r="F12" s="49" t="s">
        <v>216</v>
      </c>
      <c r="G12" s="61">
        <v>-10.016666666666667</v>
      </c>
      <c r="H12" s="49" t="s">
        <v>195</v>
      </c>
      <c r="I12" s="53">
        <v>1396.3170423346389</v>
      </c>
      <c r="J12" s="49" t="s">
        <v>193</v>
      </c>
      <c r="K12" s="50">
        <v>2.25</v>
      </c>
      <c r="L12" s="49" t="s">
        <v>216</v>
      </c>
      <c r="M12" s="51">
        <v>0.22222222222222221</v>
      </c>
      <c r="N12" s="49" t="s">
        <v>193</v>
      </c>
      <c r="O12" s="51">
        <v>0.5</v>
      </c>
      <c r="P12" s="49" t="s">
        <v>221</v>
      </c>
      <c r="Q12" s="52">
        <v>0.22222222222222221</v>
      </c>
      <c r="R12" s="49" t="s">
        <v>216</v>
      </c>
      <c r="S12" s="52">
        <v>0.20714285714285716</v>
      </c>
      <c r="T12" s="49" t="s">
        <v>189</v>
      </c>
      <c r="U12" s="53">
        <v>7652.4271844660198</v>
      </c>
      <c r="V12" s="49" t="s">
        <v>193</v>
      </c>
      <c r="W12" s="53">
        <v>-9387.5</v>
      </c>
      <c r="X12" s="49" t="s">
        <v>163</v>
      </c>
      <c r="Y12" s="51">
        <v>0.12195121951219512</v>
      </c>
      <c r="Z12" s="49" t="s">
        <v>192</v>
      </c>
      <c r="AA12" s="52">
        <v>0.2050561797752809</v>
      </c>
      <c r="AB12" s="49" t="s">
        <v>216</v>
      </c>
      <c r="AC12" s="52">
        <v>0.17142857142857143</v>
      </c>
      <c r="AD12" s="49" t="s">
        <v>221</v>
      </c>
      <c r="AE12" s="52">
        <v>0.25</v>
      </c>
      <c r="AF12" s="49" t="s">
        <v>163</v>
      </c>
      <c r="AG12" s="52">
        <v>0.33333333333333331</v>
      </c>
      <c r="AH12" s="49" t="s">
        <v>193</v>
      </c>
      <c r="AI12" s="52">
        <v>0.25</v>
      </c>
      <c r="AJ12" s="49" t="s">
        <v>193</v>
      </c>
      <c r="AK12" s="56">
        <v>45000</v>
      </c>
    </row>
    <row r="13" spans="1:37" x14ac:dyDescent="0.4">
      <c r="A13" s="46">
        <v>11</v>
      </c>
      <c r="B13" s="49" t="s">
        <v>221</v>
      </c>
      <c r="C13" s="114">
        <v>2</v>
      </c>
      <c r="D13" s="47" t="s">
        <v>216</v>
      </c>
      <c r="E13" s="48">
        <v>-180.3</v>
      </c>
      <c r="F13" s="49" t="s">
        <v>193</v>
      </c>
      <c r="G13" s="61">
        <v>-12.924999999999999</v>
      </c>
      <c r="H13" s="49" t="s">
        <v>193</v>
      </c>
      <c r="I13" s="53">
        <v>1343.1099105729741</v>
      </c>
      <c r="J13" s="49" t="s">
        <v>221</v>
      </c>
      <c r="K13" s="50">
        <v>2.5</v>
      </c>
      <c r="L13" s="49" t="s">
        <v>221</v>
      </c>
      <c r="M13" s="51">
        <v>0</v>
      </c>
      <c r="N13" s="49" t="s">
        <v>221</v>
      </c>
      <c r="O13" s="51">
        <v>0.5</v>
      </c>
      <c r="P13" s="49" t="s">
        <v>216</v>
      </c>
      <c r="Q13" s="52">
        <v>0.21428571428571427</v>
      </c>
      <c r="R13" s="49" t="s">
        <v>193</v>
      </c>
      <c r="S13" s="52">
        <v>0.22857142857142856</v>
      </c>
      <c r="T13" s="49" t="s">
        <v>216</v>
      </c>
      <c r="U13" s="53">
        <v>7183.333333333333</v>
      </c>
      <c r="V13" s="49" t="s">
        <v>221</v>
      </c>
      <c r="W13" s="53">
        <v>-10300</v>
      </c>
      <c r="X13" s="49" t="s">
        <v>195</v>
      </c>
      <c r="Y13" s="51">
        <v>0.16666666666666666</v>
      </c>
      <c r="Z13" s="49" t="s">
        <v>211</v>
      </c>
      <c r="AA13" s="52">
        <v>0.20388349514563106</v>
      </c>
      <c r="AB13" s="49" t="s">
        <v>195</v>
      </c>
      <c r="AC13" s="52">
        <v>0.13592233009708737</v>
      </c>
      <c r="AD13" s="49" t="s">
        <v>193</v>
      </c>
      <c r="AE13" s="52">
        <v>0.22222222222222221</v>
      </c>
      <c r="AF13" s="49" t="s">
        <v>216</v>
      </c>
      <c r="AG13" s="52">
        <v>0.29166666666666669</v>
      </c>
      <c r="AH13" s="49" t="s">
        <v>190</v>
      </c>
      <c r="AI13" s="52">
        <v>0.24489795918367346</v>
      </c>
      <c r="AJ13" s="49" t="s">
        <v>221</v>
      </c>
      <c r="AK13" s="56">
        <v>39000</v>
      </c>
    </row>
  </sheetData>
  <sortState xmlns:xlrd2="http://schemas.microsoft.com/office/spreadsheetml/2017/richdata2" ref="AJ3:AK66">
    <sortCondition descending="1" ref="AK1"/>
  </sortState>
  <mergeCells count="36">
    <mergeCell ref="Z1:AA1"/>
    <mergeCell ref="AB1:AC1"/>
    <mergeCell ref="AD1:AE1"/>
    <mergeCell ref="AF1:AG1"/>
    <mergeCell ref="P2:Q2"/>
    <mergeCell ref="N2:O2"/>
    <mergeCell ref="H2:I2"/>
    <mergeCell ref="P1:Q1"/>
    <mergeCell ref="N1:O1"/>
    <mergeCell ref="H1: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25258-2DD4-4E42-AF1D-9C19597A162F}">
  <sheetPr codeName="Sheet4"/>
  <dimension ref="A1:R299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139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297</v>
      </c>
      <c r="C2" s="134"/>
      <c r="E2" s="26" t="s">
        <v>66</v>
      </c>
      <c r="F2" s="23" t="s">
        <v>22</v>
      </c>
      <c r="G2" s="11">
        <v>572</v>
      </c>
      <c r="H2" s="87">
        <f>IF(B$20=0,0,G2/B$20)</f>
        <v>0.77192982456140347</v>
      </c>
      <c r="I2" s="57">
        <v>5</v>
      </c>
      <c r="K2" s="73">
        <v>0</v>
      </c>
      <c r="L2" s="118">
        <v>0</v>
      </c>
      <c r="M2" s="116">
        <v>1594.5463045050694</v>
      </c>
      <c r="O2" s="73" t="s">
        <v>128</v>
      </c>
      <c r="P2" s="79">
        <f t="shared" ref="P2:P7" si="0">IF(Q2=0,0,R2/Q2)</f>
        <v>-37.037037037037038</v>
      </c>
      <c r="Q2" s="76">
        <v>297</v>
      </c>
      <c r="R2" s="63">
        <v>-11000</v>
      </c>
    </row>
    <row r="3" spans="1:18" x14ac:dyDescent="0.4">
      <c r="A3" s="19" t="s">
        <v>8</v>
      </c>
      <c r="B3" s="135">
        <v>2502</v>
      </c>
      <c r="C3" s="136"/>
      <c r="E3" s="27" t="s">
        <v>72</v>
      </c>
      <c r="F3" s="24" t="s">
        <v>27</v>
      </c>
      <c r="G3" s="12">
        <v>438</v>
      </c>
      <c r="H3" s="88">
        <f>IF(B$20=0,0,G3/B$20)</f>
        <v>0.59109311740890691</v>
      </c>
      <c r="I3" s="58">
        <v>6</v>
      </c>
      <c r="K3" s="74">
        <v>1</v>
      </c>
      <c r="L3" s="119">
        <v>20.9</v>
      </c>
      <c r="M3" s="117">
        <v>1597.7410266780389</v>
      </c>
      <c r="O3" s="74" t="s">
        <v>129</v>
      </c>
      <c r="P3" s="80">
        <f t="shared" si="0"/>
        <v>34.722222222222221</v>
      </c>
      <c r="Q3" s="77">
        <v>288</v>
      </c>
      <c r="R3" s="64">
        <v>10000</v>
      </c>
    </row>
    <row r="4" spans="1:18" x14ac:dyDescent="0.4">
      <c r="A4" s="19" t="s">
        <v>6</v>
      </c>
      <c r="B4" s="137">
        <v>2.8421709430404007E-14</v>
      </c>
      <c r="C4" s="138"/>
      <c r="E4" s="27" t="s">
        <v>64</v>
      </c>
      <c r="F4" s="24" t="s">
        <v>20</v>
      </c>
      <c r="G4" s="12">
        <v>301</v>
      </c>
      <c r="H4" s="88">
        <f>IF(B$20=0,0,G4/B$20)</f>
        <v>0.40620782726045884</v>
      </c>
      <c r="I4" s="58">
        <v>6</v>
      </c>
      <c r="K4" s="74">
        <v>2</v>
      </c>
      <c r="L4" s="119">
        <v>-10.100000000000001</v>
      </c>
      <c r="M4" s="117">
        <v>1591.5745805179706</v>
      </c>
      <c r="O4" s="74" t="s">
        <v>130</v>
      </c>
      <c r="P4" s="80">
        <f t="shared" si="0"/>
        <v>-17.361111111111111</v>
      </c>
      <c r="Q4" s="77">
        <v>288</v>
      </c>
      <c r="R4" s="64">
        <v>-5000</v>
      </c>
    </row>
    <row r="5" spans="1:18" x14ac:dyDescent="0.4">
      <c r="A5" s="19" t="s">
        <v>7</v>
      </c>
      <c r="B5" s="125">
        <f>IF(B$2=0,0,B$4/B$2)</f>
        <v>9.5695991348161637E-17</v>
      </c>
      <c r="C5" s="126"/>
      <c r="E5" s="27" t="s">
        <v>159</v>
      </c>
      <c r="F5" s="24" t="s">
        <v>160</v>
      </c>
      <c r="G5" s="12">
        <v>294</v>
      </c>
      <c r="H5" s="88">
        <f>IF(B$20=0,0,G5/B$20)</f>
        <v>0.39676113360323889</v>
      </c>
      <c r="I5" s="58">
        <v>6</v>
      </c>
      <c r="K5" s="74">
        <v>3</v>
      </c>
      <c r="L5" s="119">
        <v>-1.7763568394002505E-15</v>
      </c>
      <c r="M5" s="117">
        <v>1592.8431330348628</v>
      </c>
      <c r="O5" s="74" t="s">
        <v>131</v>
      </c>
      <c r="P5" s="80">
        <f t="shared" si="0"/>
        <v>-7.2463768115942031</v>
      </c>
      <c r="Q5" s="77">
        <v>276</v>
      </c>
      <c r="R5" s="64">
        <v>-2000</v>
      </c>
    </row>
    <row r="6" spans="1:18" x14ac:dyDescent="0.4">
      <c r="A6" s="19" t="s">
        <v>196</v>
      </c>
      <c r="B6" s="129">
        <v>1597.6454776776075</v>
      </c>
      <c r="C6" s="130"/>
      <c r="E6" s="27" t="s">
        <v>68</v>
      </c>
      <c r="F6" s="24" t="s">
        <v>12</v>
      </c>
      <c r="G6" s="12">
        <v>217</v>
      </c>
      <c r="H6" s="88">
        <f>IF(B$20=0,0,G6/B$20)</f>
        <v>0.29284750337381915</v>
      </c>
      <c r="I6" s="58">
        <v>6</v>
      </c>
      <c r="K6" s="74">
        <v>4</v>
      </c>
      <c r="L6" s="119">
        <v>26.299999999999997</v>
      </c>
      <c r="M6" s="117">
        <v>1597.8720742366536</v>
      </c>
      <c r="O6" s="74" t="s">
        <v>132</v>
      </c>
      <c r="P6" s="80">
        <f t="shared" si="0"/>
        <v>19.607843137254903</v>
      </c>
      <c r="Q6" s="77">
        <v>255</v>
      </c>
      <c r="R6" s="64">
        <v>5000</v>
      </c>
    </row>
    <row r="7" spans="1:18" x14ac:dyDescent="0.4">
      <c r="A7" s="19" t="s">
        <v>1</v>
      </c>
      <c r="B7" s="139">
        <f>IF(B$2=0,0,(B$8*1+B$9*2+B$10*3)/B$2)</f>
        <v>1.9966329966329965</v>
      </c>
      <c r="C7" s="140"/>
      <c r="E7" s="27" t="s">
        <v>67</v>
      </c>
      <c r="F7" s="24" t="s">
        <v>23</v>
      </c>
      <c r="G7" s="12">
        <v>160</v>
      </c>
      <c r="H7" s="88">
        <f>IF(B$20=0,0,G7/B$20)</f>
        <v>0.21592442645074225</v>
      </c>
      <c r="I7" s="58">
        <v>6</v>
      </c>
      <c r="K7" s="74">
        <v>5</v>
      </c>
      <c r="L7" s="119">
        <v>-41.600000000000009</v>
      </c>
      <c r="M7" s="117">
        <v>1585.9148417912336</v>
      </c>
      <c r="O7" s="75" t="s">
        <v>133</v>
      </c>
      <c r="P7" s="81">
        <f t="shared" si="0"/>
        <v>13.698630136986301</v>
      </c>
      <c r="Q7" s="78">
        <v>219</v>
      </c>
      <c r="R7" s="65">
        <v>3000</v>
      </c>
    </row>
    <row r="8" spans="1:18" x14ac:dyDescent="0.4">
      <c r="A8" s="19" t="s">
        <v>2</v>
      </c>
      <c r="B8" s="12">
        <v>100</v>
      </c>
      <c r="C8" s="6">
        <f t="shared" ref="C8:C15" si="1">IF(B$2=0,0,B8/B$2)</f>
        <v>0.33670033670033672</v>
      </c>
      <c r="E8" s="27" t="s">
        <v>89</v>
      </c>
      <c r="F8" s="24" t="s">
        <v>44</v>
      </c>
      <c r="G8" s="12">
        <v>104</v>
      </c>
      <c r="H8" s="88">
        <f>IF(B$20=0,0,G8/B$20)</f>
        <v>0.14035087719298245</v>
      </c>
      <c r="I8" s="58">
        <v>6</v>
      </c>
      <c r="K8" s="74">
        <v>6</v>
      </c>
      <c r="L8" s="119">
        <v>-7.1054273576010019E-15</v>
      </c>
      <c r="M8" s="117">
        <v>1593.7393527404861</v>
      </c>
      <c r="O8" s="107"/>
      <c r="P8" s="85"/>
      <c r="Q8" s="108"/>
      <c r="R8" s="70"/>
    </row>
    <row r="9" spans="1:18" x14ac:dyDescent="0.4">
      <c r="A9" s="19" t="s">
        <v>3</v>
      </c>
      <c r="B9" s="12">
        <v>98</v>
      </c>
      <c r="C9" s="6">
        <f t="shared" si="1"/>
        <v>0.32996632996632996</v>
      </c>
      <c r="E9" s="27" t="s">
        <v>69</v>
      </c>
      <c r="F9" s="24" t="s">
        <v>24</v>
      </c>
      <c r="G9" s="12">
        <v>95</v>
      </c>
      <c r="H9" s="88">
        <f>IF(B$20=0,0,G9/B$20)</f>
        <v>0.12820512820512819</v>
      </c>
      <c r="I9" s="58">
        <v>3</v>
      </c>
      <c r="K9" s="74">
        <v>7</v>
      </c>
      <c r="L9" s="119">
        <v>-33.600000000000009</v>
      </c>
      <c r="M9" s="117">
        <v>1587.8309166240431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99</v>
      </c>
      <c r="C10" s="7">
        <f t="shared" si="1"/>
        <v>0.33333333333333331</v>
      </c>
      <c r="E10" s="27" t="s">
        <v>70</v>
      </c>
      <c r="F10" s="24" t="s">
        <v>25</v>
      </c>
      <c r="G10" s="12">
        <v>80</v>
      </c>
      <c r="H10" s="88">
        <f>IF(B$20=0,0,G10/B$20)</f>
        <v>0.10796221322537113</v>
      </c>
      <c r="I10" s="58">
        <v>4</v>
      </c>
      <c r="K10" s="74">
        <v>8</v>
      </c>
      <c r="L10" s="119">
        <v>21.999999999999993</v>
      </c>
      <c r="M10" s="117">
        <v>1598.0139311242988</v>
      </c>
      <c r="O10" s="73" t="s">
        <v>151</v>
      </c>
      <c r="P10" s="82">
        <f>IF(Q10=0,0,R10/Q10)</f>
        <v>3.0909090909090904</v>
      </c>
      <c r="Q10" s="76">
        <v>99</v>
      </c>
      <c r="R10" s="67">
        <v>305.99999999999994</v>
      </c>
    </row>
    <row r="11" spans="1:18" x14ac:dyDescent="0.4">
      <c r="A11" s="20" t="s">
        <v>184</v>
      </c>
      <c r="B11" s="109">
        <f>IF(B8=0,0,C11/B8)</f>
        <v>34.034999999999997</v>
      </c>
      <c r="C11" s="110">
        <v>3403.4999999999995</v>
      </c>
      <c r="E11" s="27" t="s">
        <v>65</v>
      </c>
      <c r="F11" s="24" t="s">
        <v>21</v>
      </c>
      <c r="G11" s="12">
        <v>62</v>
      </c>
      <c r="H11" s="88">
        <f>IF(B$20=0,0,G11/B$20)</f>
        <v>8.3670715249662617E-2</v>
      </c>
      <c r="I11" s="58">
        <v>7</v>
      </c>
      <c r="K11" s="74">
        <v>9</v>
      </c>
      <c r="L11" s="119">
        <v>-7.1054273576010019E-15</v>
      </c>
      <c r="M11" s="117">
        <v>1594.1678475375529</v>
      </c>
      <c r="O11" s="74" t="s">
        <v>152</v>
      </c>
      <c r="P11" s="83">
        <f>IF(Q11=0,0,R11/Q11)</f>
        <v>-4.1545454545454543</v>
      </c>
      <c r="Q11" s="77">
        <v>99</v>
      </c>
      <c r="R11" s="68">
        <v>-411.29999999999995</v>
      </c>
    </row>
    <row r="12" spans="1:18" x14ac:dyDescent="0.4">
      <c r="A12" s="20" t="s">
        <v>185</v>
      </c>
      <c r="B12" s="109">
        <f>IF(B9=0,0,C12/B9)</f>
        <v>-0.97142857142857131</v>
      </c>
      <c r="C12" s="110">
        <v>-95.199999999999989</v>
      </c>
      <c r="E12" s="27" t="s">
        <v>71</v>
      </c>
      <c r="F12" s="24" t="s">
        <v>26</v>
      </c>
      <c r="G12" s="12">
        <v>44</v>
      </c>
      <c r="H12" s="88">
        <f>IF(B$20=0,0,G12/B$20)</f>
        <v>5.9379217273954114E-2</v>
      </c>
      <c r="I12" s="58">
        <v>5</v>
      </c>
      <c r="K12" s="74">
        <v>10</v>
      </c>
      <c r="L12" s="119">
        <v>-30.700000000000006</v>
      </c>
      <c r="M12" s="117">
        <v>1588.8028404523277</v>
      </c>
      <c r="O12" s="75" t="s">
        <v>153</v>
      </c>
      <c r="P12" s="84">
        <f>IF(Q12=0,0,R12/Q12)</f>
        <v>1.0636363636363637</v>
      </c>
      <c r="Q12" s="78">
        <v>99</v>
      </c>
      <c r="R12" s="69">
        <v>105.3</v>
      </c>
    </row>
    <row r="13" spans="1:18" x14ac:dyDescent="0.4">
      <c r="A13" s="20" t="s">
        <v>186</v>
      </c>
      <c r="B13" s="109">
        <f>IF(B10=0,0,C13/B10)</f>
        <v>-33.417171717171719</v>
      </c>
      <c r="C13" s="110">
        <v>-3308.3</v>
      </c>
      <c r="E13" s="27" t="s">
        <v>86</v>
      </c>
      <c r="F13" s="24" t="s">
        <v>41</v>
      </c>
      <c r="G13" s="12">
        <v>40</v>
      </c>
      <c r="H13" s="88">
        <f>IF(B$20=0,0,G13/B$20)</f>
        <v>5.3981106612685563E-2</v>
      </c>
      <c r="I13" s="58">
        <v>6</v>
      </c>
      <c r="K13" s="74">
        <v>11</v>
      </c>
      <c r="L13" s="119">
        <v>-34.000000000000007</v>
      </c>
      <c r="M13" s="117">
        <v>1588.4020234096138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-0.11786676286676349</v>
      </c>
      <c r="C14" s="126"/>
      <c r="E14" s="27" t="s">
        <v>83</v>
      </c>
      <c r="F14" s="24" t="s">
        <v>38</v>
      </c>
      <c r="G14" s="12">
        <v>32</v>
      </c>
      <c r="H14" s="88">
        <f>IF(B$20=0,0,G14/B$20)</f>
        <v>4.3184885290148446E-2</v>
      </c>
      <c r="I14" s="58">
        <v>5</v>
      </c>
      <c r="K14" s="74">
        <v>12</v>
      </c>
      <c r="L14" s="119">
        <v>-7.1054273576010019E-15</v>
      </c>
      <c r="M14" s="117">
        <v>1594.7176112691561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23</v>
      </c>
      <c r="C15" s="9">
        <f t="shared" si="1"/>
        <v>7.7441077441077436E-2</v>
      </c>
      <c r="E15" s="27" t="s">
        <v>81</v>
      </c>
      <c r="F15" s="24" t="s">
        <v>36</v>
      </c>
      <c r="G15" s="12">
        <v>25</v>
      </c>
      <c r="H15" s="88">
        <f>IF(B$20=0,0,G15/B$20)</f>
        <v>3.3738191632928474E-2</v>
      </c>
      <c r="I15" s="58">
        <v>7</v>
      </c>
      <c r="K15" s="74">
        <v>13</v>
      </c>
      <c r="L15" s="119">
        <v>48.999999999999993</v>
      </c>
      <c r="M15" s="117">
        <v>1603.6953056015411</v>
      </c>
      <c r="O15" s="73" t="s">
        <v>193</v>
      </c>
      <c r="P15" s="82">
        <f>IF(Q15=0,0,R15/Q15)</f>
        <v>19.387500000000003</v>
      </c>
      <c r="Q15" s="76">
        <v>8</v>
      </c>
      <c r="R15" s="67">
        <v>155.10000000000002</v>
      </c>
    </row>
    <row r="16" spans="1:18" x14ac:dyDescent="0.4">
      <c r="A16" s="22" t="s">
        <v>121</v>
      </c>
      <c r="B16" s="15">
        <v>590</v>
      </c>
      <c r="C16" s="10">
        <f>IF(B$3=0,0,B16/B$3)</f>
        <v>0.23581135091926458</v>
      </c>
      <c r="E16" s="27" t="s">
        <v>78</v>
      </c>
      <c r="F16" s="24" t="s">
        <v>33</v>
      </c>
      <c r="G16" s="12">
        <v>19</v>
      </c>
      <c r="H16" s="88">
        <f>IF(B$20=0,0,G16/B$20)</f>
        <v>2.564102564102564E-2</v>
      </c>
      <c r="I16" s="58">
        <v>7</v>
      </c>
      <c r="K16" s="74">
        <v>14</v>
      </c>
      <c r="L16" s="119">
        <v>3.4999999999999929</v>
      </c>
      <c r="M16" s="117">
        <v>1595.6091337679318</v>
      </c>
      <c r="O16" s="74" t="s">
        <v>216</v>
      </c>
      <c r="P16" s="83">
        <f>IF(Q16=0,0,R16/Q16)</f>
        <v>15.025000000000002</v>
      </c>
      <c r="Q16" s="77">
        <v>36</v>
      </c>
      <c r="R16" s="68">
        <v>540.90000000000009</v>
      </c>
    </row>
    <row r="17" spans="1:18" x14ac:dyDescent="0.4">
      <c r="A17" s="19" t="s">
        <v>118</v>
      </c>
      <c r="B17" s="12">
        <v>579</v>
      </c>
      <c r="C17" s="6">
        <f>IF(B$3=0,0,B17/B$3)</f>
        <v>0.23141486810551559</v>
      </c>
      <c r="E17" s="27" t="s">
        <v>155</v>
      </c>
      <c r="F17" s="24" t="s">
        <v>156</v>
      </c>
      <c r="G17" s="12">
        <v>14</v>
      </c>
      <c r="H17" s="88">
        <f>IF(B$20=0,0,G17/B$20)</f>
        <v>1.8893387314439947E-2</v>
      </c>
      <c r="I17" s="58">
        <v>3</v>
      </c>
      <c r="K17" s="74">
        <v>15</v>
      </c>
      <c r="L17" s="119">
        <v>-7.1054273576010019E-15</v>
      </c>
      <c r="M17" s="117">
        <v>1595.1314789653243</v>
      </c>
      <c r="O17" s="74" t="s">
        <v>221</v>
      </c>
      <c r="P17" s="83">
        <f>IF(Q17=0,0,R17/Q17)</f>
        <v>10.125</v>
      </c>
      <c r="Q17" s="77">
        <v>4</v>
      </c>
      <c r="R17" s="68">
        <v>40.5</v>
      </c>
    </row>
    <row r="18" spans="1:18" x14ac:dyDescent="0.4">
      <c r="A18" s="18" t="s">
        <v>123</v>
      </c>
      <c r="B18" s="11">
        <f>B24</f>
        <v>308</v>
      </c>
      <c r="C18" s="5">
        <f>IF(B$16=0,0,B18/B$16)</f>
        <v>0.52203389830508473</v>
      </c>
      <c r="E18" s="27" t="s">
        <v>91</v>
      </c>
      <c r="F18" s="24" t="s">
        <v>46</v>
      </c>
      <c r="G18" s="12">
        <v>13</v>
      </c>
      <c r="H18" s="88">
        <f>IF(B$20=0,0,G18/B$20)</f>
        <v>1.7543859649122806E-2</v>
      </c>
      <c r="I18" s="58">
        <v>4</v>
      </c>
      <c r="K18" s="74">
        <v>16</v>
      </c>
      <c r="L18" s="119">
        <v>-11.600000000000007</v>
      </c>
      <c r="M18" s="117">
        <v>1593.0666900915323</v>
      </c>
      <c r="O18" s="74" t="s">
        <v>163</v>
      </c>
      <c r="P18" s="83">
        <f>IF(Q18=0,0,R18/Q18)</f>
        <v>5.495121951219514</v>
      </c>
      <c r="Q18" s="77">
        <v>82</v>
      </c>
      <c r="R18" s="68">
        <v>450.60000000000014</v>
      </c>
    </row>
    <row r="19" spans="1:18" x14ac:dyDescent="0.4">
      <c r="A19" s="18" t="s">
        <v>124</v>
      </c>
      <c r="B19" s="11">
        <f>B25</f>
        <v>242</v>
      </c>
      <c r="C19" s="5">
        <f>IF(B$17=0,0,B19/B$17)</f>
        <v>0.41796200345423146</v>
      </c>
      <c r="E19" s="27" t="s">
        <v>79</v>
      </c>
      <c r="F19" s="24" t="s">
        <v>34</v>
      </c>
      <c r="G19" s="12">
        <v>10</v>
      </c>
      <c r="H19" s="88">
        <f>IF(B$20=0,0,G19/B$20)</f>
        <v>1.3495276653171391E-2</v>
      </c>
      <c r="I19" s="58">
        <v>4</v>
      </c>
      <c r="K19" s="74">
        <v>17</v>
      </c>
      <c r="L19" s="119">
        <v>-7.1054273576010019E-15</v>
      </c>
      <c r="M19" s="117">
        <v>1595.1902899509832</v>
      </c>
      <c r="O19" s="74" t="s">
        <v>195</v>
      </c>
      <c r="P19" s="83">
        <f>IF(Q19=0,0,R19/Q19)</f>
        <v>4.9375000000000036</v>
      </c>
      <c r="Q19" s="77">
        <v>24</v>
      </c>
      <c r="R19" s="68">
        <v>118.50000000000009</v>
      </c>
    </row>
    <row r="20" spans="1:18" x14ac:dyDescent="0.4">
      <c r="A20" s="18" t="s">
        <v>10</v>
      </c>
      <c r="B20" s="11">
        <f>B23+B22</f>
        <v>741</v>
      </c>
      <c r="C20" s="5">
        <f>IF(B$3=0,0,B20/B$3)</f>
        <v>0.2961630695443645</v>
      </c>
      <c r="E20" s="27" t="s">
        <v>73</v>
      </c>
      <c r="F20" s="24" t="s">
        <v>28</v>
      </c>
      <c r="G20" s="12">
        <v>7</v>
      </c>
      <c r="H20" s="88">
        <f>IF(B$20=0,0,G20/B$20)</f>
        <v>9.4466936572199737E-3</v>
      </c>
      <c r="I20" s="58">
        <v>4</v>
      </c>
      <c r="K20" s="74">
        <v>18</v>
      </c>
      <c r="L20" s="119">
        <v>-7.1054273576010019E-15</v>
      </c>
      <c r="M20" s="117">
        <v>1595.2131482112773</v>
      </c>
      <c r="O20" s="74" t="s">
        <v>211</v>
      </c>
      <c r="P20" s="83">
        <f>IF(Q20=0,0,R20/Q20)</f>
        <v>-0.69324324324324449</v>
      </c>
      <c r="Q20" s="77">
        <v>74</v>
      </c>
      <c r="R20" s="68">
        <v>-51.30000000000009</v>
      </c>
    </row>
    <row r="21" spans="1:18" x14ac:dyDescent="0.4">
      <c r="A21" s="19" t="s">
        <v>13</v>
      </c>
      <c r="B21" s="12">
        <v>413</v>
      </c>
      <c r="C21" s="6">
        <f>IF(B$3=0,0,B21/B$3)</f>
        <v>0.1650679456434852</v>
      </c>
      <c r="E21" s="27" t="s">
        <v>75</v>
      </c>
      <c r="F21" s="24" t="s">
        <v>30</v>
      </c>
      <c r="G21" s="12">
        <v>3</v>
      </c>
      <c r="H21" s="88">
        <f>IF(B$20=0,0,G21/B$20)</f>
        <v>4.048582995951417E-3</v>
      </c>
      <c r="I21" s="58">
        <v>4</v>
      </c>
      <c r="K21" s="74">
        <v>19</v>
      </c>
      <c r="L21" s="119">
        <v>-23.100000000000009</v>
      </c>
      <c r="M21" s="117">
        <v>1591.1138693220096</v>
      </c>
      <c r="O21" s="74" t="s">
        <v>126</v>
      </c>
      <c r="P21" s="83">
        <f>IF(Q21=0,0,R21/Q21)</f>
        <v>-0.93749999999999756</v>
      </c>
      <c r="Q21" s="77">
        <v>160</v>
      </c>
      <c r="R21" s="68">
        <v>-149.9999999999996</v>
      </c>
    </row>
    <row r="22" spans="1:18" x14ac:dyDescent="0.4">
      <c r="A22" s="19" t="s">
        <v>12</v>
      </c>
      <c r="B22" s="12">
        <v>323</v>
      </c>
      <c r="C22" s="6">
        <f>IF(B$20=0,0,B22/B$20)</f>
        <v>0.4358974358974359</v>
      </c>
      <c r="E22" s="27" t="s">
        <v>85</v>
      </c>
      <c r="F22" s="24" t="s">
        <v>40</v>
      </c>
      <c r="G22" s="12">
        <v>3</v>
      </c>
      <c r="H22" s="88">
        <f>IF(B$20=0,0,G22/B$20)</f>
        <v>4.048582995951417E-3</v>
      </c>
      <c r="I22" s="58">
        <v>4</v>
      </c>
      <c r="K22" s="74">
        <v>20</v>
      </c>
      <c r="L22" s="119">
        <v>-31.300000000000008</v>
      </c>
      <c r="M22" s="117">
        <v>1589.7211861060775</v>
      </c>
      <c r="O22" s="74" t="s">
        <v>190</v>
      </c>
      <c r="P22" s="83">
        <f>IF(Q22=0,0,R22/Q22)</f>
        <v>-1.8130434782608698</v>
      </c>
      <c r="Q22" s="77">
        <v>46</v>
      </c>
      <c r="R22" s="68">
        <v>-83.4</v>
      </c>
    </row>
    <row r="23" spans="1:18" x14ac:dyDescent="0.4">
      <c r="A23" s="19" t="s">
        <v>11</v>
      </c>
      <c r="B23" s="12">
        <v>418</v>
      </c>
      <c r="C23" s="6">
        <f>IF(B$20=0,0,B23/B$20)</f>
        <v>0.5641025641025641</v>
      </c>
      <c r="E23" s="27" t="s">
        <v>88</v>
      </c>
      <c r="F23" s="24" t="s">
        <v>43</v>
      </c>
      <c r="G23" s="12">
        <v>3</v>
      </c>
      <c r="H23" s="88">
        <f>IF(B$20=0,0,G23/B$20)</f>
        <v>4.048582995951417E-3</v>
      </c>
      <c r="I23" s="58">
        <v>4</v>
      </c>
      <c r="K23" s="74">
        <v>21</v>
      </c>
      <c r="L23" s="119">
        <v>-7.1054273576010019E-15</v>
      </c>
      <c r="M23" s="117">
        <v>1595.4468589894411</v>
      </c>
      <c r="O23" s="74" t="s">
        <v>189</v>
      </c>
      <c r="P23" s="83">
        <f>IF(Q23=0,0,R23/Q23)</f>
        <v>-2.0692307692307681</v>
      </c>
      <c r="Q23" s="77">
        <v>78</v>
      </c>
      <c r="R23" s="68">
        <v>-161.39999999999992</v>
      </c>
    </row>
    <row r="24" spans="1:18" x14ac:dyDescent="0.4">
      <c r="A24" s="19" t="s">
        <v>183</v>
      </c>
      <c r="B24" s="12">
        <v>308</v>
      </c>
      <c r="C24" s="6">
        <f>IF(B$20=0,0,B24/B$20)</f>
        <v>0.41565452091767879</v>
      </c>
      <c r="E24" s="27" t="s">
        <v>77</v>
      </c>
      <c r="F24" s="24" t="s">
        <v>32</v>
      </c>
      <c r="G24" s="12">
        <v>2</v>
      </c>
      <c r="H24" s="88">
        <f>IF(B$20=0,0,G24/B$20)</f>
        <v>2.6990553306342779E-3</v>
      </c>
      <c r="I24" s="58">
        <v>2</v>
      </c>
      <c r="K24" s="74">
        <v>22</v>
      </c>
      <c r="L24" s="119">
        <v>-4.4000000000000075</v>
      </c>
      <c r="M24" s="117">
        <v>1594.0581778355045</v>
      </c>
      <c r="O24" s="74" t="s">
        <v>192</v>
      </c>
      <c r="P24" s="83">
        <f>IF(Q24=0,0,R24/Q24)</f>
        <v>-10.481707317073177</v>
      </c>
      <c r="Q24" s="77">
        <v>82</v>
      </c>
      <c r="R24" s="68">
        <v>-859.50000000000045</v>
      </c>
    </row>
    <row r="25" spans="1:18" x14ac:dyDescent="0.4">
      <c r="A25" s="19" t="s">
        <v>181</v>
      </c>
      <c r="B25" s="12">
        <v>242</v>
      </c>
      <c r="C25" s="6">
        <f>IF(B$20=0,0,B25/B$20)</f>
        <v>0.32658569500674761</v>
      </c>
      <c r="E25" s="27" t="s">
        <v>92</v>
      </c>
      <c r="F25" s="24" t="s">
        <v>47</v>
      </c>
      <c r="G25" s="12">
        <v>2</v>
      </c>
      <c r="H25" s="88">
        <f>IF(B$20=0,0,G25/B$20)</f>
        <v>2.6990553306342779E-3</v>
      </c>
      <c r="I25" s="58">
        <v>3</v>
      </c>
      <c r="K25" s="74">
        <v>23</v>
      </c>
      <c r="L25" s="119">
        <v>37.999999999999993</v>
      </c>
      <c r="M25" s="117">
        <v>1601.1018287684915</v>
      </c>
    </row>
    <row r="26" spans="1:18" x14ac:dyDescent="0.4">
      <c r="A26" s="19" t="s">
        <v>182</v>
      </c>
      <c r="B26" s="12">
        <v>191</v>
      </c>
      <c r="C26" s="6">
        <f>IF(B$20=0,0,B26/B$20)</f>
        <v>0.25775978407557354</v>
      </c>
      <c r="E26" s="27" t="s">
        <v>80</v>
      </c>
      <c r="F26" s="24" t="s">
        <v>35</v>
      </c>
      <c r="G26" s="12">
        <v>1</v>
      </c>
      <c r="H26" s="88">
        <f>IF(B$20=0,0,G26/B$20)</f>
        <v>1.3495276653171389E-3</v>
      </c>
      <c r="I26" s="58">
        <v>2</v>
      </c>
      <c r="K26" s="74">
        <v>24</v>
      </c>
      <c r="L26" s="119">
        <v>-7.1054273576010019E-15</v>
      </c>
      <c r="M26" s="117">
        <v>1593.6312177958805</v>
      </c>
    </row>
    <row r="27" spans="1:18" x14ac:dyDescent="0.4">
      <c r="A27" s="19" t="s">
        <v>5</v>
      </c>
      <c r="B27" s="16">
        <f>IF(B$20=0,0,C27/B$20)</f>
        <v>7983.6707152496629</v>
      </c>
      <c r="C27" s="8">
        <v>5915900</v>
      </c>
      <c r="E27" s="27" t="s">
        <v>90</v>
      </c>
      <c r="F27" s="24" t="s">
        <v>45</v>
      </c>
      <c r="G27" s="12">
        <v>1</v>
      </c>
      <c r="H27" s="88">
        <f>IF(B$20=0,0,G27/B$20)</f>
        <v>1.3495276653171389E-3</v>
      </c>
      <c r="I27" s="58">
        <v>2</v>
      </c>
      <c r="K27" s="74">
        <v>25</v>
      </c>
      <c r="L27" s="119">
        <v>-28.000000000000007</v>
      </c>
      <c r="M27" s="117">
        <v>1587.7054304891053</v>
      </c>
    </row>
    <row r="28" spans="1:18" x14ac:dyDescent="0.4">
      <c r="A28" s="20" t="s">
        <v>165</v>
      </c>
      <c r="B28" s="95">
        <f>IF($B$20-B$19=0,0,C28/($B$20-B$19))</f>
        <v>8576.9539078156304</v>
      </c>
      <c r="C28" s="96">
        <v>4279900</v>
      </c>
      <c r="E28" s="27" t="s">
        <v>93</v>
      </c>
      <c r="F28" s="24" t="s">
        <v>48</v>
      </c>
      <c r="G28" s="12">
        <v>1</v>
      </c>
      <c r="H28" s="88">
        <f>IF(B$20=0,0,G28/B$20)</f>
        <v>1.3495276653171389E-3</v>
      </c>
      <c r="I28" s="58">
        <v>2</v>
      </c>
      <c r="K28" s="74">
        <v>26</v>
      </c>
      <c r="L28" s="119">
        <v>-8.0000000000000071</v>
      </c>
      <c r="M28" s="117">
        <v>1590.4551979061707</v>
      </c>
    </row>
    <row r="29" spans="1:18" x14ac:dyDescent="0.4">
      <c r="A29" s="20" t="s">
        <v>166</v>
      </c>
      <c r="B29" s="95">
        <f>IF(B$19=0,0,C29/B$19)</f>
        <v>6760.3305785123966</v>
      </c>
      <c r="C29" s="96">
        <v>1636000</v>
      </c>
      <c r="E29" s="27" t="s">
        <v>102</v>
      </c>
      <c r="F29" s="24" t="s">
        <v>57</v>
      </c>
      <c r="G29" s="12">
        <v>1</v>
      </c>
      <c r="H29" s="88">
        <f>IF(B$20=0,0,G29/B$20)</f>
        <v>1.3495276653171389E-3</v>
      </c>
      <c r="I29" s="58">
        <v>2</v>
      </c>
      <c r="K29" s="74">
        <v>27</v>
      </c>
      <c r="L29" s="119">
        <v>-7.1054273576010019E-15</v>
      </c>
      <c r="M29" s="117">
        <v>1591.0284667187336</v>
      </c>
    </row>
    <row r="30" spans="1:18" x14ac:dyDescent="0.4">
      <c r="A30" s="20" t="s">
        <v>164</v>
      </c>
      <c r="B30" s="95">
        <f>IF(B$21=0,0,C30/B$21)</f>
        <v>-7421.7917675544795</v>
      </c>
      <c r="C30" s="96">
        <v>-3065200</v>
      </c>
      <c r="E30" s="27" t="s">
        <v>106</v>
      </c>
      <c r="F30" s="24" t="s">
        <v>113</v>
      </c>
      <c r="G30" s="12">
        <v>1</v>
      </c>
      <c r="H30" s="88">
        <f>IF(B$20=0,0,G30/B$20)</f>
        <v>1.3495276653171389E-3</v>
      </c>
      <c r="I30" s="58">
        <v>2</v>
      </c>
      <c r="K30" s="74">
        <v>28</v>
      </c>
      <c r="L30" s="119">
        <v>36.899999999999991</v>
      </c>
      <c r="M30" s="117">
        <v>1597.5382959184212</v>
      </c>
    </row>
    <row r="31" spans="1:18" x14ac:dyDescent="0.4">
      <c r="A31" s="19" t="s">
        <v>157</v>
      </c>
      <c r="B31" s="12">
        <v>6</v>
      </c>
      <c r="C31" s="90">
        <v>0</v>
      </c>
      <c r="E31" s="27" t="s">
        <v>74</v>
      </c>
      <c r="F31" s="24" t="s">
        <v>29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-3.1000000000000085</v>
      </c>
      <c r="M31" s="117">
        <v>1590.1670661429107</v>
      </c>
    </row>
    <row r="32" spans="1:18" x14ac:dyDescent="0.4">
      <c r="A32" s="19" t="s">
        <v>158</v>
      </c>
      <c r="B32" s="12">
        <v>48</v>
      </c>
      <c r="C32" s="90">
        <v>1</v>
      </c>
      <c r="E32" s="27" t="s">
        <v>76</v>
      </c>
      <c r="F32" s="24" t="s">
        <v>31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-8.4376949871511897E-15</v>
      </c>
      <c r="M32" s="117">
        <v>1590.5980637460532</v>
      </c>
    </row>
    <row r="33" spans="1:13" x14ac:dyDescent="0.4">
      <c r="A33" s="54" t="s">
        <v>136</v>
      </c>
      <c r="B33" s="127">
        <v>7</v>
      </c>
      <c r="C33" s="128"/>
      <c r="E33" s="27" t="s">
        <v>82</v>
      </c>
      <c r="F33" s="24" t="s">
        <v>37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49.599999999999994</v>
      </c>
      <c r="M33" s="117">
        <v>1599.3964753635769</v>
      </c>
    </row>
    <row r="34" spans="1:13" x14ac:dyDescent="0.4">
      <c r="A34" s="22" t="s">
        <v>180</v>
      </c>
      <c r="B34" s="129">
        <v>103000</v>
      </c>
      <c r="C34" s="130"/>
      <c r="E34" s="27" t="s">
        <v>84</v>
      </c>
      <c r="F34" s="24" t="s">
        <v>39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36.799999999999997</v>
      </c>
      <c r="M34" s="117">
        <v>1596.9100965113955</v>
      </c>
    </row>
    <row r="35" spans="1:13" x14ac:dyDescent="0.4">
      <c r="A35" s="21" t="s">
        <v>137</v>
      </c>
      <c r="B35" s="29">
        <v>7</v>
      </c>
      <c r="C35" s="9">
        <f>IF(B$3=0,0,B35/B$3)</f>
        <v>2.7977617905675461E-3</v>
      </c>
      <c r="E35" s="27" t="s">
        <v>87</v>
      </c>
      <c r="F35" s="24" t="s">
        <v>42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0</v>
      </c>
      <c r="M35" s="117">
        <v>1590.1186359323272</v>
      </c>
    </row>
    <row r="36" spans="1:13" x14ac:dyDescent="0.4">
      <c r="E36" s="27" t="s">
        <v>94</v>
      </c>
      <c r="F36" s="24" t="s">
        <v>49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33.6</v>
      </c>
      <c r="M36" s="117">
        <v>1595.8779241167331</v>
      </c>
    </row>
    <row r="37" spans="1:13" x14ac:dyDescent="0.4">
      <c r="A37" s="54" t="s">
        <v>171</v>
      </c>
      <c r="B37" s="123">
        <v>63</v>
      </c>
      <c r="C37" s="98">
        <f t="shared" ref="C37:C49" si="2">IF(B$20=0,0,B37/B$20)</f>
        <v>8.5020242914979755E-2</v>
      </c>
      <c r="E37" s="27" t="s">
        <v>95</v>
      </c>
      <c r="F37" s="24" t="s">
        <v>50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-20.199999999999996</v>
      </c>
      <c r="M37" s="117">
        <v>1585.8706565720327</v>
      </c>
    </row>
    <row r="38" spans="1:13" x14ac:dyDescent="0.4">
      <c r="A38" s="19" t="s">
        <v>167</v>
      </c>
      <c r="B38" s="12">
        <v>139</v>
      </c>
      <c r="C38" s="6">
        <f t="shared" si="2"/>
        <v>0.18758434547908232</v>
      </c>
      <c r="E38" s="27" t="s">
        <v>96</v>
      </c>
      <c r="F38" s="24" t="s">
        <v>51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3.5527136788005009E-15</v>
      </c>
      <c r="M38" s="117">
        <v>1589.2434326326004</v>
      </c>
    </row>
    <row r="39" spans="1:13" x14ac:dyDescent="0.4">
      <c r="A39" s="19" t="s">
        <v>168</v>
      </c>
      <c r="B39" s="124">
        <v>145</v>
      </c>
      <c r="C39" s="6">
        <f t="shared" si="2"/>
        <v>0.19568151147098514</v>
      </c>
      <c r="E39" s="27" t="s">
        <v>97</v>
      </c>
      <c r="F39" s="24" t="s">
        <v>52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-34.399999999999991</v>
      </c>
      <c r="M39" s="117">
        <v>1582.7679720368048</v>
      </c>
    </row>
    <row r="40" spans="1:13" x14ac:dyDescent="0.4">
      <c r="A40" s="19" t="s">
        <v>169</v>
      </c>
      <c r="B40" s="124">
        <v>141</v>
      </c>
      <c r="C40" s="6">
        <f t="shared" si="2"/>
        <v>0.19028340080971659</v>
      </c>
      <c r="E40" s="27" t="s">
        <v>98</v>
      </c>
      <c r="F40" s="24" t="s">
        <v>53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-23.79999999999999</v>
      </c>
      <c r="M40" s="117">
        <v>1584.431364204584</v>
      </c>
    </row>
    <row r="41" spans="1:13" x14ac:dyDescent="0.4">
      <c r="A41" s="19" t="s">
        <v>170</v>
      </c>
      <c r="B41" s="124">
        <v>102</v>
      </c>
      <c r="C41" s="6">
        <f t="shared" si="2"/>
        <v>0.13765182186234817</v>
      </c>
      <c r="E41" s="27" t="s">
        <v>99</v>
      </c>
      <c r="F41" s="24" t="s">
        <v>54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1.0658141036401503E-14</v>
      </c>
      <c r="M41" s="117">
        <v>1588.4607760193564</v>
      </c>
    </row>
    <row r="42" spans="1:13" x14ac:dyDescent="0.4">
      <c r="A42" s="19" t="s">
        <v>172</v>
      </c>
      <c r="B42" s="124">
        <v>68</v>
      </c>
      <c r="C42" s="6">
        <f t="shared" si="2"/>
        <v>9.1767881241565458E-2</v>
      </c>
      <c r="E42" s="27" t="s">
        <v>100</v>
      </c>
      <c r="F42" s="24" t="s">
        <v>55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-28.79999999999999</v>
      </c>
      <c r="M42" s="117">
        <v>1582.7880113632402</v>
      </c>
    </row>
    <row r="43" spans="1:13" x14ac:dyDescent="0.4">
      <c r="A43" s="19" t="s">
        <v>173</v>
      </c>
      <c r="B43" s="124">
        <v>34</v>
      </c>
      <c r="C43" s="6">
        <f t="shared" si="2"/>
        <v>4.5883940620782729E-2</v>
      </c>
      <c r="E43" s="27" t="s">
        <v>101</v>
      </c>
      <c r="F43" s="24" t="s">
        <v>56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-22.499999999999989</v>
      </c>
      <c r="M43" s="117">
        <v>1583.4672832950607</v>
      </c>
    </row>
    <row r="44" spans="1:13" x14ac:dyDescent="0.4">
      <c r="A44" s="19" t="s">
        <v>174</v>
      </c>
      <c r="B44" s="124">
        <v>20</v>
      </c>
      <c r="C44" s="6">
        <f t="shared" si="2"/>
        <v>2.6990553306342781E-2</v>
      </c>
      <c r="E44" s="27" t="s">
        <v>103</v>
      </c>
      <c r="F44" s="24" t="s">
        <v>58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1.0658141036401503E-14</v>
      </c>
      <c r="M44" s="117">
        <v>1587.0584795952905</v>
      </c>
    </row>
    <row r="45" spans="1:13" x14ac:dyDescent="0.4">
      <c r="A45" s="19" t="s">
        <v>175</v>
      </c>
      <c r="B45" s="124">
        <v>13</v>
      </c>
      <c r="C45" s="6">
        <f t="shared" si="2"/>
        <v>1.7543859649122806E-2</v>
      </c>
      <c r="E45" s="27" t="s">
        <v>104</v>
      </c>
      <c r="F45" s="24" t="s">
        <v>59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26.600000000000012</v>
      </c>
      <c r="M45" s="117">
        <v>1592.3501287177187</v>
      </c>
    </row>
    <row r="46" spans="1:13" x14ac:dyDescent="0.4">
      <c r="A46" s="19" t="s">
        <v>176</v>
      </c>
      <c r="B46" s="124">
        <v>9</v>
      </c>
      <c r="C46" s="6">
        <f t="shared" si="2"/>
        <v>1.2145748987854251E-2</v>
      </c>
      <c r="E46" s="27" t="s">
        <v>105</v>
      </c>
      <c r="F46" s="24" t="s">
        <v>112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-6.5999999999999908</v>
      </c>
      <c r="M46" s="117">
        <v>1586.8460279454123</v>
      </c>
    </row>
    <row r="47" spans="1:13" x14ac:dyDescent="0.4">
      <c r="A47" s="19" t="s">
        <v>177</v>
      </c>
      <c r="B47" s="124">
        <v>2</v>
      </c>
      <c r="C47" s="6">
        <f t="shared" si="2"/>
        <v>2.6990553306342779E-3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8.8817841970012523E-15</v>
      </c>
      <c r="M47" s="117">
        <v>1588.5389517777398</v>
      </c>
    </row>
    <row r="48" spans="1:13" x14ac:dyDescent="0.4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-27.999999999999993</v>
      </c>
      <c r="M48" s="117">
        <v>1583.9937180670734</v>
      </c>
    </row>
    <row r="49" spans="1:13" x14ac:dyDescent="0.4">
      <c r="A49" s="21" t="s">
        <v>179</v>
      </c>
      <c r="B49" s="97">
        <v>5</v>
      </c>
      <c r="C49" s="9">
        <f t="shared" si="2"/>
        <v>6.7476383265856954E-3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50.000000000000007</v>
      </c>
      <c r="M49" s="117">
        <v>1598.555755758671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7.1054273576010019E-15</v>
      </c>
      <c r="M50" s="117">
        <v>1589.990421224119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-21.399999999999991</v>
      </c>
      <c r="M51" s="117">
        <v>1586.2644786967744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-26.599999999999991</v>
      </c>
      <c r="M52" s="117">
        <v>1585.4768918245938</v>
      </c>
    </row>
    <row r="53" spans="1:13" x14ac:dyDescent="0.4">
      <c r="K53" s="74">
        <v>51</v>
      </c>
      <c r="L53" s="119">
        <v>1.0658141036401503E-14</v>
      </c>
      <c r="M53" s="117">
        <v>1590.4180304736462</v>
      </c>
    </row>
    <row r="54" spans="1:13" x14ac:dyDescent="0.4">
      <c r="K54" s="74">
        <v>52</v>
      </c>
      <c r="L54" s="119">
        <v>-24.199999999999989</v>
      </c>
      <c r="M54" s="117">
        <v>1585.5015222908044</v>
      </c>
    </row>
    <row r="55" spans="1:13" x14ac:dyDescent="0.4">
      <c r="K55" s="74">
        <v>53</v>
      </c>
      <c r="L55" s="119">
        <v>-20.199999999999989</v>
      </c>
      <c r="M55" s="117">
        <v>1585.6905131570595</v>
      </c>
    </row>
    <row r="56" spans="1:13" x14ac:dyDescent="0.4">
      <c r="K56" s="74">
        <v>54</v>
      </c>
      <c r="L56" s="119">
        <v>1.0658141036401503E-14</v>
      </c>
      <c r="M56" s="117">
        <v>1588.7943700781173</v>
      </c>
    </row>
    <row r="57" spans="1:13" x14ac:dyDescent="0.4">
      <c r="K57" s="74">
        <v>55</v>
      </c>
      <c r="L57" s="119">
        <v>-17.499999999999989</v>
      </c>
      <c r="M57" s="117">
        <v>1584.9436038576484</v>
      </c>
    </row>
    <row r="58" spans="1:13" x14ac:dyDescent="0.4">
      <c r="K58" s="74">
        <v>56</v>
      </c>
      <c r="L58" s="119">
        <v>0.50000000000001066</v>
      </c>
      <c r="M58" s="117">
        <v>1587.5059422345025</v>
      </c>
    </row>
    <row r="59" spans="1:13" x14ac:dyDescent="0.4">
      <c r="K59" s="74">
        <v>57</v>
      </c>
      <c r="L59" s="119">
        <v>1.0658141036401503E-14</v>
      </c>
      <c r="M59" s="117">
        <v>1586.7229065810955</v>
      </c>
    </row>
    <row r="60" spans="1:13" x14ac:dyDescent="0.4">
      <c r="K60" s="74">
        <v>58</v>
      </c>
      <c r="L60" s="119">
        <v>16.600000000000012</v>
      </c>
      <c r="M60" s="117">
        <v>1589.7965691416089</v>
      </c>
    </row>
    <row r="61" spans="1:13" x14ac:dyDescent="0.4">
      <c r="K61" s="74">
        <v>59</v>
      </c>
      <c r="L61" s="119">
        <v>13.600000000000012</v>
      </c>
      <c r="M61" s="117">
        <v>1589.3237897267593</v>
      </c>
    </row>
    <row r="62" spans="1:13" x14ac:dyDescent="0.4">
      <c r="K62" s="74">
        <v>60</v>
      </c>
      <c r="L62" s="119">
        <v>1.2434497875801753E-14</v>
      </c>
      <c r="M62" s="117">
        <v>1586.9458469883987</v>
      </c>
    </row>
    <row r="63" spans="1:13" x14ac:dyDescent="0.4">
      <c r="K63" s="74">
        <v>61</v>
      </c>
      <c r="L63" s="119">
        <v>-13.999999999999988</v>
      </c>
      <c r="M63" s="117">
        <v>1584.6241719064683</v>
      </c>
    </row>
    <row r="64" spans="1:13" x14ac:dyDescent="0.4">
      <c r="K64" s="74">
        <v>62</v>
      </c>
      <c r="L64" s="119">
        <v>-39.699999999999989</v>
      </c>
      <c r="M64" s="117">
        <v>1580.2104268750295</v>
      </c>
    </row>
    <row r="65" spans="11:13" x14ac:dyDescent="0.4">
      <c r="K65" s="74">
        <v>63</v>
      </c>
      <c r="L65" s="119">
        <v>1.4210854715202004E-14</v>
      </c>
      <c r="M65" s="117">
        <v>1587.5951643137794</v>
      </c>
    </row>
    <row r="66" spans="11:13" x14ac:dyDescent="0.4">
      <c r="K66" s="74">
        <v>64</v>
      </c>
      <c r="L66" s="119">
        <v>-19.799999999999986</v>
      </c>
      <c r="M66" s="117">
        <v>1584.2255933278966</v>
      </c>
    </row>
    <row r="67" spans="11:13" x14ac:dyDescent="0.4">
      <c r="K67" s="74">
        <v>65</v>
      </c>
      <c r="L67" s="119">
        <v>-50.899999999999991</v>
      </c>
      <c r="M67" s="117">
        <v>1578.8422397679292</v>
      </c>
    </row>
    <row r="68" spans="11:13" x14ac:dyDescent="0.4">
      <c r="K68" s="74">
        <v>66</v>
      </c>
      <c r="L68" s="119">
        <v>7.1054273576010019E-15</v>
      </c>
      <c r="M68" s="117">
        <v>1588.2511863293216</v>
      </c>
    </row>
    <row r="69" spans="11:13" x14ac:dyDescent="0.4">
      <c r="K69" s="74">
        <v>67</v>
      </c>
      <c r="L69" s="119">
        <v>-26.699999999999992</v>
      </c>
      <c r="M69" s="117">
        <v>1583.6356792113456</v>
      </c>
    </row>
    <row r="70" spans="11:13" x14ac:dyDescent="0.4">
      <c r="K70" s="74">
        <v>68</v>
      </c>
      <c r="L70" s="119">
        <v>7.0000000000000107</v>
      </c>
      <c r="M70" s="117">
        <v>1589.9198651360775</v>
      </c>
    </row>
    <row r="71" spans="11:13" x14ac:dyDescent="0.4">
      <c r="K71" s="74">
        <v>69</v>
      </c>
      <c r="L71" s="119">
        <v>1.0658141036401503E-14</v>
      </c>
      <c r="M71" s="117">
        <v>1588.8403459452611</v>
      </c>
    </row>
    <row r="72" spans="11:13" x14ac:dyDescent="0.4">
      <c r="K72" s="74">
        <v>70</v>
      </c>
      <c r="L72" s="119">
        <v>-24.399999999999988</v>
      </c>
      <c r="M72" s="117">
        <v>1584.4493038695896</v>
      </c>
    </row>
    <row r="73" spans="11:13" x14ac:dyDescent="0.4">
      <c r="K73" s="74">
        <v>71</v>
      </c>
      <c r="L73" s="119">
        <v>-24.299999999999986</v>
      </c>
      <c r="M73" s="117">
        <v>1584.4946080463722</v>
      </c>
    </row>
    <row r="74" spans="11:13" x14ac:dyDescent="0.4">
      <c r="K74" s="74">
        <v>72</v>
      </c>
      <c r="L74" s="119">
        <v>1.4210854715202004E-14</v>
      </c>
      <c r="M74" s="117">
        <v>1588.895640398094</v>
      </c>
    </row>
    <row r="75" spans="11:13" x14ac:dyDescent="0.4">
      <c r="K75" s="74">
        <v>73</v>
      </c>
      <c r="L75" s="119">
        <v>8.2000000000000135</v>
      </c>
      <c r="M75" s="117">
        <v>1590.3722665557054</v>
      </c>
    </row>
    <row r="76" spans="11:13" x14ac:dyDescent="0.4">
      <c r="K76" s="74">
        <v>74</v>
      </c>
      <c r="L76" s="119">
        <v>32.800000000000011</v>
      </c>
      <c r="M76" s="117">
        <v>1594.7920329563713</v>
      </c>
    </row>
    <row r="77" spans="11:13" x14ac:dyDescent="0.4">
      <c r="K77" s="74">
        <v>75</v>
      </c>
      <c r="L77" s="119">
        <v>1.4210854715202004E-14</v>
      </c>
      <c r="M77" s="117">
        <v>1588.853280758633</v>
      </c>
    </row>
    <row r="78" spans="11:13" x14ac:dyDescent="0.4">
      <c r="K78" s="74">
        <v>76</v>
      </c>
      <c r="L78" s="119">
        <v>-14.299999999999986</v>
      </c>
      <c r="M78" s="117">
        <v>1586.3761610740812</v>
      </c>
    </row>
    <row r="79" spans="11:13" x14ac:dyDescent="0.4">
      <c r="K79" s="74">
        <v>77</v>
      </c>
      <c r="L79" s="119">
        <v>-14.799999999999986</v>
      </c>
      <c r="M79" s="117">
        <v>1586.3979041076368</v>
      </c>
    </row>
    <row r="80" spans="11:13" x14ac:dyDescent="0.4">
      <c r="K80" s="74">
        <v>78</v>
      </c>
      <c r="L80" s="119">
        <v>1.4210854715202004E-14</v>
      </c>
      <c r="M80" s="117">
        <v>1589.173516682991</v>
      </c>
    </row>
    <row r="81" spans="11:13" x14ac:dyDescent="0.4">
      <c r="K81" s="74">
        <v>79</v>
      </c>
      <c r="L81" s="119">
        <v>-6.8999999999999861</v>
      </c>
      <c r="M81" s="117">
        <v>1588.026475582893</v>
      </c>
    </row>
    <row r="82" spans="11:13" x14ac:dyDescent="0.4">
      <c r="K82" s="74">
        <v>80</v>
      </c>
      <c r="L82" s="119">
        <v>20.100000000000016</v>
      </c>
      <c r="M82" s="117">
        <v>1592.9883167293956</v>
      </c>
    </row>
    <row r="83" spans="11:13" x14ac:dyDescent="0.4">
      <c r="K83" s="74">
        <v>81</v>
      </c>
      <c r="L83" s="119">
        <v>1.4210854715202004E-14</v>
      </c>
      <c r="M83" s="117">
        <v>1589.4423868290191</v>
      </c>
    </row>
    <row r="84" spans="11:13" x14ac:dyDescent="0.4">
      <c r="K84" s="74">
        <v>82</v>
      </c>
      <c r="L84" s="119">
        <v>-0.69999999999998574</v>
      </c>
      <c r="M84" s="117">
        <v>1589.409732508045</v>
      </c>
    </row>
    <row r="85" spans="11:13" x14ac:dyDescent="0.4">
      <c r="K85" s="74">
        <v>83</v>
      </c>
      <c r="L85" s="119">
        <v>-24.199999999999985</v>
      </c>
      <c r="M85" s="117">
        <v>1585.2732741129967</v>
      </c>
    </row>
    <row r="86" spans="11:13" x14ac:dyDescent="0.4">
      <c r="K86" s="74">
        <v>84</v>
      </c>
      <c r="L86" s="119">
        <v>1.4210854715202004E-14</v>
      </c>
      <c r="M86" s="117">
        <v>1589.7476344683187</v>
      </c>
    </row>
    <row r="87" spans="11:13" x14ac:dyDescent="0.4">
      <c r="K87" s="74">
        <v>85</v>
      </c>
      <c r="L87" s="119">
        <v>33.500000000000014</v>
      </c>
      <c r="M87" s="117">
        <v>1595.1791486615089</v>
      </c>
    </row>
    <row r="88" spans="11:13" x14ac:dyDescent="0.4">
      <c r="K88" s="74">
        <v>86</v>
      </c>
      <c r="L88" s="119">
        <v>34.500000000000014</v>
      </c>
      <c r="M88" s="117">
        <v>1594.7280737695398</v>
      </c>
    </row>
    <row r="89" spans="11:13" x14ac:dyDescent="0.4">
      <c r="K89" s="74">
        <v>87</v>
      </c>
      <c r="L89" s="119">
        <v>1.4210854715202004E-14</v>
      </c>
      <c r="M89" s="117">
        <v>1587.8897053269227</v>
      </c>
    </row>
    <row r="90" spans="11:13" x14ac:dyDescent="0.4">
      <c r="K90" s="74">
        <v>88</v>
      </c>
      <c r="L90" s="119">
        <v>-24.699999999999985</v>
      </c>
      <c r="M90" s="117">
        <v>1583.8223670949612</v>
      </c>
    </row>
    <row r="91" spans="11:13" x14ac:dyDescent="0.4">
      <c r="K91" s="74">
        <v>89</v>
      </c>
      <c r="L91" s="119">
        <v>-4.0999999999999837</v>
      </c>
      <c r="M91" s="117">
        <v>1587.9334328923915</v>
      </c>
    </row>
    <row r="92" spans="11:13" x14ac:dyDescent="0.4">
      <c r="K92" s="74">
        <v>90</v>
      </c>
      <c r="L92" s="119">
        <v>1.5987211554602254E-14</v>
      </c>
      <c r="M92" s="117">
        <v>1589.049832295037</v>
      </c>
    </row>
    <row r="93" spans="11:13" x14ac:dyDescent="0.4">
      <c r="K93" s="74">
        <v>91</v>
      </c>
      <c r="L93" s="119">
        <v>-37.899999999999984</v>
      </c>
      <c r="M93" s="117">
        <v>1582.5995333012668</v>
      </c>
    </row>
    <row r="94" spans="11:13" x14ac:dyDescent="0.4">
      <c r="K94" s="74">
        <v>92</v>
      </c>
      <c r="L94" s="119">
        <v>-13.099999999999984</v>
      </c>
      <c r="M94" s="117">
        <v>1587.4739361014592</v>
      </c>
    </row>
    <row r="95" spans="11:13" x14ac:dyDescent="0.4">
      <c r="K95" s="74">
        <v>93</v>
      </c>
      <c r="L95" s="119">
        <v>1.5987211554602254E-14</v>
      </c>
      <c r="M95" s="117">
        <v>1590.2130924848504</v>
      </c>
    </row>
    <row r="96" spans="11:13" x14ac:dyDescent="0.4">
      <c r="K96" s="74">
        <v>94</v>
      </c>
      <c r="L96" s="119">
        <v>-41.399999999999984</v>
      </c>
      <c r="M96" s="117">
        <v>1583.1258139299414</v>
      </c>
    </row>
    <row r="97" spans="11:13" x14ac:dyDescent="0.4">
      <c r="K97" s="74">
        <v>95</v>
      </c>
      <c r="L97" s="119">
        <v>-49.59999999999998</v>
      </c>
      <c r="M97" s="117">
        <v>1582.0570590463617</v>
      </c>
    </row>
    <row r="98" spans="11:13" x14ac:dyDescent="0.4">
      <c r="K98" s="74">
        <v>96</v>
      </c>
      <c r="L98" s="119">
        <v>2.1316282072803006E-14</v>
      </c>
      <c r="M98" s="117">
        <v>1591.3987166920836</v>
      </c>
    </row>
    <row r="99" spans="11:13" x14ac:dyDescent="0.4">
      <c r="K99" s="74">
        <v>97</v>
      </c>
      <c r="L99" s="119">
        <v>3.6000000000000214</v>
      </c>
      <c r="M99" s="117">
        <v>1592.236324391931</v>
      </c>
    </row>
    <row r="100" spans="11:13" x14ac:dyDescent="0.4">
      <c r="K100" s="74">
        <v>98</v>
      </c>
      <c r="L100" s="119">
        <v>-46.499999999999979</v>
      </c>
      <c r="M100" s="117">
        <v>1583.4029064455794</v>
      </c>
    </row>
    <row r="101" spans="11:13" x14ac:dyDescent="0.4">
      <c r="K101" s="74">
        <v>99</v>
      </c>
      <c r="L101" s="119">
        <v>2.1316282072803006E-14</v>
      </c>
      <c r="M101" s="117">
        <v>1592.010489006906</v>
      </c>
    </row>
    <row r="102" spans="11:13" x14ac:dyDescent="0.4">
      <c r="K102" s="74">
        <v>100</v>
      </c>
      <c r="L102" s="119">
        <v>28.300000000000022</v>
      </c>
      <c r="M102" s="117">
        <v>1596.5344260728646</v>
      </c>
    </row>
    <row r="103" spans="11:13" x14ac:dyDescent="0.4">
      <c r="K103" s="74">
        <v>101</v>
      </c>
      <c r="L103" s="119">
        <v>-8.7999999999999794</v>
      </c>
      <c r="M103" s="117">
        <v>1589.2592195164273</v>
      </c>
    </row>
    <row r="104" spans="11:13" x14ac:dyDescent="0.4">
      <c r="K104" s="74">
        <v>102</v>
      </c>
      <c r="L104" s="119">
        <v>2.1316282072803006E-14</v>
      </c>
      <c r="M104" s="117">
        <v>1590.2896641993286</v>
      </c>
    </row>
    <row r="105" spans="11:13" x14ac:dyDescent="0.4">
      <c r="K105" s="74">
        <v>103</v>
      </c>
      <c r="L105" s="119">
        <v>-31.09999999999998</v>
      </c>
      <c r="M105" s="117">
        <v>1584.1319262141326</v>
      </c>
    </row>
    <row r="106" spans="11:13" x14ac:dyDescent="0.4">
      <c r="K106" s="74">
        <v>104</v>
      </c>
      <c r="L106" s="119">
        <v>11.600000000000023</v>
      </c>
      <c r="M106" s="117">
        <v>1591.2951346568477</v>
      </c>
    </row>
    <row r="107" spans="11:13" x14ac:dyDescent="0.4">
      <c r="K107" s="74">
        <v>105</v>
      </c>
      <c r="L107" s="119">
        <v>2.3092638912203256E-14</v>
      </c>
      <c r="M107" s="117">
        <v>1588.6413638489066</v>
      </c>
    </row>
    <row r="108" spans="11:13" x14ac:dyDescent="0.4">
      <c r="K108" s="74">
        <v>106</v>
      </c>
      <c r="L108" s="119">
        <v>58.500000000000021</v>
      </c>
      <c r="M108" s="117">
        <v>1599.2455156658132</v>
      </c>
    </row>
    <row r="109" spans="11:13" x14ac:dyDescent="0.4">
      <c r="K109" s="74">
        <v>107</v>
      </c>
      <c r="L109" s="119">
        <v>24.100000000000023</v>
      </c>
      <c r="M109" s="117">
        <v>1593.0640425718184</v>
      </c>
    </row>
    <row r="110" spans="11:13" x14ac:dyDescent="0.4">
      <c r="K110" s="74">
        <v>108</v>
      </c>
      <c r="L110" s="119">
        <v>2.1316282072803006E-14</v>
      </c>
      <c r="M110" s="117">
        <v>1588.7736583163876</v>
      </c>
    </row>
    <row r="111" spans="11:13" x14ac:dyDescent="0.4">
      <c r="K111" s="74">
        <v>109</v>
      </c>
      <c r="L111" s="119">
        <v>-15.599999999999978</v>
      </c>
      <c r="M111" s="117">
        <v>1586.0390163664892</v>
      </c>
    </row>
    <row r="112" spans="11:13" x14ac:dyDescent="0.4">
      <c r="K112" s="74">
        <v>110</v>
      </c>
      <c r="L112" s="119">
        <v>-7.7999999999999785</v>
      </c>
      <c r="M112" s="117">
        <v>1587.5327822682902</v>
      </c>
    </row>
    <row r="113" spans="11:13" x14ac:dyDescent="0.4">
      <c r="K113" s="74">
        <v>111</v>
      </c>
      <c r="L113" s="119">
        <v>2.1316282072803006E-14</v>
      </c>
      <c r="M113" s="117">
        <v>1589.0175855746804</v>
      </c>
    </row>
    <row r="114" spans="11:13" x14ac:dyDescent="0.4">
      <c r="K114" s="74">
        <v>112</v>
      </c>
      <c r="L114" s="119">
        <v>18.100000000000023</v>
      </c>
      <c r="M114" s="117">
        <v>1592.3474800612323</v>
      </c>
    </row>
    <row r="115" spans="11:13" x14ac:dyDescent="0.4">
      <c r="K115" s="74">
        <v>113</v>
      </c>
      <c r="L115" s="119">
        <v>1.4000000000000234</v>
      </c>
      <c r="M115" s="117">
        <v>1589.3933951808649</v>
      </c>
    </row>
    <row r="116" spans="11:13" x14ac:dyDescent="0.4">
      <c r="K116" s="74">
        <v>114</v>
      </c>
      <c r="L116" s="119">
        <v>2.3536728122053319E-14</v>
      </c>
      <c r="M116" s="117">
        <v>1589.2110348097797</v>
      </c>
    </row>
    <row r="117" spans="11:13" x14ac:dyDescent="0.4">
      <c r="K117" s="74">
        <v>115</v>
      </c>
      <c r="L117" s="119">
        <v>-4.5999999999999766</v>
      </c>
      <c r="M117" s="117">
        <v>1588.7057686009209</v>
      </c>
    </row>
    <row r="118" spans="11:13" x14ac:dyDescent="0.4">
      <c r="K118" s="74">
        <v>116</v>
      </c>
      <c r="L118" s="119">
        <v>-26.899999999999977</v>
      </c>
      <c r="M118" s="117">
        <v>1585.0175339893153</v>
      </c>
    </row>
    <row r="119" spans="11:13" x14ac:dyDescent="0.4">
      <c r="K119" s="74">
        <v>117</v>
      </c>
      <c r="L119" s="119">
        <v>2.1316282072803006E-14</v>
      </c>
      <c r="M119" s="117">
        <v>1590.2074287853795</v>
      </c>
    </row>
    <row r="120" spans="11:13" x14ac:dyDescent="0.4">
      <c r="K120" s="74">
        <v>118</v>
      </c>
      <c r="L120" s="119">
        <v>31.90000000000002</v>
      </c>
      <c r="M120" s="117">
        <v>1596.3801842126672</v>
      </c>
    </row>
    <row r="121" spans="11:13" x14ac:dyDescent="0.4">
      <c r="K121" s="74">
        <v>119</v>
      </c>
      <c r="L121" s="119">
        <v>33.500000000000021</v>
      </c>
      <c r="M121" s="117">
        <v>1597.0619031073913</v>
      </c>
    </row>
    <row r="122" spans="11:13" x14ac:dyDescent="0.4">
      <c r="K122" s="74">
        <v>120</v>
      </c>
      <c r="L122" s="119">
        <v>2.1316282072803006E-14</v>
      </c>
      <c r="M122" s="117">
        <v>1591.4215316887471</v>
      </c>
    </row>
    <row r="123" spans="11:13" x14ac:dyDescent="0.4">
      <c r="K123" s="74">
        <v>121</v>
      </c>
      <c r="L123" s="119">
        <v>-45.699999999999982</v>
      </c>
      <c r="M123" s="117">
        <v>1583.6190024986147</v>
      </c>
    </row>
    <row r="124" spans="11:13" x14ac:dyDescent="0.4">
      <c r="K124" s="74">
        <v>122</v>
      </c>
      <c r="L124" s="119">
        <v>-43.59999999999998</v>
      </c>
      <c r="M124" s="117">
        <v>1584.467288483623</v>
      </c>
    </row>
    <row r="125" spans="11:13" x14ac:dyDescent="0.4">
      <c r="K125" s="74">
        <v>123</v>
      </c>
      <c r="L125" s="119">
        <v>2.1316282072803006E-14</v>
      </c>
      <c r="M125" s="117">
        <v>1592.7804847527211</v>
      </c>
    </row>
    <row r="126" spans="11:13" x14ac:dyDescent="0.4">
      <c r="K126" s="74">
        <v>124</v>
      </c>
      <c r="L126" s="119">
        <v>42.000000000000021</v>
      </c>
      <c r="M126" s="117">
        <v>1600.5338018442048</v>
      </c>
    </row>
    <row r="127" spans="11:13" x14ac:dyDescent="0.4">
      <c r="K127" s="74">
        <v>125</v>
      </c>
      <c r="L127" s="119">
        <v>-7.6999999999999815</v>
      </c>
      <c r="M127" s="117">
        <v>1591.7345990331396</v>
      </c>
    </row>
    <row r="128" spans="11:13" x14ac:dyDescent="0.4">
      <c r="K128" s="74">
        <v>126</v>
      </c>
      <c r="L128" s="119">
        <v>1.865174681370263E-14</v>
      </c>
      <c r="M128" s="117">
        <v>1593.3201914389408</v>
      </c>
    </row>
    <row r="129" spans="11:13" x14ac:dyDescent="0.4">
      <c r="K129" s="74">
        <v>127</v>
      </c>
      <c r="L129" s="119">
        <v>-0.99999999999998135</v>
      </c>
      <c r="M129" s="117">
        <v>1593.3302702903072</v>
      </c>
    </row>
    <row r="130" spans="11:13" x14ac:dyDescent="0.4">
      <c r="K130" s="74">
        <v>128</v>
      </c>
      <c r="L130" s="119">
        <v>-54.999999999999979</v>
      </c>
      <c r="M130" s="117">
        <v>1583.8002886685654</v>
      </c>
    </row>
    <row r="131" spans="11:13" x14ac:dyDescent="0.4">
      <c r="K131" s="74">
        <v>129</v>
      </c>
      <c r="L131" s="119">
        <v>2.1316282072803006E-14</v>
      </c>
      <c r="M131" s="117">
        <v>1593.947486936554</v>
      </c>
    </row>
    <row r="132" spans="11:13" x14ac:dyDescent="0.4">
      <c r="K132" s="74">
        <v>130</v>
      </c>
      <c r="L132" s="119">
        <v>39.600000000000023</v>
      </c>
      <c r="M132" s="117">
        <v>1601.2618020149348</v>
      </c>
    </row>
    <row r="133" spans="11:13" x14ac:dyDescent="0.4">
      <c r="K133" s="74">
        <v>131</v>
      </c>
      <c r="L133" s="119">
        <v>6.8000000000000256</v>
      </c>
      <c r="M133" s="117">
        <v>1595.5002312028453</v>
      </c>
    </row>
    <row r="134" spans="11:13" x14ac:dyDescent="0.4">
      <c r="K134" s="74">
        <v>132</v>
      </c>
      <c r="L134" s="119">
        <v>2.5757174171303632E-14</v>
      </c>
      <c r="M134" s="117">
        <v>1594.4532298156282</v>
      </c>
    </row>
    <row r="135" spans="11:13" x14ac:dyDescent="0.4">
      <c r="K135" s="74">
        <v>133</v>
      </c>
      <c r="L135" s="119">
        <v>-25.399999999999974</v>
      </c>
      <c r="M135" s="117">
        <v>1590.0645104367345</v>
      </c>
    </row>
    <row r="136" spans="11:13" x14ac:dyDescent="0.4">
      <c r="K136" s="74">
        <v>134</v>
      </c>
      <c r="L136" s="119">
        <v>-30.799999999999976</v>
      </c>
      <c r="M136" s="117">
        <v>1589.302123374114</v>
      </c>
    </row>
    <row r="137" spans="11:13" x14ac:dyDescent="0.4">
      <c r="K137" s="74">
        <v>135</v>
      </c>
      <c r="L137" s="119">
        <v>2.4868995751603507E-14</v>
      </c>
      <c r="M137" s="117">
        <v>1595.0603106338692</v>
      </c>
    </row>
    <row r="138" spans="11:13" x14ac:dyDescent="0.4">
      <c r="K138" s="74">
        <v>136</v>
      </c>
      <c r="L138" s="119">
        <v>28.300000000000026</v>
      </c>
      <c r="M138" s="117">
        <v>1600.2019487700661</v>
      </c>
    </row>
    <row r="139" spans="11:13" x14ac:dyDescent="0.4">
      <c r="K139" s="74">
        <v>137</v>
      </c>
      <c r="L139" s="119">
        <v>31.000000000000025</v>
      </c>
      <c r="M139" s="117">
        <v>1600.7047370774458</v>
      </c>
    </row>
    <row r="140" spans="11:13" x14ac:dyDescent="0.4">
      <c r="K140" s="74">
        <v>138</v>
      </c>
      <c r="L140" s="119">
        <v>2.4868995751603507E-14</v>
      </c>
      <c r="M140" s="117">
        <v>1595.138508654981</v>
      </c>
    </row>
    <row r="141" spans="11:13" x14ac:dyDescent="0.4">
      <c r="K141" s="74">
        <v>139</v>
      </c>
      <c r="L141" s="119">
        <v>7.5000000000000249</v>
      </c>
      <c r="M141" s="117">
        <v>1596.5356776030512</v>
      </c>
    </row>
    <row r="142" spans="11:13" x14ac:dyDescent="0.4">
      <c r="K142" s="74">
        <v>140</v>
      </c>
      <c r="L142" s="119">
        <v>-29.399999999999974</v>
      </c>
      <c r="M142" s="117">
        <v>1589.932463537433</v>
      </c>
    </row>
    <row r="143" spans="11:13" x14ac:dyDescent="0.4">
      <c r="K143" s="74">
        <v>141</v>
      </c>
      <c r="L143" s="119">
        <v>2.4868995751603507E-14</v>
      </c>
      <c r="M143" s="117">
        <v>1595.3028687562085</v>
      </c>
    </row>
    <row r="144" spans="11:13" x14ac:dyDescent="0.4">
      <c r="K144" s="74">
        <v>142</v>
      </c>
      <c r="L144" s="119">
        <v>8.9000000000000252</v>
      </c>
      <c r="M144" s="117">
        <v>1597.3050515436712</v>
      </c>
    </row>
    <row r="145" spans="11:13" x14ac:dyDescent="0.4">
      <c r="K145" s="74">
        <v>143</v>
      </c>
      <c r="L145" s="119">
        <v>45.700000000000024</v>
      </c>
      <c r="M145" s="117">
        <v>1604.3172212344091</v>
      </c>
    </row>
    <row r="146" spans="11:13" x14ac:dyDescent="0.4">
      <c r="K146" s="74">
        <v>144</v>
      </c>
      <c r="L146" s="119">
        <v>2.1316282072803006E-14</v>
      </c>
      <c r="M146" s="117">
        <v>1596.4373179070026</v>
      </c>
    </row>
    <row r="147" spans="11:13" x14ac:dyDescent="0.4">
      <c r="K147" s="74">
        <v>145</v>
      </c>
      <c r="L147" s="119">
        <v>22.100000000000023</v>
      </c>
      <c r="M147" s="117">
        <v>1600.8086939995605</v>
      </c>
    </row>
    <row r="148" spans="11:13" x14ac:dyDescent="0.4">
      <c r="K148" s="74">
        <v>146</v>
      </c>
      <c r="L148" s="119">
        <v>-5.4999999999999787</v>
      </c>
      <c r="M148" s="117">
        <v>1596.2078418355632</v>
      </c>
    </row>
    <row r="149" spans="11:13" x14ac:dyDescent="0.4">
      <c r="K149" s="74">
        <v>147</v>
      </c>
      <c r="L149" s="119">
        <v>2.1316282072803006E-14</v>
      </c>
      <c r="M149" s="117">
        <v>1597.5925947845499</v>
      </c>
    </row>
    <row r="150" spans="11:13" x14ac:dyDescent="0.4">
      <c r="K150" s="74">
        <v>148</v>
      </c>
      <c r="L150" s="119">
        <v>73.800000000000011</v>
      </c>
      <c r="M150" s="117">
        <v>1610.7890392158426</v>
      </c>
    </row>
    <row r="151" spans="11:13" x14ac:dyDescent="0.4">
      <c r="K151" s="74">
        <v>149</v>
      </c>
      <c r="L151" s="119">
        <v>21.70000000000001</v>
      </c>
      <c r="M151" s="117">
        <v>1601.2443049805477</v>
      </c>
    </row>
    <row r="152" spans="11:13" x14ac:dyDescent="0.4">
      <c r="K152" s="74">
        <v>150</v>
      </c>
      <c r="L152" s="119">
        <v>1.0658141036401503E-14</v>
      </c>
      <c r="M152" s="117">
        <v>1597.2288391506643</v>
      </c>
    </row>
    <row r="153" spans="11:13" x14ac:dyDescent="0.4">
      <c r="K153" s="74">
        <v>151</v>
      </c>
      <c r="L153" s="119">
        <v>31.20000000000001</v>
      </c>
      <c r="M153" s="117">
        <v>1602.7594661157602</v>
      </c>
    </row>
    <row r="154" spans="11:13" x14ac:dyDescent="0.4">
      <c r="K154" s="74">
        <v>152</v>
      </c>
      <c r="L154" s="119">
        <v>51.500000000000014</v>
      </c>
      <c r="M154" s="117">
        <v>1606.2949093190657</v>
      </c>
    </row>
    <row r="155" spans="11:13" x14ac:dyDescent="0.4">
      <c r="K155" s="74">
        <v>153</v>
      </c>
      <c r="L155" s="119">
        <v>1.4210854715202004E-14</v>
      </c>
      <c r="M155" s="117">
        <v>1596.8851398631514</v>
      </c>
    </row>
    <row r="156" spans="11:13" x14ac:dyDescent="0.4">
      <c r="K156" s="74">
        <v>154</v>
      </c>
      <c r="L156" s="119">
        <v>-39.299999999999983</v>
      </c>
      <c r="M156" s="117">
        <v>1590.2318290239725</v>
      </c>
    </row>
    <row r="157" spans="11:13" x14ac:dyDescent="0.4">
      <c r="K157" s="74">
        <v>155</v>
      </c>
      <c r="L157" s="119">
        <v>21.000000000000014</v>
      </c>
      <c r="M157" s="117">
        <v>1601.5464380498288</v>
      </c>
    </row>
    <row r="158" spans="11:13" x14ac:dyDescent="0.4">
      <c r="K158" s="74">
        <v>156</v>
      </c>
      <c r="L158" s="119">
        <v>1.4210854715202004E-14</v>
      </c>
      <c r="M158" s="117">
        <v>1598.1591594215299</v>
      </c>
    </row>
    <row r="159" spans="11:13" x14ac:dyDescent="0.4">
      <c r="K159" s="74">
        <v>157</v>
      </c>
      <c r="L159" s="119">
        <v>4.1000000000000139</v>
      </c>
      <c r="M159" s="117">
        <v>1599.1062044650007</v>
      </c>
    </row>
    <row r="160" spans="11:13" x14ac:dyDescent="0.4">
      <c r="K160" s="74">
        <v>158</v>
      </c>
      <c r="L160" s="119">
        <v>-36.199999999999982</v>
      </c>
      <c r="M160" s="117">
        <v>1592.0555672382106</v>
      </c>
    </row>
    <row r="161" spans="11:13" x14ac:dyDescent="0.4">
      <c r="K161" s="74">
        <v>159</v>
      </c>
      <c r="L161" s="119">
        <v>2.1316282072803006E-14</v>
      </c>
      <c r="M161" s="117">
        <v>1598.8172338347813</v>
      </c>
    </row>
    <row r="162" spans="11:13" x14ac:dyDescent="0.4">
      <c r="K162" s="74">
        <v>160</v>
      </c>
      <c r="L162" s="119">
        <v>69.700000000000017</v>
      </c>
      <c r="M162" s="117">
        <v>1611.2203304317727</v>
      </c>
    </row>
    <row r="163" spans="11:13" x14ac:dyDescent="0.4">
      <c r="K163" s="74">
        <v>161</v>
      </c>
      <c r="L163" s="119">
        <v>46.300000000000018</v>
      </c>
      <c r="M163" s="117">
        <v>1606.7910084491821</v>
      </c>
    </row>
    <row r="164" spans="11:13" x14ac:dyDescent="0.4">
      <c r="K164" s="74">
        <v>162</v>
      </c>
      <c r="L164" s="119">
        <v>2.1316282072803006E-14</v>
      </c>
      <c r="M164" s="117">
        <v>1598.266262398487</v>
      </c>
    </row>
    <row r="165" spans="11:13" x14ac:dyDescent="0.4">
      <c r="K165" s="74">
        <v>163</v>
      </c>
      <c r="L165" s="119">
        <v>20.500000000000021</v>
      </c>
      <c r="M165" s="117">
        <v>1601.8166648240961</v>
      </c>
    </row>
    <row r="166" spans="11:13" x14ac:dyDescent="0.4">
      <c r="K166" s="74">
        <v>164</v>
      </c>
      <c r="L166" s="119">
        <v>24.90000000000002</v>
      </c>
      <c r="M166" s="117">
        <v>1602.4477648351515</v>
      </c>
    </row>
    <row r="167" spans="11:13" x14ac:dyDescent="0.4">
      <c r="K167" s="74">
        <v>165</v>
      </c>
      <c r="L167" s="119">
        <v>2.1316282072803006E-14</v>
      </c>
      <c r="M167" s="117">
        <v>1597.8010782461406</v>
      </c>
    </row>
    <row r="168" spans="11:13" x14ac:dyDescent="0.4">
      <c r="K168" s="74">
        <v>166</v>
      </c>
      <c r="L168" s="119">
        <v>47.000000000000021</v>
      </c>
      <c r="M168" s="117">
        <v>1606.2922717766637</v>
      </c>
    </row>
    <row r="169" spans="11:13" x14ac:dyDescent="0.4">
      <c r="K169" s="74">
        <v>167</v>
      </c>
      <c r="L169" s="119">
        <v>-1.9999999999999787</v>
      </c>
      <c r="M169" s="117">
        <v>1597.4525181460037</v>
      </c>
    </row>
    <row r="170" spans="11:13" x14ac:dyDescent="0.4">
      <c r="K170" s="74">
        <v>168</v>
      </c>
      <c r="L170" s="119">
        <v>2.1316282072803006E-14</v>
      </c>
      <c r="M170" s="117">
        <v>1597.8458030371278</v>
      </c>
    </row>
    <row r="171" spans="11:13" x14ac:dyDescent="0.4">
      <c r="K171" s="74">
        <v>169</v>
      </c>
      <c r="L171" s="119">
        <v>-3.5999999999999788</v>
      </c>
      <c r="M171" s="117">
        <v>1597.234728218905</v>
      </c>
    </row>
    <row r="172" spans="11:13" x14ac:dyDescent="0.4">
      <c r="K172" s="74">
        <v>170</v>
      </c>
      <c r="L172" s="119">
        <v>-33.999999999999979</v>
      </c>
      <c r="M172" s="117">
        <v>1591.8033198495916</v>
      </c>
    </row>
    <row r="173" spans="11:13" x14ac:dyDescent="0.4">
      <c r="K173" s="74">
        <v>171</v>
      </c>
      <c r="L173" s="119">
        <v>2.1316282072803006E-14</v>
      </c>
      <c r="M173" s="117">
        <v>1597.9964999304941</v>
      </c>
    </row>
    <row r="174" spans="11:13" x14ac:dyDescent="0.4">
      <c r="K174" s="74">
        <v>172</v>
      </c>
      <c r="L174" s="119">
        <v>2.1316282072803006E-14</v>
      </c>
      <c r="M174" s="117">
        <v>1598.2005209309111</v>
      </c>
    </row>
    <row r="175" spans="11:13" x14ac:dyDescent="0.4">
      <c r="K175" s="74">
        <v>173</v>
      </c>
      <c r="L175" s="119">
        <v>27.300000000000022</v>
      </c>
      <c r="M175" s="117">
        <v>1603.3173178053257</v>
      </c>
    </row>
    <row r="176" spans="11:13" x14ac:dyDescent="0.4">
      <c r="K176" s="74">
        <v>174</v>
      </c>
      <c r="L176" s="119">
        <v>2.1316282072803006E-14</v>
      </c>
      <c r="M176" s="117">
        <v>1598.5754138984937</v>
      </c>
    </row>
    <row r="177" spans="11:13" x14ac:dyDescent="0.4">
      <c r="K177" s="74">
        <v>175</v>
      </c>
      <c r="L177" s="119">
        <v>-52.399999999999977</v>
      </c>
      <c r="M177" s="117">
        <v>1589.3439614151027</v>
      </c>
    </row>
    <row r="178" spans="11:13" x14ac:dyDescent="0.4">
      <c r="K178" s="74">
        <v>176</v>
      </c>
      <c r="L178" s="119">
        <v>-13.299999999999976</v>
      </c>
      <c r="M178" s="117">
        <v>1596.6378976466121</v>
      </c>
    </row>
    <row r="179" spans="11:13" x14ac:dyDescent="0.4">
      <c r="K179" s="74">
        <v>177</v>
      </c>
      <c r="L179" s="119">
        <v>2.4868995751603507E-14</v>
      </c>
      <c r="M179" s="117">
        <v>1599.2440702607325</v>
      </c>
    </row>
    <row r="180" spans="11:13" x14ac:dyDescent="0.4">
      <c r="K180" s="74">
        <v>178</v>
      </c>
      <c r="L180" s="119">
        <v>50.800000000000026</v>
      </c>
      <c r="M180" s="117">
        <v>1608.4646058391681</v>
      </c>
    </row>
    <row r="181" spans="11:13" x14ac:dyDescent="0.4">
      <c r="K181" s="74">
        <v>179</v>
      </c>
      <c r="L181" s="119">
        <v>66.40000000000002</v>
      </c>
      <c r="M181" s="117">
        <v>1611.2938182041332</v>
      </c>
    </row>
    <row r="182" spans="11:13" x14ac:dyDescent="0.4">
      <c r="K182" s="74">
        <v>180</v>
      </c>
      <c r="L182" s="119">
        <v>1.4210854715202004E-14</v>
      </c>
      <c r="M182" s="117">
        <v>1599.3460552949084</v>
      </c>
    </row>
    <row r="183" spans="11:13" x14ac:dyDescent="0.4">
      <c r="K183" s="74">
        <v>181</v>
      </c>
      <c r="L183" s="119">
        <v>44.600000000000016</v>
      </c>
      <c r="M183" s="117">
        <v>1607.4499789631391</v>
      </c>
    </row>
    <row r="184" spans="11:13" x14ac:dyDescent="0.4">
      <c r="K184" s="74">
        <v>182</v>
      </c>
      <c r="L184" s="119">
        <v>-2.8999999999999844</v>
      </c>
      <c r="M184" s="117">
        <v>1598.9272790893601</v>
      </c>
    </row>
    <row r="185" spans="11:13" x14ac:dyDescent="0.4">
      <c r="K185" s="74">
        <v>183</v>
      </c>
      <c r="L185" s="119">
        <v>1.5543122344752192E-14</v>
      </c>
      <c r="M185" s="117">
        <v>1599.5277154148239</v>
      </c>
    </row>
    <row r="186" spans="11:13" x14ac:dyDescent="0.4">
      <c r="K186" s="74">
        <v>184</v>
      </c>
      <c r="L186" s="119">
        <v>-24.899999999999984</v>
      </c>
      <c r="M186" s="117">
        <v>1595.120549122335</v>
      </c>
    </row>
    <row r="187" spans="11:13" x14ac:dyDescent="0.4">
      <c r="K187" s="74">
        <v>185</v>
      </c>
      <c r="L187" s="119">
        <v>-28.199999999999985</v>
      </c>
      <c r="M187" s="117">
        <v>1594.6278258276009</v>
      </c>
    </row>
    <row r="188" spans="11:13" x14ac:dyDescent="0.4">
      <c r="K188" s="74">
        <v>186</v>
      </c>
      <c r="L188" s="119">
        <v>1.4210854715202004E-14</v>
      </c>
      <c r="M188" s="117">
        <v>1599.8080588726352</v>
      </c>
    </row>
    <row r="189" spans="11:13" x14ac:dyDescent="0.4">
      <c r="K189" s="74">
        <v>187</v>
      </c>
      <c r="L189" s="119">
        <v>-12.799999999999986</v>
      </c>
      <c r="M189" s="117">
        <v>1597.6672105193993</v>
      </c>
    </row>
    <row r="190" spans="11:13" x14ac:dyDescent="0.4">
      <c r="K190" s="74">
        <v>188</v>
      </c>
      <c r="L190" s="119">
        <v>29.400000000000016</v>
      </c>
      <c r="M190" s="117">
        <v>1605.439207256283</v>
      </c>
    </row>
    <row r="191" spans="11:13" x14ac:dyDescent="0.4">
      <c r="K191" s="74">
        <v>189</v>
      </c>
      <c r="L191" s="119">
        <v>1.7763568394002505E-14</v>
      </c>
      <c r="M191" s="117">
        <v>1600.2765720127452</v>
      </c>
    </row>
    <row r="192" spans="11:13" x14ac:dyDescent="0.4">
      <c r="K192" s="74">
        <v>190</v>
      </c>
      <c r="L192" s="119">
        <v>43.90000000000002</v>
      </c>
      <c r="M192" s="117">
        <v>1608.3389125806686</v>
      </c>
    </row>
    <row r="193" spans="11:13" x14ac:dyDescent="0.4">
      <c r="K193" s="74">
        <v>191</v>
      </c>
      <c r="L193" s="119">
        <v>-1.8999999999999773</v>
      </c>
      <c r="M193" s="117">
        <v>1600.2068791051847</v>
      </c>
    </row>
    <row r="194" spans="11:13" x14ac:dyDescent="0.4">
      <c r="K194" s="74">
        <v>192</v>
      </c>
      <c r="L194" s="119">
        <v>2.2648549702353193E-14</v>
      </c>
      <c r="M194" s="117">
        <v>1600.7096378305537</v>
      </c>
    </row>
    <row r="195" spans="11:13" x14ac:dyDescent="0.4">
      <c r="K195" s="74">
        <v>193</v>
      </c>
      <c r="L195" s="119">
        <v>4.1000000000000227</v>
      </c>
      <c r="M195" s="117">
        <v>1601.6053800035704</v>
      </c>
    </row>
    <row r="196" spans="11:13" x14ac:dyDescent="0.4">
      <c r="K196" s="74">
        <v>194</v>
      </c>
      <c r="L196" s="119">
        <v>-30.999999999999979</v>
      </c>
      <c r="M196" s="117">
        <v>1595.4397477235491</v>
      </c>
    </row>
    <row r="197" spans="11:13" x14ac:dyDescent="0.4">
      <c r="K197" s="74">
        <v>195</v>
      </c>
      <c r="L197" s="119">
        <v>2.1316282072803006E-14</v>
      </c>
      <c r="M197" s="117">
        <v>1601.2091092372077</v>
      </c>
    </row>
    <row r="198" spans="11:13" x14ac:dyDescent="0.4">
      <c r="K198" s="74">
        <v>196</v>
      </c>
      <c r="L198" s="119">
        <v>-18.399999999999977</v>
      </c>
      <c r="M198" s="117">
        <v>1597.5598545817845</v>
      </c>
    </row>
    <row r="199" spans="11:13" x14ac:dyDescent="0.4">
      <c r="K199" s="74">
        <v>197</v>
      </c>
      <c r="L199" s="119">
        <v>-20.199999999999978</v>
      </c>
      <c r="M199" s="117">
        <v>1596.9204954542938</v>
      </c>
    </row>
    <row r="200" spans="11:13" x14ac:dyDescent="0.4">
      <c r="K200" s="74">
        <v>198</v>
      </c>
      <c r="L200" s="119">
        <v>2.1316282072803006E-14</v>
      </c>
      <c r="M200" s="117">
        <v>1600.2449724815681</v>
      </c>
    </row>
    <row r="201" spans="11:13" x14ac:dyDescent="0.4">
      <c r="K201" s="74">
        <v>199</v>
      </c>
      <c r="L201" s="119">
        <v>-2.3999999999999786</v>
      </c>
      <c r="M201" s="117">
        <v>1599.4815026466786</v>
      </c>
    </row>
    <row r="202" spans="11:13" x14ac:dyDescent="0.4">
      <c r="K202" s="74">
        <v>200</v>
      </c>
      <c r="L202" s="119">
        <v>-32.699999999999982</v>
      </c>
      <c r="M202" s="117">
        <v>1593.7006136307984</v>
      </c>
    </row>
    <row r="203" spans="11:13" x14ac:dyDescent="0.4">
      <c r="K203" s="74">
        <v>201</v>
      </c>
      <c r="L203" s="119">
        <v>2.1316282072803006E-14</v>
      </c>
      <c r="M203" s="117">
        <v>1599.2944099490137</v>
      </c>
    </row>
    <row r="204" spans="11:13" x14ac:dyDescent="0.4">
      <c r="K204" s="74">
        <v>202</v>
      </c>
      <c r="L204" s="119">
        <v>-21.699999999999978</v>
      </c>
      <c r="M204" s="117">
        <v>1595.4466434893195</v>
      </c>
    </row>
    <row r="205" spans="11:13" x14ac:dyDescent="0.4">
      <c r="K205" s="74">
        <v>203</v>
      </c>
      <c r="L205" s="119">
        <v>8.4000000000000234</v>
      </c>
      <c r="M205" s="117">
        <v>1600.9459636283837</v>
      </c>
    </row>
    <row r="206" spans="11:13" x14ac:dyDescent="0.4">
      <c r="K206" s="74">
        <v>204</v>
      </c>
      <c r="L206" s="119">
        <v>2.3092638912203256E-14</v>
      </c>
      <c r="M206" s="117">
        <v>1599.4822878466134</v>
      </c>
    </row>
    <row r="207" spans="11:13" x14ac:dyDescent="0.4">
      <c r="K207" s="74">
        <v>205</v>
      </c>
      <c r="L207" s="119">
        <v>44.000000000000021</v>
      </c>
      <c r="M207" s="117">
        <v>1607.4593941195337</v>
      </c>
    </row>
    <row r="208" spans="11:13" x14ac:dyDescent="0.4">
      <c r="K208" s="74">
        <v>206</v>
      </c>
      <c r="L208" s="119">
        <v>3.3000000000000185</v>
      </c>
      <c r="M208" s="117">
        <v>1600.1426377548166</v>
      </c>
    </row>
    <row r="209" spans="11:13" x14ac:dyDescent="0.4">
      <c r="K209" s="74">
        <v>207</v>
      </c>
      <c r="L209" s="119">
        <v>1.865174681370263E-14</v>
      </c>
      <c r="M209" s="117">
        <v>1599.6017819282877</v>
      </c>
    </row>
    <row r="210" spans="11:13" x14ac:dyDescent="0.4">
      <c r="K210" s="74">
        <v>208</v>
      </c>
      <c r="L210" s="119">
        <v>-6.1999999999999815</v>
      </c>
      <c r="M210" s="117">
        <v>1598.458171236718</v>
      </c>
    </row>
    <row r="211" spans="11:13" x14ac:dyDescent="0.4">
      <c r="K211" s="74">
        <v>209</v>
      </c>
      <c r="L211" s="119">
        <v>-31.899999999999981</v>
      </c>
      <c r="M211" s="117">
        <v>1593.8114222092977</v>
      </c>
    </row>
    <row r="212" spans="11:13" x14ac:dyDescent="0.4">
      <c r="K212" s="74">
        <v>210</v>
      </c>
      <c r="L212" s="119">
        <v>1.7763568394002505E-14</v>
      </c>
      <c r="M212" s="117">
        <v>1599.560553676042</v>
      </c>
    </row>
    <row r="213" spans="11:13" x14ac:dyDescent="0.4">
      <c r="K213" s="74">
        <v>211</v>
      </c>
      <c r="L213" s="119">
        <v>-0.89999999999998226</v>
      </c>
      <c r="M213" s="117">
        <v>1599.3711903539856</v>
      </c>
    </row>
    <row r="214" spans="11:13" x14ac:dyDescent="0.4">
      <c r="K214" s="74">
        <v>212</v>
      </c>
      <c r="L214" s="119">
        <v>39.800000000000018</v>
      </c>
      <c r="M214" s="117">
        <v>1606.6709632118618</v>
      </c>
    </row>
    <row r="215" spans="11:13" x14ac:dyDescent="0.4">
      <c r="K215" s="74">
        <v>213</v>
      </c>
      <c r="L215" s="119">
        <v>2.1316282072803006E-14</v>
      </c>
      <c r="M215" s="117">
        <v>1599.4369374325906</v>
      </c>
    </row>
    <row r="216" spans="11:13" x14ac:dyDescent="0.4">
      <c r="K216" s="74">
        <v>214</v>
      </c>
      <c r="L216" s="119">
        <v>-53.899999999999977</v>
      </c>
      <c r="M216" s="117">
        <v>1589.4923158079951</v>
      </c>
    </row>
    <row r="217" spans="11:13" x14ac:dyDescent="0.4">
      <c r="K217" s="74">
        <v>215</v>
      </c>
      <c r="L217" s="119">
        <v>-1.6999999999999744</v>
      </c>
      <c r="M217" s="117">
        <v>1598.705361913147</v>
      </c>
    </row>
    <row r="218" spans="11:13" x14ac:dyDescent="0.4">
      <c r="K218" s="74">
        <v>216</v>
      </c>
      <c r="L218" s="119">
        <v>2.55351295663786E-14</v>
      </c>
      <c r="M218" s="117">
        <v>1598.7731297416681</v>
      </c>
    </row>
    <row r="219" spans="11:13" x14ac:dyDescent="0.4">
      <c r="K219" s="74">
        <v>217</v>
      </c>
      <c r="L219" s="119">
        <v>-18.399999999999974</v>
      </c>
      <c r="M219" s="117">
        <v>1595.450490963218</v>
      </c>
    </row>
    <row r="220" spans="11:13" x14ac:dyDescent="0.4">
      <c r="K220" s="74">
        <v>218</v>
      </c>
      <c r="L220" s="119">
        <v>-16.799999999999972</v>
      </c>
      <c r="M220" s="117">
        <v>1595.7477880174388</v>
      </c>
    </row>
    <row r="221" spans="11:13" x14ac:dyDescent="0.4">
      <c r="K221" s="74">
        <v>219</v>
      </c>
      <c r="L221" s="119">
        <v>2.8421709430404007E-14</v>
      </c>
      <c r="M221" s="117">
        <v>1598.7793012893342</v>
      </c>
    </row>
    <row r="222" spans="11:13" x14ac:dyDescent="0.4">
      <c r="K222" s="74">
        <v>220</v>
      </c>
      <c r="L222" s="119">
        <v>36.200000000000031</v>
      </c>
      <c r="M222" s="117">
        <v>1605.5306254815982</v>
      </c>
    </row>
    <row r="223" spans="11:13" x14ac:dyDescent="0.4">
      <c r="K223" s="74">
        <v>221</v>
      </c>
      <c r="L223" s="119">
        <v>34.800000000000033</v>
      </c>
      <c r="M223" s="117">
        <v>1605.4734417287086</v>
      </c>
    </row>
    <row r="224" spans="11:13" x14ac:dyDescent="0.4">
      <c r="K224" s="74">
        <v>222</v>
      </c>
      <c r="L224" s="119">
        <v>3.5527136788005009E-14</v>
      </c>
      <c r="M224" s="117">
        <v>1599.4046010783363</v>
      </c>
    </row>
    <row r="225" spans="11:13" x14ac:dyDescent="0.4">
      <c r="K225" s="74">
        <v>223</v>
      </c>
      <c r="L225" s="119">
        <v>-24.499999999999964</v>
      </c>
      <c r="M225" s="117">
        <v>1595.0341734718663</v>
      </c>
    </row>
    <row r="226" spans="11:13" x14ac:dyDescent="0.4">
      <c r="K226" s="74">
        <v>224</v>
      </c>
      <c r="L226" s="119">
        <v>-0.59999999999996589</v>
      </c>
      <c r="M226" s="117">
        <v>1599.4019684310351</v>
      </c>
    </row>
    <row r="227" spans="11:13" x14ac:dyDescent="0.4">
      <c r="K227" s="74">
        <v>225</v>
      </c>
      <c r="L227" s="119">
        <v>3.4083846855992306E-14</v>
      </c>
      <c r="M227" s="117">
        <v>1599.5495566204488</v>
      </c>
    </row>
    <row r="228" spans="11:13" x14ac:dyDescent="0.4">
      <c r="K228" s="74">
        <v>226</v>
      </c>
      <c r="L228" s="119">
        <v>35.500000000000036</v>
      </c>
      <c r="M228" s="117">
        <v>1605.9782592807262</v>
      </c>
    </row>
    <row r="229" spans="11:13" x14ac:dyDescent="0.4">
      <c r="K229" s="74">
        <v>227</v>
      </c>
      <c r="L229" s="119">
        <v>10.000000000000036</v>
      </c>
      <c r="M229" s="117">
        <v>1601.3883897250419</v>
      </c>
    </row>
    <row r="230" spans="11:13" x14ac:dyDescent="0.4">
      <c r="K230" s="74">
        <v>228</v>
      </c>
      <c r="L230" s="119">
        <v>3.5527136788005009E-14</v>
      </c>
      <c r="M230" s="117">
        <v>1599.6160593866916</v>
      </c>
    </row>
    <row r="231" spans="11:13" x14ac:dyDescent="0.4">
      <c r="K231" s="74">
        <v>229</v>
      </c>
      <c r="L231" s="119">
        <v>14.300000000000036</v>
      </c>
      <c r="M231" s="117">
        <v>1602.4323630303716</v>
      </c>
    </row>
    <row r="232" spans="11:13" x14ac:dyDescent="0.4">
      <c r="K232" s="74">
        <v>230</v>
      </c>
      <c r="L232" s="119">
        <v>-3.3999999999999631</v>
      </c>
      <c r="M232" s="117">
        <v>1599.4717688521894</v>
      </c>
    </row>
    <row r="233" spans="11:13" x14ac:dyDescent="0.4">
      <c r="K233" s="74">
        <v>231</v>
      </c>
      <c r="L233" s="119">
        <v>3.6859404417555197E-14</v>
      </c>
      <c r="M233" s="117">
        <v>1600.3269382390763</v>
      </c>
    </row>
    <row r="234" spans="11:13" x14ac:dyDescent="0.4">
      <c r="K234" s="74">
        <v>232</v>
      </c>
      <c r="L234" s="119">
        <v>-22.699999999999964</v>
      </c>
      <c r="M234" s="117">
        <v>1596.4789766096419</v>
      </c>
    </row>
    <row r="235" spans="11:13" x14ac:dyDescent="0.4">
      <c r="K235" s="74">
        <v>233</v>
      </c>
      <c r="L235" s="119">
        <v>12.300000000000036</v>
      </c>
      <c r="M235" s="117">
        <v>1603.040102749984</v>
      </c>
    </row>
    <row r="236" spans="11:13" x14ac:dyDescent="0.4">
      <c r="K236" s="74">
        <v>234</v>
      </c>
      <c r="L236" s="119">
        <v>3.5527136788005009E-14</v>
      </c>
      <c r="M236" s="117">
        <v>1601.0478621334842</v>
      </c>
    </row>
    <row r="237" spans="11:13" x14ac:dyDescent="0.4">
      <c r="K237" s="74">
        <v>235</v>
      </c>
      <c r="L237" s="119">
        <v>-5.5999999999999641</v>
      </c>
      <c r="M237" s="117">
        <v>1600.2675749606833</v>
      </c>
    </row>
    <row r="238" spans="11:13" x14ac:dyDescent="0.4">
      <c r="K238" s="74">
        <v>236</v>
      </c>
      <c r="L238" s="119">
        <v>-22.199999999999967</v>
      </c>
      <c r="M238" s="117">
        <v>1597.5119695109192</v>
      </c>
    </row>
    <row r="239" spans="11:13" x14ac:dyDescent="0.4">
      <c r="K239" s="74">
        <v>237</v>
      </c>
      <c r="L239" s="119">
        <v>3.1974423109204508E-14</v>
      </c>
      <c r="M239" s="117">
        <v>1601.7568976938537</v>
      </c>
    </row>
    <row r="240" spans="11:13" x14ac:dyDescent="0.4">
      <c r="K240" s="74">
        <v>238</v>
      </c>
      <c r="L240" s="119">
        <v>50.900000000000034</v>
      </c>
      <c r="M240" s="117">
        <v>1611.1483563076906</v>
      </c>
    </row>
    <row r="241" spans="11:13" x14ac:dyDescent="0.4">
      <c r="K241" s="74">
        <v>239</v>
      </c>
      <c r="L241" s="119">
        <v>-1.9999999999999645</v>
      </c>
      <c r="M241" s="117">
        <v>1601.7994661698444</v>
      </c>
    </row>
    <row r="242" spans="11:13" x14ac:dyDescent="0.4">
      <c r="K242" s="74">
        <v>240</v>
      </c>
      <c r="L242" s="119">
        <v>3.5527136788005009E-14</v>
      </c>
      <c r="M242" s="117">
        <v>1602.3886693728255</v>
      </c>
    </row>
    <row r="243" spans="11:13" x14ac:dyDescent="0.4">
      <c r="K243" s="74">
        <v>241</v>
      </c>
      <c r="L243" s="119">
        <v>-25.999999999999964</v>
      </c>
      <c r="M243" s="117">
        <v>1597.9223373565885</v>
      </c>
    </row>
    <row r="244" spans="11:13" x14ac:dyDescent="0.4">
      <c r="K244" s="74">
        <v>242</v>
      </c>
      <c r="L244" s="119">
        <v>-4.4999999999999645</v>
      </c>
      <c r="M244" s="117">
        <v>1602.032803332449</v>
      </c>
    </row>
    <row r="245" spans="11:13" x14ac:dyDescent="0.4">
      <c r="K245" s="74">
        <v>243</v>
      </c>
      <c r="L245" s="119">
        <v>3.5527136788005009E-14</v>
      </c>
      <c r="M245" s="117">
        <v>1603.0586065124544</v>
      </c>
    </row>
    <row r="246" spans="11:13" x14ac:dyDescent="0.4">
      <c r="K246" s="74">
        <v>244</v>
      </c>
      <c r="L246" s="119">
        <v>-40.699999999999967</v>
      </c>
      <c r="M246" s="117">
        <v>1595.9422548733796</v>
      </c>
    </row>
    <row r="247" spans="11:13" x14ac:dyDescent="0.4">
      <c r="K247" s="74">
        <v>245</v>
      </c>
      <c r="L247" s="119">
        <v>-4.1999999999999673</v>
      </c>
      <c r="M247" s="117">
        <v>1602.7646013441392</v>
      </c>
    </row>
    <row r="248" spans="11:13" x14ac:dyDescent="0.4">
      <c r="K248" s="74">
        <v>246</v>
      </c>
      <c r="L248" s="119">
        <v>3.2862601528904634E-14</v>
      </c>
      <c r="M248" s="117">
        <v>1603.7320137360744</v>
      </c>
    </row>
    <row r="249" spans="11:13" x14ac:dyDescent="0.4">
      <c r="K249" s="74">
        <v>247</v>
      </c>
      <c r="L249" s="119">
        <v>4.700000000000033</v>
      </c>
      <c r="M249" s="117">
        <v>1604.783621653658</v>
      </c>
    </row>
    <row r="250" spans="11:13" x14ac:dyDescent="0.4">
      <c r="K250" s="74">
        <v>248</v>
      </c>
      <c r="L250" s="119">
        <v>44.60000000000003</v>
      </c>
      <c r="M250" s="117">
        <v>1612.1649199237361</v>
      </c>
    </row>
    <row r="251" spans="11:13" x14ac:dyDescent="0.4">
      <c r="K251" s="74">
        <v>249</v>
      </c>
      <c r="L251" s="119">
        <v>2.8421709430404007E-14</v>
      </c>
      <c r="M251" s="117">
        <v>1604.2919304041936</v>
      </c>
    </row>
    <row r="252" spans="11:13" x14ac:dyDescent="0.4">
      <c r="K252" s="74">
        <v>250</v>
      </c>
      <c r="L252" s="119">
        <v>15.400000000000029</v>
      </c>
      <c r="M252" s="117">
        <v>1607.1401788217686</v>
      </c>
    </row>
    <row r="253" spans="11:13" x14ac:dyDescent="0.4">
      <c r="K253" s="74">
        <v>251</v>
      </c>
      <c r="L253" s="119">
        <v>17.800000000000029</v>
      </c>
      <c r="M253" s="117">
        <v>1607.631337748838</v>
      </c>
    </row>
    <row r="254" spans="11:13" x14ac:dyDescent="0.4">
      <c r="K254" s="74">
        <v>252</v>
      </c>
      <c r="L254" s="119">
        <v>2.8421709430404007E-14</v>
      </c>
      <c r="M254" s="117">
        <v>1604.4835497223448</v>
      </c>
    </row>
    <row r="255" spans="11:13" x14ac:dyDescent="0.4">
      <c r="K255" s="74">
        <v>253</v>
      </c>
      <c r="L255" s="119">
        <v>5.1000000000000281</v>
      </c>
      <c r="M255" s="117">
        <v>1605.4766484240108</v>
      </c>
    </row>
    <row r="256" spans="11:13" x14ac:dyDescent="0.4">
      <c r="K256" s="74">
        <v>254</v>
      </c>
      <c r="L256" s="119">
        <v>22.900000000000027</v>
      </c>
      <c r="M256" s="117">
        <v>1608.7497885334667</v>
      </c>
    </row>
    <row r="257" spans="11:13" x14ac:dyDescent="0.4">
      <c r="K257" s="74">
        <v>255</v>
      </c>
      <c r="L257" s="119">
        <v>2.8421709430404007E-14</v>
      </c>
      <c r="M257" s="117">
        <v>1604.6772898022659</v>
      </c>
    </row>
    <row r="258" spans="11:13" x14ac:dyDescent="0.4">
      <c r="K258" s="74">
        <v>256</v>
      </c>
      <c r="L258" s="119">
        <v>-11.499999999999972</v>
      </c>
      <c r="M258" s="117">
        <v>1602.9392260634522</v>
      </c>
    </row>
    <row r="259" spans="11:13" x14ac:dyDescent="0.4">
      <c r="K259" s="74">
        <v>257</v>
      </c>
      <c r="L259" s="119">
        <v>-0.49999999999997158</v>
      </c>
      <c r="M259" s="117">
        <v>1605.2615907070715</v>
      </c>
    </row>
    <row r="260" spans="11:13" x14ac:dyDescent="0.4">
      <c r="K260" s="74">
        <v>258</v>
      </c>
      <c r="L260" s="119">
        <v>2.8421709430404007E-14</v>
      </c>
      <c r="M260" s="117">
        <v>1605.680021162829</v>
      </c>
    </row>
    <row r="261" spans="11:13" x14ac:dyDescent="0.4">
      <c r="K261" s="74">
        <v>259</v>
      </c>
      <c r="L261" s="119">
        <v>-5.0999999999999712</v>
      </c>
      <c r="M261" s="117">
        <v>1605.0879410358521</v>
      </c>
    </row>
    <row r="262" spans="11:13" x14ac:dyDescent="0.4">
      <c r="K262" s="74">
        <v>260</v>
      </c>
      <c r="L262" s="119">
        <v>45.300000000000026</v>
      </c>
      <c r="M262" s="117">
        <v>1614.4894133896369</v>
      </c>
    </row>
    <row r="263" spans="11:13" x14ac:dyDescent="0.4">
      <c r="K263" s="74">
        <v>261</v>
      </c>
      <c r="L263" s="119">
        <v>2.8421709430404007E-14</v>
      </c>
      <c r="M263" s="117">
        <v>1606.608476909299</v>
      </c>
    </row>
    <row r="264" spans="11:13" x14ac:dyDescent="0.4">
      <c r="K264" s="74">
        <v>262</v>
      </c>
      <c r="L264" s="119">
        <v>-6.8999999999999719</v>
      </c>
      <c r="M264" s="117">
        <v>1605.3508260478432</v>
      </c>
    </row>
    <row r="265" spans="11:13" x14ac:dyDescent="0.4">
      <c r="K265" s="74">
        <v>263</v>
      </c>
      <c r="L265" s="119">
        <v>18.800000000000026</v>
      </c>
      <c r="M265" s="117">
        <v>1609.9687210915561</v>
      </c>
    </row>
    <row r="266" spans="11:13" x14ac:dyDescent="0.4">
      <c r="K266" s="74">
        <v>264</v>
      </c>
      <c r="L266" s="119">
        <v>2.4868995751603507E-14</v>
      </c>
      <c r="M266" s="117">
        <v>1606.5489087650067</v>
      </c>
    </row>
    <row r="267" spans="11:13" x14ac:dyDescent="0.4">
      <c r="K267" s="74">
        <v>265</v>
      </c>
      <c r="L267" s="119">
        <v>-19.299999999999976</v>
      </c>
      <c r="M267" s="117">
        <v>1602.9216153124166</v>
      </c>
    </row>
    <row r="268" spans="11:13" x14ac:dyDescent="0.4">
      <c r="K268" s="74">
        <v>266</v>
      </c>
      <c r="L268" s="119">
        <v>-17.699999999999974</v>
      </c>
      <c r="M268" s="117">
        <v>1603.0780856205422</v>
      </c>
    </row>
    <row r="269" spans="11:13" x14ac:dyDescent="0.4">
      <c r="K269" s="74">
        <v>267</v>
      </c>
      <c r="L269" s="119">
        <v>2.4868995751603507E-14</v>
      </c>
      <c r="M269" s="117">
        <v>1606.131617106819</v>
      </c>
    </row>
    <row r="270" spans="11:13" x14ac:dyDescent="0.4">
      <c r="K270" s="74">
        <v>268</v>
      </c>
      <c r="L270" s="119">
        <v>0.70000000000002482</v>
      </c>
      <c r="M270" s="117">
        <v>1606.3168274041782</v>
      </c>
    </row>
    <row r="271" spans="11:13" x14ac:dyDescent="0.4">
      <c r="K271" s="74">
        <v>269</v>
      </c>
      <c r="L271" s="119">
        <v>-36.299999999999976</v>
      </c>
      <c r="M271" s="117">
        <v>1599.7149264397531</v>
      </c>
    </row>
    <row r="272" spans="11:13" x14ac:dyDescent="0.4">
      <c r="K272" s="74">
        <v>270</v>
      </c>
      <c r="L272" s="119">
        <v>2.1316282072803006E-14</v>
      </c>
      <c r="M272" s="117">
        <v>1606.3466368811146</v>
      </c>
    </row>
    <row r="273" spans="11:13" x14ac:dyDescent="0.4">
      <c r="K273" s="74">
        <v>271</v>
      </c>
      <c r="L273" s="119">
        <v>12.500000000000021</v>
      </c>
      <c r="M273" s="117">
        <v>1607.8505570598279</v>
      </c>
    </row>
    <row r="274" spans="11:13" x14ac:dyDescent="0.4">
      <c r="K274" s="74">
        <v>272</v>
      </c>
      <c r="L274" s="119">
        <v>-24.499999999999979</v>
      </c>
      <c r="M274" s="117">
        <v>1600.435453717469</v>
      </c>
    </row>
    <row r="275" spans="11:13" x14ac:dyDescent="0.4">
      <c r="K275" s="74">
        <v>273</v>
      </c>
      <c r="L275" s="119">
        <v>2.1316282072803006E-14</v>
      </c>
      <c r="M275" s="117">
        <v>1604.1348409951643</v>
      </c>
    </row>
    <row r="276" spans="11:13" x14ac:dyDescent="0.4">
      <c r="K276" s="74">
        <v>274</v>
      </c>
      <c r="L276" s="119">
        <v>8.7000000000000206</v>
      </c>
      <c r="M276" s="117">
        <v>1605.7720319491932</v>
      </c>
    </row>
    <row r="277" spans="11:13" x14ac:dyDescent="0.4">
      <c r="K277" s="74">
        <v>275</v>
      </c>
      <c r="L277" s="119">
        <v>-21.999999999999979</v>
      </c>
      <c r="M277" s="117">
        <v>1600.3073997574979</v>
      </c>
    </row>
    <row r="278" spans="11:13" x14ac:dyDescent="0.4">
      <c r="K278" s="74">
        <v>276</v>
      </c>
      <c r="L278" s="119">
        <v>2.1316282072803006E-14</v>
      </c>
      <c r="M278" s="117">
        <v>1604.361555358953</v>
      </c>
    </row>
    <row r="279" spans="11:13" x14ac:dyDescent="0.4">
      <c r="K279" s="74">
        <v>277</v>
      </c>
      <c r="L279" s="119">
        <v>40.500000000000021</v>
      </c>
      <c r="M279" s="117">
        <v>1611.6553860267993</v>
      </c>
    </row>
    <row r="280" spans="11:13" x14ac:dyDescent="0.4">
      <c r="K280" s="74">
        <v>278</v>
      </c>
      <c r="L280" s="119">
        <v>-12.299999999999976</v>
      </c>
      <c r="M280" s="117">
        <v>1602.1114537106384</v>
      </c>
    </row>
    <row r="281" spans="11:13" x14ac:dyDescent="0.4">
      <c r="K281" s="74">
        <v>279</v>
      </c>
      <c r="L281" s="119">
        <v>2.4868995751603507E-14</v>
      </c>
      <c r="M281" s="117">
        <v>1604.3427849883747</v>
      </c>
    </row>
    <row r="282" spans="11:13" x14ac:dyDescent="0.4">
      <c r="K282" s="74">
        <v>280</v>
      </c>
      <c r="L282" s="119">
        <v>63.000000000000028</v>
      </c>
      <c r="M282" s="117">
        <v>1615.8487282784445</v>
      </c>
    </row>
    <row r="283" spans="11:13" x14ac:dyDescent="0.4">
      <c r="K283" s="74">
        <v>281</v>
      </c>
      <c r="L283" s="119">
        <v>53.200000000000031</v>
      </c>
      <c r="M283" s="117">
        <v>1614.1816359087738</v>
      </c>
    </row>
    <row r="284" spans="11:13" x14ac:dyDescent="0.4">
      <c r="K284" s="74">
        <v>282</v>
      </c>
      <c r="L284" s="119">
        <v>2.8421709430404007E-14</v>
      </c>
      <c r="M284" s="117">
        <v>1604.7125460933212</v>
      </c>
    </row>
    <row r="285" spans="11:13" x14ac:dyDescent="0.4">
      <c r="K285" s="74">
        <v>283</v>
      </c>
      <c r="L285" s="119">
        <v>50.900000000000027</v>
      </c>
      <c r="M285" s="117">
        <v>1613.5162708167613</v>
      </c>
    </row>
    <row r="286" spans="11:13" x14ac:dyDescent="0.4">
      <c r="K286" s="74">
        <v>284</v>
      </c>
      <c r="L286" s="119">
        <v>30.800000000000026</v>
      </c>
      <c r="M286" s="117">
        <v>1609.4871731918608</v>
      </c>
    </row>
    <row r="287" spans="11:13" x14ac:dyDescent="0.4">
      <c r="K287" s="74">
        <v>285</v>
      </c>
      <c r="L287" s="119">
        <v>2.4868995751603507E-14</v>
      </c>
      <c r="M287" s="117">
        <v>1603.5562501527097</v>
      </c>
    </row>
    <row r="288" spans="11:13" x14ac:dyDescent="0.4">
      <c r="K288" s="74">
        <v>286</v>
      </c>
      <c r="L288" s="119">
        <v>14.900000000000025</v>
      </c>
      <c r="M288" s="117">
        <v>1606.0429126517934</v>
      </c>
    </row>
    <row r="289" spans="11:13" x14ac:dyDescent="0.4">
      <c r="K289" s="74">
        <v>287</v>
      </c>
      <c r="L289" s="119">
        <v>16.700000000000024</v>
      </c>
      <c r="M289" s="117">
        <v>1606.1566551758826</v>
      </c>
    </row>
    <row r="290" spans="11:13" x14ac:dyDescent="0.4">
      <c r="K290" s="74">
        <v>288</v>
      </c>
      <c r="L290" s="119">
        <v>2.4868995751603507E-14</v>
      </c>
      <c r="M290" s="117">
        <v>1602.9397152448273</v>
      </c>
    </row>
    <row r="291" spans="11:13" x14ac:dyDescent="0.4">
      <c r="K291" s="74">
        <v>289</v>
      </c>
      <c r="L291" s="119">
        <v>-5.4999999999999751</v>
      </c>
      <c r="M291" s="117">
        <v>1601.8600769533584</v>
      </c>
    </row>
    <row r="292" spans="11:13" x14ac:dyDescent="0.4">
      <c r="K292" s="74">
        <v>290</v>
      </c>
      <c r="L292" s="119">
        <v>-64.899999999999977</v>
      </c>
      <c r="M292" s="117">
        <v>1591.0849164916383</v>
      </c>
    </row>
    <row r="293" spans="11:13" x14ac:dyDescent="0.4">
      <c r="K293" s="74">
        <v>291</v>
      </c>
      <c r="L293" s="119">
        <v>2.8421709430404007E-14</v>
      </c>
      <c r="M293" s="117">
        <v>1602.7484069926884</v>
      </c>
    </row>
    <row r="294" spans="11:13" x14ac:dyDescent="0.4">
      <c r="K294" s="74">
        <v>292</v>
      </c>
      <c r="L294" s="119">
        <v>-4.7999999999999714</v>
      </c>
      <c r="M294" s="117">
        <v>1601.0219165507322</v>
      </c>
    </row>
    <row r="295" spans="11:13" x14ac:dyDescent="0.4">
      <c r="K295" s="74">
        <v>293</v>
      </c>
      <c r="L295" s="119">
        <v>24.200000000000028</v>
      </c>
      <c r="M295" s="117">
        <v>1605.3897850514277</v>
      </c>
    </row>
    <row r="296" spans="11:13" x14ac:dyDescent="0.4">
      <c r="K296" s="74">
        <v>294</v>
      </c>
      <c r="L296" s="119">
        <v>2.8421709430404007E-14</v>
      </c>
      <c r="M296" s="117">
        <v>1600.1554463411192</v>
      </c>
    </row>
    <row r="297" spans="11:13" x14ac:dyDescent="0.4">
      <c r="K297" s="74">
        <v>295</v>
      </c>
      <c r="L297" s="119">
        <v>-23.599999999999973</v>
      </c>
      <c r="M297" s="117">
        <v>1595.0605136630725</v>
      </c>
    </row>
    <row r="298" spans="11:13" x14ac:dyDescent="0.4">
      <c r="K298" s="74">
        <v>296</v>
      </c>
      <c r="L298" s="119">
        <v>9.0000000000000284</v>
      </c>
      <c r="M298" s="117">
        <v>1600.1121505810941</v>
      </c>
    </row>
    <row r="299" spans="11:13" x14ac:dyDescent="0.4">
      <c r="K299" s="74">
        <v>297</v>
      </c>
      <c r="L299" s="119">
        <v>2.8421709430404007E-14</v>
      </c>
      <c r="M299" s="117">
        <v>1597.6454776776075</v>
      </c>
    </row>
  </sheetData>
  <sortState xmlns:xlrd2="http://schemas.microsoft.com/office/spreadsheetml/2017/richdata2" ref="O15:R24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04B00F-B820-422B-8BD9-5ED2D8E0D696}">
  <sheetPr codeName="Sheet7"/>
  <dimension ref="A1:R8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126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80</v>
      </c>
      <c r="C2" s="134"/>
      <c r="E2" s="26" t="s">
        <v>66</v>
      </c>
      <c r="F2" s="23" t="s">
        <v>22</v>
      </c>
      <c r="G2" s="11">
        <v>161</v>
      </c>
      <c r="H2" s="87">
        <f>IF(B$20=0,0,G2/B$20)</f>
        <v>0.755868544600939</v>
      </c>
      <c r="I2" s="57">
        <v>7</v>
      </c>
      <c r="K2" s="73">
        <v>0</v>
      </c>
      <c r="L2" s="118">
        <v>0</v>
      </c>
      <c r="M2" s="116">
        <v>1842.3339395535957</v>
      </c>
      <c r="O2" s="73" t="s">
        <v>128</v>
      </c>
      <c r="P2" s="79">
        <f t="shared" ref="P2:P7" si="0">IF(Q2=0,0,R2/Q2)</f>
        <v>206.25</v>
      </c>
      <c r="Q2" s="76">
        <v>80</v>
      </c>
      <c r="R2" s="63">
        <v>16500</v>
      </c>
    </row>
    <row r="3" spans="1:18" x14ac:dyDescent="0.4">
      <c r="A3" s="19" t="s">
        <v>8</v>
      </c>
      <c r="B3" s="135">
        <v>663</v>
      </c>
      <c r="C3" s="136"/>
      <c r="E3" s="27" t="s">
        <v>72</v>
      </c>
      <c r="F3" s="24" t="s">
        <v>27</v>
      </c>
      <c r="G3" s="12">
        <v>117</v>
      </c>
      <c r="H3" s="88">
        <f>IF(B$20=0,0,G3/B$20)</f>
        <v>0.54929577464788737</v>
      </c>
      <c r="I3" s="58">
        <v>9</v>
      </c>
      <c r="K3" s="74">
        <v>1</v>
      </c>
      <c r="L3" s="119">
        <v>20.9</v>
      </c>
      <c r="M3" s="117">
        <v>1844.041935916274</v>
      </c>
      <c r="O3" s="74" t="s">
        <v>129</v>
      </c>
      <c r="P3" s="80">
        <f t="shared" si="0"/>
        <v>-1171.4285714285713</v>
      </c>
      <c r="Q3" s="77">
        <v>77</v>
      </c>
      <c r="R3" s="64">
        <v>-90200</v>
      </c>
    </row>
    <row r="4" spans="1:18" x14ac:dyDescent="0.4">
      <c r="A4" s="19" t="s">
        <v>6</v>
      </c>
      <c r="B4" s="137">
        <v>49.99999999999995</v>
      </c>
      <c r="C4" s="138"/>
      <c r="E4" s="27" t="s">
        <v>64</v>
      </c>
      <c r="F4" s="24" t="s">
        <v>20</v>
      </c>
      <c r="G4" s="12">
        <v>85</v>
      </c>
      <c r="H4" s="88">
        <f>IF(B$20=0,0,G4/B$20)</f>
        <v>0.39906103286384975</v>
      </c>
      <c r="I4" s="58">
        <v>8</v>
      </c>
      <c r="K4" s="74">
        <v>2</v>
      </c>
      <c r="L4" s="119">
        <v>62.5</v>
      </c>
      <c r="M4" s="117">
        <v>1850.3176843007764</v>
      </c>
      <c r="O4" s="74" t="s">
        <v>130</v>
      </c>
      <c r="P4" s="80">
        <f t="shared" si="0"/>
        <v>-600</v>
      </c>
      <c r="Q4" s="77">
        <v>77</v>
      </c>
      <c r="R4" s="64">
        <v>-46200</v>
      </c>
    </row>
    <row r="5" spans="1:18" x14ac:dyDescent="0.4">
      <c r="A5" s="19" t="s">
        <v>7</v>
      </c>
      <c r="B5" s="125">
        <f>IF(B$2=0,0,B$4/B$2)</f>
        <v>0.62499999999999933</v>
      </c>
      <c r="C5" s="126"/>
      <c r="E5" s="27" t="s">
        <v>159</v>
      </c>
      <c r="F5" s="24" t="s">
        <v>160</v>
      </c>
      <c r="G5" s="12">
        <v>77</v>
      </c>
      <c r="H5" s="88">
        <f>IF(B$20=0,0,G5/B$20)</f>
        <v>0.36150234741784038</v>
      </c>
      <c r="I5" s="58">
        <v>8</v>
      </c>
      <c r="K5" s="74">
        <v>3</v>
      </c>
      <c r="L5" s="119">
        <v>40.5</v>
      </c>
      <c r="M5" s="117">
        <v>1844.9577781949718</v>
      </c>
      <c r="O5" s="74" t="s">
        <v>131</v>
      </c>
      <c r="P5" s="80">
        <f t="shared" si="0"/>
        <v>921.33333333333337</v>
      </c>
      <c r="Q5" s="77">
        <v>75</v>
      </c>
      <c r="R5" s="64">
        <v>69100</v>
      </c>
    </row>
    <row r="6" spans="1:18" x14ac:dyDescent="0.4">
      <c r="A6" s="19" t="s">
        <v>196</v>
      </c>
      <c r="B6" s="129">
        <v>1760.4079128289225</v>
      </c>
      <c r="C6" s="130"/>
      <c r="E6" s="27" t="s">
        <v>68</v>
      </c>
      <c r="F6" s="24" t="s">
        <v>12</v>
      </c>
      <c r="G6" s="12">
        <v>65</v>
      </c>
      <c r="H6" s="88">
        <f>IF(B$20=0,0,G6/B$20)</f>
        <v>0.30516431924882631</v>
      </c>
      <c r="I6" s="58">
        <v>4</v>
      </c>
      <c r="K6" s="74">
        <v>4</v>
      </c>
      <c r="L6" s="119">
        <v>74.5</v>
      </c>
      <c r="M6" s="117">
        <v>1849.7340315258018</v>
      </c>
      <c r="O6" s="74" t="s">
        <v>132</v>
      </c>
      <c r="P6" s="80">
        <f t="shared" si="0"/>
        <v>434.78260869565219</v>
      </c>
      <c r="Q6" s="77">
        <v>69</v>
      </c>
      <c r="R6" s="64">
        <v>30000</v>
      </c>
    </row>
    <row r="7" spans="1:18" x14ac:dyDescent="0.4">
      <c r="A7" s="19" t="s">
        <v>1</v>
      </c>
      <c r="B7" s="139">
        <f>IF(B$2=0,0,(B$8*1+B$9*2+B$10*3)/B$2)</f>
        <v>2.0499999999999998</v>
      </c>
      <c r="C7" s="140"/>
      <c r="E7" s="27" t="s">
        <v>67</v>
      </c>
      <c r="F7" s="24" t="s">
        <v>23</v>
      </c>
      <c r="G7" s="12">
        <v>45</v>
      </c>
      <c r="H7" s="88">
        <f>IF(B$20=0,0,G7/B$20)</f>
        <v>0.21126760563380281</v>
      </c>
      <c r="I7" s="58">
        <v>8</v>
      </c>
      <c r="K7" s="74">
        <v>5</v>
      </c>
      <c r="L7" s="119">
        <v>123.5</v>
      </c>
      <c r="M7" s="117">
        <v>1857.1816273366469</v>
      </c>
      <c r="O7" s="75" t="s">
        <v>133</v>
      </c>
      <c r="P7" s="81">
        <f t="shared" si="0"/>
        <v>10.169491525423728</v>
      </c>
      <c r="Q7" s="78">
        <v>59</v>
      </c>
      <c r="R7" s="65">
        <v>600</v>
      </c>
    </row>
    <row r="8" spans="1:18" x14ac:dyDescent="0.4">
      <c r="A8" s="19" t="s">
        <v>2</v>
      </c>
      <c r="B8" s="12">
        <v>25</v>
      </c>
      <c r="C8" s="6">
        <f t="shared" ref="C8:C15" si="1">IF(B$2=0,0,B8/B$2)</f>
        <v>0.3125</v>
      </c>
      <c r="E8" s="27" t="s">
        <v>69</v>
      </c>
      <c r="F8" s="24" t="s">
        <v>24</v>
      </c>
      <c r="G8" s="12">
        <v>38</v>
      </c>
      <c r="H8" s="88">
        <f>IF(B$20=0,0,G8/B$20)</f>
        <v>0.17840375586854459</v>
      </c>
      <c r="I8" s="58">
        <v>2</v>
      </c>
      <c r="K8" s="74">
        <v>6</v>
      </c>
      <c r="L8" s="119">
        <v>111.9</v>
      </c>
      <c r="M8" s="117">
        <v>1853.544537572627</v>
      </c>
      <c r="O8" s="107"/>
      <c r="P8" s="85"/>
      <c r="Q8" s="108"/>
      <c r="R8" s="70"/>
    </row>
    <row r="9" spans="1:18" x14ac:dyDescent="0.4">
      <c r="A9" s="19" t="s">
        <v>3</v>
      </c>
      <c r="B9" s="12">
        <v>26</v>
      </c>
      <c r="C9" s="6">
        <f t="shared" si="1"/>
        <v>0.32500000000000001</v>
      </c>
      <c r="E9" s="27" t="s">
        <v>70</v>
      </c>
      <c r="F9" s="24" t="s">
        <v>25</v>
      </c>
      <c r="G9" s="12">
        <v>31</v>
      </c>
      <c r="H9" s="88">
        <f>IF(B$20=0,0,G9/B$20)</f>
        <v>0.14553990610328638</v>
      </c>
      <c r="I9" s="58">
        <v>1</v>
      </c>
      <c r="K9" s="74">
        <v>7</v>
      </c>
      <c r="L9" s="119">
        <v>103.7</v>
      </c>
      <c r="M9" s="117">
        <v>1850.5772703471912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29</v>
      </c>
      <c r="C10" s="7">
        <f t="shared" si="1"/>
        <v>0.36249999999999999</v>
      </c>
      <c r="E10" s="27" t="s">
        <v>89</v>
      </c>
      <c r="F10" s="24" t="s">
        <v>44</v>
      </c>
      <c r="G10" s="12">
        <v>29</v>
      </c>
      <c r="H10" s="88">
        <f>IF(B$20=0,0,G10/B$20)</f>
        <v>0.13615023474178403</v>
      </c>
      <c r="I10" s="58">
        <v>7</v>
      </c>
      <c r="K10" s="74">
        <v>8</v>
      </c>
      <c r="L10" s="119">
        <v>140.6</v>
      </c>
      <c r="M10" s="117">
        <v>1855.5298067251081</v>
      </c>
      <c r="O10" s="73" t="s">
        <v>151</v>
      </c>
      <c r="P10" s="82">
        <f>IF(Q10=0,0,R10/Q10)</f>
        <v>6.4178571428571427</v>
      </c>
      <c r="Q10" s="76">
        <v>28</v>
      </c>
      <c r="R10" s="67">
        <v>179.7</v>
      </c>
    </row>
    <row r="11" spans="1:18" x14ac:dyDescent="0.4">
      <c r="A11" s="20" t="s">
        <v>184</v>
      </c>
      <c r="B11" s="109">
        <f>IF(B8=0,0,C11/B8)</f>
        <v>37.552</v>
      </c>
      <c r="C11" s="110">
        <v>938.8</v>
      </c>
      <c r="E11" s="27" t="s">
        <v>65</v>
      </c>
      <c r="F11" s="24" t="s">
        <v>21</v>
      </c>
      <c r="G11" s="12">
        <v>16</v>
      </c>
      <c r="H11" s="88">
        <f>IF(B$20=0,0,G11/B$20)</f>
        <v>7.5117370892018781E-2</v>
      </c>
      <c r="I11" s="58">
        <v>8</v>
      </c>
      <c r="K11" s="74">
        <v>9</v>
      </c>
      <c r="L11" s="119">
        <v>127.8</v>
      </c>
      <c r="M11" s="117">
        <v>1851.5066278847573</v>
      </c>
      <c r="O11" s="74" t="s">
        <v>152</v>
      </c>
      <c r="P11" s="83">
        <f>IF(Q11=0,0,R11/Q11)</f>
        <v>-8.9551724137931039</v>
      </c>
      <c r="Q11" s="77">
        <v>29</v>
      </c>
      <c r="R11" s="68">
        <v>-259.7</v>
      </c>
    </row>
    <row r="12" spans="1:18" x14ac:dyDescent="0.4">
      <c r="A12" s="20" t="s">
        <v>185</v>
      </c>
      <c r="B12" s="109">
        <f>IF(B9=0,0,C12/B9)</f>
        <v>-1.7307692307692302</v>
      </c>
      <c r="C12" s="110">
        <v>-44.999999999999986</v>
      </c>
      <c r="E12" s="27" t="s">
        <v>86</v>
      </c>
      <c r="F12" s="24" t="s">
        <v>41</v>
      </c>
      <c r="G12" s="12">
        <v>15</v>
      </c>
      <c r="H12" s="88">
        <f>IF(B$20=0,0,G12/B$20)</f>
        <v>7.0422535211267609E-2</v>
      </c>
      <c r="I12" s="58">
        <v>3</v>
      </c>
      <c r="K12" s="74">
        <v>10</v>
      </c>
      <c r="L12" s="119">
        <v>134.4</v>
      </c>
      <c r="M12" s="117">
        <v>1851.6115881174487</v>
      </c>
      <c r="O12" s="75" t="s">
        <v>153</v>
      </c>
      <c r="P12" s="84">
        <f>IF(Q12=0,0,R12/Q12)</f>
        <v>5.6521739130434794</v>
      </c>
      <c r="Q12" s="78">
        <v>23</v>
      </c>
      <c r="R12" s="69">
        <v>130.00000000000003</v>
      </c>
    </row>
    <row r="13" spans="1:18" x14ac:dyDescent="0.4">
      <c r="A13" s="20" t="s">
        <v>186</v>
      </c>
      <c r="B13" s="109">
        <f>IF(B10=0,0,C13/B10)</f>
        <v>-29.096551724137932</v>
      </c>
      <c r="C13" s="110">
        <v>-843.80000000000007</v>
      </c>
      <c r="E13" s="27" t="s">
        <v>71</v>
      </c>
      <c r="F13" s="24" t="s">
        <v>26</v>
      </c>
      <c r="G13" s="12">
        <v>11</v>
      </c>
      <c r="H13" s="88">
        <f>IF(B$20=0,0,G13/B$20)</f>
        <v>5.1643192488262914E-2</v>
      </c>
      <c r="I13" s="58">
        <v>6</v>
      </c>
      <c r="K13" s="74">
        <v>11</v>
      </c>
      <c r="L13" s="119">
        <v>212.4</v>
      </c>
      <c r="M13" s="117">
        <v>1864.5679185887441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2.2415596816976113</v>
      </c>
      <c r="C14" s="126"/>
      <c r="E14" s="27" t="s">
        <v>83</v>
      </c>
      <c r="F14" s="24" t="s">
        <v>38</v>
      </c>
      <c r="G14" s="12">
        <v>11</v>
      </c>
      <c r="H14" s="88">
        <f>IF(B$20=0,0,G14/B$20)</f>
        <v>5.1643192488262914E-2</v>
      </c>
      <c r="I14" s="58">
        <v>4</v>
      </c>
      <c r="K14" s="74">
        <v>12</v>
      </c>
      <c r="L14" s="119">
        <v>239</v>
      </c>
      <c r="M14" s="117">
        <v>1867.8345110772116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6</v>
      </c>
      <c r="C15" s="9">
        <f t="shared" si="1"/>
        <v>7.4999999999999997E-2</v>
      </c>
      <c r="E15" s="27" t="s">
        <v>155</v>
      </c>
      <c r="F15" s="24" t="s">
        <v>156</v>
      </c>
      <c r="G15" s="12">
        <v>10</v>
      </c>
      <c r="H15" s="88">
        <f>IF(B$20=0,0,G15/B$20)</f>
        <v>4.6948356807511735E-2</v>
      </c>
      <c r="I15" s="58">
        <v>1</v>
      </c>
      <c r="K15" s="74">
        <v>13</v>
      </c>
      <c r="L15" s="119">
        <v>236</v>
      </c>
      <c r="M15" s="117">
        <v>1865.6935040107483</v>
      </c>
      <c r="O15" s="73" t="s">
        <v>193</v>
      </c>
      <c r="P15" s="82">
        <f t="shared" ref="P15:P22" si="2">IF(Q15=0,0,R15/Q15)</f>
        <v>28.9</v>
      </c>
      <c r="Q15" s="76">
        <v>2</v>
      </c>
      <c r="R15" s="67">
        <v>57.8</v>
      </c>
    </row>
    <row r="16" spans="1:18" x14ac:dyDescent="0.4">
      <c r="A16" s="22" t="s">
        <v>121</v>
      </c>
      <c r="B16" s="15">
        <v>163</v>
      </c>
      <c r="C16" s="10">
        <f>IF(B$3=0,0,B16/B$3)</f>
        <v>0.2458521870286576</v>
      </c>
      <c r="E16" s="27" t="s">
        <v>91</v>
      </c>
      <c r="F16" s="24" t="s">
        <v>46</v>
      </c>
      <c r="G16" s="12">
        <v>5</v>
      </c>
      <c r="H16" s="88">
        <f>IF(B$20=0,0,G16/B$20)</f>
        <v>2.3474178403755867E-2</v>
      </c>
      <c r="I16" s="58">
        <v>2</v>
      </c>
      <c r="K16" s="74">
        <v>14</v>
      </c>
      <c r="L16" s="119">
        <v>222</v>
      </c>
      <c r="M16" s="117">
        <v>1861.6993429866839</v>
      </c>
      <c r="O16" s="74" t="s">
        <v>216</v>
      </c>
      <c r="P16" s="83">
        <f t="shared" si="2"/>
        <v>11.879999999999999</v>
      </c>
      <c r="Q16" s="77">
        <v>10</v>
      </c>
      <c r="R16" s="68">
        <v>118.79999999999998</v>
      </c>
    </row>
    <row r="17" spans="1:18" x14ac:dyDescent="0.4">
      <c r="A17" s="19" t="s">
        <v>118</v>
      </c>
      <c r="B17" s="12">
        <v>139</v>
      </c>
      <c r="C17" s="6">
        <f>IF(B$3=0,0,B17/B$3)</f>
        <v>0.20965309200603319</v>
      </c>
      <c r="E17" s="27" t="s">
        <v>81</v>
      </c>
      <c r="F17" s="24" t="s">
        <v>36</v>
      </c>
      <c r="G17" s="12">
        <v>4</v>
      </c>
      <c r="H17" s="88">
        <f>IF(B$20=0,0,G17/B$20)</f>
        <v>1.8779342723004695E-2</v>
      </c>
      <c r="I17" s="58">
        <v>10</v>
      </c>
      <c r="K17" s="74">
        <v>15</v>
      </c>
      <c r="L17" s="119">
        <v>190.9</v>
      </c>
      <c r="M17" s="117">
        <v>1854.6511469287639</v>
      </c>
      <c r="O17" s="74" t="s">
        <v>163</v>
      </c>
      <c r="P17" s="83">
        <f t="shared" si="2"/>
        <v>10.658823529411768</v>
      </c>
      <c r="Q17" s="77">
        <v>34</v>
      </c>
      <c r="R17" s="68">
        <v>362.40000000000009</v>
      </c>
    </row>
    <row r="18" spans="1:18" x14ac:dyDescent="0.4">
      <c r="A18" s="18" t="s">
        <v>123</v>
      </c>
      <c r="B18" s="11">
        <f>B24</f>
        <v>93</v>
      </c>
      <c r="C18" s="5">
        <f>IF(B$16=0,0,B18/B$16)</f>
        <v>0.57055214723926384</v>
      </c>
      <c r="E18" s="27" t="s">
        <v>73</v>
      </c>
      <c r="F18" s="24" t="s">
        <v>28</v>
      </c>
      <c r="G18" s="12">
        <v>3</v>
      </c>
      <c r="H18" s="88">
        <f>IF(B$20=0,0,G18/B$20)</f>
        <v>1.4084507042253521E-2</v>
      </c>
      <c r="I18" s="58">
        <v>2</v>
      </c>
      <c r="K18" s="74">
        <v>16</v>
      </c>
      <c r="L18" s="119">
        <v>164.20000000000002</v>
      </c>
      <c r="M18" s="117">
        <v>1848.4372400471914</v>
      </c>
      <c r="O18" s="74" t="s">
        <v>211</v>
      </c>
      <c r="P18" s="83">
        <f t="shared" si="2"/>
        <v>4.1523809523809527</v>
      </c>
      <c r="Q18" s="77">
        <v>21</v>
      </c>
      <c r="R18" s="68">
        <v>87.2</v>
      </c>
    </row>
    <row r="19" spans="1:18" x14ac:dyDescent="0.4">
      <c r="A19" s="18" t="s">
        <v>124</v>
      </c>
      <c r="B19" s="11">
        <f>B25</f>
        <v>65</v>
      </c>
      <c r="C19" s="5">
        <f>IF(B$17=0,0,B19/B$17)</f>
        <v>0.46762589928057552</v>
      </c>
      <c r="E19" s="27" t="s">
        <v>78</v>
      </c>
      <c r="F19" s="24" t="s">
        <v>33</v>
      </c>
      <c r="G19" s="12">
        <v>3</v>
      </c>
      <c r="H19" s="88">
        <f>IF(B$20=0,0,G19/B$20)</f>
        <v>1.4084507042253521E-2</v>
      </c>
      <c r="I19" s="58">
        <v>8</v>
      </c>
      <c r="K19" s="74">
        <v>17</v>
      </c>
      <c r="L19" s="119">
        <v>164.3</v>
      </c>
      <c r="M19" s="117">
        <v>1846.8986166069083</v>
      </c>
      <c r="O19" s="74" t="s">
        <v>190</v>
      </c>
      <c r="P19" s="83">
        <f t="shared" si="2"/>
        <v>-1.627777777777778</v>
      </c>
      <c r="Q19" s="77">
        <v>18</v>
      </c>
      <c r="R19" s="68">
        <v>-29.300000000000004</v>
      </c>
    </row>
    <row r="20" spans="1:18" x14ac:dyDescent="0.4">
      <c r="A20" s="18" t="s">
        <v>10</v>
      </c>
      <c r="B20" s="11">
        <f>B23+B22</f>
        <v>213</v>
      </c>
      <c r="C20" s="5">
        <f>IF(B$3=0,0,B20/B$3)</f>
        <v>0.32126696832579188</v>
      </c>
      <c r="E20" s="27" t="s">
        <v>75</v>
      </c>
      <c r="F20" s="24" t="s">
        <v>30</v>
      </c>
      <c r="G20" s="12">
        <v>1</v>
      </c>
      <c r="H20" s="88">
        <f>IF(B$20=0,0,G20/B$20)</f>
        <v>4.6948356807511738E-3</v>
      </c>
      <c r="I20" s="58">
        <v>3</v>
      </c>
      <c r="K20" s="74">
        <v>18</v>
      </c>
      <c r="L20" s="119">
        <v>188.9</v>
      </c>
      <c r="M20" s="117">
        <v>1849.7792249072668</v>
      </c>
      <c r="O20" s="74" t="s">
        <v>189</v>
      </c>
      <c r="P20" s="83">
        <f t="shared" si="2"/>
        <v>-3.45</v>
      </c>
      <c r="Q20" s="77">
        <v>34</v>
      </c>
      <c r="R20" s="68">
        <v>-117.30000000000001</v>
      </c>
    </row>
    <row r="21" spans="1:18" x14ac:dyDescent="0.4">
      <c r="A21" s="19" t="s">
        <v>13</v>
      </c>
      <c r="B21" s="12">
        <v>125</v>
      </c>
      <c r="C21" s="6">
        <f>IF(B$3=0,0,B21/B$3)</f>
        <v>0.18853695324283559</v>
      </c>
      <c r="E21" s="27" t="s">
        <v>79</v>
      </c>
      <c r="F21" s="24" t="s">
        <v>34</v>
      </c>
      <c r="G21" s="12">
        <v>1</v>
      </c>
      <c r="H21" s="88">
        <f>IF(B$20=0,0,G21/B$20)</f>
        <v>4.6948356807511738E-3</v>
      </c>
      <c r="I21" s="58">
        <v>6</v>
      </c>
      <c r="K21" s="74">
        <v>19</v>
      </c>
      <c r="L21" s="119">
        <v>174.6</v>
      </c>
      <c r="M21" s="117">
        <v>1845.7365495578231</v>
      </c>
      <c r="O21" s="74" t="s">
        <v>195</v>
      </c>
      <c r="P21" s="83">
        <f t="shared" si="2"/>
        <v>-4.8999999999999986</v>
      </c>
      <c r="Q21" s="77">
        <v>7</v>
      </c>
      <c r="R21" s="68">
        <v>-34.29999999999999</v>
      </c>
    </row>
    <row r="22" spans="1:18" x14ac:dyDescent="0.4">
      <c r="A22" s="19" t="s">
        <v>12</v>
      </c>
      <c r="B22" s="12">
        <v>99</v>
      </c>
      <c r="C22" s="6">
        <f>IF(B$20=0,0,B22/B$20)</f>
        <v>0.46478873239436619</v>
      </c>
      <c r="E22" s="27" t="s">
        <v>80</v>
      </c>
      <c r="F22" s="24" t="s">
        <v>35</v>
      </c>
      <c r="G22" s="12">
        <v>1</v>
      </c>
      <c r="H22" s="88">
        <f>IF(B$20=0,0,G22/B$20)</f>
        <v>4.6948356807511738E-3</v>
      </c>
      <c r="I22" s="58">
        <v>1</v>
      </c>
      <c r="K22" s="74">
        <v>20</v>
      </c>
      <c r="L22" s="119">
        <v>154.5</v>
      </c>
      <c r="M22" s="117">
        <v>1840.6741302604762</v>
      </c>
      <c r="O22" s="74" t="s">
        <v>192</v>
      </c>
      <c r="P22" s="83">
        <f t="shared" si="2"/>
        <v>-8.6852941176470591</v>
      </c>
      <c r="Q22" s="77">
        <v>34</v>
      </c>
      <c r="R22" s="68">
        <v>-295.3</v>
      </c>
    </row>
    <row r="23" spans="1:18" x14ac:dyDescent="0.4">
      <c r="A23" s="19" t="s">
        <v>11</v>
      </c>
      <c r="B23" s="12">
        <v>114</v>
      </c>
      <c r="C23" s="6">
        <f>IF(B$20=0,0,B23/B$20)</f>
        <v>0.53521126760563376</v>
      </c>
      <c r="E23" s="27" t="s">
        <v>85</v>
      </c>
      <c r="F23" s="24" t="s">
        <v>40</v>
      </c>
      <c r="G23" s="12">
        <v>1</v>
      </c>
      <c r="H23" s="88">
        <f>IF(B$20=0,0,G23/B$20)</f>
        <v>4.6948356807511738E-3</v>
      </c>
      <c r="I23" s="58">
        <v>3</v>
      </c>
      <c r="K23" s="74">
        <v>21</v>
      </c>
      <c r="L23" s="119">
        <v>131</v>
      </c>
      <c r="M23" s="117">
        <v>1835.0300854789134</v>
      </c>
    </row>
    <row r="24" spans="1:18" x14ac:dyDescent="0.4">
      <c r="A24" s="19" t="s">
        <v>183</v>
      </c>
      <c r="B24" s="12">
        <v>93</v>
      </c>
      <c r="C24" s="6">
        <f>IF(B$20=0,0,B24/B$20)</f>
        <v>0.43661971830985913</v>
      </c>
      <c r="E24" s="27" t="s">
        <v>90</v>
      </c>
      <c r="F24" s="24" t="s">
        <v>45</v>
      </c>
      <c r="G24" s="12">
        <v>1</v>
      </c>
      <c r="H24" s="88">
        <f>IF(B$20=0,0,G24/B$20)</f>
        <v>4.6948356807511738E-3</v>
      </c>
      <c r="I24" s="58">
        <v>1</v>
      </c>
      <c r="K24" s="74">
        <v>22</v>
      </c>
      <c r="L24" s="119">
        <v>106.3</v>
      </c>
      <c r="M24" s="117">
        <v>1829.4799049660398</v>
      </c>
    </row>
    <row r="25" spans="1:18" x14ac:dyDescent="0.4">
      <c r="A25" s="19" t="s">
        <v>181</v>
      </c>
      <c r="B25" s="12">
        <v>65</v>
      </c>
      <c r="C25" s="6">
        <f>IF(B$20=0,0,B25/B$20)</f>
        <v>0.30516431924882631</v>
      </c>
      <c r="E25" s="27" t="s">
        <v>92</v>
      </c>
      <c r="F25" s="24" t="s">
        <v>47</v>
      </c>
      <c r="G25" s="12">
        <v>1</v>
      </c>
      <c r="H25" s="88">
        <f>IF(B$20=0,0,G25/B$20)</f>
        <v>4.6948356807511738E-3</v>
      </c>
      <c r="I25" s="58">
        <v>2</v>
      </c>
      <c r="K25" s="74">
        <v>23</v>
      </c>
      <c r="L25" s="119">
        <v>119.39999999999999</v>
      </c>
      <c r="M25" s="117">
        <v>1830.7670255362436</v>
      </c>
    </row>
    <row r="26" spans="1:18" x14ac:dyDescent="0.4">
      <c r="A26" s="19" t="s">
        <v>182</v>
      </c>
      <c r="B26" s="12">
        <v>55</v>
      </c>
      <c r="C26" s="6">
        <f>IF(B$20=0,0,B26/B$20)</f>
        <v>0.25821596244131456</v>
      </c>
      <c r="E26" s="27" t="s">
        <v>74</v>
      </c>
      <c r="F26" s="24" t="s">
        <v>29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111.19999999999999</v>
      </c>
      <c r="M26" s="117">
        <v>1828.2124233830261</v>
      </c>
    </row>
    <row r="27" spans="1:18" x14ac:dyDescent="0.4">
      <c r="A27" s="19" t="s">
        <v>5</v>
      </c>
      <c r="B27" s="16">
        <f>IF(B$20=0,0,C27/B$20)</f>
        <v>8080.2816901408451</v>
      </c>
      <c r="C27" s="8">
        <v>1721100</v>
      </c>
      <c r="E27" s="27" t="s">
        <v>76</v>
      </c>
      <c r="F27" s="24" t="s">
        <v>31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157.69999999999999</v>
      </c>
      <c r="M27" s="117">
        <v>1835.351148842728</v>
      </c>
    </row>
    <row r="28" spans="1:18" x14ac:dyDescent="0.4">
      <c r="A28" s="20" t="s">
        <v>165</v>
      </c>
      <c r="B28" s="95">
        <f>IF($B$20-B$19=0,0,C28/($B$20-B$19))</f>
        <v>8471.6216216216217</v>
      </c>
      <c r="C28" s="96">
        <v>1253800</v>
      </c>
      <c r="E28" s="27" t="s">
        <v>77</v>
      </c>
      <c r="F28" s="24" t="s">
        <v>32</v>
      </c>
      <c r="G28" s="12">
        <v>0</v>
      </c>
      <c r="H28" s="88">
        <f>IF(B$20=0,0,G28/B$20)</f>
        <v>0</v>
      </c>
      <c r="I28" s="58">
        <v>3</v>
      </c>
      <c r="K28" s="74">
        <v>26</v>
      </c>
      <c r="L28" s="119">
        <v>216.2</v>
      </c>
      <c r="M28" s="117">
        <v>1844.4750419496715</v>
      </c>
    </row>
    <row r="29" spans="1:18" x14ac:dyDescent="0.4">
      <c r="A29" s="20" t="s">
        <v>166</v>
      </c>
      <c r="B29" s="95">
        <f>IF(B$19=0,0,C29/B$19)</f>
        <v>7189.2307692307695</v>
      </c>
      <c r="C29" s="96">
        <v>467300</v>
      </c>
      <c r="E29" s="27" t="s">
        <v>82</v>
      </c>
      <c r="F29" s="24" t="s">
        <v>37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200.6</v>
      </c>
      <c r="M29" s="117">
        <v>1840.2061916979735</v>
      </c>
    </row>
    <row r="30" spans="1:18" x14ac:dyDescent="0.4">
      <c r="A30" s="20" t="s">
        <v>164</v>
      </c>
      <c r="B30" s="95">
        <f>IF(B$21=0,0,C30/B$21)</f>
        <v>-7146.4</v>
      </c>
      <c r="C30" s="96">
        <v>-893300</v>
      </c>
      <c r="E30" s="27" t="s">
        <v>84</v>
      </c>
      <c r="F30" s="24" t="s">
        <v>39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183.9</v>
      </c>
      <c r="M30" s="117">
        <v>1835.7649545477857</v>
      </c>
    </row>
    <row r="31" spans="1:18" x14ac:dyDescent="0.4">
      <c r="A31" s="19" t="s">
        <v>157</v>
      </c>
      <c r="B31" s="12">
        <v>6</v>
      </c>
      <c r="C31" s="90">
        <v>0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179.3</v>
      </c>
      <c r="M31" s="117">
        <v>1833.780364820499</v>
      </c>
    </row>
    <row r="32" spans="1:18" x14ac:dyDescent="0.4">
      <c r="A32" s="19" t="s">
        <v>158</v>
      </c>
      <c r="B32" s="12">
        <v>17</v>
      </c>
      <c r="C32" s="90">
        <v>0</v>
      </c>
      <c r="E32" s="27" t="s">
        <v>88</v>
      </c>
      <c r="F32" s="24" t="s">
        <v>43</v>
      </c>
      <c r="G32" s="12">
        <v>0</v>
      </c>
      <c r="H32" s="88">
        <f>IF(B$20=0,0,G32/B$20)</f>
        <v>0</v>
      </c>
      <c r="I32" s="58">
        <v>5</v>
      </c>
      <c r="K32" s="74">
        <v>30</v>
      </c>
      <c r="L32" s="119">
        <v>211.20000000000002</v>
      </c>
      <c r="M32" s="117">
        <v>1838.4916826315759</v>
      </c>
    </row>
    <row r="33" spans="1:13" x14ac:dyDescent="0.4">
      <c r="A33" s="54" t="s">
        <v>136</v>
      </c>
      <c r="B33" s="127">
        <v>6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3</v>
      </c>
      <c r="K33" s="74">
        <v>31</v>
      </c>
      <c r="L33" s="119">
        <v>213.3</v>
      </c>
      <c r="M33" s="117">
        <v>1837.8107325357864</v>
      </c>
    </row>
    <row r="34" spans="1:13" x14ac:dyDescent="0.4">
      <c r="A34" s="22" t="s">
        <v>180</v>
      </c>
      <c r="B34" s="129">
        <v>103000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163.60000000000002</v>
      </c>
      <c r="M34" s="117">
        <v>1827.5878681405718</v>
      </c>
    </row>
    <row r="35" spans="1:13" x14ac:dyDescent="0.4">
      <c r="A35" s="21" t="s">
        <v>137</v>
      </c>
      <c r="B35" s="29">
        <v>1</v>
      </c>
      <c r="C35" s="9">
        <f>IF(B$3=0,0,B35/B$3)</f>
        <v>1.5082956259426848E-3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162.60000000000002</v>
      </c>
      <c r="M35" s="117">
        <v>1826.1923409317283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202.20000000000002</v>
      </c>
      <c r="M36" s="117">
        <v>1832.113186886138</v>
      </c>
    </row>
    <row r="37" spans="1:13" x14ac:dyDescent="0.4">
      <c r="A37" s="54" t="s">
        <v>171</v>
      </c>
      <c r="B37" s="123">
        <v>14</v>
      </c>
      <c r="C37" s="98">
        <f t="shared" ref="C37:C49" si="3">IF(B$20=0,0,B37/B$20)</f>
        <v>6.5727699530516437E-2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196.8</v>
      </c>
      <c r="M37" s="117">
        <v>1829.8985077648213</v>
      </c>
    </row>
    <row r="38" spans="1:13" x14ac:dyDescent="0.4">
      <c r="A38" s="19" t="s">
        <v>167</v>
      </c>
      <c r="B38" s="12">
        <v>37</v>
      </c>
      <c r="C38" s="6">
        <f t="shared" si="3"/>
        <v>0.17370892018779344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199.5</v>
      </c>
      <c r="M38" s="117">
        <v>1829.0231167182324</v>
      </c>
    </row>
    <row r="39" spans="1:13" x14ac:dyDescent="0.4">
      <c r="A39" s="19" t="s">
        <v>168</v>
      </c>
      <c r="B39" s="124">
        <v>45</v>
      </c>
      <c r="C39" s="6">
        <f t="shared" si="3"/>
        <v>0.21126760563380281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162.6</v>
      </c>
      <c r="M39" s="117">
        <v>1821.0249780179229</v>
      </c>
    </row>
    <row r="40" spans="1:13" x14ac:dyDescent="0.4">
      <c r="A40" s="19" t="s">
        <v>169</v>
      </c>
      <c r="B40" s="124">
        <v>39</v>
      </c>
      <c r="C40" s="6">
        <f t="shared" si="3"/>
        <v>0.18309859154929578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116.89999999999999</v>
      </c>
      <c r="M40" s="117">
        <v>1811.8448281498154</v>
      </c>
    </row>
    <row r="41" spans="1:13" x14ac:dyDescent="0.4">
      <c r="A41" s="19" t="s">
        <v>170</v>
      </c>
      <c r="B41" s="124">
        <v>35</v>
      </c>
      <c r="C41" s="6">
        <f t="shared" si="3"/>
        <v>0.16431924882629109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89.299999999999983</v>
      </c>
      <c r="M41" s="117">
        <v>1805.9777591809166</v>
      </c>
    </row>
    <row r="42" spans="1:13" x14ac:dyDescent="0.4">
      <c r="A42" s="19" t="s">
        <v>172</v>
      </c>
      <c r="B42" s="124">
        <v>25</v>
      </c>
      <c r="C42" s="6">
        <f t="shared" si="3"/>
        <v>0.11737089201877934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67.59999999999998</v>
      </c>
      <c r="M42" s="117">
        <v>1800.733892625831</v>
      </c>
    </row>
    <row r="43" spans="1:13" x14ac:dyDescent="0.4">
      <c r="A43" s="19" t="s">
        <v>173</v>
      </c>
      <c r="B43" s="124">
        <v>8</v>
      </c>
      <c r="C43" s="6">
        <f t="shared" si="3"/>
        <v>3.7558685446009391E-2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87.899999999999977</v>
      </c>
      <c r="M43" s="117">
        <v>1803.081489270076</v>
      </c>
    </row>
    <row r="44" spans="1:13" x14ac:dyDescent="0.4">
      <c r="A44" s="19" t="s">
        <v>174</v>
      </c>
      <c r="B44" s="124">
        <v>2</v>
      </c>
      <c r="C44" s="6">
        <f t="shared" si="3"/>
        <v>9.3896713615023476E-3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66.899999999999977</v>
      </c>
      <c r="M44" s="117">
        <v>1798.4850003344554</v>
      </c>
    </row>
    <row r="45" spans="1:13" x14ac:dyDescent="0.4">
      <c r="A45" s="19" t="s">
        <v>175</v>
      </c>
      <c r="B45" s="124">
        <v>4</v>
      </c>
      <c r="C45" s="6">
        <f t="shared" si="3"/>
        <v>1.8779342723004695E-2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70.999999999999972</v>
      </c>
      <c r="M45" s="117">
        <v>1798.2300903324488</v>
      </c>
    </row>
    <row r="46" spans="1:13" x14ac:dyDescent="0.4">
      <c r="A46" s="19" t="s">
        <v>176</v>
      </c>
      <c r="B46" s="124">
        <v>2</v>
      </c>
      <c r="C46" s="6">
        <f t="shared" si="3"/>
        <v>9.3896713615023476E-3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117.99999999999997</v>
      </c>
      <c r="M46" s="117">
        <v>1805.5187097904541</v>
      </c>
    </row>
    <row r="47" spans="1:13" x14ac:dyDescent="0.4">
      <c r="A47" s="19" t="s">
        <v>177</v>
      </c>
      <c r="B47" s="124">
        <v>1</v>
      </c>
      <c r="C47" s="6">
        <f t="shared" si="3"/>
        <v>4.6948356807511738E-3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151.99999999999997</v>
      </c>
      <c r="M47" s="117">
        <v>1810.4295975317114</v>
      </c>
    </row>
    <row r="48" spans="1:13" x14ac:dyDescent="0.4">
      <c r="A48" s="19" t="s">
        <v>178</v>
      </c>
      <c r="B48" s="124">
        <v>0</v>
      </c>
      <c r="C48" s="6">
        <f t="shared" si="3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124.69999999999997</v>
      </c>
      <c r="M48" s="117">
        <v>1804.4450199465211</v>
      </c>
    </row>
    <row r="49" spans="1:13" x14ac:dyDescent="0.4">
      <c r="A49" s="21" t="s">
        <v>179</v>
      </c>
      <c r="B49" s="97">
        <v>1</v>
      </c>
      <c r="C49" s="9">
        <f t="shared" si="3"/>
        <v>4.6948356807511738E-3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137.99999999999997</v>
      </c>
      <c r="M49" s="117">
        <v>1805.8043498268421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153.59999999999997</v>
      </c>
      <c r="M50" s="117">
        <v>1807.4495237278811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106.09999999999997</v>
      </c>
      <c r="M51" s="117">
        <v>1797.7268265855139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81.19999999999996</v>
      </c>
      <c r="M52" s="117">
        <v>1792.1304656260008</v>
      </c>
    </row>
    <row r="53" spans="1:13" x14ac:dyDescent="0.4">
      <c r="K53" s="74">
        <v>51</v>
      </c>
      <c r="L53" s="119">
        <v>68.399999999999963</v>
      </c>
      <c r="M53" s="117">
        <v>1788.8356828322449</v>
      </c>
    </row>
    <row r="54" spans="1:13" x14ac:dyDescent="0.4">
      <c r="K54" s="74">
        <v>52</v>
      </c>
      <c r="L54" s="119">
        <v>22.599999999999966</v>
      </c>
      <c r="M54" s="117">
        <v>1779.6206687352515</v>
      </c>
    </row>
    <row r="55" spans="1:13" x14ac:dyDescent="0.4">
      <c r="K55" s="74">
        <v>53</v>
      </c>
      <c r="L55" s="119">
        <v>53.599999999999966</v>
      </c>
      <c r="M55" s="117">
        <v>1784.28494472284</v>
      </c>
    </row>
    <row r="56" spans="1:13" x14ac:dyDescent="0.4">
      <c r="K56" s="74">
        <v>54</v>
      </c>
      <c r="L56" s="119">
        <v>31.899999999999967</v>
      </c>
      <c r="M56" s="117">
        <v>1779.327235054503</v>
      </c>
    </row>
    <row r="57" spans="1:13" x14ac:dyDescent="0.4">
      <c r="K57" s="74">
        <v>55</v>
      </c>
      <c r="L57" s="119">
        <v>-8.8000000000000362</v>
      </c>
      <c r="M57" s="117">
        <v>1770.9792716441759</v>
      </c>
    </row>
    <row r="58" spans="1:13" x14ac:dyDescent="0.4">
      <c r="K58" s="74">
        <v>56</v>
      </c>
      <c r="L58" s="119">
        <v>-34.500000000000036</v>
      </c>
      <c r="M58" s="117">
        <v>1765.2973960143108</v>
      </c>
    </row>
    <row r="59" spans="1:13" x14ac:dyDescent="0.4">
      <c r="K59" s="74">
        <v>57</v>
      </c>
      <c r="L59" s="119">
        <v>-74.30000000000004</v>
      </c>
      <c r="M59" s="117">
        <v>1757.111611638225</v>
      </c>
    </row>
    <row r="60" spans="1:13" x14ac:dyDescent="0.4">
      <c r="K60" s="74">
        <v>58</v>
      </c>
      <c r="L60" s="119">
        <v>-72.700000000000045</v>
      </c>
      <c r="M60" s="117">
        <v>1756.4389419683957</v>
      </c>
    </row>
    <row r="61" spans="1:13" x14ac:dyDescent="0.4">
      <c r="K61" s="74">
        <v>59</v>
      </c>
      <c r="L61" s="119">
        <v>-36.500000000000043</v>
      </c>
      <c r="M61" s="117">
        <v>1762.2443083165854</v>
      </c>
    </row>
    <row r="62" spans="1:13" x14ac:dyDescent="0.4">
      <c r="K62" s="74">
        <v>60</v>
      </c>
      <c r="L62" s="119">
        <v>-35.900000000000041</v>
      </c>
      <c r="M62" s="117">
        <v>1761.414842466686</v>
      </c>
    </row>
    <row r="63" spans="1:13" x14ac:dyDescent="0.4">
      <c r="K63" s="74">
        <v>61</v>
      </c>
      <c r="L63" s="119">
        <v>-0.40000000000004121</v>
      </c>
      <c r="M63" s="117">
        <v>1766.8723534118858</v>
      </c>
    </row>
    <row r="64" spans="1:13" x14ac:dyDescent="0.4">
      <c r="K64" s="74">
        <v>62</v>
      </c>
      <c r="L64" s="119">
        <v>-18.100000000000041</v>
      </c>
      <c r="M64" s="117">
        <v>1762.9251192914144</v>
      </c>
    </row>
    <row r="65" spans="11:13" x14ac:dyDescent="0.4">
      <c r="K65" s="74">
        <v>63</v>
      </c>
      <c r="L65" s="119">
        <v>-40.80000000000004</v>
      </c>
      <c r="M65" s="117">
        <v>1758.1015685756659</v>
      </c>
    </row>
    <row r="66" spans="11:13" x14ac:dyDescent="0.4">
      <c r="K66" s="74">
        <v>64</v>
      </c>
      <c r="L66" s="119">
        <v>-18.600000000000041</v>
      </c>
      <c r="M66" s="117">
        <v>1761.3829591642118</v>
      </c>
    </row>
    <row r="67" spans="11:13" x14ac:dyDescent="0.4">
      <c r="K67" s="74">
        <v>65</v>
      </c>
      <c r="L67" s="119">
        <v>-71.500000000000043</v>
      </c>
      <c r="M67" s="117">
        <v>1751.1326614092266</v>
      </c>
    </row>
    <row r="68" spans="11:13" x14ac:dyDescent="0.4">
      <c r="K68" s="74">
        <v>66</v>
      </c>
      <c r="L68" s="119">
        <v>-97.500000000000043</v>
      </c>
      <c r="M68" s="117">
        <v>1745.7738654407713</v>
      </c>
    </row>
    <row r="69" spans="11:13" x14ac:dyDescent="0.4">
      <c r="K69" s="74">
        <v>67</v>
      </c>
      <c r="L69" s="119">
        <v>-93.30000000000004</v>
      </c>
      <c r="M69" s="117">
        <v>1745.8832222481267</v>
      </c>
    </row>
    <row r="70" spans="11:13" x14ac:dyDescent="0.4">
      <c r="K70" s="74">
        <v>68</v>
      </c>
      <c r="L70" s="119">
        <v>-53.400000000000041</v>
      </c>
      <c r="M70" s="117">
        <v>1752.417922914638</v>
      </c>
    </row>
    <row r="71" spans="11:13" x14ac:dyDescent="0.4">
      <c r="K71" s="74">
        <v>69</v>
      </c>
      <c r="L71" s="119">
        <v>-38.000000000000043</v>
      </c>
      <c r="M71" s="117">
        <v>1754.3774153771501</v>
      </c>
    </row>
    <row r="72" spans="11:13" x14ac:dyDescent="0.4">
      <c r="K72" s="74">
        <v>70</v>
      </c>
      <c r="L72" s="119">
        <v>-20.200000000000042</v>
      </c>
      <c r="M72" s="117">
        <v>1756.7571508848871</v>
      </c>
    </row>
    <row r="73" spans="11:13" x14ac:dyDescent="0.4">
      <c r="K73" s="74">
        <v>71</v>
      </c>
      <c r="L73" s="119">
        <v>-31.700000000000042</v>
      </c>
      <c r="M73" s="117">
        <v>1754.1066079795778</v>
      </c>
    </row>
    <row r="74" spans="11:13" x14ac:dyDescent="0.4">
      <c r="K74" s="74">
        <v>72</v>
      </c>
      <c r="L74" s="119">
        <v>18.699999999999957</v>
      </c>
      <c r="M74" s="117">
        <v>1762.6139683317003</v>
      </c>
    </row>
    <row r="75" spans="11:13" x14ac:dyDescent="0.4">
      <c r="K75" s="74">
        <v>73</v>
      </c>
      <c r="L75" s="119">
        <v>11.799999999999956</v>
      </c>
      <c r="M75" s="117">
        <v>1760.4202845217101</v>
      </c>
    </row>
    <row r="76" spans="11:13" x14ac:dyDescent="0.4">
      <c r="K76" s="74">
        <v>74</v>
      </c>
      <c r="L76" s="119">
        <v>-7.5000000000000444</v>
      </c>
      <c r="M76" s="117">
        <v>1755.8697628145799</v>
      </c>
    </row>
    <row r="77" spans="11:13" x14ac:dyDescent="0.4">
      <c r="K77" s="74">
        <v>75</v>
      </c>
      <c r="L77" s="119">
        <v>28.799999999999955</v>
      </c>
      <c r="M77" s="117">
        <v>1761.5645442376924</v>
      </c>
    </row>
    <row r="78" spans="11:13" x14ac:dyDescent="0.4">
      <c r="K78" s="74">
        <v>76</v>
      </c>
      <c r="L78" s="119">
        <v>50.799999999999955</v>
      </c>
      <c r="M78" s="117">
        <v>1764.6511569722663</v>
      </c>
    </row>
    <row r="79" spans="11:13" x14ac:dyDescent="0.4">
      <c r="K79" s="74">
        <v>77</v>
      </c>
      <c r="L79" s="119">
        <v>63.099999999999952</v>
      </c>
      <c r="M79" s="117">
        <v>1765.9072500304328</v>
      </c>
    </row>
    <row r="80" spans="11:13" x14ac:dyDescent="0.4">
      <c r="K80" s="74">
        <v>78</v>
      </c>
      <c r="L80" s="119">
        <v>126.09999999999995</v>
      </c>
      <c r="M80" s="117">
        <v>1776.4438065302502</v>
      </c>
    </row>
    <row r="81" spans="11:13" x14ac:dyDescent="0.4">
      <c r="K81" s="74">
        <v>79</v>
      </c>
      <c r="L81" s="119">
        <v>109.39999999999995</v>
      </c>
      <c r="M81" s="117">
        <v>1772.2051436910688</v>
      </c>
    </row>
    <row r="82" spans="11:13" x14ac:dyDescent="0.4">
      <c r="K82" s="74">
        <v>80</v>
      </c>
      <c r="L82" s="119">
        <v>49.99999999999995</v>
      </c>
      <c r="M82" s="117">
        <v>1760.4079128289225</v>
      </c>
    </row>
  </sheetData>
  <sortState xmlns:xlrd2="http://schemas.microsoft.com/office/spreadsheetml/2017/richdata2" ref="E2:I8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7F2CB-33CE-4203-BB32-F63FDA7AAADD}">
  <sheetPr codeName="Sheet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163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41</v>
      </c>
      <c r="C2" s="134"/>
      <c r="E2" s="26" t="s">
        <v>66</v>
      </c>
      <c r="F2" s="23" t="s">
        <v>22</v>
      </c>
      <c r="G2" s="11">
        <v>89</v>
      </c>
      <c r="H2" s="87">
        <f>IF(B$20=0,0,G2/B$20)</f>
        <v>0.94680851063829785</v>
      </c>
      <c r="I2" s="57">
        <v>2</v>
      </c>
      <c r="K2" s="73">
        <v>0</v>
      </c>
      <c r="L2" s="118">
        <v>0</v>
      </c>
      <c r="M2" s="116">
        <v>1653.1699313523677</v>
      </c>
      <c r="O2" s="73" t="s">
        <v>128</v>
      </c>
      <c r="P2" s="79">
        <f t="shared" ref="P2:P7" si="0">IF(Q2=0,0,R2/Q2)</f>
        <v>1743.9024390243903</v>
      </c>
      <c r="Q2" s="76">
        <v>41</v>
      </c>
      <c r="R2" s="63">
        <v>71500</v>
      </c>
    </row>
    <row r="3" spans="1:18" x14ac:dyDescent="0.4">
      <c r="A3" s="19" t="s">
        <v>8</v>
      </c>
      <c r="B3" s="135">
        <v>350</v>
      </c>
      <c r="C3" s="136"/>
      <c r="E3" s="27" t="s">
        <v>72</v>
      </c>
      <c r="F3" s="24" t="s">
        <v>27</v>
      </c>
      <c r="G3" s="12">
        <v>52</v>
      </c>
      <c r="H3" s="88">
        <f>IF(B$20=0,0,G3/B$20)</f>
        <v>0.55319148936170215</v>
      </c>
      <c r="I3" s="58">
        <v>8</v>
      </c>
      <c r="K3" s="74">
        <v>1</v>
      </c>
      <c r="L3" s="119">
        <v>-31</v>
      </c>
      <c r="M3" s="117">
        <v>1646.6709117642536</v>
      </c>
      <c r="O3" s="74" t="s">
        <v>129</v>
      </c>
      <c r="P3" s="80">
        <f t="shared" si="0"/>
        <v>-169.23076923076923</v>
      </c>
      <c r="Q3" s="77">
        <v>39</v>
      </c>
      <c r="R3" s="64">
        <v>-6600</v>
      </c>
    </row>
    <row r="4" spans="1:18" x14ac:dyDescent="0.4">
      <c r="A4" s="19" t="s">
        <v>6</v>
      </c>
      <c r="B4" s="137">
        <v>-150.20000000000002</v>
      </c>
      <c r="C4" s="138"/>
      <c r="E4" s="27" t="s">
        <v>64</v>
      </c>
      <c r="F4" s="24" t="s">
        <v>20</v>
      </c>
      <c r="G4" s="12">
        <v>40</v>
      </c>
      <c r="H4" s="88">
        <f>IF(B$20=0,0,G4/B$20)</f>
        <v>0.42553191489361702</v>
      </c>
      <c r="I4" s="58">
        <v>4</v>
      </c>
      <c r="K4" s="74">
        <v>2</v>
      </c>
      <c r="L4" s="119">
        <v>-98.9</v>
      </c>
      <c r="M4" s="117">
        <v>1634.420886293668</v>
      </c>
      <c r="O4" s="74" t="s">
        <v>130</v>
      </c>
      <c r="P4" s="80">
        <f t="shared" si="0"/>
        <v>-464.10256410256409</v>
      </c>
      <c r="Q4" s="77">
        <v>39</v>
      </c>
      <c r="R4" s="64">
        <v>-18100</v>
      </c>
    </row>
    <row r="5" spans="1:18" x14ac:dyDescent="0.4">
      <c r="A5" s="19" t="s">
        <v>7</v>
      </c>
      <c r="B5" s="125">
        <f>IF(B$2=0,0,B$4/B$2)</f>
        <v>-3.6634146341463421</v>
      </c>
      <c r="C5" s="126"/>
      <c r="E5" s="27" t="s">
        <v>159</v>
      </c>
      <c r="F5" s="24" t="s">
        <v>160</v>
      </c>
      <c r="G5" s="12">
        <v>39</v>
      </c>
      <c r="H5" s="88">
        <f>IF(B$20=0,0,G5/B$20)</f>
        <v>0.41489361702127658</v>
      </c>
      <c r="I5" s="58">
        <v>4</v>
      </c>
      <c r="K5" s="74">
        <v>3</v>
      </c>
      <c r="L5" s="119">
        <v>-65.300000000000011</v>
      </c>
      <c r="M5" s="117">
        <v>1639.914360975906</v>
      </c>
      <c r="O5" s="74" t="s">
        <v>131</v>
      </c>
      <c r="P5" s="80">
        <f t="shared" si="0"/>
        <v>-286.84210526315792</v>
      </c>
      <c r="Q5" s="77">
        <v>38</v>
      </c>
      <c r="R5" s="64">
        <v>-10900</v>
      </c>
    </row>
    <row r="6" spans="1:18" x14ac:dyDescent="0.4">
      <c r="A6" s="19" t="s">
        <v>196</v>
      </c>
      <c r="B6" s="129">
        <v>1623.0600080708391</v>
      </c>
      <c r="C6" s="130"/>
      <c r="E6" s="27" t="s">
        <v>68</v>
      </c>
      <c r="F6" s="24" t="s">
        <v>12</v>
      </c>
      <c r="G6" s="12">
        <v>32</v>
      </c>
      <c r="H6" s="88">
        <f>IF(B$20=0,0,G6/B$20)</f>
        <v>0.34042553191489361</v>
      </c>
      <c r="I6" s="58">
        <v>3</v>
      </c>
      <c r="K6" s="74">
        <v>4</v>
      </c>
      <c r="L6" s="119">
        <v>-99.700000000000017</v>
      </c>
      <c r="M6" s="117">
        <v>1633.1348748100506</v>
      </c>
      <c r="O6" s="74" t="s">
        <v>132</v>
      </c>
      <c r="P6" s="80">
        <f t="shared" si="0"/>
        <v>-31.428571428571427</v>
      </c>
      <c r="Q6" s="77">
        <v>35</v>
      </c>
      <c r="R6" s="64">
        <v>-1100</v>
      </c>
    </row>
    <row r="7" spans="1:18" x14ac:dyDescent="0.4">
      <c r="A7" s="19" t="s">
        <v>1</v>
      </c>
      <c r="B7" s="139">
        <f>IF(B$2=0,0,(B$8*1+B$9*2+B$10*3)/B$2)</f>
        <v>2.0975609756097562</v>
      </c>
      <c r="C7" s="140"/>
      <c r="E7" s="27" t="s">
        <v>67</v>
      </c>
      <c r="F7" s="24" t="s">
        <v>23</v>
      </c>
      <c r="G7" s="12">
        <v>20</v>
      </c>
      <c r="H7" s="88">
        <f>IF(B$20=0,0,G7/B$20)</f>
        <v>0.21276595744680851</v>
      </c>
      <c r="I7" s="58">
        <v>7</v>
      </c>
      <c r="K7" s="74">
        <v>5</v>
      </c>
      <c r="L7" s="119">
        <v>-132.90000000000003</v>
      </c>
      <c r="M7" s="117">
        <v>1627.3860655611904</v>
      </c>
      <c r="O7" s="75" t="s">
        <v>133</v>
      </c>
      <c r="P7" s="81">
        <f t="shared" si="0"/>
        <v>-913.79310344827582</v>
      </c>
      <c r="Q7" s="78">
        <v>29</v>
      </c>
      <c r="R7" s="65">
        <v>-26500</v>
      </c>
    </row>
    <row r="8" spans="1:18" x14ac:dyDescent="0.4">
      <c r="A8" s="19" t="s">
        <v>2</v>
      </c>
      <c r="B8" s="12">
        <v>11</v>
      </c>
      <c r="C8" s="6">
        <f t="shared" ref="C8:C15" si="1">IF(B$2=0,0,B8/B$2)</f>
        <v>0.26829268292682928</v>
      </c>
      <c r="E8" s="27" t="s">
        <v>89</v>
      </c>
      <c r="F8" s="24" t="s">
        <v>44</v>
      </c>
      <c r="G8" s="12">
        <v>16</v>
      </c>
      <c r="H8" s="88">
        <f>IF(B$20=0,0,G8/B$20)</f>
        <v>0.1702127659574468</v>
      </c>
      <c r="I8" s="58">
        <v>5</v>
      </c>
      <c r="K8" s="74">
        <v>6</v>
      </c>
      <c r="L8" s="119">
        <v>-182.90000000000003</v>
      </c>
      <c r="M8" s="117">
        <v>1618.6477491678233</v>
      </c>
      <c r="O8" s="107"/>
      <c r="P8" s="85"/>
      <c r="Q8" s="108"/>
      <c r="R8" s="70"/>
    </row>
    <row r="9" spans="1:18" x14ac:dyDescent="0.4">
      <c r="A9" s="19" t="s">
        <v>3</v>
      </c>
      <c r="B9" s="12">
        <v>15</v>
      </c>
      <c r="C9" s="6">
        <f t="shared" si="1"/>
        <v>0.36585365853658536</v>
      </c>
      <c r="E9" s="27" t="s">
        <v>69</v>
      </c>
      <c r="F9" s="24" t="s">
        <v>24</v>
      </c>
      <c r="G9" s="12">
        <v>11</v>
      </c>
      <c r="H9" s="88">
        <f>IF(B$20=0,0,G9/B$20)</f>
        <v>0.11702127659574468</v>
      </c>
      <c r="I9" s="58">
        <v>5</v>
      </c>
      <c r="K9" s="74">
        <v>7</v>
      </c>
      <c r="L9" s="119">
        <v>-162.30000000000004</v>
      </c>
      <c r="M9" s="117">
        <v>1622.5498626728165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15</v>
      </c>
      <c r="C10" s="7">
        <f t="shared" si="1"/>
        <v>0.36585365853658536</v>
      </c>
      <c r="E10" s="27" t="s">
        <v>65</v>
      </c>
      <c r="F10" s="24" t="s">
        <v>21</v>
      </c>
      <c r="G10" s="12">
        <v>8</v>
      </c>
      <c r="H10" s="88">
        <f>IF(B$20=0,0,G10/B$20)</f>
        <v>8.5106382978723402E-2</v>
      </c>
      <c r="I10" s="58">
        <v>6</v>
      </c>
      <c r="K10" s="74">
        <v>8</v>
      </c>
      <c r="L10" s="119">
        <v>-137.50000000000003</v>
      </c>
      <c r="M10" s="117">
        <v>1627.1845634967797</v>
      </c>
      <c r="O10" s="73" t="s">
        <v>151</v>
      </c>
      <c r="P10" s="82">
        <f>IF(Q10=0,0,R10/Q10)</f>
        <v>-2.6058823529411761</v>
      </c>
      <c r="Q10" s="76">
        <v>17</v>
      </c>
      <c r="R10" s="67">
        <v>-44.3</v>
      </c>
    </row>
    <row r="11" spans="1:18" x14ac:dyDescent="0.4">
      <c r="A11" s="20" t="s">
        <v>184</v>
      </c>
      <c r="B11" s="109">
        <f>IF(B8=0,0,C11/B8)</f>
        <v>36.518181818181809</v>
      </c>
      <c r="C11" s="110">
        <v>401.69999999999993</v>
      </c>
      <c r="E11" s="27" t="s">
        <v>70</v>
      </c>
      <c r="F11" s="24" t="s">
        <v>25</v>
      </c>
      <c r="G11" s="12">
        <v>8</v>
      </c>
      <c r="H11" s="88">
        <f>IF(B$20=0,0,G11/B$20)</f>
        <v>8.5106382978723402E-2</v>
      </c>
      <c r="I11" s="58">
        <v>7</v>
      </c>
      <c r="K11" s="74">
        <v>9</v>
      </c>
      <c r="L11" s="119">
        <v>-87.900000000000034</v>
      </c>
      <c r="M11" s="117">
        <v>1636.255456115799</v>
      </c>
      <c r="O11" s="74" t="s">
        <v>152</v>
      </c>
      <c r="P11" s="83">
        <f>IF(Q11=0,0,R11/Q11)</f>
        <v>-2.200000000000002</v>
      </c>
      <c r="Q11" s="77">
        <v>11</v>
      </c>
      <c r="R11" s="68">
        <v>-24.200000000000021</v>
      </c>
    </row>
    <row r="12" spans="1:18" x14ac:dyDescent="0.4">
      <c r="A12" s="20" t="s">
        <v>185</v>
      </c>
      <c r="B12" s="109">
        <f>IF(B9=0,0,C12/B9)</f>
        <v>1.4266666666666663</v>
      </c>
      <c r="C12" s="110">
        <v>21.399999999999995</v>
      </c>
      <c r="E12" s="27" t="s">
        <v>71</v>
      </c>
      <c r="F12" s="24" t="s">
        <v>26</v>
      </c>
      <c r="G12" s="12">
        <v>7</v>
      </c>
      <c r="H12" s="88">
        <f>IF(B$20=0,0,G12/B$20)</f>
        <v>7.4468085106382975E-2</v>
      </c>
      <c r="I12" s="58">
        <v>3</v>
      </c>
      <c r="K12" s="74">
        <v>10</v>
      </c>
      <c r="L12" s="119">
        <v>-61.000000000000036</v>
      </c>
      <c r="M12" s="117">
        <v>1641.1379233791042</v>
      </c>
      <c r="O12" s="75" t="s">
        <v>153</v>
      </c>
      <c r="P12" s="84">
        <f>IF(Q12=0,0,R12/Q12)</f>
        <v>-6.2846153846153845</v>
      </c>
      <c r="Q12" s="78">
        <v>13</v>
      </c>
      <c r="R12" s="69">
        <v>-81.7</v>
      </c>
    </row>
    <row r="13" spans="1:18" x14ac:dyDescent="0.4">
      <c r="A13" s="20" t="s">
        <v>186</v>
      </c>
      <c r="B13" s="109">
        <f>IF(B10=0,0,C13/B10)</f>
        <v>-38.220000000000006</v>
      </c>
      <c r="C13" s="110">
        <v>-573.30000000000007</v>
      </c>
      <c r="E13" s="27" t="s">
        <v>86</v>
      </c>
      <c r="F13" s="24" t="s">
        <v>41</v>
      </c>
      <c r="G13" s="12">
        <v>6</v>
      </c>
      <c r="H13" s="88">
        <f>IF(B$20=0,0,G13/B$20)</f>
        <v>6.3829787234042548E-2</v>
      </c>
      <c r="I13" s="58">
        <v>4</v>
      </c>
      <c r="K13" s="74">
        <v>11</v>
      </c>
      <c r="L13" s="119">
        <v>-94.500000000000028</v>
      </c>
      <c r="M13" s="117">
        <v>1635.2330958388295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-9.171717171717593E-2</v>
      </c>
      <c r="C14" s="126"/>
      <c r="E14" s="27" t="s">
        <v>81</v>
      </c>
      <c r="F14" s="24" t="s">
        <v>36</v>
      </c>
      <c r="G14" s="12">
        <v>5</v>
      </c>
      <c r="H14" s="88">
        <f>IF(B$20=0,0,G14/B$20)</f>
        <v>5.3191489361702128E-2</v>
      </c>
      <c r="I14" s="58">
        <v>2</v>
      </c>
      <c r="K14" s="74">
        <v>12</v>
      </c>
      <c r="L14" s="119">
        <v>-140.20000000000005</v>
      </c>
      <c r="M14" s="117">
        <v>1627.1676972637965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5</v>
      </c>
      <c r="C15" s="9">
        <f t="shared" si="1"/>
        <v>0.12195121951219512</v>
      </c>
      <c r="E15" s="27" t="s">
        <v>83</v>
      </c>
      <c r="F15" s="24" t="s">
        <v>38</v>
      </c>
      <c r="G15" s="12">
        <v>4</v>
      </c>
      <c r="H15" s="88">
        <f>IF(B$20=0,0,G15/B$20)</f>
        <v>4.2553191489361701E-2</v>
      </c>
      <c r="I15" s="58">
        <v>6</v>
      </c>
      <c r="K15" s="74">
        <v>13</v>
      </c>
      <c r="L15" s="119">
        <v>-131.30000000000004</v>
      </c>
      <c r="M15" s="117">
        <v>1628.9786910802138</v>
      </c>
      <c r="O15" s="73" t="s">
        <v>216</v>
      </c>
      <c r="P15" s="82">
        <f t="shared" ref="P15:P21" si="2">IF(Q15=0,0,R15/Q15)</f>
        <v>35.614285714285714</v>
      </c>
      <c r="Q15" s="76">
        <v>7</v>
      </c>
      <c r="R15" s="67">
        <v>249.3</v>
      </c>
    </row>
    <row r="16" spans="1:18" x14ac:dyDescent="0.4">
      <c r="A16" s="22" t="s">
        <v>121</v>
      </c>
      <c r="B16" s="15">
        <v>89</v>
      </c>
      <c r="C16" s="10">
        <f>IF(B$3=0,0,B16/B$3)</f>
        <v>0.25428571428571428</v>
      </c>
      <c r="E16" s="27" t="s">
        <v>78</v>
      </c>
      <c r="F16" s="24" t="s">
        <v>33</v>
      </c>
      <c r="G16" s="12">
        <v>3</v>
      </c>
      <c r="H16" s="88">
        <f>IF(B$20=0,0,G16/B$20)</f>
        <v>3.1914893617021274E-2</v>
      </c>
      <c r="I16" s="58">
        <v>6</v>
      </c>
      <c r="K16" s="74">
        <v>14</v>
      </c>
      <c r="L16" s="119">
        <v>-125.80000000000004</v>
      </c>
      <c r="M16" s="117">
        <v>1630.1668189337324</v>
      </c>
      <c r="O16" s="74" t="s">
        <v>190</v>
      </c>
      <c r="P16" s="83">
        <f t="shared" si="2"/>
        <v>8.7333333333333361</v>
      </c>
      <c r="Q16" s="77">
        <v>6</v>
      </c>
      <c r="R16" s="68">
        <v>52.400000000000013</v>
      </c>
    </row>
    <row r="17" spans="1:18" x14ac:dyDescent="0.4">
      <c r="A17" s="19" t="s">
        <v>118</v>
      </c>
      <c r="B17" s="12">
        <v>84</v>
      </c>
      <c r="C17" s="6">
        <f>IF(B$3=0,0,B17/B$3)</f>
        <v>0.24</v>
      </c>
      <c r="E17" s="27" t="s">
        <v>155</v>
      </c>
      <c r="F17" s="24" t="s">
        <v>156</v>
      </c>
      <c r="G17" s="12">
        <v>3</v>
      </c>
      <c r="H17" s="88">
        <f>IF(B$20=0,0,G17/B$20)</f>
        <v>3.1914893617021274E-2</v>
      </c>
      <c r="I17" s="58">
        <v>2</v>
      </c>
      <c r="K17" s="74">
        <v>15</v>
      </c>
      <c r="L17" s="119">
        <v>-165.10000000000002</v>
      </c>
      <c r="M17" s="117">
        <v>1623.3138180201299</v>
      </c>
      <c r="O17" s="74" t="s">
        <v>211</v>
      </c>
      <c r="P17" s="83">
        <f t="shared" si="2"/>
        <v>-3.9166666666666674</v>
      </c>
      <c r="Q17" s="77">
        <v>12</v>
      </c>
      <c r="R17" s="68">
        <v>-47.000000000000007</v>
      </c>
    </row>
    <row r="18" spans="1:18" x14ac:dyDescent="0.4">
      <c r="A18" s="18" t="s">
        <v>123</v>
      </c>
      <c r="B18" s="11">
        <f>B24</f>
        <v>41</v>
      </c>
      <c r="C18" s="5">
        <f>IF(B$16=0,0,B18/B$16)</f>
        <v>0.4606741573033708</v>
      </c>
      <c r="E18" s="27" t="s">
        <v>73</v>
      </c>
      <c r="F18" s="24" t="s">
        <v>28</v>
      </c>
      <c r="G18" s="12">
        <v>1</v>
      </c>
      <c r="H18" s="88">
        <f>IF(B$20=0,0,G18/B$20)</f>
        <v>1.0638297872340425E-2</v>
      </c>
      <c r="I18" s="58">
        <v>3</v>
      </c>
      <c r="K18" s="74">
        <v>16</v>
      </c>
      <c r="L18" s="119">
        <v>-95.40000000000002</v>
      </c>
      <c r="M18" s="117">
        <v>1635.5699351120093</v>
      </c>
      <c r="O18" s="74" t="s">
        <v>126</v>
      </c>
      <c r="P18" s="83">
        <f t="shared" si="2"/>
        <v>-10.658823529411768</v>
      </c>
      <c r="Q18" s="77">
        <v>34</v>
      </c>
      <c r="R18" s="68">
        <v>-362.40000000000009</v>
      </c>
    </row>
    <row r="19" spans="1:18" x14ac:dyDescent="0.4">
      <c r="A19" s="18" t="s">
        <v>124</v>
      </c>
      <c r="B19" s="11">
        <f>B25</f>
        <v>28</v>
      </c>
      <c r="C19" s="5">
        <f>IF(B$17=0,0,B19/B$17)</f>
        <v>0.33333333333333331</v>
      </c>
      <c r="E19" s="27" t="s">
        <v>79</v>
      </c>
      <c r="F19" s="24" t="s">
        <v>34</v>
      </c>
      <c r="G19" s="12">
        <v>1</v>
      </c>
      <c r="H19" s="88">
        <f>IF(B$20=0,0,G19/B$20)</f>
        <v>1.0638297872340425E-2</v>
      </c>
      <c r="I19" s="58">
        <v>5</v>
      </c>
      <c r="K19" s="74">
        <v>17</v>
      </c>
      <c r="L19" s="119">
        <v>-91.000000000000014</v>
      </c>
      <c r="M19" s="117">
        <v>1635.9985155013371</v>
      </c>
      <c r="O19" s="74" t="s">
        <v>189</v>
      </c>
      <c r="P19" s="83">
        <f t="shared" si="2"/>
        <v>-10.833333333333334</v>
      </c>
      <c r="Q19" s="77">
        <v>12</v>
      </c>
      <c r="R19" s="68">
        <v>-130</v>
      </c>
    </row>
    <row r="20" spans="1:18" x14ac:dyDescent="0.4">
      <c r="A20" s="18" t="s">
        <v>10</v>
      </c>
      <c r="B20" s="11">
        <f>B23+B22</f>
        <v>94</v>
      </c>
      <c r="C20" s="5">
        <f>IF(B$3=0,0,B20/B$3)</f>
        <v>0.26857142857142857</v>
      </c>
      <c r="E20" s="27" t="s">
        <v>85</v>
      </c>
      <c r="F20" s="24" t="s">
        <v>40</v>
      </c>
      <c r="G20" s="12">
        <v>1</v>
      </c>
      <c r="H20" s="88">
        <f>IF(B$20=0,0,G20/B$20)</f>
        <v>1.0638297872340425E-2</v>
      </c>
      <c r="I20" s="58">
        <v>2</v>
      </c>
      <c r="K20" s="74">
        <v>18</v>
      </c>
      <c r="L20" s="119">
        <v>-91.000000000000014</v>
      </c>
      <c r="M20" s="117">
        <v>1635.974524408329</v>
      </c>
      <c r="O20" s="74" t="s">
        <v>192</v>
      </c>
      <c r="P20" s="83">
        <f t="shared" si="2"/>
        <v>-14.800000000000002</v>
      </c>
      <c r="Q20" s="77">
        <v>9</v>
      </c>
      <c r="R20" s="68">
        <v>-133.20000000000002</v>
      </c>
    </row>
    <row r="21" spans="1:18" x14ac:dyDescent="0.4">
      <c r="A21" s="19" t="s">
        <v>13</v>
      </c>
      <c r="B21" s="12">
        <v>66</v>
      </c>
      <c r="C21" s="6">
        <f>IF(B$3=0,0,B21/B$3)</f>
        <v>0.18857142857142858</v>
      </c>
      <c r="E21" s="27" t="s">
        <v>88</v>
      </c>
      <c r="F21" s="24" t="s">
        <v>43</v>
      </c>
      <c r="G21" s="12">
        <v>1</v>
      </c>
      <c r="H21" s="88">
        <f>IF(B$20=0,0,G21/B$20)</f>
        <v>1.0638297872340425E-2</v>
      </c>
      <c r="I21" s="58">
        <v>1</v>
      </c>
      <c r="K21" s="74">
        <v>19</v>
      </c>
      <c r="L21" s="119">
        <v>-143.4</v>
      </c>
      <c r="M21" s="117">
        <v>1626.518677261879</v>
      </c>
      <c r="O21" s="74" t="s">
        <v>195</v>
      </c>
      <c r="P21" s="83">
        <f t="shared" si="2"/>
        <v>-39.85</v>
      </c>
      <c r="Q21" s="77">
        <v>2</v>
      </c>
      <c r="R21" s="68">
        <v>-79.7</v>
      </c>
    </row>
    <row r="22" spans="1:18" x14ac:dyDescent="0.4">
      <c r="A22" s="19" t="s">
        <v>12</v>
      </c>
      <c r="B22" s="12">
        <v>43</v>
      </c>
      <c r="C22" s="6">
        <f>IF(B$20=0,0,B22/B$20)</f>
        <v>0.45744680851063829</v>
      </c>
      <c r="E22" s="27" t="s">
        <v>91</v>
      </c>
      <c r="F22" s="24" t="s">
        <v>46</v>
      </c>
      <c r="G22" s="12">
        <v>1</v>
      </c>
      <c r="H22" s="88">
        <f>IF(B$20=0,0,G22/B$20)</f>
        <v>1.0638297872340425E-2</v>
      </c>
      <c r="I22" s="58">
        <v>5</v>
      </c>
      <c r="K22" s="74">
        <v>20</v>
      </c>
      <c r="L22" s="119">
        <v>-101.2</v>
      </c>
      <c r="M22" s="117">
        <v>1634.1175651983078</v>
      </c>
    </row>
    <row r="23" spans="1:18" x14ac:dyDescent="0.4">
      <c r="A23" s="19" t="s">
        <v>11</v>
      </c>
      <c r="B23" s="12">
        <v>51</v>
      </c>
      <c r="C23" s="6">
        <f>IF(B$20=0,0,B23/B$20)</f>
        <v>0.54255319148936165</v>
      </c>
      <c r="E23" s="27" t="s">
        <v>74</v>
      </c>
      <c r="F23" s="24" t="s">
        <v>29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-99.3</v>
      </c>
      <c r="M23" s="117">
        <v>1634.416859807118</v>
      </c>
    </row>
    <row r="24" spans="1:18" x14ac:dyDescent="0.4">
      <c r="A24" s="19" t="s">
        <v>183</v>
      </c>
      <c r="B24" s="12">
        <v>41</v>
      </c>
      <c r="C24" s="6">
        <f>IF(B$20=0,0,B24/B$20)</f>
        <v>0.43617021276595747</v>
      </c>
      <c r="E24" s="27" t="s">
        <v>75</v>
      </c>
      <c r="F24" s="24" t="s">
        <v>30</v>
      </c>
      <c r="G24" s="12">
        <v>0</v>
      </c>
      <c r="H24" s="88">
        <f>IF(B$20=0,0,G24/B$20)</f>
        <v>0</v>
      </c>
      <c r="I24" s="58">
        <v>5</v>
      </c>
      <c r="K24" s="74">
        <v>22</v>
      </c>
      <c r="L24" s="119">
        <v>-95.2</v>
      </c>
      <c r="M24" s="117">
        <v>1635.1103586482752</v>
      </c>
    </row>
    <row r="25" spans="1:18" x14ac:dyDescent="0.4">
      <c r="A25" s="19" t="s">
        <v>181</v>
      </c>
      <c r="B25" s="12">
        <v>28</v>
      </c>
      <c r="C25" s="6">
        <f>IF(B$20=0,0,B25/B$20)</f>
        <v>0.2978723404255319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-75</v>
      </c>
      <c r="M25" s="117">
        <v>1638.2056964963856</v>
      </c>
    </row>
    <row r="26" spans="1:18" x14ac:dyDescent="0.4">
      <c r="A26" s="19" t="s">
        <v>182</v>
      </c>
      <c r="B26" s="12">
        <v>25</v>
      </c>
      <c r="C26" s="6">
        <f>IF(B$20=0,0,B26/B$20)</f>
        <v>0.26595744680851063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3</v>
      </c>
      <c r="K26" s="74">
        <v>24</v>
      </c>
      <c r="L26" s="119">
        <v>-77.400000000000006</v>
      </c>
      <c r="M26" s="117">
        <v>1637.2144623174072</v>
      </c>
    </row>
    <row r="27" spans="1:18" x14ac:dyDescent="0.4">
      <c r="A27" s="19" t="s">
        <v>5</v>
      </c>
      <c r="B27" s="16">
        <f>IF(B$20=0,0,C27/B$20)</f>
        <v>8634.0425531914898</v>
      </c>
      <c r="C27" s="8">
        <v>811600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-83.600000000000009</v>
      </c>
      <c r="M27" s="117">
        <v>1635.8451755435028</v>
      </c>
    </row>
    <row r="28" spans="1:18" x14ac:dyDescent="0.4">
      <c r="A28" s="20" t="s">
        <v>165</v>
      </c>
      <c r="B28" s="95">
        <f>IF($B$20-B$19=0,0,C28/($B$20-B$19))</f>
        <v>9045.454545454546</v>
      </c>
      <c r="C28" s="96">
        <v>597000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-84.500000000000014</v>
      </c>
      <c r="M28" s="117">
        <v>1635.4381044902418</v>
      </c>
    </row>
    <row r="29" spans="1:18" x14ac:dyDescent="0.4">
      <c r="A29" s="20" t="s">
        <v>166</v>
      </c>
      <c r="B29" s="95">
        <f>IF(B$19=0,0,C29/B$19)</f>
        <v>7664.2857142857147</v>
      </c>
      <c r="C29" s="96">
        <v>214600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-32.300000000000011</v>
      </c>
      <c r="M29" s="117">
        <v>1644.3754758633004</v>
      </c>
    </row>
    <row r="30" spans="1:18" x14ac:dyDescent="0.4">
      <c r="A30" s="20" t="s">
        <v>164</v>
      </c>
      <c r="B30" s="95">
        <f>IF(B$21=0,0,C30/B$21)</f>
        <v>-8066.666666666667</v>
      </c>
      <c r="C30" s="96">
        <v>-532400</v>
      </c>
      <c r="E30" s="27" t="s">
        <v>87</v>
      </c>
      <c r="F30" s="24" t="s">
        <v>42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-67.100000000000009</v>
      </c>
      <c r="M30" s="117">
        <v>1638.0732230081205</v>
      </c>
    </row>
    <row r="31" spans="1:18" x14ac:dyDescent="0.4">
      <c r="A31" s="19" t="s">
        <v>157</v>
      </c>
      <c r="B31" s="12">
        <v>4</v>
      </c>
      <c r="C31" s="90">
        <v>0</v>
      </c>
      <c r="E31" s="27" t="s">
        <v>90</v>
      </c>
      <c r="F31" s="24" t="s">
        <v>45</v>
      </c>
      <c r="G31" s="12">
        <v>0</v>
      </c>
      <c r="H31" s="88">
        <f>IF(B$20=0,0,G31/B$20)</f>
        <v>0</v>
      </c>
      <c r="I31" s="58">
        <v>3</v>
      </c>
      <c r="K31" s="74">
        <v>29</v>
      </c>
      <c r="L31" s="119">
        <v>-63.70000000000001</v>
      </c>
      <c r="M31" s="117">
        <v>1638.6967836700719</v>
      </c>
    </row>
    <row r="32" spans="1:18" x14ac:dyDescent="0.4">
      <c r="A32" s="19" t="s">
        <v>158</v>
      </c>
      <c r="B32" s="12">
        <v>19</v>
      </c>
      <c r="C32" s="90">
        <v>2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4</v>
      </c>
      <c r="K32" s="74">
        <v>30</v>
      </c>
      <c r="L32" s="119">
        <v>-76.000000000000014</v>
      </c>
      <c r="M32" s="117">
        <v>1636.4906029680515</v>
      </c>
    </row>
    <row r="33" spans="1:13" x14ac:dyDescent="0.4">
      <c r="A33" s="54" t="s">
        <v>136</v>
      </c>
      <c r="B33" s="127">
        <v>6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3</v>
      </c>
      <c r="K33" s="74">
        <v>31</v>
      </c>
      <c r="L33" s="119">
        <v>-92.600000000000023</v>
      </c>
      <c r="M33" s="117">
        <v>1633.5176593502431</v>
      </c>
    </row>
    <row r="34" spans="1:13" x14ac:dyDescent="0.4">
      <c r="A34" s="22" t="s">
        <v>180</v>
      </c>
      <c r="B34" s="129">
        <v>94700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-41.700000000000024</v>
      </c>
      <c r="M34" s="117">
        <v>1642.7185533941417</v>
      </c>
    </row>
    <row r="35" spans="1:13" x14ac:dyDescent="0.4">
      <c r="A35" s="21" t="s">
        <v>137</v>
      </c>
      <c r="B35" s="29">
        <v>1</v>
      </c>
      <c r="C35" s="9">
        <f>IF(B$3=0,0,B35/B$3)</f>
        <v>2.8571428571428571E-3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-37.200000000000024</v>
      </c>
      <c r="M35" s="117">
        <v>1643.5002420737769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-77.900000000000034</v>
      </c>
      <c r="M36" s="117">
        <v>1636.1412406213342</v>
      </c>
    </row>
    <row r="37" spans="1:13" x14ac:dyDescent="0.4">
      <c r="A37" s="54" t="s">
        <v>171</v>
      </c>
      <c r="B37" s="123">
        <v>8</v>
      </c>
      <c r="C37" s="98">
        <f t="shared" ref="C37:C49" si="3">IF(B$20=0,0,B37/B$20)</f>
        <v>8.5106382978723402E-2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-73.200000000000031</v>
      </c>
      <c r="M37" s="117">
        <v>1636.9983931776062</v>
      </c>
    </row>
    <row r="38" spans="1:13" x14ac:dyDescent="0.4">
      <c r="A38" s="19" t="s">
        <v>167</v>
      </c>
      <c r="B38" s="12">
        <v>9</v>
      </c>
      <c r="C38" s="6">
        <f t="shared" si="3"/>
        <v>9.5744680851063829E-2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-91.000000000000028</v>
      </c>
      <c r="M38" s="117">
        <v>1633.6744028185406</v>
      </c>
    </row>
    <row r="39" spans="1:13" x14ac:dyDescent="0.4">
      <c r="A39" s="19" t="s">
        <v>168</v>
      </c>
      <c r="B39" s="124">
        <v>18</v>
      </c>
      <c r="C39" s="6">
        <f t="shared" si="3"/>
        <v>0.19148936170212766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-85.900000000000034</v>
      </c>
      <c r="M39" s="117">
        <v>1634.4923564016294</v>
      </c>
    </row>
    <row r="40" spans="1:13" x14ac:dyDescent="0.4">
      <c r="A40" s="19" t="s">
        <v>169</v>
      </c>
      <c r="B40" s="124">
        <v>20</v>
      </c>
      <c r="C40" s="6">
        <f t="shared" si="3"/>
        <v>0.21276595744680851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-74.900000000000034</v>
      </c>
      <c r="M40" s="117">
        <v>1636.6254022632197</v>
      </c>
    </row>
    <row r="41" spans="1:13" x14ac:dyDescent="0.4">
      <c r="A41" s="19" t="s">
        <v>170</v>
      </c>
      <c r="B41" s="124">
        <v>17</v>
      </c>
      <c r="C41" s="6">
        <f t="shared" si="3"/>
        <v>0.18085106382978725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-120.20000000000003</v>
      </c>
      <c r="M41" s="117">
        <v>1628.6116498496403</v>
      </c>
    </row>
    <row r="42" spans="1:13" x14ac:dyDescent="0.4">
      <c r="A42" s="19" t="s">
        <v>172</v>
      </c>
      <c r="B42" s="124">
        <v>10</v>
      </c>
      <c r="C42" s="6">
        <f t="shared" si="3"/>
        <v>0.10638297872340426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-119.50000000000003</v>
      </c>
      <c r="M42" s="117">
        <v>1628.6619799505424</v>
      </c>
    </row>
    <row r="43" spans="1:13" x14ac:dyDescent="0.4">
      <c r="A43" s="19" t="s">
        <v>173</v>
      </c>
      <c r="B43" s="124">
        <v>6</v>
      </c>
      <c r="C43" s="6">
        <f t="shared" si="3"/>
        <v>6.3829787234042548E-2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-150.20000000000002</v>
      </c>
      <c r="M43" s="117">
        <v>1623.0600080708391</v>
      </c>
    </row>
    <row r="44" spans="1:13" x14ac:dyDescent="0.4">
      <c r="A44" s="19" t="s">
        <v>174</v>
      </c>
      <c r="B44" s="124">
        <v>3</v>
      </c>
      <c r="C44" s="6">
        <f t="shared" si="3"/>
        <v>3.1914893617021274E-2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13" x14ac:dyDescent="0.4">
      <c r="A45" s="19" t="s">
        <v>175</v>
      </c>
      <c r="B45" s="124">
        <v>2</v>
      </c>
      <c r="C45" s="6">
        <f t="shared" si="3"/>
        <v>2.1276595744680851E-2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13" x14ac:dyDescent="0.4">
      <c r="A46" s="19" t="s">
        <v>176</v>
      </c>
      <c r="B46" s="124">
        <v>1</v>
      </c>
      <c r="C46" s="6">
        <f t="shared" si="3"/>
        <v>1.0638297872340425E-2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</row>
    <row r="47" spans="1:13" x14ac:dyDescent="0.4">
      <c r="A47" s="19" t="s">
        <v>177</v>
      </c>
      <c r="B47" s="124">
        <v>0</v>
      </c>
      <c r="C47" s="6">
        <f t="shared" si="3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13" x14ac:dyDescent="0.4">
      <c r="A48" s="19" t="s">
        <v>178</v>
      </c>
      <c r="B48" s="124">
        <v>0</v>
      </c>
      <c r="C48" s="6">
        <f t="shared" si="3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3"/>
        <v>0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E93B63-1F92-4421-AA80-E44C4C047E73}">
  <sheetPr codeName="Sheet1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189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39</v>
      </c>
      <c r="C2" s="134"/>
      <c r="E2" s="26" t="s">
        <v>72</v>
      </c>
      <c r="F2" s="23" t="s">
        <v>27</v>
      </c>
      <c r="G2" s="11">
        <v>70</v>
      </c>
      <c r="H2" s="87">
        <f>IF(B$20=0,0,G2/B$20)</f>
        <v>0.67961165048543692</v>
      </c>
      <c r="I2" s="57">
        <v>3</v>
      </c>
      <c r="K2" s="73">
        <v>0</v>
      </c>
      <c r="L2" s="118">
        <v>0</v>
      </c>
      <c r="M2" s="116">
        <v>1433.30445236539</v>
      </c>
      <c r="O2" s="73" t="s">
        <v>128</v>
      </c>
      <c r="P2" s="79">
        <f t="shared" ref="P2:P7" si="0">IF(Q2=0,0,R2/Q2)</f>
        <v>233.33333333333334</v>
      </c>
      <c r="Q2" s="76">
        <v>39</v>
      </c>
      <c r="R2" s="63">
        <v>9100</v>
      </c>
    </row>
    <row r="3" spans="1:18" x14ac:dyDescent="0.4">
      <c r="A3" s="19" t="s">
        <v>8</v>
      </c>
      <c r="B3" s="135">
        <v>340</v>
      </c>
      <c r="C3" s="136"/>
      <c r="E3" s="27" t="s">
        <v>66</v>
      </c>
      <c r="F3" s="24" t="s">
        <v>22</v>
      </c>
      <c r="G3" s="12">
        <v>65</v>
      </c>
      <c r="H3" s="88">
        <f>IF(B$20=0,0,G3/B$20)</f>
        <v>0.6310679611650486</v>
      </c>
      <c r="I3" s="58">
        <v>10</v>
      </c>
      <c r="K3" s="74">
        <v>1</v>
      </c>
      <c r="L3" s="119">
        <v>10.1</v>
      </c>
      <c r="M3" s="117">
        <v>1435.5226256511976</v>
      </c>
      <c r="O3" s="74" t="s">
        <v>129</v>
      </c>
      <c r="P3" s="80">
        <f t="shared" si="0"/>
        <v>-864.10256410256409</v>
      </c>
      <c r="Q3" s="77">
        <v>39</v>
      </c>
      <c r="R3" s="64">
        <v>-33700</v>
      </c>
    </row>
    <row r="4" spans="1:18" x14ac:dyDescent="0.4">
      <c r="A4" s="19" t="s">
        <v>6</v>
      </c>
      <c r="B4" s="137">
        <v>53.800000000000004</v>
      </c>
      <c r="C4" s="138"/>
      <c r="E4" s="27" t="s">
        <v>64</v>
      </c>
      <c r="F4" s="24" t="s">
        <v>20</v>
      </c>
      <c r="G4" s="12">
        <v>42</v>
      </c>
      <c r="H4" s="88">
        <f>IF(B$20=0,0,G4/B$20)</f>
        <v>0.40776699029126212</v>
      </c>
      <c r="I4" s="58">
        <v>5</v>
      </c>
      <c r="K4" s="74">
        <v>2</v>
      </c>
      <c r="L4" s="119">
        <v>36.4</v>
      </c>
      <c r="M4" s="117">
        <v>1441.4954898972903</v>
      </c>
      <c r="O4" s="74" t="s">
        <v>130</v>
      </c>
      <c r="P4" s="80">
        <f t="shared" si="0"/>
        <v>1144.7368421052631</v>
      </c>
      <c r="Q4" s="77">
        <v>38</v>
      </c>
      <c r="R4" s="64">
        <v>43500</v>
      </c>
    </row>
    <row r="5" spans="1:18" x14ac:dyDescent="0.4">
      <c r="A5" s="19" t="s">
        <v>7</v>
      </c>
      <c r="B5" s="125">
        <f>IF(B$2=0,0,B$4/B$2)</f>
        <v>1.3794871794871797</v>
      </c>
      <c r="C5" s="126"/>
      <c r="E5" s="27" t="s">
        <v>159</v>
      </c>
      <c r="F5" s="24" t="s">
        <v>160</v>
      </c>
      <c r="G5" s="12">
        <v>35</v>
      </c>
      <c r="H5" s="88">
        <f>IF(B$20=0,0,G5/B$20)</f>
        <v>0.33980582524271846</v>
      </c>
      <c r="I5" s="58">
        <v>9</v>
      </c>
      <c r="K5" s="74">
        <v>3</v>
      </c>
      <c r="L5" s="119">
        <v>36.4</v>
      </c>
      <c r="M5" s="117">
        <v>1442.4405169579065</v>
      </c>
      <c r="O5" s="74" t="s">
        <v>131</v>
      </c>
      <c r="P5" s="80">
        <f t="shared" si="0"/>
        <v>-673.68421052631584</v>
      </c>
      <c r="Q5" s="77">
        <v>38</v>
      </c>
      <c r="R5" s="64">
        <v>-25600</v>
      </c>
    </row>
    <row r="6" spans="1:18" x14ac:dyDescent="0.4">
      <c r="A6" s="19" t="s">
        <v>196</v>
      </c>
      <c r="B6" s="129">
        <v>1475.0557740819513</v>
      </c>
      <c r="C6" s="130"/>
      <c r="E6" s="27" t="s">
        <v>68</v>
      </c>
      <c r="F6" s="24" t="s">
        <v>12</v>
      </c>
      <c r="G6" s="12">
        <v>29</v>
      </c>
      <c r="H6" s="88">
        <f>IF(B$20=0,0,G6/B$20)</f>
        <v>0.28155339805825241</v>
      </c>
      <c r="I6" s="58">
        <v>7</v>
      </c>
      <c r="K6" s="74">
        <v>4</v>
      </c>
      <c r="L6" s="119">
        <v>13.299999999999997</v>
      </c>
      <c r="M6" s="117">
        <v>1439.257873856159</v>
      </c>
      <c r="O6" s="74" t="s">
        <v>132</v>
      </c>
      <c r="P6" s="80">
        <f t="shared" si="0"/>
        <v>-871.0526315789474</v>
      </c>
      <c r="Q6" s="77">
        <v>38</v>
      </c>
      <c r="R6" s="64">
        <v>-33100</v>
      </c>
    </row>
    <row r="7" spans="1:18" x14ac:dyDescent="0.4">
      <c r="A7" s="19" t="s">
        <v>1</v>
      </c>
      <c r="B7" s="139">
        <f>IF(B$2=0,0,(B$8*1+B$9*2+B$10*3)/B$2)</f>
        <v>1.9487179487179487</v>
      </c>
      <c r="C7" s="140"/>
      <c r="E7" s="27" t="s">
        <v>67</v>
      </c>
      <c r="F7" s="24" t="s">
        <v>23</v>
      </c>
      <c r="G7" s="12">
        <v>28</v>
      </c>
      <c r="H7" s="88">
        <f>IF(B$20=0,0,G7/B$20)</f>
        <v>0.27184466019417475</v>
      </c>
      <c r="I7" s="58">
        <v>2</v>
      </c>
      <c r="K7" s="74">
        <v>5</v>
      </c>
      <c r="L7" s="119">
        <v>8.0999999999999979</v>
      </c>
      <c r="M7" s="117">
        <v>1439.3523266130221</v>
      </c>
      <c r="O7" s="75" t="s">
        <v>133</v>
      </c>
      <c r="P7" s="81">
        <f t="shared" si="0"/>
        <v>674.19354838709683</v>
      </c>
      <c r="Q7" s="78">
        <v>31</v>
      </c>
      <c r="R7" s="65">
        <v>20900</v>
      </c>
    </row>
    <row r="8" spans="1:18" x14ac:dyDescent="0.4">
      <c r="A8" s="19" t="s">
        <v>2</v>
      </c>
      <c r="B8" s="12">
        <v>15</v>
      </c>
      <c r="C8" s="6">
        <f t="shared" ref="C8:C15" si="1">IF(B$2=0,0,B8/B$2)</f>
        <v>0.38461538461538464</v>
      </c>
      <c r="E8" s="27" t="s">
        <v>89</v>
      </c>
      <c r="F8" s="24" t="s">
        <v>44</v>
      </c>
      <c r="G8" s="12">
        <v>11</v>
      </c>
      <c r="H8" s="88">
        <f>IF(B$20=0,0,G8/B$20)</f>
        <v>0.10679611650485436</v>
      </c>
      <c r="I8" s="58">
        <v>10</v>
      </c>
      <c r="K8" s="74">
        <v>6</v>
      </c>
      <c r="L8" s="119">
        <v>24.7</v>
      </c>
      <c r="M8" s="117">
        <v>1443.310212653344</v>
      </c>
      <c r="O8" s="107"/>
      <c r="P8" s="85"/>
      <c r="Q8" s="108"/>
      <c r="R8" s="70"/>
    </row>
    <row r="9" spans="1:18" x14ac:dyDescent="0.4">
      <c r="A9" s="19" t="s">
        <v>3</v>
      </c>
      <c r="B9" s="12">
        <v>11</v>
      </c>
      <c r="C9" s="6">
        <f t="shared" si="1"/>
        <v>0.28205128205128205</v>
      </c>
      <c r="E9" s="27" t="s">
        <v>65</v>
      </c>
      <c r="F9" s="24" t="s">
        <v>21</v>
      </c>
      <c r="G9" s="12">
        <v>9</v>
      </c>
      <c r="H9" s="88">
        <f>IF(B$20=0,0,G9/B$20)</f>
        <v>8.7378640776699032E-2</v>
      </c>
      <c r="I9" s="58">
        <v>5</v>
      </c>
      <c r="K9" s="74">
        <v>7</v>
      </c>
      <c r="L9" s="119">
        <v>39.5</v>
      </c>
      <c r="M9" s="117">
        <v>1446.944351377424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13</v>
      </c>
      <c r="C10" s="7">
        <f t="shared" si="1"/>
        <v>0.33333333333333331</v>
      </c>
      <c r="E10" s="27" t="s">
        <v>70</v>
      </c>
      <c r="F10" s="24" t="s">
        <v>25</v>
      </c>
      <c r="G10" s="12">
        <v>9</v>
      </c>
      <c r="H10" s="88">
        <f>IF(B$20=0,0,G10/B$20)</f>
        <v>8.7378640776699032E-2</v>
      </c>
      <c r="I10" s="58">
        <v>6</v>
      </c>
      <c r="K10" s="74">
        <v>8</v>
      </c>
      <c r="L10" s="119">
        <v>66.5</v>
      </c>
      <c r="M10" s="117">
        <v>1452.7526852691594</v>
      </c>
      <c r="O10" s="73" t="s">
        <v>151</v>
      </c>
      <c r="P10" s="82">
        <f>IF(Q10=0,0,R10/Q10)</f>
        <v>8.64</v>
      </c>
      <c r="Q10" s="76">
        <v>10</v>
      </c>
      <c r="R10" s="67">
        <v>86.4</v>
      </c>
    </row>
    <row r="11" spans="1:18" x14ac:dyDescent="0.4">
      <c r="A11" s="20" t="s">
        <v>184</v>
      </c>
      <c r="B11" s="109">
        <f>IF(B8=0,0,C11/B8)</f>
        <v>29.013333333333335</v>
      </c>
      <c r="C11" s="110">
        <v>435.20000000000005</v>
      </c>
      <c r="E11" s="27" t="s">
        <v>69</v>
      </c>
      <c r="F11" s="24" t="s">
        <v>24</v>
      </c>
      <c r="G11" s="12">
        <v>8</v>
      </c>
      <c r="H11" s="88">
        <f>IF(B$20=0,0,G11/B$20)</f>
        <v>7.7669902912621352E-2</v>
      </c>
      <c r="I11" s="58">
        <v>8</v>
      </c>
      <c r="K11" s="74">
        <v>9</v>
      </c>
      <c r="L11" s="119">
        <v>90.7</v>
      </c>
      <c r="M11" s="117">
        <v>1458.0221691575446</v>
      </c>
      <c r="O11" s="74" t="s">
        <v>152</v>
      </c>
      <c r="P11" s="83">
        <f>IF(Q11=0,0,R11/Q11)</f>
        <v>-3.85</v>
      </c>
      <c r="Q11" s="77">
        <v>14</v>
      </c>
      <c r="R11" s="68">
        <v>-53.9</v>
      </c>
    </row>
    <row r="12" spans="1:18" x14ac:dyDescent="0.4">
      <c r="A12" s="20" t="s">
        <v>185</v>
      </c>
      <c r="B12" s="109">
        <f>IF(B9=0,0,C12/B9)</f>
        <v>4.918181818181818</v>
      </c>
      <c r="C12" s="110">
        <v>54.099999999999994</v>
      </c>
      <c r="E12" s="27" t="s">
        <v>83</v>
      </c>
      <c r="F12" s="24" t="s">
        <v>38</v>
      </c>
      <c r="G12" s="12">
        <v>7</v>
      </c>
      <c r="H12" s="88">
        <f>IF(B$20=0,0,G12/B$20)</f>
        <v>6.7961165048543687E-2</v>
      </c>
      <c r="I12" s="58">
        <v>2</v>
      </c>
      <c r="K12" s="74">
        <v>10</v>
      </c>
      <c r="L12" s="119">
        <v>91.7</v>
      </c>
      <c r="M12" s="117">
        <v>1458.3940361425994</v>
      </c>
      <c r="O12" s="75" t="s">
        <v>153</v>
      </c>
      <c r="P12" s="84">
        <f>IF(Q12=0,0,R12/Q12)</f>
        <v>1.4199999999999988</v>
      </c>
      <c r="Q12" s="78">
        <v>15</v>
      </c>
      <c r="R12" s="69">
        <v>21.299999999999983</v>
      </c>
    </row>
    <row r="13" spans="1:18" x14ac:dyDescent="0.4">
      <c r="A13" s="20" t="s">
        <v>186</v>
      </c>
      <c r="B13" s="109">
        <f>IF(B10=0,0,C13/B10)</f>
        <v>-33.5</v>
      </c>
      <c r="C13" s="110">
        <v>-435.5</v>
      </c>
      <c r="E13" s="27" t="s">
        <v>71</v>
      </c>
      <c r="F13" s="24" t="s">
        <v>26</v>
      </c>
      <c r="G13" s="12">
        <v>4</v>
      </c>
      <c r="H13" s="88">
        <f>IF(B$20=0,0,G13/B$20)</f>
        <v>3.8834951456310676E-2</v>
      </c>
      <c r="I13" s="58">
        <v>7</v>
      </c>
      <c r="K13" s="74">
        <v>11</v>
      </c>
      <c r="L13" s="119">
        <v>100.5</v>
      </c>
      <c r="M13" s="117">
        <v>1460.2096719257438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0.14383838383838565</v>
      </c>
      <c r="C14" s="126"/>
      <c r="E14" s="27" t="s">
        <v>78</v>
      </c>
      <c r="F14" s="24" t="s">
        <v>33</v>
      </c>
      <c r="G14" s="12">
        <v>4</v>
      </c>
      <c r="H14" s="88">
        <f>IF(B$20=0,0,G14/B$20)</f>
        <v>3.8834951456310676E-2</v>
      </c>
      <c r="I14" s="58">
        <v>2</v>
      </c>
      <c r="K14" s="74">
        <v>12</v>
      </c>
      <c r="L14" s="119">
        <v>69.400000000000006</v>
      </c>
      <c r="M14" s="117">
        <v>1454.8324138941894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5.128205128205128E-2</v>
      </c>
      <c r="E15" s="27" t="s">
        <v>81</v>
      </c>
      <c r="F15" s="24" t="s">
        <v>36</v>
      </c>
      <c r="G15" s="12">
        <v>4</v>
      </c>
      <c r="H15" s="88">
        <f>IF(B$20=0,0,G15/B$20)</f>
        <v>3.8834951456310676E-2</v>
      </c>
      <c r="I15" s="58">
        <v>5</v>
      </c>
      <c r="K15" s="74">
        <v>13</v>
      </c>
      <c r="L15" s="119">
        <v>35.000000000000007</v>
      </c>
      <c r="M15" s="117">
        <v>1449.5174194108242</v>
      </c>
      <c r="O15" s="73" t="s">
        <v>195</v>
      </c>
      <c r="P15" s="82">
        <f>IF(Q15=0,0,R15/Q15)</f>
        <v>47.400000000000006</v>
      </c>
      <c r="Q15" s="76">
        <v>2</v>
      </c>
      <c r="R15" s="67">
        <v>94.800000000000011</v>
      </c>
    </row>
    <row r="16" spans="1:18" x14ac:dyDescent="0.4">
      <c r="A16" s="22" t="s">
        <v>121</v>
      </c>
      <c r="B16" s="15">
        <v>90</v>
      </c>
      <c r="C16" s="10">
        <f>IF(B$3=0,0,B16/B$3)</f>
        <v>0.26470588235294118</v>
      </c>
      <c r="E16" s="27" t="s">
        <v>79</v>
      </c>
      <c r="F16" s="24" t="s">
        <v>34</v>
      </c>
      <c r="G16" s="12">
        <v>3</v>
      </c>
      <c r="H16" s="88">
        <f>IF(B$20=0,0,G16/B$20)</f>
        <v>2.9126213592233011E-2</v>
      </c>
      <c r="I16" s="58">
        <v>2</v>
      </c>
      <c r="K16" s="74">
        <v>14</v>
      </c>
      <c r="L16" s="119">
        <v>42.800000000000004</v>
      </c>
      <c r="M16" s="117">
        <v>1451.8303148943594</v>
      </c>
      <c r="O16" s="74" t="s">
        <v>216</v>
      </c>
      <c r="P16" s="83">
        <f>IF(Q16=0,0,R16/Q16)</f>
        <v>35.5</v>
      </c>
      <c r="Q16" s="77">
        <v>1</v>
      </c>
      <c r="R16" s="68">
        <v>35.5</v>
      </c>
    </row>
    <row r="17" spans="1:18" x14ac:dyDescent="0.4">
      <c r="A17" s="19" t="s">
        <v>118</v>
      </c>
      <c r="B17" s="12">
        <v>103</v>
      </c>
      <c r="C17" s="6">
        <f>IF(B$3=0,0,B17/B$3)</f>
        <v>0.30294117647058821</v>
      </c>
      <c r="E17" s="27" t="s">
        <v>86</v>
      </c>
      <c r="F17" s="24" t="s">
        <v>41</v>
      </c>
      <c r="G17" s="12">
        <v>2</v>
      </c>
      <c r="H17" s="88">
        <f>IF(B$20=0,0,G17/B$20)</f>
        <v>1.9417475728155338E-2</v>
      </c>
      <c r="I17" s="58">
        <v>8</v>
      </c>
      <c r="K17" s="74">
        <v>15</v>
      </c>
      <c r="L17" s="119">
        <v>60.900000000000006</v>
      </c>
      <c r="M17" s="117">
        <v>1455.9833330049933</v>
      </c>
      <c r="O17" s="74" t="s">
        <v>190</v>
      </c>
      <c r="P17" s="83">
        <f>IF(Q17=0,0,R17/Q17)</f>
        <v>32.266666666666673</v>
      </c>
      <c r="Q17" s="77">
        <v>3</v>
      </c>
      <c r="R17" s="68">
        <v>96.800000000000011</v>
      </c>
    </row>
    <row r="18" spans="1:18" x14ac:dyDescent="0.4">
      <c r="A18" s="18" t="s">
        <v>123</v>
      </c>
      <c r="B18" s="11">
        <f>B24</f>
        <v>42</v>
      </c>
      <c r="C18" s="5">
        <f>IF(B$16=0,0,B18/B$16)</f>
        <v>0.46666666666666667</v>
      </c>
      <c r="E18" s="27" t="s">
        <v>91</v>
      </c>
      <c r="F18" s="24" t="s">
        <v>46</v>
      </c>
      <c r="G18" s="12">
        <v>2</v>
      </c>
      <c r="H18" s="88">
        <f>IF(B$20=0,0,G18/B$20)</f>
        <v>1.9417475728155338E-2</v>
      </c>
      <c r="I18" s="58">
        <v>3</v>
      </c>
      <c r="K18" s="74">
        <v>16</v>
      </c>
      <c r="L18" s="119">
        <v>38.600000000000009</v>
      </c>
      <c r="M18" s="117">
        <v>1453.0914330069634</v>
      </c>
      <c r="O18" s="74" t="s">
        <v>211</v>
      </c>
      <c r="P18" s="83">
        <f>IF(Q18=0,0,R18/Q18)</f>
        <v>14.125</v>
      </c>
      <c r="Q18" s="77">
        <v>8</v>
      </c>
      <c r="R18" s="68">
        <v>113</v>
      </c>
    </row>
    <row r="19" spans="1:18" x14ac:dyDescent="0.4">
      <c r="A19" s="18" t="s">
        <v>124</v>
      </c>
      <c r="B19" s="11">
        <f>B25</f>
        <v>42</v>
      </c>
      <c r="C19" s="5">
        <f>IF(B$17=0,0,B19/B$17)</f>
        <v>0.40776699029126212</v>
      </c>
      <c r="E19" s="27" t="s">
        <v>88</v>
      </c>
      <c r="F19" s="24" t="s">
        <v>43</v>
      </c>
      <c r="G19" s="12">
        <v>1</v>
      </c>
      <c r="H19" s="88">
        <f>IF(B$20=0,0,G19/B$20)</f>
        <v>9.7087378640776691E-3</v>
      </c>
      <c r="I19" s="58">
        <v>2</v>
      </c>
      <c r="K19" s="74">
        <v>17</v>
      </c>
      <c r="L19" s="119">
        <v>7.6000000000000085</v>
      </c>
      <c r="M19" s="117">
        <v>1448.4108844089217</v>
      </c>
      <c r="O19" s="74" t="s">
        <v>163</v>
      </c>
      <c r="P19" s="83">
        <f>IF(Q19=0,0,R19/Q19)</f>
        <v>10.833333333333336</v>
      </c>
      <c r="Q19" s="77">
        <v>12</v>
      </c>
      <c r="R19" s="68">
        <v>130.00000000000003</v>
      </c>
    </row>
    <row r="20" spans="1:18" x14ac:dyDescent="0.4">
      <c r="A20" s="18" t="s">
        <v>10</v>
      </c>
      <c r="B20" s="11">
        <f>B23+B22</f>
        <v>103</v>
      </c>
      <c r="C20" s="5">
        <f>IF(B$3=0,0,B20/B$3)</f>
        <v>0.30294117647058821</v>
      </c>
      <c r="E20" s="27" t="s">
        <v>93</v>
      </c>
      <c r="F20" s="24" t="s">
        <v>48</v>
      </c>
      <c r="G20" s="12">
        <v>1</v>
      </c>
      <c r="H20" s="88">
        <f>IF(B$20=0,0,G20/B$20)</f>
        <v>9.7087378640776691E-3</v>
      </c>
      <c r="I20" s="58">
        <v>1</v>
      </c>
      <c r="K20" s="74">
        <v>18</v>
      </c>
      <c r="L20" s="119">
        <v>15.100000000000009</v>
      </c>
      <c r="M20" s="117">
        <v>1450.6884191024681</v>
      </c>
      <c r="O20" s="74" t="s">
        <v>126</v>
      </c>
      <c r="P20" s="83">
        <f>IF(Q20=0,0,R20/Q20)</f>
        <v>3.4499999999999993</v>
      </c>
      <c r="Q20" s="77">
        <v>34</v>
      </c>
      <c r="R20" s="68">
        <v>117.29999999999998</v>
      </c>
    </row>
    <row r="21" spans="1:18" x14ac:dyDescent="0.4">
      <c r="A21" s="19" t="s">
        <v>13</v>
      </c>
      <c r="B21" s="12">
        <v>59</v>
      </c>
      <c r="C21" s="6">
        <f>IF(B$3=0,0,B21/B$3)</f>
        <v>0.17352941176470588</v>
      </c>
      <c r="E21" s="27" t="s">
        <v>106</v>
      </c>
      <c r="F21" s="24" t="s">
        <v>113</v>
      </c>
      <c r="G21" s="12">
        <v>1</v>
      </c>
      <c r="H21" s="88">
        <f>IF(B$20=0,0,G21/B$20)</f>
        <v>9.7087378640776691E-3</v>
      </c>
      <c r="I21" s="58">
        <v>1</v>
      </c>
      <c r="K21" s="74">
        <v>19</v>
      </c>
      <c r="L21" s="119">
        <v>42.400000000000006</v>
      </c>
      <c r="M21" s="117">
        <v>1456.6902885878533</v>
      </c>
      <c r="O21" s="74" t="s">
        <v>192</v>
      </c>
      <c r="P21" s="83">
        <f>IF(Q21=0,0,R21/Q21)</f>
        <v>-23.666666666666671</v>
      </c>
      <c r="Q21" s="77">
        <v>18</v>
      </c>
      <c r="R21" s="68">
        <v>-426.00000000000006</v>
      </c>
    </row>
    <row r="22" spans="1:18" x14ac:dyDescent="0.4">
      <c r="A22" s="19" t="s">
        <v>12</v>
      </c>
      <c r="B22" s="12">
        <v>48</v>
      </c>
      <c r="C22" s="6">
        <f>IF(B$20=0,0,B22/B$20)</f>
        <v>0.46601941747572817</v>
      </c>
      <c r="E22" s="27" t="s">
        <v>73</v>
      </c>
      <c r="F22" s="24" t="s">
        <v>28</v>
      </c>
      <c r="G22" s="12">
        <v>0</v>
      </c>
      <c r="H22" s="88">
        <f>IF(B$20=0,0,G22/B$20)</f>
        <v>0</v>
      </c>
      <c r="I22" s="58">
        <v>6</v>
      </c>
      <c r="K22" s="74">
        <v>20</v>
      </c>
      <c r="L22" s="119">
        <v>81.5</v>
      </c>
      <c r="M22" s="117">
        <v>1464.7801468563262</v>
      </c>
    </row>
    <row r="23" spans="1:18" x14ac:dyDescent="0.4">
      <c r="A23" s="19" t="s">
        <v>11</v>
      </c>
      <c r="B23" s="12">
        <v>55</v>
      </c>
      <c r="C23" s="6">
        <f>IF(B$20=0,0,B23/B$20)</f>
        <v>0.53398058252427183</v>
      </c>
      <c r="E23" s="27" t="s">
        <v>74</v>
      </c>
      <c r="F23" s="24" t="s">
        <v>29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15.099999999999994</v>
      </c>
      <c r="M23" s="117">
        <v>1453.7114659751883</v>
      </c>
    </row>
    <row r="24" spans="1:18" x14ac:dyDescent="0.4">
      <c r="A24" s="19" t="s">
        <v>183</v>
      </c>
      <c r="B24" s="12">
        <v>42</v>
      </c>
      <c r="C24" s="6">
        <f>IF(B$20=0,0,B24/B$20)</f>
        <v>0.40776699029126212</v>
      </c>
      <c r="E24" s="27" t="s">
        <v>75</v>
      </c>
      <c r="F24" s="24" t="s">
        <v>30</v>
      </c>
      <c r="G24" s="12">
        <v>0</v>
      </c>
      <c r="H24" s="88">
        <f>IF(B$20=0,0,G24/B$20)</f>
        <v>0</v>
      </c>
      <c r="I24" s="58">
        <v>5</v>
      </c>
      <c r="K24" s="74">
        <v>22</v>
      </c>
      <c r="L24" s="119">
        <v>17.999999999999993</v>
      </c>
      <c r="M24" s="117">
        <v>1455.1831971793372</v>
      </c>
    </row>
    <row r="25" spans="1:18" x14ac:dyDescent="0.4">
      <c r="A25" s="19" t="s">
        <v>181</v>
      </c>
      <c r="B25" s="12">
        <v>42</v>
      </c>
      <c r="C25" s="6">
        <f>IF(B$20=0,0,B25/B$20)</f>
        <v>0.40776699029126212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46.199999999999989</v>
      </c>
      <c r="M25" s="117">
        <v>1461.2000979962611</v>
      </c>
    </row>
    <row r="26" spans="1:18" x14ac:dyDescent="0.4">
      <c r="A26" s="19" t="s">
        <v>182</v>
      </c>
      <c r="B26" s="12">
        <v>19</v>
      </c>
      <c r="C26" s="6">
        <f>IF(B$20=0,0,B26/B$20)</f>
        <v>0.18446601941747573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3</v>
      </c>
      <c r="K26" s="74">
        <v>24</v>
      </c>
      <c r="L26" s="119">
        <v>16.79999999999999</v>
      </c>
      <c r="M26" s="117">
        <v>1456.9028974082835</v>
      </c>
    </row>
    <row r="27" spans="1:18" x14ac:dyDescent="0.4">
      <c r="A27" s="19" t="s">
        <v>5</v>
      </c>
      <c r="B27" s="16">
        <f>IF(B$20=0,0,C27/B$20)</f>
        <v>7652.4271844660198</v>
      </c>
      <c r="C27" s="8">
        <v>788200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60.699999999999989</v>
      </c>
      <c r="M27" s="117">
        <v>1465.8254800238337</v>
      </c>
    </row>
    <row r="28" spans="1:18" x14ac:dyDescent="0.4">
      <c r="A28" s="20" t="s">
        <v>165</v>
      </c>
      <c r="B28" s="95">
        <f>IF($B$20-B$19=0,0,C28/($B$20-B$19))</f>
        <v>9288.5245901639337</v>
      </c>
      <c r="C28" s="96">
        <v>566600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25.599999999999987</v>
      </c>
      <c r="M28" s="117">
        <v>1460.4745271436907</v>
      </c>
    </row>
    <row r="29" spans="1:18" x14ac:dyDescent="0.4">
      <c r="A29" s="20" t="s">
        <v>166</v>
      </c>
      <c r="B29" s="95">
        <f>IF(B$19=0,0,C29/B$19)</f>
        <v>5276.1904761904761</v>
      </c>
      <c r="C29" s="96">
        <v>221600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17.199999999999989</v>
      </c>
      <c r="M29" s="117">
        <v>1459.8536799808285</v>
      </c>
    </row>
    <row r="30" spans="1:18" x14ac:dyDescent="0.4">
      <c r="A30" s="20" t="s">
        <v>164</v>
      </c>
      <c r="B30" s="95">
        <f>IF(B$21=0,0,C30/B$21)</f>
        <v>-7798.3050847457625</v>
      </c>
      <c r="C30" s="96">
        <v>-460100</v>
      </c>
      <c r="E30" s="27" t="s">
        <v>85</v>
      </c>
      <c r="F30" s="24" t="s">
        <v>40</v>
      </c>
      <c r="G30" s="12">
        <v>0</v>
      </c>
      <c r="H30" s="88">
        <f>IF(B$20=0,0,G30/B$20)</f>
        <v>0</v>
      </c>
      <c r="I30" s="58">
        <v>5</v>
      </c>
      <c r="K30" s="74">
        <v>28</v>
      </c>
      <c r="L30" s="119">
        <v>61.199999999999989</v>
      </c>
      <c r="M30" s="117">
        <v>1468.6685579009436</v>
      </c>
    </row>
    <row r="31" spans="1:18" x14ac:dyDescent="0.4">
      <c r="A31" s="19" t="s">
        <v>157</v>
      </c>
      <c r="B31" s="12">
        <v>4</v>
      </c>
      <c r="C31" s="90">
        <v>0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36.699999999999989</v>
      </c>
      <c r="M31" s="117">
        <v>1465.0825465535379</v>
      </c>
    </row>
    <row r="32" spans="1:18" x14ac:dyDescent="0.4">
      <c r="A32" s="19" t="s">
        <v>158</v>
      </c>
      <c r="B32" s="12">
        <v>21</v>
      </c>
      <c r="C32" s="90">
        <v>19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3</v>
      </c>
      <c r="K32" s="74">
        <v>30</v>
      </c>
      <c r="L32" s="119">
        <v>11.199999999999989</v>
      </c>
      <c r="M32" s="117">
        <v>1461.3380512742167</v>
      </c>
    </row>
    <row r="33" spans="1:13" x14ac:dyDescent="0.4">
      <c r="A33" s="54" t="s">
        <v>136</v>
      </c>
      <c r="B33" s="127">
        <v>7</v>
      </c>
      <c r="C33" s="128"/>
      <c r="E33" s="27" t="s">
        <v>92</v>
      </c>
      <c r="F33" s="24" t="s">
        <v>47</v>
      </c>
      <c r="G33" s="12">
        <v>0</v>
      </c>
      <c r="H33" s="88">
        <f>IF(B$20=0,0,G33/B$20)</f>
        <v>0</v>
      </c>
      <c r="I33" s="58">
        <v>4</v>
      </c>
      <c r="K33" s="74">
        <v>31</v>
      </c>
      <c r="L33" s="119">
        <v>13.599999999999989</v>
      </c>
      <c r="M33" s="117">
        <v>1462.7040229665713</v>
      </c>
    </row>
    <row r="34" spans="1:13" x14ac:dyDescent="0.4">
      <c r="A34" s="22" t="s">
        <v>180</v>
      </c>
      <c r="B34" s="129">
        <v>89900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-9.3000000000000096</v>
      </c>
      <c r="M34" s="117">
        <v>1459.5077988287719</v>
      </c>
    </row>
    <row r="35" spans="1:13" x14ac:dyDescent="0.4">
      <c r="A35" s="21" t="s">
        <v>137</v>
      </c>
      <c r="B35" s="29">
        <v>1</v>
      </c>
      <c r="C35" s="9">
        <f>IF(B$3=0,0,B35/B$3)</f>
        <v>2.9411764705882353E-3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8.3999999999999897</v>
      </c>
      <c r="M35" s="117">
        <v>1463.4227520357992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-28.600000000000009</v>
      </c>
      <c r="M36" s="117">
        <v>1457.6782155235844</v>
      </c>
    </row>
    <row r="37" spans="1:13" x14ac:dyDescent="0.4">
      <c r="A37" s="54" t="s">
        <v>171</v>
      </c>
      <c r="B37" s="123">
        <v>13</v>
      </c>
      <c r="C37" s="98">
        <f t="shared" ref="C37:C49" si="2">IF(B$20=0,0,B37/B$20)</f>
        <v>0.12621359223300971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-19.900000000000009</v>
      </c>
      <c r="M37" s="117">
        <v>1460.1941462304428</v>
      </c>
    </row>
    <row r="38" spans="1:13" x14ac:dyDescent="0.4">
      <c r="A38" s="19" t="s">
        <v>167</v>
      </c>
      <c r="B38" s="12">
        <v>24</v>
      </c>
      <c r="C38" s="6">
        <f t="shared" si="2"/>
        <v>0.23300970873786409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-72.7</v>
      </c>
      <c r="M38" s="117">
        <v>1451.5589813530601</v>
      </c>
    </row>
    <row r="39" spans="1:13" x14ac:dyDescent="0.4">
      <c r="A39" s="19" t="s">
        <v>168</v>
      </c>
      <c r="B39" s="124">
        <v>21</v>
      </c>
      <c r="C39" s="6">
        <f t="shared" si="2"/>
        <v>0.20388349514563106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-7.7999999999999972</v>
      </c>
      <c r="M39" s="117">
        <v>1464.0596274649417</v>
      </c>
    </row>
    <row r="40" spans="1:13" x14ac:dyDescent="0.4">
      <c r="A40" s="19" t="s">
        <v>169</v>
      </c>
      <c r="B40" s="124">
        <v>19</v>
      </c>
      <c r="C40" s="6">
        <f t="shared" si="2"/>
        <v>0.18446601941747573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21.200000000000003</v>
      </c>
      <c r="M40" s="117">
        <v>1469.2492697001521</v>
      </c>
    </row>
    <row r="41" spans="1:13" x14ac:dyDescent="0.4">
      <c r="A41" s="19" t="s">
        <v>170</v>
      </c>
      <c r="B41" s="124">
        <v>5</v>
      </c>
      <c r="C41" s="6">
        <f t="shared" si="2"/>
        <v>4.8543689320388349E-2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53.800000000000004</v>
      </c>
      <c r="M41" s="117">
        <v>1475.0557740819513</v>
      </c>
    </row>
    <row r="42" spans="1:13" x14ac:dyDescent="0.4">
      <c r="A42" s="19" t="s">
        <v>172</v>
      </c>
      <c r="B42" s="124">
        <v>4</v>
      </c>
      <c r="C42" s="6">
        <f t="shared" si="2"/>
        <v>3.8834951456310676E-2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</row>
    <row r="43" spans="1:13" x14ac:dyDescent="0.4">
      <c r="A43" s="19" t="s">
        <v>173</v>
      </c>
      <c r="B43" s="124">
        <v>5</v>
      </c>
      <c r="C43" s="6">
        <f t="shared" si="2"/>
        <v>4.8543689320388349E-2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13" x14ac:dyDescent="0.4">
      <c r="A44" s="19" t="s">
        <v>174</v>
      </c>
      <c r="B44" s="124">
        <v>2</v>
      </c>
      <c r="C44" s="6">
        <f t="shared" si="2"/>
        <v>1.9417475728155338E-2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13" x14ac:dyDescent="0.4">
      <c r="A45" s="19" t="s">
        <v>175</v>
      </c>
      <c r="B45" s="124">
        <v>4</v>
      </c>
      <c r="C45" s="6">
        <f t="shared" si="2"/>
        <v>3.8834951456310676E-2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13" x14ac:dyDescent="0.4">
      <c r="A46" s="19" t="s">
        <v>176</v>
      </c>
      <c r="B46" s="124">
        <v>4</v>
      </c>
      <c r="C46" s="6">
        <f t="shared" si="2"/>
        <v>3.8834951456310676E-2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13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13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2</v>
      </c>
      <c r="C49" s="9">
        <f t="shared" si="2"/>
        <v>1.9417475728155338E-2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1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5F69E-8E04-46A9-ADD8-8FD9C3934367}">
  <sheetPr codeName="Sheet1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190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23</v>
      </c>
      <c r="C2" s="134"/>
      <c r="E2" s="26" t="s">
        <v>66</v>
      </c>
      <c r="F2" s="23" t="s">
        <v>22</v>
      </c>
      <c r="G2" s="11">
        <v>46</v>
      </c>
      <c r="H2" s="87">
        <f>IF(B$20=0,0,G2/B$20)</f>
        <v>0.93877551020408168</v>
      </c>
      <c r="I2" s="57">
        <v>3</v>
      </c>
      <c r="K2" s="73">
        <v>0</v>
      </c>
      <c r="L2" s="118">
        <v>0</v>
      </c>
      <c r="M2" s="116">
        <v>1524.3778689305989</v>
      </c>
      <c r="O2" s="73" t="s">
        <v>128</v>
      </c>
      <c r="P2" s="79">
        <f t="shared" ref="P2:P7" si="0">IF(Q2=0,0,R2/Q2)</f>
        <v>108.69565217391305</v>
      </c>
      <c r="Q2" s="76">
        <v>23</v>
      </c>
      <c r="R2" s="63">
        <v>2500</v>
      </c>
    </row>
    <row r="3" spans="1:18" x14ac:dyDescent="0.4">
      <c r="A3" s="19" t="s">
        <v>8</v>
      </c>
      <c r="B3" s="135">
        <v>188</v>
      </c>
      <c r="C3" s="136"/>
      <c r="E3" s="27" t="s">
        <v>72</v>
      </c>
      <c r="F3" s="24" t="s">
        <v>27</v>
      </c>
      <c r="G3" s="12">
        <v>31</v>
      </c>
      <c r="H3" s="88">
        <f>IF(B$20=0,0,G3/B$20)</f>
        <v>0.63265306122448983</v>
      </c>
      <c r="I3" s="58">
        <v>4</v>
      </c>
      <c r="K3" s="74">
        <v>1</v>
      </c>
      <c r="L3" s="119">
        <v>-33.6</v>
      </c>
      <c r="M3" s="117">
        <v>1518.8856017170153</v>
      </c>
      <c r="O3" s="74" t="s">
        <v>129</v>
      </c>
      <c r="P3" s="80">
        <f t="shared" si="0"/>
        <v>634.78260869565213</v>
      </c>
      <c r="Q3" s="77">
        <v>23</v>
      </c>
      <c r="R3" s="64">
        <v>14600</v>
      </c>
    </row>
    <row r="4" spans="1:18" x14ac:dyDescent="0.4">
      <c r="A4" s="19" t="s">
        <v>6</v>
      </c>
      <c r="B4" s="137">
        <v>27.799999999999976</v>
      </c>
      <c r="C4" s="138"/>
      <c r="E4" s="27" t="s">
        <v>64</v>
      </c>
      <c r="F4" s="24" t="s">
        <v>20</v>
      </c>
      <c r="G4" s="12">
        <v>25</v>
      </c>
      <c r="H4" s="88">
        <f>IF(B$20=0,0,G4/B$20)</f>
        <v>0.51020408163265307</v>
      </c>
      <c r="I4" s="58">
        <v>2</v>
      </c>
      <c r="K4" s="74">
        <v>2</v>
      </c>
      <c r="L4" s="119">
        <v>-36.9</v>
      </c>
      <c r="M4" s="117">
        <v>1518.9042881067132</v>
      </c>
      <c r="O4" s="74" t="s">
        <v>130</v>
      </c>
      <c r="P4" s="80">
        <f t="shared" si="0"/>
        <v>377.27272727272725</v>
      </c>
      <c r="Q4" s="77">
        <v>22</v>
      </c>
      <c r="R4" s="64">
        <v>8300</v>
      </c>
    </row>
    <row r="5" spans="1:18" x14ac:dyDescent="0.4">
      <c r="A5" s="19" t="s">
        <v>7</v>
      </c>
      <c r="B5" s="125">
        <f>IF(B$2=0,0,B$4/B$2)</f>
        <v>1.2086956521739121</v>
      </c>
      <c r="C5" s="126"/>
      <c r="E5" s="27" t="s">
        <v>159</v>
      </c>
      <c r="F5" s="24" t="s">
        <v>160</v>
      </c>
      <c r="G5" s="12">
        <v>22</v>
      </c>
      <c r="H5" s="88">
        <f>IF(B$20=0,0,G5/B$20)</f>
        <v>0.44897959183673469</v>
      </c>
      <c r="I5" s="58">
        <v>3</v>
      </c>
      <c r="K5" s="74">
        <v>3</v>
      </c>
      <c r="L5" s="119">
        <v>-40.4</v>
      </c>
      <c r="M5" s="117">
        <v>1518.8868623780729</v>
      </c>
      <c r="O5" s="74" t="s">
        <v>131</v>
      </c>
      <c r="P5" s="80">
        <f t="shared" si="0"/>
        <v>-2180</v>
      </c>
      <c r="Q5" s="77">
        <v>20</v>
      </c>
      <c r="R5" s="64">
        <v>-43600</v>
      </c>
    </row>
    <row r="6" spans="1:18" x14ac:dyDescent="0.4">
      <c r="A6" s="19" t="s">
        <v>196</v>
      </c>
      <c r="B6" s="129">
        <v>1539.8552995440607</v>
      </c>
      <c r="C6" s="130"/>
      <c r="E6" s="27" t="s">
        <v>67</v>
      </c>
      <c r="F6" s="24" t="s">
        <v>23</v>
      </c>
      <c r="G6" s="12">
        <v>13</v>
      </c>
      <c r="H6" s="88">
        <f>IF(B$20=0,0,G6/B$20)</f>
        <v>0.26530612244897961</v>
      </c>
      <c r="I6" s="58">
        <v>3</v>
      </c>
      <c r="K6" s="74">
        <v>4</v>
      </c>
      <c r="L6" s="119">
        <v>-36.799999999999997</v>
      </c>
      <c r="M6" s="117">
        <v>1520.1595412038046</v>
      </c>
      <c r="O6" s="74" t="s">
        <v>132</v>
      </c>
      <c r="P6" s="80">
        <f t="shared" si="0"/>
        <v>2289.4736842105262</v>
      </c>
      <c r="Q6" s="77">
        <v>19</v>
      </c>
      <c r="R6" s="64">
        <v>43500</v>
      </c>
    </row>
    <row r="7" spans="1:18" x14ac:dyDescent="0.4">
      <c r="A7" s="19" t="s">
        <v>1</v>
      </c>
      <c r="B7" s="139">
        <f>IF(B$2=0,0,(B$8*1+B$9*2+B$10*3)/B$2)</f>
        <v>1.9130434782608696</v>
      </c>
      <c r="C7" s="140"/>
      <c r="E7" s="27" t="s">
        <v>65</v>
      </c>
      <c r="F7" s="24" t="s">
        <v>21</v>
      </c>
      <c r="G7" s="12">
        <v>10</v>
      </c>
      <c r="H7" s="88">
        <f>IF(B$20=0,0,G7/B$20)</f>
        <v>0.20408163265306123</v>
      </c>
      <c r="I7" s="58">
        <v>1</v>
      </c>
      <c r="K7" s="74">
        <v>5</v>
      </c>
      <c r="L7" s="119">
        <v>-73.900000000000006</v>
      </c>
      <c r="M7" s="117">
        <v>1513.3425839565818</v>
      </c>
      <c r="O7" s="75" t="s">
        <v>133</v>
      </c>
      <c r="P7" s="81">
        <f t="shared" si="0"/>
        <v>-343.75</v>
      </c>
      <c r="Q7" s="78">
        <v>16</v>
      </c>
      <c r="R7" s="65">
        <v>-5500</v>
      </c>
    </row>
    <row r="8" spans="1:18" x14ac:dyDescent="0.4">
      <c r="A8" s="19" t="s">
        <v>2</v>
      </c>
      <c r="B8" s="12">
        <v>6</v>
      </c>
      <c r="C8" s="6">
        <f t="shared" ref="C8:C15" si="1">IF(B$2=0,0,B8/B$2)</f>
        <v>0.2608695652173913</v>
      </c>
      <c r="E8" s="27" t="s">
        <v>68</v>
      </c>
      <c r="F8" s="24" t="s">
        <v>12</v>
      </c>
      <c r="G8" s="12">
        <v>9</v>
      </c>
      <c r="H8" s="88">
        <f>IF(B$20=0,0,G8/B$20)</f>
        <v>0.18367346938775511</v>
      </c>
      <c r="I8" s="58">
        <v>11</v>
      </c>
      <c r="K8" s="74">
        <v>6</v>
      </c>
      <c r="L8" s="119">
        <v>-85.5</v>
      </c>
      <c r="M8" s="117">
        <v>1511.1565284528424</v>
      </c>
      <c r="O8" s="107"/>
      <c r="P8" s="85"/>
      <c r="Q8" s="108"/>
      <c r="R8" s="70"/>
    </row>
    <row r="9" spans="1:18" x14ac:dyDescent="0.4">
      <c r="A9" s="19" t="s">
        <v>3</v>
      </c>
      <c r="B9" s="12">
        <v>13</v>
      </c>
      <c r="C9" s="6">
        <f t="shared" si="1"/>
        <v>0.56521739130434778</v>
      </c>
      <c r="E9" s="27" t="s">
        <v>89</v>
      </c>
      <c r="F9" s="24" t="s">
        <v>44</v>
      </c>
      <c r="G9" s="12">
        <v>6</v>
      </c>
      <c r="H9" s="88">
        <f>IF(B$20=0,0,G9/B$20)</f>
        <v>0.12244897959183673</v>
      </c>
      <c r="I9" s="58">
        <v>8</v>
      </c>
      <c r="K9" s="74">
        <v>7</v>
      </c>
      <c r="L9" s="119">
        <v>-77.8</v>
      </c>
      <c r="M9" s="117">
        <v>1513.2255892821254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4</v>
      </c>
      <c r="C10" s="7">
        <f t="shared" si="1"/>
        <v>0.17391304347826086</v>
      </c>
      <c r="E10" s="27" t="s">
        <v>69</v>
      </c>
      <c r="F10" s="24" t="s">
        <v>24</v>
      </c>
      <c r="G10" s="12">
        <v>5</v>
      </c>
      <c r="H10" s="88">
        <f>IF(B$20=0,0,G10/B$20)</f>
        <v>0.10204081632653061</v>
      </c>
      <c r="I10" s="58">
        <v>6</v>
      </c>
      <c r="K10" s="74">
        <v>8</v>
      </c>
      <c r="L10" s="119">
        <v>-22.799999999999997</v>
      </c>
      <c r="M10" s="117">
        <v>1523.7962357464326</v>
      </c>
      <c r="O10" s="73" t="s">
        <v>151</v>
      </c>
      <c r="P10" s="82">
        <f>IF(Q10=0,0,R10/Q10)</f>
        <v>-4.7444444444444436</v>
      </c>
      <c r="Q10" s="76">
        <v>9</v>
      </c>
      <c r="R10" s="67">
        <v>-42.699999999999996</v>
      </c>
    </row>
    <row r="11" spans="1:18" x14ac:dyDescent="0.4">
      <c r="A11" s="20" t="s">
        <v>184</v>
      </c>
      <c r="B11" s="109">
        <f>IF(B8=0,0,C11/B8)</f>
        <v>32.949999999999996</v>
      </c>
      <c r="C11" s="110">
        <v>197.7</v>
      </c>
      <c r="E11" s="27" t="s">
        <v>70</v>
      </c>
      <c r="F11" s="24" t="s">
        <v>25</v>
      </c>
      <c r="G11" s="12">
        <v>5</v>
      </c>
      <c r="H11" s="88">
        <f>IF(B$20=0,0,G11/B$20)</f>
        <v>0.10204081632653061</v>
      </c>
      <c r="I11" s="58">
        <v>5</v>
      </c>
      <c r="K11" s="74">
        <v>9</v>
      </c>
      <c r="L11" s="119">
        <v>-29.599999999999998</v>
      </c>
      <c r="M11" s="117">
        <v>1523.179458331954</v>
      </c>
      <c r="O11" s="74" t="s">
        <v>152</v>
      </c>
      <c r="P11" s="83">
        <f>IF(Q11=0,0,R11/Q11)</f>
        <v>1.5571428571428574</v>
      </c>
      <c r="Q11" s="77">
        <v>7</v>
      </c>
      <c r="R11" s="68">
        <v>10.900000000000002</v>
      </c>
    </row>
    <row r="12" spans="1:18" x14ac:dyDescent="0.4">
      <c r="A12" s="20" t="s">
        <v>185</v>
      </c>
      <c r="B12" s="109">
        <f>IF(B9=0,0,C12/B9)</f>
        <v>-1.5307692307692307</v>
      </c>
      <c r="C12" s="110">
        <v>-19.899999999999999</v>
      </c>
      <c r="E12" s="27" t="s">
        <v>86</v>
      </c>
      <c r="F12" s="24" t="s">
        <v>41</v>
      </c>
      <c r="G12" s="12">
        <v>3</v>
      </c>
      <c r="H12" s="88">
        <f>IF(B$20=0,0,G12/B$20)</f>
        <v>6.1224489795918366E-2</v>
      </c>
      <c r="I12" s="58">
        <v>5</v>
      </c>
      <c r="K12" s="74">
        <v>10</v>
      </c>
      <c r="L12" s="119">
        <v>-55</v>
      </c>
      <c r="M12" s="117">
        <v>1519.2183815819624</v>
      </c>
      <c r="O12" s="75" t="s">
        <v>153</v>
      </c>
      <c r="P12" s="84">
        <f>IF(Q12=0,0,R12/Q12)</f>
        <v>8.514285714285716</v>
      </c>
      <c r="Q12" s="78">
        <v>7</v>
      </c>
      <c r="R12" s="69">
        <v>59.600000000000009</v>
      </c>
    </row>
    <row r="13" spans="1:18" x14ac:dyDescent="0.4">
      <c r="A13" s="20" t="s">
        <v>186</v>
      </c>
      <c r="B13" s="109">
        <f>IF(B10=0,0,C13/B10)</f>
        <v>-37.5</v>
      </c>
      <c r="C13" s="110">
        <v>-150</v>
      </c>
      <c r="E13" s="27" t="s">
        <v>79</v>
      </c>
      <c r="F13" s="24" t="s">
        <v>34</v>
      </c>
      <c r="G13" s="12">
        <v>2</v>
      </c>
      <c r="H13" s="88">
        <f>IF(B$20=0,0,G13/B$20)</f>
        <v>4.0816326530612242E-2</v>
      </c>
      <c r="I13" s="58">
        <v>1</v>
      </c>
      <c r="K13" s="74">
        <v>11</v>
      </c>
      <c r="L13" s="119">
        <v>-108.9</v>
      </c>
      <c r="M13" s="117">
        <v>1509.7550712924706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-2.0269230769230782</v>
      </c>
      <c r="C14" s="126"/>
      <c r="E14" s="27" t="s">
        <v>81</v>
      </c>
      <c r="F14" s="24" t="s">
        <v>36</v>
      </c>
      <c r="G14" s="12">
        <v>2</v>
      </c>
      <c r="H14" s="88">
        <f>IF(B$20=0,0,G14/B$20)</f>
        <v>4.0816326530612242E-2</v>
      </c>
      <c r="I14" s="58">
        <v>4</v>
      </c>
      <c r="K14" s="74">
        <v>12</v>
      </c>
      <c r="L14" s="119">
        <v>-92.100000000000009</v>
      </c>
      <c r="M14" s="117">
        <v>1513.3025408647156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</v>
      </c>
      <c r="C15" s="9">
        <f t="shared" si="1"/>
        <v>4.3478260869565216E-2</v>
      </c>
      <c r="E15" s="27" t="s">
        <v>71</v>
      </c>
      <c r="F15" s="24" t="s">
        <v>26</v>
      </c>
      <c r="G15" s="12">
        <v>1</v>
      </c>
      <c r="H15" s="88">
        <f>IF(B$20=0,0,G15/B$20)</f>
        <v>2.0408163265306121E-2</v>
      </c>
      <c r="I15" s="58">
        <v>8</v>
      </c>
      <c r="K15" s="74">
        <v>13</v>
      </c>
      <c r="L15" s="119">
        <v>-93.500000000000014</v>
      </c>
      <c r="M15" s="117">
        <v>1513.7987256195274</v>
      </c>
      <c r="O15" s="73" t="s">
        <v>211</v>
      </c>
      <c r="P15" s="82">
        <f t="shared" ref="P15:P20" si="2">IF(Q15=0,0,R15/Q15)</f>
        <v>15.600000000000001</v>
      </c>
      <c r="Q15" s="76">
        <v>8</v>
      </c>
      <c r="R15" s="67">
        <v>124.80000000000001</v>
      </c>
    </row>
    <row r="16" spans="1:18" x14ac:dyDescent="0.4">
      <c r="A16" s="22" t="s">
        <v>121</v>
      </c>
      <c r="B16" s="15">
        <v>44</v>
      </c>
      <c r="C16" s="10">
        <f>IF(B$3=0,0,B16/B$3)</f>
        <v>0.23404255319148937</v>
      </c>
      <c r="E16" s="27" t="s">
        <v>83</v>
      </c>
      <c r="F16" s="24" t="s">
        <v>38</v>
      </c>
      <c r="G16" s="12">
        <v>1</v>
      </c>
      <c r="H16" s="88">
        <f>IF(B$20=0,0,G16/B$20)</f>
        <v>2.0408163265306121E-2</v>
      </c>
      <c r="I16" s="58">
        <v>7</v>
      </c>
      <c r="K16" s="74">
        <v>14</v>
      </c>
      <c r="L16" s="119">
        <v>-79.200000000000017</v>
      </c>
      <c r="M16" s="117">
        <v>1517.1299332658102</v>
      </c>
      <c r="O16" s="74" t="s">
        <v>192</v>
      </c>
      <c r="P16" s="83">
        <f t="shared" si="2"/>
        <v>11.511111111111113</v>
      </c>
      <c r="Q16" s="77">
        <v>9</v>
      </c>
      <c r="R16" s="68">
        <v>103.60000000000001</v>
      </c>
    </row>
    <row r="17" spans="1:18" x14ac:dyDescent="0.4">
      <c r="A17" s="19" t="s">
        <v>118</v>
      </c>
      <c r="B17" s="12">
        <v>39</v>
      </c>
      <c r="C17" s="6">
        <f>IF(B$3=0,0,B17/B$3)</f>
        <v>0.20744680851063829</v>
      </c>
      <c r="E17" s="27" t="s">
        <v>73</v>
      </c>
      <c r="F17" s="24" t="s">
        <v>28</v>
      </c>
      <c r="G17" s="12">
        <v>0</v>
      </c>
      <c r="H17" s="88">
        <f>IF(B$20=0,0,G17/B$20)</f>
        <v>0</v>
      </c>
      <c r="I17" s="58">
        <v>6</v>
      </c>
      <c r="K17" s="74">
        <v>15</v>
      </c>
      <c r="L17" s="119">
        <v>-44.200000000000017</v>
      </c>
      <c r="M17" s="117">
        <v>1524.1671536662154</v>
      </c>
      <c r="O17" s="74" t="s">
        <v>126</v>
      </c>
      <c r="P17" s="83">
        <f t="shared" si="2"/>
        <v>1.6277777777777771</v>
      </c>
      <c r="Q17" s="77">
        <v>18</v>
      </c>
      <c r="R17" s="68">
        <v>29.299999999999986</v>
      </c>
    </row>
    <row r="18" spans="1:18" x14ac:dyDescent="0.4">
      <c r="A18" s="18" t="s">
        <v>123</v>
      </c>
      <c r="B18" s="11">
        <f>B24</f>
        <v>25</v>
      </c>
      <c r="C18" s="5">
        <f>IF(B$16=0,0,B18/B$16)</f>
        <v>0.56818181818181823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1</v>
      </c>
      <c r="K18" s="74">
        <v>16</v>
      </c>
      <c r="L18" s="119">
        <v>-49.800000000000018</v>
      </c>
      <c r="M18" s="117">
        <v>1523.8481507442182</v>
      </c>
      <c r="O18" s="74" t="s">
        <v>163</v>
      </c>
      <c r="P18" s="83">
        <f t="shared" si="2"/>
        <v>-8.7333333333333325</v>
      </c>
      <c r="Q18" s="77">
        <v>6</v>
      </c>
      <c r="R18" s="68">
        <v>-52.4</v>
      </c>
    </row>
    <row r="19" spans="1:18" x14ac:dyDescent="0.4">
      <c r="A19" s="18" t="s">
        <v>124</v>
      </c>
      <c r="B19" s="11">
        <f>B25</f>
        <v>16</v>
      </c>
      <c r="C19" s="5">
        <f>IF(B$17=0,0,B19/B$17)</f>
        <v>0.41025641025641024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5</v>
      </c>
      <c r="K19" s="74">
        <v>17</v>
      </c>
      <c r="L19" s="119">
        <v>-47.800000000000018</v>
      </c>
      <c r="M19" s="117">
        <v>1524.9050618397528</v>
      </c>
      <c r="O19" s="74" t="s">
        <v>195</v>
      </c>
      <c r="P19" s="83">
        <f t="shared" si="2"/>
        <v>-12.55</v>
      </c>
      <c r="Q19" s="77">
        <v>2</v>
      </c>
      <c r="R19" s="68">
        <v>-25.1</v>
      </c>
    </row>
    <row r="20" spans="1:18" x14ac:dyDescent="0.4">
      <c r="A20" s="18" t="s">
        <v>10</v>
      </c>
      <c r="B20" s="11">
        <f>B23+B22</f>
        <v>49</v>
      </c>
      <c r="C20" s="5">
        <f>IF(B$3=0,0,B20/B$3)</f>
        <v>0.26063829787234044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1</v>
      </c>
      <c r="K20" s="74">
        <v>18</v>
      </c>
      <c r="L20" s="119">
        <v>-22.100000000000019</v>
      </c>
      <c r="M20" s="117">
        <v>1530.0056314687142</v>
      </c>
      <c r="O20" s="74" t="s">
        <v>189</v>
      </c>
      <c r="P20" s="83">
        <f t="shared" si="2"/>
        <v>-32.266666666666673</v>
      </c>
      <c r="Q20" s="77">
        <v>3</v>
      </c>
      <c r="R20" s="68">
        <v>-96.800000000000011</v>
      </c>
    </row>
    <row r="21" spans="1:18" x14ac:dyDescent="0.4">
      <c r="A21" s="19" t="s">
        <v>13</v>
      </c>
      <c r="B21" s="12">
        <v>19</v>
      </c>
      <c r="C21" s="6">
        <f>IF(B$3=0,0,B21/B$3)</f>
        <v>0.10106382978723404</v>
      </c>
      <c r="E21" s="27" t="s">
        <v>77</v>
      </c>
      <c r="F21" s="24" t="s">
        <v>32</v>
      </c>
      <c r="G21" s="12">
        <v>0</v>
      </c>
      <c r="H21" s="88">
        <f>IF(B$20=0,0,G21/B$20)</f>
        <v>0</v>
      </c>
      <c r="I21" s="58">
        <v>3</v>
      </c>
      <c r="K21" s="74">
        <v>19</v>
      </c>
      <c r="L21" s="119">
        <v>-9.6000000000000192</v>
      </c>
      <c r="M21" s="117">
        <v>1531.9675976799019</v>
      </c>
    </row>
    <row r="22" spans="1:18" x14ac:dyDescent="0.4">
      <c r="A22" s="19" t="s">
        <v>12</v>
      </c>
      <c r="B22" s="12">
        <v>12</v>
      </c>
      <c r="C22" s="6">
        <f>IF(B$20=0,0,B22/B$20)</f>
        <v>0.24489795918367346</v>
      </c>
      <c r="E22" s="27" t="s">
        <v>78</v>
      </c>
      <c r="F22" s="24" t="s">
        <v>33</v>
      </c>
      <c r="G22" s="12">
        <v>0</v>
      </c>
      <c r="H22" s="88">
        <f>IF(B$20=0,0,G22/B$20)</f>
        <v>0</v>
      </c>
      <c r="I22" s="58">
        <v>9</v>
      </c>
      <c r="K22" s="74">
        <v>20</v>
      </c>
      <c r="L22" s="119">
        <v>-19.40000000000002</v>
      </c>
      <c r="M22" s="117">
        <v>1530.8037920938225</v>
      </c>
    </row>
    <row r="23" spans="1:18" x14ac:dyDescent="0.4">
      <c r="A23" s="19" t="s">
        <v>11</v>
      </c>
      <c r="B23" s="12">
        <v>37</v>
      </c>
      <c r="C23" s="6">
        <f>IF(B$20=0,0,B23/B$20)</f>
        <v>0.75510204081632648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3</v>
      </c>
      <c r="K23" s="74">
        <v>21</v>
      </c>
      <c r="L23" s="119">
        <v>31.499999999999979</v>
      </c>
      <c r="M23" s="117">
        <v>1540.0509693412596</v>
      </c>
    </row>
    <row r="24" spans="1:18" x14ac:dyDescent="0.4">
      <c r="A24" s="19" t="s">
        <v>183</v>
      </c>
      <c r="B24" s="12">
        <v>25</v>
      </c>
      <c r="C24" s="6">
        <f>IF(B$20=0,0,B24/B$20)</f>
        <v>0.51020408163265307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  <c r="K24" s="74">
        <v>22</v>
      </c>
      <c r="L24" s="119">
        <v>33.299999999999976</v>
      </c>
      <c r="M24" s="117">
        <v>1540.560663525212</v>
      </c>
    </row>
    <row r="25" spans="1:18" x14ac:dyDescent="0.4">
      <c r="A25" s="19" t="s">
        <v>181</v>
      </c>
      <c r="B25" s="12">
        <v>16</v>
      </c>
      <c r="C25" s="6">
        <f>IF(B$20=0,0,B25/B$20)</f>
        <v>0.32653061224489793</v>
      </c>
      <c r="E25" s="27" t="s">
        <v>84</v>
      </c>
      <c r="F25" s="24" t="s">
        <v>39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27.799999999999976</v>
      </c>
      <c r="M25" s="117">
        <v>1539.8552995440607</v>
      </c>
    </row>
    <row r="26" spans="1:18" x14ac:dyDescent="0.4">
      <c r="A26" s="19" t="s">
        <v>182</v>
      </c>
      <c r="B26" s="12">
        <v>8</v>
      </c>
      <c r="C26" s="6">
        <f>IF(B$20=0,0,B26/B$20)</f>
        <v>0.16326530612244897</v>
      </c>
      <c r="E26" s="27" t="s">
        <v>85</v>
      </c>
      <c r="F26" s="24" t="s">
        <v>40</v>
      </c>
      <c r="G26" s="12">
        <v>0</v>
      </c>
      <c r="H26" s="88">
        <f>IF(B$20=0,0,G26/B$20)</f>
        <v>0</v>
      </c>
      <c r="I26" s="58">
        <v>5</v>
      </c>
    </row>
    <row r="27" spans="1:18" x14ac:dyDescent="0.4">
      <c r="A27" s="19" t="s">
        <v>5</v>
      </c>
      <c r="B27" s="16">
        <f>IF(B$20=0,0,C27/B$20)</f>
        <v>7989.7959183673465</v>
      </c>
      <c r="C27" s="8">
        <v>391500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7842.424242424242</v>
      </c>
      <c r="C28" s="96">
        <v>258800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5</v>
      </c>
    </row>
    <row r="29" spans="1:18" x14ac:dyDescent="0.4">
      <c r="A29" s="20" t="s">
        <v>166</v>
      </c>
      <c r="B29" s="95">
        <f>IF(B$19=0,0,C29/B$19)</f>
        <v>8293.75</v>
      </c>
      <c r="C29" s="96">
        <v>132700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">
      <c r="A30" s="20" t="s">
        <v>164</v>
      </c>
      <c r="B30" s="95">
        <f>IF(B$21=0,0,C30/B$21)</f>
        <v>-5489.4736842105267</v>
      </c>
      <c r="C30" s="96">
        <v>-104300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6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">
      <c r="A32" s="19" t="s">
        <v>158</v>
      </c>
      <c r="B32" s="12">
        <v>28</v>
      </c>
      <c r="C32" s="90">
        <v>7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">
      <c r="A33" s="54" t="s">
        <v>136</v>
      </c>
      <c r="B33" s="127">
        <v>7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29">
        <v>80000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1</v>
      </c>
      <c r="C37" s="98">
        <f t="shared" ref="C37:C49" si="3">IF(B$20=0,0,B37/B$20)</f>
        <v>2.0408163265306121E-2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9</v>
      </c>
      <c r="C38" s="6">
        <f t="shared" si="3"/>
        <v>0.18367346938775511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11</v>
      </c>
      <c r="C39" s="6">
        <f t="shared" si="3"/>
        <v>0.22448979591836735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15</v>
      </c>
      <c r="C40" s="6">
        <f t="shared" si="3"/>
        <v>0.30612244897959184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5</v>
      </c>
      <c r="C41" s="6">
        <f t="shared" si="3"/>
        <v>0.10204081632653061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4</v>
      </c>
      <c r="C42" s="6">
        <f t="shared" si="3"/>
        <v>8.1632653061224483E-2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3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3</v>
      </c>
      <c r="C44" s="6">
        <f t="shared" si="3"/>
        <v>6.1224489795918366E-2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1</v>
      </c>
      <c r="C45" s="6">
        <f t="shared" si="3"/>
        <v>2.0408163265306121E-2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3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FEDBD6-9010-44A7-ADB4-2926449E6B1D}">
  <sheetPr codeName="Sheet1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211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37</v>
      </c>
      <c r="C2" s="134"/>
      <c r="E2" s="26" t="s">
        <v>66</v>
      </c>
      <c r="F2" s="23" t="s">
        <v>22</v>
      </c>
      <c r="G2" s="11">
        <v>67</v>
      </c>
      <c r="H2" s="87">
        <f>IF(B$20=0,0,G2/B$20)</f>
        <v>0.72826086956521741</v>
      </c>
      <c r="I2" s="57">
        <v>9</v>
      </c>
      <c r="K2" s="73">
        <v>0</v>
      </c>
      <c r="L2" s="118">
        <v>0</v>
      </c>
      <c r="M2" s="116">
        <v>1488.8318648771276</v>
      </c>
      <c r="O2" s="73" t="s">
        <v>128</v>
      </c>
      <c r="P2" s="79">
        <f t="shared" ref="P2:P7" si="0">IF(Q2=0,0,R2/Q2)</f>
        <v>-8.1081081081081088</v>
      </c>
      <c r="Q2" s="76">
        <v>37</v>
      </c>
      <c r="R2" s="63">
        <v>-300</v>
      </c>
    </row>
    <row r="3" spans="1:18" x14ac:dyDescent="0.4">
      <c r="A3" s="19" t="s">
        <v>8</v>
      </c>
      <c r="B3" s="135">
        <v>309</v>
      </c>
      <c r="C3" s="136"/>
      <c r="E3" s="27" t="s">
        <v>72</v>
      </c>
      <c r="F3" s="24" t="s">
        <v>27</v>
      </c>
      <c r="G3" s="12">
        <v>53</v>
      </c>
      <c r="H3" s="88">
        <f>IF(B$20=0,0,G3/B$20)</f>
        <v>0.57608695652173914</v>
      </c>
      <c r="I3" s="58">
        <v>7</v>
      </c>
      <c r="K3" s="74">
        <v>1</v>
      </c>
      <c r="L3" s="119">
        <v>55.6</v>
      </c>
      <c r="M3" s="117">
        <v>1499.6088736878648</v>
      </c>
      <c r="O3" s="74" t="s">
        <v>129</v>
      </c>
      <c r="P3" s="80">
        <f t="shared" si="0"/>
        <v>1072.9729729729729</v>
      </c>
      <c r="Q3" s="77">
        <v>37</v>
      </c>
      <c r="R3" s="64">
        <v>39700</v>
      </c>
    </row>
    <row r="4" spans="1:18" x14ac:dyDescent="0.4">
      <c r="A4" s="19" t="s">
        <v>6</v>
      </c>
      <c r="B4" s="137">
        <v>17.09999999999998</v>
      </c>
      <c r="C4" s="138"/>
      <c r="E4" s="27" t="s">
        <v>64</v>
      </c>
      <c r="F4" s="24" t="s">
        <v>20</v>
      </c>
      <c r="G4" s="12">
        <v>37</v>
      </c>
      <c r="H4" s="88">
        <f>IF(B$20=0,0,G4/B$20)</f>
        <v>0.40217391304347827</v>
      </c>
      <c r="I4" s="58">
        <v>7</v>
      </c>
      <c r="K4" s="74">
        <v>2</v>
      </c>
      <c r="L4" s="119">
        <v>24.900000000000002</v>
      </c>
      <c r="M4" s="117">
        <v>1494.8112204457377</v>
      </c>
      <c r="O4" s="74" t="s">
        <v>130</v>
      </c>
      <c r="P4" s="80">
        <f t="shared" si="0"/>
        <v>1364.8648648648648</v>
      </c>
      <c r="Q4" s="77">
        <v>37</v>
      </c>
      <c r="R4" s="64">
        <v>50500</v>
      </c>
    </row>
    <row r="5" spans="1:18" x14ac:dyDescent="0.4">
      <c r="A5" s="19" t="s">
        <v>7</v>
      </c>
      <c r="B5" s="125">
        <f>IF(B$2=0,0,B$4/B$2)</f>
        <v>0.4621621621621616</v>
      </c>
      <c r="C5" s="126"/>
      <c r="E5" s="27" t="s">
        <v>159</v>
      </c>
      <c r="F5" s="24" t="s">
        <v>160</v>
      </c>
      <c r="G5" s="12">
        <v>26</v>
      </c>
      <c r="H5" s="88">
        <f>IF(B$20=0,0,G5/B$20)</f>
        <v>0.28260869565217389</v>
      </c>
      <c r="I5" s="58">
        <v>10</v>
      </c>
      <c r="K5" s="74">
        <v>3</v>
      </c>
      <c r="L5" s="119">
        <v>-20.599999999999998</v>
      </c>
      <c r="M5" s="117">
        <v>1487.3783531230633</v>
      </c>
      <c r="O5" s="74" t="s">
        <v>131</v>
      </c>
      <c r="P5" s="80">
        <f t="shared" si="0"/>
        <v>-885.29411764705878</v>
      </c>
      <c r="Q5" s="77">
        <v>34</v>
      </c>
      <c r="R5" s="64">
        <v>-30100</v>
      </c>
    </row>
    <row r="6" spans="1:18" x14ac:dyDescent="0.4">
      <c r="A6" s="19" t="s">
        <v>196</v>
      </c>
      <c r="B6" s="129">
        <v>1506.4237748633886</v>
      </c>
      <c r="C6" s="130"/>
      <c r="E6" s="27" t="s">
        <v>67</v>
      </c>
      <c r="F6" s="24" t="s">
        <v>23</v>
      </c>
      <c r="G6" s="12">
        <v>24</v>
      </c>
      <c r="H6" s="88">
        <f>IF(B$20=0,0,G6/B$20)</f>
        <v>0.2608695652173913</v>
      </c>
      <c r="I6" s="58">
        <v>4</v>
      </c>
      <c r="K6" s="74">
        <v>4</v>
      </c>
      <c r="L6" s="119">
        <v>-25</v>
      </c>
      <c r="M6" s="117">
        <v>1486.6380830043249</v>
      </c>
      <c r="O6" s="74" t="s">
        <v>132</v>
      </c>
      <c r="P6" s="80">
        <f t="shared" si="0"/>
        <v>-1010</v>
      </c>
      <c r="Q6" s="77">
        <v>30</v>
      </c>
      <c r="R6" s="64">
        <v>-30300</v>
      </c>
    </row>
    <row r="7" spans="1:18" x14ac:dyDescent="0.4">
      <c r="A7" s="19" t="s">
        <v>1</v>
      </c>
      <c r="B7" s="139">
        <f>IF(B$2=0,0,(B$8*1+B$9*2+B$10*3)/B$2)</f>
        <v>2</v>
      </c>
      <c r="C7" s="140"/>
      <c r="E7" s="27" t="s">
        <v>68</v>
      </c>
      <c r="F7" s="24" t="s">
        <v>12</v>
      </c>
      <c r="G7" s="12">
        <v>24</v>
      </c>
      <c r="H7" s="88">
        <f>IF(B$20=0,0,G7/B$20)</f>
        <v>0.2608695652173913</v>
      </c>
      <c r="I7" s="58">
        <v>8</v>
      </c>
      <c r="K7" s="74">
        <v>5</v>
      </c>
      <c r="L7" s="119">
        <v>-53</v>
      </c>
      <c r="M7" s="117">
        <v>1481.354254506299</v>
      </c>
      <c r="O7" s="75" t="s">
        <v>133</v>
      </c>
      <c r="P7" s="81">
        <f t="shared" si="0"/>
        <v>321.42857142857144</v>
      </c>
      <c r="Q7" s="78">
        <v>28</v>
      </c>
      <c r="R7" s="65">
        <v>9000</v>
      </c>
    </row>
    <row r="8" spans="1:18" x14ac:dyDescent="0.4">
      <c r="A8" s="19" t="s">
        <v>2</v>
      </c>
      <c r="B8" s="12">
        <v>13</v>
      </c>
      <c r="C8" s="6">
        <f t="shared" ref="C8:C15" si="1">IF(B$2=0,0,B8/B$2)</f>
        <v>0.35135135135135137</v>
      </c>
      <c r="E8" s="27" t="s">
        <v>89</v>
      </c>
      <c r="F8" s="24" t="s">
        <v>44</v>
      </c>
      <c r="G8" s="12">
        <v>17</v>
      </c>
      <c r="H8" s="88">
        <f>IF(B$20=0,0,G8/B$20)</f>
        <v>0.18478260869565216</v>
      </c>
      <c r="I8" s="58">
        <v>4</v>
      </c>
      <c r="K8" s="74">
        <v>6</v>
      </c>
      <c r="L8" s="119">
        <v>-32.799999999999997</v>
      </c>
      <c r="M8" s="117">
        <v>1485.3541289792611</v>
      </c>
      <c r="O8" s="107"/>
      <c r="P8" s="85"/>
      <c r="Q8" s="108"/>
      <c r="R8" s="70"/>
    </row>
    <row r="9" spans="1:18" x14ac:dyDescent="0.4">
      <c r="A9" s="19" t="s">
        <v>3</v>
      </c>
      <c r="B9" s="12">
        <v>11</v>
      </c>
      <c r="C9" s="6">
        <f t="shared" si="1"/>
        <v>0.29729729729729731</v>
      </c>
      <c r="E9" s="27" t="s">
        <v>69</v>
      </c>
      <c r="F9" s="24" t="s">
        <v>24</v>
      </c>
      <c r="G9" s="12">
        <v>11</v>
      </c>
      <c r="H9" s="88">
        <f>IF(B$20=0,0,G9/B$20)</f>
        <v>0.11956521739130435</v>
      </c>
      <c r="I9" s="58">
        <v>4</v>
      </c>
      <c r="K9" s="74">
        <v>7</v>
      </c>
      <c r="L9" s="119">
        <v>-22.199999999999996</v>
      </c>
      <c r="M9" s="117">
        <v>1487.6020042053856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13</v>
      </c>
      <c r="C10" s="7">
        <f t="shared" si="1"/>
        <v>0.35135135135135137</v>
      </c>
      <c r="E10" s="27" t="s">
        <v>71</v>
      </c>
      <c r="F10" s="24" t="s">
        <v>26</v>
      </c>
      <c r="G10" s="12">
        <v>7</v>
      </c>
      <c r="H10" s="88">
        <f>IF(B$20=0,0,G10/B$20)</f>
        <v>7.6086956521739135E-2</v>
      </c>
      <c r="I10" s="58">
        <v>2</v>
      </c>
      <c r="K10" s="74">
        <v>8</v>
      </c>
      <c r="L10" s="119">
        <v>0.30000000000000426</v>
      </c>
      <c r="M10" s="117">
        <v>1491.7683921801533</v>
      </c>
      <c r="O10" s="73" t="s">
        <v>151</v>
      </c>
      <c r="P10" s="82">
        <f>IF(Q10=0,0,R10/Q10)</f>
        <v>-8.2555555555555546</v>
      </c>
      <c r="Q10" s="76">
        <v>9</v>
      </c>
      <c r="R10" s="67">
        <v>-74.3</v>
      </c>
    </row>
    <row r="11" spans="1:18" x14ac:dyDescent="0.4">
      <c r="A11" s="20" t="s">
        <v>184</v>
      </c>
      <c r="B11" s="109">
        <f>IF(B8=0,0,C11/B8)</f>
        <v>31.938461538461539</v>
      </c>
      <c r="C11" s="110">
        <v>415.2</v>
      </c>
      <c r="E11" s="27" t="s">
        <v>86</v>
      </c>
      <c r="F11" s="24" t="s">
        <v>41</v>
      </c>
      <c r="G11" s="12">
        <v>7</v>
      </c>
      <c r="H11" s="88">
        <f>IF(B$20=0,0,G11/B$20)</f>
        <v>7.6086956521739135E-2</v>
      </c>
      <c r="I11" s="58">
        <v>2</v>
      </c>
      <c r="K11" s="74">
        <v>9</v>
      </c>
      <c r="L11" s="119">
        <v>20.500000000000004</v>
      </c>
      <c r="M11" s="117">
        <v>1495.4357818270723</v>
      </c>
      <c r="O11" s="74" t="s">
        <v>152</v>
      </c>
      <c r="P11" s="83">
        <f>IF(Q11=0,0,R11/Q11)</f>
        <v>0.78461538461538538</v>
      </c>
      <c r="Q11" s="77">
        <v>13</v>
      </c>
      <c r="R11" s="68">
        <v>10.20000000000001</v>
      </c>
    </row>
    <row r="12" spans="1:18" x14ac:dyDescent="0.4">
      <c r="A12" s="20" t="s">
        <v>185</v>
      </c>
      <c r="B12" s="109">
        <f>IF(B9=0,0,C12/B9)</f>
        <v>-1.5545454545454549</v>
      </c>
      <c r="C12" s="110">
        <v>-17.100000000000005</v>
      </c>
      <c r="E12" s="27" t="s">
        <v>83</v>
      </c>
      <c r="F12" s="24" t="s">
        <v>38</v>
      </c>
      <c r="G12" s="12">
        <v>6</v>
      </c>
      <c r="H12" s="88">
        <f>IF(B$20=0,0,G12/B$20)</f>
        <v>6.5217391304347824E-2</v>
      </c>
      <c r="I12" s="58">
        <v>3</v>
      </c>
      <c r="K12" s="74">
        <v>10</v>
      </c>
      <c r="L12" s="119">
        <v>6.9000000000000039</v>
      </c>
      <c r="M12" s="117">
        <v>1493.62116713611</v>
      </c>
      <c r="O12" s="75" t="s">
        <v>153</v>
      </c>
      <c r="P12" s="84">
        <f>IF(Q12=0,0,R12/Q12)</f>
        <v>5.4133333333333331</v>
      </c>
      <c r="Q12" s="78">
        <v>15</v>
      </c>
      <c r="R12" s="69">
        <v>81.2</v>
      </c>
    </row>
    <row r="13" spans="1:18" x14ac:dyDescent="0.4">
      <c r="A13" s="20" t="s">
        <v>186</v>
      </c>
      <c r="B13" s="109">
        <f>IF(B10=0,0,C13/B10)</f>
        <v>-29.307692307692314</v>
      </c>
      <c r="C13" s="110">
        <v>-381.00000000000006</v>
      </c>
      <c r="E13" s="27" t="s">
        <v>65</v>
      </c>
      <c r="F13" s="24" t="s">
        <v>21</v>
      </c>
      <c r="G13" s="12">
        <v>5</v>
      </c>
      <c r="H13" s="88">
        <f>IF(B$20=0,0,G13/B$20)</f>
        <v>5.434782608695652E-2</v>
      </c>
      <c r="I13" s="58">
        <v>9</v>
      </c>
      <c r="K13" s="74">
        <v>11</v>
      </c>
      <c r="L13" s="119">
        <v>-18.799999999999997</v>
      </c>
      <c r="M13" s="117">
        <v>1489.7534401332932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0.35874125874125679</v>
      </c>
      <c r="C14" s="126"/>
      <c r="E14" s="27" t="s">
        <v>91</v>
      </c>
      <c r="F14" s="24" t="s">
        <v>46</v>
      </c>
      <c r="G14" s="12">
        <v>5</v>
      </c>
      <c r="H14" s="88">
        <f>IF(B$20=0,0,G14/B$20)</f>
        <v>5.434782608695652E-2</v>
      </c>
      <c r="I14" s="58">
        <v>1</v>
      </c>
      <c r="K14" s="74">
        <v>12</v>
      </c>
      <c r="L14" s="119">
        <v>32.1</v>
      </c>
      <c r="M14" s="117">
        <v>1499.6969194924934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5.4054054054054057E-2</v>
      </c>
      <c r="E15" s="27" t="s">
        <v>70</v>
      </c>
      <c r="F15" s="24" t="s">
        <v>25</v>
      </c>
      <c r="G15" s="12">
        <v>4</v>
      </c>
      <c r="H15" s="88">
        <f>IF(B$20=0,0,G15/B$20)</f>
        <v>4.3478260869565216E-2</v>
      </c>
      <c r="I15" s="58">
        <v>9</v>
      </c>
      <c r="K15" s="74">
        <v>13</v>
      </c>
      <c r="L15" s="119">
        <v>65.800000000000011</v>
      </c>
      <c r="M15" s="117">
        <v>1506.4847379755383</v>
      </c>
      <c r="O15" s="73" t="s">
        <v>192</v>
      </c>
      <c r="P15" s="82">
        <f>IF(Q15=0,0,R15/Q15)</f>
        <v>25.180000000000003</v>
      </c>
      <c r="Q15" s="76">
        <v>5</v>
      </c>
      <c r="R15" s="67">
        <v>125.90000000000002</v>
      </c>
    </row>
    <row r="16" spans="1:18" x14ac:dyDescent="0.4">
      <c r="A16" s="22" t="s">
        <v>121</v>
      </c>
      <c r="B16" s="15">
        <v>63</v>
      </c>
      <c r="C16" s="10">
        <f>IF(B$3=0,0,B16/B$3)</f>
        <v>0.20388349514563106</v>
      </c>
      <c r="E16" s="27" t="s">
        <v>81</v>
      </c>
      <c r="F16" s="24" t="s">
        <v>36</v>
      </c>
      <c r="G16" s="12">
        <v>4</v>
      </c>
      <c r="H16" s="88">
        <f>IF(B$20=0,0,G16/B$20)</f>
        <v>4.3478260869565216E-2</v>
      </c>
      <c r="I16" s="58">
        <v>3</v>
      </c>
      <c r="K16" s="74">
        <v>14</v>
      </c>
      <c r="L16" s="119">
        <v>99.300000000000011</v>
      </c>
      <c r="M16" s="117">
        <v>1512.415829547685</v>
      </c>
      <c r="O16" s="74" t="s">
        <v>216</v>
      </c>
      <c r="P16" s="83">
        <f>IF(Q16=0,0,R16/Q16)</f>
        <v>16.453846153846158</v>
      </c>
      <c r="Q16" s="77">
        <v>13</v>
      </c>
      <c r="R16" s="68">
        <v>213.90000000000003</v>
      </c>
    </row>
    <row r="17" spans="1:18" x14ac:dyDescent="0.4">
      <c r="A17" s="19" t="s">
        <v>118</v>
      </c>
      <c r="B17" s="12">
        <v>67</v>
      </c>
      <c r="C17" s="6">
        <f>IF(B$3=0,0,B17/B$3)</f>
        <v>0.2168284789644013</v>
      </c>
      <c r="E17" s="27" t="s">
        <v>78</v>
      </c>
      <c r="F17" s="24" t="s">
        <v>33</v>
      </c>
      <c r="G17" s="12">
        <v>3</v>
      </c>
      <c r="H17" s="88">
        <f>IF(B$20=0,0,G17/B$20)</f>
        <v>3.2608695652173912E-2</v>
      </c>
      <c r="I17" s="58">
        <v>5</v>
      </c>
      <c r="K17" s="74">
        <v>15</v>
      </c>
      <c r="L17" s="119">
        <v>75.200000000000017</v>
      </c>
      <c r="M17" s="117">
        <v>1508.6093345703989</v>
      </c>
      <c r="O17" s="74" t="s">
        <v>221</v>
      </c>
      <c r="P17" s="83">
        <f>IF(Q17=0,0,R17/Q17)</f>
        <v>16.2</v>
      </c>
      <c r="Q17" s="77">
        <v>1</v>
      </c>
      <c r="R17" s="68">
        <v>16.2</v>
      </c>
    </row>
    <row r="18" spans="1:18" x14ac:dyDescent="0.4">
      <c r="A18" s="18" t="s">
        <v>123</v>
      </c>
      <c r="B18" s="11">
        <f>B24</f>
        <v>35</v>
      </c>
      <c r="C18" s="5">
        <f>IF(B$16=0,0,B18/B$16)</f>
        <v>0.55555555555555558</v>
      </c>
      <c r="E18" s="27" t="s">
        <v>73</v>
      </c>
      <c r="F18" s="24" t="s">
        <v>28</v>
      </c>
      <c r="G18" s="12">
        <v>2</v>
      </c>
      <c r="H18" s="88">
        <f>IF(B$20=0,0,G18/B$20)</f>
        <v>2.1739130434782608E-2</v>
      </c>
      <c r="I18" s="58">
        <v>1</v>
      </c>
      <c r="K18" s="74">
        <v>16</v>
      </c>
      <c r="L18" s="119">
        <v>83.000000000000014</v>
      </c>
      <c r="M18" s="117">
        <v>1510.5676785629764</v>
      </c>
      <c r="O18" s="74" t="s">
        <v>163</v>
      </c>
      <c r="P18" s="83">
        <f>IF(Q18=0,0,R18/Q18)</f>
        <v>3.9166666666666674</v>
      </c>
      <c r="Q18" s="77">
        <v>12</v>
      </c>
      <c r="R18" s="68">
        <v>47.000000000000007</v>
      </c>
    </row>
    <row r="19" spans="1:18" x14ac:dyDescent="0.4">
      <c r="A19" s="18" t="s">
        <v>124</v>
      </c>
      <c r="B19" s="11">
        <f>B25</f>
        <v>32</v>
      </c>
      <c r="C19" s="5">
        <f>IF(B$17=0,0,B19/B$17)</f>
        <v>0.47761194029850745</v>
      </c>
      <c r="E19" s="27" t="s">
        <v>75</v>
      </c>
      <c r="F19" s="24" t="s">
        <v>30</v>
      </c>
      <c r="G19" s="12">
        <v>1</v>
      </c>
      <c r="H19" s="88">
        <f>IF(B$20=0,0,G19/B$20)</f>
        <v>1.0869565217391304E-2</v>
      </c>
      <c r="I19" s="58">
        <v>2</v>
      </c>
      <c r="K19" s="74">
        <v>17</v>
      </c>
      <c r="L19" s="119">
        <v>81.600000000000009</v>
      </c>
      <c r="M19" s="117">
        <v>1510.8582724915987</v>
      </c>
      <c r="O19" s="74" t="s">
        <v>195</v>
      </c>
      <c r="P19" s="83">
        <f>IF(Q19=0,0,R19/Q19)</f>
        <v>-3.0750000000000011</v>
      </c>
      <c r="Q19" s="77">
        <v>4</v>
      </c>
      <c r="R19" s="68">
        <v>-12.300000000000004</v>
      </c>
    </row>
    <row r="20" spans="1:18" x14ac:dyDescent="0.4">
      <c r="A20" s="18" t="s">
        <v>10</v>
      </c>
      <c r="B20" s="11">
        <f>B23+B22</f>
        <v>92</v>
      </c>
      <c r="C20" s="5">
        <f>IF(B$3=0,0,B20/B$3)</f>
        <v>0.29773462783171523</v>
      </c>
      <c r="E20" s="27" t="s">
        <v>74</v>
      </c>
      <c r="F20" s="24" t="s">
        <v>29</v>
      </c>
      <c r="G20" s="12">
        <v>0</v>
      </c>
      <c r="H20" s="88">
        <f>IF(B$20=0,0,G20/B$20)</f>
        <v>0</v>
      </c>
      <c r="I20" s="58">
        <v>1</v>
      </c>
      <c r="K20" s="74">
        <v>18</v>
      </c>
      <c r="L20" s="119">
        <v>83.2</v>
      </c>
      <c r="M20" s="117">
        <v>1512.053122856649</v>
      </c>
      <c r="O20" s="74" t="s">
        <v>126</v>
      </c>
      <c r="P20" s="83">
        <f>IF(Q20=0,0,R20/Q20)</f>
        <v>-4.1523809523809518</v>
      </c>
      <c r="Q20" s="77">
        <v>21</v>
      </c>
      <c r="R20" s="68">
        <v>-87.199999999999989</v>
      </c>
    </row>
    <row r="21" spans="1:18" x14ac:dyDescent="0.4">
      <c r="A21" s="19" t="s">
        <v>13</v>
      </c>
      <c r="B21" s="12">
        <v>43</v>
      </c>
      <c r="C21" s="6">
        <f>IF(B$3=0,0,B21/B$3)</f>
        <v>0.13915857605177995</v>
      </c>
      <c r="E21" s="27" t="s">
        <v>76</v>
      </c>
      <c r="F21" s="24" t="s">
        <v>31</v>
      </c>
      <c r="G21" s="12">
        <v>0</v>
      </c>
      <c r="H21" s="88">
        <f>IF(B$20=0,0,G21/B$20)</f>
        <v>0</v>
      </c>
      <c r="I21" s="58">
        <v>1</v>
      </c>
      <c r="K21" s="74">
        <v>19</v>
      </c>
      <c r="L21" s="119">
        <v>126.80000000000001</v>
      </c>
      <c r="M21" s="117">
        <v>1520.8008041195092</v>
      </c>
      <c r="O21" s="74" t="s">
        <v>193</v>
      </c>
      <c r="P21" s="83">
        <f>IF(Q21=0,0,R21/Q21)</f>
        <v>-7.1999999999999993</v>
      </c>
      <c r="Q21" s="77">
        <v>2</v>
      </c>
      <c r="R21" s="68">
        <v>-14.399999999999999</v>
      </c>
    </row>
    <row r="22" spans="1:18" x14ac:dyDescent="0.4">
      <c r="A22" s="19" t="s">
        <v>12</v>
      </c>
      <c r="B22" s="12">
        <v>38</v>
      </c>
      <c r="C22" s="6">
        <f>IF(B$20=0,0,B22/B$20)</f>
        <v>0.41304347826086957</v>
      </c>
      <c r="E22" s="27" t="s">
        <v>77</v>
      </c>
      <c r="F22" s="24" t="s">
        <v>32</v>
      </c>
      <c r="G22" s="12">
        <v>0</v>
      </c>
      <c r="H22" s="88">
        <f>IF(B$20=0,0,G22/B$20)</f>
        <v>0</v>
      </c>
      <c r="I22" s="58">
        <v>3</v>
      </c>
      <c r="K22" s="74">
        <v>20</v>
      </c>
      <c r="L22" s="119">
        <v>163</v>
      </c>
      <c r="M22" s="117">
        <v>1527.9899992947921</v>
      </c>
      <c r="O22" s="74" t="s">
        <v>189</v>
      </c>
      <c r="P22" s="83">
        <f>IF(Q22=0,0,R22/Q22)</f>
        <v>-14.125</v>
      </c>
      <c r="Q22" s="77">
        <v>8</v>
      </c>
      <c r="R22" s="68">
        <v>-113</v>
      </c>
    </row>
    <row r="23" spans="1:18" x14ac:dyDescent="0.4">
      <c r="A23" s="19" t="s">
        <v>11</v>
      </c>
      <c r="B23" s="12">
        <v>54</v>
      </c>
      <c r="C23" s="6">
        <f>IF(B$20=0,0,B23/B$20)</f>
        <v>0.58695652173913049</v>
      </c>
      <c r="E23" s="27" t="s">
        <v>79</v>
      </c>
      <c r="F23" s="24" t="s">
        <v>34</v>
      </c>
      <c r="G23" s="12">
        <v>0</v>
      </c>
      <c r="H23" s="88">
        <f>IF(B$20=0,0,G23/B$20)</f>
        <v>0</v>
      </c>
      <c r="I23" s="58">
        <v>7</v>
      </c>
      <c r="K23" s="74">
        <v>21</v>
      </c>
      <c r="L23" s="119">
        <v>116.7</v>
      </c>
      <c r="M23" s="117">
        <v>1519.9380592990233</v>
      </c>
      <c r="O23" s="74" t="s">
        <v>190</v>
      </c>
      <c r="P23" s="83">
        <f>IF(Q23=0,0,R23/Q23)</f>
        <v>-15.600000000000001</v>
      </c>
      <c r="Q23" s="77">
        <v>8</v>
      </c>
      <c r="R23" s="68">
        <v>-124.80000000000001</v>
      </c>
    </row>
    <row r="24" spans="1:18" x14ac:dyDescent="0.4">
      <c r="A24" s="19" t="s">
        <v>183</v>
      </c>
      <c r="B24" s="12">
        <v>35</v>
      </c>
      <c r="C24" s="6">
        <f>IF(B$20=0,0,B24/B$20)</f>
        <v>0.38043478260869568</v>
      </c>
      <c r="E24" s="27" t="s">
        <v>80</v>
      </c>
      <c r="F24" s="24" t="s">
        <v>35</v>
      </c>
      <c r="G24" s="12">
        <v>0</v>
      </c>
      <c r="H24" s="88">
        <f>IF(B$20=0,0,G24/B$20)</f>
        <v>0</v>
      </c>
      <c r="I24" s="58">
        <v>3</v>
      </c>
      <c r="K24" s="74">
        <v>22</v>
      </c>
      <c r="L24" s="119">
        <v>137.19999999999999</v>
      </c>
      <c r="M24" s="117">
        <v>1523.9584309432291</v>
      </c>
    </row>
    <row r="25" spans="1:18" x14ac:dyDescent="0.4">
      <c r="A25" s="19" t="s">
        <v>181</v>
      </c>
      <c r="B25" s="12">
        <v>32</v>
      </c>
      <c r="C25" s="6">
        <f>IF(B$20=0,0,B25/B$20)</f>
        <v>0.34782608695652173</v>
      </c>
      <c r="E25" s="27" t="s">
        <v>82</v>
      </c>
      <c r="F25" s="24" t="s">
        <v>37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139.19999999999999</v>
      </c>
      <c r="M25" s="117">
        <v>1524.7926803575697</v>
      </c>
    </row>
    <row r="26" spans="1:18" x14ac:dyDescent="0.4">
      <c r="A26" s="19" t="s">
        <v>182</v>
      </c>
      <c r="B26" s="12">
        <v>25</v>
      </c>
      <c r="C26" s="6">
        <f>IF(B$20=0,0,B26/B$20)</f>
        <v>0.27173913043478259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108.79999999999998</v>
      </c>
      <c r="M26" s="117">
        <v>1519.7959242754243</v>
      </c>
    </row>
    <row r="27" spans="1:18" x14ac:dyDescent="0.4">
      <c r="A27" s="19" t="s">
        <v>5</v>
      </c>
      <c r="B27" s="16">
        <f>IF(B$20=0,0,C27/B$20)</f>
        <v>7730.434782608696</v>
      </c>
      <c r="C27" s="8">
        <v>711200</v>
      </c>
      <c r="E27" s="27" t="s">
        <v>85</v>
      </c>
      <c r="F27" s="24" t="s">
        <v>40</v>
      </c>
      <c r="G27" s="12">
        <v>0</v>
      </c>
      <c r="H27" s="88">
        <f>IF(B$20=0,0,G27/B$20)</f>
        <v>0</v>
      </c>
      <c r="I27" s="58">
        <v>5</v>
      </c>
      <c r="K27" s="74">
        <v>25</v>
      </c>
      <c r="L27" s="119">
        <v>90.399999999999977</v>
      </c>
      <c r="M27" s="117">
        <v>1516.6351487297718</v>
      </c>
    </row>
    <row r="28" spans="1:18" x14ac:dyDescent="0.4">
      <c r="A28" s="20" t="s">
        <v>165</v>
      </c>
      <c r="B28" s="95">
        <f>IF($B$20-B$19=0,0,C28/($B$20-B$19))</f>
        <v>7938.333333333333</v>
      </c>
      <c r="C28" s="96">
        <v>476300</v>
      </c>
      <c r="E28" s="27" t="s">
        <v>87</v>
      </c>
      <c r="F28" s="24" t="s">
        <v>42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123.09999999999998</v>
      </c>
      <c r="M28" s="117">
        <v>1522.6913378373931</v>
      </c>
    </row>
    <row r="29" spans="1:18" x14ac:dyDescent="0.4">
      <c r="A29" s="20" t="s">
        <v>166</v>
      </c>
      <c r="B29" s="95">
        <f>IF(B$19=0,0,C29/B$19)</f>
        <v>7340.625</v>
      </c>
      <c r="C29" s="96">
        <v>234900</v>
      </c>
      <c r="E29" s="27" t="s">
        <v>88</v>
      </c>
      <c r="F29" s="24" t="s">
        <v>43</v>
      </c>
      <c r="G29" s="12">
        <v>0</v>
      </c>
      <c r="H29" s="88">
        <f>IF(B$20=0,0,G29/B$20)</f>
        <v>0</v>
      </c>
      <c r="I29" s="58">
        <v>5</v>
      </c>
      <c r="K29" s="74">
        <v>27</v>
      </c>
      <c r="L29" s="119">
        <v>124.79999999999998</v>
      </c>
      <c r="M29" s="117">
        <v>1523.2151898103687</v>
      </c>
    </row>
    <row r="30" spans="1:18" x14ac:dyDescent="0.4">
      <c r="A30" s="20" t="s">
        <v>164</v>
      </c>
      <c r="B30" s="95">
        <f>IF(B$21=0,0,C30/B$21)</f>
        <v>-6369.7674418604647</v>
      </c>
      <c r="C30" s="96">
        <v>-273900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3</v>
      </c>
      <c r="K30" s="74">
        <v>28</v>
      </c>
      <c r="L30" s="119">
        <v>106.39999999999998</v>
      </c>
      <c r="M30" s="117">
        <v>1520.3458986715063</v>
      </c>
    </row>
    <row r="31" spans="1:18" x14ac:dyDescent="0.4">
      <c r="A31" s="19" t="s">
        <v>157</v>
      </c>
      <c r="B31" s="12">
        <v>4</v>
      </c>
      <c r="C31" s="90">
        <v>2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  <c r="K31" s="74">
        <v>29</v>
      </c>
      <c r="L31" s="119">
        <v>127.89999999999998</v>
      </c>
      <c r="M31" s="117">
        <v>1524.9218232794774</v>
      </c>
    </row>
    <row r="32" spans="1:18" x14ac:dyDescent="0.4">
      <c r="A32" s="19" t="s">
        <v>158</v>
      </c>
      <c r="B32" s="12">
        <v>30</v>
      </c>
      <c r="C32" s="90">
        <v>5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  <c r="K32" s="74">
        <v>30</v>
      </c>
      <c r="L32" s="119">
        <v>164.39999999999998</v>
      </c>
      <c r="M32" s="117">
        <v>1532.1702923398004</v>
      </c>
    </row>
    <row r="33" spans="1:13" x14ac:dyDescent="0.4">
      <c r="A33" s="54" t="s">
        <v>136</v>
      </c>
      <c r="B33" s="127">
        <v>6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119.79999999999998</v>
      </c>
      <c r="M33" s="117">
        <v>1524.7772705857617</v>
      </c>
    </row>
    <row r="34" spans="1:13" x14ac:dyDescent="0.4">
      <c r="A34" s="22" t="s">
        <v>180</v>
      </c>
      <c r="B34" s="129">
        <v>80600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100.99999999999999</v>
      </c>
      <c r="M34" s="117">
        <v>1521.8686069622472</v>
      </c>
    </row>
    <row r="35" spans="1:13" x14ac:dyDescent="0.4">
      <c r="A35" s="21" t="s">
        <v>137</v>
      </c>
      <c r="B35" s="29">
        <v>3</v>
      </c>
      <c r="C35" s="9">
        <f>IF(B$3=0,0,B35/B$3)</f>
        <v>9.7087378640776691E-3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102.59999999999998</v>
      </c>
      <c r="M35" s="117">
        <v>1522.5113953204736</v>
      </c>
    </row>
    <row r="36" spans="1:13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65.59999999999998</v>
      </c>
      <c r="M36" s="117">
        <v>1515.6083269485507</v>
      </c>
    </row>
    <row r="37" spans="1:13" x14ac:dyDescent="0.4">
      <c r="A37" s="54" t="s">
        <v>171</v>
      </c>
      <c r="B37" s="123">
        <v>8</v>
      </c>
      <c r="C37" s="98">
        <f t="shared" ref="C37:C49" si="2">IF(B$20=0,0,B37/B$20)</f>
        <v>8.6956521739130432E-2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45.499999999999979</v>
      </c>
      <c r="M37" s="117">
        <v>1512.1666769868593</v>
      </c>
    </row>
    <row r="38" spans="1:13" x14ac:dyDescent="0.4">
      <c r="A38" s="19" t="s">
        <v>167</v>
      </c>
      <c r="B38" s="12">
        <v>21</v>
      </c>
      <c r="C38" s="6">
        <f t="shared" si="2"/>
        <v>0.22826086956521738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40.699999999999982</v>
      </c>
      <c r="M38" s="117">
        <v>1510.9836769249382</v>
      </c>
    </row>
    <row r="39" spans="1:13" x14ac:dyDescent="0.4">
      <c r="A39" s="19" t="s">
        <v>168</v>
      </c>
      <c r="B39" s="124">
        <v>17</v>
      </c>
      <c r="C39" s="6">
        <f t="shared" si="2"/>
        <v>0.18478260869565216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17.09999999999998</v>
      </c>
      <c r="M39" s="117">
        <v>1506.4237748633886</v>
      </c>
    </row>
    <row r="40" spans="1:13" x14ac:dyDescent="0.4">
      <c r="A40" s="19" t="s">
        <v>169</v>
      </c>
      <c r="B40" s="124">
        <v>12</v>
      </c>
      <c r="C40" s="6">
        <f t="shared" si="2"/>
        <v>0.13043478260869565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13" x14ac:dyDescent="0.4">
      <c r="A41" s="19" t="s">
        <v>170</v>
      </c>
      <c r="B41" s="124">
        <v>11</v>
      </c>
      <c r="C41" s="6">
        <f t="shared" si="2"/>
        <v>0.11956521739130435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13" x14ac:dyDescent="0.4">
      <c r="A42" s="19" t="s">
        <v>172</v>
      </c>
      <c r="B42" s="124">
        <v>11</v>
      </c>
      <c r="C42" s="6">
        <f t="shared" si="2"/>
        <v>0.11956521739130435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13" x14ac:dyDescent="0.4">
      <c r="A43" s="19" t="s">
        <v>173</v>
      </c>
      <c r="B43" s="124">
        <v>5</v>
      </c>
      <c r="C43" s="6">
        <f t="shared" si="2"/>
        <v>5.434782608695652E-2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13" x14ac:dyDescent="0.4">
      <c r="A44" s="19" t="s">
        <v>174</v>
      </c>
      <c r="B44" s="124">
        <v>4</v>
      </c>
      <c r="C44" s="6">
        <f t="shared" si="2"/>
        <v>4.3478260869565216E-2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13" x14ac:dyDescent="0.4">
      <c r="A45" s="19" t="s">
        <v>175</v>
      </c>
      <c r="B45" s="124">
        <v>1</v>
      </c>
      <c r="C45" s="6">
        <f t="shared" si="2"/>
        <v>1.0869565217391304E-2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13" x14ac:dyDescent="0.4">
      <c r="A46" s="19" t="s">
        <v>176</v>
      </c>
      <c r="B46" s="124">
        <v>1</v>
      </c>
      <c r="C46" s="6">
        <f t="shared" si="2"/>
        <v>1.0869565217391304E-2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13" x14ac:dyDescent="0.4">
      <c r="A47" s="19" t="s">
        <v>177</v>
      </c>
      <c r="B47" s="124">
        <v>1</v>
      </c>
      <c r="C47" s="6">
        <f t="shared" si="2"/>
        <v>1.0869565217391304E-2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13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3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4FCBF-E9EF-4F19-96F8-904B4AA629B3}">
  <sheetPr codeName="Sheet1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192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41</v>
      </c>
      <c r="C2" s="134"/>
      <c r="E2" s="26" t="s">
        <v>66</v>
      </c>
      <c r="F2" s="23" t="s">
        <v>22</v>
      </c>
      <c r="G2" s="11">
        <v>91</v>
      </c>
      <c r="H2" s="87">
        <f>IF(B$20=0,0,G2/B$20)</f>
        <v>0.76470588235294112</v>
      </c>
      <c r="I2" s="57">
        <v>6</v>
      </c>
      <c r="K2" s="73">
        <v>0</v>
      </c>
      <c r="L2" s="118">
        <v>0</v>
      </c>
      <c r="M2" s="116">
        <v>1517.1288342047803</v>
      </c>
      <c r="O2" s="73" t="s">
        <v>128</v>
      </c>
      <c r="P2" s="79">
        <f t="shared" ref="P2:P7" si="0">IF(Q2=0,0,R2/Q2)</f>
        <v>-2.4390243902439024</v>
      </c>
      <c r="Q2" s="76">
        <v>41</v>
      </c>
      <c r="R2" s="63">
        <v>-100</v>
      </c>
    </row>
    <row r="3" spans="1:18" x14ac:dyDescent="0.4">
      <c r="A3" s="19" t="s">
        <v>8</v>
      </c>
      <c r="B3" s="135">
        <v>356</v>
      </c>
      <c r="C3" s="136"/>
      <c r="E3" s="27" t="s">
        <v>72</v>
      </c>
      <c r="F3" s="24" t="s">
        <v>27</v>
      </c>
      <c r="G3" s="12">
        <v>75</v>
      </c>
      <c r="H3" s="88">
        <f>IF(B$20=0,0,G3/B$20)</f>
        <v>0.63025210084033612</v>
      </c>
      <c r="I3" s="58">
        <v>5</v>
      </c>
      <c r="K3" s="74">
        <v>1</v>
      </c>
      <c r="L3" s="119">
        <v>11.6</v>
      </c>
      <c r="M3" s="117">
        <v>1519.7080611995516</v>
      </c>
      <c r="O3" s="74" t="s">
        <v>129</v>
      </c>
      <c r="P3" s="80">
        <f t="shared" si="0"/>
        <v>1786.8421052631579</v>
      </c>
      <c r="Q3" s="77">
        <v>38</v>
      </c>
      <c r="R3" s="64">
        <v>67900</v>
      </c>
    </row>
    <row r="4" spans="1:18" x14ac:dyDescent="0.4">
      <c r="A4" s="19" t="s">
        <v>6</v>
      </c>
      <c r="B4" s="137">
        <v>286.49999999999994</v>
      </c>
      <c r="C4" s="138"/>
      <c r="E4" s="27" t="s">
        <v>159</v>
      </c>
      <c r="F4" s="24" t="s">
        <v>160</v>
      </c>
      <c r="G4" s="12">
        <v>60</v>
      </c>
      <c r="H4" s="88">
        <f>IF(B$20=0,0,G4/B$20)</f>
        <v>0.50420168067226889</v>
      </c>
      <c r="I4" s="58">
        <v>2</v>
      </c>
      <c r="K4" s="74">
        <v>2</v>
      </c>
      <c r="L4" s="119">
        <v>42.9</v>
      </c>
      <c r="M4" s="117">
        <v>1525.8538128323544</v>
      </c>
      <c r="O4" s="74" t="s">
        <v>130</v>
      </c>
      <c r="P4" s="80">
        <f t="shared" si="0"/>
        <v>17.948717948717949</v>
      </c>
      <c r="Q4" s="77">
        <v>39</v>
      </c>
      <c r="R4" s="64">
        <v>700</v>
      </c>
    </row>
    <row r="5" spans="1:18" x14ac:dyDescent="0.4">
      <c r="A5" s="19" t="s">
        <v>7</v>
      </c>
      <c r="B5" s="125">
        <f>IF(B$2=0,0,B$4/B$2)</f>
        <v>6.9878048780487791</v>
      </c>
      <c r="C5" s="126"/>
      <c r="E5" s="27" t="s">
        <v>64</v>
      </c>
      <c r="F5" s="24" t="s">
        <v>20</v>
      </c>
      <c r="G5" s="12">
        <v>40</v>
      </c>
      <c r="H5" s="88">
        <f>IF(B$20=0,0,G5/B$20)</f>
        <v>0.33613445378151263</v>
      </c>
      <c r="I5" s="58">
        <v>9</v>
      </c>
      <c r="K5" s="74">
        <v>3</v>
      </c>
      <c r="L5" s="119">
        <v>49.199999999999996</v>
      </c>
      <c r="M5" s="117">
        <v>1526.8746899553603</v>
      </c>
      <c r="O5" s="74" t="s">
        <v>131</v>
      </c>
      <c r="P5" s="80">
        <f t="shared" si="0"/>
        <v>2318.9189189189187</v>
      </c>
      <c r="Q5" s="77">
        <v>37</v>
      </c>
      <c r="R5" s="64">
        <v>85800</v>
      </c>
    </row>
    <row r="6" spans="1:18" x14ac:dyDescent="0.4">
      <c r="A6" s="19" t="s">
        <v>196</v>
      </c>
      <c r="B6" s="129">
        <v>1582.1239906491078</v>
      </c>
      <c r="C6" s="130"/>
      <c r="E6" s="27" t="s">
        <v>68</v>
      </c>
      <c r="F6" s="24" t="s">
        <v>12</v>
      </c>
      <c r="G6" s="12">
        <v>30</v>
      </c>
      <c r="H6" s="88">
        <f>IF(B$20=0,0,G6/B$20)</f>
        <v>0.25210084033613445</v>
      </c>
      <c r="I6" s="58">
        <v>9</v>
      </c>
      <c r="K6" s="74">
        <v>4</v>
      </c>
      <c r="L6" s="119">
        <v>75.8</v>
      </c>
      <c r="M6" s="117">
        <v>1532.5274418156282</v>
      </c>
      <c r="O6" s="74" t="s">
        <v>132</v>
      </c>
      <c r="P6" s="80">
        <f t="shared" si="0"/>
        <v>755.88235294117646</v>
      </c>
      <c r="Q6" s="77">
        <v>34</v>
      </c>
      <c r="R6" s="64">
        <v>25700</v>
      </c>
    </row>
    <row r="7" spans="1:18" x14ac:dyDescent="0.4">
      <c r="A7" s="19" t="s">
        <v>1</v>
      </c>
      <c r="B7" s="139">
        <f>IF(B$2=0,0,(B$8*1+B$9*2+B$10*3)/B$2)</f>
        <v>1.7560975609756098</v>
      </c>
      <c r="C7" s="140"/>
      <c r="E7" s="27" t="s">
        <v>70</v>
      </c>
      <c r="F7" s="24" t="s">
        <v>25</v>
      </c>
      <c r="G7" s="12">
        <v>17</v>
      </c>
      <c r="H7" s="88">
        <f>IF(B$20=0,0,G7/B$20)</f>
        <v>0.14285714285714285</v>
      </c>
      <c r="I7" s="58">
        <v>2</v>
      </c>
      <c r="K7" s="74">
        <v>5</v>
      </c>
      <c r="L7" s="119">
        <v>47.8</v>
      </c>
      <c r="M7" s="117">
        <v>1528.3182771647344</v>
      </c>
      <c r="O7" s="75" t="s">
        <v>133</v>
      </c>
      <c r="P7" s="81">
        <f t="shared" si="0"/>
        <v>310.71428571428572</v>
      </c>
      <c r="Q7" s="78">
        <v>28</v>
      </c>
      <c r="R7" s="65">
        <v>8700</v>
      </c>
    </row>
    <row r="8" spans="1:18" x14ac:dyDescent="0.4">
      <c r="A8" s="19" t="s">
        <v>2</v>
      </c>
      <c r="B8" s="12">
        <v>19</v>
      </c>
      <c r="C8" s="6">
        <f t="shared" ref="C8:C15" si="1">IF(B$2=0,0,B8/B$2)</f>
        <v>0.46341463414634149</v>
      </c>
      <c r="E8" s="27" t="s">
        <v>67</v>
      </c>
      <c r="F8" s="24" t="s">
        <v>23</v>
      </c>
      <c r="G8" s="12">
        <v>16</v>
      </c>
      <c r="H8" s="88">
        <f>IF(B$20=0,0,G8/B$20)</f>
        <v>0.13445378151260504</v>
      </c>
      <c r="I8" s="58">
        <v>9</v>
      </c>
      <c r="K8" s="74">
        <v>6</v>
      </c>
      <c r="L8" s="119">
        <v>26.4</v>
      </c>
      <c r="M8" s="117">
        <v>1524.962367501746</v>
      </c>
      <c r="O8" s="107"/>
      <c r="P8" s="85"/>
      <c r="Q8" s="108"/>
      <c r="R8" s="70"/>
    </row>
    <row r="9" spans="1:18" x14ac:dyDescent="0.4">
      <c r="A9" s="19" t="s">
        <v>3</v>
      </c>
      <c r="B9" s="12">
        <v>13</v>
      </c>
      <c r="C9" s="6">
        <f t="shared" si="1"/>
        <v>0.31707317073170732</v>
      </c>
      <c r="E9" s="27" t="s">
        <v>89</v>
      </c>
      <c r="F9" s="24" t="s">
        <v>44</v>
      </c>
      <c r="G9" s="12">
        <v>14</v>
      </c>
      <c r="H9" s="88">
        <f>IF(B$20=0,0,G9/B$20)</f>
        <v>0.11764705882352941</v>
      </c>
      <c r="I9" s="58">
        <v>9</v>
      </c>
      <c r="K9" s="74">
        <v>7</v>
      </c>
      <c r="L9" s="119">
        <v>25.9</v>
      </c>
      <c r="M9" s="117">
        <v>1524.5545932967354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9</v>
      </c>
      <c r="C10" s="7">
        <f t="shared" si="1"/>
        <v>0.21951219512195122</v>
      </c>
      <c r="E10" s="27" t="s">
        <v>71</v>
      </c>
      <c r="F10" s="24" t="s">
        <v>26</v>
      </c>
      <c r="G10" s="12">
        <v>12</v>
      </c>
      <c r="H10" s="88">
        <f>IF(B$20=0,0,G10/B$20)</f>
        <v>0.10084033613445378</v>
      </c>
      <c r="I10" s="58">
        <v>1</v>
      </c>
      <c r="K10" s="74">
        <v>8</v>
      </c>
      <c r="L10" s="119">
        <v>1.5</v>
      </c>
      <c r="M10" s="117">
        <v>1520.549265736955</v>
      </c>
      <c r="O10" s="73" t="s">
        <v>151</v>
      </c>
      <c r="P10" s="82">
        <f>IF(Q10=0,0,R10/Q10)</f>
        <v>18.22941176470588</v>
      </c>
      <c r="Q10" s="76">
        <v>17</v>
      </c>
      <c r="R10" s="67">
        <v>309.89999999999998</v>
      </c>
    </row>
    <row r="11" spans="1:18" x14ac:dyDescent="0.4">
      <c r="A11" s="20" t="s">
        <v>184</v>
      </c>
      <c r="B11" s="109">
        <f>IF(B8=0,0,C11/B8)</f>
        <v>36.057894736842108</v>
      </c>
      <c r="C11" s="110">
        <v>685.1</v>
      </c>
      <c r="E11" s="27" t="s">
        <v>69</v>
      </c>
      <c r="F11" s="24" t="s">
        <v>24</v>
      </c>
      <c r="G11" s="12">
        <v>11</v>
      </c>
      <c r="H11" s="88">
        <f>IF(B$20=0,0,G11/B$20)</f>
        <v>9.2436974789915971E-2</v>
      </c>
      <c r="I11" s="58">
        <v>7</v>
      </c>
      <c r="K11" s="74">
        <v>9</v>
      </c>
      <c r="L11" s="119">
        <v>9.6999999999999993</v>
      </c>
      <c r="M11" s="117">
        <v>1522.4359701425333</v>
      </c>
      <c r="O11" s="74" t="s">
        <v>152</v>
      </c>
      <c r="P11" s="83">
        <f>IF(Q11=0,0,R11/Q11)</f>
        <v>0.52142857142857169</v>
      </c>
      <c r="Q11" s="77">
        <v>14</v>
      </c>
      <c r="R11" s="68">
        <v>7.3000000000000043</v>
      </c>
    </row>
    <row r="12" spans="1:18" x14ac:dyDescent="0.4">
      <c r="A12" s="20" t="s">
        <v>185</v>
      </c>
      <c r="B12" s="109">
        <f>IF(B9=0,0,C12/B9)</f>
        <v>-5.1307692307692303</v>
      </c>
      <c r="C12" s="110">
        <v>-66.699999999999989</v>
      </c>
      <c r="E12" s="27" t="s">
        <v>65</v>
      </c>
      <c r="F12" s="24" t="s">
        <v>21</v>
      </c>
      <c r="G12" s="12">
        <v>5</v>
      </c>
      <c r="H12" s="88">
        <f>IF(B$20=0,0,G12/B$20)</f>
        <v>4.2016806722689079E-2</v>
      </c>
      <c r="I12" s="58">
        <v>10</v>
      </c>
      <c r="K12" s="74">
        <v>10</v>
      </c>
      <c r="L12" s="119">
        <v>9.1999999999999993</v>
      </c>
      <c r="M12" s="117">
        <v>1522.8413543216782</v>
      </c>
      <c r="O12" s="75" t="s">
        <v>153</v>
      </c>
      <c r="P12" s="84">
        <f>IF(Q12=0,0,R12/Q12)</f>
        <v>-3.0700000000000007</v>
      </c>
      <c r="Q12" s="78">
        <v>10</v>
      </c>
      <c r="R12" s="69">
        <v>-30.700000000000006</v>
      </c>
    </row>
    <row r="13" spans="1:18" x14ac:dyDescent="0.4">
      <c r="A13" s="20" t="s">
        <v>186</v>
      </c>
      <c r="B13" s="109">
        <f>IF(B10=0,0,C13/B10)</f>
        <v>-36.87777777777778</v>
      </c>
      <c r="C13" s="110">
        <v>-331.90000000000003</v>
      </c>
      <c r="E13" s="27" t="s">
        <v>78</v>
      </c>
      <c r="F13" s="24" t="s">
        <v>33</v>
      </c>
      <c r="G13" s="12">
        <v>4</v>
      </c>
      <c r="H13" s="88">
        <f>IF(B$20=0,0,G13/B$20)</f>
        <v>3.3613445378151259E-2</v>
      </c>
      <c r="I13" s="58">
        <v>4</v>
      </c>
      <c r="K13" s="74">
        <v>11</v>
      </c>
      <c r="L13" s="119">
        <v>2.2999999999999989</v>
      </c>
      <c r="M13" s="117">
        <v>1522.0923061957481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-1.983550757234968</v>
      </c>
      <c r="C14" s="126"/>
      <c r="E14" s="27" t="s">
        <v>86</v>
      </c>
      <c r="F14" s="24" t="s">
        <v>41</v>
      </c>
      <c r="G14" s="12">
        <v>4</v>
      </c>
      <c r="H14" s="88">
        <f>IF(B$20=0,0,G14/B$20)</f>
        <v>3.3613445378151259E-2</v>
      </c>
      <c r="I14" s="58">
        <v>7</v>
      </c>
      <c r="K14" s="74">
        <v>12</v>
      </c>
      <c r="L14" s="119">
        <v>1.599999999999999</v>
      </c>
      <c r="M14" s="117">
        <v>1522.4637523585736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3</v>
      </c>
      <c r="C15" s="9">
        <f t="shared" si="1"/>
        <v>7.3170731707317069E-2</v>
      </c>
      <c r="E15" s="27" t="s">
        <v>79</v>
      </c>
      <c r="F15" s="24" t="s">
        <v>34</v>
      </c>
      <c r="G15" s="12">
        <v>3</v>
      </c>
      <c r="H15" s="88">
        <f>IF(B$20=0,0,G15/B$20)</f>
        <v>2.5210084033613446E-2</v>
      </c>
      <c r="I15" s="58">
        <v>3</v>
      </c>
      <c r="K15" s="74">
        <v>13</v>
      </c>
      <c r="L15" s="119">
        <v>-48.5</v>
      </c>
      <c r="M15" s="117">
        <v>1514.0489698444221</v>
      </c>
      <c r="O15" s="73" t="s">
        <v>195</v>
      </c>
      <c r="P15" s="82">
        <f t="shared" ref="P15:P22" si="2">IF(Q15=0,0,R15/Q15)</f>
        <v>36.479999999999997</v>
      </c>
      <c r="Q15" s="76">
        <v>5</v>
      </c>
      <c r="R15" s="67">
        <v>182.39999999999998</v>
      </c>
    </row>
    <row r="16" spans="1:18" x14ac:dyDescent="0.4">
      <c r="A16" s="22" t="s">
        <v>121</v>
      </c>
      <c r="B16" s="15">
        <v>73</v>
      </c>
      <c r="C16" s="10">
        <f>IF(B$3=0,0,B16/B$3)</f>
        <v>0.2050561797752809</v>
      </c>
      <c r="E16" s="27" t="s">
        <v>81</v>
      </c>
      <c r="F16" s="24" t="s">
        <v>36</v>
      </c>
      <c r="G16" s="12">
        <v>3</v>
      </c>
      <c r="H16" s="88">
        <f>IF(B$20=0,0,G16/B$20)</f>
        <v>2.5210084033613446E-2</v>
      </c>
      <c r="I16" s="58">
        <v>9</v>
      </c>
      <c r="K16" s="74">
        <v>14</v>
      </c>
      <c r="L16" s="119">
        <v>-20.2</v>
      </c>
      <c r="M16" s="117">
        <v>1519.0406760253557</v>
      </c>
      <c r="O16" s="74" t="s">
        <v>216</v>
      </c>
      <c r="P16" s="83">
        <f t="shared" si="2"/>
        <v>35.1</v>
      </c>
      <c r="Q16" s="77">
        <v>1</v>
      </c>
      <c r="R16" s="68">
        <v>35.1</v>
      </c>
    </row>
    <row r="17" spans="1:18" x14ac:dyDescent="0.4">
      <c r="A17" s="19" t="s">
        <v>118</v>
      </c>
      <c r="B17" s="12">
        <v>94</v>
      </c>
      <c r="C17" s="6">
        <f>IF(B$3=0,0,B17/B$3)</f>
        <v>0.2640449438202247</v>
      </c>
      <c r="E17" s="27" t="s">
        <v>83</v>
      </c>
      <c r="F17" s="24" t="s">
        <v>38</v>
      </c>
      <c r="G17" s="12">
        <v>2</v>
      </c>
      <c r="H17" s="88">
        <f>IF(B$20=0,0,G17/B$20)</f>
        <v>1.680672268907563E-2</v>
      </c>
      <c r="I17" s="58">
        <v>8</v>
      </c>
      <c r="K17" s="74">
        <v>15</v>
      </c>
      <c r="L17" s="119">
        <v>22.500000000000004</v>
      </c>
      <c r="M17" s="117">
        <v>1526.5944319692035</v>
      </c>
      <c r="O17" s="74" t="s">
        <v>189</v>
      </c>
      <c r="P17" s="83">
        <f t="shared" si="2"/>
        <v>23.666666666666668</v>
      </c>
      <c r="Q17" s="77">
        <v>18</v>
      </c>
      <c r="R17" s="68">
        <v>426</v>
      </c>
    </row>
    <row r="18" spans="1:18" x14ac:dyDescent="0.4">
      <c r="A18" s="18" t="s">
        <v>123</v>
      </c>
      <c r="B18" s="11">
        <f>B24</f>
        <v>39</v>
      </c>
      <c r="C18" s="5">
        <f>IF(B$16=0,0,B18/B$16)</f>
        <v>0.53424657534246578</v>
      </c>
      <c r="E18" s="27" t="s">
        <v>73</v>
      </c>
      <c r="F18" s="24" t="s">
        <v>28</v>
      </c>
      <c r="G18" s="12">
        <v>1</v>
      </c>
      <c r="H18" s="88">
        <f>IF(B$20=0,0,G18/B$20)</f>
        <v>8.4033613445378148E-3</v>
      </c>
      <c r="I18" s="58">
        <v>5</v>
      </c>
      <c r="K18" s="74">
        <v>16</v>
      </c>
      <c r="L18" s="119">
        <v>64.5</v>
      </c>
      <c r="M18" s="117">
        <v>1534.7448653773884</v>
      </c>
      <c r="O18" s="74" t="s">
        <v>221</v>
      </c>
      <c r="P18" s="83">
        <f t="shared" si="2"/>
        <v>17</v>
      </c>
      <c r="Q18" s="77">
        <v>1</v>
      </c>
      <c r="R18" s="68">
        <v>17</v>
      </c>
    </row>
    <row r="19" spans="1:18" x14ac:dyDescent="0.4">
      <c r="A19" s="18" t="s">
        <v>124</v>
      </c>
      <c r="B19" s="11">
        <f>B25</f>
        <v>41</v>
      </c>
      <c r="C19" s="5">
        <f>IF(B$17=0,0,B19/B$17)</f>
        <v>0.43617021276595747</v>
      </c>
      <c r="E19" s="27" t="s">
        <v>88</v>
      </c>
      <c r="F19" s="24" t="s">
        <v>43</v>
      </c>
      <c r="G19" s="12">
        <v>1</v>
      </c>
      <c r="H19" s="88">
        <f>IF(B$20=0,0,G19/B$20)</f>
        <v>8.4033613445378148E-3</v>
      </c>
      <c r="I19" s="58">
        <v>3</v>
      </c>
      <c r="K19" s="74">
        <v>17</v>
      </c>
      <c r="L19" s="119">
        <v>10.5</v>
      </c>
      <c r="M19" s="117">
        <v>1525.5663961851239</v>
      </c>
      <c r="O19" s="74" t="s">
        <v>163</v>
      </c>
      <c r="P19" s="83">
        <f t="shared" si="2"/>
        <v>14.799999999999999</v>
      </c>
      <c r="Q19" s="77">
        <v>9</v>
      </c>
      <c r="R19" s="68">
        <v>133.19999999999999</v>
      </c>
    </row>
    <row r="20" spans="1:18" x14ac:dyDescent="0.4">
      <c r="A20" s="18" t="s">
        <v>10</v>
      </c>
      <c r="B20" s="11">
        <f>B23+B22</f>
        <v>119</v>
      </c>
      <c r="C20" s="5">
        <f>IF(B$3=0,0,B20/B$3)</f>
        <v>0.3342696629213483</v>
      </c>
      <c r="E20" s="27" t="s">
        <v>92</v>
      </c>
      <c r="F20" s="24" t="s">
        <v>47</v>
      </c>
      <c r="G20" s="12">
        <v>1</v>
      </c>
      <c r="H20" s="88">
        <f>IF(B$20=0,0,G20/B$20)</f>
        <v>8.4033613445378148E-3</v>
      </c>
      <c r="I20" s="58">
        <v>1</v>
      </c>
      <c r="K20" s="74">
        <v>18</v>
      </c>
      <c r="L20" s="119">
        <v>-22.299999999999997</v>
      </c>
      <c r="M20" s="117">
        <v>1520.2589978080132</v>
      </c>
      <c r="O20" s="74" t="s">
        <v>126</v>
      </c>
      <c r="P20" s="83">
        <f t="shared" si="2"/>
        <v>8.6852941176470555</v>
      </c>
      <c r="Q20" s="77">
        <v>34</v>
      </c>
      <c r="R20" s="68">
        <v>295.2999999999999</v>
      </c>
    </row>
    <row r="21" spans="1:18" x14ac:dyDescent="0.4">
      <c r="A21" s="19" t="s">
        <v>13</v>
      </c>
      <c r="B21" s="12">
        <v>44</v>
      </c>
      <c r="C21" s="6">
        <f>IF(B$3=0,0,B21/B$3)</f>
        <v>0.12359550561797752</v>
      </c>
      <c r="E21" s="27" t="s">
        <v>102</v>
      </c>
      <c r="F21" s="24" t="s">
        <v>57</v>
      </c>
      <c r="G21" s="12">
        <v>1</v>
      </c>
      <c r="H21" s="88">
        <f>IF(B$20=0,0,G21/B$20)</f>
        <v>8.4033613445378148E-3</v>
      </c>
      <c r="I21" s="58">
        <v>1</v>
      </c>
      <c r="K21" s="74">
        <v>19</v>
      </c>
      <c r="L21" s="119">
        <v>8.5000000000000036</v>
      </c>
      <c r="M21" s="117">
        <v>1526.4314438211652</v>
      </c>
      <c r="O21" s="74" t="s">
        <v>190</v>
      </c>
      <c r="P21" s="83">
        <f t="shared" si="2"/>
        <v>-11.511111111111111</v>
      </c>
      <c r="Q21" s="77">
        <v>9</v>
      </c>
      <c r="R21" s="68">
        <v>-103.6</v>
      </c>
    </row>
    <row r="22" spans="1:18" x14ac:dyDescent="0.4">
      <c r="A22" s="19" t="s">
        <v>12</v>
      </c>
      <c r="B22" s="12">
        <v>48</v>
      </c>
      <c r="C22" s="6">
        <f>IF(B$20=0,0,B22/B$20)</f>
        <v>0.40336134453781514</v>
      </c>
      <c r="E22" s="27" t="s">
        <v>155</v>
      </c>
      <c r="F22" s="24" t="s">
        <v>156</v>
      </c>
      <c r="G22" s="12">
        <v>1</v>
      </c>
      <c r="H22" s="88">
        <f>IF(B$20=0,0,G22/B$20)</f>
        <v>8.4033613445378148E-3</v>
      </c>
      <c r="I22" s="58">
        <v>4</v>
      </c>
      <c r="K22" s="74">
        <v>20</v>
      </c>
      <c r="L22" s="119">
        <v>36.800000000000004</v>
      </c>
      <c r="M22" s="117">
        <v>1531.9848551582381</v>
      </c>
      <c r="O22" s="74" t="s">
        <v>211</v>
      </c>
      <c r="P22" s="83">
        <f t="shared" si="2"/>
        <v>-25.18</v>
      </c>
      <c r="Q22" s="77">
        <v>5</v>
      </c>
      <c r="R22" s="68">
        <v>-125.9</v>
      </c>
    </row>
    <row r="23" spans="1:18" x14ac:dyDescent="0.4">
      <c r="A23" s="19" t="s">
        <v>11</v>
      </c>
      <c r="B23" s="12">
        <v>71</v>
      </c>
      <c r="C23" s="6">
        <f>IF(B$20=0,0,B23/B$20)</f>
        <v>0.59663865546218486</v>
      </c>
      <c r="E23" s="27" t="s">
        <v>74</v>
      </c>
      <c r="F23" s="24" t="s">
        <v>29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66.2</v>
      </c>
      <c r="M23" s="117">
        <v>1537.7029460272888</v>
      </c>
    </row>
    <row r="24" spans="1:18" x14ac:dyDescent="0.4">
      <c r="A24" s="19" t="s">
        <v>183</v>
      </c>
      <c r="B24" s="12">
        <v>39</v>
      </c>
      <c r="C24" s="6">
        <f>IF(B$20=0,0,B24/B$20)</f>
        <v>0.32773109243697479</v>
      </c>
      <c r="E24" s="27" t="s">
        <v>75</v>
      </c>
      <c r="F24" s="24" t="s">
        <v>30</v>
      </c>
      <c r="G24" s="12">
        <v>0</v>
      </c>
      <c r="H24" s="88">
        <f>IF(B$20=0,0,G24/B$20)</f>
        <v>0</v>
      </c>
      <c r="I24" s="58">
        <v>5</v>
      </c>
      <c r="K24" s="74">
        <v>22</v>
      </c>
      <c r="L24" s="119">
        <v>103</v>
      </c>
      <c r="M24" s="117">
        <v>1545.0727283511251</v>
      </c>
    </row>
    <row r="25" spans="1:18" x14ac:dyDescent="0.4">
      <c r="A25" s="19" t="s">
        <v>181</v>
      </c>
      <c r="B25" s="12">
        <v>41</v>
      </c>
      <c r="C25" s="6">
        <f>IF(B$20=0,0,B25/B$20)</f>
        <v>0.34453781512605042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125.1</v>
      </c>
      <c r="M25" s="117">
        <v>1549.7522919810183</v>
      </c>
    </row>
    <row r="26" spans="1:18" x14ac:dyDescent="0.4">
      <c r="A26" s="19" t="s">
        <v>182</v>
      </c>
      <c r="B26" s="12">
        <v>39</v>
      </c>
      <c r="C26" s="6">
        <f>IF(B$20=0,0,B26/B$20)</f>
        <v>0.32773109243697479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3</v>
      </c>
      <c r="K26" s="74">
        <v>24</v>
      </c>
      <c r="L26" s="119">
        <v>198.89999999999998</v>
      </c>
      <c r="M26" s="117">
        <v>1563.2357782291322</v>
      </c>
    </row>
    <row r="27" spans="1:18" x14ac:dyDescent="0.4">
      <c r="A27" s="19" t="s">
        <v>5</v>
      </c>
      <c r="B27" s="16">
        <f>IF(B$20=0,0,C27/B$20)</f>
        <v>7712.6050420168067</v>
      </c>
      <c r="C27" s="8">
        <v>917800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230.09999999999997</v>
      </c>
      <c r="M27" s="117">
        <v>1568.9703635597573</v>
      </c>
    </row>
    <row r="28" spans="1:18" x14ac:dyDescent="0.4">
      <c r="A28" s="20" t="s">
        <v>165</v>
      </c>
      <c r="B28" s="95">
        <f>IF($B$20-B$19=0,0,C28/($B$20-B$19))</f>
        <v>8835.8974358974356</v>
      </c>
      <c r="C28" s="96">
        <v>689200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290.39999999999998</v>
      </c>
      <c r="M28" s="117">
        <v>1580.4125413783988</v>
      </c>
    </row>
    <row r="29" spans="1:18" x14ac:dyDescent="0.4">
      <c r="A29" s="20" t="s">
        <v>166</v>
      </c>
      <c r="B29" s="95">
        <f>IF(B$19=0,0,C29/B$19)</f>
        <v>5575.6097560975613</v>
      </c>
      <c r="C29" s="96">
        <v>228600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250.09999999999997</v>
      </c>
      <c r="M29" s="117">
        <v>1573.4740661301284</v>
      </c>
    </row>
    <row r="30" spans="1:18" x14ac:dyDescent="0.4">
      <c r="A30" s="20" t="s">
        <v>164</v>
      </c>
      <c r="B30" s="95">
        <f>IF(B$21=0,0,C30/B$21)</f>
        <v>-7654.545454545455</v>
      </c>
      <c r="C30" s="96">
        <v>-336800</v>
      </c>
      <c r="E30" s="27" t="s">
        <v>85</v>
      </c>
      <c r="F30" s="24" t="s">
        <v>40</v>
      </c>
      <c r="G30" s="12">
        <v>0</v>
      </c>
      <c r="H30" s="88">
        <f>IF(B$20=0,0,G30/B$20)</f>
        <v>0</v>
      </c>
      <c r="I30" s="58">
        <v>5</v>
      </c>
      <c r="K30" s="74">
        <v>28</v>
      </c>
      <c r="L30" s="119">
        <v>226.69999999999996</v>
      </c>
      <c r="M30" s="117">
        <v>1569.2712217333476</v>
      </c>
    </row>
    <row r="31" spans="1:18" x14ac:dyDescent="0.4">
      <c r="A31" s="19" t="s">
        <v>157</v>
      </c>
      <c r="B31" s="12">
        <v>6</v>
      </c>
      <c r="C31" s="90">
        <v>0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201.79999999999995</v>
      </c>
      <c r="M31" s="117">
        <v>1564.8235944029475</v>
      </c>
    </row>
    <row r="32" spans="1:18" x14ac:dyDescent="0.4">
      <c r="A32" s="19" t="s">
        <v>158</v>
      </c>
      <c r="B32" s="12">
        <v>65</v>
      </c>
      <c r="C32" s="90">
        <v>2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3</v>
      </c>
      <c r="K32" s="74">
        <v>30</v>
      </c>
      <c r="L32" s="119">
        <v>252.59999999999997</v>
      </c>
      <c r="M32" s="117">
        <v>1574.2506528365298</v>
      </c>
    </row>
    <row r="33" spans="1:13" x14ac:dyDescent="0.4">
      <c r="A33" s="54" t="s">
        <v>136</v>
      </c>
      <c r="B33" s="127">
        <v>7</v>
      </c>
      <c r="C33" s="128"/>
      <c r="E33" s="27" t="s">
        <v>91</v>
      </c>
      <c r="F33" s="24" t="s">
        <v>46</v>
      </c>
      <c r="G33" s="12">
        <v>0</v>
      </c>
      <c r="H33" s="88">
        <f>IF(B$20=0,0,G33/B$20)</f>
        <v>0</v>
      </c>
      <c r="I33" s="58">
        <v>6</v>
      </c>
      <c r="K33" s="74">
        <v>31</v>
      </c>
      <c r="L33" s="119">
        <v>297.2</v>
      </c>
      <c r="M33" s="117">
        <v>1582.5051489195105</v>
      </c>
    </row>
    <row r="34" spans="1:13" x14ac:dyDescent="0.4">
      <c r="A34" s="22" t="s">
        <v>180</v>
      </c>
      <c r="B34" s="129">
        <v>98800</v>
      </c>
      <c r="C34" s="130"/>
      <c r="E34" s="27" t="s">
        <v>93</v>
      </c>
      <c r="F34" s="24" t="s">
        <v>48</v>
      </c>
      <c r="G34" s="12">
        <v>0</v>
      </c>
      <c r="H34" s="88">
        <f>IF(B$20=0,0,G34/B$20)</f>
        <v>0</v>
      </c>
      <c r="I34" s="58">
        <v>3</v>
      </c>
      <c r="K34" s="74">
        <v>32</v>
      </c>
      <c r="L34" s="119">
        <v>293.89999999999998</v>
      </c>
      <c r="M34" s="117">
        <v>1582.0881180259935</v>
      </c>
    </row>
    <row r="35" spans="1:13" x14ac:dyDescent="0.4">
      <c r="A35" s="21" t="s">
        <v>137</v>
      </c>
      <c r="B35" s="29">
        <v>0</v>
      </c>
      <c r="C35" s="9">
        <f>IF(B$3=0,0,B35/B$3)</f>
        <v>0</v>
      </c>
      <c r="E35" s="27" t="s">
        <v>94</v>
      </c>
      <c r="F35" s="24" t="s">
        <v>49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324</v>
      </c>
      <c r="M35" s="117">
        <v>1587.6675893178376</v>
      </c>
    </row>
    <row r="36" spans="1:13" x14ac:dyDescent="0.4">
      <c r="E36" s="27" t="s">
        <v>95</v>
      </c>
      <c r="F36" s="24" t="s">
        <v>50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320.7</v>
      </c>
      <c r="M36" s="117">
        <v>1587.2015837819306</v>
      </c>
    </row>
    <row r="37" spans="1:13" x14ac:dyDescent="0.4">
      <c r="A37" s="54" t="s">
        <v>171</v>
      </c>
      <c r="B37" s="123">
        <v>11</v>
      </c>
      <c r="C37" s="98">
        <f t="shared" ref="C37:C49" si="3">IF(B$20=0,0,B37/B$20)</f>
        <v>9.2436974789915971E-2</v>
      </c>
      <c r="E37" s="27" t="s">
        <v>96</v>
      </c>
      <c r="F37" s="24" t="s">
        <v>51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344.59999999999997</v>
      </c>
      <c r="M37" s="117">
        <v>1591.6163742792389</v>
      </c>
    </row>
    <row r="38" spans="1:13" x14ac:dyDescent="0.4">
      <c r="A38" s="19" t="s">
        <v>167</v>
      </c>
      <c r="B38" s="12">
        <v>27</v>
      </c>
      <c r="C38" s="6">
        <f t="shared" si="3"/>
        <v>0.22689075630252101</v>
      </c>
      <c r="E38" s="27" t="s">
        <v>97</v>
      </c>
      <c r="F38" s="24" t="s">
        <v>52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334.59999999999997</v>
      </c>
      <c r="M38" s="117">
        <v>1589.9026760335635</v>
      </c>
    </row>
    <row r="39" spans="1:13" x14ac:dyDescent="0.4">
      <c r="A39" s="19" t="s">
        <v>168</v>
      </c>
      <c r="B39" s="124">
        <v>26</v>
      </c>
      <c r="C39" s="6">
        <f t="shared" si="3"/>
        <v>0.21848739495798319</v>
      </c>
      <c r="E39" s="27" t="s">
        <v>98</v>
      </c>
      <c r="F39" s="24" t="s">
        <v>53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335.09999999999997</v>
      </c>
      <c r="M39" s="117">
        <v>1590.413259977362</v>
      </c>
    </row>
    <row r="40" spans="1:13" x14ac:dyDescent="0.4">
      <c r="A40" s="19" t="s">
        <v>169</v>
      </c>
      <c r="B40" s="124">
        <v>18</v>
      </c>
      <c r="C40" s="6">
        <f t="shared" si="3"/>
        <v>0.15126050420168066</v>
      </c>
      <c r="E40" s="27" t="s">
        <v>99</v>
      </c>
      <c r="F40" s="24" t="s">
        <v>54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329.99999999999994</v>
      </c>
      <c r="M40" s="117">
        <v>1589.912780417498</v>
      </c>
    </row>
    <row r="41" spans="1:13" x14ac:dyDescent="0.4">
      <c r="A41" s="19" t="s">
        <v>170</v>
      </c>
      <c r="B41" s="124">
        <v>19</v>
      </c>
      <c r="C41" s="6">
        <f t="shared" si="3"/>
        <v>0.15966386554621848</v>
      </c>
      <c r="E41" s="27" t="s">
        <v>100</v>
      </c>
      <c r="F41" s="24" t="s">
        <v>55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370.49999999999994</v>
      </c>
      <c r="M41" s="117">
        <v>1597.2933037349931</v>
      </c>
    </row>
    <row r="42" spans="1:13" x14ac:dyDescent="0.4">
      <c r="A42" s="19" t="s">
        <v>172</v>
      </c>
      <c r="B42" s="124">
        <v>4</v>
      </c>
      <c r="C42" s="6">
        <f t="shared" si="3"/>
        <v>3.3613445378151259E-2</v>
      </c>
      <c r="E42" s="27" t="s">
        <v>101</v>
      </c>
      <c r="F42" s="24" t="s">
        <v>56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317.29999999999995</v>
      </c>
      <c r="M42" s="117">
        <v>1587.9255439125832</v>
      </c>
    </row>
    <row r="43" spans="1:13" x14ac:dyDescent="0.4">
      <c r="A43" s="19" t="s">
        <v>173</v>
      </c>
      <c r="B43" s="124">
        <v>8</v>
      </c>
      <c r="C43" s="6">
        <f t="shared" si="3"/>
        <v>6.7226890756302518E-2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286.49999999999994</v>
      </c>
      <c r="M43" s="117">
        <v>1582.1239906491078</v>
      </c>
    </row>
    <row r="44" spans="1:13" x14ac:dyDescent="0.4">
      <c r="A44" s="19" t="s">
        <v>174</v>
      </c>
      <c r="B44" s="124">
        <v>2</v>
      </c>
      <c r="C44" s="6">
        <f t="shared" si="3"/>
        <v>1.680672268907563E-2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13" x14ac:dyDescent="0.4">
      <c r="A45" s="19" t="s">
        <v>175</v>
      </c>
      <c r="B45" s="124">
        <v>1</v>
      </c>
      <c r="C45" s="6">
        <f t="shared" si="3"/>
        <v>8.4033613445378148E-3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13" x14ac:dyDescent="0.4">
      <c r="A46" s="19" t="s">
        <v>176</v>
      </c>
      <c r="B46" s="124">
        <v>1</v>
      </c>
      <c r="C46" s="6">
        <f t="shared" si="3"/>
        <v>8.4033613445378148E-3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</row>
    <row r="47" spans="1:13" x14ac:dyDescent="0.4">
      <c r="A47" s="19" t="s">
        <v>177</v>
      </c>
      <c r="B47" s="124">
        <v>0</v>
      </c>
      <c r="C47" s="6">
        <f t="shared" si="3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13" x14ac:dyDescent="0.4">
      <c r="A48" s="19" t="s">
        <v>178</v>
      </c>
      <c r="B48" s="124">
        <v>0</v>
      </c>
      <c r="C48" s="6">
        <f t="shared" si="3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2</v>
      </c>
      <c r="C49" s="9">
        <f t="shared" si="3"/>
        <v>1.680672268907563E-2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98D66-18B5-4DBB-A3DB-31489B0228C9}">
  <sheetPr codeName="Sheet1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216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18</v>
      </c>
      <c r="C2" s="134"/>
      <c r="E2" s="26" t="s">
        <v>66</v>
      </c>
      <c r="F2" s="23" t="s">
        <v>22</v>
      </c>
      <c r="G2" s="11">
        <v>15</v>
      </c>
      <c r="H2" s="87">
        <f>IF(B$20=0,0,G2/B$20)</f>
        <v>0.5</v>
      </c>
      <c r="I2" s="57">
        <v>11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-1394.4444444444443</v>
      </c>
      <c r="Q2" s="76">
        <v>18</v>
      </c>
      <c r="R2" s="63">
        <v>-25100</v>
      </c>
    </row>
    <row r="3" spans="1:18" x14ac:dyDescent="0.4">
      <c r="A3" s="19" t="s">
        <v>8</v>
      </c>
      <c r="B3" s="135">
        <v>140</v>
      </c>
      <c r="C3" s="136"/>
      <c r="E3" s="27" t="s">
        <v>72</v>
      </c>
      <c r="F3" s="24" t="s">
        <v>27</v>
      </c>
      <c r="G3" s="12">
        <v>15</v>
      </c>
      <c r="H3" s="88">
        <f>IF(B$20=0,0,G3/B$20)</f>
        <v>0.5</v>
      </c>
      <c r="I3" s="58">
        <v>10</v>
      </c>
      <c r="K3" s="74">
        <v>1</v>
      </c>
      <c r="L3" s="119">
        <v>42.4</v>
      </c>
      <c r="M3" s="117">
        <v>1507.6079999999999</v>
      </c>
      <c r="O3" s="74" t="s">
        <v>129</v>
      </c>
      <c r="P3" s="80">
        <f t="shared" si="0"/>
        <v>-1588.8888888888889</v>
      </c>
      <c r="Q3" s="77">
        <v>18</v>
      </c>
      <c r="R3" s="64">
        <v>-28600</v>
      </c>
    </row>
    <row r="4" spans="1:18" x14ac:dyDescent="0.4">
      <c r="A4" s="19" t="s">
        <v>6</v>
      </c>
      <c r="B4" s="137">
        <v>-180.3</v>
      </c>
      <c r="C4" s="138"/>
      <c r="E4" s="27" t="s">
        <v>64</v>
      </c>
      <c r="F4" s="24" t="s">
        <v>20</v>
      </c>
      <c r="G4" s="12">
        <v>13</v>
      </c>
      <c r="H4" s="88">
        <f>IF(B$20=0,0,G4/B$20)</f>
        <v>0.43333333333333335</v>
      </c>
      <c r="I4" s="58">
        <v>3</v>
      </c>
      <c r="K4" s="74">
        <v>2</v>
      </c>
      <c r="L4" s="119">
        <v>50.4</v>
      </c>
      <c r="M4" s="117">
        <v>1508.6783519999999</v>
      </c>
      <c r="O4" s="74" t="s">
        <v>130</v>
      </c>
      <c r="P4" s="80">
        <f t="shared" si="0"/>
        <v>-3911.1111111111113</v>
      </c>
      <c r="Q4" s="77">
        <v>18</v>
      </c>
      <c r="R4" s="64">
        <v>-70400</v>
      </c>
    </row>
    <row r="5" spans="1:18" x14ac:dyDescent="0.4">
      <c r="A5" s="19" t="s">
        <v>7</v>
      </c>
      <c r="B5" s="125">
        <f>IF(B$2=0,0,B$4/B$2)</f>
        <v>-10.016666666666667</v>
      </c>
      <c r="C5" s="126"/>
      <c r="E5" s="27" t="s">
        <v>159</v>
      </c>
      <c r="F5" s="24" t="s">
        <v>160</v>
      </c>
      <c r="G5" s="12">
        <v>12</v>
      </c>
      <c r="H5" s="88">
        <f>IF(B$20=0,0,G5/B$20)</f>
        <v>0.4</v>
      </c>
      <c r="I5" s="58">
        <v>5</v>
      </c>
      <c r="K5" s="74">
        <v>3</v>
      </c>
      <c r="L5" s="119">
        <v>10.399999999999999</v>
      </c>
      <c r="M5" s="117">
        <v>1501.8402818879999</v>
      </c>
      <c r="O5" s="74" t="s">
        <v>131</v>
      </c>
      <c r="P5" s="80">
        <f t="shared" si="0"/>
        <v>-670.58823529411768</v>
      </c>
      <c r="Q5" s="77">
        <v>17</v>
      </c>
      <c r="R5" s="64">
        <v>-11400</v>
      </c>
    </row>
    <row r="6" spans="1:18" x14ac:dyDescent="0.4">
      <c r="A6" s="19" t="s">
        <v>196</v>
      </c>
      <c r="B6" s="129">
        <v>1475.2783888604056</v>
      </c>
      <c r="C6" s="130"/>
      <c r="E6" s="27" t="s">
        <v>68</v>
      </c>
      <c r="F6" s="24" t="s">
        <v>12</v>
      </c>
      <c r="G6" s="12">
        <v>9</v>
      </c>
      <c r="H6" s="88">
        <f>IF(B$20=0,0,G6/B$20)</f>
        <v>0.3</v>
      </c>
      <c r="I6" s="58">
        <v>5</v>
      </c>
      <c r="K6" s="74">
        <v>4</v>
      </c>
      <c r="L6" s="119">
        <v>60</v>
      </c>
      <c r="M6" s="117">
        <v>1511.171240196672</v>
      </c>
      <c r="O6" s="74" t="s">
        <v>132</v>
      </c>
      <c r="P6" s="80">
        <f t="shared" si="0"/>
        <v>-457.14285714285717</v>
      </c>
      <c r="Q6" s="77">
        <v>14</v>
      </c>
      <c r="R6" s="64">
        <v>-6400</v>
      </c>
    </row>
    <row r="7" spans="1:18" x14ac:dyDescent="0.4">
      <c r="A7" s="19" t="s">
        <v>1</v>
      </c>
      <c r="B7" s="139">
        <f>IF(B$2=0,0,(B$8*1+B$9*2+B$10*3)/B$2)</f>
        <v>2.2222222222222223</v>
      </c>
      <c r="C7" s="140"/>
      <c r="E7" s="27" t="s">
        <v>89</v>
      </c>
      <c r="F7" s="24" t="s">
        <v>44</v>
      </c>
      <c r="G7" s="12">
        <v>6</v>
      </c>
      <c r="H7" s="88">
        <f>IF(B$20=0,0,G7/B$20)</f>
        <v>0.2</v>
      </c>
      <c r="I7" s="58">
        <v>3</v>
      </c>
      <c r="K7" s="74">
        <v>5</v>
      </c>
      <c r="L7" s="119">
        <v>6.2000000000000028</v>
      </c>
      <c r="M7" s="117">
        <v>1501.672212755492</v>
      </c>
      <c r="O7" s="75" t="s">
        <v>133</v>
      </c>
      <c r="P7" s="81">
        <f t="shared" si="0"/>
        <v>1700</v>
      </c>
      <c r="Q7" s="78">
        <v>12</v>
      </c>
      <c r="R7" s="65">
        <v>20400</v>
      </c>
    </row>
    <row r="8" spans="1:18" x14ac:dyDescent="0.4">
      <c r="A8" s="19" t="s">
        <v>2</v>
      </c>
      <c r="B8" s="12">
        <v>4</v>
      </c>
      <c r="C8" s="6">
        <f t="shared" ref="C8:C15" si="1">IF(B$2=0,0,B8/B$2)</f>
        <v>0.22222222222222221</v>
      </c>
      <c r="E8" s="27" t="s">
        <v>65</v>
      </c>
      <c r="F8" s="24" t="s">
        <v>21</v>
      </c>
      <c r="G8" s="12">
        <v>5</v>
      </c>
      <c r="H8" s="88">
        <f>IF(B$20=0,0,G8/B$20)</f>
        <v>0.16666666666666666</v>
      </c>
      <c r="I8" s="58">
        <v>2</v>
      </c>
      <c r="K8" s="74">
        <v>6</v>
      </c>
      <c r="L8" s="119">
        <v>30.000000000000004</v>
      </c>
      <c r="M8" s="117">
        <v>1506.198179478959</v>
      </c>
      <c r="O8" s="107"/>
      <c r="P8" s="85"/>
      <c r="Q8" s="108"/>
      <c r="R8" s="70"/>
    </row>
    <row r="9" spans="1:18" x14ac:dyDescent="0.4">
      <c r="A9" s="19" t="s">
        <v>3</v>
      </c>
      <c r="B9" s="12">
        <v>6</v>
      </c>
      <c r="C9" s="6">
        <f t="shared" si="1"/>
        <v>0.33333333333333331</v>
      </c>
      <c r="E9" s="27" t="s">
        <v>67</v>
      </c>
      <c r="F9" s="24" t="s">
        <v>23</v>
      </c>
      <c r="G9" s="12">
        <v>4</v>
      </c>
      <c r="H9" s="88">
        <f>IF(B$20=0,0,G9/B$20)</f>
        <v>0.13333333333333333</v>
      </c>
      <c r="I9" s="58">
        <v>10</v>
      </c>
      <c r="K9" s="74">
        <v>7</v>
      </c>
      <c r="L9" s="119">
        <v>1.2000000000000028</v>
      </c>
      <c r="M9" s="117">
        <v>1501.0189904020851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8</v>
      </c>
      <c r="C10" s="7">
        <f t="shared" si="1"/>
        <v>0.44444444444444442</v>
      </c>
      <c r="E10" s="27" t="s">
        <v>70</v>
      </c>
      <c r="F10" s="24" t="s">
        <v>25</v>
      </c>
      <c r="G10" s="12">
        <v>4</v>
      </c>
      <c r="H10" s="88">
        <f>IF(B$20=0,0,G10/B$20)</f>
        <v>0.13333333333333333</v>
      </c>
      <c r="I10" s="58">
        <v>3</v>
      </c>
      <c r="K10" s="74">
        <v>8</v>
      </c>
      <c r="L10" s="119">
        <v>40.900000000000006</v>
      </c>
      <c r="M10" s="117">
        <v>1508.8788764596727</v>
      </c>
      <c r="O10" s="73" t="s">
        <v>151</v>
      </c>
      <c r="P10" s="82">
        <f>IF(Q10=0,0,R10/Q10)</f>
        <v>-13.649999999999999</v>
      </c>
      <c r="Q10" s="76">
        <v>6</v>
      </c>
      <c r="R10" s="67">
        <v>-81.899999999999991</v>
      </c>
    </row>
    <row r="11" spans="1:18" x14ac:dyDescent="0.4">
      <c r="A11" s="20" t="s">
        <v>184</v>
      </c>
      <c r="B11" s="109">
        <f>IF(B8=0,0,C11/B8)</f>
        <v>38.875</v>
      </c>
      <c r="C11" s="110">
        <v>155.5</v>
      </c>
      <c r="E11" s="27" t="s">
        <v>86</v>
      </c>
      <c r="F11" s="24" t="s">
        <v>41</v>
      </c>
      <c r="G11" s="12">
        <v>3</v>
      </c>
      <c r="H11" s="88">
        <f>IF(B$20=0,0,G11/B$20)</f>
        <v>0.1</v>
      </c>
      <c r="I11" s="58">
        <v>1</v>
      </c>
      <c r="K11" s="74">
        <v>9</v>
      </c>
      <c r="L11" s="119">
        <v>21.100000000000005</v>
      </c>
      <c r="M11" s="117">
        <v>1505.9816032009146</v>
      </c>
      <c r="O11" s="74" t="s">
        <v>152</v>
      </c>
      <c r="P11" s="83">
        <f>IF(Q11=0,0,R11/Q11)</f>
        <v>-22.083333333333332</v>
      </c>
      <c r="Q11" s="77">
        <v>6</v>
      </c>
      <c r="R11" s="68">
        <v>-132.5</v>
      </c>
    </row>
    <row r="12" spans="1:18" x14ac:dyDescent="0.4">
      <c r="A12" s="20" t="s">
        <v>185</v>
      </c>
      <c r="B12" s="109">
        <f>IF(B9=0,0,C12/B9)</f>
        <v>-3.35</v>
      </c>
      <c r="C12" s="110">
        <v>-20.100000000000001</v>
      </c>
      <c r="E12" s="27" t="s">
        <v>69</v>
      </c>
      <c r="F12" s="24" t="s">
        <v>24</v>
      </c>
      <c r="G12" s="12">
        <v>2</v>
      </c>
      <c r="H12" s="88">
        <f>IF(B$20=0,0,G12/B$20)</f>
        <v>6.6666666666666666E-2</v>
      </c>
      <c r="I12" s="58">
        <v>9</v>
      </c>
      <c r="K12" s="74">
        <v>10</v>
      </c>
      <c r="L12" s="119">
        <v>14.100000000000005</v>
      </c>
      <c r="M12" s="117">
        <v>1505.4057135817091</v>
      </c>
      <c r="O12" s="75" t="s">
        <v>153</v>
      </c>
      <c r="P12" s="84">
        <f>IF(Q12=0,0,R12/Q12)</f>
        <v>5.6833333333333336</v>
      </c>
      <c r="Q12" s="78">
        <v>6</v>
      </c>
      <c r="R12" s="69">
        <v>34.1</v>
      </c>
    </row>
    <row r="13" spans="1:18" x14ac:dyDescent="0.4">
      <c r="A13" s="20" t="s">
        <v>186</v>
      </c>
      <c r="B13" s="109">
        <f>IF(B10=0,0,C13/B10)</f>
        <v>-39.462499999999999</v>
      </c>
      <c r="C13" s="110">
        <v>-315.7</v>
      </c>
      <c r="E13" s="27" t="s">
        <v>71</v>
      </c>
      <c r="F13" s="24" t="s">
        <v>26</v>
      </c>
      <c r="G13" s="12">
        <v>2</v>
      </c>
      <c r="H13" s="88">
        <f>IF(B$20=0,0,G13/B$20)</f>
        <v>6.6666666666666666E-2</v>
      </c>
      <c r="I13" s="58">
        <v>4</v>
      </c>
      <c r="K13" s="74">
        <v>11</v>
      </c>
      <c r="L13" s="119">
        <v>-20.399999999999995</v>
      </c>
      <c r="M13" s="117">
        <v>1499.1032793002189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-1.3125</v>
      </c>
      <c r="C14" s="126"/>
      <c r="E14" s="27" t="s">
        <v>77</v>
      </c>
      <c r="F14" s="24" t="s">
        <v>32</v>
      </c>
      <c r="G14" s="12">
        <v>2</v>
      </c>
      <c r="H14" s="88">
        <f>IF(B$20=0,0,G14/B$20)</f>
        <v>6.6666666666666666E-2</v>
      </c>
      <c r="I14" s="58">
        <v>1</v>
      </c>
      <c r="K14" s="74">
        <v>12</v>
      </c>
      <c r="L14" s="119">
        <v>-16.299999999999997</v>
      </c>
      <c r="M14" s="117">
        <v>1500.7526596244177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0.1111111111111111</v>
      </c>
      <c r="E15" s="27" t="s">
        <v>81</v>
      </c>
      <c r="F15" s="24" t="s">
        <v>36</v>
      </c>
      <c r="G15" s="12">
        <v>1</v>
      </c>
      <c r="H15" s="88">
        <f>IF(B$20=0,0,G15/B$20)</f>
        <v>3.3333333333333333E-2</v>
      </c>
      <c r="I15" s="58">
        <v>8</v>
      </c>
      <c r="K15" s="74">
        <v>13</v>
      </c>
      <c r="L15" s="119">
        <v>-54.199999999999996</v>
      </c>
      <c r="M15" s="117">
        <v>1494.8321436666711</v>
      </c>
      <c r="O15" s="73" t="s">
        <v>193</v>
      </c>
      <c r="P15" s="82">
        <f t="shared" ref="P15:P20" si="2">IF(Q15=0,0,R15/Q15)</f>
        <v>27.925000000000001</v>
      </c>
      <c r="Q15" s="76">
        <v>4</v>
      </c>
      <c r="R15" s="67">
        <v>111.7</v>
      </c>
    </row>
    <row r="16" spans="1:18" x14ac:dyDescent="0.4">
      <c r="A16" s="22" t="s">
        <v>121</v>
      </c>
      <c r="B16" s="15">
        <v>32</v>
      </c>
      <c r="C16" s="10">
        <f>IF(B$3=0,0,B16/B$3)</f>
        <v>0.22857142857142856</v>
      </c>
      <c r="E16" s="27" t="s">
        <v>85</v>
      </c>
      <c r="F16" s="24" t="s">
        <v>40</v>
      </c>
      <c r="G16" s="12">
        <v>1</v>
      </c>
      <c r="H16" s="88">
        <f>IF(B$20=0,0,G16/B$20)</f>
        <v>3.3333333333333333E-2</v>
      </c>
      <c r="I16" s="58">
        <v>1</v>
      </c>
      <c r="K16" s="74">
        <v>14</v>
      </c>
      <c r="L16" s="119">
        <v>-95.6</v>
      </c>
      <c r="M16" s="117">
        <v>1488.317150804671</v>
      </c>
      <c r="O16" s="74" t="s">
        <v>126</v>
      </c>
      <c r="P16" s="83">
        <f t="shared" si="2"/>
        <v>-11.879999999999999</v>
      </c>
      <c r="Q16" s="77">
        <v>10</v>
      </c>
      <c r="R16" s="68">
        <v>-118.8</v>
      </c>
    </row>
    <row r="17" spans="1:18" x14ac:dyDescent="0.4">
      <c r="A17" s="19" t="s">
        <v>118</v>
      </c>
      <c r="B17" s="12">
        <v>24</v>
      </c>
      <c r="C17" s="6">
        <f>IF(B$3=0,0,B17/B$3)</f>
        <v>0.17142857142857143</v>
      </c>
      <c r="E17" s="27" t="s">
        <v>73</v>
      </c>
      <c r="F17" s="24" t="s">
        <v>28</v>
      </c>
      <c r="G17" s="12">
        <v>0</v>
      </c>
      <c r="H17" s="88">
        <f>IF(B$20=0,0,G17/B$20)</f>
        <v>0</v>
      </c>
      <c r="I17" s="58">
        <v>6</v>
      </c>
      <c r="K17" s="74">
        <v>15</v>
      </c>
      <c r="L17" s="119">
        <v>-144.6</v>
      </c>
      <c r="M17" s="117">
        <v>1480.185247899843</v>
      </c>
      <c r="O17" s="74" t="s">
        <v>211</v>
      </c>
      <c r="P17" s="83">
        <f t="shared" si="2"/>
        <v>-16.453846153846158</v>
      </c>
      <c r="Q17" s="77">
        <v>13</v>
      </c>
      <c r="R17" s="68">
        <v>-213.90000000000003</v>
      </c>
    </row>
    <row r="18" spans="1:18" x14ac:dyDescent="0.4">
      <c r="A18" s="18" t="s">
        <v>123</v>
      </c>
      <c r="B18" s="11">
        <f>B24</f>
        <v>14</v>
      </c>
      <c r="C18" s="5">
        <f>IF(B$16=0,0,B18/B$16)</f>
        <v>0.4375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1</v>
      </c>
      <c r="K18" s="74">
        <v>16</v>
      </c>
      <c r="L18" s="119">
        <v>-148.19999999999999</v>
      </c>
      <c r="M18" s="117">
        <v>1480.2801364124439</v>
      </c>
      <c r="O18" s="74" t="s">
        <v>192</v>
      </c>
      <c r="P18" s="83">
        <f t="shared" si="2"/>
        <v>-35.1</v>
      </c>
      <c r="Q18" s="77">
        <v>1</v>
      </c>
      <c r="R18" s="68">
        <v>-35.1</v>
      </c>
    </row>
    <row r="19" spans="1:18" x14ac:dyDescent="0.4">
      <c r="A19" s="18" t="s">
        <v>124</v>
      </c>
      <c r="B19" s="11">
        <f>B25</f>
        <v>7</v>
      </c>
      <c r="C19" s="5">
        <f>IF(B$17=0,0,B19/B$17)</f>
        <v>0.29166666666666669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5</v>
      </c>
      <c r="K19" s="74">
        <v>17</v>
      </c>
      <c r="L19" s="119">
        <v>-150</v>
      </c>
      <c r="M19" s="117">
        <v>1480.3444555939693</v>
      </c>
      <c r="O19" s="74" t="s">
        <v>189</v>
      </c>
      <c r="P19" s="83">
        <f t="shared" si="2"/>
        <v>-35.5</v>
      </c>
      <c r="Q19" s="77">
        <v>1</v>
      </c>
      <c r="R19" s="68">
        <v>-35.5</v>
      </c>
    </row>
    <row r="20" spans="1:18" x14ac:dyDescent="0.4">
      <c r="A20" s="18" t="s">
        <v>10</v>
      </c>
      <c r="B20" s="11">
        <f>B23+B22</f>
        <v>30</v>
      </c>
      <c r="C20" s="5">
        <f>IF(B$3=0,0,B20/B$3)</f>
        <v>0.21428571428571427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1</v>
      </c>
      <c r="K20" s="74">
        <v>18</v>
      </c>
      <c r="L20" s="119">
        <v>-180.3</v>
      </c>
      <c r="M20" s="117">
        <v>1475.2783888604056</v>
      </c>
      <c r="O20" s="74" t="s">
        <v>163</v>
      </c>
      <c r="P20" s="83">
        <f t="shared" si="2"/>
        <v>-35.614285714285714</v>
      </c>
      <c r="Q20" s="77">
        <v>7</v>
      </c>
      <c r="R20" s="68">
        <v>-249.3</v>
      </c>
    </row>
    <row r="21" spans="1:18" x14ac:dyDescent="0.4">
      <c r="A21" s="19" t="s">
        <v>13</v>
      </c>
      <c r="B21" s="12">
        <v>29</v>
      </c>
      <c r="C21" s="6">
        <f>IF(B$3=0,0,B21/B$3)</f>
        <v>0.20714285714285716</v>
      </c>
      <c r="E21" s="27" t="s">
        <v>78</v>
      </c>
      <c r="F21" s="24" t="s">
        <v>33</v>
      </c>
      <c r="G21" s="12">
        <v>0</v>
      </c>
      <c r="H21" s="88">
        <f>IF(B$20=0,0,G21/B$20)</f>
        <v>0</v>
      </c>
      <c r="I21" s="58">
        <v>9</v>
      </c>
    </row>
    <row r="22" spans="1:18" x14ac:dyDescent="0.4">
      <c r="A22" s="19" t="s">
        <v>12</v>
      </c>
      <c r="B22" s="12">
        <v>13</v>
      </c>
      <c r="C22" s="6">
        <f>IF(B$20=0,0,B22/B$20)</f>
        <v>0.43333333333333335</v>
      </c>
      <c r="E22" s="27" t="s">
        <v>79</v>
      </c>
      <c r="F22" s="24" t="s">
        <v>34</v>
      </c>
      <c r="G22" s="12">
        <v>0</v>
      </c>
      <c r="H22" s="88">
        <f>IF(B$20=0,0,G22/B$20)</f>
        <v>0</v>
      </c>
      <c r="I22" s="58">
        <v>7</v>
      </c>
    </row>
    <row r="23" spans="1:18" x14ac:dyDescent="0.4">
      <c r="A23" s="19" t="s">
        <v>11</v>
      </c>
      <c r="B23" s="12">
        <v>17</v>
      </c>
      <c r="C23" s="6">
        <f>IF(B$20=0,0,B23/B$20)</f>
        <v>0.56666666666666665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3</v>
      </c>
    </row>
    <row r="24" spans="1:18" x14ac:dyDescent="0.4">
      <c r="A24" s="19" t="s">
        <v>183</v>
      </c>
      <c r="B24" s="12">
        <v>14</v>
      </c>
      <c r="C24" s="6">
        <f>IF(B$20=0,0,B24/B$20)</f>
        <v>0.46666666666666667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">
      <c r="A25" s="19" t="s">
        <v>181</v>
      </c>
      <c r="B25" s="12">
        <v>7</v>
      </c>
      <c r="C25" s="6">
        <f>IF(B$20=0,0,B25/B$20)</f>
        <v>0.23333333333333334</v>
      </c>
      <c r="E25" s="27" t="s">
        <v>83</v>
      </c>
      <c r="F25" s="24" t="s">
        <v>38</v>
      </c>
      <c r="G25" s="12">
        <v>0</v>
      </c>
      <c r="H25" s="88">
        <f>IF(B$20=0,0,G25/B$20)</f>
        <v>0</v>
      </c>
      <c r="I25" s="58">
        <v>9</v>
      </c>
    </row>
    <row r="26" spans="1:18" x14ac:dyDescent="0.4">
      <c r="A26" s="19" t="s">
        <v>182</v>
      </c>
      <c r="B26" s="12">
        <v>9</v>
      </c>
      <c r="C26" s="6">
        <f>IF(B$20=0,0,B26/B$20)</f>
        <v>0.3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</row>
    <row r="27" spans="1:18" x14ac:dyDescent="0.4">
      <c r="A27" s="19" t="s">
        <v>5</v>
      </c>
      <c r="B27" s="16">
        <f>IF(B$20=0,0,C27/B$20)</f>
        <v>7183.333333333333</v>
      </c>
      <c r="C27" s="8">
        <v>215500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7878.260869565217</v>
      </c>
      <c r="C28" s="96">
        <v>181200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5</v>
      </c>
    </row>
    <row r="29" spans="1:18" x14ac:dyDescent="0.4">
      <c r="A29" s="20" t="s">
        <v>166</v>
      </c>
      <c r="B29" s="95">
        <f>IF(B$19=0,0,C29/B$19)</f>
        <v>4900</v>
      </c>
      <c r="C29" s="96">
        <v>34300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">
      <c r="A30" s="20" t="s">
        <v>164</v>
      </c>
      <c r="B30" s="95">
        <f>IF(B$21=0,0,C30/B$21)</f>
        <v>-7886.2068965517237</v>
      </c>
      <c r="C30" s="96">
        <v>-228700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6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">
      <c r="A32" s="19" t="s">
        <v>158</v>
      </c>
      <c r="B32" s="12">
        <v>17</v>
      </c>
      <c r="C32" s="90">
        <v>4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">
      <c r="A33" s="54" t="s">
        <v>136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29">
        <v>74600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6</v>
      </c>
      <c r="C37" s="98">
        <f t="shared" ref="C37:C49" si="3">IF(B$20=0,0,B37/B$20)</f>
        <v>0.2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6</v>
      </c>
      <c r="C38" s="6">
        <f t="shared" si="3"/>
        <v>0.2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1</v>
      </c>
      <c r="C39" s="6">
        <f t="shared" si="3"/>
        <v>3.3333333333333333E-2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6</v>
      </c>
      <c r="C40" s="6">
        <f t="shared" si="3"/>
        <v>0.2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5</v>
      </c>
      <c r="C41" s="6">
        <f t="shared" si="3"/>
        <v>0.16666666666666666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3</v>
      </c>
      <c r="C42" s="6">
        <f t="shared" si="3"/>
        <v>0.1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2</v>
      </c>
      <c r="C43" s="6">
        <f t="shared" si="3"/>
        <v>6.6666666666666666E-2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1</v>
      </c>
      <c r="C44" s="6">
        <f t="shared" si="3"/>
        <v>3.3333333333333333E-2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3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3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D95A21-371B-45C3-BF00-AE696F1CF31F}">
  <sheetPr codeName="Sheet2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193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4</v>
      </c>
      <c r="C2" s="134"/>
      <c r="E2" s="26" t="s">
        <v>72</v>
      </c>
      <c r="F2" s="23" t="s">
        <v>27</v>
      </c>
      <c r="G2" s="11">
        <v>7</v>
      </c>
      <c r="H2" s="87">
        <f>IF(B$20=0,0,G2/B$20)</f>
        <v>0.875</v>
      </c>
      <c r="I2" s="57">
        <v>2</v>
      </c>
      <c r="K2" s="73">
        <v>0</v>
      </c>
      <c r="L2" s="118">
        <v>0</v>
      </c>
      <c r="M2" s="116">
        <v>1348.2487416206377</v>
      </c>
      <c r="O2" s="73" t="s">
        <v>128</v>
      </c>
      <c r="P2" s="79">
        <f t="shared" ref="P2:P7" si="0">IF(Q2=0,0,R2/Q2)</f>
        <v>-6625</v>
      </c>
      <c r="Q2" s="76">
        <v>4</v>
      </c>
      <c r="R2" s="63">
        <v>-26500</v>
      </c>
    </row>
    <row r="3" spans="1:18" x14ac:dyDescent="0.4">
      <c r="A3" s="19" t="s">
        <v>8</v>
      </c>
      <c r="B3" s="135">
        <v>35</v>
      </c>
      <c r="C3" s="136"/>
      <c r="E3" s="27" t="s">
        <v>66</v>
      </c>
      <c r="F3" s="24" t="s">
        <v>22</v>
      </c>
      <c r="G3" s="12">
        <v>6</v>
      </c>
      <c r="H3" s="88">
        <f>IF(B$20=0,0,G3/B$20)</f>
        <v>0.75</v>
      </c>
      <c r="I3" s="58">
        <v>8</v>
      </c>
      <c r="K3" s="74">
        <v>1</v>
      </c>
      <c r="L3" s="119">
        <v>-38</v>
      </c>
      <c r="M3" s="117">
        <v>1342.2952491709138</v>
      </c>
      <c r="O3" s="74" t="s">
        <v>129</v>
      </c>
      <c r="P3" s="80">
        <f t="shared" si="0"/>
        <v>-1125</v>
      </c>
      <c r="Q3" s="77">
        <v>4</v>
      </c>
      <c r="R3" s="64">
        <v>-4500</v>
      </c>
    </row>
    <row r="4" spans="1:18" x14ac:dyDescent="0.4">
      <c r="A4" s="19" t="s">
        <v>6</v>
      </c>
      <c r="B4" s="137">
        <v>-51.699999999999996</v>
      </c>
      <c r="C4" s="138"/>
      <c r="E4" s="27" t="s">
        <v>89</v>
      </c>
      <c r="F4" s="24" t="s">
        <v>44</v>
      </c>
      <c r="G4" s="12">
        <v>3</v>
      </c>
      <c r="H4" s="88">
        <f>IF(B$20=0,0,G4/B$20)</f>
        <v>0.375</v>
      </c>
      <c r="I4" s="58">
        <v>1</v>
      </c>
      <c r="K4" s="74">
        <v>2</v>
      </c>
      <c r="L4" s="119">
        <v>-18</v>
      </c>
      <c r="M4" s="117">
        <v>1346.5174776758884</v>
      </c>
      <c r="O4" s="74" t="s">
        <v>130</v>
      </c>
      <c r="P4" s="80">
        <f t="shared" si="0"/>
        <v>6750</v>
      </c>
      <c r="Q4" s="77">
        <v>4</v>
      </c>
      <c r="R4" s="64">
        <v>27000</v>
      </c>
    </row>
    <row r="5" spans="1:18" x14ac:dyDescent="0.4">
      <c r="A5" s="19" t="s">
        <v>7</v>
      </c>
      <c r="B5" s="125">
        <f>IF(B$2=0,0,B$4/B$2)</f>
        <v>-12.924999999999999</v>
      </c>
      <c r="C5" s="126"/>
      <c r="E5" s="27" t="s">
        <v>159</v>
      </c>
      <c r="F5" s="24" t="s">
        <v>160</v>
      </c>
      <c r="G5" s="12">
        <v>3</v>
      </c>
      <c r="H5" s="88">
        <f>IF(B$20=0,0,G5/B$20)</f>
        <v>0.375</v>
      </c>
      <c r="I5" s="58">
        <v>7</v>
      </c>
      <c r="K5" s="74">
        <v>3</v>
      </c>
      <c r="L5" s="119">
        <v>-14.9</v>
      </c>
      <c r="M5" s="117">
        <v>1348.410372809833</v>
      </c>
      <c r="O5" s="74" t="s">
        <v>131</v>
      </c>
      <c r="P5" s="80">
        <f t="shared" si="0"/>
        <v>-766.66666666666663</v>
      </c>
      <c r="Q5" s="77">
        <v>3</v>
      </c>
      <c r="R5" s="64">
        <v>-2300</v>
      </c>
    </row>
    <row r="6" spans="1:18" x14ac:dyDescent="0.4">
      <c r="A6" s="19" t="s">
        <v>196</v>
      </c>
      <c r="B6" s="129">
        <v>1343.1099105729741</v>
      </c>
      <c r="C6" s="130"/>
      <c r="E6" s="27" t="s">
        <v>64</v>
      </c>
      <c r="F6" s="24" t="s">
        <v>20</v>
      </c>
      <c r="G6" s="12">
        <v>2</v>
      </c>
      <c r="H6" s="88">
        <f>IF(B$20=0,0,G6/B$20)</f>
        <v>0.25</v>
      </c>
      <c r="I6" s="58">
        <v>10</v>
      </c>
      <c r="K6" s="74">
        <v>4</v>
      </c>
      <c r="L6" s="119">
        <v>-51.699999999999996</v>
      </c>
      <c r="M6" s="117">
        <v>1343.1099105729741</v>
      </c>
      <c r="O6" s="74" t="s">
        <v>132</v>
      </c>
      <c r="P6" s="80">
        <f t="shared" si="0"/>
        <v>-4000</v>
      </c>
      <c r="Q6" s="77">
        <v>3</v>
      </c>
      <c r="R6" s="64">
        <v>-12000</v>
      </c>
    </row>
    <row r="7" spans="1:18" x14ac:dyDescent="0.4">
      <c r="A7" s="19" t="s">
        <v>1</v>
      </c>
      <c r="B7" s="139">
        <f>IF(B$2=0,0,(B$8*1+B$9*2+B$10*3)/B$2)</f>
        <v>2.25</v>
      </c>
      <c r="C7" s="140"/>
      <c r="E7" s="27" t="s">
        <v>68</v>
      </c>
      <c r="F7" s="24" t="s">
        <v>12</v>
      </c>
      <c r="G7" s="12">
        <v>2</v>
      </c>
      <c r="H7" s="88">
        <f>IF(B$20=0,0,G7/B$20)</f>
        <v>0.25</v>
      </c>
      <c r="I7" s="58">
        <v>10</v>
      </c>
      <c r="O7" s="75" t="s">
        <v>133</v>
      </c>
      <c r="P7" s="81">
        <f t="shared" si="0"/>
        <v>-7800</v>
      </c>
      <c r="Q7" s="78">
        <v>3</v>
      </c>
      <c r="R7" s="65">
        <v>-23400</v>
      </c>
    </row>
    <row r="8" spans="1:18" x14ac:dyDescent="0.4">
      <c r="A8" s="19" t="s">
        <v>2</v>
      </c>
      <c r="B8" s="12">
        <v>1</v>
      </c>
      <c r="C8" s="6">
        <f t="shared" ref="C8:C15" si="1">IF(B$2=0,0,B8/B$2)</f>
        <v>0.25</v>
      </c>
      <c r="E8" s="27" t="s">
        <v>65</v>
      </c>
      <c r="F8" s="24" t="s">
        <v>21</v>
      </c>
      <c r="G8" s="12">
        <v>1</v>
      </c>
      <c r="H8" s="88">
        <f>IF(B$20=0,0,G8/B$20)</f>
        <v>0.125</v>
      </c>
      <c r="I8" s="58">
        <v>3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1"/>
        <v>0.25</v>
      </c>
      <c r="E9" s="27" t="s">
        <v>81</v>
      </c>
      <c r="F9" s="24" t="s">
        <v>36</v>
      </c>
      <c r="G9" s="12">
        <v>1</v>
      </c>
      <c r="H9" s="88">
        <f>IF(B$20=0,0,G9/B$20)</f>
        <v>0.125</v>
      </c>
      <c r="I9" s="58">
        <v>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</v>
      </c>
      <c r="C10" s="7">
        <f t="shared" si="1"/>
        <v>0.5</v>
      </c>
      <c r="E10" s="27" t="s">
        <v>83</v>
      </c>
      <c r="F10" s="24" t="s">
        <v>38</v>
      </c>
      <c r="G10" s="12">
        <v>1</v>
      </c>
      <c r="H10" s="88">
        <f>IF(B$20=0,0,G10/B$20)</f>
        <v>0.125</v>
      </c>
      <c r="I10" s="58">
        <v>1</v>
      </c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184</v>
      </c>
      <c r="B11" s="109">
        <f>IF(B8=0,0,C11/B8)</f>
        <v>20</v>
      </c>
      <c r="C11" s="110">
        <v>20</v>
      </c>
      <c r="E11" s="27" t="s">
        <v>67</v>
      </c>
      <c r="F11" s="24" t="s">
        <v>23</v>
      </c>
      <c r="G11" s="12">
        <v>0</v>
      </c>
      <c r="H11" s="88">
        <f>IF(B$20=0,0,G11/B$20)</f>
        <v>0</v>
      </c>
      <c r="I11" s="58">
        <v>11</v>
      </c>
      <c r="O11" s="74" t="s">
        <v>152</v>
      </c>
      <c r="P11" s="83">
        <f>IF(Q11=0,0,R11/Q11)</f>
        <v>20</v>
      </c>
      <c r="Q11" s="77">
        <v>1</v>
      </c>
      <c r="R11" s="68">
        <v>20</v>
      </c>
    </row>
    <row r="12" spans="1:18" x14ac:dyDescent="0.4">
      <c r="A12" s="20" t="s">
        <v>185</v>
      </c>
      <c r="B12" s="109">
        <f>IF(B9=0,0,C12/B9)</f>
        <v>3.1</v>
      </c>
      <c r="C12" s="110">
        <v>3.1</v>
      </c>
      <c r="E12" s="27" t="s">
        <v>69</v>
      </c>
      <c r="F12" s="24" t="s">
        <v>24</v>
      </c>
      <c r="G12" s="12">
        <v>0</v>
      </c>
      <c r="H12" s="88">
        <f>IF(B$20=0,0,G12/B$20)</f>
        <v>0</v>
      </c>
      <c r="I12" s="58">
        <v>10</v>
      </c>
      <c r="O12" s="75" t="s">
        <v>153</v>
      </c>
      <c r="P12" s="84">
        <f>IF(Q12=0,0,R12/Q12)</f>
        <v>-23.899999999999995</v>
      </c>
      <c r="Q12" s="78">
        <v>3</v>
      </c>
      <c r="R12" s="69">
        <v>-71.699999999999989</v>
      </c>
    </row>
    <row r="13" spans="1:18" x14ac:dyDescent="0.4">
      <c r="A13" s="20" t="s">
        <v>186</v>
      </c>
      <c r="B13" s="109">
        <f>IF(B10=0,0,C13/B10)</f>
        <v>-37.4</v>
      </c>
      <c r="C13" s="110">
        <v>-74.8</v>
      </c>
      <c r="E13" s="27" t="s">
        <v>70</v>
      </c>
      <c r="F13" s="24" t="s">
        <v>25</v>
      </c>
      <c r="G13" s="12">
        <v>0</v>
      </c>
      <c r="H13" s="88">
        <f>IF(B$20=0,0,G13/B$20)</f>
        <v>0</v>
      </c>
      <c r="I13" s="58">
        <v>10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-4.7666666666666657</v>
      </c>
      <c r="C14" s="126"/>
      <c r="E14" s="27" t="s">
        <v>71</v>
      </c>
      <c r="F14" s="24" t="s">
        <v>26</v>
      </c>
      <c r="G14" s="12">
        <v>0</v>
      </c>
      <c r="H14" s="88">
        <f>IF(B$20=0,0,G14/B$20)</f>
        <v>0</v>
      </c>
      <c r="I14" s="58">
        <v>9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73</v>
      </c>
      <c r="F15" s="24" t="s">
        <v>28</v>
      </c>
      <c r="G15" s="12">
        <v>0</v>
      </c>
      <c r="H15" s="88">
        <f>IF(B$20=0,0,G15/B$20)</f>
        <v>0</v>
      </c>
      <c r="I15" s="58">
        <v>6</v>
      </c>
      <c r="O15" s="73" t="s">
        <v>211</v>
      </c>
      <c r="P15" s="82">
        <f>IF(Q15=0,0,R15/Q15)</f>
        <v>7.1999999999999993</v>
      </c>
      <c r="Q15" s="76">
        <v>2</v>
      </c>
      <c r="R15" s="67">
        <v>14.399999999999999</v>
      </c>
    </row>
    <row r="16" spans="1:18" x14ac:dyDescent="0.4">
      <c r="A16" s="22" t="s">
        <v>121</v>
      </c>
      <c r="B16" s="15">
        <v>9</v>
      </c>
      <c r="C16" s="10">
        <f>IF(B$3=0,0,B16/B$3)</f>
        <v>0.25714285714285712</v>
      </c>
      <c r="E16" s="27" t="s">
        <v>74</v>
      </c>
      <c r="F16" s="24" t="s">
        <v>29</v>
      </c>
      <c r="G16" s="12">
        <v>0</v>
      </c>
      <c r="H16" s="88">
        <f>IF(B$20=0,0,G16/B$20)</f>
        <v>0</v>
      </c>
      <c r="I16" s="58">
        <v>1</v>
      </c>
      <c r="O16" s="74" t="s">
        <v>216</v>
      </c>
      <c r="P16" s="83">
        <f>IF(Q16=0,0,R16/Q16)</f>
        <v>-27.925000000000004</v>
      </c>
      <c r="Q16" s="77">
        <v>4</v>
      </c>
      <c r="R16" s="68">
        <v>-111.70000000000002</v>
      </c>
    </row>
    <row r="17" spans="1:18" x14ac:dyDescent="0.4">
      <c r="A17" s="19" t="s">
        <v>118</v>
      </c>
      <c r="B17" s="12">
        <v>10</v>
      </c>
      <c r="C17" s="6">
        <f>IF(B$3=0,0,B17/B$3)</f>
        <v>0.2857142857142857</v>
      </c>
      <c r="E17" s="27" t="s">
        <v>75</v>
      </c>
      <c r="F17" s="24" t="s">
        <v>30</v>
      </c>
      <c r="G17" s="12">
        <v>0</v>
      </c>
      <c r="H17" s="88">
        <f>IF(B$20=0,0,G17/B$20)</f>
        <v>0</v>
      </c>
      <c r="I17" s="58">
        <v>5</v>
      </c>
      <c r="O17" s="74" t="s">
        <v>126</v>
      </c>
      <c r="P17" s="83">
        <f>IF(Q17=0,0,R17/Q17)</f>
        <v>-28.9</v>
      </c>
      <c r="Q17" s="77">
        <v>2</v>
      </c>
      <c r="R17" s="68">
        <v>-57.8</v>
      </c>
    </row>
    <row r="18" spans="1:18" x14ac:dyDescent="0.4">
      <c r="A18" s="18" t="s">
        <v>123</v>
      </c>
      <c r="B18" s="11">
        <f>B24</f>
        <v>2</v>
      </c>
      <c r="C18" s="5">
        <f>IF(B$16=0,0,B18/B$16)</f>
        <v>0.22222222222222221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</row>
    <row r="19" spans="1:18" x14ac:dyDescent="0.4">
      <c r="A19" s="18" t="s">
        <v>124</v>
      </c>
      <c r="B19" s="11">
        <f>B25</f>
        <v>4</v>
      </c>
      <c r="C19" s="5">
        <f>IF(B$17=0,0,B19/B$17)</f>
        <v>0.4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3</v>
      </c>
    </row>
    <row r="20" spans="1:18" x14ac:dyDescent="0.4">
      <c r="A20" s="18" t="s">
        <v>10</v>
      </c>
      <c r="B20" s="11">
        <f>B23+B22</f>
        <v>8</v>
      </c>
      <c r="C20" s="5">
        <f>IF(B$3=0,0,B20/B$3)</f>
        <v>0.22857142857142856</v>
      </c>
      <c r="E20" s="27" t="s">
        <v>78</v>
      </c>
      <c r="F20" s="24" t="s">
        <v>33</v>
      </c>
      <c r="G20" s="12">
        <v>0</v>
      </c>
      <c r="H20" s="88">
        <f>IF(B$20=0,0,G20/B$20)</f>
        <v>0</v>
      </c>
      <c r="I20" s="58">
        <v>9</v>
      </c>
    </row>
    <row r="21" spans="1:18" x14ac:dyDescent="0.4">
      <c r="A21" s="19" t="s">
        <v>13</v>
      </c>
      <c r="B21" s="12">
        <v>8</v>
      </c>
      <c r="C21" s="6">
        <f>IF(B$3=0,0,B21/B$3)</f>
        <v>0.22857142857142856</v>
      </c>
      <c r="E21" s="27" t="s">
        <v>79</v>
      </c>
      <c r="F21" s="24" t="s">
        <v>34</v>
      </c>
      <c r="G21" s="12">
        <v>0</v>
      </c>
      <c r="H21" s="88">
        <f>IF(B$20=0,0,G21/B$20)</f>
        <v>0</v>
      </c>
      <c r="I21" s="58">
        <v>7</v>
      </c>
    </row>
    <row r="22" spans="1:18" x14ac:dyDescent="0.4">
      <c r="A22" s="19" t="s">
        <v>12</v>
      </c>
      <c r="B22" s="12">
        <v>2</v>
      </c>
      <c r="C22" s="6">
        <f>IF(B$20=0,0,B22/B$20)</f>
        <v>0.25</v>
      </c>
      <c r="E22" s="27" t="s">
        <v>80</v>
      </c>
      <c r="F22" s="24" t="s">
        <v>35</v>
      </c>
      <c r="G22" s="12">
        <v>0</v>
      </c>
      <c r="H22" s="88">
        <f>IF(B$20=0,0,G22/B$20)</f>
        <v>0</v>
      </c>
      <c r="I22" s="58">
        <v>3</v>
      </c>
    </row>
    <row r="23" spans="1:18" x14ac:dyDescent="0.4">
      <c r="A23" s="19" t="s">
        <v>11</v>
      </c>
      <c r="B23" s="12">
        <v>6</v>
      </c>
      <c r="C23" s="6">
        <f>IF(B$20=0,0,B23/B$20)</f>
        <v>0.75</v>
      </c>
      <c r="E23" s="27" t="s">
        <v>82</v>
      </c>
      <c r="F23" s="24" t="s">
        <v>37</v>
      </c>
      <c r="G23" s="12">
        <v>0</v>
      </c>
      <c r="H23" s="88">
        <f>IF(B$20=0,0,G23/B$20)</f>
        <v>0</v>
      </c>
      <c r="I23" s="58">
        <v>1</v>
      </c>
    </row>
    <row r="24" spans="1:18" x14ac:dyDescent="0.4">
      <c r="A24" s="19" t="s">
        <v>183</v>
      </c>
      <c r="B24" s="12">
        <v>2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18" x14ac:dyDescent="0.4">
      <c r="A25" s="19" t="s">
        <v>181</v>
      </c>
      <c r="B25" s="12">
        <v>4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">
      <c r="A26" s="19" t="s">
        <v>182</v>
      </c>
      <c r="B26" s="12">
        <v>2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">
      <c r="A27" s="19" t="s">
        <v>5</v>
      </c>
      <c r="B27" s="16">
        <f>IF(B$20=0,0,C27/B$20)</f>
        <v>8212.5</v>
      </c>
      <c r="C27" s="8">
        <v>65700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7725</v>
      </c>
      <c r="C28" s="96">
        <v>30900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5</v>
      </c>
    </row>
    <row r="29" spans="1:18" x14ac:dyDescent="0.4">
      <c r="A29" s="20" t="s">
        <v>166</v>
      </c>
      <c r="B29" s="95">
        <f>IF(B$19=0,0,C29/B$19)</f>
        <v>8700</v>
      </c>
      <c r="C29" s="96">
        <v>34800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">
      <c r="A30" s="20" t="s">
        <v>164</v>
      </c>
      <c r="B30" s="95">
        <f>IF(B$21=0,0,C30/B$21)</f>
        <v>-9387.5</v>
      </c>
      <c r="C30" s="96">
        <v>-75100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6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">
      <c r="A32" s="19" t="s">
        <v>158</v>
      </c>
      <c r="B32" s="12">
        <v>12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">
      <c r="A33" s="54" t="s">
        <v>136</v>
      </c>
      <c r="B33" s="127">
        <v>3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29">
        <v>45000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1</v>
      </c>
      <c r="C37" s="98">
        <f t="shared" ref="C37:C49" si="2">IF(B$20=0,0,B37/B$20)</f>
        <v>0.125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2</v>
      </c>
      <c r="C38" s="6">
        <f t="shared" si="2"/>
        <v>0.25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1</v>
      </c>
      <c r="C39" s="6">
        <f t="shared" si="2"/>
        <v>0.125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1</v>
      </c>
      <c r="C40" s="6">
        <f t="shared" si="2"/>
        <v>0.125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2</v>
      </c>
      <c r="C42" s="6">
        <f t="shared" si="2"/>
        <v>0.25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1</v>
      </c>
      <c r="C44" s="6">
        <f t="shared" si="2"/>
        <v>0.125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D61AC-7C06-42A1-83E6-B25AB9D8E714}">
  <sheetPr codeName="Sheet2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195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12</v>
      </c>
      <c r="C2" s="134"/>
      <c r="E2" s="26" t="s">
        <v>66</v>
      </c>
      <c r="F2" s="23" t="s">
        <v>22</v>
      </c>
      <c r="G2" s="11">
        <v>25</v>
      </c>
      <c r="H2" s="87">
        <f>IF(B$20=0,0,G2/B$20)</f>
        <v>0.86206896551724133</v>
      </c>
      <c r="I2" s="57">
        <v>4</v>
      </c>
      <c r="K2" s="73">
        <v>0</v>
      </c>
      <c r="L2" s="118">
        <v>0</v>
      </c>
      <c r="M2" s="116">
        <v>1392.8042574192286</v>
      </c>
      <c r="O2" s="73" t="s">
        <v>128</v>
      </c>
      <c r="P2" s="79">
        <f t="shared" ref="P2:P7" si="0">IF(Q2=0,0,R2/Q2)</f>
        <v>-4275</v>
      </c>
      <c r="Q2" s="76">
        <v>12</v>
      </c>
      <c r="R2" s="63">
        <v>-51300</v>
      </c>
    </row>
    <row r="3" spans="1:18" x14ac:dyDescent="0.4">
      <c r="A3" s="19" t="s">
        <v>8</v>
      </c>
      <c r="B3" s="135">
        <v>103</v>
      </c>
      <c r="C3" s="136"/>
      <c r="E3" s="27" t="s">
        <v>159</v>
      </c>
      <c r="F3" s="24" t="s">
        <v>160</v>
      </c>
      <c r="G3" s="12">
        <v>19</v>
      </c>
      <c r="H3" s="88">
        <f>IF(B$20=0,0,G3/B$20)</f>
        <v>0.65517241379310343</v>
      </c>
      <c r="I3" s="58">
        <v>1</v>
      </c>
      <c r="K3" s="74">
        <v>1</v>
      </c>
      <c r="L3" s="119">
        <v>-24.2</v>
      </c>
      <c r="M3" s="117">
        <v>1389.0734318747132</v>
      </c>
      <c r="O3" s="74" t="s">
        <v>129</v>
      </c>
      <c r="P3" s="80">
        <f t="shared" si="0"/>
        <v>4827.272727272727</v>
      </c>
      <c r="Q3" s="77">
        <v>11</v>
      </c>
      <c r="R3" s="64">
        <v>53100</v>
      </c>
    </row>
    <row r="4" spans="1:18" x14ac:dyDescent="0.4">
      <c r="A4" s="19" t="s">
        <v>6</v>
      </c>
      <c r="B4" s="137">
        <v>-39.5</v>
      </c>
      <c r="C4" s="138"/>
      <c r="E4" s="27" t="s">
        <v>64</v>
      </c>
      <c r="F4" s="24" t="s">
        <v>20</v>
      </c>
      <c r="G4" s="12">
        <v>16</v>
      </c>
      <c r="H4" s="88">
        <f>IF(B$20=0,0,G4/B$20)</f>
        <v>0.55172413793103448</v>
      </c>
      <c r="I4" s="58">
        <v>1</v>
      </c>
      <c r="K4" s="74">
        <v>2</v>
      </c>
      <c r="L4" s="119">
        <v>-6.1999999999999993</v>
      </c>
      <c r="M4" s="117">
        <v>1392.8109912834648</v>
      </c>
      <c r="O4" s="74" t="s">
        <v>130</v>
      </c>
      <c r="P4" s="80">
        <f t="shared" si="0"/>
        <v>666.66666666666663</v>
      </c>
      <c r="Q4" s="77">
        <v>12</v>
      </c>
      <c r="R4" s="64">
        <v>8000</v>
      </c>
    </row>
    <row r="5" spans="1:18" x14ac:dyDescent="0.4">
      <c r="A5" s="19" t="s">
        <v>7</v>
      </c>
      <c r="B5" s="125">
        <f>IF(B$2=0,0,B$4/B$2)</f>
        <v>-3.2916666666666665</v>
      </c>
      <c r="C5" s="126"/>
      <c r="E5" s="27" t="s">
        <v>68</v>
      </c>
      <c r="F5" s="24" t="s">
        <v>12</v>
      </c>
      <c r="G5" s="12">
        <v>15</v>
      </c>
      <c r="H5" s="88">
        <f>IF(B$20=0,0,G5/B$20)</f>
        <v>0.51724137931034486</v>
      </c>
      <c r="I5" s="58">
        <v>1</v>
      </c>
      <c r="K5" s="74">
        <v>3</v>
      </c>
      <c r="L5" s="119">
        <v>18.100000000000001</v>
      </c>
      <c r="M5" s="117">
        <v>1398.3621253357639</v>
      </c>
      <c r="O5" s="74" t="s">
        <v>131</v>
      </c>
      <c r="P5" s="80">
        <f t="shared" si="0"/>
        <v>-3233.3333333333335</v>
      </c>
      <c r="Q5" s="77">
        <v>12</v>
      </c>
      <c r="R5" s="64">
        <v>-38800</v>
      </c>
    </row>
    <row r="6" spans="1:18" x14ac:dyDescent="0.4">
      <c r="A6" s="19" t="s">
        <v>196</v>
      </c>
      <c r="B6" s="129">
        <v>1396.3170423346389</v>
      </c>
      <c r="C6" s="130"/>
      <c r="E6" s="27" t="s">
        <v>72</v>
      </c>
      <c r="F6" s="24" t="s">
        <v>27</v>
      </c>
      <c r="G6" s="12">
        <v>14</v>
      </c>
      <c r="H6" s="88">
        <f>IF(B$20=0,0,G6/B$20)</f>
        <v>0.48275862068965519</v>
      </c>
      <c r="I6" s="58">
        <v>11</v>
      </c>
      <c r="K6" s="74">
        <v>4</v>
      </c>
      <c r="L6" s="119">
        <v>-14.699999999999996</v>
      </c>
      <c r="M6" s="117">
        <v>1393.6019525837494</v>
      </c>
      <c r="O6" s="74" t="s">
        <v>132</v>
      </c>
      <c r="P6" s="80">
        <f t="shared" si="0"/>
        <v>-1363.6363636363637</v>
      </c>
      <c r="Q6" s="77">
        <v>11</v>
      </c>
      <c r="R6" s="64">
        <v>-15000</v>
      </c>
    </row>
    <row r="7" spans="1:18" x14ac:dyDescent="0.4">
      <c r="A7" s="19" t="s">
        <v>1</v>
      </c>
      <c r="B7" s="139">
        <f>IF(B$2=0,0,(B$8*1+B$9*2+B$10*3)/B$2)</f>
        <v>1.9166666666666667</v>
      </c>
      <c r="C7" s="140"/>
      <c r="E7" s="27" t="s">
        <v>67</v>
      </c>
      <c r="F7" s="24" t="s">
        <v>23</v>
      </c>
      <c r="G7" s="12">
        <v>9</v>
      </c>
      <c r="H7" s="88">
        <f>IF(B$20=0,0,G7/B$20)</f>
        <v>0.31034482758620691</v>
      </c>
      <c r="I7" s="58">
        <v>1</v>
      </c>
      <c r="K7" s="74">
        <v>5</v>
      </c>
      <c r="L7" s="119">
        <v>-66.8</v>
      </c>
      <c r="M7" s="117">
        <v>1385.3603408682468</v>
      </c>
      <c r="O7" s="75" t="s">
        <v>133</v>
      </c>
      <c r="P7" s="81">
        <f t="shared" si="0"/>
        <v>-500</v>
      </c>
      <c r="Q7" s="78">
        <v>11</v>
      </c>
      <c r="R7" s="65">
        <v>-5500</v>
      </c>
    </row>
    <row r="8" spans="1:18" x14ac:dyDescent="0.4">
      <c r="A8" s="19" t="s">
        <v>2</v>
      </c>
      <c r="B8" s="12">
        <v>6</v>
      </c>
      <c r="C8" s="6">
        <f t="shared" ref="C8:C15" si="1">IF(B$2=0,0,B8/B$2)</f>
        <v>0.5</v>
      </c>
      <c r="E8" s="27" t="s">
        <v>69</v>
      </c>
      <c r="F8" s="24" t="s">
        <v>24</v>
      </c>
      <c r="G8" s="12">
        <v>9</v>
      </c>
      <c r="H8" s="88">
        <f>IF(B$20=0,0,G8/B$20)</f>
        <v>0.31034482758620691</v>
      </c>
      <c r="I8" s="58">
        <v>1</v>
      </c>
      <c r="K8" s="74">
        <v>6</v>
      </c>
      <c r="L8" s="119">
        <v>-118.3</v>
      </c>
      <c r="M8" s="117">
        <v>1377.2761788230373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1"/>
        <v>8.3333333333333329E-2</v>
      </c>
      <c r="E9" s="27" t="s">
        <v>65</v>
      </c>
      <c r="F9" s="24" t="s">
        <v>21</v>
      </c>
      <c r="G9" s="12">
        <v>3</v>
      </c>
      <c r="H9" s="88">
        <f>IF(B$20=0,0,G9/B$20)</f>
        <v>0.10344827586206896</v>
      </c>
      <c r="I9" s="58">
        <v>4</v>
      </c>
      <c r="K9" s="74">
        <v>7</v>
      </c>
      <c r="L9" s="119">
        <v>-86.4</v>
      </c>
      <c r="M9" s="117">
        <v>1384.3245217500992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5</v>
      </c>
      <c r="C10" s="7">
        <f t="shared" si="1"/>
        <v>0.41666666666666669</v>
      </c>
      <c r="E10" s="27" t="s">
        <v>70</v>
      </c>
      <c r="F10" s="24" t="s">
        <v>25</v>
      </c>
      <c r="G10" s="12">
        <v>2</v>
      </c>
      <c r="H10" s="88">
        <f>IF(B$20=0,0,G10/B$20)</f>
        <v>6.8965517241379309E-2</v>
      </c>
      <c r="I10" s="58">
        <v>8</v>
      </c>
      <c r="K10" s="74">
        <v>8</v>
      </c>
      <c r="L10" s="119">
        <v>-45.7</v>
      </c>
      <c r="M10" s="117">
        <v>1392.9145746195986</v>
      </c>
      <c r="O10" s="73" t="s">
        <v>151</v>
      </c>
      <c r="P10" s="82">
        <f>IF(Q10=0,0,R10/Q10)</f>
        <v>-4.6499999999999995</v>
      </c>
      <c r="Q10" s="76">
        <v>2</v>
      </c>
      <c r="R10" s="67">
        <v>-9.2999999999999989</v>
      </c>
    </row>
    <row r="11" spans="1:18" x14ac:dyDescent="0.4">
      <c r="A11" s="20" t="s">
        <v>184</v>
      </c>
      <c r="B11" s="109">
        <f>IF(B8=0,0,C11/B8)</f>
        <v>25.716666666666665</v>
      </c>
      <c r="C11" s="110">
        <v>154.29999999999998</v>
      </c>
      <c r="E11" s="27" t="s">
        <v>75</v>
      </c>
      <c r="F11" s="24" t="s">
        <v>30</v>
      </c>
      <c r="G11" s="12">
        <v>1</v>
      </c>
      <c r="H11" s="88">
        <f>IF(B$20=0,0,G11/B$20)</f>
        <v>3.4482758620689655E-2</v>
      </c>
      <c r="I11" s="58">
        <v>1</v>
      </c>
      <c r="K11" s="74">
        <v>9</v>
      </c>
      <c r="L11" s="119">
        <v>-21.200000000000003</v>
      </c>
      <c r="M11" s="117">
        <v>1397.8590871718811</v>
      </c>
      <c r="O11" s="74" t="s">
        <v>152</v>
      </c>
      <c r="P11" s="83">
        <f>IF(Q11=0,0,R11/Q11)</f>
        <v>2.2000000000000006</v>
      </c>
      <c r="Q11" s="77">
        <v>3</v>
      </c>
      <c r="R11" s="68">
        <v>6.6000000000000014</v>
      </c>
    </row>
    <row r="12" spans="1:18" x14ac:dyDescent="0.4">
      <c r="A12" s="20" t="s">
        <v>185</v>
      </c>
      <c r="B12" s="109">
        <f>IF(B9=0,0,C12/B9)</f>
        <v>-9</v>
      </c>
      <c r="C12" s="110">
        <v>-9</v>
      </c>
      <c r="E12" s="27" t="s">
        <v>78</v>
      </c>
      <c r="F12" s="24" t="s">
        <v>33</v>
      </c>
      <c r="G12" s="12">
        <v>1</v>
      </c>
      <c r="H12" s="88">
        <f>IF(B$20=0,0,G12/B$20)</f>
        <v>3.4482758620689655E-2</v>
      </c>
      <c r="I12" s="58">
        <v>3</v>
      </c>
      <c r="K12" s="74">
        <v>10</v>
      </c>
      <c r="L12" s="119">
        <v>-6.3000000000000025</v>
      </c>
      <c r="M12" s="117">
        <v>1401.5799326488498</v>
      </c>
      <c r="O12" s="75" t="s">
        <v>153</v>
      </c>
      <c r="P12" s="84">
        <f>IF(Q12=0,0,R12/Q12)</f>
        <v>-5.2571428571428571</v>
      </c>
      <c r="Q12" s="78">
        <v>7</v>
      </c>
      <c r="R12" s="69">
        <v>-36.799999999999997</v>
      </c>
    </row>
    <row r="13" spans="1:18" x14ac:dyDescent="0.4">
      <c r="A13" s="20" t="s">
        <v>186</v>
      </c>
      <c r="B13" s="109">
        <f>IF(B10=0,0,C13/B10)</f>
        <v>-36.959999999999994</v>
      </c>
      <c r="C13" s="110">
        <v>-184.79999999999998</v>
      </c>
      <c r="E13" s="27" t="s">
        <v>81</v>
      </c>
      <c r="F13" s="24" t="s">
        <v>36</v>
      </c>
      <c r="G13" s="12">
        <v>1</v>
      </c>
      <c r="H13" s="88">
        <f>IF(B$20=0,0,G13/B$20)</f>
        <v>3.4482758620689655E-2</v>
      </c>
      <c r="I13" s="58">
        <v>6</v>
      </c>
      <c r="K13" s="74">
        <v>11</v>
      </c>
      <c r="L13" s="119">
        <v>-30.5</v>
      </c>
      <c r="M13" s="117">
        <v>1397.5684530529566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-6.7477777777777765</v>
      </c>
      <c r="C14" s="126"/>
      <c r="E14" s="27" t="s">
        <v>89</v>
      </c>
      <c r="F14" s="24" t="s">
        <v>44</v>
      </c>
      <c r="G14" s="12">
        <v>1</v>
      </c>
      <c r="H14" s="88">
        <f>IF(B$20=0,0,G14/B$20)</f>
        <v>3.4482758620689655E-2</v>
      </c>
      <c r="I14" s="58">
        <v>11</v>
      </c>
      <c r="K14" s="74">
        <v>12</v>
      </c>
      <c r="L14" s="119">
        <v>-39.5</v>
      </c>
      <c r="M14" s="117">
        <v>1396.3170423346389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0.16666666666666666</v>
      </c>
      <c r="E15" s="27" t="s">
        <v>71</v>
      </c>
      <c r="F15" s="24" t="s">
        <v>26</v>
      </c>
      <c r="G15" s="12">
        <v>0</v>
      </c>
      <c r="H15" s="88">
        <f>IF(B$20=0,0,G15/B$20)</f>
        <v>0</v>
      </c>
      <c r="I15" s="58">
        <v>9</v>
      </c>
      <c r="O15" s="73" t="s">
        <v>163</v>
      </c>
      <c r="P15" s="82">
        <f>IF(Q15=0,0,R15/Q15)</f>
        <v>39.850000000000009</v>
      </c>
      <c r="Q15" s="76">
        <v>2</v>
      </c>
      <c r="R15" s="67">
        <v>79.700000000000017</v>
      </c>
    </row>
    <row r="16" spans="1:18" x14ac:dyDescent="0.4">
      <c r="A16" s="22" t="s">
        <v>121</v>
      </c>
      <c r="B16" s="15">
        <v>23</v>
      </c>
      <c r="C16" s="10">
        <f>IF(B$3=0,0,B16/B$3)</f>
        <v>0.22330097087378642</v>
      </c>
      <c r="E16" s="27" t="s">
        <v>73</v>
      </c>
      <c r="F16" s="24" t="s">
        <v>28</v>
      </c>
      <c r="G16" s="12">
        <v>0</v>
      </c>
      <c r="H16" s="88">
        <f>IF(B$20=0,0,G16/B$20)</f>
        <v>0</v>
      </c>
      <c r="I16" s="58">
        <v>6</v>
      </c>
      <c r="O16" s="74" t="s">
        <v>190</v>
      </c>
      <c r="P16" s="83">
        <f>IF(Q16=0,0,R16/Q16)</f>
        <v>12.549999999999999</v>
      </c>
      <c r="Q16" s="77">
        <v>2</v>
      </c>
      <c r="R16" s="68">
        <v>25.099999999999998</v>
      </c>
    </row>
    <row r="17" spans="1:18" x14ac:dyDescent="0.4">
      <c r="A17" s="19" t="s">
        <v>118</v>
      </c>
      <c r="B17" s="12">
        <v>14</v>
      </c>
      <c r="C17" s="6">
        <f>IF(B$3=0,0,B17/B$3)</f>
        <v>0.13592233009708737</v>
      </c>
      <c r="E17" s="27" t="s">
        <v>74</v>
      </c>
      <c r="F17" s="24" t="s">
        <v>29</v>
      </c>
      <c r="G17" s="12">
        <v>0</v>
      </c>
      <c r="H17" s="88">
        <f>IF(B$20=0,0,G17/B$20)</f>
        <v>0</v>
      </c>
      <c r="I17" s="58">
        <v>1</v>
      </c>
      <c r="O17" s="74" t="s">
        <v>126</v>
      </c>
      <c r="P17" s="83">
        <f>IF(Q17=0,0,R17/Q17)</f>
        <v>4.8999999999999995</v>
      </c>
      <c r="Q17" s="77">
        <v>7</v>
      </c>
      <c r="R17" s="68">
        <v>34.299999999999997</v>
      </c>
    </row>
    <row r="18" spans="1:18" x14ac:dyDescent="0.4">
      <c r="A18" s="18" t="s">
        <v>123</v>
      </c>
      <c r="B18" s="11">
        <f>B24</f>
        <v>16</v>
      </c>
      <c r="C18" s="5">
        <f>IF(B$16=0,0,B18/B$16)</f>
        <v>0.69565217391304346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  <c r="O18" s="74" t="s">
        <v>221</v>
      </c>
      <c r="P18" s="83">
        <f>IF(Q18=0,0,R18/Q18)</f>
        <v>3.6500000000000004</v>
      </c>
      <c r="Q18" s="77">
        <v>2</v>
      </c>
      <c r="R18" s="68">
        <v>7.3000000000000007</v>
      </c>
    </row>
    <row r="19" spans="1:18" x14ac:dyDescent="0.4">
      <c r="A19" s="18" t="s">
        <v>124</v>
      </c>
      <c r="B19" s="11">
        <f>B25</f>
        <v>5</v>
      </c>
      <c r="C19" s="5">
        <f>IF(B$17=0,0,B19/B$17)</f>
        <v>0.35714285714285715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3</v>
      </c>
      <c r="O19" s="74" t="s">
        <v>211</v>
      </c>
      <c r="P19" s="83">
        <f>IF(Q19=0,0,R19/Q19)</f>
        <v>3.0750000000000011</v>
      </c>
      <c r="Q19" s="77">
        <v>4</v>
      </c>
      <c r="R19" s="68">
        <v>12.300000000000004</v>
      </c>
    </row>
    <row r="20" spans="1:18" x14ac:dyDescent="0.4">
      <c r="A20" s="18" t="s">
        <v>10</v>
      </c>
      <c r="B20" s="11">
        <f>B23+B22</f>
        <v>29</v>
      </c>
      <c r="C20" s="5">
        <f>IF(B$3=0,0,B20/B$3)</f>
        <v>0.28155339805825241</v>
      </c>
      <c r="E20" s="27" t="s">
        <v>79</v>
      </c>
      <c r="F20" s="24" t="s">
        <v>34</v>
      </c>
      <c r="G20" s="12">
        <v>0</v>
      </c>
      <c r="H20" s="88">
        <f>IF(B$20=0,0,G20/B$20)</f>
        <v>0</v>
      </c>
      <c r="I20" s="58">
        <v>7</v>
      </c>
      <c r="O20" s="74" t="s">
        <v>192</v>
      </c>
      <c r="P20" s="83">
        <f>IF(Q20=0,0,R20/Q20)</f>
        <v>-36.479999999999997</v>
      </c>
      <c r="Q20" s="77">
        <v>5</v>
      </c>
      <c r="R20" s="68">
        <v>-182.39999999999998</v>
      </c>
    </row>
    <row r="21" spans="1:18" x14ac:dyDescent="0.4">
      <c r="A21" s="19" t="s">
        <v>13</v>
      </c>
      <c r="B21" s="12">
        <v>17</v>
      </c>
      <c r="C21" s="6">
        <f>IF(B$3=0,0,B21/B$3)</f>
        <v>0.1650485436893204</v>
      </c>
      <c r="E21" s="27" t="s">
        <v>80</v>
      </c>
      <c r="F21" s="24" t="s">
        <v>35</v>
      </c>
      <c r="G21" s="12">
        <v>0</v>
      </c>
      <c r="H21" s="88">
        <f>IF(B$20=0,0,G21/B$20)</f>
        <v>0</v>
      </c>
      <c r="I21" s="58">
        <v>3</v>
      </c>
      <c r="O21" s="74" t="s">
        <v>189</v>
      </c>
      <c r="P21" s="83">
        <f>IF(Q21=0,0,R21/Q21)</f>
        <v>-47.400000000000006</v>
      </c>
      <c r="Q21" s="77">
        <v>2</v>
      </c>
      <c r="R21" s="68">
        <v>-94.800000000000011</v>
      </c>
    </row>
    <row r="22" spans="1:18" x14ac:dyDescent="0.4">
      <c r="A22" s="19" t="s">
        <v>12</v>
      </c>
      <c r="B22" s="12">
        <v>16</v>
      </c>
      <c r="C22" s="6">
        <f>IF(B$20=0,0,B22/B$20)</f>
        <v>0.55172413793103448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">
      <c r="A23" s="19" t="s">
        <v>11</v>
      </c>
      <c r="B23" s="12">
        <v>13</v>
      </c>
      <c r="C23" s="6">
        <f>IF(B$20=0,0,B23/B$20)</f>
        <v>0.44827586206896552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9</v>
      </c>
    </row>
    <row r="24" spans="1:18" x14ac:dyDescent="0.4">
      <c r="A24" s="19" t="s">
        <v>183</v>
      </c>
      <c r="B24" s="12">
        <v>16</v>
      </c>
      <c r="C24" s="6">
        <f>IF(B$20=0,0,B24/B$20)</f>
        <v>0.55172413793103448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18" x14ac:dyDescent="0.4">
      <c r="A25" s="19" t="s">
        <v>181</v>
      </c>
      <c r="B25" s="12">
        <v>5</v>
      </c>
      <c r="C25" s="6">
        <f>IF(B$20=0,0,B25/B$20)</f>
        <v>0.17241379310344829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">
      <c r="A26" s="19" t="s">
        <v>182</v>
      </c>
      <c r="B26" s="12">
        <v>8</v>
      </c>
      <c r="C26" s="6">
        <f>IF(B$20=0,0,B26/B$20)</f>
        <v>0.27586206896551724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">
      <c r="A27" s="19" t="s">
        <v>5</v>
      </c>
      <c r="B27" s="16">
        <f>IF(B$20=0,0,C27/B$20)</f>
        <v>8606.8965517241377</v>
      </c>
      <c r="C27" s="8">
        <v>249600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8600</v>
      </c>
      <c r="C28" s="96">
        <v>206400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5</v>
      </c>
    </row>
    <row r="29" spans="1:18" x14ac:dyDescent="0.4">
      <c r="A29" s="20" t="s">
        <v>166</v>
      </c>
      <c r="B29" s="95">
        <f>IF(B$19=0,0,C29/B$19)</f>
        <v>8640</v>
      </c>
      <c r="C29" s="96">
        <v>43200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">
      <c r="A30" s="20" t="s">
        <v>164</v>
      </c>
      <c r="B30" s="95">
        <f>IF(B$21=0,0,C30/B$21)</f>
        <v>-7629.411764705882</v>
      </c>
      <c r="C30" s="96">
        <v>-129700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6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">
      <c r="A32" s="19" t="s">
        <v>158</v>
      </c>
      <c r="B32" s="12">
        <v>16</v>
      </c>
      <c r="C32" s="90">
        <v>1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">
      <c r="A33" s="54" t="s">
        <v>136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29">
        <v>65700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1</v>
      </c>
      <c r="C35" s="9">
        <f>IF(B$3=0,0,B35/B$3)</f>
        <v>9.7087378640776691E-3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1</v>
      </c>
      <c r="C37" s="98">
        <f t="shared" ref="C37:C49" si="2">IF(B$20=0,0,B37/B$20)</f>
        <v>3.4482758620689655E-2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4</v>
      </c>
      <c r="C38" s="6">
        <f t="shared" si="2"/>
        <v>0.13793103448275862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5</v>
      </c>
      <c r="C39" s="6">
        <f t="shared" si="2"/>
        <v>0.17241379310344829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9</v>
      </c>
      <c r="C40" s="6">
        <f t="shared" si="2"/>
        <v>0.31034482758620691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5</v>
      </c>
      <c r="C41" s="6">
        <f t="shared" si="2"/>
        <v>0.17241379310344829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3</v>
      </c>
      <c r="C42" s="6">
        <f t="shared" si="2"/>
        <v>0.10344827586206896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2</v>
      </c>
      <c r="C44" s="6">
        <f t="shared" si="2"/>
        <v>6.8965517241379309E-2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1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F9E13-EFF7-4DB9-B150-0B2EB2146D03}">
  <sheetPr codeName="Sheet2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221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2</v>
      </c>
      <c r="C2" s="134"/>
      <c r="E2" s="26" t="s">
        <v>66</v>
      </c>
      <c r="F2" s="23" t="s">
        <v>22</v>
      </c>
      <c r="G2" s="11">
        <v>7</v>
      </c>
      <c r="H2" s="87">
        <f>IF(B$20=0,0,G2/B$20)</f>
        <v>1.75</v>
      </c>
      <c r="I2" s="57">
        <v>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-3650</v>
      </c>
      <c r="Q2" s="76">
        <v>2</v>
      </c>
      <c r="R2" s="63">
        <v>-7300</v>
      </c>
    </row>
    <row r="3" spans="1:18" x14ac:dyDescent="0.4">
      <c r="A3" s="19" t="s">
        <v>8</v>
      </c>
      <c r="B3" s="135">
        <v>18</v>
      </c>
      <c r="C3" s="136"/>
      <c r="E3" s="27" t="s">
        <v>72</v>
      </c>
      <c r="F3" s="24" t="s">
        <v>27</v>
      </c>
      <c r="G3" s="12">
        <v>4</v>
      </c>
      <c r="H3" s="88">
        <f>IF(B$20=0,0,G3/B$20)</f>
        <v>1</v>
      </c>
      <c r="I3" s="58">
        <v>1</v>
      </c>
      <c r="K3" s="74">
        <v>1</v>
      </c>
      <c r="L3" s="119">
        <v>4</v>
      </c>
      <c r="M3" s="117">
        <v>1500.702</v>
      </c>
      <c r="O3" s="74" t="s">
        <v>129</v>
      </c>
      <c r="P3" s="80">
        <f t="shared" si="0"/>
        <v>-850</v>
      </c>
      <c r="Q3" s="77">
        <v>2</v>
      </c>
      <c r="R3" s="64">
        <v>-1700</v>
      </c>
    </row>
    <row r="4" spans="1:18" x14ac:dyDescent="0.4">
      <c r="A4" s="19" t="s">
        <v>6</v>
      </c>
      <c r="B4" s="137">
        <v>-13.5</v>
      </c>
      <c r="C4" s="138"/>
      <c r="E4" s="27" t="s">
        <v>68</v>
      </c>
      <c r="F4" s="24" t="s">
        <v>12</v>
      </c>
      <c r="G4" s="12">
        <v>2</v>
      </c>
      <c r="H4" s="88">
        <f>IF(B$20=0,0,G4/B$20)</f>
        <v>0.5</v>
      </c>
      <c r="I4" s="58">
        <v>2</v>
      </c>
      <c r="K4" s="74">
        <v>2</v>
      </c>
      <c r="L4" s="119">
        <v>-13.5</v>
      </c>
      <c r="M4" s="117">
        <v>1497.379788</v>
      </c>
      <c r="O4" s="74" t="s">
        <v>130</v>
      </c>
      <c r="P4" s="80">
        <f t="shared" si="0"/>
        <v>-4150</v>
      </c>
      <c r="Q4" s="77">
        <v>2</v>
      </c>
      <c r="R4" s="64">
        <v>-8300</v>
      </c>
    </row>
    <row r="5" spans="1:18" x14ac:dyDescent="0.4">
      <c r="A5" s="19" t="s">
        <v>7</v>
      </c>
      <c r="B5" s="125">
        <f>IF(B$2=0,0,B$4/B$2)</f>
        <v>-6.75</v>
      </c>
      <c r="C5" s="126"/>
      <c r="E5" s="27" t="s">
        <v>64</v>
      </c>
      <c r="F5" s="24" t="s">
        <v>20</v>
      </c>
      <c r="G5" s="12">
        <v>1</v>
      </c>
      <c r="H5" s="88">
        <f>IF(B$20=0,0,G5/B$20)</f>
        <v>0.25</v>
      </c>
      <c r="I5" s="58">
        <v>10</v>
      </c>
      <c r="O5" s="74" t="s">
        <v>131</v>
      </c>
      <c r="P5" s="80">
        <f t="shared" si="0"/>
        <v>2900</v>
      </c>
      <c r="Q5" s="77">
        <v>2</v>
      </c>
      <c r="R5" s="64">
        <v>5800</v>
      </c>
    </row>
    <row r="6" spans="1:18" x14ac:dyDescent="0.4">
      <c r="A6" s="19" t="s">
        <v>196</v>
      </c>
      <c r="B6" s="129">
        <v>1497.379788</v>
      </c>
      <c r="C6" s="130"/>
      <c r="E6" s="27" t="s">
        <v>67</v>
      </c>
      <c r="F6" s="24" t="s">
        <v>23</v>
      </c>
      <c r="G6" s="12">
        <v>1</v>
      </c>
      <c r="H6" s="88">
        <f>IF(B$20=0,0,G6/B$20)</f>
        <v>0.25</v>
      </c>
      <c r="I6" s="58">
        <v>5</v>
      </c>
      <c r="O6" s="74" t="s">
        <v>132</v>
      </c>
      <c r="P6" s="80">
        <f t="shared" si="0"/>
        <v>1850</v>
      </c>
      <c r="Q6" s="77">
        <v>2</v>
      </c>
      <c r="R6" s="64">
        <v>3700</v>
      </c>
    </row>
    <row r="7" spans="1:18" x14ac:dyDescent="0.4">
      <c r="A7" s="19" t="s">
        <v>1</v>
      </c>
      <c r="B7" s="139">
        <f>IF(B$2=0,0,(B$8*1+B$9*2+B$10*3)/B$2)</f>
        <v>2.5</v>
      </c>
      <c r="C7" s="140"/>
      <c r="E7" s="27" t="s">
        <v>78</v>
      </c>
      <c r="F7" s="24" t="s">
        <v>33</v>
      </c>
      <c r="G7" s="12">
        <v>1</v>
      </c>
      <c r="H7" s="88">
        <f>IF(B$20=0,0,G7/B$20)</f>
        <v>0.25</v>
      </c>
      <c r="I7" s="58">
        <v>1</v>
      </c>
      <c r="O7" s="75" t="s">
        <v>133</v>
      </c>
      <c r="P7" s="81">
        <f t="shared" si="0"/>
        <v>2150</v>
      </c>
      <c r="Q7" s="78">
        <v>2</v>
      </c>
      <c r="R7" s="65">
        <v>4300</v>
      </c>
    </row>
    <row r="8" spans="1:18" x14ac:dyDescent="0.4">
      <c r="A8" s="19" t="s">
        <v>2</v>
      </c>
      <c r="B8" s="12">
        <v>0</v>
      </c>
      <c r="C8" s="6">
        <f t="shared" ref="C8:C15" si="1">IF(B$2=0,0,B8/B$2)</f>
        <v>0</v>
      </c>
      <c r="E8" s="27" t="s">
        <v>89</v>
      </c>
      <c r="F8" s="24" t="s">
        <v>44</v>
      </c>
      <c r="G8" s="12">
        <v>1</v>
      </c>
      <c r="H8" s="88">
        <f>IF(B$20=0,0,G8/B$20)</f>
        <v>0.25</v>
      </c>
      <c r="I8" s="58">
        <v>2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1"/>
        <v>0.5</v>
      </c>
      <c r="E9" s="27" t="s">
        <v>159</v>
      </c>
      <c r="F9" s="24" t="s">
        <v>160</v>
      </c>
      <c r="G9" s="12">
        <v>1</v>
      </c>
      <c r="H9" s="88">
        <f>IF(B$20=0,0,G9/B$20)</f>
        <v>0.25</v>
      </c>
      <c r="I9" s="58">
        <v>11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</v>
      </c>
      <c r="C10" s="7">
        <f t="shared" si="1"/>
        <v>0.5</v>
      </c>
      <c r="E10" s="27" t="s">
        <v>65</v>
      </c>
      <c r="F10" s="24" t="s">
        <v>21</v>
      </c>
      <c r="G10" s="12">
        <v>0</v>
      </c>
      <c r="H10" s="88">
        <f>IF(B$20=0,0,G10/B$20)</f>
        <v>0</v>
      </c>
      <c r="I10" s="58">
        <v>11</v>
      </c>
      <c r="O10" s="73" t="s">
        <v>151</v>
      </c>
      <c r="P10" s="82">
        <f>IF(Q10=0,0,R10/Q10)</f>
        <v>-17.5</v>
      </c>
      <c r="Q10" s="76">
        <v>1</v>
      </c>
      <c r="R10" s="67">
        <v>-17.5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69</v>
      </c>
      <c r="F11" s="24" t="s">
        <v>24</v>
      </c>
      <c r="G11" s="12">
        <v>0</v>
      </c>
      <c r="H11" s="88">
        <f>IF(B$20=0,0,G11/B$20)</f>
        <v>0</v>
      </c>
      <c r="I11" s="58">
        <v>10</v>
      </c>
      <c r="O11" s="74" t="s">
        <v>152</v>
      </c>
      <c r="P11" s="83">
        <f>IF(Q11=0,0,R11/Q11)</f>
        <v>4</v>
      </c>
      <c r="Q11" s="77">
        <v>1</v>
      </c>
      <c r="R11" s="68">
        <v>4</v>
      </c>
    </row>
    <row r="12" spans="1:18" x14ac:dyDescent="0.4">
      <c r="A12" s="20" t="s">
        <v>185</v>
      </c>
      <c r="B12" s="109">
        <f>IF(B9=0,0,C12/B9)</f>
        <v>4</v>
      </c>
      <c r="C12" s="110">
        <v>4</v>
      </c>
      <c r="E12" s="27" t="s">
        <v>70</v>
      </c>
      <c r="F12" s="24" t="s">
        <v>25</v>
      </c>
      <c r="G12" s="12">
        <v>0</v>
      </c>
      <c r="H12" s="88">
        <f>IF(B$20=0,0,G12/B$20)</f>
        <v>0</v>
      </c>
      <c r="I12" s="58">
        <v>10</v>
      </c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186</v>
      </c>
      <c r="B13" s="109">
        <f>IF(B10=0,0,C13/B10)</f>
        <v>-17.5</v>
      </c>
      <c r="C13" s="110">
        <v>-17.5</v>
      </c>
      <c r="E13" s="27" t="s">
        <v>71</v>
      </c>
      <c r="F13" s="24" t="s">
        <v>26</v>
      </c>
      <c r="G13" s="12">
        <v>0</v>
      </c>
      <c r="H13" s="88">
        <f>IF(B$20=0,0,G13/B$20)</f>
        <v>0</v>
      </c>
      <c r="I13" s="58">
        <v>9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-4.5</v>
      </c>
      <c r="C14" s="126"/>
      <c r="E14" s="27" t="s">
        <v>73</v>
      </c>
      <c r="F14" s="24" t="s">
        <v>28</v>
      </c>
      <c r="G14" s="12">
        <v>0</v>
      </c>
      <c r="H14" s="88">
        <f>IF(B$20=0,0,G14/B$20)</f>
        <v>0</v>
      </c>
      <c r="I14" s="58">
        <v>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74</v>
      </c>
      <c r="F15" s="24" t="s">
        <v>29</v>
      </c>
      <c r="G15" s="12">
        <v>0</v>
      </c>
      <c r="H15" s="88">
        <f>IF(B$20=0,0,G15/B$20)</f>
        <v>0</v>
      </c>
      <c r="I15" s="58">
        <v>1</v>
      </c>
      <c r="O15" s="73" t="s">
        <v>195</v>
      </c>
      <c r="P15" s="82">
        <f>IF(Q15=0,0,R15/Q15)</f>
        <v>-3.6500000000000004</v>
      </c>
      <c r="Q15" s="76">
        <v>2</v>
      </c>
      <c r="R15" s="67">
        <v>-7.3000000000000007</v>
      </c>
    </row>
    <row r="16" spans="1:18" x14ac:dyDescent="0.4">
      <c r="A16" s="22" t="s">
        <v>121</v>
      </c>
      <c r="B16" s="15">
        <v>4</v>
      </c>
      <c r="C16" s="10">
        <f>IF(B$3=0,0,B16/B$3)</f>
        <v>0.22222222222222221</v>
      </c>
      <c r="E16" s="27" t="s">
        <v>75</v>
      </c>
      <c r="F16" s="24" t="s">
        <v>30</v>
      </c>
      <c r="G16" s="12">
        <v>0</v>
      </c>
      <c r="H16" s="88">
        <f>IF(B$20=0,0,G16/B$20)</f>
        <v>0</v>
      </c>
      <c r="I16" s="58">
        <v>5</v>
      </c>
      <c r="O16" s="74" t="s">
        <v>211</v>
      </c>
      <c r="P16" s="83">
        <f>IF(Q16=0,0,R16/Q16)</f>
        <v>-16.2</v>
      </c>
      <c r="Q16" s="77">
        <v>1</v>
      </c>
      <c r="R16" s="68">
        <v>-16.2</v>
      </c>
    </row>
    <row r="17" spans="1:18" x14ac:dyDescent="0.4">
      <c r="A17" s="19" t="s">
        <v>118</v>
      </c>
      <c r="B17" s="12">
        <v>5</v>
      </c>
      <c r="C17" s="6">
        <f>IF(B$3=0,0,B17/B$3)</f>
        <v>0.27777777777777779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1</v>
      </c>
      <c r="O17" s="74" t="s">
        <v>192</v>
      </c>
      <c r="P17" s="83">
        <f>IF(Q17=0,0,R17/Q17)</f>
        <v>-17</v>
      </c>
      <c r="Q17" s="77">
        <v>1</v>
      </c>
      <c r="R17" s="68">
        <v>-17</v>
      </c>
    </row>
    <row r="18" spans="1:18" x14ac:dyDescent="0.4">
      <c r="A18" s="18" t="s">
        <v>123</v>
      </c>
      <c r="B18" s="11">
        <f>B24</f>
        <v>1</v>
      </c>
      <c r="C18" s="5">
        <f>IF(B$16=0,0,B18/B$16)</f>
        <v>0.25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3</v>
      </c>
    </row>
    <row r="19" spans="1:18" x14ac:dyDescent="0.4">
      <c r="A19" s="18" t="s">
        <v>124</v>
      </c>
      <c r="B19" s="11">
        <f>B25</f>
        <v>2</v>
      </c>
      <c r="C19" s="5">
        <f>IF(B$17=0,0,B19/B$17)</f>
        <v>0.4</v>
      </c>
      <c r="E19" s="27" t="s">
        <v>79</v>
      </c>
      <c r="F19" s="24" t="s">
        <v>34</v>
      </c>
      <c r="G19" s="12">
        <v>0</v>
      </c>
      <c r="H19" s="88">
        <f>IF(B$20=0,0,G19/B$20)</f>
        <v>0</v>
      </c>
      <c r="I19" s="58">
        <v>7</v>
      </c>
    </row>
    <row r="20" spans="1:18" x14ac:dyDescent="0.4">
      <c r="A20" s="18" t="s">
        <v>10</v>
      </c>
      <c r="B20" s="11">
        <f>B23+B22</f>
        <v>4</v>
      </c>
      <c r="C20" s="5">
        <f>IF(B$3=0,0,B20/B$3)</f>
        <v>0.22222222222222221</v>
      </c>
      <c r="E20" s="27" t="s">
        <v>80</v>
      </c>
      <c r="F20" s="24" t="s">
        <v>35</v>
      </c>
      <c r="G20" s="12">
        <v>0</v>
      </c>
      <c r="H20" s="88">
        <f>IF(B$20=0,0,G20/B$20)</f>
        <v>0</v>
      </c>
      <c r="I20" s="58">
        <v>3</v>
      </c>
    </row>
    <row r="21" spans="1:18" x14ac:dyDescent="0.4">
      <c r="A21" s="19" t="s">
        <v>13</v>
      </c>
      <c r="B21" s="12">
        <v>3</v>
      </c>
      <c r="C21" s="6">
        <f>IF(B$3=0,0,B21/B$3)</f>
        <v>0.16666666666666666</v>
      </c>
      <c r="E21" s="27" t="s">
        <v>81</v>
      </c>
      <c r="F21" s="24" t="s">
        <v>36</v>
      </c>
      <c r="G21" s="12">
        <v>0</v>
      </c>
      <c r="H21" s="88">
        <f>IF(B$20=0,0,G21/B$20)</f>
        <v>0</v>
      </c>
      <c r="I21" s="58">
        <v>11</v>
      </c>
    </row>
    <row r="22" spans="1:18" x14ac:dyDescent="0.4">
      <c r="A22" s="19" t="s">
        <v>12</v>
      </c>
      <c r="B22" s="12">
        <v>4</v>
      </c>
      <c r="C22" s="6">
        <f>IF(B$20=0,0,B22/B$20)</f>
        <v>1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">
      <c r="A23" s="19" t="s">
        <v>11</v>
      </c>
      <c r="B23" s="12">
        <v>0</v>
      </c>
      <c r="C23" s="6">
        <f>IF(B$20=0,0,B23/B$20)</f>
        <v>0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9</v>
      </c>
    </row>
    <row r="24" spans="1:18" x14ac:dyDescent="0.4">
      <c r="A24" s="19" t="s">
        <v>183</v>
      </c>
      <c r="B24" s="12">
        <v>1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18" x14ac:dyDescent="0.4">
      <c r="A25" s="19" t="s">
        <v>181</v>
      </c>
      <c r="B25" s="12">
        <v>2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">
      <c r="A26" s="19" t="s">
        <v>182</v>
      </c>
      <c r="B26" s="12">
        <v>1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">
      <c r="A27" s="19" t="s">
        <v>5</v>
      </c>
      <c r="B27" s="16">
        <f>IF(B$20=0,0,C27/B$20)</f>
        <v>10925</v>
      </c>
      <c r="C27" s="8">
        <v>43700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9850</v>
      </c>
      <c r="C28" s="96">
        <v>19700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5</v>
      </c>
    </row>
    <row r="29" spans="1:18" x14ac:dyDescent="0.4">
      <c r="A29" s="20" t="s">
        <v>166</v>
      </c>
      <c r="B29" s="95">
        <f>IF(B$19=0,0,C29/B$19)</f>
        <v>12000</v>
      </c>
      <c r="C29" s="96">
        <v>24000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">
      <c r="A30" s="20" t="s">
        <v>164</v>
      </c>
      <c r="B30" s="95">
        <f>IF(B$21=0,0,C30/B$21)</f>
        <v>-10300</v>
      </c>
      <c r="C30" s="96">
        <v>-30900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6</v>
      </c>
    </row>
    <row r="31" spans="1:18" x14ac:dyDescent="0.4">
      <c r="A31" s="19" t="s">
        <v>157</v>
      </c>
      <c r="B31" s="12">
        <v>2</v>
      </c>
      <c r="C31" s="90">
        <v>1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">
      <c r="A32" s="19" t="s">
        <v>158</v>
      </c>
      <c r="B32" s="12">
        <v>5</v>
      </c>
      <c r="C32" s="90">
        <v>3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">
      <c r="A33" s="54" t="s">
        <v>136</v>
      </c>
      <c r="B33" s="127">
        <v>3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29">
        <v>39000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0</v>
      </c>
      <c r="C38" s="6">
        <f t="shared" si="2"/>
        <v>0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2</v>
      </c>
      <c r="C40" s="6">
        <f t="shared" si="2"/>
        <v>0.5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2</v>
      </c>
      <c r="C42" s="6">
        <f t="shared" si="2"/>
        <v>0.5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54CCF-4BB1-457F-A488-940ABA9BD1C1}">
  <sheetPr codeName="Sheet26"/>
  <dimension ref="A1:Q5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221</v>
      </c>
      <c r="B1" s="34" t="s">
        <v>221</v>
      </c>
      <c r="C1" s="34" t="s">
        <v>221</v>
      </c>
      <c r="D1" s="35" t="s">
        <v>221</v>
      </c>
      <c r="E1" s="34" t="s">
        <v>221</v>
      </c>
      <c r="F1" s="34" t="s">
        <v>221</v>
      </c>
      <c r="G1" s="34" t="s">
        <v>221</v>
      </c>
      <c r="H1" s="34" t="s">
        <v>221</v>
      </c>
      <c r="I1" s="34" t="s">
        <v>221</v>
      </c>
      <c r="J1" s="34" t="s">
        <v>221</v>
      </c>
      <c r="K1" s="34" t="s">
        <v>221</v>
      </c>
      <c r="L1" s="34" t="s">
        <v>221</v>
      </c>
      <c r="M1" s="34" t="s">
        <v>221</v>
      </c>
      <c r="N1" s="34" t="s">
        <v>221</v>
      </c>
      <c r="O1" s="34" t="s">
        <v>221</v>
      </c>
      <c r="P1" s="34" t="s">
        <v>221</v>
      </c>
      <c r="Q1" s="34" t="s">
        <v>221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4</v>
      </c>
      <c r="C4" s="30">
        <v>4</v>
      </c>
      <c r="D4" s="35">
        <v>2</v>
      </c>
      <c r="E4" s="31">
        <v>0</v>
      </c>
      <c r="F4" s="31">
        <v>0</v>
      </c>
      <c r="G4" s="31">
        <v>0.3</v>
      </c>
      <c r="H4" s="31">
        <v>0.2</v>
      </c>
      <c r="I4" s="32">
        <v>10566.666666666666</v>
      </c>
      <c r="J4" s="32">
        <v>-12850</v>
      </c>
      <c r="K4" s="31">
        <v>0</v>
      </c>
      <c r="L4" s="31">
        <v>0.3</v>
      </c>
      <c r="M4" s="31">
        <v>0.3</v>
      </c>
      <c r="N4" s="31">
        <v>0.33333333333333331</v>
      </c>
      <c r="O4" s="31">
        <v>0.33333333333333331</v>
      </c>
      <c r="P4" s="31">
        <v>1</v>
      </c>
    </row>
    <row r="5" spans="1:17" x14ac:dyDescent="0.4">
      <c r="A5" s="33">
        <v>2</v>
      </c>
      <c r="B5" s="30">
        <v>-13.5</v>
      </c>
      <c r="C5" s="30">
        <v>-6.75</v>
      </c>
      <c r="D5" s="35">
        <v>2.5</v>
      </c>
      <c r="E5" s="31">
        <v>0</v>
      </c>
      <c r="F5" s="31">
        <v>0.5</v>
      </c>
      <c r="G5" s="31">
        <v>0.22222222222222221</v>
      </c>
      <c r="H5" s="31">
        <v>0.16666666666666666</v>
      </c>
      <c r="I5" s="32">
        <v>10925</v>
      </c>
      <c r="J5" s="32">
        <v>-10300</v>
      </c>
      <c r="K5" s="31">
        <v>0</v>
      </c>
      <c r="L5" s="31">
        <v>0.22222222222222221</v>
      </c>
      <c r="M5" s="31">
        <v>0.27777777777777779</v>
      </c>
      <c r="N5" s="31">
        <v>0.25</v>
      </c>
      <c r="O5" s="31">
        <v>0.4</v>
      </c>
      <c r="P5" s="31">
        <v>1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CB811-B280-4A67-A930-FD21C383C8A8}">
  <sheetPr codeName="Sheet24"/>
  <dimension ref="A1:Q15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195</v>
      </c>
      <c r="B1" s="34" t="s">
        <v>195</v>
      </c>
      <c r="C1" s="34" t="s">
        <v>195</v>
      </c>
      <c r="D1" s="35" t="s">
        <v>195</v>
      </c>
      <c r="E1" s="34" t="s">
        <v>195</v>
      </c>
      <c r="F1" s="34" t="s">
        <v>195</v>
      </c>
      <c r="G1" s="34" t="s">
        <v>195</v>
      </c>
      <c r="H1" s="34" t="s">
        <v>195</v>
      </c>
      <c r="I1" s="34" t="s">
        <v>195</v>
      </c>
      <c r="J1" s="34" t="s">
        <v>195</v>
      </c>
      <c r="K1" s="34" t="s">
        <v>195</v>
      </c>
      <c r="L1" s="34" t="s">
        <v>195</v>
      </c>
      <c r="M1" s="34" t="s">
        <v>195</v>
      </c>
      <c r="N1" s="34" t="s">
        <v>195</v>
      </c>
      <c r="O1" s="34" t="s">
        <v>195</v>
      </c>
      <c r="P1" s="34" t="s">
        <v>195</v>
      </c>
      <c r="Q1" s="34" t="s">
        <v>195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-24.2</v>
      </c>
      <c r="C4" s="30">
        <v>-24.2</v>
      </c>
      <c r="D4" s="35">
        <v>3</v>
      </c>
      <c r="E4" s="31">
        <v>0</v>
      </c>
      <c r="F4" s="31">
        <v>1</v>
      </c>
      <c r="G4" s="31">
        <v>0.2</v>
      </c>
      <c r="H4" s="31">
        <v>0.1</v>
      </c>
      <c r="I4" s="32">
        <v>4400</v>
      </c>
      <c r="J4" s="32">
        <v>-1300</v>
      </c>
      <c r="K4" s="31">
        <v>0</v>
      </c>
      <c r="L4" s="31">
        <v>0.1</v>
      </c>
      <c r="M4" s="31">
        <v>0</v>
      </c>
      <c r="N4" s="31">
        <v>1</v>
      </c>
      <c r="O4" s="31">
        <v>0</v>
      </c>
      <c r="P4" s="31">
        <v>1</v>
      </c>
    </row>
    <row r="5" spans="1:17" x14ac:dyDescent="0.4">
      <c r="A5" s="33">
        <v>2</v>
      </c>
      <c r="B5" s="30">
        <v>-6.1999999999999993</v>
      </c>
      <c r="C5" s="30">
        <v>-3.0999999999999996</v>
      </c>
      <c r="D5" s="35">
        <v>2</v>
      </c>
      <c r="E5" s="31">
        <v>0.5</v>
      </c>
      <c r="F5" s="31">
        <v>0.5</v>
      </c>
      <c r="G5" s="31">
        <v>0.27777777777777779</v>
      </c>
      <c r="H5" s="31">
        <v>0.16666666666666666</v>
      </c>
      <c r="I5" s="32">
        <v>7460</v>
      </c>
      <c r="J5" s="32">
        <v>-5766.666666666667</v>
      </c>
      <c r="K5" s="31">
        <v>0</v>
      </c>
      <c r="L5" s="31">
        <v>0.22222222222222221</v>
      </c>
      <c r="M5" s="31">
        <v>0</v>
      </c>
      <c r="N5" s="31">
        <v>1</v>
      </c>
      <c r="O5" s="31">
        <v>0</v>
      </c>
      <c r="P5" s="31">
        <v>0.8</v>
      </c>
    </row>
    <row r="6" spans="1:17" x14ac:dyDescent="0.4">
      <c r="A6" s="33">
        <v>3</v>
      </c>
      <c r="B6" s="30">
        <v>18.100000000000001</v>
      </c>
      <c r="C6" s="30">
        <v>6.0333333333333341</v>
      </c>
      <c r="D6" s="35">
        <v>1.6666666666666667</v>
      </c>
      <c r="E6" s="31">
        <v>0.66666666666666663</v>
      </c>
      <c r="F6" s="31">
        <v>0.33333333333333331</v>
      </c>
      <c r="G6" s="31">
        <v>0.29166666666666669</v>
      </c>
      <c r="H6" s="31">
        <v>0.20833333333333334</v>
      </c>
      <c r="I6" s="32">
        <v>9314.2857142857138</v>
      </c>
      <c r="J6" s="32">
        <v>-6380</v>
      </c>
      <c r="K6" s="31">
        <v>0</v>
      </c>
      <c r="L6" s="31">
        <v>0.25</v>
      </c>
      <c r="M6" s="31">
        <v>8.3333333333333329E-2</v>
      </c>
      <c r="N6" s="31">
        <v>0.83333333333333337</v>
      </c>
      <c r="O6" s="31">
        <v>0.5</v>
      </c>
      <c r="P6" s="31">
        <v>0.7142857142857143</v>
      </c>
    </row>
    <row r="7" spans="1:17" x14ac:dyDescent="0.4">
      <c r="A7" s="33">
        <v>4</v>
      </c>
      <c r="B7" s="30">
        <v>-14.699999999999996</v>
      </c>
      <c r="C7" s="30">
        <v>-3.6749999999999989</v>
      </c>
      <c r="D7" s="35">
        <v>2</v>
      </c>
      <c r="E7" s="31">
        <v>0.5</v>
      </c>
      <c r="F7" s="31">
        <v>0.5</v>
      </c>
      <c r="G7" s="31">
        <v>0.25</v>
      </c>
      <c r="H7" s="31">
        <v>0.1388888888888889</v>
      </c>
      <c r="I7" s="32">
        <v>9022.2222222222226</v>
      </c>
      <c r="J7" s="32">
        <v>-6380</v>
      </c>
      <c r="K7" s="31">
        <v>0</v>
      </c>
      <c r="L7" s="31">
        <v>0.25</v>
      </c>
      <c r="M7" s="31">
        <v>5.5555555555555552E-2</v>
      </c>
      <c r="N7" s="31">
        <v>0.77777777777777779</v>
      </c>
      <c r="O7" s="31">
        <v>0.5</v>
      </c>
      <c r="P7" s="31">
        <v>0.77777777777777779</v>
      </c>
    </row>
    <row r="8" spans="1:17" x14ac:dyDescent="0.4">
      <c r="A8" s="33">
        <v>5</v>
      </c>
      <c r="B8" s="30">
        <v>-66.8</v>
      </c>
      <c r="C8" s="30">
        <v>-13.36</v>
      </c>
      <c r="D8" s="35">
        <v>2.2000000000000002</v>
      </c>
      <c r="E8" s="31">
        <v>0.4</v>
      </c>
      <c r="F8" s="31">
        <v>0.6</v>
      </c>
      <c r="G8" s="31">
        <v>0.25</v>
      </c>
      <c r="H8" s="31">
        <v>0.15</v>
      </c>
      <c r="I8" s="32">
        <v>8330</v>
      </c>
      <c r="J8" s="32">
        <v>-5966.666666666667</v>
      </c>
      <c r="K8" s="31">
        <v>0.2</v>
      </c>
      <c r="L8" s="31">
        <v>0.25</v>
      </c>
      <c r="M8" s="31">
        <v>0.05</v>
      </c>
      <c r="N8" s="31">
        <v>0.7</v>
      </c>
      <c r="O8" s="31">
        <v>0.5</v>
      </c>
      <c r="P8" s="31">
        <v>0.8</v>
      </c>
    </row>
    <row r="9" spans="1:17" x14ac:dyDescent="0.4">
      <c r="A9" s="33">
        <v>6</v>
      </c>
      <c r="B9" s="30">
        <v>-118.3</v>
      </c>
      <c r="C9" s="30">
        <v>-19.716666666666665</v>
      </c>
      <c r="D9" s="35">
        <v>2.3333333333333335</v>
      </c>
      <c r="E9" s="31">
        <v>0.33333333333333331</v>
      </c>
      <c r="F9" s="31">
        <v>0.66666666666666663</v>
      </c>
      <c r="G9" s="31">
        <v>0.22448979591836735</v>
      </c>
      <c r="H9" s="31">
        <v>0.18367346938775511</v>
      </c>
      <c r="I9" s="32">
        <v>8272.7272727272721</v>
      </c>
      <c r="J9" s="32">
        <v>-7666.666666666667</v>
      </c>
      <c r="K9" s="31">
        <v>0.33333333333333331</v>
      </c>
      <c r="L9" s="31">
        <v>0.20408163265306123</v>
      </c>
      <c r="M9" s="31">
        <v>6.1224489795918366E-2</v>
      </c>
      <c r="N9" s="31">
        <v>0.7</v>
      </c>
      <c r="O9" s="31">
        <v>0.66666666666666663</v>
      </c>
      <c r="P9" s="31">
        <v>0.72727272727272729</v>
      </c>
    </row>
    <row r="10" spans="1:17" x14ac:dyDescent="0.4">
      <c r="A10" s="33">
        <v>7</v>
      </c>
      <c r="B10" s="30">
        <v>-86.4</v>
      </c>
      <c r="C10" s="30">
        <v>-12.342857142857143</v>
      </c>
      <c r="D10" s="35">
        <v>2.1428571428571428</v>
      </c>
      <c r="E10" s="31">
        <v>0.42857142857142855</v>
      </c>
      <c r="F10" s="31">
        <v>0.5714285714285714</v>
      </c>
      <c r="G10" s="31">
        <v>0.26315789473684209</v>
      </c>
      <c r="H10" s="31">
        <v>0.17543859649122806</v>
      </c>
      <c r="I10" s="32">
        <v>7946.666666666667</v>
      </c>
      <c r="J10" s="32">
        <v>-7480</v>
      </c>
      <c r="K10" s="31">
        <v>0.2857142857142857</v>
      </c>
      <c r="L10" s="31">
        <v>0.21052631578947367</v>
      </c>
      <c r="M10" s="31">
        <v>0.10526315789473684</v>
      </c>
      <c r="N10" s="31">
        <v>0.75</v>
      </c>
      <c r="O10" s="31">
        <v>0.33333333333333331</v>
      </c>
      <c r="P10" s="31">
        <v>0.6</v>
      </c>
    </row>
    <row r="11" spans="1:17" x14ac:dyDescent="0.4">
      <c r="A11" s="33">
        <v>8</v>
      </c>
      <c r="B11" s="30">
        <v>-45.7</v>
      </c>
      <c r="C11" s="30">
        <v>-5.7125000000000004</v>
      </c>
      <c r="D11" s="35">
        <v>2</v>
      </c>
      <c r="E11" s="31">
        <v>0.5</v>
      </c>
      <c r="F11" s="31">
        <v>0.5</v>
      </c>
      <c r="G11" s="31">
        <v>0.29230769230769232</v>
      </c>
      <c r="H11" s="31">
        <v>0.16923076923076924</v>
      </c>
      <c r="I11" s="32">
        <v>8526.3157894736851</v>
      </c>
      <c r="J11" s="32">
        <v>-7154.545454545455</v>
      </c>
      <c r="K11" s="31">
        <v>0.25</v>
      </c>
      <c r="L11" s="31">
        <v>0.2</v>
      </c>
      <c r="M11" s="31">
        <v>0.13846153846153847</v>
      </c>
      <c r="N11" s="31">
        <v>0.76923076923076927</v>
      </c>
      <c r="O11" s="31">
        <v>0.44444444444444442</v>
      </c>
      <c r="P11" s="31">
        <v>0.47368421052631576</v>
      </c>
    </row>
    <row r="12" spans="1:17" x14ac:dyDescent="0.4">
      <c r="A12" s="33">
        <v>9</v>
      </c>
      <c r="B12" s="30">
        <v>-21.200000000000003</v>
      </c>
      <c r="C12" s="30">
        <v>-2.3555555555555561</v>
      </c>
      <c r="D12" s="35">
        <v>1.8888888888888888</v>
      </c>
      <c r="E12" s="31">
        <v>0.55555555555555558</v>
      </c>
      <c r="F12" s="31">
        <v>0.44444444444444442</v>
      </c>
      <c r="G12" s="31">
        <v>0.29729729729729731</v>
      </c>
      <c r="H12" s="31">
        <v>0.14864864864864866</v>
      </c>
      <c r="I12" s="32">
        <v>8727.2727272727279</v>
      </c>
      <c r="J12" s="32">
        <v>-7154.545454545455</v>
      </c>
      <c r="K12" s="31">
        <v>0.22222222222222221</v>
      </c>
      <c r="L12" s="31">
        <v>0.21621621621621623</v>
      </c>
      <c r="M12" s="31">
        <v>0.12162162162162163</v>
      </c>
      <c r="N12" s="31">
        <v>0.6875</v>
      </c>
      <c r="O12" s="31">
        <v>0.44444444444444442</v>
      </c>
      <c r="P12" s="31">
        <v>0.54545454545454541</v>
      </c>
    </row>
    <row r="13" spans="1:17" x14ac:dyDescent="0.4">
      <c r="A13" s="33">
        <v>10</v>
      </c>
      <c r="B13" s="30">
        <v>-6.3000000000000025</v>
      </c>
      <c r="C13" s="30">
        <v>-0.63000000000000023</v>
      </c>
      <c r="D13" s="35">
        <v>1.8</v>
      </c>
      <c r="E13" s="31">
        <v>0.6</v>
      </c>
      <c r="F13" s="31">
        <v>0.4</v>
      </c>
      <c r="G13" s="31">
        <v>0.29268292682926828</v>
      </c>
      <c r="H13" s="31">
        <v>0.14634146341463414</v>
      </c>
      <c r="I13" s="32">
        <v>8720.8333333333339</v>
      </c>
      <c r="J13" s="32">
        <v>-7225</v>
      </c>
      <c r="K13" s="31">
        <v>0.2</v>
      </c>
      <c r="L13" s="31">
        <v>0.23170731707317074</v>
      </c>
      <c r="M13" s="31">
        <v>0.12195121951219512</v>
      </c>
      <c r="N13" s="31">
        <v>0.68421052631578949</v>
      </c>
      <c r="O13" s="31">
        <v>0.4</v>
      </c>
      <c r="P13" s="31">
        <v>0.54166666666666663</v>
      </c>
    </row>
    <row r="14" spans="1:17" x14ac:dyDescent="0.4">
      <c r="A14" s="33">
        <v>11</v>
      </c>
      <c r="B14" s="30">
        <v>-30.5</v>
      </c>
      <c r="C14" s="30">
        <v>-2.7727272727272729</v>
      </c>
      <c r="D14" s="35">
        <v>1.9090909090909092</v>
      </c>
      <c r="E14" s="31">
        <v>0.54545454545454541</v>
      </c>
      <c r="F14" s="31">
        <v>0.45454545454545453</v>
      </c>
      <c r="G14" s="31">
        <v>0.27777777777777779</v>
      </c>
      <c r="H14" s="31">
        <v>0.15555555555555556</v>
      </c>
      <c r="I14" s="32">
        <v>8680</v>
      </c>
      <c r="J14" s="32">
        <v>-7114.2857142857147</v>
      </c>
      <c r="K14" s="31">
        <v>0.18181818181818182</v>
      </c>
      <c r="L14" s="31">
        <v>0.22222222222222221</v>
      </c>
      <c r="M14" s="31">
        <v>0.13333333333333333</v>
      </c>
      <c r="N14" s="31">
        <v>0.7</v>
      </c>
      <c r="O14" s="31">
        <v>0.33333333333333331</v>
      </c>
      <c r="P14" s="31">
        <v>0.52</v>
      </c>
    </row>
    <row r="15" spans="1:17" x14ac:dyDescent="0.4">
      <c r="A15" s="33">
        <v>12</v>
      </c>
      <c r="B15" s="30">
        <v>-39.5</v>
      </c>
      <c r="C15" s="30">
        <v>-3.2916666666666665</v>
      </c>
      <c r="D15" s="35">
        <v>1.9166666666666667</v>
      </c>
      <c r="E15" s="31">
        <v>0.5</v>
      </c>
      <c r="F15" s="31">
        <v>0.41666666666666669</v>
      </c>
      <c r="G15" s="31">
        <v>0.28155339805825241</v>
      </c>
      <c r="H15" s="31">
        <v>0.1650485436893204</v>
      </c>
      <c r="I15" s="32">
        <v>8606.8965517241377</v>
      </c>
      <c r="J15" s="32">
        <v>-7629.411764705882</v>
      </c>
      <c r="K15" s="31">
        <v>0.16666666666666666</v>
      </c>
      <c r="L15" s="31">
        <v>0.22330097087378642</v>
      </c>
      <c r="M15" s="31">
        <v>0.13592233009708737</v>
      </c>
      <c r="N15" s="31">
        <v>0.69565217391304346</v>
      </c>
      <c r="O15" s="31">
        <v>0.35714285714285715</v>
      </c>
      <c r="P15" s="31">
        <v>0.55172413793103448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B5FDF-A5D2-47C4-9154-8C91BDB29F15}">
  <sheetPr codeName="Sheet22"/>
  <dimension ref="A1:Q7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193</v>
      </c>
      <c r="B1" s="34" t="s">
        <v>193</v>
      </c>
      <c r="C1" s="34" t="s">
        <v>193</v>
      </c>
      <c r="D1" s="35" t="s">
        <v>193</v>
      </c>
      <c r="E1" s="34" t="s">
        <v>193</v>
      </c>
      <c r="F1" s="34" t="s">
        <v>193</v>
      </c>
      <c r="G1" s="34" t="s">
        <v>193</v>
      </c>
      <c r="H1" s="34" t="s">
        <v>193</v>
      </c>
      <c r="I1" s="34" t="s">
        <v>193</v>
      </c>
      <c r="J1" s="34" t="s">
        <v>193</v>
      </c>
      <c r="K1" s="34" t="s">
        <v>193</v>
      </c>
      <c r="L1" s="34" t="s">
        <v>193</v>
      </c>
      <c r="M1" s="34" t="s">
        <v>193</v>
      </c>
      <c r="N1" s="34" t="s">
        <v>193</v>
      </c>
      <c r="O1" s="34" t="s">
        <v>193</v>
      </c>
      <c r="P1" s="34" t="s">
        <v>193</v>
      </c>
      <c r="Q1" s="34" t="s">
        <v>193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-38</v>
      </c>
      <c r="C4" s="30">
        <v>-38</v>
      </c>
      <c r="D4" s="35">
        <v>3</v>
      </c>
      <c r="E4" s="31">
        <v>0</v>
      </c>
      <c r="F4" s="31">
        <v>1</v>
      </c>
      <c r="G4" s="31">
        <v>7.1428571428571425E-2</v>
      </c>
      <c r="H4" s="31">
        <v>0.21428571428571427</v>
      </c>
      <c r="I4" s="32">
        <v>4800</v>
      </c>
      <c r="J4" s="32">
        <v>-6600</v>
      </c>
      <c r="K4" s="31">
        <v>0</v>
      </c>
      <c r="L4" s="31">
        <v>0.2857142857142857</v>
      </c>
      <c r="M4" s="31">
        <v>0.14285714285714285</v>
      </c>
      <c r="N4" s="31">
        <v>0.25</v>
      </c>
      <c r="O4" s="31">
        <v>0</v>
      </c>
      <c r="P4" s="31">
        <v>0</v>
      </c>
    </row>
    <row r="5" spans="1:17" x14ac:dyDescent="0.4">
      <c r="A5" s="33">
        <v>2</v>
      </c>
      <c r="B5" s="30">
        <v>-18</v>
      </c>
      <c r="C5" s="30">
        <v>-9</v>
      </c>
      <c r="D5" s="35">
        <v>2</v>
      </c>
      <c r="E5" s="31">
        <v>0.5</v>
      </c>
      <c r="F5" s="31">
        <v>0.5</v>
      </c>
      <c r="G5" s="31">
        <v>0.17647058823529413</v>
      </c>
      <c r="H5" s="31">
        <v>0.23529411764705882</v>
      </c>
      <c r="I5" s="32">
        <v>7266.666666666667</v>
      </c>
      <c r="J5" s="32">
        <v>-6950</v>
      </c>
      <c r="K5" s="31">
        <v>0</v>
      </c>
      <c r="L5" s="31">
        <v>0.23529411764705882</v>
      </c>
      <c r="M5" s="31">
        <v>0.23529411764705882</v>
      </c>
      <c r="N5" s="31">
        <v>0.25</v>
      </c>
      <c r="O5" s="31">
        <v>0.5</v>
      </c>
      <c r="P5" s="31">
        <v>0</v>
      </c>
    </row>
    <row r="6" spans="1:17" x14ac:dyDescent="0.4">
      <c r="A6" s="33">
        <v>3</v>
      </c>
      <c r="B6" s="30">
        <v>-14.9</v>
      </c>
      <c r="C6" s="30">
        <v>-4.9666666666666668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0.17857142857142858</v>
      </c>
      <c r="I6" s="32">
        <v>7671.4285714285716</v>
      </c>
      <c r="J6" s="32">
        <v>-9160</v>
      </c>
      <c r="K6" s="31">
        <v>0</v>
      </c>
      <c r="L6" s="31">
        <v>0.25</v>
      </c>
      <c r="M6" s="31">
        <v>0.2857142857142857</v>
      </c>
      <c r="N6" s="31">
        <v>0.14285714285714285</v>
      </c>
      <c r="O6" s="31">
        <v>0.5</v>
      </c>
      <c r="P6" s="31">
        <v>0.14285714285714285</v>
      </c>
    </row>
    <row r="7" spans="1:17" x14ac:dyDescent="0.4">
      <c r="A7" s="33">
        <v>4</v>
      </c>
      <c r="B7" s="30">
        <v>-51.699999999999996</v>
      </c>
      <c r="C7" s="30">
        <v>-12.924999999999999</v>
      </c>
      <c r="D7" s="35">
        <v>2.25</v>
      </c>
      <c r="E7" s="31">
        <v>0.25</v>
      </c>
      <c r="F7" s="31">
        <v>0.5</v>
      </c>
      <c r="G7" s="31">
        <v>0.22857142857142856</v>
      </c>
      <c r="H7" s="31">
        <v>0.22857142857142856</v>
      </c>
      <c r="I7" s="32">
        <v>8212.5</v>
      </c>
      <c r="J7" s="32">
        <v>-9387.5</v>
      </c>
      <c r="K7" s="31">
        <v>0</v>
      </c>
      <c r="L7" s="31">
        <v>0.25714285714285712</v>
      </c>
      <c r="M7" s="31">
        <v>0.2857142857142857</v>
      </c>
      <c r="N7" s="31">
        <v>0.22222222222222221</v>
      </c>
      <c r="O7" s="31">
        <v>0.4</v>
      </c>
      <c r="P7" s="31">
        <v>0.25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E21E2-1825-4906-8B6A-14540D43AFFC}">
  <sheetPr codeName="Sheet20"/>
  <dimension ref="A1:Q21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216</v>
      </c>
      <c r="B1" s="34" t="s">
        <v>216</v>
      </c>
      <c r="C1" s="34" t="s">
        <v>216</v>
      </c>
      <c r="D1" s="35" t="s">
        <v>216</v>
      </c>
      <c r="E1" s="34" t="s">
        <v>216</v>
      </c>
      <c r="F1" s="34" t="s">
        <v>216</v>
      </c>
      <c r="G1" s="34" t="s">
        <v>216</v>
      </c>
      <c r="H1" s="34" t="s">
        <v>216</v>
      </c>
      <c r="I1" s="34" t="s">
        <v>216</v>
      </c>
      <c r="J1" s="34" t="s">
        <v>216</v>
      </c>
      <c r="K1" s="34" t="s">
        <v>216</v>
      </c>
      <c r="L1" s="34" t="s">
        <v>216</v>
      </c>
      <c r="M1" s="34" t="s">
        <v>216</v>
      </c>
      <c r="N1" s="34" t="s">
        <v>216</v>
      </c>
      <c r="O1" s="34" t="s">
        <v>216</v>
      </c>
      <c r="P1" s="34" t="s">
        <v>216</v>
      </c>
      <c r="Q1" s="34" t="s">
        <v>216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42.4</v>
      </c>
      <c r="C4" s="30">
        <v>42.4</v>
      </c>
      <c r="D4" s="35">
        <v>1</v>
      </c>
      <c r="E4" s="31">
        <v>1</v>
      </c>
      <c r="F4" s="31">
        <v>0</v>
      </c>
      <c r="G4" s="31">
        <v>0.35714285714285715</v>
      </c>
      <c r="H4" s="31">
        <v>7.1428571428571425E-2</v>
      </c>
      <c r="I4" s="32">
        <v>8980</v>
      </c>
      <c r="J4" s="32">
        <v>-12000</v>
      </c>
      <c r="K4" s="31">
        <v>0</v>
      </c>
      <c r="L4" s="31">
        <v>0.42857142857142855</v>
      </c>
      <c r="M4" s="31">
        <v>0.21428571428571427</v>
      </c>
      <c r="N4" s="31">
        <v>0.33333333333333331</v>
      </c>
      <c r="O4" s="31">
        <v>1</v>
      </c>
      <c r="P4" s="31">
        <v>0.2</v>
      </c>
    </row>
    <row r="5" spans="1:17" x14ac:dyDescent="0.4">
      <c r="A5" s="33">
        <v>2</v>
      </c>
      <c r="B5" s="30">
        <v>50.4</v>
      </c>
      <c r="C5" s="30">
        <v>25.2</v>
      </c>
      <c r="D5" s="35">
        <v>1.5</v>
      </c>
      <c r="E5" s="31">
        <v>0.5</v>
      </c>
      <c r="F5" s="31">
        <v>0</v>
      </c>
      <c r="G5" s="31">
        <v>0.35294117647058826</v>
      </c>
      <c r="H5" s="31">
        <v>5.8823529411764705E-2</v>
      </c>
      <c r="I5" s="32">
        <v>8816.6666666666661</v>
      </c>
      <c r="J5" s="32">
        <v>-12000</v>
      </c>
      <c r="K5" s="31">
        <v>0</v>
      </c>
      <c r="L5" s="31">
        <v>0.41176470588235292</v>
      </c>
      <c r="M5" s="31">
        <v>0.17647058823529413</v>
      </c>
      <c r="N5" s="31">
        <v>0.42857142857142855</v>
      </c>
      <c r="O5" s="31">
        <v>1</v>
      </c>
      <c r="P5" s="31">
        <v>0.16666666666666666</v>
      </c>
    </row>
    <row r="6" spans="1:17" x14ac:dyDescent="0.4">
      <c r="A6" s="33">
        <v>3</v>
      </c>
      <c r="B6" s="30">
        <v>10.399999999999999</v>
      </c>
      <c r="C6" s="30">
        <v>3.4666666666666663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0.10714285714285714</v>
      </c>
      <c r="I6" s="32">
        <v>7857.1428571428569</v>
      </c>
      <c r="J6" s="32">
        <v>-9933.3333333333339</v>
      </c>
      <c r="K6" s="31">
        <v>0</v>
      </c>
      <c r="L6" s="31">
        <v>0.39285714285714285</v>
      </c>
      <c r="M6" s="31">
        <v>0.25</v>
      </c>
      <c r="N6" s="31">
        <v>0.27272727272727271</v>
      </c>
      <c r="O6" s="31">
        <v>0.5714285714285714</v>
      </c>
      <c r="P6" s="31">
        <v>0.2857142857142857</v>
      </c>
    </row>
    <row r="7" spans="1:17" x14ac:dyDescent="0.4">
      <c r="A7" s="33">
        <v>4</v>
      </c>
      <c r="B7" s="30">
        <v>60</v>
      </c>
      <c r="C7" s="30">
        <v>15</v>
      </c>
      <c r="D7" s="35">
        <v>1.75</v>
      </c>
      <c r="E7" s="31">
        <v>0.5</v>
      </c>
      <c r="F7" s="31">
        <v>0.25</v>
      </c>
      <c r="G7" s="31">
        <v>0.34285714285714286</v>
      </c>
      <c r="H7" s="31">
        <v>0.11428571428571428</v>
      </c>
      <c r="I7" s="32">
        <v>8625</v>
      </c>
      <c r="J7" s="32">
        <v>-8425</v>
      </c>
      <c r="K7" s="31">
        <v>0</v>
      </c>
      <c r="L7" s="31">
        <v>0.4</v>
      </c>
      <c r="M7" s="31">
        <v>0.22857142857142856</v>
      </c>
      <c r="N7" s="31">
        <v>0.42857142857142855</v>
      </c>
      <c r="O7" s="31">
        <v>0.625</v>
      </c>
      <c r="P7" s="31">
        <v>0.33333333333333331</v>
      </c>
    </row>
    <row r="8" spans="1:17" x14ac:dyDescent="0.4">
      <c r="A8" s="33">
        <v>5</v>
      </c>
      <c r="B8" s="30">
        <v>6.2000000000000028</v>
      </c>
      <c r="C8" s="30">
        <v>1.2400000000000007</v>
      </c>
      <c r="D8" s="35">
        <v>2</v>
      </c>
      <c r="E8" s="31">
        <v>0.4</v>
      </c>
      <c r="F8" s="31">
        <v>0.4</v>
      </c>
      <c r="G8" s="31">
        <v>0.27272727272727271</v>
      </c>
      <c r="H8" s="31">
        <v>0.18181818181818182</v>
      </c>
      <c r="I8" s="32">
        <v>8625</v>
      </c>
      <c r="J8" s="32">
        <v>-8400</v>
      </c>
      <c r="K8" s="31">
        <v>0.2</v>
      </c>
      <c r="L8" s="31">
        <v>0.36363636363636365</v>
      </c>
      <c r="M8" s="31">
        <v>0.18181818181818182</v>
      </c>
      <c r="N8" s="31">
        <v>0.375</v>
      </c>
      <c r="O8" s="31">
        <v>0.625</v>
      </c>
      <c r="P8" s="31">
        <v>0.33333333333333331</v>
      </c>
    </row>
    <row r="9" spans="1:17" x14ac:dyDescent="0.4">
      <c r="A9" s="33">
        <v>6</v>
      </c>
      <c r="B9" s="30">
        <v>30.000000000000004</v>
      </c>
      <c r="C9" s="30">
        <v>5.0000000000000009</v>
      </c>
      <c r="D9" s="35">
        <v>1.8333333333333333</v>
      </c>
      <c r="E9" s="31">
        <v>0.5</v>
      </c>
      <c r="F9" s="31">
        <v>0.33333333333333331</v>
      </c>
      <c r="G9" s="31">
        <v>0.3</v>
      </c>
      <c r="H9" s="31">
        <v>0.16</v>
      </c>
      <c r="I9" s="32">
        <v>7693.333333333333</v>
      </c>
      <c r="J9" s="32">
        <v>-8400</v>
      </c>
      <c r="K9" s="31">
        <v>0.16666666666666666</v>
      </c>
      <c r="L9" s="31">
        <v>0.34</v>
      </c>
      <c r="M9" s="31">
        <v>0.18</v>
      </c>
      <c r="N9" s="31">
        <v>0.41176470588235292</v>
      </c>
      <c r="O9" s="31">
        <v>0.66666666666666663</v>
      </c>
      <c r="P9" s="31">
        <v>0.4</v>
      </c>
    </row>
    <row r="10" spans="1:17" x14ac:dyDescent="0.4">
      <c r="A10" s="33">
        <v>7</v>
      </c>
      <c r="B10" s="30">
        <v>1.2000000000000028</v>
      </c>
      <c r="C10" s="30">
        <v>0.17142857142857185</v>
      </c>
      <c r="D10" s="35">
        <v>2</v>
      </c>
      <c r="E10" s="31">
        <v>0.42857142857142855</v>
      </c>
      <c r="F10" s="31">
        <v>0.42857142857142855</v>
      </c>
      <c r="G10" s="31">
        <v>0.25862068965517243</v>
      </c>
      <c r="H10" s="31">
        <v>0.17241379310344829</v>
      </c>
      <c r="I10" s="32">
        <v>7693.333333333333</v>
      </c>
      <c r="J10" s="32">
        <v>-7820</v>
      </c>
      <c r="K10" s="31">
        <v>0.14285714285714285</v>
      </c>
      <c r="L10" s="31">
        <v>0.29310344827586204</v>
      </c>
      <c r="M10" s="31">
        <v>0.18965517241379309</v>
      </c>
      <c r="N10" s="31">
        <v>0.41176470588235292</v>
      </c>
      <c r="O10" s="31">
        <v>0.54545454545454541</v>
      </c>
      <c r="P10" s="31">
        <v>0.4</v>
      </c>
    </row>
    <row r="11" spans="1:17" x14ac:dyDescent="0.4">
      <c r="A11" s="33">
        <v>8</v>
      </c>
      <c r="B11" s="30">
        <v>40.900000000000006</v>
      </c>
      <c r="C11" s="30">
        <v>5.1125000000000007</v>
      </c>
      <c r="D11" s="35">
        <v>1.875</v>
      </c>
      <c r="E11" s="31">
        <v>0.5</v>
      </c>
      <c r="F11" s="31">
        <v>0.375</v>
      </c>
      <c r="G11" s="31">
        <v>0.27692307692307694</v>
      </c>
      <c r="H11" s="31">
        <v>0.16923076923076924</v>
      </c>
      <c r="I11" s="32">
        <v>7905.5555555555557</v>
      </c>
      <c r="J11" s="32">
        <v>-7227.272727272727</v>
      </c>
      <c r="K11" s="31">
        <v>0.125</v>
      </c>
      <c r="L11" s="31">
        <v>0.27692307692307694</v>
      </c>
      <c r="M11" s="31">
        <v>0.2</v>
      </c>
      <c r="N11" s="31">
        <v>0.44444444444444442</v>
      </c>
      <c r="O11" s="31">
        <v>0.46153846153846156</v>
      </c>
      <c r="P11" s="31">
        <v>0.5</v>
      </c>
    </row>
    <row r="12" spans="1:17" x14ac:dyDescent="0.4">
      <c r="A12" s="33">
        <v>9</v>
      </c>
      <c r="B12" s="30">
        <v>21.100000000000005</v>
      </c>
      <c r="C12" s="30">
        <v>2.344444444444445</v>
      </c>
      <c r="D12" s="35">
        <v>1.8888888888888888</v>
      </c>
      <c r="E12" s="31">
        <v>0.44444444444444442</v>
      </c>
      <c r="F12" s="31">
        <v>0.33333333333333331</v>
      </c>
      <c r="G12" s="31">
        <v>0.25</v>
      </c>
      <c r="H12" s="31">
        <v>0.18055555555555555</v>
      </c>
      <c r="I12" s="32">
        <v>7905.5555555555557</v>
      </c>
      <c r="J12" s="32">
        <v>-6907.6923076923076</v>
      </c>
      <c r="K12" s="31">
        <v>0.1111111111111111</v>
      </c>
      <c r="L12" s="31">
        <v>0.25</v>
      </c>
      <c r="M12" s="31">
        <v>0.20833333333333334</v>
      </c>
      <c r="N12" s="31">
        <v>0.44444444444444442</v>
      </c>
      <c r="O12" s="31">
        <v>0.4</v>
      </c>
      <c r="P12" s="31">
        <v>0.5</v>
      </c>
    </row>
    <row r="13" spans="1:17" x14ac:dyDescent="0.4">
      <c r="A13" s="33">
        <v>10</v>
      </c>
      <c r="B13" s="30">
        <v>14.100000000000005</v>
      </c>
      <c r="C13" s="30">
        <v>1.4100000000000006</v>
      </c>
      <c r="D13" s="35">
        <v>1.9</v>
      </c>
      <c r="E13" s="31">
        <v>0.4</v>
      </c>
      <c r="F13" s="31">
        <v>0.3</v>
      </c>
      <c r="G13" s="31">
        <v>0.24358974358974358</v>
      </c>
      <c r="H13" s="31">
        <v>0.16666666666666666</v>
      </c>
      <c r="I13" s="32">
        <v>7557.894736842105</v>
      </c>
      <c r="J13" s="32">
        <v>-6907.6923076923076</v>
      </c>
      <c r="K13" s="31">
        <v>0.1</v>
      </c>
      <c r="L13" s="31">
        <v>0.26923076923076922</v>
      </c>
      <c r="M13" s="31">
        <v>0.21794871794871795</v>
      </c>
      <c r="N13" s="31">
        <v>0.42857142857142855</v>
      </c>
      <c r="O13" s="31">
        <v>0.35294117647058826</v>
      </c>
      <c r="P13" s="31">
        <v>0.47368421052631576</v>
      </c>
    </row>
    <row r="14" spans="1:17" x14ac:dyDescent="0.4">
      <c r="A14" s="33">
        <v>11</v>
      </c>
      <c r="B14" s="30">
        <v>-20.399999999999995</v>
      </c>
      <c r="C14" s="30">
        <v>-1.8545454545454541</v>
      </c>
      <c r="D14" s="35">
        <v>2</v>
      </c>
      <c r="E14" s="31">
        <v>0.36363636363636365</v>
      </c>
      <c r="F14" s="31">
        <v>0.36363636363636365</v>
      </c>
      <c r="G14" s="31">
        <v>0.23529411764705882</v>
      </c>
      <c r="H14" s="31">
        <v>0.21176470588235294</v>
      </c>
      <c r="I14" s="32">
        <v>7580</v>
      </c>
      <c r="J14" s="32">
        <v>-6738.8888888888887</v>
      </c>
      <c r="K14" s="31">
        <v>9.0909090909090912E-2</v>
      </c>
      <c r="L14" s="31">
        <v>0.24705882352941178</v>
      </c>
      <c r="M14" s="31">
        <v>0.23529411764705882</v>
      </c>
      <c r="N14" s="31">
        <v>0.42857142857142855</v>
      </c>
      <c r="O14" s="31">
        <v>0.35</v>
      </c>
      <c r="P14" s="31">
        <v>0.45</v>
      </c>
    </row>
    <row r="15" spans="1:17" x14ac:dyDescent="0.4">
      <c r="A15" s="33">
        <v>12</v>
      </c>
      <c r="B15" s="30">
        <v>-16.299999999999997</v>
      </c>
      <c r="C15" s="30">
        <v>-1.3583333333333332</v>
      </c>
      <c r="D15" s="35">
        <v>2</v>
      </c>
      <c r="E15" s="31">
        <v>0.33333333333333331</v>
      </c>
      <c r="F15" s="31">
        <v>0.33333333333333331</v>
      </c>
      <c r="G15" s="31">
        <v>0.24468085106382978</v>
      </c>
      <c r="H15" s="31">
        <v>0.21276595744680851</v>
      </c>
      <c r="I15" s="32">
        <v>7778.260869565217</v>
      </c>
      <c r="J15" s="32">
        <v>-6725</v>
      </c>
      <c r="K15" s="31">
        <v>8.3333333333333329E-2</v>
      </c>
      <c r="L15" s="31">
        <v>0.25531914893617019</v>
      </c>
      <c r="M15" s="31">
        <v>0.23404255319148937</v>
      </c>
      <c r="N15" s="31">
        <v>0.5</v>
      </c>
      <c r="O15" s="31">
        <v>0.31818181818181818</v>
      </c>
      <c r="P15" s="31">
        <v>0.47826086956521741</v>
      </c>
    </row>
    <row r="16" spans="1:17" x14ac:dyDescent="0.4">
      <c r="A16" s="33">
        <v>13</v>
      </c>
      <c r="B16" s="30">
        <v>-54.199999999999996</v>
      </c>
      <c r="C16" s="30">
        <v>-4.1692307692307686</v>
      </c>
      <c r="D16" s="35">
        <v>2.0769230769230771</v>
      </c>
      <c r="E16" s="31">
        <v>0.30769230769230771</v>
      </c>
      <c r="F16" s="31">
        <v>0.38461538461538464</v>
      </c>
      <c r="G16" s="31">
        <v>0.23529411764705882</v>
      </c>
      <c r="H16" s="31">
        <v>0.21568627450980393</v>
      </c>
      <c r="I16" s="32">
        <v>7787.5</v>
      </c>
      <c r="J16" s="32">
        <v>-7004.545454545455</v>
      </c>
      <c r="K16" s="31">
        <v>7.6923076923076927E-2</v>
      </c>
      <c r="L16" s="31">
        <v>0.24509803921568626</v>
      </c>
      <c r="M16" s="31">
        <v>0.21568627450980393</v>
      </c>
      <c r="N16" s="31">
        <v>0.48</v>
      </c>
      <c r="O16" s="31">
        <v>0.31818181818181818</v>
      </c>
      <c r="P16" s="31">
        <v>0.45833333333333331</v>
      </c>
    </row>
    <row r="17" spans="1:16" x14ac:dyDescent="0.4">
      <c r="A17" s="33">
        <v>14</v>
      </c>
      <c r="B17" s="30">
        <v>-95.6</v>
      </c>
      <c r="C17" s="30">
        <v>-6.8285714285714283</v>
      </c>
      <c r="D17" s="35">
        <v>2.1428571428571428</v>
      </c>
      <c r="E17" s="31">
        <v>0.2857142857142857</v>
      </c>
      <c r="F17" s="31">
        <v>0.42857142857142855</v>
      </c>
      <c r="G17" s="31">
        <v>0.22522522522522523</v>
      </c>
      <c r="H17" s="31">
        <v>0.21621621621621623</v>
      </c>
      <c r="I17" s="32">
        <v>7796</v>
      </c>
      <c r="J17" s="32">
        <v>-7654.166666666667</v>
      </c>
      <c r="K17" s="31">
        <v>7.1428571428571425E-2</v>
      </c>
      <c r="L17" s="31">
        <v>0.23423423423423423</v>
      </c>
      <c r="M17" s="31">
        <v>0.2072072072072072</v>
      </c>
      <c r="N17" s="31">
        <v>0.46153846153846156</v>
      </c>
      <c r="O17" s="31">
        <v>0.30434782608695654</v>
      </c>
      <c r="P17" s="31">
        <v>0.44</v>
      </c>
    </row>
    <row r="18" spans="1:16" x14ac:dyDescent="0.4">
      <c r="A18" s="33">
        <v>15</v>
      </c>
      <c r="B18" s="30">
        <v>-144.6</v>
      </c>
      <c r="C18" s="30">
        <v>-9.6399999999999988</v>
      </c>
      <c r="D18" s="35">
        <v>2.2000000000000002</v>
      </c>
      <c r="E18" s="31">
        <v>0.26666666666666666</v>
      </c>
      <c r="F18" s="31">
        <v>0.46666666666666667</v>
      </c>
      <c r="G18" s="31">
        <v>0.21739130434782608</v>
      </c>
      <c r="H18" s="31">
        <v>0.23478260869565218</v>
      </c>
      <c r="I18" s="32">
        <v>7796</v>
      </c>
      <c r="J18" s="32">
        <v>-7988.8888888888887</v>
      </c>
      <c r="K18" s="31">
        <v>0.13333333333333333</v>
      </c>
      <c r="L18" s="31">
        <v>0.23478260869565218</v>
      </c>
      <c r="M18" s="31">
        <v>0.2</v>
      </c>
      <c r="N18" s="31">
        <v>0.44444444444444442</v>
      </c>
      <c r="O18" s="31">
        <v>0.30434782608695654</v>
      </c>
      <c r="P18" s="31">
        <v>0.44</v>
      </c>
    </row>
    <row r="19" spans="1:16" x14ac:dyDescent="0.4">
      <c r="A19" s="33">
        <v>16</v>
      </c>
      <c r="B19" s="30">
        <v>-148.19999999999999</v>
      </c>
      <c r="C19" s="30">
        <v>-9.2624999999999993</v>
      </c>
      <c r="D19" s="35">
        <v>2.1875</v>
      </c>
      <c r="E19" s="31">
        <v>0.25</v>
      </c>
      <c r="F19" s="31">
        <v>0.4375</v>
      </c>
      <c r="G19" s="31">
        <v>0.22580645161290322</v>
      </c>
      <c r="H19" s="31">
        <v>0.21774193548387097</v>
      </c>
      <c r="I19" s="32">
        <v>7367.8571428571431</v>
      </c>
      <c r="J19" s="32">
        <v>-7988.8888888888887</v>
      </c>
      <c r="K19" s="31">
        <v>0.125</v>
      </c>
      <c r="L19" s="31">
        <v>0.23387096774193547</v>
      </c>
      <c r="M19" s="31">
        <v>0.18548387096774194</v>
      </c>
      <c r="N19" s="31">
        <v>0.48275862068965519</v>
      </c>
      <c r="O19" s="31">
        <v>0.30434782608695654</v>
      </c>
      <c r="P19" s="31">
        <v>0.42857142857142855</v>
      </c>
    </row>
    <row r="20" spans="1:16" x14ac:dyDescent="0.4">
      <c r="A20" s="33">
        <v>17</v>
      </c>
      <c r="B20" s="30">
        <v>-150</v>
      </c>
      <c r="C20" s="30">
        <v>-8.8235294117647065</v>
      </c>
      <c r="D20" s="35">
        <v>2.1764705882352939</v>
      </c>
      <c r="E20" s="31">
        <v>0.23529411764705882</v>
      </c>
      <c r="F20" s="31">
        <v>0.41176470588235292</v>
      </c>
      <c r="G20" s="31">
        <v>0.22900763358778625</v>
      </c>
      <c r="H20" s="31">
        <v>0.21374045801526717</v>
      </c>
      <c r="I20" s="32">
        <v>7183.333333333333</v>
      </c>
      <c r="J20" s="32">
        <v>-8132.1428571428569</v>
      </c>
      <c r="K20" s="31">
        <v>0.11764705882352941</v>
      </c>
      <c r="L20" s="31">
        <v>0.22900763358778625</v>
      </c>
      <c r="M20" s="31">
        <v>0.17557251908396945</v>
      </c>
      <c r="N20" s="31">
        <v>0.46666666666666667</v>
      </c>
      <c r="O20" s="31">
        <v>0.30434782608695654</v>
      </c>
      <c r="P20" s="31">
        <v>0.43333333333333335</v>
      </c>
    </row>
    <row r="21" spans="1:16" x14ac:dyDescent="0.4">
      <c r="A21" s="33">
        <v>18</v>
      </c>
      <c r="B21" s="30">
        <v>-180.3</v>
      </c>
      <c r="C21" s="30">
        <v>-10.016666666666667</v>
      </c>
      <c r="D21" s="35">
        <v>2.2222222222222223</v>
      </c>
      <c r="E21" s="31">
        <v>0.22222222222222221</v>
      </c>
      <c r="F21" s="31">
        <v>0.44444444444444442</v>
      </c>
      <c r="G21" s="31">
        <v>0.21428571428571427</v>
      </c>
      <c r="H21" s="31">
        <v>0.20714285714285716</v>
      </c>
      <c r="I21" s="32">
        <v>7183.333333333333</v>
      </c>
      <c r="J21" s="32">
        <v>-7886.2068965517237</v>
      </c>
      <c r="K21" s="31">
        <v>0.1111111111111111</v>
      </c>
      <c r="L21" s="31">
        <v>0.22857142857142856</v>
      </c>
      <c r="M21" s="31">
        <v>0.17142857142857143</v>
      </c>
      <c r="N21" s="31">
        <v>0.4375</v>
      </c>
      <c r="O21" s="31">
        <v>0.29166666666666669</v>
      </c>
      <c r="P21" s="31">
        <v>0.43333333333333335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1AF9BB-7B26-4C75-BC35-EF10A10D629E}">
  <sheetPr codeName="Sheet18"/>
  <dimension ref="A1:Q44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192</v>
      </c>
      <c r="B1" s="34" t="s">
        <v>192</v>
      </c>
      <c r="C1" s="34" t="s">
        <v>192</v>
      </c>
      <c r="D1" s="35" t="s">
        <v>192</v>
      </c>
      <c r="E1" s="34" t="s">
        <v>192</v>
      </c>
      <c r="F1" s="34" t="s">
        <v>192</v>
      </c>
      <c r="G1" s="34" t="s">
        <v>192</v>
      </c>
      <c r="H1" s="34" t="s">
        <v>192</v>
      </c>
      <c r="I1" s="34" t="s">
        <v>192</v>
      </c>
      <c r="J1" s="34" t="s">
        <v>192</v>
      </c>
      <c r="K1" s="34" t="s">
        <v>192</v>
      </c>
      <c r="L1" s="34" t="s">
        <v>192</v>
      </c>
      <c r="M1" s="34" t="s">
        <v>192</v>
      </c>
      <c r="N1" s="34" t="s">
        <v>192</v>
      </c>
      <c r="O1" s="34" t="s">
        <v>192</v>
      </c>
      <c r="P1" s="34" t="s">
        <v>192</v>
      </c>
      <c r="Q1" s="34" t="s">
        <v>192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11.6</v>
      </c>
      <c r="C4" s="30">
        <v>11.6</v>
      </c>
      <c r="D4" s="35">
        <v>1</v>
      </c>
      <c r="E4" s="31">
        <v>1</v>
      </c>
      <c r="F4" s="31">
        <v>0</v>
      </c>
      <c r="G4" s="31">
        <v>0.25</v>
      </c>
      <c r="H4" s="31">
        <v>0</v>
      </c>
      <c r="I4" s="32">
        <v>1800</v>
      </c>
      <c r="J4" s="32">
        <v>0</v>
      </c>
      <c r="K4" s="31">
        <v>0</v>
      </c>
      <c r="L4" s="31">
        <v>0</v>
      </c>
      <c r="M4" s="31">
        <v>0.25</v>
      </c>
      <c r="N4" s="31">
        <v>0</v>
      </c>
      <c r="O4" s="31">
        <v>0.5</v>
      </c>
      <c r="P4" s="31">
        <v>0</v>
      </c>
    </row>
    <row r="5" spans="1:17" x14ac:dyDescent="0.4">
      <c r="A5" s="33">
        <v>2</v>
      </c>
      <c r="B5" s="30">
        <v>42.9</v>
      </c>
      <c r="C5" s="30">
        <v>21.45</v>
      </c>
      <c r="D5" s="35">
        <v>1</v>
      </c>
      <c r="E5" s="31">
        <v>1</v>
      </c>
      <c r="F5" s="31">
        <v>0</v>
      </c>
      <c r="G5" s="31">
        <v>0.36842105263157893</v>
      </c>
      <c r="H5" s="31">
        <v>5.2631578947368418E-2</v>
      </c>
      <c r="I5" s="32">
        <v>6028.5714285714284</v>
      </c>
      <c r="J5" s="32">
        <v>-12000</v>
      </c>
      <c r="K5" s="31">
        <v>0</v>
      </c>
      <c r="L5" s="31">
        <v>0.26315789473684209</v>
      </c>
      <c r="M5" s="31">
        <v>0.15789473684210525</v>
      </c>
      <c r="N5" s="31">
        <v>0.6</v>
      </c>
      <c r="O5" s="31">
        <v>0.66666666666666663</v>
      </c>
      <c r="P5" s="31">
        <v>0.42857142857142855</v>
      </c>
    </row>
    <row r="6" spans="1:17" x14ac:dyDescent="0.4">
      <c r="A6" s="33">
        <v>3</v>
      </c>
      <c r="B6" s="30">
        <v>49.199999999999996</v>
      </c>
      <c r="C6" s="30">
        <v>16.399999999999999</v>
      </c>
      <c r="D6" s="35">
        <v>1.3333333333333333</v>
      </c>
      <c r="E6" s="31">
        <v>0.66666666666666663</v>
      </c>
      <c r="F6" s="31">
        <v>0</v>
      </c>
      <c r="G6" s="31">
        <v>0.37037037037037035</v>
      </c>
      <c r="H6" s="31">
        <v>0.1111111111111111</v>
      </c>
      <c r="I6" s="32">
        <v>6210</v>
      </c>
      <c r="J6" s="32">
        <v>-8866.6666666666661</v>
      </c>
      <c r="K6" s="31">
        <v>0</v>
      </c>
      <c r="L6" s="31">
        <v>0.25925925925925924</v>
      </c>
      <c r="M6" s="31">
        <v>0.14814814814814814</v>
      </c>
      <c r="N6" s="31">
        <v>0.7142857142857143</v>
      </c>
      <c r="O6" s="31">
        <v>0.75</v>
      </c>
      <c r="P6" s="31">
        <v>0.5</v>
      </c>
    </row>
    <row r="7" spans="1:17" x14ac:dyDescent="0.4">
      <c r="A7" s="33">
        <v>4</v>
      </c>
      <c r="B7" s="30">
        <v>75.8</v>
      </c>
      <c r="C7" s="30">
        <v>18.95</v>
      </c>
      <c r="D7" s="35">
        <v>1.25</v>
      </c>
      <c r="E7" s="31">
        <v>0.75</v>
      </c>
      <c r="F7" s="31">
        <v>0</v>
      </c>
      <c r="G7" s="31">
        <v>0.375</v>
      </c>
      <c r="H7" s="31">
        <v>0.1</v>
      </c>
      <c r="I7" s="32">
        <v>6126.666666666667</v>
      </c>
      <c r="J7" s="32">
        <v>-7625</v>
      </c>
      <c r="K7" s="31">
        <v>0</v>
      </c>
      <c r="L7" s="31">
        <v>0.25</v>
      </c>
      <c r="M7" s="31">
        <v>0.17499999999999999</v>
      </c>
      <c r="N7" s="31">
        <v>0.8</v>
      </c>
      <c r="O7" s="31">
        <v>0.5714285714285714</v>
      </c>
      <c r="P7" s="31">
        <v>0.4</v>
      </c>
    </row>
    <row r="8" spans="1:17" x14ac:dyDescent="0.4">
      <c r="A8" s="33">
        <v>5</v>
      </c>
      <c r="B8" s="30">
        <v>47.8</v>
      </c>
      <c r="C8" s="30">
        <v>9.5599999999999987</v>
      </c>
      <c r="D8" s="35">
        <v>1.4</v>
      </c>
      <c r="E8" s="31">
        <v>0.6</v>
      </c>
      <c r="F8" s="31">
        <v>0</v>
      </c>
      <c r="G8" s="31">
        <v>0.32608695652173914</v>
      </c>
      <c r="H8" s="31">
        <v>0.10869565217391304</v>
      </c>
      <c r="I8" s="32">
        <v>6126.666666666667</v>
      </c>
      <c r="J8" s="32">
        <v>-8500</v>
      </c>
      <c r="K8" s="31">
        <v>0</v>
      </c>
      <c r="L8" s="31">
        <v>0.21739130434782608</v>
      </c>
      <c r="M8" s="31">
        <v>0.17391304347826086</v>
      </c>
      <c r="N8" s="31">
        <v>0.8</v>
      </c>
      <c r="O8" s="31">
        <v>0.5</v>
      </c>
      <c r="P8" s="31">
        <v>0.4</v>
      </c>
    </row>
    <row r="9" spans="1:17" x14ac:dyDescent="0.4">
      <c r="A9" s="33">
        <v>6</v>
      </c>
      <c r="B9" s="30">
        <v>26.4</v>
      </c>
      <c r="C9" s="30">
        <v>4.3999999999999995</v>
      </c>
      <c r="D9" s="35">
        <v>1.6666666666666667</v>
      </c>
      <c r="E9" s="31">
        <v>0.5</v>
      </c>
      <c r="F9" s="31">
        <v>0.16666666666666666</v>
      </c>
      <c r="G9" s="31">
        <v>0.30357142857142855</v>
      </c>
      <c r="H9" s="31">
        <v>0.10714285714285714</v>
      </c>
      <c r="I9" s="32">
        <v>6288.2352941176468</v>
      </c>
      <c r="J9" s="32">
        <v>-7733.333333333333</v>
      </c>
      <c r="K9" s="31">
        <v>0</v>
      </c>
      <c r="L9" s="31">
        <v>0.25</v>
      </c>
      <c r="M9" s="31">
        <v>0.21428571428571427</v>
      </c>
      <c r="N9" s="31">
        <v>0.6428571428571429</v>
      </c>
      <c r="O9" s="31">
        <v>0.41666666666666669</v>
      </c>
      <c r="P9" s="31">
        <v>0.41176470588235292</v>
      </c>
    </row>
    <row r="10" spans="1:17" x14ac:dyDescent="0.4">
      <c r="A10" s="33">
        <v>7</v>
      </c>
      <c r="B10" s="30">
        <v>25.9</v>
      </c>
      <c r="C10" s="30">
        <v>3.6999999999999997</v>
      </c>
      <c r="D10" s="35">
        <v>1.7142857142857142</v>
      </c>
      <c r="E10" s="31">
        <v>0.42857142857142855</v>
      </c>
      <c r="F10" s="31">
        <v>0.14285714285714285</v>
      </c>
      <c r="G10" s="31">
        <v>0.3125</v>
      </c>
      <c r="H10" s="31">
        <v>0.109375</v>
      </c>
      <c r="I10" s="32">
        <v>6405</v>
      </c>
      <c r="J10" s="32">
        <v>-7371.4285714285716</v>
      </c>
      <c r="K10" s="31">
        <v>0</v>
      </c>
      <c r="L10" s="31">
        <v>0.25</v>
      </c>
      <c r="M10" s="31">
        <v>0.203125</v>
      </c>
      <c r="N10" s="31">
        <v>0.625</v>
      </c>
      <c r="O10" s="31">
        <v>0.46153846153846156</v>
      </c>
      <c r="P10" s="31">
        <v>0.35</v>
      </c>
    </row>
    <row r="11" spans="1:17" x14ac:dyDescent="0.4">
      <c r="A11" s="33">
        <v>8</v>
      </c>
      <c r="B11" s="30">
        <v>1.5</v>
      </c>
      <c r="C11" s="30">
        <v>0.1875</v>
      </c>
      <c r="D11" s="35">
        <v>1.875</v>
      </c>
      <c r="E11" s="31">
        <v>0.375</v>
      </c>
      <c r="F11" s="31">
        <v>0.25</v>
      </c>
      <c r="G11" s="31">
        <v>0.31428571428571428</v>
      </c>
      <c r="H11" s="31">
        <v>0.11428571428571428</v>
      </c>
      <c r="I11" s="32">
        <v>6031.818181818182</v>
      </c>
      <c r="J11" s="32">
        <v>-7450</v>
      </c>
      <c r="K11" s="31">
        <v>0</v>
      </c>
      <c r="L11" s="31">
        <v>0.25714285714285712</v>
      </c>
      <c r="M11" s="31">
        <v>0.2</v>
      </c>
      <c r="N11" s="31">
        <v>0.61111111111111116</v>
      </c>
      <c r="O11" s="31">
        <v>0.5</v>
      </c>
      <c r="P11" s="31">
        <v>0.31818181818181818</v>
      </c>
    </row>
    <row r="12" spans="1:17" x14ac:dyDescent="0.4">
      <c r="A12" s="33">
        <v>9</v>
      </c>
      <c r="B12" s="30">
        <v>9.6999999999999993</v>
      </c>
      <c r="C12" s="30">
        <v>1.0777777777777777</v>
      </c>
      <c r="D12" s="35">
        <v>1.8888888888888888</v>
      </c>
      <c r="E12" s="31">
        <v>0.33333333333333331</v>
      </c>
      <c r="F12" s="31">
        <v>0.22222222222222221</v>
      </c>
      <c r="G12" s="31">
        <v>0.32926829268292684</v>
      </c>
      <c r="H12" s="31">
        <v>0.10975609756097561</v>
      </c>
      <c r="I12" s="32">
        <v>6414.8148148148148</v>
      </c>
      <c r="J12" s="32">
        <v>-7955.5555555555557</v>
      </c>
      <c r="K12" s="31">
        <v>0</v>
      </c>
      <c r="L12" s="31">
        <v>0.24390243902439024</v>
      </c>
      <c r="M12" s="31">
        <v>0.1951219512195122</v>
      </c>
      <c r="N12" s="31">
        <v>0.6</v>
      </c>
      <c r="O12" s="31">
        <v>0.5</v>
      </c>
      <c r="P12" s="31">
        <v>0.40740740740740738</v>
      </c>
    </row>
    <row r="13" spans="1:17" x14ac:dyDescent="0.4">
      <c r="A13" s="33">
        <v>10</v>
      </c>
      <c r="B13" s="30">
        <v>9.1999999999999993</v>
      </c>
      <c r="C13" s="30">
        <v>0.91999999999999993</v>
      </c>
      <c r="D13" s="35">
        <v>1.9</v>
      </c>
      <c r="E13" s="31">
        <v>0.3</v>
      </c>
      <c r="F13" s="31">
        <v>0.2</v>
      </c>
      <c r="G13" s="31">
        <v>0.32258064516129031</v>
      </c>
      <c r="H13" s="31">
        <v>0.11827956989247312</v>
      </c>
      <c r="I13" s="32">
        <v>6493.333333333333</v>
      </c>
      <c r="J13" s="32">
        <v>-7327.272727272727</v>
      </c>
      <c r="K13" s="31">
        <v>0</v>
      </c>
      <c r="L13" s="31">
        <v>0.22580645161290322</v>
      </c>
      <c r="M13" s="31">
        <v>0.21505376344086022</v>
      </c>
      <c r="N13" s="31">
        <v>0.5714285714285714</v>
      </c>
      <c r="O13" s="31">
        <v>0.5</v>
      </c>
      <c r="P13" s="31">
        <v>0.4</v>
      </c>
    </row>
    <row r="14" spans="1:17" x14ac:dyDescent="0.4">
      <c r="A14" s="33">
        <v>11</v>
      </c>
      <c r="B14" s="30">
        <v>2.2999999999999989</v>
      </c>
      <c r="C14" s="30">
        <v>0.20909090909090899</v>
      </c>
      <c r="D14" s="35">
        <v>1.9090909090909092</v>
      </c>
      <c r="E14" s="31">
        <v>0.27272727272727271</v>
      </c>
      <c r="F14" s="31">
        <v>0.18181818181818182</v>
      </c>
      <c r="G14" s="31">
        <v>0.32323232323232326</v>
      </c>
      <c r="H14" s="31">
        <v>0.12121212121212122</v>
      </c>
      <c r="I14" s="32">
        <v>6315.625</v>
      </c>
      <c r="J14" s="32">
        <v>-7150</v>
      </c>
      <c r="K14" s="31">
        <v>0</v>
      </c>
      <c r="L14" s="31">
        <v>0.23232323232323232</v>
      </c>
      <c r="M14" s="31">
        <v>0.21212121212121213</v>
      </c>
      <c r="N14" s="31">
        <v>0.56521739130434778</v>
      </c>
      <c r="O14" s="31">
        <v>0.47619047619047616</v>
      </c>
      <c r="P14" s="31">
        <v>0.40625</v>
      </c>
    </row>
    <row r="15" spans="1:17" x14ac:dyDescent="0.4">
      <c r="A15" s="33">
        <v>12</v>
      </c>
      <c r="B15" s="30">
        <v>1.599999999999999</v>
      </c>
      <c r="C15" s="30">
        <v>0.13333333333333325</v>
      </c>
      <c r="D15" s="35">
        <v>1.9166666666666667</v>
      </c>
      <c r="E15" s="31">
        <v>0.25</v>
      </c>
      <c r="F15" s="31">
        <v>0.16666666666666666</v>
      </c>
      <c r="G15" s="31">
        <v>0.31775700934579437</v>
      </c>
      <c r="H15" s="31">
        <v>0.12149532710280374</v>
      </c>
      <c r="I15" s="32">
        <v>6532.3529411764703</v>
      </c>
      <c r="J15" s="32">
        <v>-7830.7692307692305</v>
      </c>
      <c r="K15" s="31">
        <v>0</v>
      </c>
      <c r="L15" s="31">
        <v>0.23364485981308411</v>
      </c>
      <c r="M15" s="31">
        <v>0.21495327102803738</v>
      </c>
      <c r="N15" s="31">
        <v>0.52</v>
      </c>
      <c r="O15" s="31">
        <v>0.43478260869565216</v>
      </c>
      <c r="P15" s="31">
        <v>0.41176470588235292</v>
      </c>
    </row>
    <row r="16" spans="1:17" x14ac:dyDescent="0.4">
      <c r="A16" s="33">
        <v>13</v>
      </c>
      <c r="B16" s="30">
        <v>-48.5</v>
      </c>
      <c r="C16" s="30">
        <v>-3.7307692307692308</v>
      </c>
      <c r="D16" s="35">
        <v>2</v>
      </c>
      <c r="E16" s="31">
        <v>0.23076923076923078</v>
      </c>
      <c r="F16" s="31">
        <v>0.23076923076923078</v>
      </c>
      <c r="G16" s="31">
        <v>0.30973451327433627</v>
      </c>
      <c r="H16" s="31">
        <v>0.15044247787610621</v>
      </c>
      <c r="I16" s="32">
        <v>6460</v>
      </c>
      <c r="J16" s="32">
        <v>-7641.1764705882351</v>
      </c>
      <c r="K16" s="31">
        <v>7.6923076923076927E-2</v>
      </c>
      <c r="L16" s="31">
        <v>0.23008849557522124</v>
      </c>
      <c r="M16" s="31">
        <v>0.24778761061946902</v>
      </c>
      <c r="N16" s="31">
        <v>0.5</v>
      </c>
      <c r="O16" s="31">
        <v>0.39285714285714285</v>
      </c>
      <c r="P16" s="31">
        <v>0.42857142857142855</v>
      </c>
    </row>
    <row r="17" spans="1:16" x14ac:dyDescent="0.4">
      <c r="A17" s="33">
        <v>14</v>
      </c>
      <c r="B17" s="30">
        <v>-20.2</v>
      </c>
      <c r="C17" s="30">
        <v>-1.4428571428571428</v>
      </c>
      <c r="D17" s="35">
        <v>1.9285714285714286</v>
      </c>
      <c r="E17" s="31">
        <v>0.2857142857142857</v>
      </c>
      <c r="F17" s="31">
        <v>0.21428571428571427</v>
      </c>
      <c r="G17" s="31">
        <v>0.30952380952380953</v>
      </c>
      <c r="H17" s="31">
        <v>0.15873015873015872</v>
      </c>
      <c r="I17" s="32">
        <v>6669.2307692307695</v>
      </c>
      <c r="J17" s="32">
        <v>-6980</v>
      </c>
      <c r="K17" s="31">
        <v>7.1428571428571425E-2</v>
      </c>
      <c r="L17" s="31">
        <v>0.23015873015873015</v>
      </c>
      <c r="M17" s="31">
        <v>0.24603174603174602</v>
      </c>
      <c r="N17" s="31">
        <v>0.48275862068965519</v>
      </c>
      <c r="O17" s="31">
        <v>0.41935483870967744</v>
      </c>
      <c r="P17" s="31">
        <v>0.41025641025641024</v>
      </c>
    </row>
    <row r="18" spans="1:16" x14ac:dyDescent="0.4">
      <c r="A18" s="33">
        <v>15</v>
      </c>
      <c r="B18" s="30">
        <v>22.500000000000004</v>
      </c>
      <c r="C18" s="30">
        <v>1.5000000000000002</v>
      </c>
      <c r="D18" s="35">
        <v>1.8666666666666667</v>
      </c>
      <c r="E18" s="31">
        <v>0.33333333333333331</v>
      </c>
      <c r="F18" s="31">
        <v>0.2</v>
      </c>
      <c r="G18" s="31">
        <v>0.31617647058823528</v>
      </c>
      <c r="H18" s="31">
        <v>0.15441176470588236</v>
      </c>
      <c r="I18" s="32">
        <v>6951.1627906976746</v>
      </c>
      <c r="J18" s="32">
        <v>-6771.4285714285716</v>
      </c>
      <c r="K18" s="31">
        <v>6.6666666666666666E-2</v>
      </c>
      <c r="L18" s="31">
        <v>0.22058823529411764</v>
      </c>
      <c r="M18" s="31">
        <v>0.26470588235294118</v>
      </c>
      <c r="N18" s="31">
        <v>0.5</v>
      </c>
      <c r="O18" s="31">
        <v>0.41666666666666669</v>
      </c>
      <c r="P18" s="31">
        <v>0.39534883720930231</v>
      </c>
    </row>
    <row r="19" spans="1:16" x14ac:dyDescent="0.4">
      <c r="A19" s="33">
        <v>16</v>
      </c>
      <c r="B19" s="30">
        <v>64.5</v>
      </c>
      <c r="C19" s="30">
        <v>4.03125</v>
      </c>
      <c r="D19" s="35">
        <v>1.8125</v>
      </c>
      <c r="E19" s="31">
        <v>0.375</v>
      </c>
      <c r="F19" s="31">
        <v>0.1875</v>
      </c>
      <c r="G19" s="31">
        <v>0.32167832167832167</v>
      </c>
      <c r="H19" s="31">
        <v>0.14685314685314685</v>
      </c>
      <c r="I19" s="32">
        <v>7095.652173913043</v>
      </c>
      <c r="J19" s="32">
        <v>-6771.4285714285716</v>
      </c>
      <c r="K19" s="31">
        <v>6.25E-2</v>
      </c>
      <c r="L19" s="31">
        <v>0.21678321678321677</v>
      </c>
      <c r="M19" s="31">
        <v>0.28671328671328672</v>
      </c>
      <c r="N19" s="31">
        <v>0.4838709677419355</v>
      </c>
      <c r="O19" s="31">
        <v>0.43902439024390244</v>
      </c>
      <c r="P19" s="31">
        <v>0.39130434782608697</v>
      </c>
    </row>
    <row r="20" spans="1:16" x14ac:dyDescent="0.4">
      <c r="A20" s="33">
        <v>17</v>
      </c>
      <c r="B20" s="30">
        <v>10.5</v>
      </c>
      <c r="C20" s="30">
        <v>0.61764705882352944</v>
      </c>
      <c r="D20" s="35">
        <v>1.8823529411764706</v>
      </c>
      <c r="E20" s="31">
        <v>0.35294117647058826</v>
      </c>
      <c r="F20" s="31">
        <v>0.23529411764705882</v>
      </c>
      <c r="G20" s="31">
        <v>0.31292517006802723</v>
      </c>
      <c r="H20" s="31">
        <v>0.15646258503401361</v>
      </c>
      <c r="I20" s="32">
        <v>7095.652173913043</v>
      </c>
      <c r="J20" s="32">
        <v>-7226.086956521739</v>
      </c>
      <c r="K20" s="31">
        <v>0.11764705882352941</v>
      </c>
      <c r="L20" s="31">
        <v>0.21768707482993196</v>
      </c>
      <c r="M20" s="31">
        <v>0.2857142857142857</v>
      </c>
      <c r="N20" s="31">
        <v>0.46875</v>
      </c>
      <c r="O20" s="31">
        <v>0.42857142857142855</v>
      </c>
      <c r="P20" s="31">
        <v>0.39130434782608697</v>
      </c>
    </row>
    <row r="21" spans="1:16" x14ac:dyDescent="0.4">
      <c r="A21" s="33">
        <v>18</v>
      </c>
      <c r="B21" s="30">
        <v>-22.299999999999997</v>
      </c>
      <c r="C21" s="30">
        <v>-1.2388888888888887</v>
      </c>
      <c r="D21" s="35">
        <v>1.9444444444444444</v>
      </c>
      <c r="E21" s="31">
        <v>0.33333333333333331</v>
      </c>
      <c r="F21" s="31">
        <v>0.27777777777777779</v>
      </c>
      <c r="G21" s="31">
        <v>0.30573248407643311</v>
      </c>
      <c r="H21" s="31">
        <v>0.15923566878980891</v>
      </c>
      <c r="I21" s="32">
        <v>7087.5</v>
      </c>
      <c r="J21" s="32">
        <v>-7180</v>
      </c>
      <c r="K21" s="31">
        <v>0.1111111111111111</v>
      </c>
      <c r="L21" s="31">
        <v>0.22292993630573249</v>
      </c>
      <c r="M21" s="31">
        <v>0.27388535031847133</v>
      </c>
      <c r="N21" s="31">
        <v>0.42857142857142855</v>
      </c>
      <c r="O21" s="31">
        <v>0.44186046511627908</v>
      </c>
      <c r="P21" s="31">
        <v>0.39583333333333331</v>
      </c>
    </row>
    <row r="22" spans="1:16" x14ac:dyDescent="0.4">
      <c r="A22" s="33">
        <v>19</v>
      </c>
      <c r="B22" s="30">
        <v>8.5000000000000036</v>
      </c>
      <c r="C22" s="30">
        <v>0.44736842105263175</v>
      </c>
      <c r="D22" s="35">
        <v>1.8947368421052631</v>
      </c>
      <c r="E22" s="31">
        <v>0.36842105263157893</v>
      </c>
      <c r="F22" s="31">
        <v>0.26315789473684209</v>
      </c>
      <c r="G22" s="31">
        <v>0.31288343558282211</v>
      </c>
      <c r="H22" s="31">
        <v>0.15950920245398773</v>
      </c>
      <c r="I22" s="32">
        <v>7294.1176470588234</v>
      </c>
      <c r="J22" s="32">
        <v>-7211.5384615384619</v>
      </c>
      <c r="K22" s="31">
        <v>0.10526315789473684</v>
      </c>
      <c r="L22" s="31">
        <v>0.23312883435582821</v>
      </c>
      <c r="M22" s="31">
        <v>0.26993865030674846</v>
      </c>
      <c r="N22" s="31">
        <v>0.47368421052631576</v>
      </c>
      <c r="O22" s="31">
        <v>0.43181818181818182</v>
      </c>
      <c r="P22" s="31">
        <v>0.39215686274509803</v>
      </c>
    </row>
    <row r="23" spans="1:16" x14ac:dyDescent="0.4">
      <c r="A23" s="33">
        <v>20</v>
      </c>
      <c r="B23" s="30">
        <v>36.800000000000004</v>
      </c>
      <c r="C23" s="30">
        <v>1.8400000000000003</v>
      </c>
      <c r="D23" s="35">
        <v>1.85</v>
      </c>
      <c r="E23" s="31">
        <v>0.4</v>
      </c>
      <c r="F23" s="31">
        <v>0.25</v>
      </c>
      <c r="G23" s="31">
        <v>0.31764705882352939</v>
      </c>
      <c r="H23" s="31">
        <v>0.1588235294117647</v>
      </c>
      <c r="I23" s="32">
        <v>7277.7777777777774</v>
      </c>
      <c r="J23" s="32">
        <v>-7051.8518518518522</v>
      </c>
      <c r="K23" s="31">
        <v>0.1</v>
      </c>
      <c r="L23" s="31">
        <v>0.23529411764705882</v>
      </c>
      <c r="M23" s="31">
        <v>0.26470588235294118</v>
      </c>
      <c r="N23" s="31">
        <v>0.47499999999999998</v>
      </c>
      <c r="O23" s="31">
        <v>0.44444444444444442</v>
      </c>
      <c r="P23" s="31">
        <v>0.37037037037037035</v>
      </c>
    </row>
    <row r="24" spans="1:16" x14ac:dyDescent="0.4">
      <c r="A24" s="33">
        <v>21</v>
      </c>
      <c r="B24" s="30">
        <v>66.2</v>
      </c>
      <c r="C24" s="30">
        <v>3.1523809523809527</v>
      </c>
      <c r="D24" s="35">
        <v>1.8095238095238095</v>
      </c>
      <c r="E24" s="31">
        <v>0.42857142857142855</v>
      </c>
      <c r="F24" s="31">
        <v>0.23809523809523808</v>
      </c>
      <c r="G24" s="31">
        <v>0.32960893854748602</v>
      </c>
      <c r="H24" s="31">
        <v>0.16201117318435754</v>
      </c>
      <c r="I24" s="32">
        <v>7345.7627118644068</v>
      </c>
      <c r="J24" s="32">
        <v>-7089.6551724137935</v>
      </c>
      <c r="K24" s="31">
        <v>9.5238095238095233E-2</v>
      </c>
      <c r="L24" s="31">
        <v>0.22905027932960895</v>
      </c>
      <c r="M24" s="31">
        <v>0.26256983240223464</v>
      </c>
      <c r="N24" s="31">
        <v>0.48780487804878048</v>
      </c>
      <c r="O24" s="31">
        <v>0.44680851063829785</v>
      </c>
      <c r="P24" s="31">
        <v>0.3559322033898305</v>
      </c>
    </row>
    <row r="25" spans="1:16" x14ac:dyDescent="0.4">
      <c r="A25" s="33">
        <v>22</v>
      </c>
      <c r="B25" s="30">
        <v>103</v>
      </c>
      <c r="C25" s="30">
        <v>4.6818181818181817</v>
      </c>
      <c r="D25" s="35">
        <v>1.7727272727272727</v>
      </c>
      <c r="E25" s="31">
        <v>0.45454545454545453</v>
      </c>
      <c r="F25" s="31">
        <v>0.22727272727272727</v>
      </c>
      <c r="G25" s="31">
        <v>0.33689839572192515</v>
      </c>
      <c r="H25" s="31">
        <v>0.15508021390374332</v>
      </c>
      <c r="I25" s="32">
        <v>7447.6190476190477</v>
      </c>
      <c r="J25" s="32">
        <v>-7089.6551724137935</v>
      </c>
      <c r="K25" s="31">
        <v>9.0909090909090912E-2</v>
      </c>
      <c r="L25" s="31">
        <v>0.22459893048128343</v>
      </c>
      <c r="M25" s="31">
        <v>0.26203208556149732</v>
      </c>
      <c r="N25" s="31">
        <v>0.5</v>
      </c>
      <c r="O25" s="31">
        <v>0.46938775510204084</v>
      </c>
      <c r="P25" s="31">
        <v>0.36507936507936506</v>
      </c>
    </row>
    <row r="26" spans="1:16" x14ac:dyDescent="0.4">
      <c r="A26" s="33">
        <v>23</v>
      </c>
      <c r="B26" s="30">
        <v>125.1</v>
      </c>
      <c r="C26" s="30">
        <v>5.4391304347826086</v>
      </c>
      <c r="D26" s="35">
        <v>1.7391304347826086</v>
      </c>
      <c r="E26" s="31">
        <v>0.47826086956521741</v>
      </c>
      <c r="F26" s="31">
        <v>0.21739130434782608</v>
      </c>
      <c r="G26" s="31">
        <v>0.34183673469387754</v>
      </c>
      <c r="H26" s="31">
        <v>0.15816326530612246</v>
      </c>
      <c r="I26" s="32">
        <v>7525.373134328358</v>
      </c>
      <c r="J26" s="32">
        <v>-7277.4193548387093</v>
      </c>
      <c r="K26" s="31">
        <v>8.6956521739130432E-2</v>
      </c>
      <c r="L26" s="31">
        <v>0.22448979591836735</v>
      </c>
      <c r="M26" s="31">
        <v>0.25510204081632654</v>
      </c>
      <c r="N26" s="31">
        <v>0.52272727272727271</v>
      </c>
      <c r="O26" s="31">
        <v>0.48</v>
      </c>
      <c r="P26" s="31">
        <v>0.37313432835820898</v>
      </c>
    </row>
    <row r="27" spans="1:16" x14ac:dyDescent="0.4">
      <c r="A27" s="33">
        <v>24</v>
      </c>
      <c r="B27" s="30">
        <v>198.89999999999998</v>
      </c>
      <c r="C27" s="30">
        <v>8.2874999999999996</v>
      </c>
      <c r="D27" s="35">
        <v>1.7083333333333333</v>
      </c>
      <c r="E27" s="31">
        <v>0.5</v>
      </c>
      <c r="F27" s="31">
        <v>0.20833333333333334</v>
      </c>
      <c r="G27" s="31">
        <v>0.34499999999999997</v>
      </c>
      <c r="H27" s="31">
        <v>0.155</v>
      </c>
      <c r="I27" s="32">
        <v>8171.014492753623</v>
      </c>
      <c r="J27" s="32">
        <v>-7277.4193548387093</v>
      </c>
      <c r="K27" s="31">
        <v>8.3333333333333329E-2</v>
      </c>
      <c r="L27" s="31">
        <v>0.23</v>
      </c>
      <c r="M27" s="31">
        <v>0.25</v>
      </c>
      <c r="N27" s="31">
        <v>0.52173913043478259</v>
      </c>
      <c r="O27" s="31">
        <v>0.48</v>
      </c>
      <c r="P27" s="31">
        <v>0.39130434782608697</v>
      </c>
    </row>
    <row r="28" spans="1:16" x14ac:dyDescent="0.4">
      <c r="A28" s="33">
        <v>25</v>
      </c>
      <c r="B28" s="30">
        <v>230.09999999999997</v>
      </c>
      <c r="C28" s="30">
        <v>9.2039999999999988</v>
      </c>
      <c r="D28" s="35">
        <v>1.68</v>
      </c>
      <c r="E28" s="31">
        <v>0.52</v>
      </c>
      <c r="F28" s="31">
        <v>0.2</v>
      </c>
      <c r="G28" s="31">
        <v>0.34449760765550241</v>
      </c>
      <c r="H28" s="31">
        <v>0.14832535885167464</v>
      </c>
      <c r="I28" s="32">
        <v>8055.5555555555557</v>
      </c>
      <c r="J28" s="32">
        <v>-7277.4193548387093</v>
      </c>
      <c r="K28" s="31">
        <v>0.08</v>
      </c>
      <c r="L28" s="31">
        <v>0.22488038277511962</v>
      </c>
      <c r="M28" s="31">
        <v>0.25358851674641147</v>
      </c>
      <c r="N28" s="31">
        <v>0.53191489361702127</v>
      </c>
      <c r="O28" s="31">
        <v>0.49056603773584906</v>
      </c>
      <c r="P28" s="31">
        <v>0.41666666666666669</v>
      </c>
    </row>
    <row r="29" spans="1:16" x14ac:dyDescent="0.4">
      <c r="A29" s="33">
        <v>26</v>
      </c>
      <c r="B29" s="30">
        <v>290.39999999999998</v>
      </c>
      <c r="C29" s="30">
        <v>11.169230769230769</v>
      </c>
      <c r="D29" s="35">
        <v>1.6538461538461537</v>
      </c>
      <c r="E29" s="31">
        <v>0.53846153846153844</v>
      </c>
      <c r="F29" s="31">
        <v>0.19230769230769232</v>
      </c>
      <c r="G29" s="31">
        <v>0.36486486486486486</v>
      </c>
      <c r="H29" s="31">
        <v>0.13963963963963963</v>
      </c>
      <c r="I29" s="32">
        <v>7793.8271604938273</v>
      </c>
      <c r="J29" s="32">
        <v>-7277.4193548387093</v>
      </c>
      <c r="K29" s="31">
        <v>7.6923076923076927E-2</v>
      </c>
      <c r="L29" s="31">
        <v>0.22072072072072071</v>
      </c>
      <c r="M29" s="31">
        <v>0.26126126126126126</v>
      </c>
      <c r="N29" s="31">
        <v>0.53061224489795922</v>
      </c>
      <c r="O29" s="31">
        <v>0.51724137931034486</v>
      </c>
      <c r="P29" s="31">
        <v>0.44444444444444442</v>
      </c>
    </row>
    <row r="30" spans="1:16" x14ac:dyDescent="0.4">
      <c r="A30" s="33">
        <v>27</v>
      </c>
      <c r="B30" s="30">
        <v>250.09999999999997</v>
      </c>
      <c r="C30" s="30">
        <v>9.2629629629629608</v>
      </c>
      <c r="D30" s="35">
        <v>1.7037037037037037</v>
      </c>
      <c r="E30" s="31">
        <v>0.51851851851851849</v>
      </c>
      <c r="F30" s="31">
        <v>0.22222222222222221</v>
      </c>
      <c r="G30" s="31">
        <v>0.35807860262008734</v>
      </c>
      <c r="H30" s="31">
        <v>0.14410480349344978</v>
      </c>
      <c r="I30" s="32">
        <v>7730.4878048780483</v>
      </c>
      <c r="J30" s="32">
        <v>-7393.939393939394</v>
      </c>
      <c r="K30" s="31">
        <v>7.407407407407407E-2</v>
      </c>
      <c r="L30" s="31">
        <v>0.22270742358078602</v>
      </c>
      <c r="M30" s="31">
        <v>0.25327510917030566</v>
      </c>
      <c r="N30" s="31">
        <v>0.50980392156862742</v>
      </c>
      <c r="O30" s="31">
        <v>0.51724137931034486</v>
      </c>
      <c r="P30" s="31">
        <v>0.43902439024390244</v>
      </c>
    </row>
    <row r="31" spans="1:16" x14ac:dyDescent="0.4">
      <c r="A31" s="33">
        <v>28</v>
      </c>
      <c r="B31" s="30">
        <v>226.69999999999996</v>
      </c>
      <c r="C31" s="30">
        <v>8.0964285714285698</v>
      </c>
      <c r="D31" s="35">
        <v>1.7142857142857142</v>
      </c>
      <c r="E31" s="31">
        <v>0.5</v>
      </c>
      <c r="F31" s="31">
        <v>0.21428571428571427</v>
      </c>
      <c r="G31" s="31">
        <v>0.35169491525423729</v>
      </c>
      <c r="H31" s="31">
        <v>0.13983050847457626</v>
      </c>
      <c r="I31" s="32">
        <v>7675.9036144578313</v>
      </c>
      <c r="J31" s="32">
        <v>-7393.939393939394</v>
      </c>
      <c r="K31" s="31">
        <v>7.1428571428571425E-2</v>
      </c>
      <c r="L31" s="31">
        <v>0.22033898305084745</v>
      </c>
      <c r="M31" s="31">
        <v>0.24576271186440679</v>
      </c>
      <c r="N31" s="31">
        <v>0.5</v>
      </c>
      <c r="O31" s="31">
        <v>0.51724137931034486</v>
      </c>
      <c r="P31" s="31">
        <v>0.43373493975903615</v>
      </c>
    </row>
    <row r="32" spans="1:16" x14ac:dyDescent="0.4">
      <c r="A32" s="33">
        <v>29</v>
      </c>
      <c r="B32" s="30">
        <v>201.79999999999995</v>
      </c>
      <c r="C32" s="30">
        <v>6.958620689655171</v>
      </c>
      <c r="D32" s="35">
        <v>1.7586206896551724</v>
      </c>
      <c r="E32" s="31">
        <v>0.48275862068965519</v>
      </c>
      <c r="F32" s="31">
        <v>0.2413793103448276</v>
      </c>
      <c r="G32" s="31">
        <v>0.34552845528455284</v>
      </c>
      <c r="H32" s="31">
        <v>0.14227642276422764</v>
      </c>
      <c r="I32" s="32">
        <v>7843.5294117647063</v>
      </c>
      <c r="J32" s="32">
        <v>-7828.5714285714284</v>
      </c>
      <c r="K32" s="31">
        <v>6.8965517241379309E-2</v>
      </c>
      <c r="L32" s="31">
        <v>0.22357723577235772</v>
      </c>
      <c r="M32" s="31">
        <v>0.24390243902439024</v>
      </c>
      <c r="N32" s="31">
        <v>0.50909090909090904</v>
      </c>
      <c r="O32" s="31">
        <v>0.5</v>
      </c>
      <c r="P32" s="31">
        <v>0.44705882352941179</v>
      </c>
    </row>
    <row r="33" spans="1:16" x14ac:dyDescent="0.4">
      <c r="A33" s="33">
        <v>30</v>
      </c>
      <c r="B33" s="30">
        <v>252.59999999999997</v>
      </c>
      <c r="C33" s="30">
        <v>8.4199999999999982</v>
      </c>
      <c r="D33" s="35">
        <v>1.7333333333333334</v>
      </c>
      <c r="E33" s="31">
        <v>0.5</v>
      </c>
      <c r="F33" s="31">
        <v>0.23333333333333334</v>
      </c>
      <c r="G33" s="31">
        <v>0.35</v>
      </c>
      <c r="H33" s="31">
        <v>0.14615384615384616</v>
      </c>
      <c r="I33" s="32">
        <v>7987.9120879120883</v>
      </c>
      <c r="J33" s="32">
        <v>-7542.105263157895</v>
      </c>
      <c r="K33" s="31">
        <v>6.6666666666666666E-2</v>
      </c>
      <c r="L33" s="31">
        <v>0.23076923076923078</v>
      </c>
      <c r="M33" s="31">
        <v>0.24230769230769231</v>
      </c>
      <c r="N33" s="31">
        <v>0.51666666666666672</v>
      </c>
      <c r="O33" s="31">
        <v>0.49206349206349204</v>
      </c>
      <c r="P33" s="31">
        <v>0.4175824175824176</v>
      </c>
    </row>
    <row r="34" spans="1:16" x14ac:dyDescent="0.4">
      <c r="A34" s="33">
        <v>31</v>
      </c>
      <c r="B34" s="30">
        <v>297.2</v>
      </c>
      <c r="C34" s="30">
        <v>9.5870967741935473</v>
      </c>
      <c r="D34" s="35">
        <v>1.7096774193548387</v>
      </c>
      <c r="E34" s="31">
        <v>0.5161290322580645</v>
      </c>
      <c r="F34" s="31">
        <v>0.22580645161290322</v>
      </c>
      <c r="G34" s="31">
        <v>0.34572490706319703</v>
      </c>
      <c r="H34" s="31">
        <v>0.1449814126394052</v>
      </c>
      <c r="I34" s="32">
        <v>8138.7096774193551</v>
      </c>
      <c r="J34" s="32">
        <v>-7448.7179487179483</v>
      </c>
      <c r="K34" s="31">
        <v>6.4516129032258063E-2</v>
      </c>
      <c r="L34" s="31">
        <v>0.23048327137546468</v>
      </c>
      <c r="M34" s="31">
        <v>0.24163568773234201</v>
      </c>
      <c r="N34" s="31">
        <v>0.5161290322580645</v>
      </c>
      <c r="O34" s="31">
        <v>0.49230769230769234</v>
      </c>
      <c r="P34" s="31">
        <v>0.41935483870967744</v>
      </c>
    </row>
    <row r="35" spans="1:16" x14ac:dyDescent="0.4">
      <c r="A35" s="33">
        <v>32</v>
      </c>
      <c r="B35" s="30">
        <v>293.89999999999998</v>
      </c>
      <c r="C35" s="30">
        <v>9.1843749999999993</v>
      </c>
      <c r="D35" s="35">
        <v>1.71875</v>
      </c>
      <c r="E35" s="31">
        <v>0.5</v>
      </c>
      <c r="F35" s="31">
        <v>0.21875</v>
      </c>
      <c r="G35" s="31">
        <v>0.34275618374558303</v>
      </c>
      <c r="H35" s="31">
        <v>0.13780918727915195</v>
      </c>
      <c r="I35" s="32">
        <v>7967.0103092783502</v>
      </c>
      <c r="J35" s="32">
        <v>-7448.7179487179483</v>
      </c>
      <c r="K35" s="31">
        <v>6.25E-2</v>
      </c>
      <c r="L35" s="31">
        <v>0.22261484098939929</v>
      </c>
      <c r="M35" s="31">
        <v>0.25088339222614842</v>
      </c>
      <c r="N35" s="31">
        <v>0.52380952380952384</v>
      </c>
      <c r="O35" s="31">
        <v>0.49295774647887325</v>
      </c>
      <c r="P35" s="31">
        <v>0.41237113402061853</v>
      </c>
    </row>
    <row r="36" spans="1:16" x14ac:dyDescent="0.4">
      <c r="A36" s="33">
        <v>33</v>
      </c>
      <c r="B36" s="30">
        <v>324</v>
      </c>
      <c r="C36" s="30">
        <v>9.8181818181818183</v>
      </c>
      <c r="D36" s="35">
        <v>1.696969696969697</v>
      </c>
      <c r="E36" s="31">
        <v>0.51515151515151514</v>
      </c>
      <c r="F36" s="31">
        <v>0.21212121212121213</v>
      </c>
      <c r="G36" s="31">
        <v>0.34246575342465752</v>
      </c>
      <c r="H36" s="31">
        <v>0.13356164383561644</v>
      </c>
      <c r="I36" s="32">
        <v>7924</v>
      </c>
      <c r="J36" s="32">
        <v>-7448.7179487179483</v>
      </c>
      <c r="K36" s="31">
        <v>6.0606060606060608E-2</v>
      </c>
      <c r="L36" s="31">
        <v>0.22602739726027396</v>
      </c>
      <c r="M36" s="31">
        <v>0.26027397260273971</v>
      </c>
      <c r="N36" s="31">
        <v>0.51515151515151514</v>
      </c>
      <c r="O36" s="31">
        <v>0.47368421052631576</v>
      </c>
      <c r="P36" s="31">
        <v>0.4</v>
      </c>
    </row>
    <row r="37" spans="1:16" x14ac:dyDescent="0.4">
      <c r="A37" s="33">
        <v>34</v>
      </c>
      <c r="B37" s="30">
        <v>320.7</v>
      </c>
      <c r="C37" s="30">
        <v>9.4323529411764699</v>
      </c>
      <c r="D37" s="35">
        <v>1.7058823529411764</v>
      </c>
      <c r="E37" s="31">
        <v>0.5</v>
      </c>
      <c r="F37" s="31">
        <v>0.20588235294117646</v>
      </c>
      <c r="G37" s="31">
        <v>0.34448160535117056</v>
      </c>
      <c r="H37" s="31">
        <v>0.13043478260869565</v>
      </c>
      <c r="I37" s="32">
        <v>7923.3009708737864</v>
      </c>
      <c r="J37" s="32">
        <v>-7448.7179487179483</v>
      </c>
      <c r="K37" s="31">
        <v>5.8823529411764705E-2</v>
      </c>
      <c r="L37" s="31">
        <v>0.22408026755852842</v>
      </c>
      <c r="M37" s="31">
        <v>0.2608695652173913</v>
      </c>
      <c r="N37" s="31">
        <v>0.52238805970149249</v>
      </c>
      <c r="O37" s="31">
        <v>0.47435897435897434</v>
      </c>
      <c r="P37" s="31">
        <v>0.40776699029126212</v>
      </c>
    </row>
    <row r="38" spans="1:16" x14ac:dyDescent="0.4">
      <c r="A38" s="33">
        <v>35</v>
      </c>
      <c r="B38" s="30">
        <v>344.59999999999997</v>
      </c>
      <c r="C38" s="30">
        <v>9.8457142857142852</v>
      </c>
      <c r="D38" s="35">
        <v>1.6857142857142857</v>
      </c>
      <c r="E38" s="31">
        <v>0.51428571428571423</v>
      </c>
      <c r="F38" s="31">
        <v>0.2</v>
      </c>
      <c r="G38" s="31">
        <v>0.35294117647058826</v>
      </c>
      <c r="H38" s="31">
        <v>0.12745098039215685</v>
      </c>
      <c r="I38" s="32">
        <v>7805.5555555555557</v>
      </c>
      <c r="J38" s="32">
        <v>-7448.7179487179483</v>
      </c>
      <c r="K38" s="31">
        <v>5.7142857142857141E-2</v>
      </c>
      <c r="L38" s="31">
        <v>0.21895424836601307</v>
      </c>
      <c r="M38" s="31">
        <v>0.2581699346405229</v>
      </c>
      <c r="N38" s="31">
        <v>0.52238805970149249</v>
      </c>
      <c r="O38" s="31">
        <v>0.48101265822784811</v>
      </c>
      <c r="P38" s="31">
        <v>0.41666666666666669</v>
      </c>
    </row>
    <row r="39" spans="1:16" x14ac:dyDescent="0.4">
      <c r="A39" s="33">
        <v>36</v>
      </c>
      <c r="B39" s="30">
        <v>334.59999999999997</v>
      </c>
      <c r="C39" s="30">
        <v>9.2944444444444443</v>
      </c>
      <c r="D39" s="35">
        <v>1.6944444444444444</v>
      </c>
      <c r="E39" s="31">
        <v>0.5</v>
      </c>
      <c r="F39" s="31">
        <v>0.19444444444444445</v>
      </c>
      <c r="G39" s="31">
        <v>0.34615384615384615</v>
      </c>
      <c r="H39" s="31">
        <v>0.125</v>
      </c>
      <c r="I39" s="32">
        <v>7805.5555555555557</v>
      </c>
      <c r="J39" s="32">
        <v>-7448.7179487179483</v>
      </c>
      <c r="K39" s="31">
        <v>5.5555555555555552E-2</v>
      </c>
      <c r="L39" s="31">
        <v>0.21474358974358973</v>
      </c>
      <c r="M39" s="31">
        <v>0.25641025641025639</v>
      </c>
      <c r="N39" s="31">
        <v>0.52238805970149249</v>
      </c>
      <c r="O39" s="31">
        <v>0.47499999999999998</v>
      </c>
      <c r="P39" s="31">
        <v>0.41666666666666669</v>
      </c>
    </row>
    <row r="40" spans="1:16" x14ac:dyDescent="0.4">
      <c r="A40" s="33">
        <v>37</v>
      </c>
      <c r="B40" s="30">
        <v>335.09999999999997</v>
      </c>
      <c r="C40" s="30">
        <v>9.0567567567567551</v>
      </c>
      <c r="D40" s="35">
        <v>1.7027027027027026</v>
      </c>
      <c r="E40" s="31">
        <v>0.48648648648648651</v>
      </c>
      <c r="F40" s="31">
        <v>0.1891891891891892</v>
      </c>
      <c r="G40" s="31">
        <v>0.34579439252336447</v>
      </c>
      <c r="H40" s="31">
        <v>0.12149532710280374</v>
      </c>
      <c r="I40" s="32">
        <v>7767.5675675675675</v>
      </c>
      <c r="J40" s="32">
        <v>-7448.7179487179483</v>
      </c>
      <c r="K40" s="31">
        <v>5.4054054054054057E-2</v>
      </c>
      <c r="L40" s="31">
        <v>0.2087227414330218</v>
      </c>
      <c r="M40" s="31">
        <v>0.2554517133956386</v>
      </c>
      <c r="N40" s="31">
        <v>0.52238805970149249</v>
      </c>
      <c r="O40" s="31">
        <v>0.47560975609756095</v>
      </c>
      <c r="P40" s="31">
        <v>0.4144144144144144</v>
      </c>
    </row>
    <row r="41" spans="1:16" x14ac:dyDescent="0.4">
      <c r="A41" s="33">
        <v>38</v>
      </c>
      <c r="B41" s="30">
        <v>329.99999999999994</v>
      </c>
      <c r="C41" s="30">
        <v>8.6842105263157876</v>
      </c>
      <c r="D41" s="35">
        <v>1.7105263157894737</v>
      </c>
      <c r="E41" s="31">
        <v>0.47368421052631576</v>
      </c>
      <c r="F41" s="31">
        <v>0.18421052631578946</v>
      </c>
      <c r="G41" s="31">
        <v>0.34662576687116564</v>
      </c>
      <c r="H41" s="31">
        <v>0.1196319018404908</v>
      </c>
      <c r="I41" s="32">
        <v>7695.575221238938</v>
      </c>
      <c r="J41" s="32">
        <v>-7448.7179487179483</v>
      </c>
      <c r="K41" s="31">
        <v>5.2631578947368418E-2</v>
      </c>
      <c r="L41" s="31">
        <v>0.20858895705521471</v>
      </c>
      <c r="M41" s="31">
        <v>0.25153374233128833</v>
      </c>
      <c r="N41" s="31">
        <v>0.52941176470588236</v>
      </c>
      <c r="O41" s="31">
        <v>0.47560975609756095</v>
      </c>
      <c r="P41" s="31">
        <v>0.41592920353982299</v>
      </c>
    </row>
    <row r="42" spans="1:16" x14ac:dyDescent="0.4">
      <c r="A42" s="33">
        <v>39</v>
      </c>
      <c r="B42" s="30">
        <v>370.49999999999994</v>
      </c>
      <c r="C42" s="30">
        <v>9.4999999999999982</v>
      </c>
      <c r="D42" s="35">
        <v>1.6923076923076923</v>
      </c>
      <c r="E42" s="31">
        <v>0.48717948717948717</v>
      </c>
      <c r="F42" s="31">
        <v>0.17948717948717949</v>
      </c>
      <c r="G42" s="31">
        <v>0.34925373134328358</v>
      </c>
      <c r="H42" s="31">
        <v>0.11940298507462686</v>
      </c>
      <c r="I42" s="32">
        <v>7710.2564102564102</v>
      </c>
      <c r="J42" s="32">
        <v>-7302.5</v>
      </c>
      <c r="K42" s="31">
        <v>5.128205128205128E-2</v>
      </c>
      <c r="L42" s="31">
        <v>0.20895522388059701</v>
      </c>
      <c r="M42" s="31">
        <v>0.24776119402985075</v>
      </c>
      <c r="N42" s="31">
        <v>0.54285714285714282</v>
      </c>
      <c r="O42" s="31">
        <v>0.48192771084337349</v>
      </c>
      <c r="P42" s="31">
        <v>0.40170940170940173</v>
      </c>
    </row>
    <row r="43" spans="1:16" x14ac:dyDescent="0.4">
      <c r="A43" s="33">
        <v>40</v>
      </c>
      <c r="B43" s="30">
        <v>317.29999999999995</v>
      </c>
      <c r="C43" s="30">
        <v>7.9324999999999992</v>
      </c>
      <c r="D43" s="35">
        <v>1.7250000000000001</v>
      </c>
      <c r="E43" s="31">
        <v>0.47499999999999998</v>
      </c>
      <c r="F43" s="31">
        <v>0.2</v>
      </c>
      <c r="G43" s="31">
        <v>0.33913043478260868</v>
      </c>
      <c r="H43" s="31">
        <v>0.12173913043478261</v>
      </c>
      <c r="I43" s="32">
        <v>7710.2564102564102</v>
      </c>
      <c r="J43" s="32">
        <v>-7366.666666666667</v>
      </c>
      <c r="K43" s="31">
        <v>7.4999999999999997E-2</v>
      </c>
      <c r="L43" s="31">
        <v>0.20869565217391303</v>
      </c>
      <c r="M43" s="31">
        <v>0.25507246376811593</v>
      </c>
      <c r="N43" s="31">
        <v>0.52777777777777779</v>
      </c>
      <c r="O43" s="31">
        <v>0.45454545454545453</v>
      </c>
      <c r="P43" s="31">
        <v>0.40170940170940173</v>
      </c>
    </row>
    <row r="44" spans="1:16" x14ac:dyDescent="0.4">
      <c r="A44" s="33">
        <v>41</v>
      </c>
      <c r="B44" s="30">
        <v>286.49999999999994</v>
      </c>
      <c r="C44" s="30">
        <v>6.9878048780487791</v>
      </c>
      <c r="D44" s="35">
        <v>1.7560975609756098</v>
      </c>
      <c r="E44" s="31">
        <v>0.46341463414634149</v>
      </c>
      <c r="F44" s="31">
        <v>0.21951219512195122</v>
      </c>
      <c r="G44" s="31">
        <v>0.3342696629213483</v>
      </c>
      <c r="H44" s="31">
        <v>0.12359550561797752</v>
      </c>
      <c r="I44" s="32">
        <v>7712.6050420168067</v>
      </c>
      <c r="J44" s="32">
        <v>-7654.545454545455</v>
      </c>
      <c r="K44" s="31">
        <v>7.3170731707317069E-2</v>
      </c>
      <c r="L44" s="31">
        <v>0.2050561797752809</v>
      </c>
      <c r="M44" s="31">
        <v>0.2640449438202247</v>
      </c>
      <c r="N44" s="31">
        <v>0.53424657534246578</v>
      </c>
      <c r="O44" s="31">
        <v>0.43617021276595747</v>
      </c>
      <c r="P44" s="31">
        <v>0.40336134453781514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46DFE-8E04-4D45-94C4-0F937C0D109C}">
  <sheetPr codeName="Sheet16"/>
  <dimension ref="A1:Q40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211</v>
      </c>
      <c r="B1" s="34" t="s">
        <v>211</v>
      </c>
      <c r="C1" s="34" t="s">
        <v>211</v>
      </c>
      <c r="D1" s="35" t="s">
        <v>211</v>
      </c>
      <c r="E1" s="34" t="s">
        <v>211</v>
      </c>
      <c r="F1" s="34" t="s">
        <v>211</v>
      </c>
      <c r="G1" s="34" t="s">
        <v>211</v>
      </c>
      <c r="H1" s="34" t="s">
        <v>211</v>
      </c>
      <c r="I1" s="34" t="s">
        <v>211</v>
      </c>
      <c r="J1" s="34" t="s">
        <v>211</v>
      </c>
      <c r="K1" s="34" t="s">
        <v>211</v>
      </c>
      <c r="L1" s="34" t="s">
        <v>211</v>
      </c>
      <c r="M1" s="34" t="s">
        <v>211</v>
      </c>
      <c r="N1" s="34" t="s">
        <v>211</v>
      </c>
      <c r="O1" s="34" t="s">
        <v>211</v>
      </c>
      <c r="P1" s="34" t="s">
        <v>211</v>
      </c>
      <c r="Q1" s="34" t="s">
        <v>211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55.6</v>
      </c>
      <c r="C4" s="30">
        <v>55.6</v>
      </c>
      <c r="D4" s="35">
        <v>1</v>
      </c>
      <c r="E4" s="31">
        <v>1</v>
      </c>
      <c r="F4" s="31">
        <v>0</v>
      </c>
      <c r="G4" s="31">
        <v>0.5</v>
      </c>
      <c r="H4" s="31">
        <v>0.1</v>
      </c>
      <c r="I4" s="32">
        <v>9000</v>
      </c>
      <c r="J4" s="32">
        <v>-7700</v>
      </c>
      <c r="K4" s="31">
        <v>0</v>
      </c>
      <c r="L4" s="31">
        <v>0.5</v>
      </c>
      <c r="M4" s="31">
        <v>0.3</v>
      </c>
      <c r="N4" s="31">
        <v>0.6</v>
      </c>
      <c r="O4" s="31">
        <v>0.66666666666666663</v>
      </c>
      <c r="P4" s="31">
        <v>0.8</v>
      </c>
    </row>
    <row r="5" spans="1:17" x14ac:dyDescent="0.4">
      <c r="A5" s="33">
        <v>2</v>
      </c>
      <c r="B5" s="30">
        <v>24.900000000000002</v>
      </c>
      <c r="C5" s="30">
        <v>12.450000000000001</v>
      </c>
      <c r="D5" s="35">
        <v>2</v>
      </c>
      <c r="E5" s="31">
        <v>0.5</v>
      </c>
      <c r="F5" s="31">
        <v>0.5</v>
      </c>
      <c r="G5" s="31">
        <v>0.3125</v>
      </c>
      <c r="H5" s="31">
        <v>0.125</v>
      </c>
      <c r="I5" s="32">
        <v>9000</v>
      </c>
      <c r="J5" s="32">
        <v>-7700</v>
      </c>
      <c r="K5" s="31">
        <v>0</v>
      </c>
      <c r="L5" s="31">
        <v>0.375</v>
      </c>
      <c r="M5" s="31">
        <v>0.1875</v>
      </c>
      <c r="N5" s="31">
        <v>0.5</v>
      </c>
      <c r="O5" s="31">
        <v>0.66666666666666663</v>
      </c>
      <c r="P5" s="31">
        <v>0.8</v>
      </c>
    </row>
    <row r="6" spans="1:17" x14ac:dyDescent="0.4">
      <c r="A6" s="33">
        <v>3</v>
      </c>
      <c r="B6" s="30">
        <v>-20.599999999999998</v>
      </c>
      <c r="C6" s="30">
        <v>-6.8666666666666663</v>
      </c>
      <c r="D6" s="35">
        <v>2.3333333333333335</v>
      </c>
      <c r="E6" s="31">
        <v>0.33333333333333331</v>
      </c>
      <c r="F6" s="31">
        <v>0.66666666666666663</v>
      </c>
      <c r="G6" s="31">
        <v>0.23809523809523808</v>
      </c>
      <c r="H6" s="31">
        <v>0.19047619047619047</v>
      </c>
      <c r="I6" s="32">
        <v>9000</v>
      </c>
      <c r="J6" s="32">
        <v>-9850</v>
      </c>
      <c r="K6" s="31">
        <v>0.33333333333333331</v>
      </c>
      <c r="L6" s="31">
        <v>0.33333333333333331</v>
      </c>
      <c r="M6" s="31">
        <v>0.19047619047619047</v>
      </c>
      <c r="N6" s="31">
        <v>0.42857142857142855</v>
      </c>
      <c r="O6" s="31">
        <v>0.5</v>
      </c>
      <c r="P6" s="31">
        <v>0.8</v>
      </c>
    </row>
    <row r="7" spans="1:17" x14ac:dyDescent="0.4">
      <c r="A7" s="33">
        <v>4</v>
      </c>
      <c r="B7" s="30">
        <v>-25</v>
      </c>
      <c r="C7" s="30">
        <v>-6.25</v>
      </c>
      <c r="D7" s="35">
        <v>2.25</v>
      </c>
      <c r="E7" s="31">
        <v>0.25</v>
      </c>
      <c r="F7" s="31">
        <v>0.5</v>
      </c>
      <c r="G7" s="31">
        <v>0.25714285714285712</v>
      </c>
      <c r="H7" s="31">
        <v>0.22857142857142856</v>
      </c>
      <c r="I7" s="32">
        <v>8533.3333333333339</v>
      </c>
      <c r="J7" s="32">
        <v>-8887.5</v>
      </c>
      <c r="K7" s="31">
        <v>0.25</v>
      </c>
      <c r="L7" s="31">
        <v>0.31428571428571428</v>
      </c>
      <c r="M7" s="31">
        <v>0.17142857142857143</v>
      </c>
      <c r="N7" s="31">
        <v>0.54545454545454541</v>
      </c>
      <c r="O7" s="31">
        <v>0.5</v>
      </c>
      <c r="P7" s="31">
        <v>0.55555555555555558</v>
      </c>
    </row>
    <row r="8" spans="1:17" x14ac:dyDescent="0.4">
      <c r="A8" s="33">
        <v>5</v>
      </c>
      <c r="B8" s="30">
        <v>-53</v>
      </c>
      <c r="C8" s="30">
        <v>-10.6</v>
      </c>
      <c r="D8" s="35">
        <v>2.4</v>
      </c>
      <c r="E8" s="31">
        <v>0.2</v>
      </c>
      <c r="F8" s="31">
        <v>0.6</v>
      </c>
      <c r="G8" s="31">
        <v>0.23684210526315788</v>
      </c>
      <c r="H8" s="31">
        <v>0.26315789473684209</v>
      </c>
      <c r="I8" s="32">
        <v>8533.3333333333339</v>
      </c>
      <c r="J8" s="32">
        <v>-8810</v>
      </c>
      <c r="K8" s="31">
        <v>0.2</v>
      </c>
      <c r="L8" s="31">
        <v>0.31578947368421051</v>
      </c>
      <c r="M8" s="31">
        <v>0.15789473684210525</v>
      </c>
      <c r="N8" s="31">
        <v>0.5</v>
      </c>
      <c r="O8" s="31">
        <v>0.5</v>
      </c>
      <c r="P8" s="31">
        <v>0.55555555555555558</v>
      </c>
    </row>
    <row r="9" spans="1:17" x14ac:dyDescent="0.4">
      <c r="A9" s="33">
        <v>6</v>
      </c>
      <c r="B9" s="30">
        <v>-32.799999999999997</v>
      </c>
      <c r="C9" s="30">
        <v>-5.4666666666666659</v>
      </c>
      <c r="D9" s="35">
        <v>2.3333333333333335</v>
      </c>
      <c r="E9" s="31">
        <v>0.16666666666666666</v>
      </c>
      <c r="F9" s="31">
        <v>0.5</v>
      </c>
      <c r="G9" s="31">
        <v>0.25531914893617019</v>
      </c>
      <c r="H9" s="31">
        <v>0.23404255319148937</v>
      </c>
      <c r="I9" s="32">
        <v>8708.3333333333339</v>
      </c>
      <c r="J9" s="32">
        <v>-8481.818181818182</v>
      </c>
      <c r="K9" s="31">
        <v>0.16666666666666666</v>
      </c>
      <c r="L9" s="31">
        <v>0.34042553191489361</v>
      </c>
      <c r="M9" s="31">
        <v>0.19148936170212766</v>
      </c>
      <c r="N9" s="31">
        <v>0.4375</v>
      </c>
      <c r="O9" s="31">
        <v>0.55555555555555558</v>
      </c>
      <c r="P9" s="31">
        <v>0.41666666666666669</v>
      </c>
    </row>
    <row r="10" spans="1:17" x14ac:dyDescent="0.4">
      <c r="A10" s="33">
        <v>7</v>
      </c>
      <c r="B10" s="30">
        <v>-22.199999999999996</v>
      </c>
      <c r="C10" s="30">
        <v>-3.1714285714285708</v>
      </c>
      <c r="D10" s="35">
        <v>2.2857142857142856</v>
      </c>
      <c r="E10" s="31">
        <v>0.14285714285714285</v>
      </c>
      <c r="F10" s="31">
        <v>0.42857142857142855</v>
      </c>
      <c r="G10" s="31">
        <v>0.28301886792452829</v>
      </c>
      <c r="H10" s="31">
        <v>0.20754716981132076</v>
      </c>
      <c r="I10" s="32">
        <v>7480</v>
      </c>
      <c r="J10" s="32">
        <v>-8481.818181818182</v>
      </c>
      <c r="K10" s="31">
        <v>0.14285714285714285</v>
      </c>
      <c r="L10" s="31">
        <v>0.33962264150943394</v>
      </c>
      <c r="M10" s="31">
        <v>0.18867924528301888</v>
      </c>
      <c r="N10" s="31">
        <v>0.5</v>
      </c>
      <c r="O10" s="31">
        <v>0.6</v>
      </c>
      <c r="P10" s="31">
        <v>0.53333333333333333</v>
      </c>
    </row>
    <row r="11" spans="1:17" x14ac:dyDescent="0.4">
      <c r="A11" s="33">
        <v>8</v>
      </c>
      <c r="B11" s="30">
        <v>0.30000000000000426</v>
      </c>
      <c r="C11" s="30">
        <v>3.7500000000000533E-2</v>
      </c>
      <c r="D11" s="35">
        <v>2.125</v>
      </c>
      <c r="E11" s="31">
        <v>0.25</v>
      </c>
      <c r="F11" s="31">
        <v>0.375</v>
      </c>
      <c r="G11" s="31">
        <v>0.29508196721311475</v>
      </c>
      <c r="H11" s="31">
        <v>0.18032786885245902</v>
      </c>
      <c r="I11" s="32">
        <v>7333.333333333333</v>
      </c>
      <c r="J11" s="32">
        <v>-8481.818181818182</v>
      </c>
      <c r="K11" s="31">
        <v>0.125</v>
      </c>
      <c r="L11" s="31">
        <v>0.31147540983606559</v>
      </c>
      <c r="M11" s="31">
        <v>0.19672131147540983</v>
      </c>
      <c r="N11" s="31">
        <v>0.52631578947368418</v>
      </c>
      <c r="O11" s="31">
        <v>0.58333333333333337</v>
      </c>
      <c r="P11" s="31">
        <v>0.44444444444444442</v>
      </c>
    </row>
    <row r="12" spans="1:17" x14ac:dyDescent="0.4">
      <c r="A12" s="33">
        <v>9</v>
      </c>
      <c r="B12" s="30">
        <v>20.500000000000004</v>
      </c>
      <c r="C12" s="30">
        <v>2.2777777777777781</v>
      </c>
      <c r="D12" s="35">
        <v>2</v>
      </c>
      <c r="E12" s="31">
        <v>0.33333333333333331</v>
      </c>
      <c r="F12" s="31">
        <v>0.33333333333333331</v>
      </c>
      <c r="G12" s="31">
        <v>0.30985915492957744</v>
      </c>
      <c r="H12" s="31">
        <v>0.15492957746478872</v>
      </c>
      <c r="I12" s="32">
        <v>7322.727272727273</v>
      </c>
      <c r="J12" s="32">
        <v>-8481.818181818182</v>
      </c>
      <c r="K12" s="31">
        <v>0.1111111111111111</v>
      </c>
      <c r="L12" s="31">
        <v>0.30985915492957744</v>
      </c>
      <c r="M12" s="31">
        <v>0.18309859154929578</v>
      </c>
      <c r="N12" s="31">
        <v>0.54545454545454541</v>
      </c>
      <c r="O12" s="31">
        <v>0.61538461538461542</v>
      </c>
      <c r="P12" s="31">
        <v>0.40909090909090912</v>
      </c>
    </row>
    <row r="13" spans="1:17" x14ac:dyDescent="0.4">
      <c r="A13" s="33">
        <v>10</v>
      </c>
      <c r="B13" s="30">
        <v>6.9000000000000039</v>
      </c>
      <c r="C13" s="30">
        <v>0.69000000000000039</v>
      </c>
      <c r="D13" s="35">
        <v>2.1</v>
      </c>
      <c r="E13" s="31">
        <v>0.3</v>
      </c>
      <c r="F13" s="31">
        <v>0.4</v>
      </c>
      <c r="G13" s="31">
        <v>0.30769230769230771</v>
      </c>
      <c r="H13" s="31">
        <v>0.15384615384615385</v>
      </c>
      <c r="I13" s="32">
        <v>7366.666666666667</v>
      </c>
      <c r="J13" s="32">
        <v>-8416.6666666666661</v>
      </c>
      <c r="K13" s="31">
        <v>0.1</v>
      </c>
      <c r="L13" s="31">
        <v>0.29487179487179488</v>
      </c>
      <c r="M13" s="31">
        <v>0.20512820512820512</v>
      </c>
      <c r="N13" s="31">
        <v>0.56521739130434778</v>
      </c>
      <c r="O13" s="31">
        <v>0.5625</v>
      </c>
      <c r="P13" s="31">
        <v>0.41666666666666669</v>
      </c>
    </row>
    <row r="14" spans="1:17" x14ac:dyDescent="0.4">
      <c r="A14" s="33">
        <v>11</v>
      </c>
      <c r="B14" s="30">
        <v>-18.799999999999997</v>
      </c>
      <c r="C14" s="30">
        <v>-1.7090909090909088</v>
      </c>
      <c r="D14" s="35">
        <v>2.1818181818181817</v>
      </c>
      <c r="E14" s="31">
        <v>0.27272727272727271</v>
      </c>
      <c r="F14" s="31">
        <v>0.45454545454545453</v>
      </c>
      <c r="G14" s="31">
        <v>0.30588235294117649</v>
      </c>
      <c r="H14" s="31">
        <v>0.15294117647058825</v>
      </c>
      <c r="I14" s="32">
        <v>7150</v>
      </c>
      <c r="J14" s="32">
        <v>-7953.8461538461543</v>
      </c>
      <c r="K14" s="31">
        <v>9.0909090909090912E-2</v>
      </c>
      <c r="L14" s="31">
        <v>0.28235294117647058</v>
      </c>
      <c r="M14" s="31">
        <v>0.18823529411764706</v>
      </c>
      <c r="N14" s="31">
        <v>0.58333333333333337</v>
      </c>
      <c r="O14" s="31">
        <v>0.5625</v>
      </c>
      <c r="P14" s="31">
        <v>0.42307692307692307</v>
      </c>
    </row>
    <row r="15" spans="1:17" x14ac:dyDescent="0.4">
      <c r="A15" s="33">
        <v>12</v>
      </c>
      <c r="B15" s="30">
        <v>32.1</v>
      </c>
      <c r="C15" s="30">
        <v>2.6750000000000003</v>
      </c>
      <c r="D15" s="35">
        <v>2.0833333333333335</v>
      </c>
      <c r="E15" s="31">
        <v>0.33333333333333331</v>
      </c>
      <c r="F15" s="31">
        <v>0.41666666666666669</v>
      </c>
      <c r="G15" s="31">
        <v>0.31521739130434784</v>
      </c>
      <c r="H15" s="31">
        <v>0.16304347826086957</v>
      </c>
      <c r="I15" s="32">
        <v>8065.5172413793107</v>
      </c>
      <c r="J15" s="32">
        <v>-7500</v>
      </c>
      <c r="K15" s="31">
        <v>8.3333333333333329E-2</v>
      </c>
      <c r="L15" s="31">
        <v>0.2608695652173913</v>
      </c>
      <c r="M15" s="31">
        <v>0.19565217391304349</v>
      </c>
      <c r="N15" s="31">
        <v>0.58333333333333337</v>
      </c>
      <c r="O15" s="31">
        <v>0.55555555555555558</v>
      </c>
      <c r="P15" s="31">
        <v>0.44827586206896552</v>
      </c>
    </row>
    <row r="16" spans="1:17" x14ac:dyDescent="0.4">
      <c r="A16" s="33">
        <v>13</v>
      </c>
      <c r="B16" s="30">
        <v>65.800000000000011</v>
      </c>
      <c r="C16" s="30">
        <v>5.0615384615384622</v>
      </c>
      <c r="D16" s="35">
        <v>2</v>
      </c>
      <c r="E16" s="31">
        <v>0.38461538461538464</v>
      </c>
      <c r="F16" s="31">
        <v>0.38461538461538464</v>
      </c>
      <c r="G16" s="31">
        <v>0.32653061224489793</v>
      </c>
      <c r="H16" s="31">
        <v>0.16326530612244897</v>
      </c>
      <c r="I16" s="32">
        <v>8165.625</v>
      </c>
      <c r="J16" s="32">
        <v>-7356.25</v>
      </c>
      <c r="K16" s="31">
        <v>7.6923076923076927E-2</v>
      </c>
      <c r="L16" s="31">
        <v>0.25510204081632654</v>
      </c>
      <c r="M16" s="31">
        <v>0.22448979591836735</v>
      </c>
      <c r="N16" s="31">
        <v>0.6</v>
      </c>
      <c r="O16" s="31">
        <v>0.54545454545454541</v>
      </c>
      <c r="P16" s="31">
        <v>0.46875</v>
      </c>
    </row>
    <row r="17" spans="1:16" x14ac:dyDescent="0.4">
      <c r="A17" s="33">
        <v>14</v>
      </c>
      <c r="B17" s="30">
        <v>99.300000000000011</v>
      </c>
      <c r="C17" s="30">
        <v>7.0928571428571434</v>
      </c>
      <c r="D17" s="35">
        <v>1.9285714285714286</v>
      </c>
      <c r="E17" s="31">
        <v>0.42857142857142855</v>
      </c>
      <c r="F17" s="31">
        <v>0.35714285714285715</v>
      </c>
      <c r="G17" s="31">
        <v>0.35238095238095241</v>
      </c>
      <c r="H17" s="31">
        <v>0.16190476190476191</v>
      </c>
      <c r="I17" s="32">
        <v>7913.5135135135133</v>
      </c>
      <c r="J17" s="32">
        <v>-7394.1176470588234</v>
      </c>
      <c r="K17" s="31">
        <v>7.1428571428571425E-2</v>
      </c>
      <c r="L17" s="31">
        <v>0.24761904761904763</v>
      </c>
      <c r="M17" s="31">
        <v>0.25714285714285712</v>
      </c>
      <c r="N17" s="31">
        <v>0.61538461538461542</v>
      </c>
      <c r="O17" s="31">
        <v>0.59259259259259256</v>
      </c>
      <c r="P17" s="31">
        <v>0.40540540540540543</v>
      </c>
    </row>
    <row r="18" spans="1:16" x14ac:dyDescent="0.4">
      <c r="A18" s="33">
        <v>15</v>
      </c>
      <c r="B18" s="30">
        <v>75.200000000000017</v>
      </c>
      <c r="C18" s="30">
        <v>5.0133333333333345</v>
      </c>
      <c r="D18" s="35">
        <v>1.9333333333333333</v>
      </c>
      <c r="E18" s="31">
        <v>0.4</v>
      </c>
      <c r="F18" s="31">
        <v>0.33333333333333331</v>
      </c>
      <c r="G18" s="31">
        <v>0.35652173913043478</v>
      </c>
      <c r="H18" s="31">
        <v>0.16521739130434782</v>
      </c>
      <c r="I18" s="32">
        <v>7495.1219512195121</v>
      </c>
      <c r="J18" s="32">
        <v>-7921.0526315789475</v>
      </c>
      <c r="K18" s="31">
        <v>6.6666666666666666E-2</v>
      </c>
      <c r="L18" s="31">
        <v>0.23478260869565218</v>
      </c>
      <c r="M18" s="31">
        <v>0.25217391304347825</v>
      </c>
      <c r="N18" s="31">
        <v>0.59259259259259256</v>
      </c>
      <c r="O18" s="31">
        <v>0.62068965517241381</v>
      </c>
      <c r="P18" s="31">
        <v>0.36585365853658536</v>
      </c>
    </row>
    <row r="19" spans="1:16" x14ac:dyDescent="0.4">
      <c r="A19" s="33">
        <v>16</v>
      </c>
      <c r="B19" s="30">
        <v>83.000000000000014</v>
      </c>
      <c r="C19" s="30">
        <v>5.1875000000000009</v>
      </c>
      <c r="D19" s="35">
        <v>1.875</v>
      </c>
      <c r="E19" s="31">
        <v>0.4375</v>
      </c>
      <c r="F19" s="31">
        <v>0.3125</v>
      </c>
      <c r="G19" s="31">
        <v>0.34959349593495936</v>
      </c>
      <c r="H19" s="31">
        <v>0.15447154471544716</v>
      </c>
      <c r="I19" s="32">
        <v>7474.4186046511632</v>
      </c>
      <c r="J19" s="32">
        <v>-7921.0526315789475</v>
      </c>
      <c r="K19" s="31">
        <v>6.25E-2</v>
      </c>
      <c r="L19" s="31">
        <v>0.22764227642276422</v>
      </c>
      <c r="M19" s="31">
        <v>0.26016260162601629</v>
      </c>
      <c r="N19" s="31">
        <v>0.6071428571428571</v>
      </c>
      <c r="O19" s="31">
        <v>0.59375</v>
      </c>
      <c r="P19" s="31">
        <v>0.39534883720930231</v>
      </c>
    </row>
    <row r="20" spans="1:16" x14ac:dyDescent="0.4">
      <c r="A20" s="33">
        <v>17</v>
      </c>
      <c r="B20" s="30">
        <v>81.600000000000009</v>
      </c>
      <c r="C20" s="30">
        <v>4.8000000000000007</v>
      </c>
      <c r="D20" s="35">
        <v>1.8823529411764706</v>
      </c>
      <c r="E20" s="31">
        <v>0.41176470588235292</v>
      </c>
      <c r="F20" s="31">
        <v>0.29411764705882354</v>
      </c>
      <c r="G20" s="31">
        <v>0.33834586466165412</v>
      </c>
      <c r="H20" s="31">
        <v>0.15789473684210525</v>
      </c>
      <c r="I20" s="32">
        <v>7453.333333333333</v>
      </c>
      <c r="J20" s="32">
        <v>-7447.6190476190477</v>
      </c>
      <c r="K20" s="31">
        <v>5.8823529411764705E-2</v>
      </c>
      <c r="L20" s="31">
        <v>0.21804511278195488</v>
      </c>
      <c r="M20" s="31">
        <v>0.26315789473684209</v>
      </c>
      <c r="N20" s="31">
        <v>0.62068965517241381</v>
      </c>
      <c r="O20" s="31">
        <v>0.5714285714285714</v>
      </c>
      <c r="P20" s="31">
        <v>0.37777777777777777</v>
      </c>
    </row>
    <row r="21" spans="1:16" x14ac:dyDescent="0.4">
      <c r="A21" s="33">
        <v>18</v>
      </c>
      <c r="B21" s="30">
        <v>83.2</v>
      </c>
      <c r="C21" s="30">
        <v>4.6222222222222227</v>
      </c>
      <c r="D21" s="35">
        <v>1.8888888888888888</v>
      </c>
      <c r="E21" s="31">
        <v>0.3888888888888889</v>
      </c>
      <c r="F21" s="31">
        <v>0.27777777777777779</v>
      </c>
      <c r="G21" s="31">
        <v>0.33098591549295775</v>
      </c>
      <c r="H21" s="31">
        <v>0.15492957746478872</v>
      </c>
      <c r="I21" s="32">
        <v>7531.9148936170213</v>
      </c>
      <c r="J21" s="32">
        <v>-7154.545454545455</v>
      </c>
      <c r="K21" s="31">
        <v>5.5555555555555552E-2</v>
      </c>
      <c r="L21" s="31">
        <v>0.22535211267605634</v>
      </c>
      <c r="M21" s="31">
        <v>0.25352112676056338</v>
      </c>
      <c r="N21" s="31">
        <v>0.5625</v>
      </c>
      <c r="O21" s="31">
        <v>0.58333333333333337</v>
      </c>
      <c r="P21" s="31">
        <v>0.36170212765957449</v>
      </c>
    </row>
    <row r="22" spans="1:16" x14ac:dyDescent="0.4">
      <c r="A22" s="33">
        <v>19</v>
      </c>
      <c r="B22" s="30">
        <v>126.80000000000001</v>
      </c>
      <c r="C22" s="30">
        <v>6.6736842105263161</v>
      </c>
      <c r="D22" s="35">
        <v>1.8421052631578947</v>
      </c>
      <c r="E22" s="31">
        <v>0.42105263157894735</v>
      </c>
      <c r="F22" s="31">
        <v>0.26315789473684209</v>
      </c>
      <c r="G22" s="31">
        <v>0.33774834437086093</v>
      </c>
      <c r="H22" s="31">
        <v>0.15231788079470199</v>
      </c>
      <c r="I22" s="32">
        <v>8115.6862745098042</v>
      </c>
      <c r="J22" s="32">
        <v>-7365.217391304348</v>
      </c>
      <c r="K22" s="31">
        <v>5.2631578947368418E-2</v>
      </c>
      <c r="L22" s="31">
        <v>0.2185430463576159</v>
      </c>
      <c r="M22" s="31">
        <v>0.25827814569536423</v>
      </c>
      <c r="N22" s="31">
        <v>0.54545454545454541</v>
      </c>
      <c r="O22" s="31">
        <v>0.58974358974358976</v>
      </c>
      <c r="P22" s="31">
        <v>0.39215686274509803</v>
      </c>
    </row>
    <row r="23" spans="1:16" x14ac:dyDescent="0.4">
      <c r="A23" s="33">
        <v>20</v>
      </c>
      <c r="B23" s="30">
        <v>163</v>
      </c>
      <c r="C23" s="30">
        <v>8.15</v>
      </c>
      <c r="D23" s="35">
        <v>1.8</v>
      </c>
      <c r="E23" s="31">
        <v>0.45</v>
      </c>
      <c r="F23" s="31">
        <v>0.25</v>
      </c>
      <c r="G23" s="31">
        <v>0.34177215189873417</v>
      </c>
      <c r="H23" s="31">
        <v>0.14556962025316456</v>
      </c>
      <c r="I23" s="32">
        <v>8168.5185185185182</v>
      </c>
      <c r="J23" s="32">
        <v>-7365.217391304348</v>
      </c>
      <c r="K23" s="31">
        <v>0.05</v>
      </c>
      <c r="L23" s="31">
        <v>0.22151898734177214</v>
      </c>
      <c r="M23" s="31">
        <v>0.25316455696202533</v>
      </c>
      <c r="N23" s="31">
        <v>0.5714285714285714</v>
      </c>
      <c r="O23" s="31">
        <v>0.57499999999999996</v>
      </c>
      <c r="P23" s="31">
        <v>0.3888888888888889</v>
      </c>
    </row>
    <row r="24" spans="1:16" x14ac:dyDescent="0.4">
      <c r="A24" s="33">
        <v>21</v>
      </c>
      <c r="B24" s="30">
        <v>116.7</v>
      </c>
      <c r="C24" s="30">
        <v>5.5571428571428569</v>
      </c>
      <c r="D24" s="35">
        <v>1.8571428571428572</v>
      </c>
      <c r="E24" s="31">
        <v>0.42857142857142855</v>
      </c>
      <c r="F24" s="31">
        <v>0.2857142857142857</v>
      </c>
      <c r="G24" s="31">
        <v>0.32727272727272727</v>
      </c>
      <c r="H24" s="31">
        <v>0.14545454545454545</v>
      </c>
      <c r="I24" s="32">
        <v>8168.5185185185182</v>
      </c>
      <c r="J24" s="32">
        <v>-7141.666666666667</v>
      </c>
      <c r="K24" s="31">
        <v>9.5238095238095233E-2</v>
      </c>
      <c r="L24" s="31">
        <v>0.21818181818181817</v>
      </c>
      <c r="M24" s="31">
        <v>0.24242424242424243</v>
      </c>
      <c r="N24" s="31">
        <v>0.55555555555555558</v>
      </c>
      <c r="O24" s="31">
        <v>0.57499999999999996</v>
      </c>
      <c r="P24" s="31">
        <v>0.3888888888888889</v>
      </c>
    </row>
    <row r="25" spans="1:16" x14ac:dyDescent="0.4">
      <c r="A25" s="33">
        <v>22</v>
      </c>
      <c r="B25" s="30">
        <v>137.19999999999999</v>
      </c>
      <c r="C25" s="30">
        <v>6.2363636363636354</v>
      </c>
      <c r="D25" s="35">
        <v>1.8181818181818181</v>
      </c>
      <c r="E25" s="31">
        <v>0.45454545454545453</v>
      </c>
      <c r="F25" s="31">
        <v>0.27272727272727271</v>
      </c>
      <c r="G25" s="31">
        <v>0.32571428571428573</v>
      </c>
      <c r="H25" s="31">
        <v>0.14285714285714285</v>
      </c>
      <c r="I25" s="32">
        <v>8285.9649122807023</v>
      </c>
      <c r="J25" s="32">
        <v>-7012</v>
      </c>
      <c r="K25" s="31">
        <v>9.0909090909090912E-2</v>
      </c>
      <c r="L25" s="31">
        <v>0.22285714285714286</v>
      </c>
      <c r="M25" s="31">
        <v>0.22857142857142856</v>
      </c>
      <c r="N25" s="31">
        <v>0.5641025641025641</v>
      </c>
      <c r="O25" s="31">
        <v>0.57499999999999996</v>
      </c>
      <c r="P25" s="31">
        <v>0.40350877192982454</v>
      </c>
    </row>
    <row r="26" spans="1:16" x14ac:dyDescent="0.4">
      <c r="A26" s="33">
        <v>23</v>
      </c>
      <c r="B26" s="30">
        <v>139.19999999999999</v>
      </c>
      <c r="C26" s="30">
        <v>6.052173913043478</v>
      </c>
      <c r="D26" s="35">
        <v>1.826086956521739</v>
      </c>
      <c r="E26" s="31">
        <v>0.43478260869565216</v>
      </c>
      <c r="F26" s="31">
        <v>0.2608695652173913</v>
      </c>
      <c r="G26" s="31">
        <v>0.32402234636871508</v>
      </c>
      <c r="H26" s="31">
        <v>0.13966480446927373</v>
      </c>
      <c r="I26" s="32">
        <v>8281.0344827586214</v>
      </c>
      <c r="J26" s="32">
        <v>-7012</v>
      </c>
      <c r="K26" s="31">
        <v>8.6956521739130432E-2</v>
      </c>
      <c r="L26" s="31">
        <v>0.21787709497206703</v>
      </c>
      <c r="M26" s="31">
        <v>0.23463687150837989</v>
      </c>
      <c r="N26" s="31">
        <v>0.5641025641025641</v>
      </c>
      <c r="O26" s="31">
        <v>0.5714285714285714</v>
      </c>
      <c r="P26" s="31">
        <v>0.39655172413793105</v>
      </c>
    </row>
    <row r="27" spans="1:16" x14ac:dyDescent="0.4">
      <c r="A27" s="33">
        <v>24</v>
      </c>
      <c r="B27" s="30">
        <v>108.79999999999998</v>
      </c>
      <c r="C27" s="30">
        <v>4.5333333333333323</v>
      </c>
      <c r="D27" s="35">
        <v>1.875</v>
      </c>
      <c r="E27" s="31">
        <v>0.41666666666666669</v>
      </c>
      <c r="F27" s="31">
        <v>0.29166666666666669</v>
      </c>
      <c r="G27" s="31">
        <v>0.31914893617021278</v>
      </c>
      <c r="H27" s="31">
        <v>0.14893617021276595</v>
      </c>
      <c r="I27" s="32">
        <v>8231.6666666666661</v>
      </c>
      <c r="J27" s="32">
        <v>-6732.1428571428569</v>
      </c>
      <c r="K27" s="31">
        <v>8.3333333333333329E-2</v>
      </c>
      <c r="L27" s="31">
        <v>0.21808510638297873</v>
      </c>
      <c r="M27" s="31">
        <v>0.23936170212765959</v>
      </c>
      <c r="N27" s="31">
        <v>0.56097560975609762</v>
      </c>
      <c r="O27" s="31">
        <v>0.53333333333333333</v>
      </c>
      <c r="P27" s="31">
        <v>0.4</v>
      </c>
    </row>
    <row r="28" spans="1:16" x14ac:dyDescent="0.4">
      <c r="A28" s="33">
        <v>25</v>
      </c>
      <c r="B28" s="30">
        <v>90.399999999999977</v>
      </c>
      <c r="C28" s="30">
        <v>3.6159999999999992</v>
      </c>
      <c r="D28" s="35">
        <v>1.92</v>
      </c>
      <c r="E28" s="31">
        <v>0.4</v>
      </c>
      <c r="F28" s="31">
        <v>0.32</v>
      </c>
      <c r="G28" s="31">
        <v>0.31282051282051282</v>
      </c>
      <c r="H28" s="31">
        <v>0.15384615384615385</v>
      </c>
      <c r="I28" s="32">
        <v>8293.442622950819</v>
      </c>
      <c r="J28" s="32">
        <v>-6940</v>
      </c>
      <c r="K28" s="31">
        <v>0.08</v>
      </c>
      <c r="L28" s="31">
        <v>0.2153846153846154</v>
      </c>
      <c r="M28" s="31">
        <v>0.23589743589743589</v>
      </c>
      <c r="N28" s="31">
        <v>0.5714285714285714</v>
      </c>
      <c r="O28" s="31">
        <v>0.52173913043478259</v>
      </c>
      <c r="P28" s="31">
        <v>0.39344262295081966</v>
      </c>
    </row>
    <row r="29" spans="1:16" x14ac:dyDescent="0.4">
      <c r="A29" s="33">
        <v>26</v>
      </c>
      <c r="B29" s="30">
        <v>123.09999999999998</v>
      </c>
      <c r="C29" s="30">
        <v>4.7346153846153838</v>
      </c>
      <c r="D29" s="35">
        <v>1.8846153846153846</v>
      </c>
      <c r="E29" s="31">
        <v>0.42307692307692307</v>
      </c>
      <c r="F29" s="31">
        <v>0.30769230769230771</v>
      </c>
      <c r="G29" s="31">
        <v>0.31862745098039214</v>
      </c>
      <c r="H29" s="31">
        <v>0.14705882352941177</v>
      </c>
      <c r="I29" s="32">
        <v>8015.3846153846152</v>
      </c>
      <c r="J29" s="32">
        <v>-6940</v>
      </c>
      <c r="K29" s="31">
        <v>7.6923076923076927E-2</v>
      </c>
      <c r="L29" s="31">
        <v>0.21568627450980393</v>
      </c>
      <c r="M29" s="31">
        <v>0.24019607843137256</v>
      </c>
      <c r="N29" s="31">
        <v>0.56818181818181823</v>
      </c>
      <c r="O29" s="31">
        <v>0.51020408163265307</v>
      </c>
      <c r="P29" s="31">
        <v>0.4</v>
      </c>
    </row>
    <row r="30" spans="1:16" x14ac:dyDescent="0.4">
      <c r="A30" s="33">
        <v>27</v>
      </c>
      <c r="B30" s="30">
        <v>124.79999999999998</v>
      </c>
      <c r="C30" s="30">
        <v>4.6222222222222218</v>
      </c>
      <c r="D30" s="35">
        <v>1.8888888888888888</v>
      </c>
      <c r="E30" s="31">
        <v>0.40740740740740738</v>
      </c>
      <c r="F30" s="31">
        <v>0.29629629629629628</v>
      </c>
      <c r="G30" s="31">
        <v>0.32863849765258218</v>
      </c>
      <c r="H30" s="31">
        <v>0.14553990610328638</v>
      </c>
      <c r="I30" s="32">
        <v>7895.7142857142853</v>
      </c>
      <c r="J30" s="32">
        <v>-7103.2258064516127</v>
      </c>
      <c r="K30" s="31">
        <v>7.407407407407407E-2</v>
      </c>
      <c r="L30" s="31">
        <v>0.20657276995305165</v>
      </c>
      <c r="M30" s="31">
        <v>0.23943661971830985</v>
      </c>
      <c r="N30" s="31">
        <v>0.56818181818181823</v>
      </c>
      <c r="O30" s="31">
        <v>0.52941176470588236</v>
      </c>
      <c r="P30" s="31">
        <v>0.38571428571428573</v>
      </c>
    </row>
    <row r="31" spans="1:16" x14ac:dyDescent="0.4">
      <c r="A31" s="33">
        <v>28</v>
      </c>
      <c r="B31" s="30">
        <v>106.39999999999998</v>
      </c>
      <c r="C31" s="30">
        <v>3.7999999999999994</v>
      </c>
      <c r="D31" s="35">
        <v>1.9285714285714286</v>
      </c>
      <c r="E31" s="31">
        <v>0.39285714285714285</v>
      </c>
      <c r="F31" s="31">
        <v>0.32142857142857145</v>
      </c>
      <c r="G31" s="31">
        <v>0.32126696832579188</v>
      </c>
      <c r="H31" s="31">
        <v>0.14479638009049775</v>
      </c>
      <c r="I31" s="32">
        <v>7802.8169014084506</v>
      </c>
      <c r="J31" s="32">
        <v>-6971.875</v>
      </c>
      <c r="K31" s="31">
        <v>7.1428571428571425E-2</v>
      </c>
      <c r="L31" s="31">
        <v>0.20361990950226244</v>
      </c>
      <c r="M31" s="31">
        <v>0.23981900452488689</v>
      </c>
      <c r="N31" s="31">
        <v>0.57777777777777772</v>
      </c>
      <c r="O31" s="31">
        <v>0.50943396226415094</v>
      </c>
      <c r="P31" s="31">
        <v>0.38028169014084506</v>
      </c>
    </row>
    <row r="32" spans="1:16" x14ac:dyDescent="0.4">
      <c r="A32" s="33">
        <v>29</v>
      </c>
      <c r="B32" s="30">
        <v>127.89999999999998</v>
      </c>
      <c r="C32" s="30">
        <v>4.4103448275862061</v>
      </c>
      <c r="D32" s="35">
        <v>1.896551724137931</v>
      </c>
      <c r="E32" s="31">
        <v>0.41379310344827586</v>
      </c>
      <c r="F32" s="31">
        <v>0.31034482758620691</v>
      </c>
      <c r="G32" s="31">
        <v>0.32327586206896552</v>
      </c>
      <c r="H32" s="31">
        <v>0.14655172413793102</v>
      </c>
      <c r="I32" s="32">
        <v>7929.333333333333</v>
      </c>
      <c r="J32" s="32">
        <v>-6911.7647058823532</v>
      </c>
      <c r="K32" s="31">
        <v>6.8965517241379309E-2</v>
      </c>
      <c r="L32" s="31">
        <v>0.20258620689655171</v>
      </c>
      <c r="M32" s="31">
        <v>0.23706896551724138</v>
      </c>
      <c r="N32" s="31">
        <v>0.5957446808510638</v>
      </c>
      <c r="O32" s="31">
        <v>0.52727272727272723</v>
      </c>
      <c r="P32" s="31">
        <v>0.4</v>
      </c>
    </row>
    <row r="33" spans="1:16" x14ac:dyDescent="0.4">
      <c r="A33" s="33">
        <v>30</v>
      </c>
      <c r="B33" s="30">
        <v>164.39999999999998</v>
      </c>
      <c r="C33" s="30">
        <v>5.4799999999999995</v>
      </c>
      <c r="D33" s="35">
        <v>1.8666666666666667</v>
      </c>
      <c r="E33" s="31">
        <v>0.43333333333333335</v>
      </c>
      <c r="F33" s="31">
        <v>0.3</v>
      </c>
      <c r="G33" s="31">
        <v>0.33054393305439328</v>
      </c>
      <c r="H33" s="31">
        <v>0.14225941422594143</v>
      </c>
      <c r="I33" s="32">
        <v>7898.7341772151894</v>
      </c>
      <c r="J33" s="32">
        <v>-6911.7647058823532</v>
      </c>
      <c r="K33" s="31">
        <v>6.6666666666666666E-2</v>
      </c>
      <c r="L33" s="31">
        <v>0.20083682008368201</v>
      </c>
      <c r="M33" s="31">
        <v>0.24267782426778242</v>
      </c>
      <c r="N33" s="31">
        <v>0.60416666666666663</v>
      </c>
      <c r="O33" s="31">
        <v>0.53448275862068961</v>
      </c>
      <c r="P33" s="31">
        <v>0.4050632911392405</v>
      </c>
    </row>
    <row r="34" spans="1:16" x14ac:dyDescent="0.4">
      <c r="A34" s="33">
        <v>31</v>
      </c>
      <c r="B34" s="30">
        <v>119.79999999999998</v>
      </c>
      <c r="C34" s="30">
        <v>3.8645161290322574</v>
      </c>
      <c r="D34" s="35">
        <v>1.903225806451613</v>
      </c>
      <c r="E34" s="31">
        <v>0.41935483870967744</v>
      </c>
      <c r="F34" s="31">
        <v>0.32258064516129031</v>
      </c>
      <c r="G34" s="31">
        <v>0.31872509960159362</v>
      </c>
      <c r="H34" s="31">
        <v>0.1394422310756972</v>
      </c>
      <c r="I34" s="32">
        <v>7840</v>
      </c>
      <c r="J34" s="32">
        <v>-6771.4285714285716</v>
      </c>
      <c r="K34" s="31">
        <v>6.4516129032258063E-2</v>
      </c>
      <c r="L34" s="31">
        <v>0.20717131474103587</v>
      </c>
      <c r="M34" s="31">
        <v>0.23904382470119523</v>
      </c>
      <c r="N34" s="31">
        <v>0.57692307692307687</v>
      </c>
      <c r="O34" s="31">
        <v>0.51666666666666672</v>
      </c>
      <c r="P34" s="31">
        <v>0.4</v>
      </c>
    </row>
    <row r="35" spans="1:16" x14ac:dyDescent="0.4">
      <c r="A35" s="33">
        <v>32</v>
      </c>
      <c r="B35" s="30">
        <v>100.99999999999999</v>
      </c>
      <c r="C35" s="30">
        <v>3.1562499999999996</v>
      </c>
      <c r="D35" s="35">
        <v>1.9375</v>
      </c>
      <c r="E35" s="31">
        <v>0.40625</v>
      </c>
      <c r="F35" s="31">
        <v>0.34375</v>
      </c>
      <c r="G35" s="31">
        <v>0.31417624521072796</v>
      </c>
      <c r="H35" s="31">
        <v>0.13793103448275862</v>
      </c>
      <c r="I35" s="32">
        <v>7892.6829268292686</v>
      </c>
      <c r="J35" s="32">
        <v>-6805.5555555555557</v>
      </c>
      <c r="K35" s="31">
        <v>6.25E-2</v>
      </c>
      <c r="L35" s="31">
        <v>0.20306513409961685</v>
      </c>
      <c r="M35" s="31">
        <v>0.23754789272030652</v>
      </c>
      <c r="N35" s="31">
        <v>0.58490566037735847</v>
      </c>
      <c r="O35" s="31">
        <v>0.5</v>
      </c>
      <c r="P35" s="31">
        <v>0.40243902439024393</v>
      </c>
    </row>
    <row r="36" spans="1:16" x14ac:dyDescent="0.4">
      <c r="A36" s="33">
        <v>33</v>
      </c>
      <c r="B36" s="30">
        <v>102.59999999999998</v>
      </c>
      <c r="C36" s="30">
        <v>3.1090909090909085</v>
      </c>
      <c r="D36" s="35">
        <v>1.9393939393939394</v>
      </c>
      <c r="E36" s="31">
        <v>0.39393939393939392</v>
      </c>
      <c r="F36" s="31">
        <v>0.33333333333333331</v>
      </c>
      <c r="G36" s="31">
        <v>0.31343283582089554</v>
      </c>
      <c r="H36" s="31">
        <v>0.13805970149253732</v>
      </c>
      <c r="I36" s="32">
        <v>7891.666666666667</v>
      </c>
      <c r="J36" s="32">
        <v>-6691.8918918918916</v>
      </c>
      <c r="K36" s="31">
        <v>6.0606060606060608E-2</v>
      </c>
      <c r="L36" s="31">
        <v>0.20522388059701493</v>
      </c>
      <c r="M36" s="31">
        <v>0.24253731343283583</v>
      </c>
      <c r="N36" s="31">
        <v>0.58181818181818179</v>
      </c>
      <c r="O36" s="31">
        <v>0.49230769230769234</v>
      </c>
      <c r="P36" s="31">
        <v>0.40476190476190477</v>
      </c>
    </row>
    <row r="37" spans="1:16" x14ac:dyDescent="0.4">
      <c r="A37" s="33">
        <v>34</v>
      </c>
      <c r="B37" s="30">
        <v>65.59999999999998</v>
      </c>
      <c r="C37" s="30">
        <v>1.9294117647058817</v>
      </c>
      <c r="D37" s="35">
        <v>1.9705882352941178</v>
      </c>
      <c r="E37" s="31">
        <v>0.38235294117647056</v>
      </c>
      <c r="F37" s="31">
        <v>0.35294117647058826</v>
      </c>
      <c r="G37" s="31">
        <v>0.30685920577617326</v>
      </c>
      <c r="H37" s="31">
        <v>0.13357400722021662</v>
      </c>
      <c r="I37" s="32">
        <v>7845.8823529411766</v>
      </c>
      <c r="J37" s="32">
        <v>-6691.8918918918916</v>
      </c>
      <c r="K37" s="31">
        <v>5.8823529411764705E-2</v>
      </c>
      <c r="L37" s="31">
        <v>0.20577617328519857</v>
      </c>
      <c r="M37" s="31">
        <v>0.23465703971119134</v>
      </c>
      <c r="N37" s="31">
        <v>0.57894736842105265</v>
      </c>
      <c r="O37" s="31">
        <v>0.49230769230769234</v>
      </c>
      <c r="P37" s="31">
        <v>0.41176470588235292</v>
      </c>
    </row>
    <row r="38" spans="1:16" x14ac:dyDescent="0.4">
      <c r="A38" s="33">
        <v>35</v>
      </c>
      <c r="B38" s="30">
        <v>45.499999999999979</v>
      </c>
      <c r="C38" s="30">
        <v>1.2999999999999994</v>
      </c>
      <c r="D38" s="35">
        <v>1.9714285714285715</v>
      </c>
      <c r="E38" s="31">
        <v>0.37142857142857144</v>
      </c>
      <c r="F38" s="31">
        <v>0.34285714285714286</v>
      </c>
      <c r="G38" s="31">
        <v>0.30555555555555558</v>
      </c>
      <c r="H38" s="31">
        <v>0.13541666666666666</v>
      </c>
      <c r="I38" s="32">
        <v>7815.909090909091</v>
      </c>
      <c r="J38" s="32">
        <v>-6751.2820512820517</v>
      </c>
      <c r="K38" s="31">
        <v>5.7142857142857141E-2</v>
      </c>
      <c r="L38" s="31">
        <v>0.2048611111111111</v>
      </c>
      <c r="M38" s="31">
        <v>0.22916666666666666</v>
      </c>
      <c r="N38" s="31">
        <v>0.55932203389830504</v>
      </c>
      <c r="O38" s="31">
        <v>0.48484848484848486</v>
      </c>
      <c r="P38" s="31">
        <v>0.40909090909090912</v>
      </c>
    </row>
    <row r="39" spans="1:16" x14ac:dyDescent="0.4">
      <c r="A39" s="33">
        <v>36</v>
      </c>
      <c r="B39" s="30">
        <v>40.699999999999982</v>
      </c>
      <c r="C39" s="30">
        <v>1.1305555555555551</v>
      </c>
      <c r="D39" s="35">
        <v>1.9722222222222223</v>
      </c>
      <c r="E39" s="31">
        <v>0.3611111111111111</v>
      </c>
      <c r="F39" s="31">
        <v>0.33333333333333331</v>
      </c>
      <c r="G39" s="31">
        <v>0.30405405405405406</v>
      </c>
      <c r="H39" s="31">
        <v>0.13175675675675674</v>
      </c>
      <c r="I39" s="32">
        <v>7733.333333333333</v>
      </c>
      <c r="J39" s="32">
        <v>-6751.2820512820517</v>
      </c>
      <c r="K39" s="31">
        <v>5.5555555555555552E-2</v>
      </c>
      <c r="L39" s="31">
        <v>0.20270270270270271</v>
      </c>
      <c r="M39" s="31">
        <v>0.22297297297297297</v>
      </c>
      <c r="N39" s="31">
        <v>0.56666666666666665</v>
      </c>
      <c r="O39" s="31">
        <v>0.48484848484848486</v>
      </c>
      <c r="P39" s="31">
        <v>0.41111111111111109</v>
      </c>
    </row>
    <row r="40" spans="1:16" x14ac:dyDescent="0.4">
      <c r="A40" s="33">
        <v>37</v>
      </c>
      <c r="B40" s="30">
        <v>17.09999999999998</v>
      </c>
      <c r="C40" s="30">
        <v>0.4621621621621616</v>
      </c>
      <c r="D40" s="35">
        <v>2</v>
      </c>
      <c r="E40" s="31">
        <v>0.35135135135135137</v>
      </c>
      <c r="F40" s="31">
        <v>0.35135135135135137</v>
      </c>
      <c r="G40" s="31">
        <v>0.29773462783171523</v>
      </c>
      <c r="H40" s="31">
        <v>0.13915857605177995</v>
      </c>
      <c r="I40" s="32">
        <v>7730.434782608696</v>
      </c>
      <c r="J40" s="32">
        <v>-6369.7674418604647</v>
      </c>
      <c r="K40" s="31">
        <v>5.4054054054054057E-2</v>
      </c>
      <c r="L40" s="31">
        <v>0.20388349514563106</v>
      </c>
      <c r="M40" s="31">
        <v>0.2168284789644013</v>
      </c>
      <c r="N40" s="31">
        <v>0.55555555555555558</v>
      </c>
      <c r="O40" s="31">
        <v>0.47761194029850745</v>
      </c>
      <c r="P40" s="31">
        <v>0.41304347826086957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9E3F8-0749-4314-B7CC-58443401B546}">
  <sheetPr codeName="Sheet14"/>
  <dimension ref="A1:Q26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190</v>
      </c>
      <c r="B1" s="34" t="s">
        <v>190</v>
      </c>
      <c r="C1" s="34" t="s">
        <v>190</v>
      </c>
      <c r="D1" s="35" t="s">
        <v>190</v>
      </c>
      <c r="E1" s="34" t="s">
        <v>190</v>
      </c>
      <c r="F1" s="34" t="s">
        <v>190</v>
      </c>
      <c r="G1" s="34" t="s">
        <v>190</v>
      </c>
      <c r="H1" s="34" t="s">
        <v>190</v>
      </c>
      <c r="I1" s="34" t="s">
        <v>190</v>
      </c>
      <c r="J1" s="34" t="s">
        <v>190</v>
      </c>
      <c r="K1" s="34" t="s">
        <v>190</v>
      </c>
      <c r="L1" s="34" t="s">
        <v>190</v>
      </c>
      <c r="M1" s="34" t="s">
        <v>190</v>
      </c>
      <c r="N1" s="34" t="s">
        <v>190</v>
      </c>
      <c r="O1" s="34" t="s">
        <v>190</v>
      </c>
      <c r="P1" s="34" t="s">
        <v>190</v>
      </c>
      <c r="Q1" s="34" t="s">
        <v>190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-33.6</v>
      </c>
      <c r="C4" s="30">
        <v>-33.6</v>
      </c>
      <c r="D4" s="35">
        <v>3</v>
      </c>
      <c r="E4" s="31">
        <v>0</v>
      </c>
      <c r="F4" s="31">
        <v>1</v>
      </c>
      <c r="G4" s="31">
        <v>0.1</v>
      </c>
      <c r="H4" s="31">
        <v>0.1</v>
      </c>
      <c r="I4" s="32">
        <v>7700</v>
      </c>
      <c r="J4" s="32">
        <v>-3900</v>
      </c>
      <c r="K4" s="31">
        <v>0</v>
      </c>
      <c r="L4" s="31">
        <v>0.1</v>
      </c>
      <c r="M4" s="31">
        <v>0.2</v>
      </c>
      <c r="N4" s="31">
        <v>0</v>
      </c>
      <c r="O4" s="31">
        <v>0.5</v>
      </c>
      <c r="P4" s="31">
        <v>0</v>
      </c>
    </row>
    <row r="5" spans="1:17" x14ac:dyDescent="0.4">
      <c r="A5" s="33">
        <v>2</v>
      </c>
      <c r="B5" s="30">
        <v>-36.9</v>
      </c>
      <c r="C5" s="30">
        <v>-18.45</v>
      </c>
      <c r="D5" s="35">
        <v>2.5</v>
      </c>
      <c r="E5" s="31">
        <v>0</v>
      </c>
      <c r="F5" s="31">
        <v>0.5</v>
      </c>
      <c r="G5" s="31">
        <v>0.1875</v>
      </c>
      <c r="H5" s="31">
        <v>6.25E-2</v>
      </c>
      <c r="I5" s="32">
        <v>5800</v>
      </c>
      <c r="J5" s="32">
        <v>-3900</v>
      </c>
      <c r="K5" s="31">
        <v>0</v>
      </c>
      <c r="L5" s="31">
        <v>0.125</v>
      </c>
      <c r="M5" s="31">
        <v>0.1875</v>
      </c>
      <c r="N5" s="31">
        <v>0.5</v>
      </c>
      <c r="O5" s="31">
        <v>0.33333333333333331</v>
      </c>
      <c r="P5" s="31">
        <v>0</v>
      </c>
    </row>
    <row r="6" spans="1:17" x14ac:dyDescent="0.4">
      <c r="A6" s="33">
        <v>3</v>
      </c>
      <c r="B6" s="30">
        <v>-40.4</v>
      </c>
      <c r="C6" s="30">
        <v>-13.466666666666667</v>
      </c>
      <c r="D6" s="35">
        <v>2.3333333333333335</v>
      </c>
      <c r="E6" s="31">
        <v>0</v>
      </c>
      <c r="F6" s="31">
        <v>0.33333333333333331</v>
      </c>
      <c r="G6" s="31">
        <v>0.14285714285714285</v>
      </c>
      <c r="H6" s="31">
        <v>4.7619047619047616E-2</v>
      </c>
      <c r="I6" s="32">
        <v>5800</v>
      </c>
      <c r="J6" s="32">
        <v>-3900</v>
      </c>
      <c r="K6" s="31">
        <v>0</v>
      </c>
      <c r="L6" s="31">
        <v>9.5238095238095233E-2</v>
      </c>
      <c r="M6" s="31">
        <v>0.23809523809523808</v>
      </c>
      <c r="N6" s="31">
        <v>0.5</v>
      </c>
      <c r="O6" s="31">
        <v>0.2</v>
      </c>
      <c r="P6" s="31">
        <v>0</v>
      </c>
    </row>
    <row r="7" spans="1:17" x14ac:dyDescent="0.4">
      <c r="A7" s="33">
        <v>4</v>
      </c>
      <c r="B7" s="30">
        <v>-36.799999999999997</v>
      </c>
      <c r="C7" s="30">
        <v>-9.1999999999999993</v>
      </c>
      <c r="D7" s="35">
        <v>2.25</v>
      </c>
      <c r="E7" s="31">
        <v>0</v>
      </c>
      <c r="F7" s="31">
        <v>0.25</v>
      </c>
      <c r="G7" s="31">
        <v>0.18518518518518517</v>
      </c>
      <c r="H7" s="31">
        <v>3.7037037037037035E-2</v>
      </c>
      <c r="I7" s="32">
        <v>6300</v>
      </c>
      <c r="J7" s="32">
        <v>-3900</v>
      </c>
      <c r="K7" s="31">
        <v>0</v>
      </c>
      <c r="L7" s="31">
        <v>0.1111111111111111</v>
      </c>
      <c r="M7" s="31">
        <v>0.25925925925925924</v>
      </c>
      <c r="N7" s="31">
        <v>0.66666666666666663</v>
      </c>
      <c r="O7" s="31">
        <v>0.2857142857142857</v>
      </c>
      <c r="P7" s="31">
        <v>0</v>
      </c>
    </row>
    <row r="8" spans="1:17" x14ac:dyDescent="0.4">
      <c r="A8" s="33">
        <v>5</v>
      </c>
      <c r="B8" s="30">
        <v>-73.900000000000006</v>
      </c>
      <c r="C8" s="30">
        <v>-14.780000000000001</v>
      </c>
      <c r="D8" s="35">
        <v>2.4</v>
      </c>
      <c r="E8" s="31">
        <v>0</v>
      </c>
      <c r="F8" s="31">
        <v>0.4</v>
      </c>
      <c r="G8" s="31">
        <v>0.17499999999999999</v>
      </c>
      <c r="H8" s="31">
        <v>0.1</v>
      </c>
      <c r="I8" s="32">
        <v>6057.1428571428569</v>
      </c>
      <c r="J8" s="32">
        <v>-3975</v>
      </c>
      <c r="K8" s="31">
        <v>0</v>
      </c>
      <c r="L8" s="31">
        <v>0.125</v>
      </c>
      <c r="M8" s="31">
        <v>0.22500000000000001</v>
      </c>
      <c r="N8" s="31">
        <v>0.4</v>
      </c>
      <c r="O8" s="31">
        <v>0.44444444444444442</v>
      </c>
      <c r="P8" s="31">
        <v>0</v>
      </c>
    </row>
    <row r="9" spans="1:17" x14ac:dyDescent="0.4">
      <c r="A9" s="33">
        <v>6</v>
      </c>
      <c r="B9" s="30">
        <v>-85.5</v>
      </c>
      <c r="C9" s="30">
        <v>-14.25</v>
      </c>
      <c r="D9" s="35">
        <v>2.3333333333333335</v>
      </c>
      <c r="E9" s="31">
        <v>0</v>
      </c>
      <c r="F9" s="31">
        <v>0.33333333333333331</v>
      </c>
      <c r="G9" s="31">
        <v>0.22</v>
      </c>
      <c r="H9" s="31">
        <v>0.1</v>
      </c>
      <c r="I9" s="32">
        <v>5072.727272727273</v>
      </c>
      <c r="J9" s="32">
        <v>-3380</v>
      </c>
      <c r="K9" s="31">
        <v>0</v>
      </c>
      <c r="L9" s="31">
        <v>0.22</v>
      </c>
      <c r="M9" s="31">
        <v>0.22</v>
      </c>
      <c r="N9" s="31">
        <v>0.45454545454545453</v>
      </c>
      <c r="O9" s="31">
        <v>0.45454545454545453</v>
      </c>
      <c r="P9" s="31">
        <v>9.0909090909090912E-2</v>
      </c>
    </row>
    <row r="10" spans="1:17" x14ac:dyDescent="0.4">
      <c r="A10" s="33">
        <v>7</v>
      </c>
      <c r="B10" s="30">
        <v>-77.8</v>
      </c>
      <c r="C10" s="30">
        <v>-11.114285714285714</v>
      </c>
      <c r="D10" s="35">
        <v>2.2857142857142856</v>
      </c>
      <c r="E10" s="31">
        <v>0</v>
      </c>
      <c r="F10" s="31">
        <v>0.2857142857142857</v>
      </c>
      <c r="G10" s="31">
        <v>0.21052631578947367</v>
      </c>
      <c r="H10" s="31">
        <v>8.771929824561403E-2</v>
      </c>
      <c r="I10" s="32">
        <v>5316.666666666667</v>
      </c>
      <c r="J10" s="32">
        <v>-3380</v>
      </c>
      <c r="K10" s="31">
        <v>0</v>
      </c>
      <c r="L10" s="31">
        <v>0.22807017543859648</v>
      </c>
      <c r="M10" s="31">
        <v>0.21052631578947367</v>
      </c>
      <c r="N10" s="31">
        <v>0.46153846153846156</v>
      </c>
      <c r="O10" s="31">
        <v>0.41666666666666669</v>
      </c>
      <c r="P10" s="31">
        <v>8.3333333333333329E-2</v>
      </c>
    </row>
    <row r="11" spans="1:17" x14ac:dyDescent="0.4">
      <c r="A11" s="33">
        <v>8</v>
      </c>
      <c r="B11" s="30">
        <v>-22.799999999999997</v>
      </c>
      <c r="C11" s="30">
        <v>-2.8499999999999996</v>
      </c>
      <c r="D11" s="35">
        <v>2.125</v>
      </c>
      <c r="E11" s="31">
        <v>0.125</v>
      </c>
      <c r="F11" s="31">
        <v>0.25</v>
      </c>
      <c r="G11" s="31">
        <v>0.24590163934426229</v>
      </c>
      <c r="H11" s="31">
        <v>8.1967213114754092E-2</v>
      </c>
      <c r="I11" s="32">
        <v>7453.333333333333</v>
      </c>
      <c r="J11" s="32">
        <v>-3380</v>
      </c>
      <c r="K11" s="31">
        <v>0</v>
      </c>
      <c r="L11" s="31">
        <v>0.24590163934426229</v>
      </c>
      <c r="M11" s="31">
        <v>0.21311475409836064</v>
      </c>
      <c r="N11" s="31">
        <v>0.53333333333333333</v>
      </c>
      <c r="O11" s="31">
        <v>0.46153846153846156</v>
      </c>
      <c r="P11" s="31">
        <v>0.13333333333333333</v>
      </c>
    </row>
    <row r="12" spans="1:17" x14ac:dyDescent="0.4">
      <c r="A12" s="33">
        <v>9</v>
      </c>
      <c r="B12" s="30">
        <v>-29.599999999999998</v>
      </c>
      <c r="C12" s="30">
        <v>-3.2888888888888888</v>
      </c>
      <c r="D12" s="35">
        <v>2.1111111111111112</v>
      </c>
      <c r="E12" s="31">
        <v>0.1111111111111111</v>
      </c>
      <c r="F12" s="31">
        <v>0.22222222222222221</v>
      </c>
      <c r="G12" s="31">
        <v>0.25352112676056338</v>
      </c>
      <c r="H12" s="31">
        <v>7.0422535211267609E-2</v>
      </c>
      <c r="I12" s="32">
        <v>6666.666666666667</v>
      </c>
      <c r="J12" s="32">
        <v>-3380</v>
      </c>
      <c r="K12" s="31">
        <v>0</v>
      </c>
      <c r="L12" s="31">
        <v>0.26760563380281688</v>
      </c>
      <c r="M12" s="31">
        <v>0.19718309859154928</v>
      </c>
      <c r="N12" s="31">
        <v>0.52631578947368418</v>
      </c>
      <c r="O12" s="31">
        <v>0.5</v>
      </c>
      <c r="P12" s="31">
        <v>0.16666666666666666</v>
      </c>
    </row>
    <row r="13" spans="1:17" x14ac:dyDescent="0.4">
      <c r="A13" s="33">
        <v>10</v>
      </c>
      <c r="B13" s="30">
        <v>-55</v>
      </c>
      <c r="C13" s="30">
        <v>-5.5</v>
      </c>
      <c r="D13" s="35">
        <v>2.2000000000000002</v>
      </c>
      <c r="E13" s="31">
        <v>0.1</v>
      </c>
      <c r="F13" s="31">
        <v>0.3</v>
      </c>
      <c r="G13" s="31">
        <v>0.24675324675324675</v>
      </c>
      <c r="H13" s="31">
        <v>6.4935064935064929E-2</v>
      </c>
      <c r="I13" s="32">
        <v>6452.6315789473683</v>
      </c>
      <c r="J13" s="32">
        <v>-3380</v>
      </c>
      <c r="K13" s="31">
        <v>0</v>
      </c>
      <c r="L13" s="31">
        <v>0.27272727272727271</v>
      </c>
      <c r="M13" s="31">
        <v>0.20779220779220781</v>
      </c>
      <c r="N13" s="31">
        <v>0.52380952380952384</v>
      </c>
      <c r="O13" s="31">
        <v>0.4375</v>
      </c>
      <c r="P13" s="31">
        <v>0.15789473684210525</v>
      </c>
    </row>
    <row r="14" spans="1:17" x14ac:dyDescent="0.4">
      <c r="A14" s="33">
        <v>11</v>
      </c>
      <c r="B14" s="30">
        <v>-108.9</v>
      </c>
      <c r="C14" s="30">
        <v>-9.9</v>
      </c>
      <c r="D14" s="35">
        <v>2.2727272727272729</v>
      </c>
      <c r="E14" s="31">
        <v>9.0909090909090912E-2</v>
      </c>
      <c r="F14" s="31">
        <v>0.36363636363636365</v>
      </c>
      <c r="G14" s="31">
        <v>0.22093023255813954</v>
      </c>
      <c r="H14" s="31">
        <v>9.3023255813953487E-2</v>
      </c>
      <c r="I14" s="32">
        <v>6452.6315789473683</v>
      </c>
      <c r="J14" s="32">
        <v>-4812.5</v>
      </c>
      <c r="K14" s="31">
        <v>9.0909090909090912E-2</v>
      </c>
      <c r="L14" s="31">
        <v>0.2441860465116279</v>
      </c>
      <c r="M14" s="31">
        <v>0.19767441860465115</v>
      </c>
      <c r="N14" s="31">
        <v>0.52380952380952384</v>
      </c>
      <c r="O14" s="31">
        <v>0.41176470588235292</v>
      </c>
      <c r="P14" s="31">
        <v>0.15789473684210525</v>
      </c>
    </row>
    <row r="15" spans="1:17" x14ac:dyDescent="0.4">
      <c r="A15" s="33">
        <v>12</v>
      </c>
      <c r="B15" s="30">
        <v>-92.100000000000009</v>
      </c>
      <c r="C15" s="30">
        <v>-7.6750000000000007</v>
      </c>
      <c r="D15" s="35">
        <v>2.1666666666666665</v>
      </c>
      <c r="E15" s="31">
        <v>0.16666666666666666</v>
      </c>
      <c r="F15" s="31">
        <v>0.33333333333333331</v>
      </c>
      <c r="G15" s="31">
        <v>0.23404255319148937</v>
      </c>
      <c r="H15" s="31">
        <v>9.5744680851063829E-2</v>
      </c>
      <c r="I15" s="32">
        <v>6600</v>
      </c>
      <c r="J15" s="32">
        <v>-5611.1111111111113</v>
      </c>
      <c r="K15" s="31">
        <v>8.3333333333333329E-2</v>
      </c>
      <c r="L15" s="31">
        <v>0.24468085106382978</v>
      </c>
      <c r="M15" s="31">
        <v>0.19148936170212766</v>
      </c>
      <c r="N15" s="31">
        <v>0.56521739130434778</v>
      </c>
      <c r="O15" s="31">
        <v>0.44444444444444442</v>
      </c>
      <c r="P15" s="31">
        <v>0.13636363636363635</v>
      </c>
    </row>
    <row r="16" spans="1:17" x14ac:dyDescent="0.4">
      <c r="A16" s="33">
        <v>13</v>
      </c>
      <c r="B16" s="30">
        <v>-93.500000000000014</v>
      </c>
      <c r="C16" s="30">
        <v>-7.1923076923076934</v>
      </c>
      <c r="D16" s="35">
        <v>2.1538461538461537</v>
      </c>
      <c r="E16" s="31">
        <v>0.15384615384615385</v>
      </c>
      <c r="F16" s="31">
        <v>0.30769230769230771</v>
      </c>
      <c r="G16" s="31">
        <v>0.22641509433962265</v>
      </c>
      <c r="H16" s="31">
        <v>0.10377358490566038</v>
      </c>
      <c r="I16" s="32">
        <v>7050</v>
      </c>
      <c r="J16" s="32">
        <v>-5827.272727272727</v>
      </c>
      <c r="K16" s="31">
        <v>7.6923076923076927E-2</v>
      </c>
      <c r="L16" s="31">
        <v>0.22641509433962265</v>
      </c>
      <c r="M16" s="31">
        <v>0.18867924528301888</v>
      </c>
      <c r="N16" s="31">
        <v>0.54166666666666663</v>
      </c>
      <c r="O16" s="31">
        <v>0.45</v>
      </c>
      <c r="P16" s="31">
        <v>0.125</v>
      </c>
    </row>
    <row r="17" spans="1:16" x14ac:dyDescent="0.4">
      <c r="A17" s="33">
        <v>14</v>
      </c>
      <c r="B17" s="30">
        <v>-79.200000000000017</v>
      </c>
      <c r="C17" s="30">
        <v>-5.6571428571428584</v>
      </c>
      <c r="D17" s="35">
        <v>2.0714285714285716</v>
      </c>
      <c r="E17" s="31">
        <v>0.21428571428571427</v>
      </c>
      <c r="F17" s="31">
        <v>0.2857142857142857</v>
      </c>
      <c r="G17" s="31">
        <v>0.23008849557522124</v>
      </c>
      <c r="H17" s="31">
        <v>9.7345132743362831E-2</v>
      </c>
      <c r="I17" s="32">
        <v>7003.8461538461543</v>
      </c>
      <c r="J17" s="32">
        <v>-5827.272727272727</v>
      </c>
      <c r="K17" s="31">
        <v>7.1428571428571425E-2</v>
      </c>
      <c r="L17" s="31">
        <v>0.23893805309734514</v>
      </c>
      <c r="M17" s="31">
        <v>0.18584070796460178</v>
      </c>
      <c r="N17" s="31">
        <v>0.51851851851851849</v>
      </c>
      <c r="O17" s="31">
        <v>0.47619047619047616</v>
      </c>
      <c r="P17" s="31">
        <v>0.11538461538461539</v>
      </c>
    </row>
    <row r="18" spans="1:16" x14ac:dyDescent="0.4">
      <c r="A18" s="33">
        <v>15</v>
      </c>
      <c r="B18" s="30">
        <v>-44.200000000000017</v>
      </c>
      <c r="C18" s="30">
        <v>-2.9466666666666677</v>
      </c>
      <c r="D18" s="35">
        <v>2</v>
      </c>
      <c r="E18" s="31">
        <v>0.26666666666666666</v>
      </c>
      <c r="F18" s="31">
        <v>0.26666666666666666</v>
      </c>
      <c r="G18" s="31">
        <v>0.24166666666666667</v>
      </c>
      <c r="H18" s="31">
        <v>0.1</v>
      </c>
      <c r="I18" s="32">
        <v>7451.7241379310344</v>
      </c>
      <c r="J18" s="32">
        <v>-6008.333333333333</v>
      </c>
      <c r="K18" s="31">
        <v>6.6666666666666666E-2</v>
      </c>
      <c r="L18" s="31">
        <v>0.24166666666666667</v>
      </c>
      <c r="M18" s="31">
        <v>0.18333333333333332</v>
      </c>
      <c r="N18" s="31">
        <v>0.55172413793103448</v>
      </c>
      <c r="O18" s="31">
        <v>0.5</v>
      </c>
      <c r="P18" s="31">
        <v>0.13793103448275862</v>
      </c>
    </row>
    <row r="19" spans="1:16" x14ac:dyDescent="0.4">
      <c r="A19" s="33">
        <v>16</v>
      </c>
      <c r="B19" s="30">
        <v>-49.800000000000018</v>
      </c>
      <c r="C19" s="30">
        <v>-3.1125000000000012</v>
      </c>
      <c r="D19" s="35">
        <v>2</v>
      </c>
      <c r="E19" s="31">
        <v>0.25</v>
      </c>
      <c r="F19" s="31">
        <v>0.25</v>
      </c>
      <c r="G19" s="31">
        <v>0.23255813953488372</v>
      </c>
      <c r="H19" s="31">
        <v>0.10852713178294573</v>
      </c>
      <c r="I19" s="32">
        <v>7376.666666666667</v>
      </c>
      <c r="J19" s="32">
        <v>-5385.7142857142853</v>
      </c>
      <c r="K19" s="31">
        <v>6.25E-2</v>
      </c>
      <c r="L19" s="31">
        <v>0.23255813953488372</v>
      </c>
      <c r="M19" s="31">
        <v>0.19379844961240311</v>
      </c>
      <c r="N19" s="31">
        <v>0.56666666666666665</v>
      </c>
      <c r="O19" s="31">
        <v>0.44</v>
      </c>
      <c r="P19" s="31">
        <v>0.13333333333333333</v>
      </c>
    </row>
    <row r="20" spans="1:16" x14ac:dyDescent="0.4">
      <c r="A20" s="33">
        <v>17</v>
      </c>
      <c r="B20" s="30">
        <v>-47.800000000000018</v>
      </c>
      <c r="C20" s="30">
        <v>-2.8117647058823541</v>
      </c>
      <c r="D20" s="35">
        <v>2</v>
      </c>
      <c r="E20" s="31">
        <v>0.23529411764705882</v>
      </c>
      <c r="F20" s="31">
        <v>0.23529411764705882</v>
      </c>
      <c r="G20" s="31">
        <v>0.22794117647058823</v>
      </c>
      <c r="H20" s="31">
        <v>0.10294117647058823</v>
      </c>
      <c r="I20" s="32">
        <v>7654.8387096774195</v>
      </c>
      <c r="J20" s="32">
        <v>-5385.7142857142853</v>
      </c>
      <c r="K20" s="31">
        <v>5.8823529411764705E-2</v>
      </c>
      <c r="L20" s="31">
        <v>0.22058823529411764</v>
      </c>
      <c r="M20" s="31">
        <v>0.20588235294117646</v>
      </c>
      <c r="N20" s="31">
        <v>0.56666666666666665</v>
      </c>
      <c r="O20" s="31">
        <v>0.39285714285714285</v>
      </c>
      <c r="P20" s="31">
        <v>0.12903225806451613</v>
      </c>
    </row>
    <row r="21" spans="1:16" x14ac:dyDescent="0.4">
      <c r="A21" s="33">
        <v>18</v>
      </c>
      <c r="B21" s="30">
        <v>-22.100000000000019</v>
      </c>
      <c r="C21" s="30">
        <v>-1.2277777777777787</v>
      </c>
      <c r="D21" s="35">
        <v>1.9444444444444444</v>
      </c>
      <c r="E21" s="31">
        <v>0.27777777777777779</v>
      </c>
      <c r="F21" s="31">
        <v>0.22222222222222221</v>
      </c>
      <c r="G21" s="31">
        <v>0.24657534246575341</v>
      </c>
      <c r="H21" s="31">
        <v>0.10273972602739725</v>
      </c>
      <c r="I21" s="32">
        <v>7791.666666666667</v>
      </c>
      <c r="J21" s="32">
        <v>-5560</v>
      </c>
      <c r="K21" s="31">
        <v>5.5555555555555552E-2</v>
      </c>
      <c r="L21" s="31">
        <v>0.23287671232876711</v>
      </c>
      <c r="M21" s="31">
        <v>0.19178082191780821</v>
      </c>
      <c r="N21" s="31">
        <v>0.61764705882352944</v>
      </c>
      <c r="O21" s="31">
        <v>0.39285714285714285</v>
      </c>
      <c r="P21" s="31">
        <v>0.16666666666666666</v>
      </c>
    </row>
    <row r="22" spans="1:16" x14ac:dyDescent="0.4">
      <c r="A22" s="33">
        <v>19</v>
      </c>
      <c r="B22" s="30">
        <v>-9.6000000000000192</v>
      </c>
      <c r="C22" s="30">
        <v>-0.50526315789473786</v>
      </c>
      <c r="D22" s="35">
        <v>1.9473684210526316</v>
      </c>
      <c r="E22" s="31">
        <v>0.26315789473684209</v>
      </c>
      <c r="F22" s="31">
        <v>0.21052631578947367</v>
      </c>
      <c r="G22" s="31">
        <v>0.24516129032258063</v>
      </c>
      <c r="H22" s="31">
        <v>9.6774193548387094E-2</v>
      </c>
      <c r="I22" s="32">
        <v>8118.4210526315792</v>
      </c>
      <c r="J22" s="32">
        <v>-5560</v>
      </c>
      <c r="K22" s="31">
        <v>5.2631578947368418E-2</v>
      </c>
      <c r="L22" s="31">
        <v>0.23225806451612904</v>
      </c>
      <c r="M22" s="31">
        <v>0.2</v>
      </c>
      <c r="N22" s="31">
        <v>0.58333333333333337</v>
      </c>
      <c r="O22" s="31">
        <v>0.38709677419354838</v>
      </c>
      <c r="P22" s="31">
        <v>0.21052631578947367</v>
      </c>
    </row>
    <row r="23" spans="1:16" x14ac:dyDescent="0.4">
      <c r="A23" s="33">
        <v>20</v>
      </c>
      <c r="B23" s="30">
        <v>-19.40000000000002</v>
      </c>
      <c r="C23" s="30">
        <v>-0.97000000000000097</v>
      </c>
      <c r="D23" s="35">
        <v>1.95</v>
      </c>
      <c r="E23" s="31">
        <v>0.25</v>
      </c>
      <c r="F23" s="31">
        <v>0.2</v>
      </c>
      <c r="G23" s="31">
        <v>0.24242424242424243</v>
      </c>
      <c r="H23" s="31">
        <v>0.10303030303030303</v>
      </c>
      <c r="I23" s="32">
        <v>8145</v>
      </c>
      <c r="J23" s="32">
        <v>-5211.7647058823532</v>
      </c>
      <c r="K23" s="31">
        <v>0.05</v>
      </c>
      <c r="L23" s="31">
        <v>0.23030303030303031</v>
      </c>
      <c r="M23" s="31">
        <v>0.19393939393939394</v>
      </c>
      <c r="N23" s="31">
        <v>0.55263157894736847</v>
      </c>
      <c r="O23" s="31">
        <v>0.40625</v>
      </c>
      <c r="P23" s="31">
        <v>0.2</v>
      </c>
    </row>
    <row r="24" spans="1:16" x14ac:dyDescent="0.4">
      <c r="A24" s="33">
        <v>21</v>
      </c>
      <c r="B24" s="30">
        <v>31.499999999999979</v>
      </c>
      <c r="C24" s="30">
        <v>1.4999999999999989</v>
      </c>
      <c r="D24" s="35">
        <v>1.9047619047619047</v>
      </c>
      <c r="E24" s="31">
        <v>0.2857142857142857</v>
      </c>
      <c r="F24" s="31">
        <v>0.19047619047619047</v>
      </c>
      <c r="G24" s="31">
        <v>0.26136363636363635</v>
      </c>
      <c r="H24" s="31">
        <v>0.10227272727272728</v>
      </c>
      <c r="I24" s="32">
        <v>8193.4782608695659</v>
      </c>
      <c r="J24" s="32">
        <v>-5350</v>
      </c>
      <c r="K24" s="31">
        <v>4.7619047619047616E-2</v>
      </c>
      <c r="L24" s="31">
        <v>0.23295454545454544</v>
      </c>
      <c r="M24" s="31">
        <v>0.21022727272727273</v>
      </c>
      <c r="N24" s="31">
        <v>0.56097560975609762</v>
      </c>
      <c r="O24" s="31">
        <v>0.43243243243243246</v>
      </c>
      <c r="P24" s="31">
        <v>0.2391304347826087</v>
      </c>
    </row>
    <row r="25" spans="1:16" x14ac:dyDescent="0.4">
      <c r="A25" s="33">
        <v>22</v>
      </c>
      <c r="B25" s="30">
        <v>33.299999999999976</v>
      </c>
      <c r="C25" s="30">
        <v>1.5136363636363626</v>
      </c>
      <c r="D25" s="35">
        <v>1.9090909090909092</v>
      </c>
      <c r="E25" s="31">
        <v>0.27272727272727271</v>
      </c>
      <c r="F25" s="31">
        <v>0.18181818181818182</v>
      </c>
      <c r="G25" s="31">
        <v>0.26630434782608697</v>
      </c>
      <c r="H25" s="31">
        <v>0.10326086956521739</v>
      </c>
      <c r="I25" s="32">
        <v>7989.7959183673465</v>
      </c>
      <c r="J25" s="32">
        <v>-5489.4736842105267</v>
      </c>
      <c r="K25" s="31">
        <v>4.5454545454545456E-2</v>
      </c>
      <c r="L25" s="31">
        <v>0.2391304347826087</v>
      </c>
      <c r="M25" s="31">
        <v>0.20652173913043478</v>
      </c>
      <c r="N25" s="31">
        <v>0.56818181818181823</v>
      </c>
      <c r="O25" s="31">
        <v>0.42105263157894735</v>
      </c>
      <c r="P25" s="31">
        <v>0.24489795918367346</v>
      </c>
    </row>
    <row r="26" spans="1:16" x14ac:dyDescent="0.4">
      <c r="A26" s="33">
        <v>23</v>
      </c>
      <c r="B26" s="30">
        <v>27.799999999999976</v>
      </c>
      <c r="C26" s="30">
        <v>1.2086956521739121</v>
      </c>
      <c r="D26" s="35">
        <v>1.9130434782608696</v>
      </c>
      <c r="E26" s="31">
        <v>0.2608695652173913</v>
      </c>
      <c r="F26" s="31">
        <v>0.17391304347826086</v>
      </c>
      <c r="G26" s="31">
        <v>0.26063829787234044</v>
      </c>
      <c r="H26" s="31">
        <v>0.10106382978723404</v>
      </c>
      <c r="I26" s="32">
        <v>7989.7959183673465</v>
      </c>
      <c r="J26" s="32">
        <v>-5489.4736842105267</v>
      </c>
      <c r="K26" s="31">
        <v>4.3478260869565216E-2</v>
      </c>
      <c r="L26" s="31">
        <v>0.23404255319148937</v>
      </c>
      <c r="M26" s="31">
        <v>0.20744680851063829</v>
      </c>
      <c r="N26" s="31">
        <v>0.56818181818181823</v>
      </c>
      <c r="O26" s="31">
        <v>0.41025641025641024</v>
      </c>
      <c r="P26" s="31">
        <v>0.24489795918367346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B5797-F981-44FE-A406-1EB2FF35D456}">
  <sheetPr codeName="Sheet12"/>
  <dimension ref="A1:Q42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189</v>
      </c>
      <c r="B1" s="34" t="s">
        <v>189</v>
      </c>
      <c r="C1" s="34" t="s">
        <v>189</v>
      </c>
      <c r="D1" s="35" t="s">
        <v>189</v>
      </c>
      <c r="E1" s="34" t="s">
        <v>189</v>
      </c>
      <c r="F1" s="34" t="s">
        <v>189</v>
      </c>
      <c r="G1" s="34" t="s">
        <v>189</v>
      </c>
      <c r="H1" s="34" t="s">
        <v>189</v>
      </c>
      <c r="I1" s="34" t="s">
        <v>189</v>
      </c>
      <c r="J1" s="34" t="s">
        <v>189</v>
      </c>
      <c r="K1" s="34" t="s">
        <v>189</v>
      </c>
      <c r="L1" s="34" t="s">
        <v>189</v>
      </c>
      <c r="M1" s="34" t="s">
        <v>189</v>
      </c>
      <c r="N1" s="34" t="s">
        <v>189</v>
      </c>
      <c r="O1" s="34" t="s">
        <v>189</v>
      </c>
      <c r="P1" s="34" t="s">
        <v>189</v>
      </c>
      <c r="Q1" s="34" t="s">
        <v>189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10.1</v>
      </c>
      <c r="C4" s="30">
        <v>10.1</v>
      </c>
      <c r="D4" s="35">
        <v>2</v>
      </c>
      <c r="E4" s="31">
        <v>0</v>
      </c>
      <c r="F4" s="31">
        <v>0</v>
      </c>
      <c r="G4" s="31">
        <v>0.44444444444444442</v>
      </c>
      <c r="H4" s="31">
        <v>0.1111111111111111</v>
      </c>
      <c r="I4" s="32">
        <v>8400</v>
      </c>
      <c r="J4" s="32">
        <v>-8000</v>
      </c>
      <c r="K4" s="31">
        <v>0</v>
      </c>
      <c r="L4" s="31">
        <v>0.22222222222222221</v>
      </c>
      <c r="M4" s="31">
        <v>0.55555555555555558</v>
      </c>
      <c r="N4" s="31">
        <v>0.5</v>
      </c>
      <c r="O4" s="31">
        <v>0.6</v>
      </c>
      <c r="P4" s="31">
        <v>0.75</v>
      </c>
    </row>
    <row r="5" spans="1:17" x14ac:dyDescent="0.4">
      <c r="A5" s="33">
        <v>2</v>
      </c>
      <c r="B5" s="30">
        <v>36.4</v>
      </c>
      <c r="C5" s="30">
        <v>18.2</v>
      </c>
      <c r="D5" s="35">
        <v>2</v>
      </c>
      <c r="E5" s="31">
        <v>0</v>
      </c>
      <c r="F5" s="31">
        <v>0</v>
      </c>
      <c r="G5" s="31">
        <v>0.41176470588235292</v>
      </c>
      <c r="H5" s="31">
        <v>5.8823529411764705E-2</v>
      </c>
      <c r="I5" s="32">
        <v>9028.5714285714294</v>
      </c>
      <c r="J5" s="32">
        <v>-8000</v>
      </c>
      <c r="K5" s="31">
        <v>0</v>
      </c>
      <c r="L5" s="31">
        <v>0.29411764705882354</v>
      </c>
      <c r="M5" s="31">
        <v>0.47058823529411764</v>
      </c>
      <c r="N5" s="31">
        <v>0.4</v>
      </c>
      <c r="O5" s="31">
        <v>0.625</v>
      </c>
      <c r="P5" s="31">
        <v>0.5714285714285714</v>
      </c>
    </row>
    <row r="6" spans="1:17" x14ac:dyDescent="0.4">
      <c r="A6" s="33">
        <v>3</v>
      </c>
      <c r="B6" s="30">
        <v>36.4</v>
      </c>
      <c r="C6" s="30">
        <v>12.133333333333333</v>
      </c>
      <c r="D6" s="35">
        <v>2</v>
      </c>
      <c r="E6" s="31">
        <v>0</v>
      </c>
      <c r="F6" s="31">
        <v>0</v>
      </c>
      <c r="G6" s="31">
        <v>0.4</v>
      </c>
      <c r="H6" s="31">
        <v>0.12</v>
      </c>
      <c r="I6" s="32">
        <v>7780</v>
      </c>
      <c r="J6" s="32">
        <v>-6200</v>
      </c>
      <c r="K6" s="31">
        <v>0</v>
      </c>
      <c r="L6" s="31">
        <v>0.24</v>
      </c>
      <c r="M6" s="31">
        <v>0.52</v>
      </c>
      <c r="N6" s="31">
        <v>0.33333333333333331</v>
      </c>
      <c r="O6" s="31">
        <v>0.53846153846153844</v>
      </c>
      <c r="P6" s="31">
        <v>0.5</v>
      </c>
    </row>
    <row r="7" spans="1:17" x14ac:dyDescent="0.4">
      <c r="A7" s="33">
        <v>4</v>
      </c>
      <c r="B7" s="30">
        <v>13.299999999999997</v>
      </c>
      <c r="C7" s="30">
        <v>3.3249999999999993</v>
      </c>
      <c r="D7" s="35">
        <v>2.25</v>
      </c>
      <c r="E7" s="31">
        <v>0</v>
      </c>
      <c r="F7" s="31">
        <v>0.25</v>
      </c>
      <c r="G7" s="31">
        <v>0.33333333333333331</v>
      </c>
      <c r="H7" s="31">
        <v>0.1111111111111111</v>
      </c>
      <c r="I7" s="32">
        <v>7983.333333333333</v>
      </c>
      <c r="J7" s="32">
        <v>-6575</v>
      </c>
      <c r="K7" s="31">
        <v>0</v>
      </c>
      <c r="L7" s="31">
        <v>0.27777777777777779</v>
      </c>
      <c r="M7" s="31">
        <v>0.44444444444444442</v>
      </c>
      <c r="N7" s="31">
        <v>0.4</v>
      </c>
      <c r="O7" s="31">
        <v>0.4375</v>
      </c>
      <c r="P7" s="31">
        <v>0.5</v>
      </c>
    </row>
    <row r="8" spans="1:17" x14ac:dyDescent="0.4">
      <c r="A8" s="33">
        <v>5</v>
      </c>
      <c r="B8" s="30">
        <v>8.0999999999999979</v>
      </c>
      <c r="C8" s="30">
        <v>1.6199999999999997</v>
      </c>
      <c r="D8" s="35">
        <v>2.2000000000000002</v>
      </c>
      <c r="E8" s="31">
        <v>0</v>
      </c>
      <c r="F8" s="31">
        <v>0.2</v>
      </c>
      <c r="G8" s="31">
        <v>0.32608695652173914</v>
      </c>
      <c r="H8" s="31">
        <v>0.13043478260869565</v>
      </c>
      <c r="I8" s="32">
        <v>8240</v>
      </c>
      <c r="J8" s="32">
        <v>-7550</v>
      </c>
      <c r="K8" s="31">
        <v>0</v>
      </c>
      <c r="L8" s="31">
        <v>0.2608695652173913</v>
      </c>
      <c r="M8" s="31">
        <v>0.43478260869565216</v>
      </c>
      <c r="N8" s="31">
        <v>0.41666666666666669</v>
      </c>
      <c r="O8" s="31">
        <v>0.4</v>
      </c>
      <c r="P8" s="31">
        <v>0.53333333333333333</v>
      </c>
    </row>
    <row r="9" spans="1:17" x14ac:dyDescent="0.4">
      <c r="A9" s="33">
        <v>6</v>
      </c>
      <c r="B9" s="30">
        <v>24.7</v>
      </c>
      <c r="C9" s="30">
        <v>4.1166666666666663</v>
      </c>
      <c r="D9" s="35">
        <v>2</v>
      </c>
      <c r="E9" s="31">
        <v>0.16666666666666666</v>
      </c>
      <c r="F9" s="31">
        <v>0.16666666666666666</v>
      </c>
      <c r="G9" s="31">
        <v>0.33962264150943394</v>
      </c>
      <c r="H9" s="31">
        <v>0.13207547169811321</v>
      </c>
      <c r="I9" s="32">
        <v>8355.5555555555547</v>
      </c>
      <c r="J9" s="32">
        <v>-7571.4285714285716</v>
      </c>
      <c r="K9" s="31">
        <v>0</v>
      </c>
      <c r="L9" s="31">
        <v>0.28301886792452829</v>
      </c>
      <c r="M9" s="31">
        <v>0.43396226415094341</v>
      </c>
      <c r="N9" s="31">
        <v>0.46666666666666667</v>
      </c>
      <c r="O9" s="31">
        <v>0.39130434782608697</v>
      </c>
      <c r="P9" s="31">
        <v>0.55555555555555558</v>
      </c>
    </row>
    <row r="10" spans="1:17" x14ac:dyDescent="0.4">
      <c r="A10" s="33">
        <v>7</v>
      </c>
      <c r="B10" s="30">
        <v>39.5</v>
      </c>
      <c r="C10" s="30">
        <v>5.6428571428571432</v>
      </c>
      <c r="D10" s="35">
        <v>1.8571428571428572</v>
      </c>
      <c r="E10" s="31">
        <v>0.2857142857142857</v>
      </c>
      <c r="F10" s="31">
        <v>0.14285714285714285</v>
      </c>
      <c r="G10" s="31">
        <v>0.34375</v>
      </c>
      <c r="H10" s="31">
        <v>0.140625</v>
      </c>
      <c r="I10" s="32">
        <v>7850</v>
      </c>
      <c r="J10" s="32">
        <v>-7100</v>
      </c>
      <c r="K10" s="31">
        <v>0</v>
      </c>
      <c r="L10" s="31">
        <v>0.28125</v>
      </c>
      <c r="M10" s="31">
        <v>0.40625</v>
      </c>
      <c r="N10" s="31">
        <v>0.44444444444444442</v>
      </c>
      <c r="O10" s="31">
        <v>0.42307692307692307</v>
      </c>
      <c r="P10" s="31">
        <v>0.59090909090909094</v>
      </c>
    </row>
    <row r="11" spans="1:17" x14ac:dyDescent="0.4">
      <c r="A11" s="33">
        <v>8</v>
      </c>
      <c r="B11" s="30">
        <v>66.5</v>
      </c>
      <c r="C11" s="30">
        <v>8.3125</v>
      </c>
      <c r="D11" s="35">
        <v>1.75</v>
      </c>
      <c r="E11" s="31">
        <v>0.375</v>
      </c>
      <c r="F11" s="31">
        <v>0.125</v>
      </c>
      <c r="G11" s="31">
        <v>0.35714285714285715</v>
      </c>
      <c r="H11" s="31">
        <v>0.14285714285714285</v>
      </c>
      <c r="I11" s="32">
        <v>7796</v>
      </c>
      <c r="J11" s="32">
        <v>-6780</v>
      </c>
      <c r="K11" s="31">
        <v>0</v>
      </c>
      <c r="L11" s="31">
        <v>0.3</v>
      </c>
      <c r="M11" s="31">
        <v>0.38571428571428573</v>
      </c>
      <c r="N11" s="31">
        <v>0.42857142857142855</v>
      </c>
      <c r="O11" s="31">
        <v>0.44444444444444442</v>
      </c>
      <c r="P11" s="31">
        <v>0.56000000000000005</v>
      </c>
    </row>
    <row r="12" spans="1:17" x14ac:dyDescent="0.4">
      <c r="A12" s="33">
        <v>9</v>
      </c>
      <c r="B12" s="30">
        <v>90.7</v>
      </c>
      <c r="C12" s="30">
        <v>10.077777777777778</v>
      </c>
      <c r="D12" s="35">
        <v>1.6666666666666667</v>
      </c>
      <c r="E12" s="31">
        <v>0.44444444444444442</v>
      </c>
      <c r="F12" s="31">
        <v>0.1111111111111111</v>
      </c>
      <c r="G12" s="31">
        <v>0.35897435897435898</v>
      </c>
      <c r="H12" s="31">
        <v>0.14102564102564102</v>
      </c>
      <c r="I12" s="32">
        <v>8017.8571428571431</v>
      </c>
      <c r="J12" s="32">
        <v>-6890.909090909091</v>
      </c>
      <c r="K12" s="31">
        <v>0</v>
      </c>
      <c r="L12" s="31">
        <v>0.29487179487179488</v>
      </c>
      <c r="M12" s="31">
        <v>0.37179487179487181</v>
      </c>
      <c r="N12" s="31">
        <v>0.43478260869565216</v>
      </c>
      <c r="O12" s="31">
        <v>0.44827586206896552</v>
      </c>
      <c r="P12" s="31">
        <v>0.5357142857142857</v>
      </c>
    </row>
    <row r="13" spans="1:17" x14ac:dyDescent="0.4">
      <c r="A13" s="33">
        <v>10</v>
      </c>
      <c r="B13" s="30">
        <v>91.7</v>
      </c>
      <c r="C13" s="30">
        <v>9.17</v>
      </c>
      <c r="D13" s="35">
        <v>1.7</v>
      </c>
      <c r="E13" s="31">
        <v>0.4</v>
      </c>
      <c r="F13" s="31">
        <v>0.1</v>
      </c>
      <c r="G13" s="31">
        <v>0.3411764705882353</v>
      </c>
      <c r="H13" s="31">
        <v>0.14117647058823529</v>
      </c>
      <c r="I13" s="32">
        <v>7810.3448275862065</v>
      </c>
      <c r="J13" s="32">
        <v>-6483.333333333333</v>
      </c>
      <c r="K13" s="31">
        <v>0</v>
      </c>
      <c r="L13" s="31">
        <v>0.27058823529411763</v>
      </c>
      <c r="M13" s="31">
        <v>0.37647058823529411</v>
      </c>
      <c r="N13" s="31">
        <v>0.43478260869565216</v>
      </c>
      <c r="O13" s="31">
        <v>0.4375</v>
      </c>
      <c r="P13" s="31">
        <v>0.51724137931034486</v>
      </c>
    </row>
    <row r="14" spans="1:17" x14ac:dyDescent="0.4">
      <c r="A14" s="33">
        <v>11</v>
      </c>
      <c r="B14" s="30">
        <v>100.5</v>
      </c>
      <c r="C14" s="30">
        <v>9.1363636363636367</v>
      </c>
      <c r="D14" s="35">
        <v>1.7272727272727273</v>
      </c>
      <c r="E14" s="31">
        <v>0.36363636363636365</v>
      </c>
      <c r="F14" s="31">
        <v>9.0909090909090912E-2</v>
      </c>
      <c r="G14" s="31">
        <v>0.34693877551020408</v>
      </c>
      <c r="H14" s="31">
        <v>0.14285714285714285</v>
      </c>
      <c r="I14" s="32">
        <v>7655.8823529411766</v>
      </c>
      <c r="J14" s="32">
        <v>-7414.2857142857147</v>
      </c>
      <c r="K14" s="31">
        <v>0</v>
      </c>
      <c r="L14" s="31">
        <v>0.27551020408163263</v>
      </c>
      <c r="M14" s="31">
        <v>0.37755102040816324</v>
      </c>
      <c r="N14" s="31">
        <v>0.44444444444444442</v>
      </c>
      <c r="O14" s="31">
        <v>0.45945945945945948</v>
      </c>
      <c r="P14" s="31">
        <v>0.5</v>
      </c>
    </row>
    <row r="15" spans="1:17" x14ac:dyDescent="0.4">
      <c r="A15" s="33">
        <v>12</v>
      </c>
      <c r="B15" s="30">
        <v>69.400000000000006</v>
      </c>
      <c r="C15" s="30">
        <v>5.7833333333333341</v>
      </c>
      <c r="D15" s="35">
        <v>1.8333333333333333</v>
      </c>
      <c r="E15" s="31">
        <v>0.33333333333333331</v>
      </c>
      <c r="F15" s="31">
        <v>0.16666666666666666</v>
      </c>
      <c r="G15" s="31">
        <v>0.32407407407407407</v>
      </c>
      <c r="H15" s="31">
        <v>0.15740740740740741</v>
      </c>
      <c r="I15" s="32">
        <v>7780</v>
      </c>
      <c r="J15" s="32">
        <v>-7317.6470588235297</v>
      </c>
      <c r="K15" s="31">
        <v>0</v>
      </c>
      <c r="L15" s="31">
        <v>0.25925925925925924</v>
      </c>
      <c r="M15" s="31">
        <v>0.35185185185185186</v>
      </c>
      <c r="N15" s="31">
        <v>0.42857142857142855</v>
      </c>
      <c r="O15" s="31">
        <v>0.47368421052631576</v>
      </c>
      <c r="P15" s="31">
        <v>0.51428571428571423</v>
      </c>
    </row>
    <row r="16" spans="1:17" x14ac:dyDescent="0.4">
      <c r="A16" s="33">
        <v>13</v>
      </c>
      <c r="B16" s="30">
        <v>35.000000000000007</v>
      </c>
      <c r="C16" s="30">
        <v>2.692307692307693</v>
      </c>
      <c r="D16" s="35">
        <v>1.9230769230769231</v>
      </c>
      <c r="E16" s="31">
        <v>0.30769230769230771</v>
      </c>
      <c r="F16" s="31">
        <v>0.23076923076923078</v>
      </c>
      <c r="G16" s="31">
        <v>0.29661016949152541</v>
      </c>
      <c r="H16" s="31">
        <v>0.16101694915254236</v>
      </c>
      <c r="I16" s="32">
        <v>7780</v>
      </c>
      <c r="J16" s="32">
        <v>-7157.894736842105</v>
      </c>
      <c r="K16" s="31">
        <v>0</v>
      </c>
      <c r="L16" s="31">
        <v>0.23728813559322035</v>
      </c>
      <c r="M16" s="31">
        <v>0.34745762711864409</v>
      </c>
      <c r="N16" s="31">
        <v>0.42857142857142855</v>
      </c>
      <c r="O16" s="31">
        <v>0.43902439024390244</v>
      </c>
      <c r="P16" s="31">
        <v>0.51428571428571423</v>
      </c>
    </row>
    <row r="17" spans="1:16" x14ac:dyDescent="0.4">
      <c r="A17" s="33">
        <v>14</v>
      </c>
      <c r="B17" s="30">
        <v>42.800000000000004</v>
      </c>
      <c r="C17" s="30">
        <v>3.0571428571428574</v>
      </c>
      <c r="D17" s="35">
        <v>1.8571428571428572</v>
      </c>
      <c r="E17" s="31">
        <v>0.35714285714285715</v>
      </c>
      <c r="F17" s="31">
        <v>0.21428571428571427</v>
      </c>
      <c r="G17" s="31">
        <v>0.30952380952380953</v>
      </c>
      <c r="H17" s="31">
        <v>0.15079365079365079</v>
      </c>
      <c r="I17" s="32">
        <v>7266.666666666667</v>
      </c>
      <c r="J17" s="32">
        <v>-7157.894736842105</v>
      </c>
      <c r="K17" s="31">
        <v>0</v>
      </c>
      <c r="L17" s="31">
        <v>0.24603174603174602</v>
      </c>
      <c r="M17" s="31">
        <v>0.34126984126984128</v>
      </c>
      <c r="N17" s="31">
        <v>0.45161290322580644</v>
      </c>
      <c r="O17" s="31">
        <v>0.44186046511627908</v>
      </c>
      <c r="P17" s="31">
        <v>0.53846153846153844</v>
      </c>
    </row>
    <row r="18" spans="1:16" x14ac:dyDescent="0.4">
      <c r="A18" s="33">
        <v>15</v>
      </c>
      <c r="B18" s="30">
        <v>60.900000000000006</v>
      </c>
      <c r="C18" s="30">
        <v>4.0600000000000005</v>
      </c>
      <c r="D18" s="35">
        <v>1.8</v>
      </c>
      <c r="E18" s="31">
        <v>0.4</v>
      </c>
      <c r="F18" s="31">
        <v>0.2</v>
      </c>
      <c r="G18" s="31">
        <v>0.30882352941176472</v>
      </c>
      <c r="H18" s="31">
        <v>0.14705882352941177</v>
      </c>
      <c r="I18" s="32">
        <v>7071.4285714285716</v>
      </c>
      <c r="J18" s="32">
        <v>-6900</v>
      </c>
      <c r="K18" s="31">
        <v>0</v>
      </c>
      <c r="L18" s="31">
        <v>0.25</v>
      </c>
      <c r="M18" s="31">
        <v>0.33088235294117646</v>
      </c>
      <c r="N18" s="31">
        <v>0.44117647058823528</v>
      </c>
      <c r="O18" s="31">
        <v>0.46666666666666667</v>
      </c>
      <c r="P18" s="31">
        <v>0.5</v>
      </c>
    </row>
    <row r="19" spans="1:16" x14ac:dyDescent="0.4">
      <c r="A19" s="33">
        <v>16</v>
      </c>
      <c r="B19" s="30">
        <v>38.600000000000009</v>
      </c>
      <c r="C19" s="30">
        <v>2.4125000000000005</v>
      </c>
      <c r="D19" s="35">
        <v>1.875</v>
      </c>
      <c r="E19" s="31">
        <v>0.375</v>
      </c>
      <c r="F19" s="31">
        <v>0.25</v>
      </c>
      <c r="G19" s="31">
        <v>0.31468531468531469</v>
      </c>
      <c r="H19" s="31">
        <v>0.15384615384615385</v>
      </c>
      <c r="I19" s="32">
        <v>6704.4444444444443</v>
      </c>
      <c r="J19" s="32">
        <v>-6727.272727272727</v>
      </c>
      <c r="K19" s="31">
        <v>0</v>
      </c>
      <c r="L19" s="31">
        <v>0.25874125874125875</v>
      </c>
      <c r="M19" s="31">
        <v>0.33566433566433568</v>
      </c>
      <c r="N19" s="31">
        <v>0.45945945945945948</v>
      </c>
      <c r="O19" s="31">
        <v>0.45833333333333331</v>
      </c>
      <c r="P19" s="31">
        <v>0.48888888888888887</v>
      </c>
    </row>
    <row r="20" spans="1:16" x14ac:dyDescent="0.4">
      <c r="A20" s="33">
        <v>17</v>
      </c>
      <c r="B20" s="30">
        <v>7.6000000000000085</v>
      </c>
      <c r="C20" s="30">
        <v>0.44705882352941229</v>
      </c>
      <c r="D20" s="35">
        <v>1.9411764705882353</v>
      </c>
      <c r="E20" s="31">
        <v>0.35294117647058826</v>
      </c>
      <c r="F20" s="31">
        <v>0.29411764705882354</v>
      </c>
      <c r="G20" s="31">
        <v>0.3</v>
      </c>
      <c r="H20" s="31">
        <v>0.16666666666666666</v>
      </c>
      <c r="I20" s="32">
        <v>6704.4444444444443</v>
      </c>
      <c r="J20" s="32">
        <v>-6628</v>
      </c>
      <c r="K20" s="31">
        <v>0</v>
      </c>
      <c r="L20" s="31">
        <v>0.25333333333333335</v>
      </c>
      <c r="M20" s="31">
        <v>0.32</v>
      </c>
      <c r="N20" s="31">
        <v>0.44736842105263158</v>
      </c>
      <c r="O20" s="31">
        <v>0.45833333333333331</v>
      </c>
      <c r="P20" s="31">
        <v>0.48888888888888887</v>
      </c>
    </row>
    <row r="21" spans="1:16" x14ac:dyDescent="0.4">
      <c r="A21" s="33">
        <v>18</v>
      </c>
      <c r="B21" s="30">
        <v>15.100000000000009</v>
      </c>
      <c r="C21" s="30">
        <v>0.83888888888888935</v>
      </c>
      <c r="D21" s="35">
        <v>1.9444444444444444</v>
      </c>
      <c r="E21" s="31">
        <v>0.33333333333333331</v>
      </c>
      <c r="F21" s="31">
        <v>0.27777777777777779</v>
      </c>
      <c r="G21" s="31">
        <v>0.30188679245283018</v>
      </c>
      <c r="H21" s="31">
        <v>0.16352201257861634</v>
      </c>
      <c r="I21" s="32">
        <v>6945.833333333333</v>
      </c>
      <c r="J21" s="32">
        <v>-6669.2307692307695</v>
      </c>
      <c r="K21" s="31">
        <v>0</v>
      </c>
      <c r="L21" s="31">
        <v>0.25157232704402516</v>
      </c>
      <c r="M21" s="31">
        <v>0.32075471698113206</v>
      </c>
      <c r="N21" s="31">
        <v>0.45</v>
      </c>
      <c r="O21" s="31">
        <v>0.47058823529411764</v>
      </c>
      <c r="P21" s="31">
        <v>0.5</v>
      </c>
    </row>
    <row r="22" spans="1:16" x14ac:dyDescent="0.4">
      <c r="A22" s="33">
        <v>19</v>
      </c>
      <c r="B22" s="30">
        <v>42.400000000000006</v>
      </c>
      <c r="C22" s="30">
        <v>2.2315789473684213</v>
      </c>
      <c r="D22" s="35">
        <v>1.8947368421052631</v>
      </c>
      <c r="E22" s="31">
        <v>0.36842105263157893</v>
      </c>
      <c r="F22" s="31">
        <v>0.26315789473684209</v>
      </c>
      <c r="G22" s="31">
        <v>0.30357142857142855</v>
      </c>
      <c r="H22" s="31">
        <v>0.16071428571428573</v>
      </c>
      <c r="I22" s="32">
        <v>7080.3921568627447</v>
      </c>
      <c r="J22" s="32">
        <v>-6637.0370370370374</v>
      </c>
      <c r="K22" s="31">
        <v>0</v>
      </c>
      <c r="L22" s="31">
        <v>0.25595238095238093</v>
      </c>
      <c r="M22" s="31">
        <v>0.30952380952380953</v>
      </c>
      <c r="N22" s="31">
        <v>0.44186046511627908</v>
      </c>
      <c r="O22" s="31">
        <v>0.48076923076923078</v>
      </c>
      <c r="P22" s="31">
        <v>0.50980392156862742</v>
      </c>
    </row>
    <row r="23" spans="1:16" x14ac:dyDescent="0.4">
      <c r="A23" s="33">
        <v>20</v>
      </c>
      <c r="B23" s="30">
        <v>81.5</v>
      </c>
      <c r="C23" s="30">
        <v>4.0750000000000002</v>
      </c>
      <c r="D23" s="35">
        <v>1.85</v>
      </c>
      <c r="E23" s="31">
        <v>0.4</v>
      </c>
      <c r="F23" s="31">
        <v>0.25</v>
      </c>
      <c r="G23" s="31">
        <v>0.31073446327683618</v>
      </c>
      <c r="H23" s="31">
        <v>0.15819209039548024</v>
      </c>
      <c r="I23" s="32">
        <v>7054.545454545455</v>
      </c>
      <c r="J23" s="32">
        <v>-6607.1428571428569</v>
      </c>
      <c r="K23" s="31">
        <v>0</v>
      </c>
      <c r="L23" s="31">
        <v>0.25988700564971751</v>
      </c>
      <c r="M23" s="31">
        <v>0.29378531073446329</v>
      </c>
      <c r="N23" s="31">
        <v>0.43478260869565216</v>
      </c>
      <c r="O23" s="31">
        <v>0.48076923076923078</v>
      </c>
      <c r="P23" s="31">
        <v>0.49090909090909091</v>
      </c>
    </row>
    <row r="24" spans="1:16" x14ac:dyDescent="0.4">
      <c r="A24" s="33">
        <v>21</v>
      </c>
      <c r="B24" s="30">
        <v>15.099999999999994</v>
      </c>
      <c r="C24" s="30">
        <v>0.71904761904761882</v>
      </c>
      <c r="D24" s="35">
        <v>1.9047619047619047</v>
      </c>
      <c r="E24" s="31">
        <v>0.38095238095238093</v>
      </c>
      <c r="F24" s="31">
        <v>0.2857142857142857</v>
      </c>
      <c r="G24" s="31">
        <v>0.29319371727748689</v>
      </c>
      <c r="H24" s="31">
        <v>0.16230366492146597</v>
      </c>
      <c r="I24" s="32">
        <v>6966.0714285714284</v>
      </c>
      <c r="J24" s="32">
        <v>-7290.322580645161</v>
      </c>
      <c r="K24" s="31">
        <v>4.7619047619047616E-2</v>
      </c>
      <c r="L24" s="31">
        <v>0.2513089005235602</v>
      </c>
      <c r="M24" s="31">
        <v>0.30366492146596857</v>
      </c>
      <c r="N24" s="31">
        <v>0.41666666666666669</v>
      </c>
      <c r="O24" s="31">
        <v>0.43103448275862066</v>
      </c>
      <c r="P24" s="31">
        <v>0.5</v>
      </c>
    </row>
    <row r="25" spans="1:16" x14ac:dyDescent="0.4">
      <c r="A25" s="33">
        <v>22</v>
      </c>
      <c r="B25" s="30">
        <v>17.999999999999993</v>
      </c>
      <c r="C25" s="30">
        <v>0.8181818181818179</v>
      </c>
      <c r="D25" s="35">
        <v>1.9090909090909092</v>
      </c>
      <c r="E25" s="31">
        <v>0.36363636363636365</v>
      </c>
      <c r="F25" s="31">
        <v>0.27272727272727271</v>
      </c>
      <c r="G25" s="31">
        <v>0.28999999999999998</v>
      </c>
      <c r="H25" s="31">
        <v>0.155</v>
      </c>
      <c r="I25" s="32">
        <v>6862.0689655172409</v>
      </c>
      <c r="J25" s="32">
        <v>-7290.322580645161</v>
      </c>
      <c r="K25" s="31">
        <v>4.5454545454545456E-2</v>
      </c>
      <c r="L25" s="31">
        <v>0.25</v>
      </c>
      <c r="M25" s="31">
        <v>0.315</v>
      </c>
      <c r="N25" s="31">
        <v>0.4</v>
      </c>
      <c r="O25" s="31">
        <v>0.42857142857142855</v>
      </c>
      <c r="P25" s="31">
        <v>0.5</v>
      </c>
    </row>
    <row r="26" spans="1:16" x14ac:dyDescent="0.4">
      <c r="A26" s="33">
        <v>23</v>
      </c>
      <c r="B26" s="30">
        <v>46.199999999999989</v>
      </c>
      <c r="C26" s="30">
        <v>2.0086956521739125</v>
      </c>
      <c r="D26" s="35">
        <v>1.8695652173913044</v>
      </c>
      <c r="E26" s="31">
        <v>0.39130434782608697</v>
      </c>
      <c r="F26" s="31">
        <v>0.2608695652173913</v>
      </c>
      <c r="G26" s="31">
        <v>0.29439252336448596</v>
      </c>
      <c r="H26" s="31">
        <v>0.16355140186915887</v>
      </c>
      <c r="I26" s="32">
        <v>6930.1587301587306</v>
      </c>
      <c r="J26" s="32">
        <v>-7002.8571428571431</v>
      </c>
      <c r="K26" s="31">
        <v>4.3478260869565216E-2</v>
      </c>
      <c r="L26" s="31">
        <v>0.24766355140186916</v>
      </c>
      <c r="M26" s="31">
        <v>0.30373831775700932</v>
      </c>
      <c r="N26" s="31">
        <v>0.43396226415094341</v>
      </c>
      <c r="O26" s="31">
        <v>0.41538461538461541</v>
      </c>
      <c r="P26" s="31">
        <v>0.50793650793650791</v>
      </c>
    </row>
    <row r="27" spans="1:16" x14ac:dyDescent="0.4">
      <c r="A27" s="33">
        <v>24</v>
      </c>
      <c r="B27" s="30">
        <v>16.79999999999999</v>
      </c>
      <c r="C27" s="30">
        <v>0.69999999999999962</v>
      </c>
      <c r="D27" s="35">
        <v>1.9166666666666667</v>
      </c>
      <c r="E27" s="31">
        <v>0.375</v>
      </c>
      <c r="F27" s="31">
        <v>0.29166666666666669</v>
      </c>
      <c r="G27" s="31">
        <v>0.2927927927927928</v>
      </c>
      <c r="H27" s="31">
        <v>0.16216216216216217</v>
      </c>
      <c r="I27" s="32">
        <v>6852.3076923076924</v>
      </c>
      <c r="J27" s="32">
        <v>-7022.2222222222226</v>
      </c>
      <c r="K27" s="31">
        <v>4.1666666666666664E-2</v>
      </c>
      <c r="L27" s="31">
        <v>0.25675675675675674</v>
      </c>
      <c r="M27" s="31">
        <v>0.29729729729729731</v>
      </c>
      <c r="N27" s="31">
        <v>0.42105263157894735</v>
      </c>
      <c r="O27" s="31">
        <v>0.40909090909090912</v>
      </c>
      <c r="P27" s="31">
        <v>0.52307692307692311</v>
      </c>
    </row>
    <row r="28" spans="1:16" x14ac:dyDescent="0.4">
      <c r="A28" s="33">
        <v>25</v>
      </c>
      <c r="B28" s="30">
        <v>60.699999999999989</v>
      </c>
      <c r="C28" s="30">
        <v>2.4279999999999995</v>
      </c>
      <c r="D28" s="35">
        <v>1.88</v>
      </c>
      <c r="E28" s="31">
        <v>0.4</v>
      </c>
      <c r="F28" s="31">
        <v>0.28000000000000003</v>
      </c>
      <c r="G28" s="31">
        <v>0.30303030303030304</v>
      </c>
      <c r="H28" s="31">
        <v>0.16450216450216451</v>
      </c>
      <c r="I28" s="32">
        <v>6882.8571428571431</v>
      </c>
      <c r="J28" s="32">
        <v>-6915.7894736842109</v>
      </c>
      <c r="K28" s="31">
        <v>0.04</v>
      </c>
      <c r="L28" s="31">
        <v>0.25541125541125542</v>
      </c>
      <c r="M28" s="31">
        <v>0.30735930735930733</v>
      </c>
      <c r="N28" s="31">
        <v>0.44067796610169491</v>
      </c>
      <c r="O28" s="31">
        <v>0.42253521126760563</v>
      </c>
      <c r="P28" s="31">
        <v>0.51428571428571423</v>
      </c>
    </row>
    <row r="29" spans="1:16" x14ac:dyDescent="0.4">
      <c r="A29" s="33">
        <v>26</v>
      </c>
      <c r="B29" s="30">
        <v>25.599999999999987</v>
      </c>
      <c r="C29" s="30">
        <v>0.98461538461538411</v>
      </c>
      <c r="D29" s="35">
        <v>1.9230769230769231</v>
      </c>
      <c r="E29" s="31">
        <v>0.38461538461538464</v>
      </c>
      <c r="F29" s="31">
        <v>0.30769230769230771</v>
      </c>
      <c r="G29" s="31">
        <v>0.30543933054393307</v>
      </c>
      <c r="H29" s="31">
        <v>0.16736401673640167</v>
      </c>
      <c r="I29" s="32">
        <v>6920.5479452054797</v>
      </c>
      <c r="J29" s="32">
        <v>-7370</v>
      </c>
      <c r="K29" s="31">
        <v>3.8461538461538464E-2</v>
      </c>
      <c r="L29" s="31">
        <v>0.26359832635983266</v>
      </c>
      <c r="M29" s="31">
        <v>0.29707112970711297</v>
      </c>
      <c r="N29" s="31">
        <v>0.46031746031746029</v>
      </c>
      <c r="O29" s="31">
        <v>0.42253521126760563</v>
      </c>
      <c r="P29" s="31">
        <v>0.49315068493150682</v>
      </c>
    </row>
    <row r="30" spans="1:16" x14ac:dyDescent="0.4">
      <c r="A30" s="33">
        <v>27</v>
      </c>
      <c r="B30" s="30">
        <v>17.199999999999989</v>
      </c>
      <c r="C30" s="30">
        <v>0.63703703703703662</v>
      </c>
      <c r="D30" s="35">
        <v>1.9259259259259258</v>
      </c>
      <c r="E30" s="31">
        <v>0.37037037037037035</v>
      </c>
      <c r="F30" s="31">
        <v>0.29629629629629628</v>
      </c>
      <c r="G30" s="31">
        <v>0.30645161290322581</v>
      </c>
      <c r="H30" s="31">
        <v>0.17741935483870969</v>
      </c>
      <c r="I30" s="32">
        <v>7063.1578947368425</v>
      </c>
      <c r="J30" s="32">
        <v>-7518.181818181818</v>
      </c>
      <c r="K30" s="31">
        <v>3.7037037037037035E-2</v>
      </c>
      <c r="L30" s="31">
        <v>0.27016129032258063</v>
      </c>
      <c r="M30" s="31">
        <v>0.29435483870967744</v>
      </c>
      <c r="N30" s="31">
        <v>0.46268656716417911</v>
      </c>
      <c r="O30" s="31">
        <v>0.42465753424657532</v>
      </c>
      <c r="P30" s="31">
        <v>0.47368421052631576</v>
      </c>
    </row>
    <row r="31" spans="1:16" x14ac:dyDescent="0.4">
      <c r="A31" s="33">
        <v>28</v>
      </c>
      <c r="B31" s="30">
        <v>61.199999999999989</v>
      </c>
      <c r="C31" s="30">
        <v>2.1857142857142855</v>
      </c>
      <c r="D31" s="35">
        <v>1.8928571428571428</v>
      </c>
      <c r="E31" s="31">
        <v>0.39285714285714285</v>
      </c>
      <c r="F31" s="31">
        <v>0.2857142857142857</v>
      </c>
      <c r="G31" s="31">
        <v>0.30588235294117649</v>
      </c>
      <c r="H31" s="31">
        <v>0.17254901960784313</v>
      </c>
      <c r="I31" s="32">
        <v>7446.1538461538457</v>
      </c>
      <c r="J31" s="32">
        <v>-7518.181818181818</v>
      </c>
      <c r="K31" s="31">
        <v>3.5714285714285712E-2</v>
      </c>
      <c r="L31" s="31">
        <v>0.27450980392156865</v>
      </c>
      <c r="M31" s="31">
        <v>0.29803921568627451</v>
      </c>
      <c r="N31" s="31">
        <v>0.47142857142857142</v>
      </c>
      <c r="O31" s="31">
        <v>0.40789473684210525</v>
      </c>
      <c r="P31" s="31">
        <v>0.48717948717948717</v>
      </c>
    </row>
    <row r="32" spans="1:16" x14ac:dyDescent="0.4">
      <c r="A32" s="33">
        <v>29</v>
      </c>
      <c r="B32" s="30">
        <v>36.699999999999989</v>
      </c>
      <c r="C32" s="30">
        <v>1.2655172413793099</v>
      </c>
      <c r="D32" s="35">
        <v>1.9310344827586208</v>
      </c>
      <c r="E32" s="31">
        <v>0.37931034482758619</v>
      </c>
      <c r="F32" s="31">
        <v>0.31034482758620691</v>
      </c>
      <c r="G32" s="31">
        <v>0.29770992366412213</v>
      </c>
      <c r="H32" s="31">
        <v>0.16793893129770993</v>
      </c>
      <c r="I32" s="32">
        <v>7446.1538461538457</v>
      </c>
      <c r="J32" s="32">
        <v>-7518.181818181818</v>
      </c>
      <c r="K32" s="31">
        <v>3.4482758620689655E-2</v>
      </c>
      <c r="L32" s="31">
        <v>0.26717557251908397</v>
      </c>
      <c r="M32" s="31">
        <v>0.29770992366412213</v>
      </c>
      <c r="N32" s="31">
        <v>0.47142857142857142</v>
      </c>
      <c r="O32" s="31">
        <v>0.39743589743589741</v>
      </c>
      <c r="P32" s="31">
        <v>0.48717948717948717</v>
      </c>
    </row>
    <row r="33" spans="1:16" x14ac:dyDescent="0.4">
      <c r="A33" s="33">
        <v>30</v>
      </c>
      <c r="B33" s="30">
        <v>11.199999999999989</v>
      </c>
      <c r="C33" s="30">
        <v>0.37333333333333296</v>
      </c>
      <c r="D33" s="35">
        <v>1.9666666666666666</v>
      </c>
      <c r="E33" s="31">
        <v>0.36666666666666664</v>
      </c>
      <c r="F33" s="31">
        <v>0.33333333333333331</v>
      </c>
      <c r="G33" s="31">
        <v>0.29477611940298509</v>
      </c>
      <c r="H33" s="31">
        <v>0.17164179104477612</v>
      </c>
      <c r="I33" s="32">
        <v>7453.164556962025</v>
      </c>
      <c r="J33" s="32">
        <v>-7539.130434782609</v>
      </c>
      <c r="K33" s="31">
        <v>3.3333333333333333E-2</v>
      </c>
      <c r="L33" s="31">
        <v>0.27238805970149255</v>
      </c>
      <c r="M33" s="31">
        <v>0.29477611940298509</v>
      </c>
      <c r="N33" s="31">
        <v>0.46575342465753422</v>
      </c>
      <c r="O33" s="31">
        <v>0.39240506329113922</v>
      </c>
      <c r="P33" s="31">
        <v>0.49367088607594939</v>
      </c>
    </row>
    <row r="34" spans="1:16" x14ac:dyDescent="0.4">
      <c r="A34" s="33">
        <v>31</v>
      </c>
      <c r="B34" s="30">
        <v>13.599999999999989</v>
      </c>
      <c r="C34" s="30">
        <v>0.43870967741935446</v>
      </c>
      <c r="D34" s="35">
        <v>1.967741935483871</v>
      </c>
      <c r="E34" s="31">
        <v>0.35483870967741937</v>
      </c>
      <c r="F34" s="31">
        <v>0.32258064516129031</v>
      </c>
      <c r="G34" s="31">
        <v>0.30072463768115942</v>
      </c>
      <c r="H34" s="31">
        <v>0.17753623188405798</v>
      </c>
      <c r="I34" s="32">
        <v>7419.2771084337346</v>
      </c>
      <c r="J34" s="32">
        <v>-7620.408163265306</v>
      </c>
      <c r="K34" s="31">
        <v>3.2258064516129031E-2</v>
      </c>
      <c r="L34" s="31">
        <v>0.27898550724637683</v>
      </c>
      <c r="M34" s="31">
        <v>0.29347826086956524</v>
      </c>
      <c r="N34" s="31">
        <v>0.48051948051948051</v>
      </c>
      <c r="O34" s="31">
        <v>0.39506172839506171</v>
      </c>
      <c r="P34" s="31">
        <v>0.48192771084337349</v>
      </c>
    </row>
    <row r="35" spans="1:16" x14ac:dyDescent="0.4">
      <c r="A35" s="33">
        <v>32</v>
      </c>
      <c r="B35" s="30">
        <v>-9.3000000000000096</v>
      </c>
      <c r="C35" s="30">
        <v>-0.2906250000000003</v>
      </c>
      <c r="D35" s="35">
        <v>2</v>
      </c>
      <c r="E35" s="31">
        <v>0.34375</v>
      </c>
      <c r="F35" s="31">
        <v>0.34375</v>
      </c>
      <c r="G35" s="31">
        <v>0.29577464788732394</v>
      </c>
      <c r="H35" s="31">
        <v>0.176056338028169</v>
      </c>
      <c r="I35" s="32">
        <v>7473.8095238095239</v>
      </c>
      <c r="J35" s="32">
        <v>-7708</v>
      </c>
      <c r="K35" s="31">
        <v>3.125E-2</v>
      </c>
      <c r="L35" s="31">
        <v>0.27464788732394368</v>
      </c>
      <c r="M35" s="31">
        <v>0.29577464788732394</v>
      </c>
      <c r="N35" s="31">
        <v>0.47435897435897434</v>
      </c>
      <c r="O35" s="31">
        <v>0.38095238095238093</v>
      </c>
      <c r="P35" s="31">
        <v>0.48809523809523808</v>
      </c>
    </row>
    <row r="36" spans="1:16" x14ac:dyDescent="0.4">
      <c r="A36" s="33">
        <v>33</v>
      </c>
      <c r="B36" s="30">
        <v>8.3999999999999897</v>
      </c>
      <c r="C36" s="30">
        <v>0.25454545454545424</v>
      </c>
      <c r="D36" s="35">
        <v>1.9696969696969697</v>
      </c>
      <c r="E36" s="31">
        <v>0.36363636363636365</v>
      </c>
      <c r="F36" s="31">
        <v>0.33333333333333331</v>
      </c>
      <c r="G36" s="31">
        <v>0.29209621993127149</v>
      </c>
      <c r="H36" s="31">
        <v>0.17525773195876287</v>
      </c>
      <c r="I36" s="32">
        <v>7522.3529411764703</v>
      </c>
      <c r="J36" s="32">
        <v>-7582.3529411764703</v>
      </c>
      <c r="K36" s="31">
        <v>3.0303030303030304E-2</v>
      </c>
      <c r="L36" s="31">
        <v>0.27491408934707906</v>
      </c>
      <c r="M36" s="31">
        <v>0.29553264604810997</v>
      </c>
      <c r="N36" s="31">
        <v>0.46250000000000002</v>
      </c>
      <c r="O36" s="31">
        <v>0.38372093023255816</v>
      </c>
      <c r="P36" s="31">
        <v>0.49411764705882355</v>
      </c>
    </row>
    <row r="37" spans="1:16" x14ac:dyDescent="0.4">
      <c r="A37" s="33">
        <v>34</v>
      </c>
      <c r="B37" s="30">
        <v>-28.600000000000009</v>
      </c>
      <c r="C37" s="30">
        <v>-0.84117647058823553</v>
      </c>
      <c r="D37" s="35">
        <v>2</v>
      </c>
      <c r="E37" s="31">
        <v>0.35294117647058826</v>
      </c>
      <c r="F37" s="31">
        <v>0.35294117647058826</v>
      </c>
      <c r="G37" s="31">
        <v>0.29194630872483224</v>
      </c>
      <c r="H37" s="31">
        <v>0.18120805369127516</v>
      </c>
      <c r="I37" s="32">
        <v>7455.1724137931033</v>
      </c>
      <c r="J37" s="32">
        <v>-7775.9259259259261</v>
      </c>
      <c r="K37" s="31">
        <v>2.9411764705882353E-2</v>
      </c>
      <c r="L37" s="31">
        <v>0.27181208053691275</v>
      </c>
      <c r="M37" s="31">
        <v>0.29194630872483224</v>
      </c>
      <c r="N37" s="31">
        <v>0.46913580246913578</v>
      </c>
      <c r="O37" s="31">
        <v>0.39080459770114945</v>
      </c>
      <c r="P37" s="31">
        <v>0.4942528735632184</v>
      </c>
    </row>
    <row r="38" spans="1:16" x14ac:dyDescent="0.4">
      <c r="A38" s="33">
        <v>35</v>
      </c>
      <c r="B38" s="30">
        <v>-19.900000000000009</v>
      </c>
      <c r="C38" s="30">
        <v>-0.56857142857142884</v>
      </c>
      <c r="D38" s="35">
        <v>2</v>
      </c>
      <c r="E38" s="31">
        <v>0.34285714285714286</v>
      </c>
      <c r="F38" s="31">
        <v>0.34285714285714286</v>
      </c>
      <c r="G38" s="31">
        <v>0.29738562091503268</v>
      </c>
      <c r="H38" s="31">
        <v>0.17647058823529413</v>
      </c>
      <c r="I38" s="32">
        <v>7334.065934065934</v>
      </c>
      <c r="J38" s="32">
        <v>-7775.9259259259261</v>
      </c>
      <c r="K38" s="31">
        <v>2.8571428571428571E-2</v>
      </c>
      <c r="L38" s="31">
        <v>0.27450980392156865</v>
      </c>
      <c r="M38" s="31">
        <v>0.29738562091503268</v>
      </c>
      <c r="N38" s="31">
        <v>0.47619047619047616</v>
      </c>
      <c r="O38" s="31">
        <v>0.39560439560439559</v>
      </c>
      <c r="P38" s="31">
        <v>0.48351648351648352</v>
      </c>
    </row>
    <row r="39" spans="1:16" x14ac:dyDescent="0.4">
      <c r="A39" s="33">
        <v>36</v>
      </c>
      <c r="B39" s="30">
        <v>-72.7</v>
      </c>
      <c r="C39" s="30">
        <v>-2.0194444444444444</v>
      </c>
      <c r="D39" s="35">
        <v>2.0277777777777777</v>
      </c>
      <c r="E39" s="31">
        <v>0.33333333333333331</v>
      </c>
      <c r="F39" s="31">
        <v>0.3611111111111111</v>
      </c>
      <c r="G39" s="31">
        <v>0.28888888888888886</v>
      </c>
      <c r="H39" s="31">
        <v>0.18412698412698414</v>
      </c>
      <c r="I39" s="32">
        <v>7334.065934065934</v>
      </c>
      <c r="J39" s="32">
        <v>-7800</v>
      </c>
      <c r="K39" s="31">
        <v>5.5555555555555552E-2</v>
      </c>
      <c r="L39" s="31">
        <v>0.26984126984126983</v>
      </c>
      <c r="M39" s="31">
        <v>0.29841269841269841</v>
      </c>
      <c r="N39" s="31">
        <v>0.47058823529411764</v>
      </c>
      <c r="O39" s="31">
        <v>0.38297872340425532</v>
      </c>
      <c r="P39" s="31">
        <v>0.48351648351648352</v>
      </c>
    </row>
    <row r="40" spans="1:16" x14ac:dyDescent="0.4">
      <c r="A40" s="33">
        <v>37</v>
      </c>
      <c r="B40" s="30">
        <v>-7.7999999999999972</v>
      </c>
      <c r="C40" s="30">
        <v>-0.21081081081081074</v>
      </c>
      <c r="D40" s="35">
        <v>2</v>
      </c>
      <c r="E40" s="31">
        <v>0.35135135135135137</v>
      </c>
      <c r="F40" s="31">
        <v>0.35135135135135137</v>
      </c>
      <c r="G40" s="31">
        <v>0.29467084639498431</v>
      </c>
      <c r="H40" s="31">
        <v>0.18181818181818182</v>
      </c>
      <c r="I40" s="32">
        <v>7705.3191489361698</v>
      </c>
      <c r="J40" s="32">
        <v>-7800</v>
      </c>
      <c r="K40" s="31">
        <v>5.4054054054054057E-2</v>
      </c>
      <c r="L40" s="31">
        <v>0.2664576802507837</v>
      </c>
      <c r="M40" s="31">
        <v>0.30094043887147337</v>
      </c>
      <c r="N40" s="31">
        <v>0.47058823529411764</v>
      </c>
      <c r="O40" s="31">
        <v>0.39583333333333331</v>
      </c>
      <c r="P40" s="31">
        <v>0.47872340425531917</v>
      </c>
    </row>
    <row r="41" spans="1:16" x14ac:dyDescent="0.4">
      <c r="A41" s="33">
        <v>38</v>
      </c>
      <c r="B41" s="30">
        <v>21.200000000000003</v>
      </c>
      <c r="C41" s="30">
        <v>0.55789473684210533</v>
      </c>
      <c r="D41" s="35">
        <v>1.9736842105263157</v>
      </c>
      <c r="E41" s="31">
        <v>0.36842105263157893</v>
      </c>
      <c r="F41" s="31">
        <v>0.34210526315789475</v>
      </c>
      <c r="G41" s="31">
        <v>0.29969418960244648</v>
      </c>
      <c r="H41" s="31">
        <v>0.18042813455657492</v>
      </c>
      <c r="I41" s="32">
        <v>7673.4693877551017</v>
      </c>
      <c r="J41" s="32">
        <v>-7798.3050847457625</v>
      </c>
      <c r="K41" s="31">
        <v>5.2631578947368418E-2</v>
      </c>
      <c r="L41" s="31">
        <v>0.26605504587155965</v>
      </c>
      <c r="M41" s="31">
        <v>0.29969418960244648</v>
      </c>
      <c r="N41" s="31">
        <v>0.47126436781609193</v>
      </c>
      <c r="O41" s="31">
        <v>0.40816326530612246</v>
      </c>
      <c r="P41" s="31">
        <v>0.48979591836734693</v>
      </c>
    </row>
    <row r="42" spans="1:16" x14ac:dyDescent="0.4">
      <c r="A42" s="33">
        <v>39</v>
      </c>
      <c r="B42" s="30">
        <v>53.800000000000004</v>
      </c>
      <c r="C42" s="30">
        <v>1.3794871794871797</v>
      </c>
      <c r="D42" s="35">
        <v>1.9487179487179487</v>
      </c>
      <c r="E42" s="31">
        <v>0.38461538461538464</v>
      </c>
      <c r="F42" s="31">
        <v>0.33333333333333331</v>
      </c>
      <c r="G42" s="31">
        <v>0.30294117647058821</v>
      </c>
      <c r="H42" s="31">
        <v>0.17352941176470588</v>
      </c>
      <c r="I42" s="32">
        <v>7652.4271844660198</v>
      </c>
      <c r="J42" s="32">
        <v>-7798.3050847457625</v>
      </c>
      <c r="K42" s="31">
        <v>5.128205128205128E-2</v>
      </c>
      <c r="L42" s="31">
        <v>0.26470588235294118</v>
      </c>
      <c r="M42" s="31">
        <v>0.30294117647058821</v>
      </c>
      <c r="N42" s="31">
        <v>0.46666666666666667</v>
      </c>
      <c r="O42" s="31">
        <v>0.40776699029126212</v>
      </c>
      <c r="P42" s="31">
        <v>0.46601941747572817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19A66-B024-42DF-B32A-B01055B9A874}">
  <sheetPr codeName="Sheet10"/>
  <dimension ref="A1:Q44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163</v>
      </c>
      <c r="B1" s="34" t="s">
        <v>163</v>
      </c>
      <c r="C1" s="34" t="s">
        <v>163</v>
      </c>
      <c r="D1" s="35" t="s">
        <v>163</v>
      </c>
      <c r="E1" s="34" t="s">
        <v>163</v>
      </c>
      <c r="F1" s="34" t="s">
        <v>163</v>
      </c>
      <c r="G1" s="34" t="s">
        <v>163</v>
      </c>
      <c r="H1" s="34" t="s">
        <v>163</v>
      </c>
      <c r="I1" s="34" t="s">
        <v>163</v>
      </c>
      <c r="J1" s="34" t="s">
        <v>163</v>
      </c>
      <c r="K1" s="34" t="s">
        <v>163</v>
      </c>
      <c r="L1" s="34" t="s">
        <v>163</v>
      </c>
      <c r="M1" s="34" t="s">
        <v>163</v>
      </c>
      <c r="N1" s="34" t="s">
        <v>163</v>
      </c>
      <c r="O1" s="34" t="s">
        <v>163</v>
      </c>
      <c r="P1" s="34" t="s">
        <v>163</v>
      </c>
      <c r="Q1" s="34" t="s">
        <v>163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-31</v>
      </c>
      <c r="C4" s="30">
        <v>-31</v>
      </c>
      <c r="D4" s="35">
        <v>3</v>
      </c>
      <c r="E4" s="31">
        <v>0</v>
      </c>
      <c r="F4" s="31">
        <v>1</v>
      </c>
      <c r="G4" s="31">
        <v>0.22222222222222221</v>
      </c>
      <c r="H4" s="31">
        <v>0.1111111111111111</v>
      </c>
      <c r="I4" s="32">
        <v>7950</v>
      </c>
      <c r="J4" s="32">
        <v>-12000</v>
      </c>
      <c r="K4" s="31">
        <v>0</v>
      </c>
      <c r="L4" s="31">
        <v>0.22222222222222221</v>
      </c>
      <c r="M4" s="31">
        <v>0.1111111111111111</v>
      </c>
      <c r="N4" s="31">
        <v>0.5</v>
      </c>
      <c r="O4" s="31">
        <v>1</v>
      </c>
      <c r="P4" s="31">
        <v>0.5</v>
      </c>
    </row>
    <row r="5" spans="1:17" x14ac:dyDescent="0.4">
      <c r="A5" s="33">
        <v>2</v>
      </c>
      <c r="B5" s="30">
        <v>-98.9</v>
      </c>
      <c r="C5" s="30">
        <v>-49.45</v>
      </c>
      <c r="D5" s="35">
        <v>3</v>
      </c>
      <c r="E5" s="31">
        <v>0</v>
      </c>
      <c r="F5" s="31">
        <v>1</v>
      </c>
      <c r="G5" s="31">
        <v>0.17647058823529413</v>
      </c>
      <c r="H5" s="31">
        <v>0.17647058823529413</v>
      </c>
      <c r="I5" s="32">
        <v>9300</v>
      </c>
      <c r="J5" s="32">
        <v>-23866.666666666668</v>
      </c>
      <c r="K5" s="31">
        <v>0.5</v>
      </c>
      <c r="L5" s="31">
        <v>0.29411764705882354</v>
      </c>
      <c r="M5" s="31">
        <v>0.11764705882352941</v>
      </c>
      <c r="N5" s="31">
        <v>0.4</v>
      </c>
      <c r="O5" s="31">
        <v>0.5</v>
      </c>
      <c r="P5" s="31">
        <v>0.33333333333333331</v>
      </c>
    </row>
    <row r="6" spans="1:17" x14ac:dyDescent="0.4">
      <c r="A6" s="33">
        <v>3</v>
      </c>
      <c r="B6" s="30">
        <v>-65.300000000000011</v>
      </c>
      <c r="C6" s="30">
        <v>-21.766666666666669</v>
      </c>
      <c r="D6" s="35">
        <v>2.3333333333333335</v>
      </c>
      <c r="E6" s="31">
        <v>0.33333333333333331</v>
      </c>
      <c r="F6" s="31">
        <v>0.66666666666666663</v>
      </c>
      <c r="G6" s="31">
        <v>0.30769230769230771</v>
      </c>
      <c r="H6" s="31">
        <v>0.15384615384615385</v>
      </c>
      <c r="I6" s="32">
        <v>7312.5</v>
      </c>
      <c r="J6" s="32">
        <v>-20900</v>
      </c>
      <c r="K6" s="31">
        <v>0.33333333333333331</v>
      </c>
      <c r="L6" s="31">
        <v>0.19230769230769232</v>
      </c>
      <c r="M6" s="31">
        <v>0.23076923076923078</v>
      </c>
      <c r="N6" s="31">
        <v>0.4</v>
      </c>
      <c r="O6" s="31">
        <v>0.5</v>
      </c>
      <c r="P6" s="31">
        <v>0.375</v>
      </c>
    </row>
    <row r="7" spans="1:17" x14ac:dyDescent="0.4">
      <c r="A7" s="33">
        <v>4</v>
      </c>
      <c r="B7" s="30">
        <v>-99.700000000000017</v>
      </c>
      <c r="C7" s="30">
        <v>-24.925000000000004</v>
      </c>
      <c r="D7" s="35">
        <v>2.5</v>
      </c>
      <c r="E7" s="31">
        <v>0.25</v>
      </c>
      <c r="F7" s="31">
        <v>0.75</v>
      </c>
      <c r="G7" s="31">
        <v>0.25</v>
      </c>
      <c r="H7" s="31">
        <v>0.15625</v>
      </c>
      <c r="I7" s="32">
        <v>7312.5</v>
      </c>
      <c r="J7" s="32">
        <v>-18260</v>
      </c>
      <c r="K7" s="31">
        <v>0.25</v>
      </c>
      <c r="L7" s="31">
        <v>0.15625</v>
      </c>
      <c r="M7" s="31">
        <v>0.28125</v>
      </c>
      <c r="N7" s="31">
        <v>0.4</v>
      </c>
      <c r="O7" s="31">
        <v>0.33333333333333331</v>
      </c>
      <c r="P7" s="31">
        <v>0.375</v>
      </c>
    </row>
    <row r="8" spans="1:17" x14ac:dyDescent="0.4">
      <c r="A8" s="33">
        <v>5</v>
      </c>
      <c r="B8" s="30">
        <v>-132.90000000000003</v>
      </c>
      <c r="C8" s="30">
        <v>-26.580000000000005</v>
      </c>
      <c r="D8" s="35">
        <v>2.6</v>
      </c>
      <c r="E8" s="31">
        <v>0.2</v>
      </c>
      <c r="F8" s="31">
        <v>0.8</v>
      </c>
      <c r="G8" s="31">
        <v>0.22222222222222221</v>
      </c>
      <c r="H8" s="31">
        <v>0.2</v>
      </c>
      <c r="I8" s="32">
        <v>7340</v>
      </c>
      <c r="J8" s="32">
        <v>-12566.666666666666</v>
      </c>
      <c r="K8" s="31">
        <v>0.2</v>
      </c>
      <c r="L8" s="31">
        <v>0.22222222222222221</v>
      </c>
      <c r="M8" s="31">
        <v>0.28888888888888886</v>
      </c>
      <c r="N8" s="31">
        <v>0.3</v>
      </c>
      <c r="O8" s="31">
        <v>0.30769230769230771</v>
      </c>
      <c r="P8" s="31">
        <v>0.3</v>
      </c>
    </row>
    <row r="9" spans="1:17" x14ac:dyDescent="0.4">
      <c r="A9" s="33">
        <v>6</v>
      </c>
      <c r="B9" s="30">
        <v>-182.90000000000003</v>
      </c>
      <c r="C9" s="30">
        <v>-30.483333333333338</v>
      </c>
      <c r="D9" s="35">
        <v>2.6666666666666665</v>
      </c>
      <c r="E9" s="31">
        <v>0.16666666666666666</v>
      </c>
      <c r="F9" s="31">
        <v>0.83333333333333337</v>
      </c>
      <c r="G9" s="31">
        <v>0.19607843137254902</v>
      </c>
      <c r="H9" s="31">
        <v>0.21568627450980393</v>
      </c>
      <c r="I9" s="32">
        <v>7340</v>
      </c>
      <c r="J9" s="32">
        <v>-12463.636363636364</v>
      </c>
      <c r="K9" s="31">
        <v>0.33333333333333331</v>
      </c>
      <c r="L9" s="31">
        <v>0.21568627450980393</v>
      </c>
      <c r="M9" s="31">
        <v>0.25490196078431371</v>
      </c>
      <c r="N9" s="31">
        <v>0.27272727272727271</v>
      </c>
      <c r="O9" s="31">
        <v>0.30769230769230771</v>
      </c>
      <c r="P9" s="31">
        <v>0.3</v>
      </c>
    </row>
    <row r="10" spans="1:17" x14ac:dyDescent="0.4">
      <c r="A10" s="33">
        <v>7</v>
      </c>
      <c r="B10" s="30">
        <v>-162.30000000000004</v>
      </c>
      <c r="C10" s="30">
        <v>-23.18571428571429</v>
      </c>
      <c r="D10" s="35">
        <v>2.4285714285714284</v>
      </c>
      <c r="E10" s="31">
        <v>0.2857142857142857</v>
      </c>
      <c r="F10" s="31">
        <v>0.7142857142857143</v>
      </c>
      <c r="G10" s="31">
        <v>0.21666666666666667</v>
      </c>
      <c r="H10" s="31">
        <v>0.21666666666666667</v>
      </c>
      <c r="I10" s="32">
        <v>8569.2307692307695</v>
      </c>
      <c r="J10" s="32">
        <v>-12053.846153846154</v>
      </c>
      <c r="K10" s="31">
        <v>0.2857142857142857</v>
      </c>
      <c r="L10" s="31">
        <v>0.23333333333333334</v>
      </c>
      <c r="M10" s="31">
        <v>0.23333333333333334</v>
      </c>
      <c r="N10" s="31">
        <v>0.35714285714285715</v>
      </c>
      <c r="O10" s="31">
        <v>0.2857142857142857</v>
      </c>
      <c r="P10" s="31">
        <v>0.30769230769230771</v>
      </c>
    </row>
    <row r="11" spans="1:17" x14ac:dyDescent="0.4">
      <c r="A11" s="33">
        <v>8</v>
      </c>
      <c r="B11" s="30">
        <v>-137.50000000000003</v>
      </c>
      <c r="C11" s="30">
        <v>-17.187500000000004</v>
      </c>
      <c r="D11" s="35">
        <v>2.25</v>
      </c>
      <c r="E11" s="31">
        <v>0.375</v>
      </c>
      <c r="F11" s="31">
        <v>0.625</v>
      </c>
      <c r="G11" s="31">
        <v>0.25</v>
      </c>
      <c r="H11" s="31">
        <v>0.20588235294117646</v>
      </c>
      <c r="I11" s="32">
        <v>8864.7058823529405</v>
      </c>
      <c r="J11" s="32">
        <v>-11764.285714285714</v>
      </c>
      <c r="K11" s="31">
        <v>0.25</v>
      </c>
      <c r="L11" s="31">
        <v>0.26470588235294118</v>
      </c>
      <c r="M11" s="31">
        <v>0.25</v>
      </c>
      <c r="N11" s="31">
        <v>0.3888888888888889</v>
      </c>
      <c r="O11" s="31">
        <v>0.35294117647058826</v>
      </c>
      <c r="P11" s="31">
        <v>0.29411764705882354</v>
      </c>
    </row>
    <row r="12" spans="1:17" x14ac:dyDescent="0.4">
      <c r="A12" s="33">
        <v>9</v>
      </c>
      <c r="B12" s="30">
        <v>-87.900000000000034</v>
      </c>
      <c r="C12" s="30">
        <v>-9.766666666666671</v>
      </c>
      <c r="D12" s="35">
        <v>2.1111111111111112</v>
      </c>
      <c r="E12" s="31">
        <v>0.44444444444444442</v>
      </c>
      <c r="F12" s="31">
        <v>0.55555555555555558</v>
      </c>
      <c r="G12" s="31">
        <v>0.27272727272727271</v>
      </c>
      <c r="H12" s="31">
        <v>0.20779220779220781</v>
      </c>
      <c r="I12" s="32">
        <v>9561.9047619047615</v>
      </c>
      <c r="J12" s="32">
        <v>-10887.5</v>
      </c>
      <c r="K12" s="31">
        <v>0.22222222222222221</v>
      </c>
      <c r="L12" s="31">
        <v>0.23376623376623376</v>
      </c>
      <c r="M12" s="31">
        <v>0.25974025974025972</v>
      </c>
      <c r="N12" s="31">
        <v>0.3888888888888889</v>
      </c>
      <c r="O12" s="31">
        <v>0.4</v>
      </c>
      <c r="P12" s="31">
        <v>0.33333333333333331</v>
      </c>
    </row>
    <row r="13" spans="1:17" x14ac:dyDescent="0.4">
      <c r="A13" s="33">
        <v>10</v>
      </c>
      <c r="B13" s="30">
        <v>-61.000000000000036</v>
      </c>
      <c r="C13" s="30">
        <v>-6.1000000000000032</v>
      </c>
      <c r="D13" s="35">
        <v>2</v>
      </c>
      <c r="E13" s="31">
        <v>0.5</v>
      </c>
      <c r="F13" s="31">
        <v>0.5</v>
      </c>
      <c r="G13" s="31">
        <v>0.27380952380952384</v>
      </c>
      <c r="H13" s="31">
        <v>0.21428571428571427</v>
      </c>
      <c r="I13" s="32">
        <v>9460.8695652173919</v>
      </c>
      <c r="J13" s="32">
        <v>-9822.2222222222226</v>
      </c>
      <c r="K13" s="31">
        <v>0.2</v>
      </c>
      <c r="L13" s="31">
        <v>0.22619047619047619</v>
      </c>
      <c r="M13" s="31">
        <v>0.23809523809523808</v>
      </c>
      <c r="N13" s="31">
        <v>0.42105263157894735</v>
      </c>
      <c r="O13" s="31">
        <v>0.4</v>
      </c>
      <c r="P13" s="31">
        <v>0.34782608695652173</v>
      </c>
    </row>
    <row r="14" spans="1:17" x14ac:dyDescent="0.4">
      <c r="A14" s="33">
        <v>11</v>
      </c>
      <c r="B14" s="30">
        <v>-94.500000000000028</v>
      </c>
      <c r="C14" s="30">
        <v>-8.5909090909090935</v>
      </c>
      <c r="D14" s="35">
        <v>2.0909090909090908</v>
      </c>
      <c r="E14" s="31">
        <v>0.45454545454545453</v>
      </c>
      <c r="F14" s="31">
        <v>0.54545454545454541</v>
      </c>
      <c r="G14" s="31">
        <v>0.25806451612903225</v>
      </c>
      <c r="H14" s="31">
        <v>0.22580645161290322</v>
      </c>
      <c r="I14" s="32">
        <v>9566.6666666666661</v>
      </c>
      <c r="J14" s="32">
        <v>-9490.4761904761908</v>
      </c>
      <c r="K14" s="31">
        <v>0.18181818181818182</v>
      </c>
      <c r="L14" s="31">
        <v>0.21505376344086022</v>
      </c>
      <c r="M14" s="31">
        <v>0.24731182795698925</v>
      </c>
      <c r="N14" s="31">
        <v>0.4</v>
      </c>
      <c r="O14" s="31">
        <v>0.34782608695652173</v>
      </c>
      <c r="P14" s="31">
        <v>0.375</v>
      </c>
    </row>
    <row r="15" spans="1:17" x14ac:dyDescent="0.4">
      <c r="A15" s="33">
        <v>12</v>
      </c>
      <c r="B15" s="30">
        <v>-140.20000000000005</v>
      </c>
      <c r="C15" s="30">
        <v>-11.683333333333337</v>
      </c>
      <c r="D15" s="35">
        <v>2.1666666666666665</v>
      </c>
      <c r="E15" s="31">
        <v>0.41666666666666669</v>
      </c>
      <c r="F15" s="31">
        <v>0.58333333333333337</v>
      </c>
      <c r="G15" s="31">
        <v>0.24509803921568626</v>
      </c>
      <c r="H15" s="31">
        <v>0.21568627450980393</v>
      </c>
      <c r="I15" s="32">
        <v>9504</v>
      </c>
      <c r="J15" s="32">
        <v>-9236.363636363636</v>
      </c>
      <c r="K15" s="31">
        <v>0.25</v>
      </c>
      <c r="L15" s="31">
        <v>0.21568627450980393</v>
      </c>
      <c r="M15" s="31">
        <v>0.24509803921568626</v>
      </c>
      <c r="N15" s="31">
        <v>0.36363636363636365</v>
      </c>
      <c r="O15" s="31">
        <v>0.36</v>
      </c>
      <c r="P15" s="31">
        <v>0.36</v>
      </c>
    </row>
    <row r="16" spans="1:17" x14ac:dyDescent="0.4">
      <c r="A16" s="33">
        <v>13</v>
      </c>
      <c r="B16" s="30">
        <v>-131.30000000000004</v>
      </c>
      <c r="C16" s="30">
        <v>-10.100000000000003</v>
      </c>
      <c r="D16" s="35">
        <v>2.1538461538461537</v>
      </c>
      <c r="E16" s="31">
        <v>0.38461538461538464</v>
      </c>
      <c r="F16" s="31">
        <v>0.53846153846153844</v>
      </c>
      <c r="G16" s="31">
        <v>0.26363636363636361</v>
      </c>
      <c r="H16" s="31">
        <v>0.20909090909090908</v>
      </c>
      <c r="I16" s="32">
        <v>9155.1724137931033</v>
      </c>
      <c r="J16" s="32">
        <v>-9169.565217391304</v>
      </c>
      <c r="K16" s="31">
        <v>0.23076923076923078</v>
      </c>
      <c r="L16" s="31">
        <v>0.22727272727272727</v>
      </c>
      <c r="M16" s="31">
        <v>0.23636363636363636</v>
      </c>
      <c r="N16" s="31">
        <v>0.44</v>
      </c>
      <c r="O16" s="31">
        <v>0.34615384615384615</v>
      </c>
      <c r="P16" s="31">
        <v>0.37931034482758619</v>
      </c>
    </row>
    <row r="17" spans="1:16" x14ac:dyDescent="0.4">
      <c r="A17" s="33">
        <v>14</v>
      </c>
      <c r="B17" s="30">
        <v>-125.80000000000004</v>
      </c>
      <c r="C17" s="30">
        <v>-8.9857142857142893</v>
      </c>
      <c r="D17" s="35">
        <v>2.1428571428571428</v>
      </c>
      <c r="E17" s="31">
        <v>0.35714285714285715</v>
      </c>
      <c r="F17" s="31">
        <v>0.5</v>
      </c>
      <c r="G17" s="31">
        <v>0.26050420168067229</v>
      </c>
      <c r="H17" s="31">
        <v>0.19327731092436976</v>
      </c>
      <c r="I17" s="32">
        <v>9070.967741935483</v>
      </c>
      <c r="J17" s="32">
        <v>-9169.565217391304</v>
      </c>
      <c r="K17" s="31">
        <v>0.21428571428571427</v>
      </c>
      <c r="L17" s="31">
        <v>0.21848739495798319</v>
      </c>
      <c r="M17" s="31">
        <v>0.22689075630252101</v>
      </c>
      <c r="N17" s="31">
        <v>0.46153846153846156</v>
      </c>
      <c r="O17" s="31">
        <v>0.33333333333333331</v>
      </c>
      <c r="P17" s="31">
        <v>0.38709677419354838</v>
      </c>
    </row>
    <row r="18" spans="1:16" x14ac:dyDescent="0.4">
      <c r="A18" s="33">
        <v>15</v>
      </c>
      <c r="B18" s="30">
        <v>-165.10000000000002</v>
      </c>
      <c r="C18" s="30">
        <v>-11.006666666666668</v>
      </c>
      <c r="D18" s="35">
        <v>2.2000000000000002</v>
      </c>
      <c r="E18" s="31">
        <v>0.33333333333333331</v>
      </c>
      <c r="F18" s="31">
        <v>0.53333333333333333</v>
      </c>
      <c r="G18" s="31">
        <v>0.25</v>
      </c>
      <c r="H18" s="31">
        <v>0.19696969696969696</v>
      </c>
      <c r="I18" s="32">
        <v>8972.7272727272721</v>
      </c>
      <c r="J18" s="32">
        <v>-8907.6923076923085</v>
      </c>
      <c r="K18" s="31">
        <v>0.2</v>
      </c>
      <c r="L18" s="31">
        <v>0.20454545454545456</v>
      </c>
      <c r="M18" s="31">
        <v>0.22727272727272727</v>
      </c>
      <c r="N18" s="31">
        <v>0.44444444444444442</v>
      </c>
      <c r="O18" s="31">
        <v>0.36666666666666664</v>
      </c>
      <c r="P18" s="31">
        <v>0.39393939393939392</v>
      </c>
    </row>
    <row r="19" spans="1:16" x14ac:dyDescent="0.4">
      <c r="A19" s="33">
        <v>16</v>
      </c>
      <c r="B19" s="30">
        <v>-95.40000000000002</v>
      </c>
      <c r="C19" s="30">
        <v>-5.9625000000000012</v>
      </c>
      <c r="D19" s="35">
        <v>2.125</v>
      </c>
      <c r="E19" s="31">
        <v>0.375</v>
      </c>
      <c r="F19" s="31">
        <v>0.5</v>
      </c>
      <c r="G19" s="31">
        <v>0.2805755395683453</v>
      </c>
      <c r="H19" s="31">
        <v>0.19424460431654678</v>
      </c>
      <c r="I19" s="32">
        <v>9102.5641025641035</v>
      </c>
      <c r="J19" s="32">
        <v>-8696.2962962962956</v>
      </c>
      <c r="K19" s="31">
        <v>0.1875</v>
      </c>
      <c r="L19" s="31">
        <v>0.22302158273381295</v>
      </c>
      <c r="M19" s="31">
        <v>0.22302158273381295</v>
      </c>
      <c r="N19" s="31">
        <v>0.5161290322580645</v>
      </c>
      <c r="O19" s="31">
        <v>0.35483870967741937</v>
      </c>
      <c r="P19" s="31">
        <v>0.46153846153846156</v>
      </c>
    </row>
    <row r="20" spans="1:16" x14ac:dyDescent="0.4">
      <c r="A20" s="33">
        <v>17</v>
      </c>
      <c r="B20" s="30">
        <v>-91.000000000000014</v>
      </c>
      <c r="C20" s="30">
        <v>-5.3529411764705888</v>
      </c>
      <c r="D20" s="35">
        <v>2.1176470588235294</v>
      </c>
      <c r="E20" s="31">
        <v>0.35294117647058826</v>
      </c>
      <c r="F20" s="31">
        <v>0.47058823529411764</v>
      </c>
      <c r="G20" s="31">
        <v>0.28187919463087246</v>
      </c>
      <c r="H20" s="31">
        <v>0.18120805369127516</v>
      </c>
      <c r="I20" s="32">
        <v>9021.4285714285706</v>
      </c>
      <c r="J20" s="32">
        <v>-8696.2962962962956</v>
      </c>
      <c r="K20" s="31">
        <v>0.17647058823529413</v>
      </c>
      <c r="L20" s="31">
        <v>0.24161073825503357</v>
      </c>
      <c r="M20" s="31">
        <v>0.22147651006711411</v>
      </c>
      <c r="N20" s="31">
        <v>0.47222222222222221</v>
      </c>
      <c r="O20" s="31">
        <v>0.36363636363636365</v>
      </c>
      <c r="P20" s="31">
        <v>0.45238095238095238</v>
      </c>
    </row>
    <row r="21" spans="1:16" x14ac:dyDescent="0.4">
      <c r="A21" s="33">
        <v>18</v>
      </c>
      <c r="B21" s="30">
        <v>-91.000000000000014</v>
      </c>
      <c r="C21" s="30">
        <v>-5.0555555555555562</v>
      </c>
      <c r="D21" s="35">
        <v>2.1111111111111112</v>
      </c>
      <c r="E21" s="31">
        <v>0.33333333333333331</v>
      </c>
      <c r="F21" s="31">
        <v>0.44444444444444442</v>
      </c>
      <c r="G21" s="31">
        <v>0.2848101265822785</v>
      </c>
      <c r="H21" s="31">
        <v>0.17721518987341772</v>
      </c>
      <c r="I21" s="32">
        <v>8782.2222222222226</v>
      </c>
      <c r="J21" s="32">
        <v>-8592.8571428571431</v>
      </c>
      <c r="K21" s="31">
        <v>0.16666666666666666</v>
      </c>
      <c r="L21" s="31">
        <v>0.24050632911392406</v>
      </c>
      <c r="M21" s="31">
        <v>0.22151898734177214</v>
      </c>
      <c r="N21" s="31">
        <v>0.5</v>
      </c>
      <c r="O21" s="31">
        <v>0.37142857142857144</v>
      </c>
      <c r="P21" s="31">
        <v>0.46666666666666667</v>
      </c>
    </row>
    <row r="22" spans="1:16" x14ac:dyDescent="0.4">
      <c r="A22" s="33">
        <v>19</v>
      </c>
      <c r="B22" s="30">
        <v>-143.4</v>
      </c>
      <c r="C22" s="30">
        <v>-7.5473684210526315</v>
      </c>
      <c r="D22" s="35">
        <v>2.1578947368421053</v>
      </c>
      <c r="E22" s="31">
        <v>0.31578947368421051</v>
      </c>
      <c r="F22" s="31">
        <v>0.47368421052631576</v>
      </c>
      <c r="G22" s="31">
        <v>0.26946107784431139</v>
      </c>
      <c r="H22" s="31">
        <v>0.19161676646706588</v>
      </c>
      <c r="I22" s="32">
        <v>8782.2222222222226</v>
      </c>
      <c r="J22" s="32">
        <v>-8484.375</v>
      </c>
      <c r="K22" s="31">
        <v>0.21052631578947367</v>
      </c>
      <c r="L22" s="31">
        <v>0.23353293413173654</v>
      </c>
      <c r="M22" s="31">
        <v>0.22155688622754491</v>
      </c>
      <c r="N22" s="31">
        <v>0.48717948717948717</v>
      </c>
      <c r="O22" s="31">
        <v>0.35135135135135137</v>
      </c>
      <c r="P22" s="31">
        <v>0.46666666666666667</v>
      </c>
    </row>
    <row r="23" spans="1:16" x14ac:dyDescent="0.4">
      <c r="A23" s="33">
        <v>20</v>
      </c>
      <c r="B23" s="30">
        <v>-101.2</v>
      </c>
      <c r="C23" s="30">
        <v>-5.0600000000000005</v>
      </c>
      <c r="D23" s="35">
        <v>2.1</v>
      </c>
      <c r="E23" s="31">
        <v>0.35</v>
      </c>
      <c r="F23" s="31">
        <v>0.45</v>
      </c>
      <c r="G23" s="31">
        <v>0.28000000000000003</v>
      </c>
      <c r="H23" s="31">
        <v>0.18285714285714286</v>
      </c>
      <c r="I23" s="32">
        <v>8848.9795918367345</v>
      </c>
      <c r="J23" s="32">
        <v>-8484.375</v>
      </c>
      <c r="K23" s="31">
        <v>0.2</v>
      </c>
      <c r="L23" s="31">
        <v>0.24</v>
      </c>
      <c r="M23" s="31">
        <v>0.21714285714285714</v>
      </c>
      <c r="N23" s="31">
        <v>0.5</v>
      </c>
      <c r="O23" s="31">
        <v>0.36842105263157893</v>
      </c>
      <c r="P23" s="31">
        <v>0.48979591836734693</v>
      </c>
    </row>
    <row r="24" spans="1:16" x14ac:dyDescent="0.4">
      <c r="A24" s="33">
        <v>21</v>
      </c>
      <c r="B24" s="30">
        <v>-99.3</v>
      </c>
      <c r="C24" s="30">
        <v>-4.7285714285714286</v>
      </c>
      <c r="D24" s="35">
        <v>2.0952380952380953</v>
      </c>
      <c r="E24" s="31">
        <v>0.33333333333333331</v>
      </c>
      <c r="F24" s="31">
        <v>0.42857142857142855</v>
      </c>
      <c r="G24" s="31">
        <v>0.27173913043478259</v>
      </c>
      <c r="H24" s="31">
        <v>0.17934782608695651</v>
      </c>
      <c r="I24" s="32">
        <v>8832</v>
      </c>
      <c r="J24" s="32">
        <v>-8345.454545454546</v>
      </c>
      <c r="K24" s="31">
        <v>0.19047619047619047</v>
      </c>
      <c r="L24" s="31">
        <v>0.24456521739130435</v>
      </c>
      <c r="M24" s="31">
        <v>0.21739130434782608</v>
      </c>
      <c r="N24" s="31">
        <v>0.48888888888888887</v>
      </c>
      <c r="O24" s="31">
        <v>0.35</v>
      </c>
      <c r="P24" s="31">
        <v>0.48</v>
      </c>
    </row>
    <row r="25" spans="1:16" x14ac:dyDescent="0.4">
      <c r="A25" s="33">
        <v>22</v>
      </c>
      <c r="B25" s="30">
        <v>-95.2</v>
      </c>
      <c r="C25" s="30">
        <v>-4.3272727272727272</v>
      </c>
      <c r="D25" s="35">
        <v>2.0909090909090908</v>
      </c>
      <c r="E25" s="31">
        <v>0.31818181818181818</v>
      </c>
      <c r="F25" s="31">
        <v>0.40909090909090912</v>
      </c>
      <c r="G25" s="31">
        <v>0.27083333333333331</v>
      </c>
      <c r="H25" s="31">
        <v>0.18229166666666666</v>
      </c>
      <c r="I25" s="32">
        <v>9107.6923076923085</v>
      </c>
      <c r="J25" s="32">
        <v>-8308.5714285714294</v>
      </c>
      <c r="K25" s="31">
        <v>0.18181818181818182</v>
      </c>
      <c r="L25" s="31">
        <v>0.25</v>
      </c>
      <c r="M25" s="31">
        <v>0.22916666666666666</v>
      </c>
      <c r="N25" s="31">
        <v>0.47916666666666669</v>
      </c>
      <c r="O25" s="31">
        <v>0.34090909090909088</v>
      </c>
      <c r="P25" s="31">
        <v>0.46153846153846156</v>
      </c>
    </row>
    <row r="26" spans="1:16" x14ac:dyDescent="0.4">
      <c r="A26" s="33">
        <v>23</v>
      </c>
      <c r="B26" s="30">
        <v>-75</v>
      </c>
      <c r="C26" s="30">
        <v>-3.2608695652173911</v>
      </c>
      <c r="D26" s="35">
        <v>2.0434782608695654</v>
      </c>
      <c r="E26" s="31">
        <v>0.34782608695652173</v>
      </c>
      <c r="F26" s="31">
        <v>0.39130434782608697</v>
      </c>
      <c r="G26" s="31">
        <v>0.271356783919598</v>
      </c>
      <c r="H26" s="31">
        <v>0.18090452261306533</v>
      </c>
      <c r="I26" s="32">
        <v>9135.1851851851843</v>
      </c>
      <c r="J26" s="32">
        <v>-8300</v>
      </c>
      <c r="K26" s="31">
        <v>0.17391304347826086</v>
      </c>
      <c r="L26" s="31">
        <v>0.25628140703517588</v>
      </c>
      <c r="M26" s="31">
        <v>0.23115577889447236</v>
      </c>
      <c r="N26" s="31">
        <v>0.47058823529411764</v>
      </c>
      <c r="O26" s="31">
        <v>0.34782608695652173</v>
      </c>
      <c r="P26" s="31">
        <v>0.44444444444444442</v>
      </c>
    </row>
    <row r="27" spans="1:16" x14ac:dyDescent="0.4">
      <c r="A27" s="33">
        <v>24</v>
      </c>
      <c r="B27" s="30">
        <v>-77.400000000000006</v>
      </c>
      <c r="C27" s="30">
        <v>-3.2250000000000001</v>
      </c>
      <c r="D27" s="35">
        <v>2.0416666666666665</v>
      </c>
      <c r="E27" s="31">
        <v>0.33333333333333331</v>
      </c>
      <c r="F27" s="31">
        <v>0.375</v>
      </c>
      <c r="G27" s="31">
        <v>0.26923076923076922</v>
      </c>
      <c r="H27" s="31">
        <v>0.18269230769230768</v>
      </c>
      <c r="I27" s="32">
        <v>8941.0714285714294</v>
      </c>
      <c r="J27" s="32">
        <v>-8007.894736842105</v>
      </c>
      <c r="K27" s="31">
        <v>0.16666666666666666</v>
      </c>
      <c r="L27" s="31">
        <v>0.25961538461538464</v>
      </c>
      <c r="M27" s="31">
        <v>0.23076923076923078</v>
      </c>
      <c r="N27" s="31">
        <v>0.44444444444444442</v>
      </c>
      <c r="O27" s="31">
        <v>0.35416666666666669</v>
      </c>
      <c r="P27" s="31">
        <v>0.44642857142857145</v>
      </c>
    </row>
    <row r="28" spans="1:16" x14ac:dyDescent="0.4">
      <c r="A28" s="33">
        <v>25</v>
      </c>
      <c r="B28" s="30">
        <v>-83.600000000000009</v>
      </c>
      <c r="C28" s="30">
        <v>-3.3440000000000003</v>
      </c>
      <c r="D28" s="35">
        <v>2.04</v>
      </c>
      <c r="E28" s="31">
        <v>0.32</v>
      </c>
      <c r="F28" s="31">
        <v>0.36</v>
      </c>
      <c r="G28" s="31">
        <v>0.2638888888888889</v>
      </c>
      <c r="H28" s="31">
        <v>0.18055555555555555</v>
      </c>
      <c r="I28" s="32">
        <v>8852.6315789473683</v>
      </c>
      <c r="J28" s="32">
        <v>-7869.2307692307695</v>
      </c>
      <c r="K28" s="31">
        <v>0.16</v>
      </c>
      <c r="L28" s="31">
        <v>0.25462962962962965</v>
      </c>
      <c r="M28" s="31">
        <v>0.22685185185185186</v>
      </c>
      <c r="N28" s="31">
        <v>0.43636363636363634</v>
      </c>
      <c r="O28" s="31">
        <v>0.36734693877551022</v>
      </c>
      <c r="P28" s="31">
        <v>0.43859649122807015</v>
      </c>
    </row>
    <row r="29" spans="1:16" x14ac:dyDescent="0.4">
      <c r="A29" s="33">
        <v>26</v>
      </c>
      <c r="B29" s="30">
        <v>-84.500000000000014</v>
      </c>
      <c r="C29" s="30">
        <v>-3.2500000000000004</v>
      </c>
      <c r="D29" s="35">
        <v>2.0384615384615383</v>
      </c>
      <c r="E29" s="31">
        <v>0.30769230769230771</v>
      </c>
      <c r="F29" s="31">
        <v>0.34615384615384615</v>
      </c>
      <c r="G29" s="31">
        <v>0.26339285714285715</v>
      </c>
      <c r="H29" s="31">
        <v>0.18303571428571427</v>
      </c>
      <c r="I29" s="32">
        <v>8891.5254237288136</v>
      </c>
      <c r="J29" s="32">
        <v>-7895.1219512195121</v>
      </c>
      <c r="K29" s="31">
        <v>0.15384615384615385</v>
      </c>
      <c r="L29" s="31">
        <v>0.2544642857142857</v>
      </c>
      <c r="M29" s="31">
        <v>0.22321428571428573</v>
      </c>
      <c r="N29" s="31">
        <v>0.42105263157894735</v>
      </c>
      <c r="O29" s="31">
        <v>0.38</v>
      </c>
      <c r="P29" s="31">
        <v>0.4576271186440678</v>
      </c>
    </row>
    <row r="30" spans="1:16" x14ac:dyDescent="0.4">
      <c r="A30" s="33">
        <v>27</v>
      </c>
      <c r="B30" s="30">
        <v>-32.300000000000011</v>
      </c>
      <c r="C30" s="30">
        <v>-1.1962962962962966</v>
      </c>
      <c r="D30" s="35">
        <v>2</v>
      </c>
      <c r="E30" s="31">
        <v>0.33333333333333331</v>
      </c>
      <c r="F30" s="31">
        <v>0.33333333333333331</v>
      </c>
      <c r="G30" s="31">
        <v>0.27038626609442062</v>
      </c>
      <c r="H30" s="31">
        <v>0.18025751072961374</v>
      </c>
      <c r="I30" s="32">
        <v>9088.8888888888887</v>
      </c>
      <c r="J30" s="32">
        <v>-7897.6190476190477</v>
      </c>
      <c r="K30" s="31">
        <v>0.14814814814814814</v>
      </c>
      <c r="L30" s="31">
        <v>0.26180257510729615</v>
      </c>
      <c r="M30" s="31">
        <v>0.21888412017167383</v>
      </c>
      <c r="N30" s="31">
        <v>0.44262295081967212</v>
      </c>
      <c r="O30" s="31">
        <v>0.37254901960784315</v>
      </c>
      <c r="P30" s="31">
        <v>0.47619047619047616</v>
      </c>
    </row>
    <row r="31" spans="1:16" x14ac:dyDescent="0.4">
      <c r="A31" s="33">
        <v>28</v>
      </c>
      <c r="B31" s="30">
        <v>-67.100000000000009</v>
      </c>
      <c r="C31" s="30">
        <v>-2.3964285714285718</v>
      </c>
      <c r="D31" s="35">
        <v>2.0357142857142856</v>
      </c>
      <c r="E31" s="31">
        <v>0.32142857142857145</v>
      </c>
      <c r="F31" s="31">
        <v>0.35714285714285715</v>
      </c>
      <c r="G31" s="31">
        <v>0.26938775510204083</v>
      </c>
      <c r="H31" s="31">
        <v>0.18775510204081633</v>
      </c>
      <c r="I31" s="32">
        <v>8972.7272727272721</v>
      </c>
      <c r="J31" s="32">
        <v>-7832.608695652174</v>
      </c>
      <c r="K31" s="31">
        <v>0.14285714285714285</v>
      </c>
      <c r="L31" s="31">
        <v>0.2530612244897959</v>
      </c>
      <c r="M31" s="31">
        <v>0.20816326530612245</v>
      </c>
      <c r="N31" s="31">
        <v>0.45161290322580644</v>
      </c>
      <c r="O31" s="31">
        <v>0.37254901960784315</v>
      </c>
      <c r="P31" s="31">
        <v>0.45454545454545453</v>
      </c>
    </row>
    <row r="32" spans="1:16" x14ac:dyDescent="0.4">
      <c r="A32" s="33">
        <v>29</v>
      </c>
      <c r="B32" s="30">
        <v>-63.70000000000001</v>
      </c>
      <c r="C32" s="30">
        <v>-2.1965517241379313</v>
      </c>
      <c r="D32" s="35">
        <v>2.0344827586206895</v>
      </c>
      <c r="E32" s="31">
        <v>0.31034482758620691</v>
      </c>
      <c r="F32" s="31">
        <v>0.34482758620689657</v>
      </c>
      <c r="G32" s="31">
        <v>0.26984126984126983</v>
      </c>
      <c r="H32" s="31">
        <v>0.18650793650793651</v>
      </c>
      <c r="I32" s="32">
        <v>8863.2352941176468</v>
      </c>
      <c r="J32" s="32">
        <v>-7836.1702127659573</v>
      </c>
      <c r="K32" s="31">
        <v>0.13793103448275862</v>
      </c>
      <c r="L32" s="31">
        <v>0.25</v>
      </c>
      <c r="M32" s="31">
        <v>0.21031746031746032</v>
      </c>
      <c r="N32" s="31">
        <v>0.46031746031746029</v>
      </c>
      <c r="O32" s="31">
        <v>0.35849056603773582</v>
      </c>
      <c r="P32" s="31">
        <v>0.47058823529411764</v>
      </c>
    </row>
    <row r="33" spans="1:16" x14ac:dyDescent="0.4">
      <c r="A33" s="33">
        <v>30</v>
      </c>
      <c r="B33" s="30">
        <v>-76.000000000000014</v>
      </c>
      <c r="C33" s="30">
        <v>-2.5333333333333337</v>
      </c>
      <c r="D33" s="35">
        <v>2.0333333333333332</v>
      </c>
      <c r="E33" s="31">
        <v>0.3</v>
      </c>
      <c r="F33" s="31">
        <v>0.33333333333333331</v>
      </c>
      <c r="G33" s="31">
        <v>0.26640926640926643</v>
      </c>
      <c r="H33" s="31">
        <v>0.18532818532818532</v>
      </c>
      <c r="I33" s="32">
        <v>8752.173913043478</v>
      </c>
      <c r="J33" s="32">
        <v>-7839.583333333333</v>
      </c>
      <c r="K33" s="31">
        <v>0.13333333333333333</v>
      </c>
      <c r="L33" s="31">
        <v>0.24324324324324326</v>
      </c>
      <c r="M33" s="31">
        <v>0.21235521235521235</v>
      </c>
      <c r="N33" s="31">
        <v>0.46031746031746029</v>
      </c>
      <c r="O33" s="31">
        <v>0.36363636363636365</v>
      </c>
      <c r="P33" s="31">
        <v>0.47826086956521741</v>
      </c>
    </row>
    <row r="34" spans="1:16" x14ac:dyDescent="0.4">
      <c r="A34" s="33">
        <v>31</v>
      </c>
      <c r="B34" s="30">
        <v>-92.600000000000023</v>
      </c>
      <c r="C34" s="30">
        <v>-2.987096774193549</v>
      </c>
      <c r="D34" s="35">
        <v>2.064516129032258</v>
      </c>
      <c r="E34" s="31">
        <v>0.29032258064516131</v>
      </c>
      <c r="F34" s="31">
        <v>0.35483870967741937</v>
      </c>
      <c r="G34" s="31">
        <v>0.26865671641791045</v>
      </c>
      <c r="H34" s="31">
        <v>0.18656716417910449</v>
      </c>
      <c r="I34" s="32">
        <v>8563.8888888888887</v>
      </c>
      <c r="J34" s="32">
        <v>-7912</v>
      </c>
      <c r="K34" s="31">
        <v>0.12903225806451613</v>
      </c>
      <c r="L34" s="31">
        <v>0.2462686567164179</v>
      </c>
      <c r="M34" s="31">
        <v>0.21268656716417911</v>
      </c>
      <c r="N34" s="31">
        <v>0.46969696969696972</v>
      </c>
      <c r="O34" s="31">
        <v>0.35087719298245612</v>
      </c>
      <c r="P34" s="31">
        <v>0.47222222222222221</v>
      </c>
    </row>
    <row r="35" spans="1:16" x14ac:dyDescent="0.4">
      <c r="A35" s="33">
        <v>32</v>
      </c>
      <c r="B35" s="30">
        <v>-41.700000000000024</v>
      </c>
      <c r="C35" s="30">
        <v>-1.3031250000000008</v>
      </c>
      <c r="D35" s="35">
        <v>2.03125</v>
      </c>
      <c r="E35" s="31">
        <v>0.3125</v>
      </c>
      <c r="F35" s="31">
        <v>0.34375</v>
      </c>
      <c r="G35" s="31">
        <v>0.27636363636363637</v>
      </c>
      <c r="H35" s="31">
        <v>0.18181818181818182</v>
      </c>
      <c r="I35" s="32">
        <v>8677.6315789473683</v>
      </c>
      <c r="J35" s="32">
        <v>-7912</v>
      </c>
      <c r="K35" s="31">
        <v>0.125</v>
      </c>
      <c r="L35" s="31">
        <v>0.24727272727272728</v>
      </c>
      <c r="M35" s="31">
        <v>0.21454545454545454</v>
      </c>
      <c r="N35" s="31">
        <v>0.48529411764705882</v>
      </c>
      <c r="O35" s="31">
        <v>0.3559322033898305</v>
      </c>
      <c r="P35" s="31">
        <v>0.46052631578947367</v>
      </c>
    </row>
    <row r="36" spans="1:16" x14ac:dyDescent="0.4">
      <c r="A36" s="33">
        <v>33</v>
      </c>
      <c r="B36" s="30">
        <v>-37.200000000000024</v>
      </c>
      <c r="C36" s="30">
        <v>-1.1272727272727281</v>
      </c>
      <c r="D36" s="35">
        <v>2.0303030303030303</v>
      </c>
      <c r="E36" s="31">
        <v>0.30303030303030304</v>
      </c>
      <c r="F36" s="31">
        <v>0.33333333333333331</v>
      </c>
      <c r="G36" s="31">
        <v>0.2762237762237762</v>
      </c>
      <c r="H36" s="31">
        <v>0.17482517482517482</v>
      </c>
      <c r="I36" s="32">
        <v>8646.835443037975</v>
      </c>
      <c r="J36" s="32">
        <v>-7912</v>
      </c>
      <c r="K36" s="31">
        <v>0.12121212121212122</v>
      </c>
      <c r="L36" s="31">
        <v>0.24125874125874125</v>
      </c>
      <c r="M36" s="31">
        <v>0.23426573426573427</v>
      </c>
      <c r="N36" s="31">
        <v>0.47826086956521741</v>
      </c>
      <c r="O36" s="31">
        <v>0.35820895522388058</v>
      </c>
      <c r="P36" s="31">
        <v>0.46835443037974683</v>
      </c>
    </row>
    <row r="37" spans="1:16" x14ac:dyDescent="0.4">
      <c r="A37" s="33">
        <v>34</v>
      </c>
      <c r="B37" s="30">
        <v>-77.900000000000034</v>
      </c>
      <c r="C37" s="30">
        <v>-2.2911764705882365</v>
      </c>
      <c r="D37" s="35">
        <v>2.0588235294117645</v>
      </c>
      <c r="E37" s="31">
        <v>0.29411764705882354</v>
      </c>
      <c r="F37" s="31">
        <v>0.35294117647058826</v>
      </c>
      <c r="G37" s="31">
        <v>0.27303754266211605</v>
      </c>
      <c r="H37" s="31">
        <v>0.18088737201365188</v>
      </c>
      <c r="I37" s="32">
        <v>8558.75</v>
      </c>
      <c r="J37" s="32">
        <v>-7915.0943396226412</v>
      </c>
      <c r="K37" s="31">
        <v>0.11764705882352941</v>
      </c>
      <c r="L37" s="31">
        <v>0.23890784982935154</v>
      </c>
      <c r="M37" s="31">
        <v>0.23549488054607509</v>
      </c>
      <c r="N37" s="31">
        <v>0.47142857142857142</v>
      </c>
      <c r="O37" s="31">
        <v>0.36231884057971014</v>
      </c>
      <c r="P37" s="31">
        <v>0.47499999999999998</v>
      </c>
    </row>
    <row r="38" spans="1:16" x14ac:dyDescent="0.4">
      <c r="A38" s="33">
        <v>35</v>
      </c>
      <c r="B38" s="30">
        <v>-73.200000000000031</v>
      </c>
      <c r="C38" s="30">
        <v>-2.0914285714285725</v>
      </c>
      <c r="D38" s="35">
        <v>2.0571428571428569</v>
      </c>
      <c r="E38" s="31">
        <v>0.2857142857142857</v>
      </c>
      <c r="F38" s="31">
        <v>0.34285714285714286</v>
      </c>
      <c r="G38" s="31">
        <v>0.27540983606557379</v>
      </c>
      <c r="H38" s="31">
        <v>0.18688524590163935</v>
      </c>
      <c r="I38" s="32">
        <v>8515.4761904761908</v>
      </c>
      <c r="J38" s="32">
        <v>-7896.4912280701756</v>
      </c>
      <c r="K38" s="31">
        <v>0.11428571428571428</v>
      </c>
      <c r="L38" s="31">
        <v>0.24262295081967214</v>
      </c>
      <c r="M38" s="31">
        <v>0.23606557377049181</v>
      </c>
      <c r="N38" s="31">
        <v>0.47297297297297297</v>
      </c>
      <c r="O38" s="31">
        <v>0.3611111111111111</v>
      </c>
      <c r="P38" s="31">
        <v>0.4642857142857143</v>
      </c>
    </row>
    <row r="39" spans="1:16" x14ac:dyDescent="0.4">
      <c r="A39" s="33">
        <v>36</v>
      </c>
      <c r="B39" s="30">
        <v>-91.000000000000028</v>
      </c>
      <c r="C39" s="30">
        <v>-2.5277777777777786</v>
      </c>
      <c r="D39" s="35">
        <v>2.0833333333333335</v>
      </c>
      <c r="E39" s="31">
        <v>0.27777777777777779</v>
      </c>
      <c r="F39" s="31">
        <v>0.3611111111111111</v>
      </c>
      <c r="G39" s="31">
        <v>0.27156549520766771</v>
      </c>
      <c r="H39" s="31">
        <v>0.18849840255591055</v>
      </c>
      <c r="I39" s="32">
        <v>8603.5294117647063</v>
      </c>
      <c r="J39" s="32">
        <v>-7930.5084745762715</v>
      </c>
      <c r="K39" s="31">
        <v>0.1111111111111111</v>
      </c>
      <c r="L39" s="31">
        <v>0.24920127795527156</v>
      </c>
      <c r="M39" s="31">
        <v>0.23961661341853036</v>
      </c>
      <c r="N39" s="31">
        <v>0.46153846153846156</v>
      </c>
      <c r="O39" s="31">
        <v>0.34666666666666668</v>
      </c>
      <c r="P39" s="31">
        <v>0.45882352941176469</v>
      </c>
    </row>
    <row r="40" spans="1:16" x14ac:dyDescent="0.4">
      <c r="A40" s="33">
        <v>37</v>
      </c>
      <c r="B40" s="30">
        <v>-85.900000000000034</v>
      </c>
      <c r="C40" s="30">
        <v>-2.3216216216216226</v>
      </c>
      <c r="D40" s="35">
        <v>2.0810810810810811</v>
      </c>
      <c r="E40" s="31">
        <v>0.27027027027027029</v>
      </c>
      <c r="F40" s="31">
        <v>0.35135135135135137</v>
      </c>
      <c r="G40" s="31">
        <v>0.27414330218068533</v>
      </c>
      <c r="H40" s="31">
        <v>0.18691588785046728</v>
      </c>
      <c r="I40" s="32">
        <v>8673.863636363636</v>
      </c>
      <c r="J40" s="32">
        <v>-7926.666666666667</v>
      </c>
      <c r="K40" s="31">
        <v>0.10810810810810811</v>
      </c>
      <c r="L40" s="31">
        <v>0.25233644859813081</v>
      </c>
      <c r="M40" s="31">
        <v>0.2367601246105919</v>
      </c>
      <c r="N40" s="31">
        <v>0.4567901234567901</v>
      </c>
      <c r="O40" s="31">
        <v>0.35526315789473684</v>
      </c>
      <c r="P40" s="31">
        <v>0.45454545454545453</v>
      </c>
    </row>
    <row r="41" spans="1:16" x14ac:dyDescent="0.4">
      <c r="A41" s="33">
        <v>38</v>
      </c>
      <c r="B41" s="30">
        <v>-74.900000000000034</v>
      </c>
      <c r="C41" s="30">
        <v>-1.9710526315789483</v>
      </c>
      <c r="D41" s="35">
        <v>2.0526315789473686</v>
      </c>
      <c r="E41" s="31">
        <v>0.28947368421052633</v>
      </c>
      <c r="F41" s="31">
        <v>0.34210526315789475</v>
      </c>
      <c r="G41" s="31">
        <v>0.27272727272727271</v>
      </c>
      <c r="H41" s="31">
        <v>0.18181818181818182</v>
      </c>
      <c r="I41" s="32">
        <v>8678.8888888888887</v>
      </c>
      <c r="J41" s="32">
        <v>-7926.666666666667</v>
      </c>
      <c r="K41" s="31">
        <v>0.10526315789473684</v>
      </c>
      <c r="L41" s="31">
        <v>0.24848484848484848</v>
      </c>
      <c r="M41" s="31">
        <v>0.24242424242424243</v>
      </c>
      <c r="N41" s="31">
        <v>0.46341463414634149</v>
      </c>
      <c r="O41" s="31">
        <v>0.35</v>
      </c>
      <c r="P41" s="31">
        <v>0.45555555555555555</v>
      </c>
    </row>
    <row r="42" spans="1:16" x14ac:dyDescent="0.4">
      <c r="A42" s="33">
        <v>39</v>
      </c>
      <c r="B42" s="30">
        <v>-120.20000000000003</v>
      </c>
      <c r="C42" s="30">
        <v>-3.0820512820512826</v>
      </c>
      <c r="D42" s="35">
        <v>2.0769230769230771</v>
      </c>
      <c r="E42" s="31">
        <v>0.28205128205128205</v>
      </c>
      <c r="F42" s="31">
        <v>0.35897435897435898</v>
      </c>
      <c r="G42" s="31">
        <v>0.27164179104477609</v>
      </c>
      <c r="H42" s="31">
        <v>0.18507462686567164</v>
      </c>
      <c r="I42" s="32">
        <v>8671.4285714285706</v>
      </c>
      <c r="J42" s="32">
        <v>-8238.7096774193542</v>
      </c>
      <c r="K42" s="31">
        <v>0.12820512820512819</v>
      </c>
      <c r="L42" s="31">
        <v>0.24776119402985075</v>
      </c>
      <c r="M42" s="31">
        <v>0.2417910447761194</v>
      </c>
      <c r="N42" s="31">
        <v>0.46987951807228917</v>
      </c>
      <c r="O42" s="31">
        <v>0.34567901234567899</v>
      </c>
      <c r="P42" s="31">
        <v>0.46153846153846156</v>
      </c>
    </row>
    <row r="43" spans="1:16" x14ac:dyDescent="0.4">
      <c r="A43" s="33">
        <v>40</v>
      </c>
      <c r="B43" s="30">
        <v>-119.50000000000003</v>
      </c>
      <c r="C43" s="30">
        <v>-2.9875000000000007</v>
      </c>
      <c r="D43" s="35">
        <v>2.0750000000000002</v>
      </c>
      <c r="E43" s="31">
        <v>0.27500000000000002</v>
      </c>
      <c r="F43" s="31">
        <v>0.35</v>
      </c>
      <c r="G43" s="31">
        <v>0.27192982456140352</v>
      </c>
      <c r="H43" s="31">
        <v>0.1871345029239766</v>
      </c>
      <c r="I43" s="32">
        <v>8669.8924731182797</v>
      </c>
      <c r="J43" s="32">
        <v>-8137.5</v>
      </c>
      <c r="K43" s="31">
        <v>0.125</v>
      </c>
      <c r="L43" s="31">
        <v>0.25146198830409355</v>
      </c>
      <c r="M43" s="31">
        <v>0.23976608187134502</v>
      </c>
      <c r="N43" s="31">
        <v>0.46511627906976744</v>
      </c>
      <c r="O43" s="31">
        <v>0.34146341463414637</v>
      </c>
      <c r="P43" s="31">
        <v>0.45161290322580644</v>
      </c>
    </row>
    <row r="44" spans="1:16" x14ac:dyDescent="0.4">
      <c r="A44" s="33">
        <v>41</v>
      </c>
      <c r="B44" s="30">
        <v>-150.20000000000002</v>
      </c>
      <c r="C44" s="30">
        <v>-3.6634146341463421</v>
      </c>
      <c r="D44" s="35">
        <v>2.0975609756097562</v>
      </c>
      <c r="E44" s="31">
        <v>0.26829268292682928</v>
      </c>
      <c r="F44" s="31">
        <v>0.36585365853658536</v>
      </c>
      <c r="G44" s="31">
        <v>0.26857142857142857</v>
      </c>
      <c r="H44" s="31">
        <v>0.18857142857142858</v>
      </c>
      <c r="I44" s="32">
        <v>8634.0425531914898</v>
      </c>
      <c r="J44" s="32">
        <v>-8066.666666666667</v>
      </c>
      <c r="K44" s="31">
        <v>0.12195121951219512</v>
      </c>
      <c r="L44" s="31">
        <v>0.25428571428571428</v>
      </c>
      <c r="M44" s="31">
        <v>0.24</v>
      </c>
      <c r="N44" s="31">
        <v>0.4606741573033708</v>
      </c>
      <c r="O44" s="31">
        <v>0.33333333333333331</v>
      </c>
      <c r="P44" s="31">
        <v>0.45744680851063829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C9BAC-B66F-4047-B862-36CADDFFAE5E}">
  <sheetPr codeName="Sheet8"/>
  <dimension ref="A1:Q8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126</v>
      </c>
      <c r="B1" s="34" t="s">
        <v>126</v>
      </c>
      <c r="C1" s="34" t="s">
        <v>126</v>
      </c>
      <c r="D1" s="35" t="s">
        <v>126</v>
      </c>
      <c r="E1" s="34" t="s">
        <v>126</v>
      </c>
      <c r="F1" s="34" t="s">
        <v>126</v>
      </c>
      <c r="G1" s="34" t="s">
        <v>126</v>
      </c>
      <c r="H1" s="34" t="s">
        <v>126</v>
      </c>
      <c r="I1" s="34" t="s">
        <v>126</v>
      </c>
      <c r="J1" s="34" t="s">
        <v>126</v>
      </c>
      <c r="K1" s="34" t="s">
        <v>126</v>
      </c>
      <c r="L1" s="34" t="s">
        <v>126</v>
      </c>
      <c r="M1" s="34" t="s">
        <v>126</v>
      </c>
      <c r="N1" s="34" t="s">
        <v>126</v>
      </c>
      <c r="O1" s="34" t="s">
        <v>126</v>
      </c>
      <c r="P1" s="34" t="s">
        <v>126</v>
      </c>
      <c r="Q1" s="34" t="s">
        <v>126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20.9</v>
      </c>
      <c r="C4" s="30">
        <v>20.9</v>
      </c>
      <c r="D4" s="35">
        <v>1</v>
      </c>
      <c r="E4" s="31">
        <v>1</v>
      </c>
      <c r="F4" s="31">
        <v>0</v>
      </c>
      <c r="G4" s="31">
        <v>0.33333333333333331</v>
      </c>
      <c r="H4" s="31">
        <v>0.1111111111111111</v>
      </c>
      <c r="I4" s="32">
        <v>10666.666666666666</v>
      </c>
      <c r="J4" s="32">
        <v>-3900</v>
      </c>
      <c r="K4" s="31">
        <v>0</v>
      </c>
      <c r="L4" s="31">
        <v>0.22222222222222221</v>
      </c>
      <c r="M4" s="31">
        <v>0.22222222222222221</v>
      </c>
      <c r="N4" s="31">
        <v>0.5</v>
      </c>
      <c r="O4" s="31">
        <v>0.5</v>
      </c>
      <c r="P4" s="31">
        <v>0.66666666666666663</v>
      </c>
    </row>
    <row r="5" spans="1:17" x14ac:dyDescent="0.4">
      <c r="A5" s="33">
        <v>2</v>
      </c>
      <c r="B5" s="30">
        <v>62.5</v>
      </c>
      <c r="C5" s="30">
        <v>31.25</v>
      </c>
      <c r="D5" s="35">
        <v>1</v>
      </c>
      <c r="E5" s="31">
        <v>1</v>
      </c>
      <c r="F5" s="31">
        <v>0</v>
      </c>
      <c r="G5" s="31">
        <v>0.35294117647058826</v>
      </c>
      <c r="H5" s="31">
        <v>0.17647058823529413</v>
      </c>
      <c r="I5" s="32">
        <v>14266.666666666666</v>
      </c>
      <c r="J5" s="32">
        <v>-5966.666666666667</v>
      </c>
      <c r="K5" s="31">
        <v>0</v>
      </c>
      <c r="L5" s="31">
        <v>0.17647058823529413</v>
      </c>
      <c r="M5" s="31">
        <v>0.35294117647058826</v>
      </c>
      <c r="N5" s="31">
        <v>0.33333333333333331</v>
      </c>
      <c r="O5" s="31">
        <v>0.5</v>
      </c>
      <c r="P5" s="31">
        <v>0.66666666666666663</v>
      </c>
    </row>
    <row r="6" spans="1:17" x14ac:dyDescent="0.4">
      <c r="A6" s="33">
        <v>3</v>
      </c>
      <c r="B6" s="30">
        <v>40.5</v>
      </c>
      <c r="C6" s="30">
        <v>13.5</v>
      </c>
      <c r="D6" s="35">
        <v>1.3333333333333333</v>
      </c>
      <c r="E6" s="31">
        <v>0.66666666666666663</v>
      </c>
      <c r="F6" s="31">
        <v>0</v>
      </c>
      <c r="G6" s="31">
        <v>0.25925925925925924</v>
      </c>
      <c r="H6" s="31">
        <v>0.1111111111111111</v>
      </c>
      <c r="I6" s="32">
        <v>12628.571428571429</v>
      </c>
      <c r="J6" s="32">
        <v>-5966.666666666667</v>
      </c>
      <c r="K6" s="31">
        <v>0</v>
      </c>
      <c r="L6" s="31">
        <v>0.25925925925925924</v>
      </c>
      <c r="M6" s="31">
        <v>0.22222222222222221</v>
      </c>
      <c r="N6" s="31">
        <v>0.2857142857142857</v>
      </c>
      <c r="O6" s="31">
        <v>0.5</v>
      </c>
      <c r="P6" s="31">
        <v>0.7142857142857143</v>
      </c>
    </row>
    <row r="7" spans="1:17" x14ac:dyDescent="0.4">
      <c r="A7" s="33">
        <v>4</v>
      </c>
      <c r="B7" s="30">
        <v>74.5</v>
      </c>
      <c r="C7" s="30">
        <v>18.625</v>
      </c>
      <c r="D7" s="35">
        <v>1.25</v>
      </c>
      <c r="E7" s="31">
        <v>0.75</v>
      </c>
      <c r="F7" s="31">
        <v>0</v>
      </c>
      <c r="G7" s="31">
        <v>0.30303030303030304</v>
      </c>
      <c r="H7" s="31">
        <v>0.12121212121212122</v>
      </c>
      <c r="I7" s="32">
        <v>11640</v>
      </c>
      <c r="J7" s="32">
        <v>-4975</v>
      </c>
      <c r="K7" s="31">
        <v>0</v>
      </c>
      <c r="L7" s="31">
        <v>0.27272727272727271</v>
      </c>
      <c r="M7" s="31">
        <v>0.21212121212121213</v>
      </c>
      <c r="N7" s="31">
        <v>0.44444444444444442</v>
      </c>
      <c r="O7" s="31">
        <v>0.42857142857142855</v>
      </c>
      <c r="P7" s="31">
        <v>0.8</v>
      </c>
    </row>
    <row r="8" spans="1:17" x14ac:dyDescent="0.4">
      <c r="A8" s="33">
        <v>5</v>
      </c>
      <c r="B8" s="30">
        <v>123.5</v>
      </c>
      <c r="C8" s="30">
        <v>24.7</v>
      </c>
      <c r="D8" s="35">
        <v>1.2</v>
      </c>
      <c r="E8" s="31">
        <v>0.8</v>
      </c>
      <c r="F8" s="31">
        <v>0</v>
      </c>
      <c r="G8" s="31">
        <v>0.34210526315789475</v>
      </c>
      <c r="H8" s="31">
        <v>0.10526315789473684</v>
      </c>
      <c r="I8" s="32">
        <v>11723.076923076924</v>
      </c>
      <c r="J8" s="32">
        <v>-4975</v>
      </c>
      <c r="K8" s="31">
        <v>0</v>
      </c>
      <c r="L8" s="31">
        <v>0.23684210526315788</v>
      </c>
      <c r="M8" s="31">
        <v>0.23684210526315788</v>
      </c>
      <c r="N8" s="31">
        <v>0.44444444444444442</v>
      </c>
      <c r="O8" s="31">
        <v>0.55555555555555558</v>
      </c>
      <c r="P8" s="31">
        <v>0.69230769230769229</v>
      </c>
    </row>
    <row r="9" spans="1:17" x14ac:dyDescent="0.4">
      <c r="A9" s="33">
        <v>6</v>
      </c>
      <c r="B9" s="30">
        <v>111.9</v>
      </c>
      <c r="C9" s="30">
        <v>18.650000000000002</v>
      </c>
      <c r="D9" s="35">
        <v>1.5</v>
      </c>
      <c r="E9" s="31">
        <v>0.66666666666666663</v>
      </c>
      <c r="F9" s="31">
        <v>0.16666666666666666</v>
      </c>
      <c r="G9" s="31">
        <v>0.30434782608695654</v>
      </c>
      <c r="H9" s="31">
        <v>0.15217391304347827</v>
      </c>
      <c r="I9" s="32">
        <v>11457.142857142857</v>
      </c>
      <c r="J9" s="32">
        <v>-4642.8571428571431</v>
      </c>
      <c r="K9" s="31">
        <v>0</v>
      </c>
      <c r="L9" s="31">
        <v>0.2391304347826087</v>
      </c>
      <c r="M9" s="31">
        <v>0.2391304347826087</v>
      </c>
      <c r="N9" s="31">
        <v>0.36363636363636365</v>
      </c>
      <c r="O9" s="31">
        <v>0.54545454545454541</v>
      </c>
      <c r="P9" s="31">
        <v>0.6428571428571429</v>
      </c>
    </row>
    <row r="10" spans="1:17" x14ac:dyDescent="0.4">
      <c r="A10" s="33">
        <v>7</v>
      </c>
      <c r="B10" s="30">
        <v>103.7</v>
      </c>
      <c r="C10" s="30">
        <v>14.814285714285715</v>
      </c>
      <c r="D10" s="35">
        <v>1.5714285714285714</v>
      </c>
      <c r="E10" s="31">
        <v>0.5714285714285714</v>
      </c>
      <c r="F10" s="31">
        <v>0.14285714285714285</v>
      </c>
      <c r="G10" s="31">
        <v>0.2982456140350877</v>
      </c>
      <c r="H10" s="31">
        <v>0.14035087719298245</v>
      </c>
      <c r="I10" s="32">
        <v>10476.470588235294</v>
      </c>
      <c r="J10" s="32">
        <v>-4550</v>
      </c>
      <c r="K10" s="31">
        <v>0</v>
      </c>
      <c r="L10" s="31">
        <v>0.22807017543859648</v>
      </c>
      <c r="M10" s="31">
        <v>0.22807017543859648</v>
      </c>
      <c r="N10" s="31">
        <v>0.38461538461538464</v>
      </c>
      <c r="O10" s="31">
        <v>0.61538461538461542</v>
      </c>
      <c r="P10" s="31">
        <v>0.70588235294117652</v>
      </c>
    </row>
    <row r="11" spans="1:17" x14ac:dyDescent="0.4">
      <c r="A11" s="33">
        <v>8</v>
      </c>
      <c r="B11" s="30">
        <v>140.6</v>
      </c>
      <c r="C11" s="30">
        <v>17.574999999999999</v>
      </c>
      <c r="D11" s="35">
        <v>1.5</v>
      </c>
      <c r="E11" s="31">
        <v>0.625</v>
      </c>
      <c r="F11" s="31">
        <v>0.125</v>
      </c>
      <c r="G11" s="31">
        <v>0.29411764705882354</v>
      </c>
      <c r="H11" s="31">
        <v>0.13235294117647059</v>
      </c>
      <c r="I11" s="32">
        <v>11005</v>
      </c>
      <c r="J11" s="32">
        <v>-5377.7777777777774</v>
      </c>
      <c r="K11" s="31">
        <v>0</v>
      </c>
      <c r="L11" s="31">
        <v>0.22058823529411764</v>
      </c>
      <c r="M11" s="31">
        <v>0.23529411764705882</v>
      </c>
      <c r="N11" s="31">
        <v>0.4</v>
      </c>
      <c r="O11" s="31">
        <v>0.5625</v>
      </c>
      <c r="P11" s="31">
        <v>0.7</v>
      </c>
    </row>
    <row r="12" spans="1:17" x14ac:dyDescent="0.4">
      <c r="A12" s="33">
        <v>9</v>
      </c>
      <c r="B12" s="30">
        <v>127.8</v>
      </c>
      <c r="C12" s="30">
        <v>14.2</v>
      </c>
      <c r="D12" s="35">
        <v>1.5555555555555556</v>
      </c>
      <c r="E12" s="31">
        <v>0.55555555555555558</v>
      </c>
      <c r="F12" s="31">
        <v>0.1111111111111111</v>
      </c>
      <c r="G12" s="31">
        <v>0.28000000000000003</v>
      </c>
      <c r="H12" s="31">
        <v>0.12</v>
      </c>
      <c r="I12" s="32">
        <v>10666.666666666666</v>
      </c>
      <c r="J12" s="32">
        <v>-5377.7777777777774</v>
      </c>
      <c r="K12" s="31">
        <v>0</v>
      </c>
      <c r="L12" s="31">
        <v>0.22666666666666666</v>
      </c>
      <c r="M12" s="31">
        <v>0.22666666666666666</v>
      </c>
      <c r="N12" s="31">
        <v>0.35294117647058826</v>
      </c>
      <c r="O12" s="31">
        <v>0.52941176470588236</v>
      </c>
      <c r="P12" s="31">
        <v>0.66666666666666663</v>
      </c>
    </row>
    <row r="13" spans="1:17" x14ac:dyDescent="0.4">
      <c r="A13" s="33">
        <v>10</v>
      </c>
      <c r="B13" s="30">
        <v>134.4</v>
      </c>
      <c r="C13" s="30">
        <v>13.440000000000001</v>
      </c>
      <c r="D13" s="35">
        <v>1.6</v>
      </c>
      <c r="E13" s="31">
        <v>0.5</v>
      </c>
      <c r="F13" s="31">
        <v>0.1</v>
      </c>
      <c r="G13" s="31">
        <v>0.28409090909090912</v>
      </c>
      <c r="H13" s="31">
        <v>0.125</v>
      </c>
      <c r="I13" s="32">
        <v>10080</v>
      </c>
      <c r="J13" s="32">
        <v>-5754.545454545455</v>
      </c>
      <c r="K13" s="31">
        <v>0</v>
      </c>
      <c r="L13" s="31">
        <v>0.22727272727272727</v>
      </c>
      <c r="M13" s="31">
        <v>0.25</v>
      </c>
      <c r="N13" s="31">
        <v>0.4</v>
      </c>
      <c r="O13" s="31">
        <v>0.5</v>
      </c>
      <c r="P13" s="31">
        <v>0.68</v>
      </c>
    </row>
    <row r="14" spans="1:17" x14ac:dyDescent="0.4">
      <c r="A14" s="33">
        <v>11</v>
      </c>
      <c r="B14" s="30">
        <v>212.4</v>
      </c>
      <c r="C14" s="30">
        <v>19.309090909090909</v>
      </c>
      <c r="D14" s="35">
        <v>1.5454545454545454</v>
      </c>
      <c r="E14" s="31">
        <v>0.54545454545454541</v>
      </c>
      <c r="F14" s="31">
        <v>9.0909090909090912E-2</v>
      </c>
      <c r="G14" s="31">
        <v>0.32978723404255317</v>
      </c>
      <c r="H14" s="31">
        <v>0.11702127659574468</v>
      </c>
      <c r="I14" s="32">
        <v>9967.7419354838712</v>
      </c>
      <c r="J14" s="32">
        <v>-5754.545454545455</v>
      </c>
      <c r="K14" s="31">
        <v>0</v>
      </c>
      <c r="L14" s="31">
        <v>0.24468085106382978</v>
      </c>
      <c r="M14" s="31">
        <v>0.25531914893617019</v>
      </c>
      <c r="N14" s="31">
        <v>0.47826086956521741</v>
      </c>
      <c r="O14" s="31">
        <v>0.54166666666666663</v>
      </c>
      <c r="P14" s="31">
        <v>0.64516129032258063</v>
      </c>
    </row>
    <row r="15" spans="1:17" x14ac:dyDescent="0.4">
      <c r="A15" s="33">
        <v>12</v>
      </c>
      <c r="B15" s="30">
        <v>239</v>
      </c>
      <c r="C15" s="30">
        <v>19.916666666666668</v>
      </c>
      <c r="D15" s="35">
        <v>1.5</v>
      </c>
      <c r="E15" s="31">
        <v>0.58333333333333337</v>
      </c>
      <c r="F15" s="31">
        <v>8.3333333333333329E-2</v>
      </c>
      <c r="G15" s="31">
        <v>0.34615384615384615</v>
      </c>
      <c r="H15" s="31">
        <v>0.125</v>
      </c>
      <c r="I15" s="32">
        <v>9775</v>
      </c>
      <c r="J15" s="32">
        <v>-6238.4615384615381</v>
      </c>
      <c r="K15" s="31">
        <v>0</v>
      </c>
      <c r="L15" s="31">
        <v>0.24038461538461539</v>
      </c>
      <c r="M15" s="31">
        <v>0.25961538461538464</v>
      </c>
      <c r="N15" s="31">
        <v>0.48</v>
      </c>
      <c r="O15" s="31">
        <v>0.55555555555555558</v>
      </c>
      <c r="P15" s="31">
        <v>0.61111111111111116</v>
      </c>
    </row>
    <row r="16" spans="1:17" x14ac:dyDescent="0.4">
      <c r="A16" s="33">
        <v>13</v>
      </c>
      <c r="B16" s="30">
        <v>236</v>
      </c>
      <c r="C16" s="30">
        <v>18.153846153846153</v>
      </c>
      <c r="D16" s="35">
        <v>1.5384615384615385</v>
      </c>
      <c r="E16" s="31">
        <v>0.53846153846153844</v>
      </c>
      <c r="F16" s="31">
        <v>7.6923076923076927E-2</v>
      </c>
      <c r="G16" s="31">
        <v>0.34234234234234234</v>
      </c>
      <c r="H16" s="31">
        <v>0.12612612612612611</v>
      </c>
      <c r="I16" s="32">
        <v>9778.9473684210534</v>
      </c>
      <c r="J16" s="32">
        <v>-6364.2857142857147</v>
      </c>
      <c r="K16" s="31">
        <v>0</v>
      </c>
      <c r="L16" s="31">
        <v>0.24324324324324326</v>
      </c>
      <c r="M16" s="31">
        <v>0.26126126126126126</v>
      </c>
      <c r="N16" s="31">
        <v>0.48148148148148145</v>
      </c>
      <c r="O16" s="31">
        <v>0.55172413793103448</v>
      </c>
      <c r="P16" s="31">
        <v>0.60526315789473684</v>
      </c>
    </row>
    <row r="17" spans="1:16" x14ac:dyDescent="0.4">
      <c r="A17" s="33">
        <v>14</v>
      </c>
      <c r="B17" s="30">
        <v>222</v>
      </c>
      <c r="C17" s="30">
        <v>15.857142857142858</v>
      </c>
      <c r="D17" s="35">
        <v>1.5714285714285714</v>
      </c>
      <c r="E17" s="31">
        <v>0.5</v>
      </c>
      <c r="F17" s="31">
        <v>7.1428571428571425E-2</v>
      </c>
      <c r="G17" s="31">
        <v>0.33050847457627119</v>
      </c>
      <c r="H17" s="31">
        <v>0.11864406779661017</v>
      </c>
      <c r="I17" s="32">
        <v>9589.7435897435898</v>
      </c>
      <c r="J17" s="32">
        <v>-6364.2857142857147</v>
      </c>
      <c r="K17" s="31">
        <v>0</v>
      </c>
      <c r="L17" s="31">
        <v>0.23728813559322035</v>
      </c>
      <c r="M17" s="31">
        <v>0.25423728813559321</v>
      </c>
      <c r="N17" s="31">
        <v>0.5</v>
      </c>
      <c r="O17" s="31">
        <v>0.53333333333333333</v>
      </c>
      <c r="P17" s="31">
        <v>0.58974358974358976</v>
      </c>
    </row>
    <row r="18" spans="1:16" x14ac:dyDescent="0.4">
      <c r="A18" s="33">
        <v>15</v>
      </c>
      <c r="B18" s="30">
        <v>190.9</v>
      </c>
      <c r="C18" s="30">
        <v>12.726666666666667</v>
      </c>
      <c r="D18" s="35">
        <v>1.6666666666666667</v>
      </c>
      <c r="E18" s="31">
        <v>0.46666666666666667</v>
      </c>
      <c r="F18" s="31">
        <v>0.13333333333333333</v>
      </c>
      <c r="G18" s="31">
        <v>0.34399999999999997</v>
      </c>
      <c r="H18" s="31">
        <v>0.12</v>
      </c>
      <c r="I18" s="32">
        <v>9148.8372093023263</v>
      </c>
      <c r="J18" s="32">
        <v>-7540</v>
      </c>
      <c r="K18" s="31">
        <v>0</v>
      </c>
      <c r="L18" s="31">
        <v>0.25600000000000001</v>
      </c>
      <c r="M18" s="31">
        <v>0.24</v>
      </c>
      <c r="N18" s="31">
        <v>0.53125</v>
      </c>
      <c r="O18" s="31">
        <v>0.53333333333333333</v>
      </c>
      <c r="P18" s="31">
        <v>0.53488372093023251</v>
      </c>
    </row>
    <row r="19" spans="1:16" x14ac:dyDescent="0.4">
      <c r="A19" s="33">
        <v>16</v>
      </c>
      <c r="B19" s="30">
        <v>164.20000000000002</v>
      </c>
      <c r="C19" s="30">
        <v>10.262500000000001</v>
      </c>
      <c r="D19" s="35">
        <v>1.75</v>
      </c>
      <c r="E19" s="31">
        <v>0.4375</v>
      </c>
      <c r="F19" s="31">
        <v>0.1875</v>
      </c>
      <c r="G19" s="31">
        <v>0.33587786259541985</v>
      </c>
      <c r="H19" s="31">
        <v>0.12977099236641221</v>
      </c>
      <c r="I19" s="32">
        <v>9059.0909090909099</v>
      </c>
      <c r="J19" s="32">
        <v>-7182.3529411764703</v>
      </c>
      <c r="K19" s="31">
        <v>0</v>
      </c>
      <c r="L19" s="31">
        <v>0.24427480916030533</v>
      </c>
      <c r="M19" s="31">
        <v>0.23664122137404581</v>
      </c>
      <c r="N19" s="31">
        <v>0.53125</v>
      </c>
      <c r="O19" s="31">
        <v>0.54838709677419351</v>
      </c>
      <c r="P19" s="31">
        <v>0.52272727272727271</v>
      </c>
    </row>
    <row r="20" spans="1:16" x14ac:dyDescent="0.4">
      <c r="A20" s="33">
        <v>17</v>
      </c>
      <c r="B20" s="30">
        <v>164.3</v>
      </c>
      <c r="C20" s="30">
        <v>9.6647058823529424</v>
      </c>
      <c r="D20" s="35">
        <v>1.7647058823529411</v>
      </c>
      <c r="E20" s="31">
        <v>0.41176470588235292</v>
      </c>
      <c r="F20" s="31">
        <v>0.17647058823529413</v>
      </c>
      <c r="G20" s="31">
        <v>0.33576642335766421</v>
      </c>
      <c r="H20" s="31">
        <v>0.13868613138686131</v>
      </c>
      <c r="I20" s="32">
        <v>9100</v>
      </c>
      <c r="J20" s="32">
        <v>-6736.8421052631575</v>
      </c>
      <c r="K20" s="31">
        <v>0</v>
      </c>
      <c r="L20" s="31">
        <v>0.25547445255474455</v>
      </c>
      <c r="M20" s="31">
        <v>0.23357664233576642</v>
      </c>
      <c r="N20" s="31">
        <v>0.51428571428571423</v>
      </c>
      <c r="O20" s="31">
        <v>0.53125</v>
      </c>
      <c r="P20" s="31">
        <v>0.5</v>
      </c>
    </row>
    <row r="21" spans="1:16" x14ac:dyDescent="0.4">
      <c r="A21" s="33">
        <v>18</v>
      </c>
      <c r="B21" s="30">
        <v>188.9</v>
      </c>
      <c r="C21" s="30">
        <v>10.494444444444445</v>
      </c>
      <c r="D21" s="35">
        <v>1.7222222222222223</v>
      </c>
      <c r="E21" s="31">
        <v>0.44444444444444442</v>
      </c>
      <c r="F21" s="31">
        <v>0.16666666666666666</v>
      </c>
      <c r="G21" s="31">
        <v>0.34228187919463088</v>
      </c>
      <c r="H21" s="31">
        <v>0.13422818791946309</v>
      </c>
      <c r="I21" s="32">
        <v>9135.2941176470595</v>
      </c>
      <c r="J21" s="32">
        <v>-6545</v>
      </c>
      <c r="K21" s="31">
        <v>0</v>
      </c>
      <c r="L21" s="31">
        <v>0.26845637583892618</v>
      </c>
      <c r="M21" s="31">
        <v>0.2348993288590604</v>
      </c>
      <c r="N21" s="31">
        <v>0.5</v>
      </c>
      <c r="O21" s="31">
        <v>0.54285714285714282</v>
      </c>
      <c r="P21" s="31">
        <v>0.52941176470588236</v>
      </c>
    </row>
    <row r="22" spans="1:16" x14ac:dyDescent="0.4">
      <c r="A22" s="33">
        <v>19</v>
      </c>
      <c r="B22" s="30">
        <v>174.6</v>
      </c>
      <c r="C22" s="30">
        <v>9.189473684210526</v>
      </c>
      <c r="D22" s="35">
        <v>1.7894736842105263</v>
      </c>
      <c r="E22" s="31">
        <v>0.42105263157894735</v>
      </c>
      <c r="F22" s="31">
        <v>0.21052631578947367</v>
      </c>
      <c r="G22" s="31">
        <v>0.34375</v>
      </c>
      <c r="H22" s="31">
        <v>0.13125000000000001</v>
      </c>
      <c r="I22" s="32">
        <v>8756.363636363636</v>
      </c>
      <c r="J22" s="32">
        <v>-6804.7619047619046</v>
      </c>
      <c r="K22" s="31">
        <v>0</v>
      </c>
      <c r="L22" s="31">
        <v>0.26874999999999999</v>
      </c>
      <c r="M22" s="31">
        <v>0.23125000000000001</v>
      </c>
      <c r="N22" s="31">
        <v>0.51162790697674421</v>
      </c>
      <c r="O22" s="31">
        <v>0.54054054054054057</v>
      </c>
      <c r="P22" s="31">
        <v>0.52727272727272723</v>
      </c>
    </row>
    <row r="23" spans="1:16" x14ac:dyDescent="0.4">
      <c r="A23" s="33">
        <v>20</v>
      </c>
      <c r="B23" s="30">
        <v>154.5</v>
      </c>
      <c r="C23" s="30">
        <v>7.7249999999999996</v>
      </c>
      <c r="D23" s="35">
        <v>1.85</v>
      </c>
      <c r="E23" s="31">
        <v>0.4</v>
      </c>
      <c r="F23" s="31">
        <v>0.25</v>
      </c>
      <c r="G23" s="31">
        <v>0.33734939759036142</v>
      </c>
      <c r="H23" s="31">
        <v>0.13855421686746988</v>
      </c>
      <c r="I23" s="32">
        <v>8669.6428571428569</v>
      </c>
      <c r="J23" s="32">
        <v>-6482.608695652174</v>
      </c>
      <c r="K23" s="31">
        <v>0</v>
      </c>
      <c r="L23" s="31">
        <v>0.27710843373493976</v>
      </c>
      <c r="M23" s="31">
        <v>0.22289156626506024</v>
      </c>
      <c r="N23" s="31">
        <v>0.5</v>
      </c>
      <c r="O23" s="31">
        <v>0.54054054054054057</v>
      </c>
      <c r="P23" s="31">
        <v>0.5178571428571429</v>
      </c>
    </row>
    <row r="24" spans="1:16" x14ac:dyDescent="0.4">
      <c r="A24" s="33">
        <v>21</v>
      </c>
      <c r="B24" s="30">
        <v>131</v>
      </c>
      <c r="C24" s="30">
        <v>6.2380952380952381</v>
      </c>
      <c r="D24" s="35">
        <v>1.9047619047619047</v>
      </c>
      <c r="E24" s="31">
        <v>0.38095238095238093</v>
      </c>
      <c r="F24" s="31">
        <v>0.2857142857142857</v>
      </c>
      <c r="G24" s="31">
        <v>0.33333333333333331</v>
      </c>
      <c r="H24" s="31">
        <v>0.14367816091954022</v>
      </c>
      <c r="I24" s="32">
        <v>8643.1034482758623</v>
      </c>
      <c r="J24" s="32">
        <v>-6684</v>
      </c>
      <c r="K24" s="31">
        <v>0</v>
      </c>
      <c r="L24" s="31">
        <v>0.27011494252873564</v>
      </c>
      <c r="M24" s="31">
        <v>0.22413793103448276</v>
      </c>
      <c r="N24" s="31">
        <v>0.48936170212765956</v>
      </c>
      <c r="O24" s="31">
        <v>0.5641025641025641</v>
      </c>
      <c r="P24" s="31">
        <v>0.51724137931034486</v>
      </c>
    </row>
    <row r="25" spans="1:16" x14ac:dyDescent="0.4">
      <c r="A25" s="33">
        <v>22</v>
      </c>
      <c r="B25" s="30">
        <v>106.3</v>
      </c>
      <c r="C25" s="30">
        <v>4.831818181818182</v>
      </c>
      <c r="D25" s="35">
        <v>1.9545454545454546</v>
      </c>
      <c r="E25" s="31">
        <v>0.36363636363636365</v>
      </c>
      <c r="F25" s="31">
        <v>0.31818181818181818</v>
      </c>
      <c r="G25" s="31">
        <v>0.32786885245901637</v>
      </c>
      <c r="H25" s="31">
        <v>0.14207650273224043</v>
      </c>
      <c r="I25" s="32">
        <v>8575</v>
      </c>
      <c r="J25" s="32">
        <v>-6888.4615384615381</v>
      </c>
      <c r="K25" s="31">
        <v>0</v>
      </c>
      <c r="L25" s="31">
        <v>0.26229508196721313</v>
      </c>
      <c r="M25" s="31">
        <v>0.21857923497267759</v>
      </c>
      <c r="N25" s="31">
        <v>0.5</v>
      </c>
      <c r="O25" s="31">
        <v>0.55000000000000004</v>
      </c>
      <c r="P25" s="31">
        <v>0.5</v>
      </c>
    </row>
    <row r="26" spans="1:16" x14ac:dyDescent="0.4">
      <c r="A26" s="33">
        <v>23</v>
      </c>
      <c r="B26" s="30">
        <v>119.39999999999999</v>
      </c>
      <c r="C26" s="30">
        <v>5.1913043478260867</v>
      </c>
      <c r="D26" s="35">
        <v>1.9565217391304348</v>
      </c>
      <c r="E26" s="31">
        <v>0.34782608695652173</v>
      </c>
      <c r="F26" s="31">
        <v>0.30434782608695654</v>
      </c>
      <c r="G26" s="31">
        <v>0.32460732984293195</v>
      </c>
      <c r="H26" s="31">
        <v>0.14136125654450263</v>
      </c>
      <c r="I26" s="32">
        <v>8750</v>
      </c>
      <c r="J26" s="32">
        <v>-7077.7777777777774</v>
      </c>
      <c r="K26" s="31">
        <v>0</v>
      </c>
      <c r="L26" s="31">
        <v>0.26178010471204188</v>
      </c>
      <c r="M26" s="31">
        <v>0.21989528795811519</v>
      </c>
      <c r="N26" s="31">
        <v>0.52</v>
      </c>
      <c r="O26" s="31">
        <v>0.52380952380952384</v>
      </c>
      <c r="P26" s="31">
        <v>0.5161290322580645</v>
      </c>
    </row>
    <row r="27" spans="1:16" x14ac:dyDescent="0.4">
      <c r="A27" s="33">
        <v>24</v>
      </c>
      <c r="B27" s="30">
        <v>111.19999999999999</v>
      </c>
      <c r="C27" s="30">
        <v>4.6333333333333329</v>
      </c>
      <c r="D27" s="35">
        <v>1.9583333333333333</v>
      </c>
      <c r="E27" s="31">
        <v>0.33333333333333331</v>
      </c>
      <c r="F27" s="31">
        <v>0.29166666666666669</v>
      </c>
      <c r="G27" s="31">
        <v>0.32</v>
      </c>
      <c r="H27" s="31">
        <v>0.14000000000000001</v>
      </c>
      <c r="I27" s="32">
        <v>8681.25</v>
      </c>
      <c r="J27" s="32">
        <v>-7253.5714285714284</v>
      </c>
      <c r="K27" s="31">
        <v>0</v>
      </c>
      <c r="L27" s="31">
        <v>0.26</v>
      </c>
      <c r="M27" s="31">
        <v>0.22</v>
      </c>
      <c r="N27" s="31">
        <v>0.5</v>
      </c>
      <c r="O27" s="31">
        <v>0.54545454545454541</v>
      </c>
      <c r="P27" s="31">
        <v>0.5</v>
      </c>
    </row>
    <row r="28" spans="1:16" x14ac:dyDescent="0.4">
      <c r="A28" s="33">
        <v>25</v>
      </c>
      <c r="B28" s="30">
        <v>157.69999999999999</v>
      </c>
      <c r="C28" s="30">
        <v>6.3079999999999998</v>
      </c>
      <c r="D28" s="35">
        <v>1.92</v>
      </c>
      <c r="E28" s="31">
        <v>0.36</v>
      </c>
      <c r="F28" s="31">
        <v>0.28000000000000003</v>
      </c>
      <c r="G28" s="31">
        <v>0.32524271844660196</v>
      </c>
      <c r="H28" s="31">
        <v>0.13592233009708737</v>
      </c>
      <c r="I28" s="32">
        <v>8859.7014925373132</v>
      </c>
      <c r="J28" s="32">
        <v>-7253.5714285714284</v>
      </c>
      <c r="K28" s="31">
        <v>0</v>
      </c>
      <c r="L28" s="31">
        <v>0.25728155339805825</v>
      </c>
      <c r="M28" s="31">
        <v>0.22815533980582525</v>
      </c>
      <c r="N28" s="31">
        <v>0.50943396226415094</v>
      </c>
      <c r="O28" s="31">
        <v>0.55319148936170215</v>
      </c>
      <c r="P28" s="31">
        <v>0.4925373134328358</v>
      </c>
    </row>
    <row r="29" spans="1:16" x14ac:dyDescent="0.4">
      <c r="A29" s="33">
        <v>26</v>
      </c>
      <c r="B29" s="30">
        <v>216.2</v>
      </c>
      <c r="C29" s="30">
        <v>8.3153846153846143</v>
      </c>
      <c r="D29" s="35">
        <v>1.8846153846153846</v>
      </c>
      <c r="E29" s="31">
        <v>0.38461538461538464</v>
      </c>
      <c r="F29" s="31">
        <v>0.26923076923076922</v>
      </c>
      <c r="G29" s="31">
        <v>0.33796296296296297</v>
      </c>
      <c r="H29" s="31">
        <v>0.14351851851851852</v>
      </c>
      <c r="I29" s="32">
        <v>8954.7945205479446</v>
      </c>
      <c r="J29" s="32">
        <v>-6893.5483870967746</v>
      </c>
      <c r="K29" s="31">
        <v>0</v>
      </c>
      <c r="L29" s="31">
        <v>0.25462962962962965</v>
      </c>
      <c r="M29" s="31">
        <v>0.22685185185185186</v>
      </c>
      <c r="N29" s="31">
        <v>0.52727272727272723</v>
      </c>
      <c r="O29" s="31">
        <v>0.5714285714285714</v>
      </c>
      <c r="P29" s="31">
        <v>0.49315068493150682</v>
      </c>
    </row>
    <row r="30" spans="1:16" x14ac:dyDescent="0.4">
      <c r="A30" s="33">
        <v>27</v>
      </c>
      <c r="B30" s="30">
        <v>200.6</v>
      </c>
      <c r="C30" s="30">
        <v>7.4296296296296296</v>
      </c>
      <c r="D30" s="35">
        <v>1.9259259259259258</v>
      </c>
      <c r="E30" s="31">
        <v>0.37037037037037035</v>
      </c>
      <c r="F30" s="31">
        <v>0.29629629629629628</v>
      </c>
      <c r="G30" s="31">
        <v>0.33035714285714285</v>
      </c>
      <c r="H30" s="31">
        <v>0.14285714285714285</v>
      </c>
      <c r="I30" s="32">
        <v>8995.9459459459467</v>
      </c>
      <c r="J30" s="32">
        <v>-6740.625</v>
      </c>
      <c r="K30" s="31">
        <v>0</v>
      </c>
      <c r="L30" s="31">
        <v>0.25</v>
      </c>
      <c r="M30" s="31">
        <v>0.22767857142857142</v>
      </c>
      <c r="N30" s="31">
        <v>0.5357142857142857</v>
      </c>
      <c r="O30" s="31">
        <v>0.5490196078431373</v>
      </c>
      <c r="P30" s="31">
        <v>0.5</v>
      </c>
    </row>
    <row r="31" spans="1:16" x14ac:dyDescent="0.4">
      <c r="A31" s="33">
        <v>28</v>
      </c>
      <c r="B31" s="30">
        <v>183.9</v>
      </c>
      <c r="C31" s="30">
        <v>6.5678571428571431</v>
      </c>
      <c r="D31" s="35">
        <v>1.9642857142857142</v>
      </c>
      <c r="E31" s="31">
        <v>0.35714285714285715</v>
      </c>
      <c r="F31" s="31">
        <v>0.32142857142857145</v>
      </c>
      <c r="G31" s="31">
        <v>0.32905982905982906</v>
      </c>
      <c r="H31" s="31">
        <v>0.15384615384615385</v>
      </c>
      <c r="I31" s="32">
        <v>8929.8701298701308</v>
      </c>
      <c r="J31" s="32">
        <v>-6702.7777777777774</v>
      </c>
      <c r="K31" s="31">
        <v>0</v>
      </c>
      <c r="L31" s="31">
        <v>0.25641025641025639</v>
      </c>
      <c r="M31" s="31">
        <v>0.23076923076923078</v>
      </c>
      <c r="N31" s="31">
        <v>0.51666666666666672</v>
      </c>
      <c r="O31" s="31">
        <v>0.55555555555555558</v>
      </c>
      <c r="P31" s="31">
        <v>0.4935064935064935</v>
      </c>
    </row>
    <row r="32" spans="1:16" x14ac:dyDescent="0.4">
      <c r="A32" s="33">
        <v>29</v>
      </c>
      <c r="B32" s="30">
        <v>179.3</v>
      </c>
      <c r="C32" s="30">
        <v>6.1827586206896559</v>
      </c>
      <c r="D32" s="35">
        <v>1.9655172413793103</v>
      </c>
      <c r="E32" s="31">
        <v>0.34482758620689657</v>
      </c>
      <c r="F32" s="31">
        <v>0.31034482758620691</v>
      </c>
      <c r="G32" s="31">
        <v>0.32365145228215769</v>
      </c>
      <c r="H32" s="31">
        <v>0.14937759336099585</v>
      </c>
      <c r="I32" s="32">
        <v>8882.0512820512813</v>
      </c>
      <c r="J32" s="32">
        <v>-6702.7777777777774</v>
      </c>
      <c r="K32" s="31">
        <v>0</v>
      </c>
      <c r="L32" s="31">
        <v>0.25311203319502074</v>
      </c>
      <c r="M32" s="31">
        <v>0.22406639004149378</v>
      </c>
      <c r="N32" s="31">
        <v>0.52459016393442626</v>
      </c>
      <c r="O32" s="31">
        <v>0.55555555555555558</v>
      </c>
      <c r="P32" s="31">
        <v>0.48717948717948717</v>
      </c>
    </row>
    <row r="33" spans="1:16" x14ac:dyDescent="0.4">
      <c r="A33" s="33">
        <v>30</v>
      </c>
      <c r="B33" s="30">
        <v>211.20000000000002</v>
      </c>
      <c r="C33" s="30">
        <v>7.0400000000000009</v>
      </c>
      <c r="D33" s="35">
        <v>1.9333333333333333</v>
      </c>
      <c r="E33" s="31">
        <v>0.36666666666666664</v>
      </c>
      <c r="F33" s="31">
        <v>0.3</v>
      </c>
      <c r="G33" s="31">
        <v>0.33200000000000002</v>
      </c>
      <c r="H33" s="31">
        <v>0.14799999999999999</v>
      </c>
      <c r="I33" s="32">
        <v>8654.2168674698787</v>
      </c>
      <c r="J33" s="32">
        <v>-6591.8918918918916</v>
      </c>
      <c r="K33" s="31">
        <v>0</v>
      </c>
      <c r="L33" s="31">
        <v>0.252</v>
      </c>
      <c r="M33" s="31">
        <v>0.22800000000000001</v>
      </c>
      <c r="N33" s="31">
        <v>0.53968253968253965</v>
      </c>
      <c r="O33" s="31">
        <v>0.54385964912280704</v>
      </c>
      <c r="P33" s="31">
        <v>0.48192771084337349</v>
      </c>
    </row>
    <row r="34" spans="1:16" x14ac:dyDescent="0.4">
      <c r="A34" s="33">
        <v>31</v>
      </c>
      <c r="B34" s="30">
        <v>213.3</v>
      </c>
      <c r="C34" s="30">
        <v>6.8806451612903228</v>
      </c>
      <c r="D34" s="35">
        <v>1.935483870967742</v>
      </c>
      <c r="E34" s="31">
        <v>0.35483870967741937</v>
      </c>
      <c r="F34" s="31">
        <v>0.29032258064516131</v>
      </c>
      <c r="G34" s="31">
        <v>0.33204633204633205</v>
      </c>
      <c r="H34" s="31">
        <v>0.14671814671814673</v>
      </c>
      <c r="I34" s="32">
        <v>8725.5813953488378</v>
      </c>
      <c r="J34" s="32">
        <v>-6628.9473684210525</v>
      </c>
      <c r="K34" s="31">
        <v>0</v>
      </c>
      <c r="L34" s="31">
        <v>0.25868725868725867</v>
      </c>
      <c r="M34" s="31">
        <v>0.22779922779922779</v>
      </c>
      <c r="N34" s="31">
        <v>0.55223880597014929</v>
      </c>
      <c r="O34" s="31">
        <v>0.52542372881355937</v>
      </c>
      <c r="P34" s="31">
        <v>0.48837209302325579</v>
      </c>
    </row>
    <row r="35" spans="1:16" x14ac:dyDescent="0.4">
      <c r="A35" s="33">
        <v>32</v>
      </c>
      <c r="B35" s="30">
        <v>163.60000000000002</v>
      </c>
      <c r="C35" s="30">
        <v>5.1125000000000007</v>
      </c>
      <c r="D35" s="35">
        <v>1.96875</v>
      </c>
      <c r="E35" s="31">
        <v>0.34375</v>
      </c>
      <c r="F35" s="31">
        <v>0.3125</v>
      </c>
      <c r="G35" s="31">
        <v>0.32330827067669171</v>
      </c>
      <c r="H35" s="31">
        <v>0.15413533834586465</v>
      </c>
      <c r="I35" s="32">
        <v>8725.5813953488378</v>
      </c>
      <c r="J35" s="32">
        <v>-6726.8292682926831</v>
      </c>
      <c r="K35" s="31">
        <v>3.125E-2</v>
      </c>
      <c r="L35" s="31">
        <v>0.25563909774436089</v>
      </c>
      <c r="M35" s="31">
        <v>0.22180451127819548</v>
      </c>
      <c r="N35" s="31">
        <v>0.54411764705882348</v>
      </c>
      <c r="O35" s="31">
        <v>0.52542372881355937</v>
      </c>
      <c r="P35" s="31">
        <v>0.48837209302325579</v>
      </c>
    </row>
    <row r="36" spans="1:16" x14ac:dyDescent="0.4">
      <c r="A36" s="33">
        <v>33</v>
      </c>
      <c r="B36" s="30">
        <v>162.60000000000002</v>
      </c>
      <c r="C36" s="30">
        <v>4.9272727272727277</v>
      </c>
      <c r="D36" s="35">
        <v>1.9696969696969697</v>
      </c>
      <c r="E36" s="31">
        <v>0.33333333333333331</v>
      </c>
      <c r="F36" s="31">
        <v>0.30303030303030304</v>
      </c>
      <c r="G36" s="31">
        <v>0.32222222222222224</v>
      </c>
      <c r="H36" s="31">
        <v>0.15185185185185185</v>
      </c>
      <c r="I36" s="32">
        <v>8763.2183908045972</v>
      </c>
      <c r="J36" s="32">
        <v>-6726.8292682926831</v>
      </c>
      <c r="K36" s="31">
        <v>3.0303030303030304E-2</v>
      </c>
      <c r="L36" s="31">
        <v>0.25555555555555554</v>
      </c>
      <c r="M36" s="31">
        <v>0.22222222222222221</v>
      </c>
      <c r="N36" s="31">
        <v>0.53623188405797106</v>
      </c>
      <c r="O36" s="31">
        <v>0.51666666666666672</v>
      </c>
      <c r="P36" s="31">
        <v>0.4942528735632184</v>
      </c>
    </row>
    <row r="37" spans="1:16" x14ac:dyDescent="0.4">
      <c r="A37" s="33">
        <v>34</v>
      </c>
      <c r="B37" s="30">
        <v>202.20000000000002</v>
      </c>
      <c r="C37" s="30">
        <v>5.947058823529412</v>
      </c>
      <c r="D37" s="35">
        <v>1.9411764705882353</v>
      </c>
      <c r="E37" s="31">
        <v>0.35294117647058826</v>
      </c>
      <c r="F37" s="31">
        <v>0.29411764705882354</v>
      </c>
      <c r="G37" s="31">
        <v>0.32500000000000001</v>
      </c>
      <c r="H37" s="31">
        <v>0.15357142857142858</v>
      </c>
      <c r="I37" s="32">
        <v>8880.2197802197807</v>
      </c>
      <c r="J37" s="32">
        <v>-6751.1627906976746</v>
      </c>
      <c r="K37" s="31">
        <v>2.9411764705882353E-2</v>
      </c>
      <c r="L37" s="31">
        <v>0.26071428571428573</v>
      </c>
      <c r="M37" s="31">
        <v>0.22857142857142856</v>
      </c>
      <c r="N37" s="31">
        <v>0.56164383561643838</v>
      </c>
      <c r="O37" s="31">
        <v>0.484375</v>
      </c>
      <c r="P37" s="31">
        <v>0.50549450549450547</v>
      </c>
    </row>
    <row r="38" spans="1:16" x14ac:dyDescent="0.4">
      <c r="A38" s="33">
        <v>35</v>
      </c>
      <c r="B38" s="30">
        <v>196.8</v>
      </c>
      <c r="C38" s="30">
        <v>5.6228571428571428</v>
      </c>
      <c r="D38" s="35">
        <v>1.9428571428571428</v>
      </c>
      <c r="E38" s="31">
        <v>0.34285714285714286</v>
      </c>
      <c r="F38" s="31">
        <v>0.2857142857142857</v>
      </c>
      <c r="G38" s="31">
        <v>0.32517482517482516</v>
      </c>
      <c r="H38" s="31">
        <v>0.16083916083916083</v>
      </c>
      <c r="I38" s="32">
        <v>8861.2903225806458</v>
      </c>
      <c r="J38" s="32">
        <v>-6536.95652173913</v>
      </c>
      <c r="K38" s="31">
        <v>2.8571428571428571E-2</v>
      </c>
      <c r="L38" s="31">
        <v>0.25874125874125875</v>
      </c>
      <c r="M38" s="31">
        <v>0.23076923076923078</v>
      </c>
      <c r="N38" s="31">
        <v>0.56756756756756754</v>
      </c>
      <c r="O38" s="31">
        <v>0.48484848484848486</v>
      </c>
      <c r="P38" s="31">
        <v>0.5053763440860215</v>
      </c>
    </row>
    <row r="39" spans="1:16" x14ac:dyDescent="0.4">
      <c r="A39" s="33">
        <v>36</v>
      </c>
      <c r="B39" s="30">
        <v>199.5</v>
      </c>
      <c r="C39" s="30">
        <v>5.541666666666667</v>
      </c>
      <c r="D39" s="35">
        <v>1.9444444444444444</v>
      </c>
      <c r="E39" s="31">
        <v>0.33333333333333331</v>
      </c>
      <c r="F39" s="31">
        <v>0.27777777777777779</v>
      </c>
      <c r="G39" s="31">
        <v>0.33105802047781568</v>
      </c>
      <c r="H39" s="31">
        <v>0.16382252559726962</v>
      </c>
      <c r="I39" s="32">
        <v>8650.5154639175253</v>
      </c>
      <c r="J39" s="32">
        <v>-6541.666666666667</v>
      </c>
      <c r="K39" s="31">
        <v>2.7777777777777776E-2</v>
      </c>
      <c r="L39" s="31">
        <v>0.25597269624573377</v>
      </c>
      <c r="M39" s="31">
        <v>0.23208191126279865</v>
      </c>
      <c r="N39" s="31">
        <v>0.57333333333333336</v>
      </c>
      <c r="O39" s="31">
        <v>0.48529411764705882</v>
      </c>
      <c r="P39" s="31">
        <v>0.49484536082474229</v>
      </c>
    </row>
    <row r="40" spans="1:16" x14ac:dyDescent="0.4">
      <c r="A40" s="33">
        <v>37</v>
      </c>
      <c r="B40" s="30">
        <v>162.6</v>
      </c>
      <c r="C40" s="30">
        <v>4.3945945945945946</v>
      </c>
      <c r="D40" s="35">
        <v>1.972972972972973</v>
      </c>
      <c r="E40" s="31">
        <v>0.32432432432432434</v>
      </c>
      <c r="F40" s="31">
        <v>0.29729729729729731</v>
      </c>
      <c r="G40" s="31">
        <v>0.32450331125827814</v>
      </c>
      <c r="H40" s="31">
        <v>0.16887417218543047</v>
      </c>
      <c r="I40" s="32">
        <v>8594.8979591836742</v>
      </c>
      <c r="J40" s="32">
        <v>-6562.7450980392159</v>
      </c>
      <c r="K40" s="31">
        <v>2.7027027027027029E-2</v>
      </c>
      <c r="L40" s="31">
        <v>0.25496688741721857</v>
      </c>
      <c r="M40" s="31">
        <v>0.2251655629139073</v>
      </c>
      <c r="N40" s="31">
        <v>0.5714285714285714</v>
      </c>
      <c r="O40" s="31">
        <v>0.48529411764705882</v>
      </c>
      <c r="P40" s="31">
        <v>0.48979591836734693</v>
      </c>
    </row>
    <row r="41" spans="1:16" x14ac:dyDescent="0.4">
      <c r="A41" s="33">
        <v>38</v>
      </c>
      <c r="B41" s="30">
        <v>116.89999999999999</v>
      </c>
      <c r="C41" s="30">
        <v>3.0763157894736839</v>
      </c>
      <c r="D41" s="35">
        <v>2</v>
      </c>
      <c r="E41" s="31">
        <v>0.31578947368421051</v>
      </c>
      <c r="F41" s="31">
        <v>0.31578947368421051</v>
      </c>
      <c r="G41" s="31">
        <v>0.31612903225806449</v>
      </c>
      <c r="H41" s="31">
        <v>0.17419354838709677</v>
      </c>
      <c r="I41" s="32">
        <v>8594.8979591836742</v>
      </c>
      <c r="J41" s="32">
        <v>-6344.4444444444443</v>
      </c>
      <c r="K41" s="31">
        <v>5.2631578947368418E-2</v>
      </c>
      <c r="L41" s="31">
        <v>0.24838709677419354</v>
      </c>
      <c r="M41" s="31">
        <v>0.22903225806451613</v>
      </c>
      <c r="N41" s="31">
        <v>0.5714285714285714</v>
      </c>
      <c r="O41" s="31">
        <v>0.46478873239436619</v>
      </c>
      <c r="P41" s="31">
        <v>0.48979591836734693</v>
      </c>
    </row>
    <row r="42" spans="1:16" x14ac:dyDescent="0.4">
      <c r="A42" s="33">
        <v>39</v>
      </c>
      <c r="B42" s="30">
        <v>89.299999999999983</v>
      </c>
      <c r="C42" s="30">
        <v>2.2897435897435892</v>
      </c>
      <c r="D42" s="35">
        <v>2.0256410256410255</v>
      </c>
      <c r="E42" s="31">
        <v>0.30769230769230771</v>
      </c>
      <c r="F42" s="31">
        <v>0.33333333333333331</v>
      </c>
      <c r="G42" s="31">
        <v>0.31347962382445144</v>
      </c>
      <c r="H42" s="31">
        <v>0.17554858934169279</v>
      </c>
      <c r="I42" s="32">
        <v>8583</v>
      </c>
      <c r="J42" s="32">
        <v>-6398.2142857142853</v>
      </c>
      <c r="K42" s="31">
        <v>5.128205128205128E-2</v>
      </c>
      <c r="L42" s="31">
        <v>0.2476489028213166</v>
      </c>
      <c r="M42" s="31">
        <v>0.22884012539184953</v>
      </c>
      <c r="N42" s="31">
        <v>0.58227848101265822</v>
      </c>
      <c r="O42" s="31">
        <v>0.45205479452054792</v>
      </c>
      <c r="P42" s="31">
        <v>0.49</v>
      </c>
    </row>
    <row r="43" spans="1:16" x14ac:dyDescent="0.4">
      <c r="A43" s="33">
        <v>40</v>
      </c>
      <c r="B43" s="30">
        <v>67.59999999999998</v>
      </c>
      <c r="C43" s="30">
        <v>1.6899999999999995</v>
      </c>
      <c r="D43" s="35">
        <v>2.0249999999999999</v>
      </c>
      <c r="E43" s="31">
        <v>0.3</v>
      </c>
      <c r="F43" s="31">
        <v>0.32500000000000001</v>
      </c>
      <c r="G43" s="31">
        <v>0.31269349845201239</v>
      </c>
      <c r="H43" s="31">
        <v>0.17337461300309598</v>
      </c>
      <c r="I43" s="32">
        <v>8536.6336633663359</v>
      </c>
      <c r="J43" s="32">
        <v>-6398.2142857142853</v>
      </c>
      <c r="K43" s="31">
        <v>0.05</v>
      </c>
      <c r="L43" s="31">
        <v>0.24458204334365324</v>
      </c>
      <c r="M43" s="31">
        <v>0.23529411764705882</v>
      </c>
      <c r="N43" s="31">
        <v>0.58227848101265822</v>
      </c>
      <c r="O43" s="31">
        <v>0.44736842105263158</v>
      </c>
      <c r="P43" s="31">
        <v>0.48514851485148514</v>
      </c>
    </row>
    <row r="44" spans="1:16" x14ac:dyDescent="0.4">
      <c r="A44" s="33">
        <v>41</v>
      </c>
      <c r="B44" s="30">
        <v>87.899999999999977</v>
      </c>
      <c r="C44" s="30">
        <v>2.1439024390243895</v>
      </c>
      <c r="D44" s="35">
        <v>2.024390243902439</v>
      </c>
      <c r="E44" s="31">
        <v>0.29268292682926828</v>
      </c>
      <c r="F44" s="31">
        <v>0.31707317073170732</v>
      </c>
      <c r="G44" s="31">
        <v>0.31325301204819278</v>
      </c>
      <c r="H44" s="31">
        <v>0.1716867469879518</v>
      </c>
      <c r="I44" s="32">
        <v>8609.6153846153848</v>
      </c>
      <c r="J44" s="32">
        <v>-6421.0526315789475</v>
      </c>
      <c r="K44" s="31">
        <v>4.878048780487805E-2</v>
      </c>
      <c r="L44" s="31">
        <v>0.25903614457831325</v>
      </c>
      <c r="M44" s="31">
        <v>0.2289156626506024</v>
      </c>
      <c r="N44" s="31">
        <v>0.56976744186046513</v>
      </c>
      <c r="O44" s="31">
        <v>0.44736842105263158</v>
      </c>
      <c r="P44" s="31">
        <v>0.47115384615384615</v>
      </c>
    </row>
    <row r="45" spans="1:16" x14ac:dyDescent="0.4">
      <c r="A45" s="33">
        <v>42</v>
      </c>
      <c r="B45" s="30">
        <v>66.899999999999977</v>
      </c>
      <c r="C45" s="30">
        <v>1.5928571428571423</v>
      </c>
      <c r="D45" s="35">
        <v>2.0238095238095237</v>
      </c>
      <c r="E45" s="31">
        <v>0.2857142857142857</v>
      </c>
      <c r="F45" s="31">
        <v>0.30952380952380953</v>
      </c>
      <c r="G45" s="31">
        <v>0.30724637681159422</v>
      </c>
      <c r="H45" s="31">
        <v>0.17101449275362318</v>
      </c>
      <c r="I45" s="32">
        <v>8598.1132075471705</v>
      </c>
      <c r="J45" s="32">
        <v>-6557.6271186440681</v>
      </c>
      <c r="K45" s="31">
        <v>4.7619047619047616E-2</v>
      </c>
      <c r="L45" s="31">
        <v>0.25507246376811593</v>
      </c>
      <c r="M45" s="31">
        <v>0.22898550724637681</v>
      </c>
      <c r="N45" s="31">
        <v>0.56818181818181823</v>
      </c>
      <c r="O45" s="31">
        <v>0.44303797468354428</v>
      </c>
      <c r="P45" s="31">
        <v>0.47169811320754718</v>
      </c>
    </row>
    <row r="46" spans="1:16" x14ac:dyDescent="0.4">
      <c r="A46" s="33">
        <v>43</v>
      </c>
      <c r="B46" s="30">
        <v>70.999999999999972</v>
      </c>
      <c r="C46" s="30">
        <v>1.6511627906976738</v>
      </c>
      <c r="D46" s="35">
        <v>2.0232558139534884</v>
      </c>
      <c r="E46" s="31">
        <v>0.27906976744186046</v>
      </c>
      <c r="F46" s="31">
        <v>0.30232558139534882</v>
      </c>
      <c r="G46" s="31">
        <v>0.30965909090909088</v>
      </c>
      <c r="H46" s="31">
        <v>0.17613636363636365</v>
      </c>
      <c r="I46" s="32">
        <v>8603.6697247706416</v>
      </c>
      <c r="J46" s="32">
        <v>-6527.4193548387093</v>
      </c>
      <c r="K46" s="31">
        <v>4.6511627906976744E-2</v>
      </c>
      <c r="L46" s="31">
        <v>0.25852272727272729</v>
      </c>
      <c r="M46" s="31">
        <v>0.22443181818181818</v>
      </c>
      <c r="N46" s="31">
        <v>0.5714285714285714</v>
      </c>
      <c r="O46" s="31">
        <v>0.44303797468354428</v>
      </c>
      <c r="P46" s="31">
        <v>0.46788990825688076</v>
      </c>
    </row>
    <row r="47" spans="1:16" x14ac:dyDescent="0.4">
      <c r="A47" s="33">
        <v>44</v>
      </c>
      <c r="B47" s="30">
        <v>117.99999999999997</v>
      </c>
      <c r="C47" s="30">
        <v>2.6818181818181812</v>
      </c>
      <c r="D47" s="35">
        <v>2</v>
      </c>
      <c r="E47" s="31">
        <v>0.29545454545454547</v>
      </c>
      <c r="F47" s="31">
        <v>0.29545454545454547</v>
      </c>
      <c r="G47" s="31">
        <v>0.3146067415730337</v>
      </c>
      <c r="H47" s="31">
        <v>0.17415730337078653</v>
      </c>
      <c r="I47" s="32">
        <v>8694.6428571428569</v>
      </c>
      <c r="J47" s="32">
        <v>-6527.4193548387093</v>
      </c>
      <c r="K47" s="31">
        <v>4.5454545454545456E-2</v>
      </c>
      <c r="L47" s="31">
        <v>0.25842696629213485</v>
      </c>
      <c r="M47" s="31">
        <v>0.22191011235955055</v>
      </c>
      <c r="N47" s="31">
        <v>0.57608695652173914</v>
      </c>
      <c r="O47" s="31">
        <v>0.44303797468354428</v>
      </c>
      <c r="P47" s="31">
        <v>0.4642857142857143</v>
      </c>
    </row>
    <row r="48" spans="1:16" x14ac:dyDescent="0.4">
      <c r="A48" s="33">
        <v>45</v>
      </c>
      <c r="B48" s="30">
        <v>151.99999999999997</v>
      </c>
      <c r="C48" s="30">
        <v>3.3777777777777773</v>
      </c>
      <c r="D48" s="35">
        <v>1.9777777777777779</v>
      </c>
      <c r="E48" s="31">
        <v>0.31111111111111112</v>
      </c>
      <c r="F48" s="31">
        <v>0.28888888888888886</v>
      </c>
      <c r="G48" s="31">
        <v>0.31506849315068491</v>
      </c>
      <c r="H48" s="31">
        <v>0.17260273972602741</v>
      </c>
      <c r="I48" s="32">
        <v>8762.608695652174</v>
      </c>
      <c r="J48" s="32">
        <v>-6449.2063492063489</v>
      </c>
      <c r="K48" s="31">
        <v>4.4444444444444446E-2</v>
      </c>
      <c r="L48" s="31">
        <v>0.25479452054794521</v>
      </c>
      <c r="M48" s="31">
        <v>0.22465753424657534</v>
      </c>
      <c r="N48" s="31">
        <v>0.56989247311827962</v>
      </c>
      <c r="O48" s="31">
        <v>0.45121951219512196</v>
      </c>
      <c r="P48" s="31">
        <v>0.46956521739130436</v>
      </c>
    </row>
    <row r="49" spans="1:16" x14ac:dyDescent="0.4">
      <c r="A49" s="33">
        <v>46</v>
      </c>
      <c r="B49" s="30">
        <v>124.69999999999997</v>
      </c>
      <c r="C49" s="30">
        <v>2.7108695652173909</v>
      </c>
      <c r="D49" s="35">
        <v>2</v>
      </c>
      <c r="E49" s="31">
        <v>0.30434782608695654</v>
      </c>
      <c r="F49" s="31">
        <v>0.30434782608695654</v>
      </c>
      <c r="G49" s="31">
        <v>0.31283422459893045</v>
      </c>
      <c r="H49" s="31">
        <v>0.17112299465240641</v>
      </c>
      <c r="I49" s="32">
        <v>8689.7435897435898</v>
      </c>
      <c r="J49" s="32">
        <v>-6498.4375</v>
      </c>
      <c r="K49" s="31">
        <v>4.3478260869565216E-2</v>
      </c>
      <c r="L49" s="31">
        <v>0.25401069518716579</v>
      </c>
      <c r="M49" s="31">
        <v>0.22459893048128343</v>
      </c>
      <c r="N49" s="31">
        <v>0.55789473684210522</v>
      </c>
      <c r="O49" s="31">
        <v>0.45238095238095238</v>
      </c>
      <c r="P49" s="31">
        <v>0.47008547008547008</v>
      </c>
    </row>
    <row r="50" spans="1:16" x14ac:dyDescent="0.4">
      <c r="A50" s="33">
        <v>47</v>
      </c>
      <c r="B50" s="30">
        <v>137.99999999999997</v>
      </c>
      <c r="C50" s="30">
        <v>2.936170212765957</v>
      </c>
      <c r="D50" s="35">
        <v>2</v>
      </c>
      <c r="E50" s="31">
        <v>0.2978723404255319</v>
      </c>
      <c r="F50" s="31">
        <v>0.2978723404255319</v>
      </c>
      <c r="G50" s="31">
        <v>0.31592689295039167</v>
      </c>
      <c r="H50" s="31">
        <v>0.17232375979112272</v>
      </c>
      <c r="I50" s="32">
        <v>8609.9173553719011</v>
      </c>
      <c r="J50" s="32">
        <v>-6442.424242424242</v>
      </c>
      <c r="K50" s="31">
        <v>4.2553191489361701E-2</v>
      </c>
      <c r="L50" s="31">
        <v>0.25587467362924282</v>
      </c>
      <c r="M50" s="31">
        <v>0.22454308093994779</v>
      </c>
      <c r="N50" s="31">
        <v>0.5714285714285714</v>
      </c>
      <c r="O50" s="31">
        <v>0.45348837209302323</v>
      </c>
      <c r="P50" s="31">
        <v>0.45454545454545453</v>
      </c>
    </row>
    <row r="51" spans="1:16" x14ac:dyDescent="0.4">
      <c r="A51" s="33">
        <v>48</v>
      </c>
      <c r="B51" s="30">
        <v>153.59999999999997</v>
      </c>
      <c r="C51" s="30">
        <v>3.1999999999999993</v>
      </c>
      <c r="D51" s="35">
        <v>2</v>
      </c>
      <c r="E51" s="31">
        <v>0.29166666666666669</v>
      </c>
      <c r="F51" s="31">
        <v>0.29166666666666669</v>
      </c>
      <c r="G51" s="31">
        <v>0.31738035264483627</v>
      </c>
      <c r="H51" s="31">
        <v>0.17632241813602015</v>
      </c>
      <c r="I51" s="32">
        <v>8609.5238095238092</v>
      </c>
      <c r="J51" s="32">
        <v>-6440</v>
      </c>
      <c r="K51" s="31">
        <v>4.1666666666666664E-2</v>
      </c>
      <c r="L51" s="31">
        <v>0.25440806045340053</v>
      </c>
      <c r="M51" s="31">
        <v>0.22418136020151133</v>
      </c>
      <c r="N51" s="31">
        <v>0.58415841584158412</v>
      </c>
      <c r="O51" s="31">
        <v>0.449438202247191</v>
      </c>
      <c r="P51" s="31">
        <v>0.44444444444444442</v>
      </c>
    </row>
    <row r="52" spans="1:16" x14ac:dyDescent="0.4">
      <c r="A52" s="33">
        <v>49</v>
      </c>
      <c r="B52" s="30">
        <v>106.09999999999997</v>
      </c>
      <c r="C52" s="30">
        <v>2.1653061224489787</v>
      </c>
      <c r="D52" s="35">
        <v>2.0204081632653059</v>
      </c>
      <c r="E52" s="31">
        <v>0.2857142857142857</v>
      </c>
      <c r="F52" s="31">
        <v>0.30612244897959184</v>
      </c>
      <c r="G52" s="31">
        <v>0.31034482758620691</v>
      </c>
      <c r="H52" s="31">
        <v>0.1748768472906404</v>
      </c>
      <c r="I52" s="32">
        <v>8609.5238095238092</v>
      </c>
      <c r="J52" s="32">
        <v>-6602.8169014084506</v>
      </c>
      <c r="K52" s="31">
        <v>6.1224489795918366E-2</v>
      </c>
      <c r="L52" s="31">
        <v>0.2536945812807882</v>
      </c>
      <c r="M52" s="31">
        <v>0.22167487684729065</v>
      </c>
      <c r="N52" s="31">
        <v>0.57281553398058249</v>
      </c>
      <c r="O52" s="31">
        <v>0.44444444444444442</v>
      </c>
      <c r="P52" s="31">
        <v>0.44444444444444442</v>
      </c>
    </row>
    <row r="53" spans="1:16" x14ac:dyDescent="0.4">
      <c r="A53" s="33">
        <v>50</v>
      </c>
      <c r="B53" s="30">
        <v>81.19999999999996</v>
      </c>
      <c r="C53" s="30">
        <v>1.6239999999999992</v>
      </c>
      <c r="D53" s="35">
        <v>2.04</v>
      </c>
      <c r="E53" s="31">
        <v>0.28000000000000003</v>
      </c>
      <c r="F53" s="31">
        <v>0.32</v>
      </c>
      <c r="G53" s="31">
        <v>0.30952380952380953</v>
      </c>
      <c r="H53" s="31">
        <v>0.1761904761904762</v>
      </c>
      <c r="I53" s="32">
        <v>8519.2307692307695</v>
      </c>
      <c r="J53" s="32">
        <v>-6439.1891891891892</v>
      </c>
      <c r="K53" s="31">
        <v>0.06</v>
      </c>
      <c r="L53" s="31">
        <v>0.25238095238095237</v>
      </c>
      <c r="M53" s="31">
        <v>0.21904761904761905</v>
      </c>
      <c r="N53" s="31">
        <v>0.57547169811320753</v>
      </c>
      <c r="O53" s="31">
        <v>0.44565217391304346</v>
      </c>
      <c r="P53" s="31">
        <v>0.43846153846153846</v>
      </c>
    </row>
    <row r="54" spans="1:16" x14ac:dyDescent="0.4">
      <c r="A54" s="33">
        <v>51</v>
      </c>
      <c r="B54" s="30">
        <v>68.399999999999963</v>
      </c>
      <c r="C54" s="30">
        <v>1.3411764705882345</v>
      </c>
      <c r="D54" s="35">
        <v>2.0392156862745097</v>
      </c>
      <c r="E54" s="31">
        <v>0.27450980392156865</v>
      </c>
      <c r="F54" s="31">
        <v>0.31372549019607843</v>
      </c>
      <c r="G54" s="31">
        <v>0.30841121495327101</v>
      </c>
      <c r="H54" s="31">
        <v>0.17523364485981308</v>
      </c>
      <c r="I54" s="32">
        <v>8509.0909090909099</v>
      </c>
      <c r="J54" s="32">
        <v>-6438.666666666667</v>
      </c>
      <c r="K54" s="31">
        <v>5.8823529411764705E-2</v>
      </c>
      <c r="L54" s="31">
        <v>0.25467289719626168</v>
      </c>
      <c r="M54" s="31">
        <v>0.21962616822429906</v>
      </c>
      <c r="N54" s="31">
        <v>0.55963302752293576</v>
      </c>
      <c r="O54" s="31">
        <v>0.44680851063829785</v>
      </c>
      <c r="P54" s="31">
        <v>0.43939393939393939</v>
      </c>
    </row>
    <row r="55" spans="1:16" x14ac:dyDescent="0.4">
      <c r="A55" s="33">
        <v>52</v>
      </c>
      <c r="B55" s="30">
        <v>22.599999999999966</v>
      </c>
      <c r="C55" s="30">
        <v>0.43461538461538396</v>
      </c>
      <c r="D55" s="35">
        <v>2.0576923076923075</v>
      </c>
      <c r="E55" s="31">
        <v>0.26923076923076922</v>
      </c>
      <c r="F55" s="31">
        <v>0.32692307692307693</v>
      </c>
      <c r="G55" s="31">
        <v>0.30434782608695654</v>
      </c>
      <c r="H55" s="31">
        <v>0.17620137299771166</v>
      </c>
      <c r="I55" s="32">
        <v>8460.1503759398493</v>
      </c>
      <c r="J55" s="32">
        <v>-6609.090909090909</v>
      </c>
      <c r="K55" s="31">
        <v>7.6923076923076927E-2</v>
      </c>
      <c r="L55" s="31">
        <v>0.2585812356979405</v>
      </c>
      <c r="M55" s="31">
        <v>0.21739130434782608</v>
      </c>
      <c r="N55" s="31">
        <v>0.53982300884955747</v>
      </c>
      <c r="O55" s="31">
        <v>0.44210526315789472</v>
      </c>
      <c r="P55" s="31">
        <v>0.43609022556390975</v>
      </c>
    </row>
    <row r="56" spans="1:16" x14ac:dyDescent="0.4">
      <c r="A56" s="33">
        <v>53</v>
      </c>
      <c r="B56" s="30">
        <v>53.599999999999966</v>
      </c>
      <c r="C56" s="30">
        <v>1.0113207547169805</v>
      </c>
      <c r="D56" s="35">
        <v>2.0377358490566038</v>
      </c>
      <c r="E56" s="31">
        <v>0.28301886792452829</v>
      </c>
      <c r="F56" s="31">
        <v>0.32075471698113206</v>
      </c>
      <c r="G56" s="31">
        <v>0.30337078651685395</v>
      </c>
      <c r="H56" s="31">
        <v>0.1752808988764045</v>
      </c>
      <c r="I56" s="32">
        <v>8557.0370370370365</v>
      </c>
      <c r="J56" s="32">
        <v>-6626.9230769230771</v>
      </c>
      <c r="K56" s="31">
        <v>7.5471698113207544E-2</v>
      </c>
      <c r="L56" s="31">
        <v>0.25842696629213485</v>
      </c>
      <c r="M56" s="31">
        <v>0.21573033707865169</v>
      </c>
      <c r="N56" s="31">
        <v>0.53913043478260869</v>
      </c>
      <c r="O56" s="31">
        <v>0.44791666666666669</v>
      </c>
      <c r="P56" s="31">
        <v>0.44444444444444442</v>
      </c>
    </row>
    <row r="57" spans="1:16" x14ac:dyDescent="0.4">
      <c r="A57" s="33">
        <v>54</v>
      </c>
      <c r="B57" s="30">
        <v>31.899999999999967</v>
      </c>
      <c r="C57" s="30">
        <v>0.59074074074074012</v>
      </c>
      <c r="D57" s="35">
        <v>2.0555555555555554</v>
      </c>
      <c r="E57" s="31">
        <v>0.27777777777777779</v>
      </c>
      <c r="F57" s="31">
        <v>0.33333333333333331</v>
      </c>
      <c r="G57" s="31">
        <v>0.30176211453744495</v>
      </c>
      <c r="H57" s="31">
        <v>0.18061674008810572</v>
      </c>
      <c r="I57" s="32">
        <v>8566.4233576642328</v>
      </c>
      <c r="J57" s="32">
        <v>-6713.4146341463411</v>
      </c>
      <c r="K57" s="31">
        <v>7.407407407407407E-2</v>
      </c>
      <c r="L57" s="31">
        <v>0.25550660792951541</v>
      </c>
      <c r="M57" s="31">
        <v>0.21806167400881057</v>
      </c>
      <c r="N57" s="31">
        <v>0.5431034482758621</v>
      </c>
      <c r="O57" s="31">
        <v>0.43434343434343436</v>
      </c>
      <c r="P57" s="31">
        <v>0.43795620437956206</v>
      </c>
    </row>
    <row r="58" spans="1:16" x14ac:dyDescent="0.4">
      <c r="A58" s="33">
        <v>55</v>
      </c>
      <c r="B58" s="30">
        <v>-8.8000000000000362</v>
      </c>
      <c r="C58" s="30">
        <v>-0.16000000000000067</v>
      </c>
      <c r="D58" s="35">
        <v>2.0727272727272728</v>
      </c>
      <c r="E58" s="31">
        <v>0.27272727272727271</v>
      </c>
      <c r="F58" s="31">
        <v>0.34545454545454546</v>
      </c>
      <c r="G58" s="31">
        <v>0.29934924078091107</v>
      </c>
      <c r="H58" s="31">
        <v>0.18004338394793926</v>
      </c>
      <c r="I58" s="32">
        <v>8533.3333333333339</v>
      </c>
      <c r="J58" s="32">
        <v>-6725.3012048192768</v>
      </c>
      <c r="K58" s="31">
        <v>7.2727272727272724E-2</v>
      </c>
      <c r="L58" s="31">
        <v>0.25379609544468545</v>
      </c>
      <c r="M58" s="31">
        <v>0.21908893709327548</v>
      </c>
      <c r="N58" s="31">
        <v>0.54700854700854706</v>
      </c>
      <c r="O58" s="31">
        <v>0.42574257425742573</v>
      </c>
      <c r="P58" s="31">
        <v>0.4420289855072464</v>
      </c>
    </row>
    <row r="59" spans="1:16" x14ac:dyDescent="0.4">
      <c r="A59" s="33">
        <v>56</v>
      </c>
      <c r="B59" s="30">
        <v>-34.500000000000036</v>
      </c>
      <c r="C59" s="30">
        <v>-0.61607142857142916</v>
      </c>
      <c r="D59" s="35">
        <v>2.0892857142857144</v>
      </c>
      <c r="E59" s="31">
        <v>0.26785714285714285</v>
      </c>
      <c r="F59" s="31">
        <v>0.35714285714285715</v>
      </c>
      <c r="G59" s="31">
        <v>0.29850746268656714</v>
      </c>
      <c r="H59" s="31">
        <v>0.18336886993603413</v>
      </c>
      <c r="I59" s="32">
        <v>8510</v>
      </c>
      <c r="J59" s="32">
        <v>-6694.1860465116279</v>
      </c>
      <c r="K59" s="31">
        <v>7.1428571428571425E-2</v>
      </c>
      <c r="L59" s="31">
        <v>0.25799573560767591</v>
      </c>
      <c r="M59" s="31">
        <v>0.21748400852878466</v>
      </c>
      <c r="N59" s="31">
        <v>0.54545454545454541</v>
      </c>
      <c r="O59" s="31">
        <v>0.42156862745098039</v>
      </c>
      <c r="P59" s="31">
        <v>0.44285714285714284</v>
      </c>
    </row>
    <row r="60" spans="1:16" x14ac:dyDescent="0.4">
      <c r="A60" s="33">
        <v>57</v>
      </c>
      <c r="B60" s="30">
        <v>-74.30000000000004</v>
      </c>
      <c r="C60" s="30">
        <v>-1.3035087719298253</v>
      </c>
      <c r="D60" s="35">
        <v>2.1052631578947367</v>
      </c>
      <c r="E60" s="31">
        <v>0.26315789473684209</v>
      </c>
      <c r="F60" s="31">
        <v>0.36842105263157893</v>
      </c>
      <c r="G60" s="31">
        <v>0.2976939203354298</v>
      </c>
      <c r="H60" s="31">
        <v>0.18448637316561844</v>
      </c>
      <c r="I60" s="32">
        <v>8437.3239436619715</v>
      </c>
      <c r="J60" s="32">
        <v>-6837.5</v>
      </c>
      <c r="K60" s="31">
        <v>7.0175438596491224E-2</v>
      </c>
      <c r="L60" s="31">
        <v>0.25786163522012578</v>
      </c>
      <c r="M60" s="31">
        <v>0.2180293501048218</v>
      </c>
      <c r="N60" s="31">
        <v>0.54471544715447151</v>
      </c>
      <c r="O60" s="31">
        <v>0.42307692307692307</v>
      </c>
      <c r="P60" s="31">
        <v>0.44366197183098594</v>
      </c>
    </row>
    <row r="61" spans="1:16" x14ac:dyDescent="0.4">
      <c r="A61" s="33">
        <v>58</v>
      </c>
      <c r="B61" s="30">
        <v>-72.700000000000045</v>
      </c>
      <c r="C61" s="30">
        <v>-1.2534482758620697</v>
      </c>
      <c r="D61" s="35">
        <v>2.103448275862069</v>
      </c>
      <c r="E61" s="31">
        <v>0.25862068965517243</v>
      </c>
      <c r="F61" s="31">
        <v>0.36206896551724138</v>
      </c>
      <c r="G61" s="31">
        <v>0.29896907216494845</v>
      </c>
      <c r="H61" s="31">
        <v>0.18762886597938144</v>
      </c>
      <c r="I61" s="32">
        <v>8411.7241379310344</v>
      </c>
      <c r="J61" s="32">
        <v>-6842.8571428571431</v>
      </c>
      <c r="K61" s="31">
        <v>6.8965517241379309E-2</v>
      </c>
      <c r="L61" s="31">
        <v>0.25567010309278349</v>
      </c>
      <c r="M61" s="31">
        <v>0.22680412371134021</v>
      </c>
      <c r="N61" s="31">
        <v>0.54032258064516125</v>
      </c>
      <c r="O61" s="31">
        <v>0.42727272727272725</v>
      </c>
      <c r="P61" s="31">
        <v>0.44827586206896552</v>
      </c>
    </row>
    <row r="62" spans="1:16" x14ac:dyDescent="0.4">
      <c r="A62" s="33">
        <v>59</v>
      </c>
      <c r="B62" s="30">
        <v>-36.500000000000043</v>
      </c>
      <c r="C62" s="30">
        <v>-0.61864406779661085</v>
      </c>
      <c r="D62" s="35">
        <v>2.0847457627118646</v>
      </c>
      <c r="E62" s="31">
        <v>0.2711864406779661</v>
      </c>
      <c r="F62" s="31">
        <v>0.3559322033898305</v>
      </c>
      <c r="G62" s="31">
        <v>0.30181086519114686</v>
      </c>
      <c r="H62" s="31">
        <v>0.18712273641851107</v>
      </c>
      <c r="I62" s="32">
        <v>8346.6666666666661</v>
      </c>
      <c r="J62" s="32">
        <v>-6777.4193548387093</v>
      </c>
      <c r="K62" s="31">
        <v>6.7796610169491525E-2</v>
      </c>
      <c r="L62" s="31">
        <v>0.25150905432595572</v>
      </c>
      <c r="M62" s="31">
        <v>0.22132796780684105</v>
      </c>
      <c r="N62" s="31">
        <v>0.54400000000000004</v>
      </c>
      <c r="O62" s="31">
        <v>0.42727272727272725</v>
      </c>
      <c r="P62" s="31">
        <v>0.44666666666666666</v>
      </c>
    </row>
    <row r="63" spans="1:16" x14ac:dyDescent="0.4">
      <c r="A63" s="33">
        <v>60</v>
      </c>
      <c r="B63" s="30">
        <v>-35.900000000000041</v>
      </c>
      <c r="C63" s="30">
        <v>-0.59833333333333405</v>
      </c>
      <c r="D63" s="35">
        <v>2.0833333333333335</v>
      </c>
      <c r="E63" s="31">
        <v>0.26666666666666666</v>
      </c>
      <c r="F63" s="31">
        <v>0.35</v>
      </c>
      <c r="G63" s="31">
        <v>0.30158730158730157</v>
      </c>
      <c r="H63" s="31">
        <v>0.18849206349206349</v>
      </c>
      <c r="I63" s="32">
        <v>8368.4210526315783</v>
      </c>
      <c r="J63" s="32">
        <v>-6746.3157894736842</v>
      </c>
      <c r="K63" s="31">
        <v>6.6666666666666666E-2</v>
      </c>
      <c r="L63" s="31">
        <v>0.25198412698412698</v>
      </c>
      <c r="M63" s="31">
        <v>0.22023809523809523</v>
      </c>
      <c r="N63" s="31">
        <v>0.55118110236220474</v>
      </c>
      <c r="O63" s="31">
        <v>0.42342342342342343</v>
      </c>
      <c r="P63" s="31">
        <v>0.45394736842105265</v>
      </c>
    </row>
    <row r="64" spans="1:16" x14ac:dyDescent="0.4">
      <c r="A64" s="33">
        <v>61</v>
      </c>
      <c r="B64" s="30">
        <v>-0.40000000000004121</v>
      </c>
      <c r="C64" s="30">
        <v>-6.5573770491810035E-3</v>
      </c>
      <c r="D64" s="35">
        <v>2.0655737704918034</v>
      </c>
      <c r="E64" s="31">
        <v>0.27868852459016391</v>
      </c>
      <c r="F64" s="31">
        <v>0.34426229508196721</v>
      </c>
      <c r="G64" s="31">
        <v>0.30588235294117649</v>
      </c>
      <c r="H64" s="31">
        <v>0.18627450980392157</v>
      </c>
      <c r="I64" s="32">
        <v>8333.3333333333339</v>
      </c>
      <c r="J64" s="32">
        <v>-6746.3157894736842</v>
      </c>
      <c r="K64" s="31">
        <v>6.5573770491803282E-2</v>
      </c>
      <c r="L64" s="31">
        <v>0.25294117647058822</v>
      </c>
      <c r="M64" s="31">
        <v>0.22156862745098038</v>
      </c>
      <c r="N64" s="31">
        <v>0.55813953488372092</v>
      </c>
      <c r="O64" s="31">
        <v>0.4247787610619469</v>
      </c>
      <c r="P64" s="31">
        <v>0.45512820512820512</v>
      </c>
    </row>
    <row r="65" spans="1:16" x14ac:dyDescent="0.4">
      <c r="A65" s="33">
        <v>62</v>
      </c>
      <c r="B65" s="30">
        <v>-18.100000000000041</v>
      </c>
      <c r="C65" s="30">
        <v>-0.2919354838709684</v>
      </c>
      <c r="D65" s="35">
        <v>2.0806451612903225</v>
      </c>
      <c r="E65" s="31">
        <v>0.27419354838709675</v>
      </c>
      <c r="F65" s="31">
        <v>0.35483870967741937</v>
      </c>
      <c r="G65" s="31">
        <v>0.30560928433268858</v>
      </c>
      <c r="H65" s="31">
        <v>0.18762088974854932</v>
      </c>
      <c r="I65" s="32">
        <v>8296.2025316455693</v>
      </c>
      <c r="J65" s="32">
        <v>-6740.2061855670099</v>
      </c>
      <c r="K65" s="31">
        <v>6.4516129032258063E-2</v>
      </c>
      <c r="L65" s="31">
        <v>0.25338491295938104</v>
      </c>
      <c r="M65" s="31">
        <v>0.22050290135396519</v>
      </c>
      <c r="N65" s="31">
        <v>0.56488549618320616</v>
      </c>
      <c r="O65" s="31">
        <v>0.42105263157894735</v>
      </c>
      <c r="P65" s="31">
        <v>0.45569620253164556</v>
      </c>
    </row>
    <row r="66" spans="1:16" x14ac:dyDescent="0.4">
      <c r="A66" s="33">
        <v>63</v>
      </c>
      <c r="B66" s="30">
        <v>-40.80000000000004</v>
      </c>
      <c r="C66" s="30">
        <v>-0.6476190476190482</v>
      </c>
      <c r="D66" s="35">
        <v>2.0952380952380953</v>
      </c>
      <c r="E66" s="31">
        <v>0.26984126984126983</v>
      </c>
      <c r="F66" s="31">
        <v>0.36507936507936506</v>
      </c>
      <c r="G66" s="31">
        <v>0.30534351145038169</v>
      </c>
      <c r="H66" s="31">
        <v>0.18893129770992367</v>
      </c>
      <c r="I66" s="32">
        <v>8292.5</v>
      </c>
      <c r="J66" s="32">
        <v>-6866.666666666667</v>
      </c>
      <c r="K66" s="31">
        <v>6.3492063492063489E-2</v>
      </c>
      <c r="L66" s="31">
        <v>0.25190839694656486</v>
      </c>
      <c r="M66" s="31">
        <v>0.21946564885496184</v>
      </c>
      <c r="N66" s="31">
        <v>0.56818181818181823</v>
      </c>
      <c r="O66" s="31">
        <v>0.42608695652173911</v>
      </c>
      <c r="P66" s="31">
        <v>0.45</v>
      </c>
    </row>
    <row r="67" spans="1:16" x14ac:dyDescent="0.4">
      <c r="A67" s="33">
        <v>64</v>
      </c>
      <c r="B67" s="30">
        <v>-18.600000000000041</v>
      </c>
      <c r="C67" s="30">
        <v>-0.29062500000000063</v>
      </c>
      <c r="D67" s="35">
        <v>2.078125</v>
      </c>
      <c r="E67" s="31">
        <v>0.28125</v>
      </c>
      <c r="F67" s="31">
        <v>0.359375</v>
      </c>
      <c r="G67" s="31">
        <v>0.30769230769230771</v>
      </c>
      <c r="H67" s="31">
        <v>0.18949343339587241</v>
      </c>
      <c r="I67" s="32">
        <v>8240.2439024390242</v>
      </c>
      <c r="J67" s="32">
        <v>-6858.4158415841584</v>
      </c>
      <c r="K67" s="31">
        <v>6.25E-2</v>
      </c>
      <c r="L67" s="31">
        <v>0.25328330206378985</v>
      </c>
      <c r="M67" s="31">
        <v>0.2176360225140713</v>
      </c>
      <c r="N67" s="31">
        <v>0.57037037037037042</v>
      </c>
      <c r="O67" s="31">
        <v>0.43103448275862066</v>
      </c>
      <c r="P67" s="31">
        <v>0.4451219512195122</v>
      </c>
    </row>
    <row r="68" spans="1:16" x14ac:dyDescent="0.4">
      <c r="A68" s="33">
        <v>65</v>
      </c>
      <c r="B68" s="30">
        <v>-71.500000000000043</v>
      </c>
      <c r="C68" s="30">
        <v>-1.1000000000000008</v>
      </c>
      <c r="D68" s="35">
        <v>2.0923076923076924</v>
      </c>
      <c r="E68" s="31">
        <v>0.27692307692307694</v>
      </c>
      <c r="F68" s="31">
        <v>0.36923076923076925</v>
      </c>
      <c r="G68" s="31">
        <v>0.30555555555555558</v>
      </c>
      <c r="H68" s="31">
        <v>0.19444444444444445</v>
      </c>
      <c r="I68" s="32">
        <v>8238.7878787878781</v>
      </c>
      <c r="J68" s="32">
        <v>-6929.5238095238092</v>
      </c>
      <c r="K68" s="31">
        <v>7.6923076923076927E-2</v>
      </c>
      <c r="L68" s="31">
        <v>0.25370370370370371</v>
      </c>
      <c r="M68" s="31">
        <v>0.21481481481481482</v>
      </c>
      <c r="N68" s="31">
        <v>0.56204379562043794</v>
      </c>
      <c r="O68" s="31">
        <v>0.43103448275862066</v>
      </c>
      <c r="P68" s="31">
        <v>0.44848484848484849</v>
      </c>
    </row>
    <row r="69" spans="1:16" x14ac:dyDescent="0.4">
      <c r="A69" s="33">
        <v>66</v>
      </c>
      <c r="B69" s="30">
        <v>-97.500000000000043</v>
      </c>
      <c r="C69" s="30">
        <v>-1.477272727272728</v>
      </c>
      <c r="D69" s="35">
        <v>2.106060606060606</v>
      </c>
      <c r="E69" s="31">
        <v>0.27272727272727271</v>
      </c>
      <c r="F69" s="31">
        <v>0.37878787878787878</v>
      </c>
      <c r="G69" s="31">
        <v>0.30308529945553542</v>
      </c>
      <c r="H69" s="31">
        <v>0.19237749546279492</v>
      </c>
      <c r="I69" s="32">
        <v>8235.9281437125755</v>
      </c>
      <c r="J69" s="32">
        <v>-6878.3018867924529</v>
      </c>
      <c r="K69" s="31">
        <v>7.575757575757576E-2</v>
      </c>
      <c r="L69" s="31">
        <v>0.25045372050816694</v>
      </c>
      <c r="M69" s="31">
        <v>0.21234119782214156</v>
      </c>
      <c r="N69" s="31">
        <v>0.56521739130434778</v>
      </c>
      <c r="O69" s="31">
        <v>0.4358974358974359</v>
      </c>
      <c r="P69" s="31">
        <v>0.44910179640718562</v>
      </c>
    </row>
    <row r="70" spans="1:16" x14ac:dyDescent="0.4">
      <c r="A70" s="33">
        <v>67</v>
      </c>
      <c r="B70" s="30">
        <v>-93.30000000000004</v>
      </c>
      <c r="C70" s="30">
        <v>-1.3925373134328365</v>
      </c>
      <c r="D70" s="35">
        <v>2.1044776119402986</v>
      </c>
      <c r="E70" s="31">
        <v>0.26865671641791045</v>
      </c>
      <c r="F70" s="31">
        <v>0.37313432835820898</v>
      </c>
      <c r="G70" s="31">
        <v>0.30286738351254483</v>
      </c>
      <c r="H70" s="31">
        <v>0.18996415770609318</v>
      </c>
      <c r="I70" s="32">
        <v>8199.4082840236679</v>
      </c>
      <c r="J70" s="32">
        <v>-6878.3018867924529</v>
      </c>
      <c r="K70" s="31">
        <v>7.4626865671641784E-2</v>
      </c>
      <c r="L70" s="31">
        <v>0.24910394265232974</v>
      </c>
      <c r="M70" s="31">
        <v>0.21505376344086022</v>
      </c>
      <c r="N70" s="31">
        <v>0.5611510791366906</v>
      </c>
      <c r="O70" s="31">
        <v>0.44166666666666665</v>
      </c>
      <c r="P70" s="31">
        <v>0.44970414201183434</v>
      </c>
    </row>
    <row r="71" spans="1:16" x14ac:dyDescent="0.4">
      <c r="A71" s="33">
        <v>68</v>
      </c>
      <c r="B71" s="30">
        <v>-53.400000000000041</v>
      </c>
      <c r="C71" s="30">
        <v>-0.78529411764705948</v>
      </c>
      <c r="D71" s="35">
        <v>2.0882352941176472</v>
      </c>
      <c r="E71" s="31">
        <v>0.27941176470588236</v>
      </c>
      <c r="F71" s="31">
        <v>0.36764705882352944</v>
      </c>
      <c r="G71" s="31">
        <v>0.30701754385964913</v>
      </c>
      <c r="H71" s="31">
        <v>0.19122807017543861</v>
      </c>
      <c r="I71" s="32">
        <v>8152.5714285714284</v>
      </c>
      <c r="J71" s="32">
        <v>-6896.3302752293575</v>
      </c>
      <c r="K71" s="31">
        <v>7.3529411764705885E-2</v>
      </c>
      <c r="L71" s="31">
        <v>0.25263157894736843</v>
      </c>
      <c r="M71" s="31">
        <v>0.21403508771929824</v>
      </c>
      <c r="N71" s="31">
        <v>0.5625</v>
      </c>
      <c r="O71" s="31">
        <v>0.45081967213114754</v>
      </c>
      <c r="P71" s="31">
        <v>0.44</v>
      </c>
    </row>
    <row r="72" spans="1:16" x14ac:dyDescent="0.4">
      <c r="A72" s="33">
        <v>69</v>
      </c>
      <c r="B72" s="30">
        <v>-38.000000000000043</v>
      </c>
      <c r="C72" s="30">
        <v>-0.55072463768116009</v>
      </c>
      <c r="D72" s="35">
        <v>2.0724637681159419</v>
      </c>
      <c r="E72" s="31">
        <v>0.28985507246376813</v>
      </c>
      <c r="F72" s="31">
        <v>0.36231884057971014</v>
      </c>
      <c r="G72" s="31">
        <v>0.30795847750865052</v>
      </c>
      <c r="H72" s="31">
        <v>0.19031141868512111</v>
      </c>
      <c r="I72" s="32">
        <v>8097.1910112359546</v>
      </c>
      <c r="J72" s="32">
        <v>-6880.909090909091</v>
      </c>
      <c r="K72" s="31">
        <v>7.2463768115942032E-2</v>
      </c>
      <c r="L72" s="31">
        <v>0.25432525951557095</v>
      </c>
      <c r="M72" s="31">
        <v>0.21280276816608998</v>
      </c>
      <c r="N72" s="31">
        <v>0.55782312925170063</v>
      </c>
      <c r="O72" s="31">
        <v>0.45528455284552843</v>
      </c>
      <c r="P72" s="31">
        <v>0.43820224719101125</v>
      </c>
    </row>
    <row r="73" spans="1:16" x14ac:dyDescent="0.4">
      <c r="A73" s="33">
        <v>70</v>
      </c>
      <c r="B73" s="30">
        <v>-20.200000000000042</v>
      </c>
      <c r="C73" s="30">
        <v>-0.28857142857142914</v>
      </c>
      <c r="D73" s="35">
        <v>2.0571428571428569</v>
      </c>
      <c r="E73" s="31">
        <v>0.3</v>
      </c>
      <c r="F73" s="31">
        <v>0.35714285714285715</v>
      </c>
      <c r="G73" s="31">
        <v>0.31058020477815701</v>
      </c>
      <c r="H73" s="31">
        <v>0.18941979522184299</v>
      </c>
      <c r="I73" s="32">
        <v>8077.4725274725279</v>
      </c>
      <c r="J73" s="32">
        <v>-6927.0270270270266</v>
      </c>
      <c r="K73" s="31">
        <v>7.1428571428571425E-2</v>
      </c>
      <c r="L73" s="31">
        <v>0.25426621160409557</v>
      </c>
      <c r="M73" s="31">
        <v>0.21160409556313994</v>
      </c>
      <c r="N73" s="31">
        <v>0.56375838926174493</v>
      </c>
      <c r="O73" s="31">
        <v>0.45967741935483869</v>
      </c>
      <c r="P73" s="31">
        <v>0.44505494505494503</v>
      </c>
    </row>
    <row r="74" spans="1:16" x14ac:dyDescent="0.4">
      <c r="A74" s="33">
        <v>71</v>
      </c>
      <c r="B74" s="30">
        <v>-31.700000000000042</v>
      </c>
      <c r="C74" s="30">
        <v>-0.44647887323943719</v>
      </c>
      <c r="D74" s="35">
        <v>2.0704225352112675</v>
      </c>
      <c r="E74" s="31">
        <v>0.29577464788732394</v>
      </c>
      <c r="F74" s="31">
        <v>0.36619718309859156</v>
      </c>
      <c r="G74" s="31">
        <v>0.31092436974789917</v>
      </c>
      <c r="H74" s="31">
        <v>0.1915966386554622</v>
      </c>
      <c r="I74" s="32">
        <v>8127.5675675675675</v>
      </c>
      <c r="J74" s="32">
        <v>-6893.8596491228072</v>
      </c>
      <c r="K74" s="31">
        <v>7.0422535211267609E-2</v>
      </c>
      <c r="L74" s="31">
        <v>0.253781512605042</v>
      </c>
      <c r="M74" s="31">
        <v>0.2134453781512605</v>
      </c>
      <c r="N74" s="31">
        <v>0.5629139072847682</v>
      </c>
      <c r="O74" s="31">
        <v>0.45669291338582679</v>
      </c>
      <c r="P74" s="31">
        <v>0.45405405405405408</v>
      </c>
    </row>
    <row r="75" spans="1:16" x14ac:dyDescent="0.4">
      <c r="A75" s="33">
        <v>72</v>
      </c>
      <c r="B75" s="30">
        <v>18.699999999999957</v>
      </c>
      <c r="C75" s="30">
        <v>0.25972222222222163</v>
      </c>
      <c r="D75" s="35">
        <v>2.0555555555555554</v>
      </c>
      <c r="E75" s="31">
        <v>0.30555555555555558</v>
      </c>
      <c r="F75" s="31">
        <v>0.3611111111111111</v>
      </c>
      <c r="G75" s="31">
        <v>0.31333333333333335</v>
      </c>
      <c r="H75" s="31">
        <v>0.19</v>
      </c>
      <c r="I75" s="32">
        <v>8221.2765957446809</v>
      </c>
      <c r="J75" s="32">
        <v>-6893.8596491228072</v>
      </c>
      <c r="K75" s="31">
        <v>6.9444444444444448E-2</v>
      </c>
      <c r="L75" s="31">
        <v>0.25333333333333335</v>
      </c>
      <c r="M75" s="31">
        <v>0.21166666666666667</v>
      </c>
      <c r="N75" s="31">
        <v>0.56578947368421051</v>
      </c>
      <c r="O75" s="31">
        <v>0.45669291338582679</v>
      </c>
      <c r="P75" s="31">
        <v>0.4521276595744681</v>
      </c>
    </row>
    <row r="76" spans="1:16" x14ac:dyDescent="0.4">
      <c r="A76" s="33">
        <v>73</v>
      </c>
      <c r="B76" s="30">
        <v>11.799999999999956</v>
      </c>
      <c r="C76" s="30">
        <v>0.16164383561643775</v>
      </c>
      <c r="D76" s="35">
        <v>2.0547945205479454</v>
      </c>
      <c r="E76" s="31">
        <v>0.30136986301369861</v>
      </c>
      <c r="F76" s="31">
        <v>0.35616438356164382</v>
      </c>
      <c r="G76" s="31">
        <v>0.31311475409836065</v>
      </c>
      <c r="H76" s="31">
        <v>0.1901639344262295</v>
      </c>
      <c r="I76" s="32">
        <v>8220.4188481675392</v>
      </c>
      <c r="J76" s="32">
        <v>-6875</v>
      </c>
      <c r="K76" s="31">
        <v>6.8493150684931503E-2</v>
      </c>
      <c r="L76" s="31">
        <v>0.24918032786885247</v>
      </c>
      <c r="M76" s="31">
        <v>0.21311475409836064</v>
      </c>
      <c r="N76" s="31">
        <v>0.56578947368421051</v>
      </c>
      <c r="O76" s="31">
        <v>0.45384615384615384</v>
      </c>
      <c r="P76" s="31">
        <v>0.4607329842931937</v>
      </c>
    </row>
    <row r="77" spans="1:16" x14ac:dyDescent="0.4">
      <c r="A77" s="33">
        <v>74</v>
      </c>
      <c r="B77" s="30">
        <v>-7.5000000000000444</v>
      </c>
      <c r="C77" s="30">
        <v>-0.10135135135135195</v>
      </c>
      <c r="D77" s="35">
        <v>2.0675675675675675</v>
      </c>
      <c r="E77" s="31">
        <v>0.29729729729729731</v>
      </c>
      <c r="F77" s="31">
        <v>0.36486486486486486</v>
      </c>
      <c r="G77" s="31">
        <v>0.31442463533225284</v>
      </c>
      <c r="H77" s="31">
        <v>0.18962722852512157</v>
      </c>
      <c r="I77" s="32">
        <v>8127.8350515463917</v>
      </c>
      <c r="J77" s="32">
        <v>-6882.0512820512822</v>
      </c>
      <c r="K77" s="31">
        <v>6.7567567567567571E-2</v>
      </c>
      <c r="L77" s="31">
        <v>0.24797406807131281</v>
      </c>
      <c r="M77" s="31">
        <v>0.21231766612641814</v>
      </c>
      <c r="N77" s="31">
        <v>0.56209150326797386</v>
      </c>
      <c r="O77" s="31">
        <v>0.45038167938931295</v>
      </c>
      <c r="P77" s="31">
        <v>0.45876288659793812</v>
      </c>
    </row>
    <row r="78" spans="1:16" x14ac:dyDescent="0.4">
      <c r="A78" s="33">
        <v>75</v>
      </c>
      <c r="B78" s="30">
        <v>28.799999999999955</v>
      </c>
      <c r="C78" s="30">
        <v>0.3839999999999994</v>
      </c>
      <c r="D78" s="35">
        <v>2.0533333333333332</v>
      </c>
      <c r="E78" s="31">
        <v>0.30666666666666664</v>
      </c>
      <c r="F78" s="31">
        <v>0.36</v>
      </c>
      <c r="G78" s="31">
        <v>0.31570512820512819</v>
      </c>
      <c r="H78" s="31">
        <v>0.1875</v>
      </c>
      <c r="I78" s="32">
        <v>8136.040609137056</v>
      </c>
      <c r="J78" s="32">
        <v>-6882.0512820512822</v>
      </c>
      <c r="K78" s="31">
        <v>6.6666666666666666E-2</v>
      </c>
      <c r="L78" s="31">
        <v>0.2483974358974359</v>
      </c>
      <c r="M78" s="31">
        <v>0.21153846153846154</v>
      </c>
      <c r="N78" s="31">
        <v>0.56129032258064515</v>
      </c>
      <c r="O78" s="31">
        <v>0.45454545454545453</v>
      </c>
      <c r="P78" s="31">
        <v>0.45685279187817257</v>
      </c>
    </row>
    <row r="79" spans="1:16" x14ac:dyDescent="0.4">
      <c r="A79" s="33">
        <v>76</v>
      </c>
      <c r="B79" s="30">
        <v>50.799999999999955</v>
      </c>
      <c r="C79" s="30">
        <v>0.66842105263157836</v>
      </c>
      <c r="D79" s="35">
        <v>2.0394736842105261</v>
      </c>
      <c r="E79" s="31">
        <v>0.31578947368421051</v>
      </c>
      <c r="F79" s="31">
        <v>0.35526315789473684</v>
      </c>
      <c r="G79" s="31">
        <v>0.31645569620253167</v>
      </c>
      <c r="H79" s="31">
        <v>0.18829113924050633</v>
      </c>
      <c r="I79" s="32">
        <v>8139</v>
      </c>
      <c r="J79" s="32">
        <v>-6826.8907563025214</v>
      </c>
      <c r="K79" s="31">
        <v>6.5789473684210523E-2</v>
      </c>
      <c r="L79" s="31">
        <v>0.24841772151898733</v>
      </c>
      <c r="M79" s="31">
        <v>0.21202531645569619</v>
      </c>
      <c r="N79" s="31">
        <v>0.56687898089171973</v>
      </c>
      <c r="O79" s="31">
        <v>0.45522388059701491</v>
      </c>
      <c r="P79" s="31">
        <v>0.46</v>
      </c>
    </row>
    <row r="80" spans="1:16" x14ac:dyDescent="0.4">
      <c r="A80" s="33">
        <v>77</v>
      </c>
      <c r="B80" s="30">
        <v>63.099999999999952</v>
      </c>
      <c r="C80" s="30">
        <v>0.81948051948051881</v>
      </c>
      <c r="D80" s="35">
        <v>2.0389610389610389</v>
      </c>
      <c r="E80" s="31">
        <v>0.31168831168831168</v>
      </c>
      <c r="F80" s="31">
        <v>0.35064935064935066</v>
      </c>
      <c r="G80" s="31">
        <v>0.31825273010920435</v>
      </c>
      <c r="H80" s="31">
        <v>0.18876755070202808</v>
      </c>
      <c r="I80" s="32">
        <v>8076.9607843137255</v>
      </c>
      <c r="J80" s="32">
        <v>-6801.6528925619832</v>
      </c>
      <c r="K80" s="31">
        <v>6.4935064935064929E-2</v>
      </c>
      <c r="L80" s="31">
        <v>0.24804992199687986</v>
      </c>
      <c r="M80" s="31">
        <v>0.21216848673946959</v>
      </c>
      <c r="N80" s="31">
        <v>0.56603773584905659</v>
      </c>
      <c r="O80" s="31">
        <v>0.46323529411764708</v>
      </c>
      <c r="P80" s="31">
        <v>0.45588235294117646</v>
      </c>
    </row>
    <row r="81" spans="1:16" x14ac:dyDescent="0.4">
      <c r="A81" s="33">
        <v>78</v>
      </c>
      <c r="B81" s="30">
        <v>126.09999999999995</v>
      </c>
      <c r="C81" s="30">
        <v>1.616666666666666</v>
      </c>
      <c r="D81" s="35">
        <v>2.0256410256410255</v>
      </c>
      <c r="E81" s="31">
        <v>0.32051282051282054</v>
      </c>
      <c r="F81" s="31">
        <v>0.34615384615384615</v>
      </c>
      <c r="G81" s="31">
        <v>0.32258064516129031</v>
      </c>
      <c r="H81" s="31">
        <v>0.18586789554531491</v>
      </c>
      <c r="I81" s="32">
        <v>8089.0476190476193</v>
      </c>
      <c r="J81" s="32">
        <v>-6801.6528925619832</v>
      </c>
      <c r="K81" s="31">
        <v>6.4102564102564097E-2</v>
      </c>
      <c r="L81" s="31">
        <v>0.24577572964669739</v>
      </c>
      <c r="M81" s="31">
        <v>0.21044546850998463</v>
      </c>
      <c r="N81" s="31">
        <v>0.56874999999999998</v>
      </c>
      <c r="O81" s="31">
        <v>0.46715328467153283</v>
      </c>
      <c r="P81" s="31">
        <v>0.46190476190476193</v>
      </c>
    </row>
    <row r="82" spans="1:16" x14ac:dyDescent="0.4">
      <c r="A82" s="33">
        <v>79</v>
      </c>
      <c r="B82" s="30">
        <v>109.39999999999995</v>
      </c>
      <c r="C82" s="30">
        <v>1.3848101265822779</v>
      </c>
      <c r="D82" s="35">
        <v>2.037974683544304</v>
      </c>
      <c r="E82" s="31">
        <v>0.31645569620253167</v>
      </c>
      <c r="F82" s="31">
        <v>0.35443037974683544</v>
      </c>
      <c r="G82" s="31">
        <v>0.32169954476479512</v>
      </c>
      <c r="H82" s="31">
        <v>0.18664643399089528</v>
      </c>
      <c r="I82" s="32">
        <v>8080.6603773584902</v>
      </c>
      <c r="J82" s="32">
        <v>-6809.7560975609758</v>
      </c>
      <c r="K82" s="31">
        <v>6.3291139240506333E-2</v>
      </c>
      <c r="L82" s="31">
        <v>0.24582701062215478</v>
      </c>
      <c r="M82" s="31">
        <v>0.2109256449165402</v>
      </c>
      <c r="N82" s="31">
        <v>0.5679012345679012</v>
      </c>
      <c r="O82" s="31">
        <v>0.46762589928057552</v>
      </c>
      <c r="P82" s="31">
        <v>0.46226415094339623</v>
      </c>
    </row>
    <row r="83" spans="1:16" x14ac:dyDescent="0.4">
      <c r="A83" s="33">
        <v>80</v>
      </c>
      <c r="B83" s="30">
        <v>49.99999999999995</v>
      </c>
      <c r="C83" s="30">
        <v>0.62499999999999933</v>
      </c>
      <c r="D83" s="35">
        <v>2.0499999999999998</v>
      </c>
      <c r="E83" s="31">
        <v>0.3125</v>
      </c>
      <c r="F83" s="31">
        <v>0.36249999999999999</v>
      </c>
      <c r="G83" s="31">
        <v>0.32126696832579188</v>
      </c>
      <c r="H83" s="31">
        <v>0.18853695324283559</v>
      </c>
      <c r="I83" s="32">
        <v>8080.2816901408451</v>
      </c>
      <c r="J83" s="32">
        <v>-7146.4</v>
      </c>
      <c r="K83" s="31">
        <v>7.4999999999999997E-2</v>
      </c>
      <c r="L83" s="31">
        <v>0.2458521870286576</v>
      </c>
      <c r="M83" s="31">
        <v>0.20965309200603319</v>
      </c>
      <c r="N83" s="31">
        <v>0.57055214723926384</v>
      </c>
      <c r="O83" s="31">
        <v>0.46762589928057552</v>
      </c>
      <c r="P83" s="31">
        <v>0.46478873239436619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61736-1741-447E-B5DC-67C3505DD5CF}">
  <sheetPr codeName="Sheet6"/>
  <dimension ref="A1:Q102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139</v>
      </c>
      <c r="B1" s="34" t="s">
        <v>139</v>
      </c>
      <c r="C1" s="34" t="s">
        <v>139</v>
      </c>
      <c r="D1" s="35" t="s">
        <v>139</v>
      </c>
      <c r="E1" s="34" t="s">
        <v>139</v>
      </c>
      <c r="F1" s="34" t="s">
        <v>139</v>
      </c>
      <c r="G1" s="34" t="s">
        <v>139</v>
      </c>
      <c r="H1" s="34" t="s">
        <v>139</v>
      </c>
      <c r="I1" s="34" t="s">
        <v>139</v>
      </c>
      <c r="J1" s="34" t="s">
        <v>139</v>
      </c>
      <c r="K1" s="34" t="s">
        <v>139</v>
      </c>
      <c r="L1" s="34" t="s">
        <v>139</v>
      </c>
      <c r="M1" s="34" t="s">
        <v>139</v>
      </c>
      <c r="N1" s="34" t="s">
        <v>139</v>
      </c>
      <c r="O1" s="34" t="s">
        <v>139</v>
      </c>
      <c r="P1" s="34" t="s">
        <v>139</v>
      </c>
      <c r="Q1" s="34" t="s">
        <v>139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-1.7763568394002505E-15</v>
      </c>
      <c r="C4" s="30">
        <v>-5.9211894646675012E-16</v>
      </c>
      <c r="D4" s="35">
        <v>2</v>
      </c>
      <c r="E4" s="31">
        <v>0.33333333333333331</v>
      </c>
      <c r="F4" s="31">
        <v>0.33333333333333331</v>
      </c>
      <c r="G4" s="31">
        <v>0.33333333333333331</v>
      </c>
      <c r="H4" s="31">
        <v>0.1111111111111111</v>
      </c>
      <c r="I4" s="32">
        <v>9055.5555555555547</v>
      </c>
      <c r="J4" s="32">
        <v>-7966.666666666667</v>
      </c>
      <c r="K4" s="31">
        <v>0</v>
      </c>
      <c r="L4" s="31">
        <v>0.22222222222222221</v>
      </c>
      <c r="M4" s="31">
        <v>0.29629629629629628</v>
      </c>
      <c r="N4" s="31">
        <v>0.5</v>
      </c>
      <c r="O4" s="31">
        <v>0.625</v>
      </c>
      <c r="P4" s="31">
        <v>0.66666666666666663</v>
      </c>
    </row>
    <row r="5" spans="1:17" x14ac:dyDescent="0.4">
      <c r="A5" s="33">
        <v>2</v>
      </c>
      <c r="B5" s="30">
        <v>-7.1054273576010019E-15</v>
      </c>
      <c r="C5" s="30">
        <v>-1.1842378929335002E-15</v>
      </c>
      <c r="D5" s="35">
        <v>2</v>
      </c>
      <c r="E5" s="31">
        <v>0.33333333333333331</v>
      </c>
      <c r="F5" s="31">
        <v>0.33333333333333331</v>
      </c>
      <c r="G5" s="31">
        <v>0.31372549019607843</v>
      </c>
      <c r="H5" s="31">
        <v>0.13725490196078433</v>
      </c>
      <c r="I5" s="32">
        <v>11043.75</v>
      </c>
      <c r="J5" s="32">
        <v>-13928.571428571429</v>
      </c>
      <c r="K5" s="31">
        <v>0.16666666666666666</v>
      </c>
      <c r="L5" s="31">
        <v>0.25490196078431371</v>
      </c>
      <c r="M5" s="31">
        <v>0.31372549019607843</v>
      </c>
      <c r="N5" s="31">
        <v>0.38461538461538464</v>
      </c>
      <c r="O5" s="31">
        <v>0.5625</v>
      </c>
      <c r="P5" s="31">
        <v>0.5625</v>
      </c>
    </row>
    <row r="6" spans="1:17" x14ac:dyDescent="0.4">
      <c r="A6" s="33">
        <v>3</v>
      </c>
      <c r="B6" s="30">
        <v>-7.1054273576010019E-15</v>
      </c>
      <c r="C6" s="30">
        <v>-7.894919286223335E-16</v>
      </c>
      <c r="D6" s="35">
        <v>2</v>
      </c>
      <c r="E6" s="31">
        <v>0.33333333333333331</v>
      </c>
      <c r="F6" s="31">
        <v>0.33333333333333331</v>
      </c>
      <c r="G6" s="31">
        <v>0.2839506172839506</v>
      </c>
      <c r="H6" s="31">
        <v>0.1111111111111111</v>
      </c>
      <c r="I6" s="32">
        <v>10095.652173913044</v>
      </c>
      <c r="J6" s="32">
        <v>-12122.222222222223</v>
      </c>
      <c r="K6" s="31">
        <v>0.1111111111111111</v>
      </c>
      <c r="L6" s="31">
        <v>0.2839506172839506</v>
      </c>
      <c r="M6" s="31">
        <v>0.25925925925925924</v>
      </c>
      <c r="N6" s="31">
        <v>0.39130434782608697</v>
      </c>
      <c r="O6" s="31">
        <v>0.5714285714285714</v>
      </c>
      <c r="P6" s="31">
        <v>0.60869565217391308</v>
      </c>
    </row>
    <row r="7" spans="1:17" x14ac:dyDescent="0.4">
      <c r="A7" s="33">
        <v>4</v>
      </c>
      <c r="B7" s="30">
        <v>-7.1054273576010019E-15</v>
      </c>
      <c r="C7" s="30">
        <v>-5.9211894646675012E-16</v>
      </c>
      <c r="D7" s="35">
        <v>2</v>
      </c>
      <c r="E7" s="31">
        <v>0.33333333333333331</v>
      </c>
      <c r="F7" s="31">
        <v>0.33333333333333331</v>
      </c>
      <c r="G7" s="31">
        <v>0.28282828282828282</v>
      </c>
      <c r="H7" s="31">
        <v>0.1111111111111111</v>
      </c>
      <c r="I7" s="32">
        <v>9639.2857142857138</v>
      </c>
      <c r="J7" s="32">
        <v>-10800</v>
      </c>
      <c r="K7" s="31">
        <v>8.3333333333333329E-2</v>
      </c>
      <c r="L7" s="31">
        <v>0.27272727272727271</v>
      </c>
      <c r="M7" s="31">
        <v>0.23232323232323232</v>
      </c>
      <c r="N7" s="31">
        <v>0.44444444444444442</v>
      </c>
      <c r="O7" s="31">
        <v>0.52173913043478259</v>
      </c>
      <c r="P7" s="31">
        <v>0.6071428571428571</v>
      </c>
    </row>
    <row r="8" spans="1:17" x14ac:dyDescent="0.4">
      <c r="A8" s="33">
        <v>5</v>
      </c>
      <c r="B8" s="30">
        <v>-7.1054273576010019E-15</v>
      </c>
      <c r="C8" s="30">
        <v>-4.7369515717340012E-16</v>
      </c>
      <c r="D8" s="35">
        <v>2</v>
      </c>
      <c r="E8" s="31">
        <v>0.33333333333333331</v>
      </c>
      <c r="F8" s="31">
        <v>0.33333333333333331</v>
      </c>
      <c r="G8" s="31">
        <v>0.27192982456140352</v>
      </c>
      <c r="H8" s="31">
        <v>0.11403508771929824</v>
      </c>
      <c r="I8" s="32">
        <v>9867.7419354838712</v>
      </c>
      <c r="J8" s="32">
        <v>-10984.615384615385</v>
      </c>
      <c r="K8" s="31">
        <v>0.13333333333333333</v>
      </c>
      <c r="L8" s="31">
        <v>0.24561403508771928</v>
      </c>
      <c r="M8" s="31">
        <v>0.24561403508771928</v>
      </c>
      <c r="N8" s="31">
        <v>0.42857142857142855</v>
      </c>
      <c r="O8" s="31">
        <v>0.5</v>
      </c>
      <c r="P8" s="31">
        <v>0.58064516129032262</v>
      </c>
    </row>
    <row r="9" spans="1:17" x14ac:dyDescent="0.4">
      <c r="A9" s="33">
        <v>6</v>
      </c>
      <c r="B9" s="30">
        <v>-7.1054273576010019E-15</v>
      </c>
      <c r="C9" s="30">
        <v>-3.9474596431116675E-16</v>
      </c>
      <c r="D9" s="35">
        <v>2</v>
      </c>
      <c r="E9" s="31">
        <v>0.33333333333333331</v>
      </c>
      <c r="F9" s="31">
        <v>0.33333333333333331</v>
      </c>
      <c r="G9" s="31">
        <v>0.26811594202898553</v>
      </c>
      <c r="H9" s="31">
        <v>0.13043478260869565</v>
      </c>
      <c r="I9" s="32">
        <v>8975.6756756756749</v>
      </c>
      <c r="J9" s="32">
        <v>-9222.2222222222226</v>
      </c>
      <c r="K9" s="31">
        <v>0.1111111111111111</v>
      </c>
      <c r="L9" s="31">
        <v>0.22463768115942029</v>
      </c>
      <c r="M9" s="31">
        <v>0.26811594202898553</v>
      </c>
      <c r="N9" s="31">
        <v>0.38709677419354838</v>
      </c>
      <c r="O9" s="31">
        <v>0.48648648648648651</v>
      </c>
      <c r="P9" s="31">
        <v>0.51351351351351349</v>
      </c>
    </row>
    <row r="10" spans="1:17" x14ac:dyDescent="0.4">
      <c r="A10" s="33">
        <v>7</v>
      </c>
      <c r="B10" s="30">
        <v>-7.1054273576010019E-15</v>
      </c>
      <c r="C10" s="30">
        <v>-3.3835368369528578E-16</v>
      </c>
      <c r="D10" s="35">
        <v>2</v>
      </c>
      <c r="E10" s="31">
        <v>0.33333333333333331</v>
      </c>
      <c r="F10" s="31">
        <v>0.33333333333333331</v>
      </c>
      <c r="G10" s="31">
        <v>0.27485380116959063</v>
      </c>
      <c r="H10" s="31">
        <v>0.12280701754385964</v>
      </c>
      <c r="I10" s="32">
        <v>8646.8085106382987</v>
      </c>
      <c r="J10" s="32">
        <v>-9028.5714285714294</v>
      </c>
      <c r="K10" s="31">
        <v>9.5238095238095233E-2</v>
      </c>
      <c r="L10" s="31">
        <v>0.24561403508771928</v>
      </c>
      <c r="M10" s="31">
        <v>0.25146198830409355</v>
      </c>
      <c r="N10" s="31">
        <v>0.42857142857142855</v>
      </c>
      <c r="O10" s="31">
        <v>0.48837209302325579</v>
      </c>
      <c r="P10" s="31">
        <v>0.55319148936170215</v>
      </c>
    </row>
    <row r="11" spans="1:17" x14ac:dyDescent="0.4">
      <c r="A11" s="33">
        <v>8</v>
      </c>
      <c r="B11" s="30">
        <v>-7.1054273576010019E-15</v>
      </c>
      <c r="C11" s="30">
        <v>-2.9605947323337506E-16</v>
      </c>
      <c r="D11" s="35">
        <v>2</v>
      </c>
      <c r="E11" s="31">
        <v>0.33333333333333331</v>
      </c>
      <c r="F11" s="31">
        <v>0.33333333333333331</v>
      </c>
      <c r="G11" s="31">
        <v>0.26760563380281688</v>
      </c>
      <c r="H11" s="31">
        <v>0.13615023474178403</v>
      </c>
      <c r="I11" s="32">
        <v>8559.6491228070172</v>
      </c>
      <c r="J11" s="32">
        <v>-8727.5862068965525</v>
      </c>
      <c r="K11" s="31">
        <v>8.3333333333333329E-2</v>
      </c>
      <c r="L11" s="31">
        <v>0.26291079812206575</v>
      </c>
      <c r="M11" s="31">
        <v>0.23474178403755869</v>
      </c>
      <c r="N11" s="31">
        <v>0.42857142857142855</v>
      </c>
      <c r="O11" s="31">
        <v>0.5</v>
      </c>
      <c r="P11" s="31">
        <v>0.49122807017543857</v>
      </c>
    </row>
    <row r="12" spans="1:17" x14ac:dyDescent="0.4">
      <c r="A12" s="33">
        <v>9</v>
      </c>
      <c r="B12" s="30">
        <v>-7.1054273576010019E-15</v>
      </c>
      <c r="C12" s="30">
        <v>-2.631639762074445E-16</v>
      </c>
      <c r="D12" s="35">
        <v>2</v>
      </c>
      <c r="E12" s="31">
        <v>0.33333333333333331</v>
      </c>
      <c r="F12" s="31">
        <v>0.33333333333333331</v>
      </c>
      <c r="G12" s="31">
        <v>0.27027027027027029</v>
      </c>
      <c r="H12" s="31">
        <v>0.14414414414414414</v>
      </c>
      <c r="I12" s="32">
        <v>8548.3333333333339</v>
      </c>
      <c r="J12" s="32">
        <v>-8690.625</v>
      </c>
      <c r="K12" s="31">
        <v>7.407407407407407E-2</v>
      </c>
      <c r="L12" s="31">
        <v>0.26126126126126126</v>
      </c>
      <c r="M12" s="31">
        <v>0.23423423423423423</v>
      </c>
      <c r="N12" s="31">
        <v>0.43103448275862066</v>
      </c>
      <c r="O12" s="31">
        <v>0.51923076923076927</v>
      </c>
      <c r="P12" s="31">
        <v>0.46666666666666667</v>
      </c>
    </row>
    <row r="13" spans="1:17" x14ac:dyDescent="0.4">
      <c r="A13" s="33">
        <v>10</v>
      </c>
      <c r="B13" s="30">
        <v>-8.4376949871511897E-15</v>
      </c>
      <c r="C13" s="30">
        <v>-2.8125649957170631E-16</v>
      </c>
      <c r="D13" s="35">
        <v>2</v>
      </c>
      <c r="E13" s="31">
        <v>0.33333333333333331</v>
      </c>
      <c r="F13" s="31">
        <v>0.33333333333333331</v>
      </c>
      <c r="G13" s="31">
        <v>0.26666666666666666</v>
      </c>
      <c r="H13" s="31">
        <v>0.14117647058823529</v>
      </c>
      <c r="I13" s="32">
        <v>8660.2941176470595</v>
      </c>
      <c r="J13" s="32">
        <v>-9052.7777777777774</v>
      </c>
      <c r="K13" s="31">
        <v>6.6666666666666666E-2</v>
      </c>
      <c r="L13" s="31">
        <v>0.2627450980392157</v>
      </c>
      <c r="M13" s="31">
        <v>0.24705882352941178</v>
      </c>
      <c r="N13" s="31">
        <v>0.38805970149253732</v>
      </c>
      <c r="O13" s="31">
        <v>0.49206349206349204</v>
      </c>
      <c r="P13" s="31">
        <v>0.47058823529411764</v>
      </c>
    </row>
    <row r="14" spans="1:17" x14ac:dyDescent="0.4">
      <c r="A14" s="33">
        <v>11</v>
      </c>
      <c r="B14" s="30">
        <v>0</v>
      </c>
      <c r="C14" s="30">
        <v>0</v>
      </c>
      <c r="D14" s="35">
        <v>2</v>
      </c>
      <c r="E14" s="31">
        <v>0.33333333333333331</v>
      </c>
      <c r="F14" s="31">
        <v>0.33333333333333331</v>
      </c>
      <c r="G14" s="31">
        <v>0.27173913043478259</v>
      </c>
      <c r="H14" s="31">
        <v>0.14492753623188406</v>
      </c>
      <c r="I14" s="32">
        <v>8710.6666666666661</v>
      </c>
      <c r="J14" s="32">
        <v>-8977.5</v>
      </c>
      <c r="K14" s="31">
        <v>6.0606060606060608E-2</v>
      </c>
      <c r="L14" s="31">
        <v>0.26811594202898553</v>
      </c>
      <c r="M14" s="31">
        <v>0.24275362318840579</v>
      </c>
      <c r="N14" s="31">
        <v>0.40540540540540543</v>
      </c>
      <c r="O14" s="31">
        <v>0.47761194029850745</v>
      </c>
      <c r="P14" s="31">
        <v>0.46666666666666667</v>
      </c>
    </row>
    <row r="15" spans="1:17" x14ac:dyDescent="0.4">
      <c r="A15" s="33">
        <v>12</v>
      </c>
      <c r="B15" s="30">
        <v>3.5527136788005009E-15</v>
      </c>
      <c r="C15" s="30">
        <v>9.8686491077791687E-17</v>
      </c>
      <c r="D15" s="35">
        <v>2</v>
      </c>
      <c r="E15" s="31">
        <v>0.33333333333333331</v>
      </c>
      <c r="F15" s="31">
        <v>0.33333333333333331</v>
      </c>
      <c r="G15" s="31">
        <v>0.27392739273927391</v>
      </c>
      <c r="H15" s="31">
        <v>0.15181518151815182</v>
      </c>
      <c r="I15" s="32">
        <v>8573.4939759036151</v>
      </c>
      <c r="J15" s="32">
        <v>-8908.6956521739139</v>
      </c>
      <c r="K15" s="31">
        <v>8.3333333333333329E-2</v>
      </c>
      <c r="L15" s="31">
        <v>0.264026402640264</v>
      </c>
      <c r="M15" s="31">
        <v>0.24422442244224424</v>
      </c>
      <c r="N15" s="31">
        <v>0.38750000000000001</v>
      </c>
      <c r="O15" s="31">
        <v>0.48648648648648651</v>
      </c>
      <c r="P15" s="31">
        <v>0.44578313253012047</v>
      </c>
    </row>
    <row r="16" spans="1:17" x14ac:dyDescent="0.4">
      <c r="A16" s="33">
        <v>13</v>
      </c>
      <c r="B16" s="30">
        <v>1.0658141036401503E-14</v>
      </c>
      <c r="C16" s="30">
        <v>2.7328566760003855E-16</v>
      </c>
      <c r="D16" s="35">
        <v>2</v>
      </c>
      <c r="E16" s="31">
        <v>0.33333333333333331</v>
      </c>
      <c r="F16" s="31">
        <v>0.33333333333333331</v>
      </c>
      <c r="G16" s="31">
        <v>0.27725856697819312</v>
      </c>
      <c r="H16" s="31">
        <v>0.14641744548286603</v>
      </c>
      <c r="I16" s="32">
        <v>8215.7303370786522</v>
      </c>
      <c r="J16" s="32">
        <v>-8882.978723404256</v>
      </c>
      <c r="K16" s="31">
        <v>7.6923076923076927E-2</v>
      </c>
      <c r="L16" s="31">
        <v>0.25856697819314639</v>
      </c>
      <c r="M16" s="31">
        <v>0.24610591900311526</v>
      </c>
      <c r="N16" s="31">
        <v>0.40963855421686746</v>
      </c>
      <c r="O16" s="31">
        <v>0.48101265822784811</v>
      </c>
      <c r="P16" s="31">
        <v>0.47191011235955055</v>
      </c>
    </row>
    <row r="17" spans="1:16" x14ac:dyDescent="0.4">
      <c r="A17" s="33">
        <v>14</v>
      </c>
      <c r="B17" s="30">
        <v>1.0658141036401503E-14</v>
      </c>
      <c r="C17" s="30">
        <v>2.5376526277146434E-16</v>
      </c>
      <c r="D17" s="35">
        <v>2</v>
      </c>
      <c r="E17" s="31">
        <v>0.33333333333333331</v>
      </c>
      <c r="F17" s="31">
        <v>0.33333333333333331</v>
      </c>
      <c r="G17" s="31">
        <v>0.27536231884057971</v>
      </c>
      <c r="H17" s="31">
        <v>0.14782608695652175</v>
      </c>
      <c r="I17" s="32">
        <v>8114.7368421052633</v>
      </c>
      <c r="J17" s="32">
        <v>-8688.2352941176468</v>
      </c>
      <c r="K17" s="31">
        <v>7.1428571428571425E-2</v>
      </c>
      <c r="L17" s="31">
        <v>0.24927536231884059</v>
      </c>
      <c r="M17" s="31">
        <v>0.24347826086956523</v>
      </c>
      <c r="N17" s="31">
        <v>0.43023255813953487</v>
      </c>
      <c r="O17" s="31">
        <v>0.47619047619047616</v>
      </c>
      <c r="P17" s="31">
        <v>0.4631578947368421</v>
      </c>
    </row>
    <row r="18" spans="1:16" x14ac:dyDescent="0.4">
      <c r="A18" s="33">
        <v>15</v>
      </c>
      <c r="B18" s="30">
        <v>8.8817841970012523E-15</v>
      </c>
      <c r="C18" s="30">
        <v>1.9737298215558337E-16</v>
      </c>
      <c r="D18" s="35">
        <v>2</v>
      </c>
      <c r="E18" s="31">
        <v>0.33333333333333331</v>
      </c>
      <c r="F18" s="31">
        <v>0.33333333333333331</v>
      </c>
      <c r="G18" s="31">
        <v>0.27604166666666669</v>
      </c>
      <c r="H18" s="31">
        <v>0.15104166666666666</v>
      </c>
      <c r="I18" s="32">
        <v>7958.4905660377362</v>
      </c>
      <c r="J18" s="32">
        <v>-8339.6551724137935</v>
      </c>
      <c r="K18" s="31">
        <v>6.6666666666666666E-2</v>
      </c>
      <c r="L18" s="31">
        <v>0.25260416666666669</v>
      </c>
      <c r="M18" s="31">
        <v>0.25</v>
      </c>
      <c r="N18" s="31">
        <v>0.44329896907216493</v>
      </c>
      <c r="O18" s="31">
        <v>0.45833333333333331</v>
      </c>
      <c r="P18" s="31">
        <v>0.45283018867924529</v>
      </c>
    </row>
    <row r="19" spans="1:16" x14ac:dyDescent="0.4">
      <c r="A19" s="33">
        <v>16</v>
      </c>
      <c r="B19" s="30">
        <v>7.1054273576010019E-15</v>
      </c>
      <c r="C19" s="30">
        <v>1.4802973661668753E-16</v>
      </c>
      <c r="D19" s="35">
        <v>2</v>
      </c>
      <c r="E19" s="31">
        <v>0.33333333333333331</v>
      </c>
      <c r="F19" s="31">
        <v>0.33333333333333331</v>
      </c>
      <c r="G19" s="31">
        <v>0.27860696517412936</v>
      </c>
      <c r="H19" s="31">
        <v>0.15174129353233831</v>
      </c>
      <c r="I19" s="32">
        <v>8041.0714285714284</v>
      </c>
      <c r="J19" s="32">
        <v>-8519.6721311475412</v>
      </c>
      <c r="K19" s="31">
        <v>8.3333333333333329E-2</v>
      </c>
      <c r="L19" s="31">
        <v>0.25124378109452739</v>
      </c>
      <c r="M19" s="31">
        <v>0.2462686567164179</v>
      </c>
      <c r="N19" s="31">
        <v>0.45544554455445546</v>
      </c>
      <c r="O19" s="31">
        <v>0.46464646464646464</v>
      </c>
      <c r="P19" s="31">
        <v>0.45535714285714285</v>
      </c>
    </row>
    <row r="20" spans="1:16" x14ac:dyDescent="0.4">
      <c r="A20" s="33">
        <v>17</v>
      </c>
      <c r="B20" s="30">
        <v>1.0658141036401503E-14</v>
      </c>
      <c r="C20" s="30">
        <v>2.0898315757650005E-16</v>
      </c>
      <c r="D20" s="35">
        <v>2</v>
      </c>
      <c r="E20" s="31">
        <v>0.33333333333333331</v>
      </c>
      <c r="F20" s="31">
        <v>0.33333333333333331</v>
      </c>
      <c r="G20" s="31">
        <v>0.28240740740740738</v>
      </c>
      <c r="H20" s="31">
        <v>0.15277777777777779</v>
      </c>
      <c r="I20" s="32">
        <v>8084.4262295081971</v>
      </c>
      <c r="J20" s="32">
        <v>-8490.9090909090901</v>
      </c>
      <c r="K20" s="31">
        <v>7.8431372549019607E-2</v>
      </c>
      <c r="L20" s="31">
        <v>0.25231481481481483</v>
      </c>
      <c r="M20" s="31">
        <v>0.25462962962962965</v>
      </c>
      <c r="N20" s="31">
        <v>0.44954128440366975</v>
      </c>
      <c r="O20" s="31">
        <v>0.45454545454545453</v>
      </c>
      <c r="P20" s="31">
        <v>0.45901639344262296</v>
      </c>
    </row>
    <row r="21" spans="1:16" x14ac:dyDescent="0.4">
      <c r="A21" s="33">
        <v>18</v>
      </c>
      <c r="B21" s="30">
        <v>1.0658141036401503E-14</v>
      </c>
      <c r="C21" s="30">
        <v>1.9737298215558337E-16</v>
      </c>
      <c r="D21" s="35">
        <v>2</v>
      </c>
      <c r="E21" s="31">
        <v>0.33333333333333331</v>
      </c>
      <c r="F21" s="31">
        <v>0.33333333333333331</v>
      </c>
      <c r="G21" s="31">
        <v>0.28354978354978355</v>
      </c>
      <c r="H21" s="31">
        <v>0.14935064935064934</v>
      </c>
      <c r="I21" s="32">
        <v>8060.3053435114507</v>
      </c>
      <c r="J21" s="32">
        <v>-8513.04347826087</v>
      </c>
      <c r="K21" s="31">
        <v>7.407407407407407E-2</v>
      </c>
      <c r="L21" s="31">
        <v>0.25108225108225107</v>
      </c>
      <c r="M21" s="31">
        <v>0.24675324675324675</v>
      </c>
      <c r="N21" s="31">
        <v>0.45689655172413796</v>
      </c>
      <c r="O21" s="31">
        <v>0.45614035087719296</v>
      </c>
      <c r="P21" s="31">
        <v>0.47328244274809161</v>
      </c>
    </row>
    <row r="22" spans="1:16" x14ac:dyDescent="0.4">
      <c r="A22" s="33">
        <v>19</v>
      </c>
      <c r="B22" s="30">
        <v>1.0658141036401503E-14</v>
      </c>
      <c r="C22" s="30">
        <v>1.8698493046318425E-16</v>
      </c>
      <c r="D22" s="35">
        <v>2</v>
      </c>
      <c r="E22" s="31">
        <v>0.33333333333333331</v>
      </c>
      <c r="F22" s="31">
        <v>0.33333333333333331</v>
      </c>
      <c r="G22" s="31">
        <v>0.2839506172839506</v>
      </c>
      <c r="H22" s="31">
        <v>0.15020576131687244</v>
      </c>
      <c r="I22" s="32">
        <v>8098.550724637681</v>
      </c>
      <c r="J22" s="32">
        <v>-8408.2191780821922</v>
      </c>
      <c r="K22" s="31">
        <v>7.0175438596491224E-2</v>
      </c>
      <c r="L22" s="31">
        <v>0.25102880658436216</v>
      </c>
      <c r="M22" s="31">
        <v>0.24074074074074073</v>
      </c>
      <c r="N22" s="31">
        <v>0.46721311475409838</v>
      </c>
      <c r="O22" s="31">
        <v>0.46153846153846156</v>
      </c>
      <c r="P22" s="31">
        <v>0.47101449275362317</v>
      </c>
    </row>
    <row r="23" spans="1:16" x14ac:dyDescent="0.4">
      <c r="A23" s="33">
        <v>20</v>
      </c>
      <c r="B23" s="30">
        <v>1.2434497875801753E-14</v>
      </c>
      <c r="C23" s="30">
        <v>2.0724163126336256E-16</v>
      </c>
      <c r="D23" s="35">
        <v>2</v>
      </c>
      <c r="E23" s="31">
        <v>0.33333333333333331</v>
      </c>
      <c r="F23" s="31">
        <v>0.33333333333333331</v>
      </c>
      <c r="G23" s="31">
        <v>0.28599605522682447</v>
      </c>
      <c r="H23" s="31">
        <v>0.14990138067061143</v>
      </c>
      <c r="I23" s="32">
        <v>8136.5517241379312</v>
      </c>
      <c r="J23" s="32">
        <v>-8384.21052631579</v>
      </c>
      <c r="K23" s="31">
        <v>6.6666666666666666E-2</v>
      </c>
      <c r="L23" s="31">
        <v>0.25246548323471402</v>
      </c>
      <c r="M23" s="31">
        <v>0.2465483234714004</v>
      </c>
      <c r="N23" s="31">
        <v>0.4765625</v>
      </c>
      <c r="O23" s="31">
        <v>0.45600000000000002</v>
      </c>
      <c r="P23" s="31">
        <v>0.47586206896551725</v>
      </c>
    </row>
    <row r="24" spans="1:16" x14ac:dyDescent="0.4">
      <c r="A24" s="33">
        <v>21</v>
      </c>
      <c r="B24" s="30">
        <v>1.4210854715202004E-14</v>
      </c>
      <c r="C24" s="30">
        <v>2.2556912246352386E-16</v>
      </c>
      <c r="D24" s="35">
        <v>2</v>
      </c>
      <c r="E24" s="31">
        <v>0.33333333333333331</v>
      </c>
      <c r="F24" s="31">
        <v>0.33333333333333331</v>
      </c>
      <c r="G24" s="31">
        <v>0.28598484848484851</v>
      </c>
      <c r="H24" s="31">
        <v>0.14772727272727273</v>
      </c>
      <c r="I24" s="32">
        <v>8067.5496688741723</v>
      </c>
      <c r="J24" s="32">
        <v>-8216.6666666666661</v>
      </c>
      <c r="K24" s="31">
        <v>6.3492063492063489E-2</v>
      </c>
      <c r="L24" s="31">
        <v>0.24810606060606061</v>
      </c>
      <c r="M24" s="31">
        <v>0.24242424242424243</v>
      </c>
      <c r="N24" s="31">
        <v>0.48854961832061067</v>
      </c>
      <c r="O24" s="31">
        <v>0.4453125</v>
      </c>
      <c r="P24" s="31">
        <v>0.48344370860927155</v>
      </c>
    </row>
    <row r="25" spans="1:16" x14ac:dyDescent="0.4">
      <c r="A25" s="33">
        <v>22</v>
      </c>
      <c r="B25" s="30">
        <v>7.1054273576010019E-15</v>
      </c>
      <c r="C25" s="30">
        <v>1.0765799026668185E-16</v>
      </c>
      <c r="D25" s="35">
        <v>2</v>
      </c>
      <c r="E25" s="31">
        <v>0.33333333333333331</v>
      </c>
      <c r="F25" s="31">
        <v>0.33333333333333331</v>
      </c>
      <c r="G25" s="31">
        <v>0.28779599271402551</v>
      </c>
      <c r="H25" s="31">
        <v>0.151183970856102</v>
      </c>
      <c r="I25" s="32">
        <v>8136.7088607594933</v>
      </c>
      <c r="J25" s="32">
        <v>-8244.5783132530123</v>
      </c>
      <c r="K25" s="31">
        <v>6.0606060606060608E-2</v>
      </c>
      <c r="L25" s="31">
        <v>0.24590163934426229</v>
      </c>
      <c r="M25" s="31">
        <v>0.24043715846994534</v>
      </c>
      <c r="N25" s="31">
        <v>0.49629629629629629</v>
      </c>
      <c r="O25" s="31">
        <v>0.43939393939393939</v>
      </c>
      <c r="P25" s="31">
        <v>0.47468354430379744</v>
      </c>
    </row>
    <row r="26" spans="1:16" x14ac:dyDescent="0.4">
      <c r="A26" s="33">
        <v>23</v>
      </c>
      <c r="B26" s="30">
        <v>1.0658141036401503E-14</v>
      </c>
      <c r="C26" s="30">
        <v>1.5446581212176091E-16</v>
      </c>
      <c r="D26" s="35">
        <v>2</v>
      </c>
      <c r="E26" s="31">
        <v>0.33333333333333331</v>
      </c>
      <c r="F26" s="31">
        <v>0.33333333333333331</v>
      </c>
      <c r="G26" s="31">
        <v>0.2874779541446208</v>
      </c>
      <c r="H26" s="31">
        <v>0.15167548500881833</v>
      </c>
      <c r="I26" s="32">
        <v>8095.0920245398775</v>
      </c>
      <c r="J26" s="32">
        <v>-8122.0930232558139</v>
      </c>
      <c r="K26" s="31">
        <v>5.7971014492753624E-2</v>
      </c>
      <c r="L26" s="31">
        <v>0.24514991181657847</v>
      </c>
      <c r="M26" s="31">
        <v>0.24514991181657847</v>
      </c>
      <c r="N26" s="31">
        <v>0.49640287769784175</v>
      </c>
      <c r="O26" s="31">
        <v>0.43884892086330934</v>
      </c>
      <c r="P26" s="31">
        <v>0.47239263803680981</v>
      </c>
    </row>
    <row r="27" spans="1:16" x14ac:dyDescent="0.4">
      <c r="A27" s="33">
        <v>24</v>
      </c>
      <c r="B27" s="30">
        <v>1.4210854715202004E-14</v>
      </c>
      <c r="C27" s="30">
        <v>1.9737298215558337E-16</v>
      </c>
      <c r="D27" s="35">
        <v>2</v>
      </c>
      <c r="E27" s="31">
        <v>0.33333333333333331</v>
      </c>
      <c r="F27" s="31">
        <v>0.33333333333333331</v>
      </c>
      <c r="G27" s="31">
        <v>0.28888888888888886</v>
      </c>
      <c r="H27" s="31">
        <v>0.15555555555555556</v>
      </c>
      <c r="I27" s="32">
        <v>8118.3431952662722</v>
      </c>
      <c r="J27" s="32">
        <v>-7989.0109890109889</v>
      </c>
      <c r="K27" s="31">
        <v>5.5555555555555552E-2</v>
      </c>
      <c r="L27" s="31">
        <v>0.24957264957264957</v>
      </c>
      <c r="M27" s="31">
        <v>0.24444444444444444</v>
      </c>
      <c r="N27" s="31">
        <v>0.49315068493150682</v>
      </c>
      <c r="O27" s="31">
        <v>0.44055944055944057</v>
      </c>
      <c r="P27" s="31">
        <v>0.46153846153846156</v>
      </c>
    </row>
    <row r="28" spans="1:16" x14ac:dyDescent="0.4">
      <c r="A28" s="33">
        <v>25</v>
      </c>
      <c r="B28" s="30">
        <v>1.4210854715202004E-14</v>
      </c>
      <c r="C28" s="30">
        <v>1.8947806286936006E-16</v>
      </c>
      <c r="D28" s="35">
        <v>2</v>
      </c>
      <c r="E28" s="31">
        <v>0.33333333333333331</v>
      </c>
      <c r="F28" s="31">
        <v>0.33333333333333331</v>
      </c>
      <c r="G28" s="31">
        <v>0.29146537842190018</v>
      </c>
      <c r="H28" s="31">
        <v>0.14975845410628019</v>
      </c>
      <c r="I28" s="32">
        <v>8153.5911602209944</v>
      </c>
      <c r="J28" s="32">
        <v>-7977.4193548387093</v>
      </c>
      <c r="K28" s="31">
        <v>5.3333333333333337E-2</v>
      </c>
      <c r="L28" s="31">
        <v>0.25120772946859904</v>
      </c>
      <c r="M28" s="31">
        <v>0.23832528180354268</v>
      </c>
      <c r="N28" s="31">
        <v>0.49358974358974361</v>
      </c>
      <c r="O28" s="31">
        <v>0.44594594594594594</v>
      </c>
      <c r="P28" s="31">
        <v>0.48618784530386738</v>
      </c>
    </row>
    <row r="29" spans="1:16" x14ac:dyDescent="0.4">
      <c r="A29" s="33">
        <v>26</v>
      </c>
      <c r="B29" s="30">
        <v>1.4210854715202004E-14</v>
      </c>
      <c r="C29" s="30">
        <v>1.8219044506669235E-16</v>
      </c>
      <c r="D29" s="35">
        <v>2</v>
      </c>
      <c r="E29" s="31">
        <v>0.33333333333333331</v>
      </c>
      <c r="F29" s="31">
        <v>0.33333333333333331</v>
      </c>
      <c r="G29" s="31">
        <v>0.29357798165137616</v>
      </c>
      <c r="H29" s="31">
        <v>0.14984709480122324</v>
      </c>
      <c r="I29" s="32">
        <v>7996.875</v>
      </c>
      <c r="J29" s="32">
        <v>-7895.9183673469388</v>
      </c>
      <c r="K29" s="31">
        <v>5.128205128205128E-2</v>
      </c>
      <c r="L29" s="31">
        <v>0.2492354740061162</v>
      </c>
      <c r="M29" s="31">
        <v>0.2400611620795107</v>
      </c>
      <c r="N29" s="31">
        <v>0.49079754601226994</v>
      </c>
      <c r="O29" s="31">
        <v>0.45222929936305734</v>
      </c>
      <c r="P29" s="31">
        <v>0.48958333333333331</v>
      </c>
    </row>
    <row r="30" spans="1:16" x14ac:dyDescent="0.4">
      <c r="A30" s="33">
        <v>27</v>
      </c>
      <c r="B30" s="30">
        <v>1.4210854715202004E-14</v>
      </c>
      <c r="C30" s="30">
        <v>1.75442650804963E-16</v>
      </c>
      <c r="D30" s="35">
        <v>2</v>
      </c>
      <c r="E30" s="31">
        <v>0.33333333333333331</v>
      </c>
      <c r="F30" s="31">
        <v>0.33333333333333331</v>
      </c>
      <c r="G30" s="31">
        <v>0.29464285714285715</v>
      </c>
      <c r="H30" s="31">
        <v>0.15178571428571427</v>
      </c>
      <c r="I30" s="32">
        <v>7923.2323232323233</v>
      </c>
      <c r="J30" s="32">
        <v>-7736.2745098039213</v>
      </c>
      <c r="K30" s="31">
        <v>4.9382716049382713E-2</v>
      </c>
      <c r="L30" s="31">
        <v>0.2544642857142857</v>
      </c>
      <c r="M30" s="31">
        <v>0.23660714285714285</v>
      </c>
      <c r="N30" s="31">
        <v>0.4853801169590643</v>
      </c>
      <c r="O30" s="31">
        <v>0.45283018867924529</v>
      </c>
      <c r="P30" s="31">
        <v>0.48484848484848486</v>
      </c>
    </row>
    <row r="31" spans="1:16" x14ac:dyDescent="0.4">
      <c r="A31" s="33">
        <v>28</v>
      </c>
      <c r="B31" s="30">
        <v>1.4210854715202004E-14</v>
      </c>
      <c r="C31" s="30">
        <v>1.6917684184764289E-16</v>
      </c>
      <c r="D31" s="35">
        <v>2</v>
      </c>
      <c r="E31" s="31">
        <v>0.33333333333333331</v>
      </c>
      <c r="F31" s="31">
        <v>0.33333333333333331</v>
      </c>
      <c r="G31" s="31">
        <v>0.29454022988505746</v>
      </c>
      <c r="H31" s="31">
        <v>0.15229885057471265</v>
      </c>
      <c r="I31" s="32">
        <v>7971.707317073171</v>
      </c>
      <c r="J31" s="32">
        <v>-7840.566037735849</v>
      </c>
      <c r="K31" s="31">
        <v>4.7619047619047616E-2</v>
      </c>
      <c r="L31" s="31">
        <v>0.25287356321839083</v>
      </c>
      <c r="M31" s="31">
        <v>0.23706896551724138</v>
      </c>
      <c r="N31" s="31">
        <v>0.47727272727272729</v>
      </c>
      <c r="O31" s="31">
        <v>0.45454545454545453</v>
      </c>
      <c r="P31" s="31">
        <v>0.48292682926829267</v>
      </c>
    </row>
    <row r="32" spans="1:16" x14ac:dyDescent="0.4">
      <c r="A32" s="33">
        <v>29</v>
      </c>
      <c r="B32" s="30">
        <v>1.4210854715202004E-14</v>
      </c>
      <c r="C32" s="30">
        <v>1.6334315764600004E-16</v>
      </c>
      <c r="D32" s="35">
        <v>2</v>
      </c>
      <c r="E32" s="31">
        <v>0.33333333333333331</v>
      </c>
      <c r="F32" s="31">
        <v>0.33333333333333331</v>
      </c>
      <c r="G32" s="31">
        <v>0.29567642956764295</v>
      </c>
      <c r="H32" s="31">
        <v>0.15760111576011157</v>
      </c>
      <c r="I32" s="32">
        <v>7904.2452830188677</v>
      </c>
      <c r="J32" s="32">
        <v>-7722.1238938053093</v>
      </c>
      <c r="K32" s="31">
        <v>4.5977011494252873E-2</v>
      </c>
      <c r="L32" s="31">
        <v>0.24686192468619247</v>
      </c>
      <c r="M32" s="31">
        <v>0.24546722454672246</v>
      </c>
      <c r="N32" s="31">
        <v>0.48022598870056499</v>
      </c>
      <c r="O32" s="31">
        <v>0.46022727272727271</v>
      </c>
      <c r="P32" s="31">
        <v>0.46698113207547171</v>
      </c>
    </row>
    <row r="33" spans="1:16" x14ac:dyDescent="0.4">
      <c r="A33" s="33">
        <v>30</v>
      </c>
      <c r="B33" s="30">
        <v>1.5987211554602254E-14</v>
      </c>
      <c r="C33" s="30">
        <v>1.7763568394002506E-16</v>
      </c>
      <c r="D33" s="35">
        <v>2</v>
      </c>
      <c r="E33" s="31">
        <v>0.33333333333333331</v>
      </c>
      <c r="F33" s="31">
        <v>0.33333333333333331</v>
      </c>
      <c r="G33" s="31">
        <v>0.29569892473118281</v>
      </c>
      <c r="H33" s="31">
        <v>0.15860215053763441</v>
      </c>
      <c r="I33" s="32">
        <v>7973.636363636364</v>
      </c>
      <c r="J33" s="32">
        <v>-7774.5762711864409</v>
      </c>
      <c r="K33" s="31">
        <v>4.4444444444444446E-2</v>
      </c>
      <c r="L33" s="31">
        <v>0.24731182795698925</v>
      </c>
      <c r="M33" s="31">
        <v>0.24193548387096775</v>
      </c>
      <c r="N33" s="31">
        <v>0.49456521739130432</v>
      </c>
      <c r="O33" s="31">
        <v>0.45</v>
      </c>
      <c r="P33" s="31">
        <v>0.46363636363636362</v>
      </c>
    </row>
    <row r="34" spans="1:16" x14ac:dyDescent="0.4">
      <c r="A34" s="33">
        <v>31</v>
      </c>
      <c r="B34" s="30">
        <v>1.5987211554602254E-14</v>
      </c>
      <c r="C34" s="30">
        <v>1.7190550058712101E-16</v>
      </c>
      <c r="D34" s="35">
        <v>2</v>
      </c>
      <c r="E34" s="31">
        <v>0.33333333333333331</v>
      </c>
      <c r="F34" s="31">
        <v>0.33333333333333331</v>
      </c>
      <c r="G34" s="31">
        <v>0.29557291666666669</v>
      </c>
      <c r="H34" s="31">
        <v>0.15885416666666666</v>
      </c>
      <c r="I34" s="32">
        <v>8059.4713656387667</v>
      </c>
      <c r="J34" s="32">
        <v>-7844.2622950819668</v>
      </c>
      <c r="K34" s="31">
        <v>4.3010752688172046E-2</v>
      </c>
      <c r="L34" s="31">
        <v>0.24869791666666666</v>
      </c>
      <c r="M34" s="31">
        <v>0.24088541666666666</v>
      </c>
      <c r="N34" s="31">
        <v>0.49738219895287961</v>
      </c>
      <c r="O34" s="31">
        <v>0.44864864864864867</v>
      </c>
      <c r="P34" s="31">
        <v>0.46255506607929514</v>
      </c>
    </row>
    <row r="35" spans="1:16" x14ac:dyDescent="0.4">
      <c r="A35" s="33">
        <v>32</v>
      </c>
      <c r="B35" s="30">
        <v>2.1316282072803006E-14</v>
      </c>
      <c r="C35" s="30">
        <v>2.2204460492503131E-16</v>
      </c>
      <c r="D35" s="35">
        <v>2</v>
      </c>
      <c r="E35" s="31">
        <v>0.33333333333333331</v>
      </c>
      <c r="F35" s="31">
        <v>0.33333333333333331</v>
      </c>
      <c r="G35" s="31">
        <v>0.29433962264150942</v>
      </c>
      <c r="H35" s="31">
        <v>0.15974842767295597</v>
      </c>
      <c r="I35" s="32">
        <v>8122.6495726495723</v>
      </c>
      <c r="J35" s="32">
        <v>-7937.7952755905508</v>
      </c>
      <c r="K35" s="31">
        <v>4.1666666666666664E-2</v>
      </c>
      <c r="L35" s="31">
        <v>0.2440251572327044</v>
      </c>
      <c r="M35" s="31">
        <v>0.24025157232704403</v>
      </c>
      <c r="N35" s="31">
        <v>0.48969072164948452</v>
      </c>
      <c r="O35" s="31">
        <v>0.45549738219895286</v>
      </c>
      <c r="P35" s="31">
        <v>0.45726495726495725</v>
      </c>
    </row>
    <row r="36" spans="1:16" x14ac:dyDescent="0.4">
      <c r="A36" s="33">
        <v>33</v>
      </c>
      <c r="B36" s="30">
        <v>2.1316282072803006E-14</v>
      </c>
      <c r="C36" s="30">
        <v>2.153159805333637E-16</v>
      </c>
      <c r="D36" s="35">
        <v>2</v>
      </c>
      <c r="E36" s="31">
        <v>0.33333333333333331</v>
      </c>
      <c r="F36" s="31">
        <v>0.33333333333333331</v>
      </c>
      <c r="G36" s="31">
        <v>0.29520295202952029</v>
      </c>
      <c r="H36" s="31">
        <v>0.16113161131611317</v>
      </c>
      <c r="I36" s="32">
        <v>8153.333333333333</v>
      </c>
      <c r="J36" s="32">
        <v>-7909.9236641221378</v>
      </c>
      <c r="K36" s="31">
        <v>5.0505050505050504E-2</v>
      </c>
      <c r="L36" s="31">
        <v>0.24231242312423124</v>
      </c>
      <c r="M36" s="31">
        <v>0.24723247232472326</v>
      </c>
      <c r="N36" s="31">
        <v>0.49238578680203043</v>
      </c>
      <c r="O36" s="31">
        <v>0.45273631840796019</v>
      </c>
      <c r="P36" s="31">
        <v>0.45416666666666666</v>
      </c>
    </row>
    <row r="37" spans="1:16" x14ac:dyDescent="0.4">
      <c r="A37" s="33">
        <v>34</v>
      </c>
      <c r="B37" s="30">
        <v>2.1316282072803006E-14</v>
      </c>
      <c r="C37" s="30">
        <v>2.0898315757650005E-16</v>
      </c>
      <c r="D37" s="35">
        <v>2</v>
      </c>
      <c r="E37" s="31">
        <v>0.33333333333333331</v>
      </c>
      <c r="F37" s="31">
        <v>0.33333333333333331</v>
      </c>
      <c r="G37" s="31">
        <v>0.29460093896713613</v>
      </c>
      <c r="H37" s="31">
        <v>0.16314553990610328</v>
      </c>
      <c r="I37" s="32">
        <v>8109.5617529880474</v>
      </c>
      <c r="J37" s="32">
        <v>-7797.8417266187053</v>
      </c>
      <c r="K37" s="31">
        <v>4.9019607843137254E-2</v>
      </c>
      <c r="L37" s="31">
        <v>0.24178403755868544</v>
      </c>
      <c r="M37" s="31">
        <v>0.24765258215962441</v>
      </c>
      <c r="N37" s="31">
        <v>0.4854368932038835</v>
      </c>
      <c r="O37" s="31">
        <v>0.46445497630331756</v>
      </c>
      <c r="P37" s="31">
        <v>0.44621513944223107</v>
      </c>
    </row>
    <row r="38" spans="1:16" x14ac:dyDescent="0.4">
      <c r="A38" s="33">
        <v>35</v>
      </c>
      <c r="B38" s="30">
        <v>2.3092638912203256E-14</v>
      </c>
      <c r="C38" s="30">
        <v>2.1992989440193578E-16</v>
      </c>
      <c r="D38" s="35">
        <v>2</v>
      </c>
      <c r="E38" s="31">
        <v>0.33333333333333331</v>
      </c>
      <c r="F38" s="31">
        <v>0.33333333333333331</v>
      </c>
      <c r="G38" s="31">
        <v>0.29478458049886619</v>
      </c>
      <c r="H38" s="31">
        <v>0.16326530612244897</v>
      </c>
      <c r="I38" s="32">
        <v>8075.7692307692305</v>
      </c>
      <c r="J38" s="32">
        <v>-7695.1388888888887</v>
      </c>
      <c r="K38" s="31">
        <v>4.7619047619047616E-2</v>
      </c>
      <c r="L38" s="31">
        <v>0.24263038548752835</v>
      </c>
      <c r="M38" s="31">
        <v>0.24829931972789115</v>
      </c>
      <c r="N38" s="31">
        <v>0.48598130841121495</v>
      </c>
      <c r="O38" s="31">
        <v>0.46575342465753422</v>
      </c>
      <c r="P38" s="31">
        <v>0.44230769230769229</v>
      </c>
    </row>
    <row r="39" spans="1:16" x14ac:dyDescent="0.4">
      <c r="A39" s="33">
        <v>36</v>
      </c>
      <c r="B39" s="30">
        <v>2.1316282072803006E-14</v>
      </c>
      <c r="C39" s="30">
        <v>1.9737298215558337E-16</v>
      </c>
      <c r="D39" s="35">
        <v>2</v>
      </c>
      <c r="E39" s="31">
        <v>0.33333333333333331</v>
      </c>
      <c r="F39" s="31">
        <v>0.33333333333333331</v>
      </c>
      <c r="G39" s="31">
        <v>0.29605263157894735</v>
      </c>
      <c r="H39" s="31">
        <v>0.16557017543859648</v>
      </c>
      <c r="I39" s="32">
        <v>8052.9629629629626</v>
      </c>
      <c r="J39" s="32">
        <v>-7649.6688741721855</v>
      </c>
      <c r="K39" s="31">
        <v>4.6296296296296294E-2</v>
      </c>
      <c r="L39" s="31">
        <v>0.23793859649122806</v>
      </c>
      <c r="M39" s="31">
        <v>0.24780701754385964</v>
      </c>
      <c r="N39" s="31">
        <v>0.48847926267281105</v>
      </c>
      <c r="O39" s="31">
        <v>0.46902654867256638</v>
      </c>
      <c r="P39" s="31">
        <v>0.43703703703703706</v>
      </c>
    </row>
    <row r="40" spans="1:16" x14ac:dyDescent="0.4">
      <c r="A40" s="33">
        <v>37</v>
      </c>
      <c r="B40" s="30">
        <v>2.1316282072803006E-14</v>
      </c>
      <c r="C40" s="30">
        <v>1.9203857723245952E-16</v>
      </c>
      <c r="D40" s="35">
        <v>1.9909909909909911</v>
      </c>
      <c r="E40" s="31">
        <v>0.34234234234234234</v>
      </c>
      <c r="F40" s="31">
        <v>0.33333333333333331</v>
      </c>
      <c r="G40" s="31">
        <v>0.29594017094017094</v>
      </c>
      <c r="H40" s="31">
        <v>0.1623931623931624</v>
      </c>
      <c r="I40" s="32">
        <v>7983.7545126353789</v>
      </c>
      <c r="J40" s="32">
        <v>-7612.5</v>
      </c>
      <c r="K40" s="31">
        <v>4.5045045045045043E-2</v>
      </c>
      <c r="L40" s="31">
        <v>0.23717948717948717</v>
      </c>
      <c r="M40" s="31">
        <v>0.24893162393162394</v>
      </c>
      <c r="N40" s="31">
        <v>0.49549549549549549</v>
      </c>
      <c r="O40" s="31">
        <v>0.46351931330472101</v>
      </c>
      <c r="P40" s="31">
        <v>0.44765342960288806</v>
      </c>
    </row>
    <row r="41" spans="1:16" x14ac:dyDescent="0.4">
      <c r="A41" s="33">
        <v>38</v>
      </c>
      <c r="B41" s="30">
        <v>2.3536728122053319E-14</v>
      </c>
      <c r="C41" s="30">
        <v>2.0646252738643262E-16</v>
      </c>
      <c r="D41" s="35">
        <v>1.9912280701754386</v>
      </c>
      <c r="E41" s="31">
        <v>0.34210526315789475</v>
      </c>
      <c r="F41" s="31">
        <v>0.33333333333333331</v>
      </c>
      <c r="G41" s="31">
        <v>0.29503105590062112</v>
      </c>
      <c r="H41" s="31">
        <v>0.16459627329192547</v>
      </c>
      <c r="I41" s="32">
        <v>7933.333333333333</v>
      </c>
      <c r="J41" s="32">
        <v>-7488.0503144654085</v>
      </c>
      <c r="K41" s="31">
        <v>4.3859649122807015E-2</v>
      </c>
      <c r="L41" s="31">
        <v>0.23809523809523808</v>
      </c>
      <c r="M41" s="31">
        <v>0.24948240165631469</v>
      </c>
      <c r="N41" s="31">
        <v>0.49130434782608695</v>
      </c>
      <c r="O41" s="31">
        <v>0.46887966804979253</v>
      </c>
      <c r="P41" s="31">
        <v>0.43859649122807015</v>
      </c>
    </row>
    <row r="42" spans="1:16" x14ac:dyDescent="0.4">
      <c r="A42" s="33">
        <v>39</v>
      </c>
      <c r="B42" s="30">
        <v>2.1316282072803006E-14</v>
      </c>
      <c r="C42" s="30">
        <v>1.8219044506669235E-16</v>
      </c>
      <c r="D42" s="35">
        <v>1.9914529914529915</v>
      </c>
      <c r="E42" s="31">
        <v>0.34188034188034189</v>
      </c>
      <c r="F42" s="31">
        <v>0.33333333333333331</v>
      </c>
      <c r="G42" s="31">
        <v>0.29483282674772038</v>
      </c>
      <c r="H42" s="31">
        <v>0.1651469098277609</v>
      </c>
      <c r="I42" s="32">
        <v>7861.5120274914088</v>
      </c>
      <c r="J42" s="32">
        <v>-7381.5950920245396</v>
      </c>
      <c r="K42" s="31">
        <v>4.2735042735042736E-2</v>
      </c>
      <c r="L42" s="31">
        <v>0.23809523809523808</v>
      </c>
      <c r="M42" s="31">
        <v>0.24721377912867273</v>
      </c>
      <c r="N42" s="31">
        <v>0.49787234042553191</v>
      </c>
      <c r="O42" s="31">
        <v>0.46721311475409838</v>
      </c>
      <c r="P42" s="31">
        <v>0.43642611683848798</v>
      </c>
    </row>
    <row r="43" spans="1:16" x14ac:dyDescent="0.4">
      <c r="A43" s="33">
        <v>40</v>
      </c>
      <c r="B43" s="30">
        <v>2.1316282072803006E-14</v>
      </c>
      <c r="C43" s="30">
        <v>1.7763568394002506E-16</v>
      </c>
      <c r="D43" s="35">
        <v>1.9916666666666667</v>
      </c>
      <c r="E43" s="31">
        <v>0.34166666666666667</v>
      </c>
      <c r="F43" s="31">
        <v>0.33333333333333331</v>
      </c>
      <c r="G43" s="31">
        <v>0.29487179487179488</v>
      </c>
      <c r="H43" s="31">
        <v>0.16568047337278108</v>
      </c>
      <c r="I43" s="32">
        <v>7838.7959866220735</v>
      </c>
      <c r="J43" s="32">
        <v>-7317.2619047619046</v>
      </c>
      <c r="K43" s="31">
        <v>4.1666666666666664E-2</v>
      </c>
      <c r="L43" s="31">
        <v>0.23767258382642997</v>
      </c>
      <c r="M43" s="31">
        <v>0.24753451676528598</v>
      </c>
      <c r="N43" s="31">
        <v>0.49377593360995853</v>
      </c>
      <c r="O43" s="31">
        <v>0.46215139442231074</v>
      </c>
      <c r="P43" s="31">
        <v>0.43478260869565216</v>
      </c>
    </row>
    <row r="44" spans="1:16" x14ac:dyDescent="0.4">
      <c r="A44" s="33">
        <v>41</v>
      </c>
      <c r="B44" s="30">
        <v>2.1316282072803006E-14</v>
      </c>
      <c r="C44" s="30">
        <v>1.7330310628295127E-16</v>
      </c>
      <c r="D44" s="35">
        <v>1.9918699186991871</v>
      </c>
      <c r="E44" s="31">
        <v>0.34146341463414637</v>
      </c>
      <c r="F44" s="31">
        <v>0.33333333333333331</v>
      </c>
      <c r="G44" s="31">
        <v>0.29490874159462055</v>
      </c>
      <c r="H44" s="31">
        <v>0.16426512968299711</v>
      </c>
      <c r="I44" s="32">
        <v>7960.2605863192184</v>
      </c>
      <c r="J44" s="32">
        <v>-7328.6549707602335</v>
      </c>
      <c r="K44" s="31">
        <v>4.878048780487805E-2</v>
      </c>
      <c r="L44" s="31">
        <v>0.23823246878001922</v>
      </c>
      <c r="M44" s="31">
        <v>0.2478386167146974</v>
      </c>
      <c r="N44" s="31">
        <v>0.49193548387096775</v>
      </c>
      <c r="O44" s="31">
        <v>0.46124031007751937</v>
      </c>
      <c r="P44" s="31">
        <v>0.43973941368078173</v>
      </c>
    </row>
    <row r="45" spans="1:16" x14ac:dyDescent="0.4">
      <c r="A45" s="33">
        <v>42</v>
      </c>
      <c r="B45" s="30">
        <v>1.865174681370263E-14</v>
      </c>
      <c r="C45" s="30">
        <v>1.4802973661668753E-16</v>
      </c>
      <c r="D45" s="35">
        <v>1.9920634920634921</v>
      </c>
      <c r="E45" s="31">
        <v>0.34126984126984128</v>
      </c>
      <c r="F45" s="31">
        <v>0.33333333333333331</v>
      </c>
      <c r="G45" s="31">
        <v>0.2928436911487759</v>
      </c>
      <c r="H45" s="31">
        <v>0.16384180790960451</v>
      </c>
      <c r="I45" s="32">
        <v>7972.0257234726687</v>
      </c>
      <c r="J45" s="32">
        <v>-7339.6551724137935</v>
      </c>
      <c r="K45" s="31">
        <v>5.5555555555555552E-2</v>
      </c>
      <c r="L45" s="31">
        <v>0.23728813559322035</v>
      </c>
      <c r="M45" s="31">
        <v>0.24858757062146894</v>
      </c>
      <c r="N45" s="31">
        <v>0.48809523809523808</v>
      </c>
      <c r="O45" s="31">
        <v>0.4621212121212121</v>
      </c>
      <c r="P45" s="31">
        <v>0.43729903536977494</v>
      </c>
    </row>
    <row r="46" spans="1:16" x14ac:dyDescent="0.4">
      <c r="A46" s="33">
        <v>43</v>
      </c>
      <c r="B46" s="30">
        <v>2.1316282072803006E-14</v>
      </c>
      <c r="C46" s="30">
        <v>1.6524249668839539E-16</v>
      </c>
      <c r="D46" s="35">
        <v>1.9922480620155039</v>
      </c>
      <c r="E46" s="31">
        <v>0.34108527131782945</v>
      </c>
      <c r="F46" s="31">
        <v>0.33333333333333331</v>
      </c>
      <c r="G46" s="31">
        <v>0.29329608938547486</v>
      </c>
      <c r="H46" s="31">
        <v>0.16387337057728119</v>
      </c>
      <c r="I46" s="32">
        <v>8061.269841269841</v>
      </c>
      <c r="J46" s="32">
        <v>-7392.613636363636</v>
      </c>
      <c r="K46" s="31">
        <v>6.2015503875968991E-2</v>
      </c>
      <c r="L46" s="31">
        <v>0.23836126629422719</v>
      </c>
      <c r="M46" s="31">
        <v>0.24860335195530725</v>
      </c>
      <c r="N46" s="31">
        <v>0.48828125</v>
      </c>
      <c r="O46" s="31">
        <v>0.4606741573033708</v>
      </c>
      <c r="P46" s="31">
        <v>0.43809523809523809</v>
      </c>
    </row>
    <row r="47" spans="1:16" x14ac:dyDescent="0.4">
      <c r="A47" s="33">
        <v>44</v>
      </c>
      <c r="B47" s="30">
        <v>2.5757174171303632E-14</v>
      </c>
      <c r="C47" s="30">
        <v>1.9513010735836085E-16</v>
      </c>
      <c r="D47" s="35">
        <v>1.9924242424242424</v>
      </c>
      <c r="E47" s="31">
        <v>0.34090909090909088</v>
      </c>
      <c r="F47" s="31">
        <v>0.33333333333333331</v>
      </c>
      <c r="G47" s="31">
        <v>0.29347826086956524</v>
      </c>
      <c r="H47" s="31">
        <v>0.16304347826086957</v>
      </c>
      <c r="I47" s="32">
        <v>8046.2962962962965</v>
      </c>
      <c r="J47" s="32">
        <v>-7382.7777777777774</v>
      </c>
      <c r="K47" s="31">
        <v>6.0606060606060608E-2</v>
      </c>
      <c r="L47" s="31">
        <v>0.24184782608695651</v>
      </c>
      <c r="M47" s="31">
        <v>0.24728260869565216</v>
      </c>
      <c r="N47" s="31">
        <v>0.49063670411985016</v>
      </c>
      <c r="O47" s="31">
        <v>0.45787545787545786</v>
      </c>
      <c r="P47" s="31">
        <v>0.44135802469135804</v>
      </c>
    </row>
    <row r="48" spans="1:16" x14ac:dyDescent="0.4">
      <c r="A48" s="33">
        <v>45</v>
      </c>
      <c r="B48" s="30">
        <v>2.4868995751603507E-14</v>
      </c>
      <c r="C48" s="30">
        <v>1.8421478334521115E-16</v>
      </c>
      <c r="D48" s="35">
        <v>1.9925925925925927</v>
      </c>
      <c r="E48" s="31">
        <v>0.34074074074074073</v>
      </c>
      <c r="F48" s="31">
        <v>0.33333333333333331</v>
      </c>
      <c r="G48" s="31">
        <v>0.29411764705882354</v>
      </c>
      <c r="H48" s="31">
        <v>0.16399286987522282</v>
      </c>
      <c r="I48" s="32">
        <v>8052.727272727273</v>
      </c>
      <c r="J48" s="32">
        <v>-7322.282608695652</v>
      </c>
      <c r="K48" s="31">
        <v>5.9259259259259262E-2</v>
      </c>
      <c r="L48" s="31">
        <v>0.24331550802139038</v>
      </c>
      <c r="M48" s="31">
        <v>0.24777183600713013</v>
      </c>
      <c r="N48" s="31">
        <v>0.49816849816849818</v>
      </c>
      <c r="O48" s="31">
        <v>0.45323741007194246</v>
      </c>
      <c r="P48" s="31">
        <v>0.43939393939393939</v>
      </c>
    </row>
    <row r="49" spans="1:16" x14ac:dyDescent="0.4">
      <c r="A49" s="33">
        <v>46</v>
      </c>
      <c r="B49" s="30">
        <v>2.4868995751603507E-14</v>
      </c>
      <c r="C49" s="30">
        <v>1.8021011414205441E-16</v>
      </c>
      <c r="D49" s="35">
        <v>1.9927536231884058</v>
      </c>
      <c r="E49" s="31">
        <v>0.34057971014492755</v>
      </c>
      <c r="F49" s="31">
        <v>0.33333333333333331</v>
      </c>
      <c r="G49" s="31">
        <v>0.29483814523184604</v>
      </c>
      <c r="H49" s="31">
        <v>0.16622922134733159</v>
      </c>
      <c r="I49" s="32">
        <v>7992.2848664688427</v>
      </c>
      <c r="J49" s="32">
        <v>-7269.4736842105267</v>
      </c>
      <c r="K49" s="31">
        <v>5.7971014492753624E-2</v>
      </c>
      <c r="L49" s="31">
        <v>0.24234470691163604</v>
      </c>
      <c r="M49" s="31">
        <v>0.24584426946631671</v>
      </c>
      <c r="N49" s="31">
        <v>0.49819494584837543</v>
      </c>
      <c r="O49" s="31">
        <v>0.45551601423487542</v>
      </c>
      <c r="P49" s="31">
        <v>0.43323442136498519</v>
      </c>
    </row>
    <row r="50" spans="1:16" x14ac:dyDescent="0.4">
      <c r="A50" s="33">
        <v>47</v>
      </c>
      <c r="B50" s="30">
        <v>2.4868995751603507E-14</v>
      </c>
      <c r="C50" s="30">
        <v>1.7637585639435112E-16</v>
      </c>
      <c r="D50" s="35">
        <v>1.9929078014184398</v>
      </c>
      <c r="E50" s="31">
        <v>0.34042553191489361</v>
      </c>
      <c r="F50" s="31">
        <v>0.33333333333333331</v>
      </c>
      <c r="G50" s="31">
        <v>0.29572649572649573</v>
      </c>
      <c r="H50" s="31">
        <v>0.16752136752136751</v>
      </c>
      <c r="I50" s="32">
        <v>8002.023121387283</v>
      </c>
      <c r="J50" s="32">
        <v>-7269.3877551020405</v>
      </c>
      <c r="K50" s="31">
        <v>5.6737588652482268E-2</v>
      </c>
      <c r="L50" s="31">
        <v>0.24102564102564103</v>
      </c>
      <c r="M50" s="31">
        <v>0.24444444444444444</v>
      </c>
      <c r="N50" s="31">
        <v>0.5</v>
      </c>
      <c r="O50" s="31">
        <v>0.45804195804195802</v>
      </c>
      <c r="P50" s="31">
        <v>0.430635838150289</v>
      </c>
    </row>
    <row r="51" spans="1:16" x14ac:dyDescent="0.4">
      <c r="A51" s="33">
        <v>48</v>
      </c>
      <c r="B51" s="30">
        <v>2.1316282072803006E-14</v>
      </c>
      <c r="C51" s="30">
        <v>1.4802973661668753E-16</v>
      </c>
      <c r="D51" s="35">
        <v>1.9930555555555556</v>
      </c>
      <c r="E51" s="31">
        <v>0.34027777777777779</v>
      </c>
      <c r="F51" s="31">
        <v>0.33333333333333331</v>
      </c>
      <c r="G51" s="31">
        <v>0.29648241206030151</v>
      </c>
      <c r="H51" s="31">
        <v>0.16750418760469013</v>
      </c>
      <c r="I51" s="32">
        <v>8001.129943502825</v>
      </c>
      <c r="J51" s="32">
        <v>-7202</v>
      </c>
      <c r="K51" s="31">
        <v>6.25E-2</v>
      </c>
      <c r="L51" s="31">
        <v>0.23953098827470687</v>
      </c>
      <c r="M51" s="31">
        <v>0.24455611390284757</v>
      </c>
      <c r="N51" s="31">
        <v>0.50699300699300698</v>
      </c>
      <c r="O51" s="31">
        <v>0.45547945205479451</v>
      </c>
      <c r="P51" s="31">
        <v>0.43220338983050849</v>
      </c>
    </row>
    <row r="52" spans="1:16" x14ac:dyDescent="0.4">
      <c r="A52" s="33">
        <v>49</v>
      </c>
      <c r="B52" s="30">
        <v>2.1316282072803006E-14</v>
      </c>
      <c r="C52" s="30">
        <v>1.450087215836939E-16</v>
      </c>
      <c r="D52" s="35">
        <v>1.9931972789115646</v>
      </c>
      <c r="E52" s="31">
        <v>0.3401360544217687</v>
      </c>
      <c r="F52" s="31">
        <v>0.33333333333333331</v>
      </c>
      <c r="G52" s="31">
        <v>0.29647829647829649</v>
      </c>
      <c r="H52" s="31">
        <v>0.16707616707616707</v>
      </c>
      <c r="I52" s="32">
        <v>8008.5635359116022</v>
      </c>
      <c r="J52" s="32">
        <v>-7235.7843137254904</v>
      </c>
      <c r="K52" s="31">
        <v>6.1224489795918366E-2</v>
      </c>
      <c r="L52" s="31">
        <v>0.23832923832923833</v>
      </c>
      <c r="M52" s="31">
        <v>0.24242424242424243</v>
      </c>
      <c r="N52" s="31">
        <v>0.51546391752577314</v>
      </c>
      <c r="O52" s="31">
        <v>0.45270270270270269</v>
      </c>
      <c r="P52" s="31">
        <v>0.43370165745856354</v>
      </c>
    </row>
    <row r="53" spans="1:16" x14ac:dyDescent="0.4">
      <c r="A53" s="33">
        <v>50</v>
      </c>
      <c r="B53" s="30">
        <v>1.0658141036401503E-14</v>
      </c>
      <c r="C53" s="30">
        <v>7.105427357601002E-17</v>
      </c>
      <c r="D53" s="35">
        <v>1.9933333333333334</v>
      </c>
      <c r="E53" s="31">
        <v>0.34</v>
      </c>
      <c r="F53" s="31">
        <v>0.33333333333333331</v>
      </c>
      <c r="G53" s="31">
        <v>0.29683698296836986</v>
      </c>
      <c r="H53" s="31">
        <v>0.16626115166261152</v>
      </c>
      <c r="I53" s="32">
        <v>8100.2732240437163</v>
      </c>
      <c r="J53" s="32">
        <v>-7219.5121951219517</v>
      </c>
      <c r="K53" s="31">
        <v>6.6666666666666666E-2</v>
      </c>
      <c r="L53" s="31">
        <v>0.23844282238442821</v>
      </c>
      <c r="M53" s="31">
        <v>0.24249797242497972</v>
      </c>
      <c r="N53" s="31">
        <v>0.51360544217687076</v>
      </c>
      <c r="O53" s="31">
        <v>0.451505016722408</v>
      </c>
      <c r="P53" s="31">
        <v>0.43715846994535518</v>
      </c>
    </row>
    <row r="54" spans="1:16" x14ac:dyDescent="0.4">
      <c r="A54" s="33">
        <v>51</v>
      </c>
      <c r="B54" s="30">
        <v>1.4210854715202004E-14</v>
      </c>
      <c r="C54" s="30">
        <v>9.288140336733336E-17</v>
      </c>
      <c r="D54" s="35">
        <v>1.9934640522875817</v>
      </c>
      <c r="E54" s="31">
        <v>0.33986928104575165</v>
      </c>
      <c r="F54" s="31">
        <v>0.33333333333333331</v>
      </c>
      <c r="G54" s="31">
        <v>0.29603174603174603</v>
      </c>
      <c r="H54" s="31">
        <v>0.16587301587301587</v>
      </c>
      <c r="I54" s="32">
        <v>8101.3404825737261</v>
      </c>
      <c r="J54" s="32">
        <v>-7277.0334928229668</v>
      </c>
      <c r="K54" s="31">
        <v>7.1895424836601302E-2</v>
      </c>
      <c r="L54" s="31">
        <v>0.23968253968253969</v>
      </c>
      <c r="M54" s="31">
        <v>0.24047619047619048</v>
      </c>
      <c r="N54" s="31">
        <v>0.51324503311258274</v>
      </c>
      <c r="O54" s="31">
        <v>0.45544554455445546</v>
      </c>
      <c r="P54" s="31">
        <v>0.43699731903485256</v>
      </c>
    </row>
    <row r="55" spans="1:16" x14ac:dyDescent="0.4">
      <c r="A55" s="33">
        <v>52</v>
      </c>
      <c r="B55" s="30">
        <v>1.4210854715202004E-14</v>
      </c>
      <c r="C55" s="30">
        <v>9.1095222533346175E-17</v>
      </c>
      <c r="D55" s="35">
        <v>1.9935897435897436</v>
      </c>
      <c r="E55" s="31">
        <v>0.33974358974358976</v>
      </c>
      <c r="F55" s="31">
        <v>0.33333333333333331</v>
      </c>
      <c r="G55" s="31">
        <v>0.29715165511932257</v>
      </c>
      <c r="H55" s="31">
        <v>0.16474210931485758</v>
      </c>
      <c r="I55" s="32">
        <v>8041.4507772020725</v>
      </c>
      <c r="J55" s="32">
        <v>-7301.4018691588781</v>
      </c>
      <c r="K55" s="31">
        <v>7.0512820512820512E-2</v>
      </c>
      <c r="L55" s="31">
        <v>0.23633564280215549</v>
      </c>
      <c r="M55" s="31">
        <v>0.24172440338722093</v>
      </c>
      <c r="N55" s="31">
        <v>0.51140065146579805</v>
      </c>
      <c r="O55" s="31">
        <v>0.46178343949044587</v>
      </c>
      <c r="P55" s="31">
        <v>0.44300518134715028</v>
      </c>
    </row>
    <row r="56" spans="1:16" x14ac:dyDescent="0.4">
      <c r="A56" s="33">
        <v>53</v>
      </c>
      <c r="B56" s="30">
        <v>2.1316282072803006E-14</v>
      </c>
      <c r="C56" s="30">
        <v>1.340646671245472E-16</v>
      </c>
      <c r="D56" s="35">
        <v>1.9937106918238994</v>
      </c>
      <c r="E56" s="31">
        <v>0.33962264150943394</v>
      </c>
      <c r="F56" s="31">
        <v>0.33333333333333331</v>
      </c>
      <c r="G56" s="31">
        <v>0.29772727272727273</v>
      </c>
      <c r="H56" s="31">
        <v>0.16590909090909092</v>
      </c>
      <c r="I56" s="32">
        <v>8041.2213740458019</v>
      </c>
      <c r="J56" s="32">
        <v>-7300</v>
      </c>
      <c r="K56" s="31">
        <v>6.9182389937106917E-2</v>
      </c>
      <c r="L56" s="31">
        <v>0.23787878787878788</v>
      </c>
      <c r="M56" s="31">
        <v>0.23863636363636365</v>
      </c>
      <c r="N56" s="31">
        <v>0.51273885350318471</v>
      </c>
      <c r="O56" s="31">
        <v>0.46031746031746029</v>
      </c>
      <c r="P56" s="31">
        <v>0.44020356234096691</v>
      </c>
    </row>
    <row r="57" spans="1:16" x14ac:dyDescent="0.4">
      <c r="A57" s="33">
        <v>54</v>
      </c>
      <c r="B57" s="30">
        <v>2.1316282072803006E-14</v>
      </c>
      <c r="C57" s="30">
        <v>1.3158198810372225E-16</v>
      </c>
      <c r="D57" s="35">
        <v>1.9938271604938271</v>
      </c>
      <c r="E57" s="31">
        <v>0.33950617283950618</v>
      </c>
      <c r="F57" s="31">
        <v>0.33333333333333331</v>
      </c>
      <c r="G57" s="31">
        <v>0.29828486204325133</v>
      </c>
      <c r="H57" s="31">
        <v>0.16480238627889635</v>
      </c>
      <c r="I57" s="32">
        <v>8055.75</v>
      </c>
      <c r="J57" s="32">
        <v>-7257.4660633484164</v>
      </c>
      <c r="K57" s="31">
        <v>7.407407407407407E-2</v>
      </c>
      <c r="L57" s="31">
        <v>0.23862788963460105</v>
      </c>
      <c r="M57" s="31">
        <v>0.23564504101416853</v>
      </c>
      <c r="N57" s="31">
        <v>0.515625</v>
      </c>
      <c r="O57" s="31">
        <v>0.45886075949367089</v>
      </c>
      <c r="P57" s="31">
        <v>0.44500000000000001</v>
      </c>
    </row>
    <row r="58" spans="1:16" x14ac:dyDescent="0.4">
      <c r="A58" s="33">
        <v>55</v>
      </c>
      <c r="B58" s="30">
        <v>2.1316282072803006E-14</v>
      </c>
      <c r="C58" s="30">
        <v>1.2918958832001821E-16</v>
      </c>
      <c r="D58" s="35">
        <v>1.9939393939393939</v>
      </c>
      <c r="E58" s="31">
        <v>0.33939393939393941</v>
      </c>
      <c r="F58" s="31">
        <v>0.33333333333333331</v>
      </c>
      <c r="G58" s="31">
        <v>0.2975929978118162</v>
      </c>
      <c r="H58" s="31">
        <v>0.16338439095550694</v>
      </c>
      <c r="I58" s="32">
        <v>8105.3921568627447</v>
      </c>
      <c r="J58" s="32">
        <v>-7311.6071428571431</v>
      </c>
      <c r="K58" s="31">
        <v>7.2727272727272724E-2</v>
      </c>
      <c r="L58" s="31">
        <v>0.24142961342086069</v>
      </c>
      <c r="M58" s="31">
        <v>0.23340627279358134</v>
      </c>
      <c r="N58" s="31">
        <v>0.51359516616314205</v>
      </c>
      <c r="O58" s="31">
        <v>0.45624999999999999</v>
      </c>
      <c r="P58" s="31">
        <v>0.4485294117647059</v>
      </c>
    </row>
    <row r="59" spans="1:16" x14ac:dyDescent="0.4">
      <c r="A59" s="33">
        <v>56</v>
      </c>
      <c r="B59" s="30">
        <v>2.1316282072803006E-14</v>
      </c>
      <c r="C59" s="30">
        <v>1.2688263138573217E-16</v>
      </c>
      <c r="D59" s="35">
        <v>1.9940476190476191</v>
      </c>
      <c r="E59" s="31">
        <v>0.3392857142857143</v>
      </c>
      <c r="F59" s="31">
        <v>0.33333333333333331</v>
      </c>
      <c r="G59" s="31">
        <v>0.29790310918293567</v>
      </c>
      <c r="H59" s="31">
        <v>0.16413593637020968</v>
      </c>
      <c r="I59" s="32">
        <v>8133.4951456310682</v>
      </c>
      <c r="J59" s="32">
        <v>-7355.9471365638765</v>
      </c>
      <c r="K59" s="31">
        <v>7.7380952380952384E-2</v>
      </c>
      <c r="L59" s="31">
        <v>0.24078091106290672</v>
      </c>
      <c r="M59" s="31">
        <v>0.23282718727404195</v>
      </c>
      <c r="N59" s="31">
        <v>0.51351351351351349</v>
      </c>
      <c r="O59" s="31">
        <v>0.45652173913043476</v>
      </c>
      <c r="P59" s="31">
        <v>0.44660194174757284</v>
      </c>
    </row>
    <row r="60" spans="1:16" x14ac:dyDescent="0.4">
      <c r="A60" s="33">
        <v>57</v>
      </c>
      <c r="B60" s="30">
        <v>2.1316282072803006E-14</v>
      </c>
      <c r="C60" s="30">
        <v>1.246566203087895E-16</v>
      </c>
      <c r="D60" s="35">
        <v>1.9941520467836258</v>
      </c>
      <c r="E60" s="31">
        <v>0.33918128654970758</v>
      </c>
      <c r="F60" s="31">
        <v>0.33333333333333331</v>
      </c>
      <c r="G60" s="31">
        <v>0.2978723404255319</v>
      </c>
      <c r="H60" s="31">
        <v>0.16382978723404254</v>
      </c>
      <c r="I60" s="32">
        <v>8118.8095238095239</v>
      </c>
      <c r="J60" s="32">
        <v>-7292.6406926406926</v>
      </c>
      <c r="K60" s="31">
        <v>7.6023391812865493E-2</v>
      </c>
      <c r="L60" s="31">
        <v>0.2397163120567376</v>
      </c>
      <c r="M60" s="31">
        <v>0.23262411347517731</v>
      </c>
      <c r="N60" s="31">
        <v>0.51479289940828399</v>
      </c>
      <c r="O60" s="31">
        <v>0.45426829268292684</v>
      </c>
      <c r="P60" s="31">
        <v>0.44761904761904764</v>
      </c>
    </row>
    <row r="61" spans="1:16" x14ac:dyDescent="0.4">
      <c r="A61" s="33">
        <v>58</v>
      </c>
      <c r="B61" s="30">
        <v>2.1316282072803006E-14</v>
      </c>
      <c r="C61" s="30">
        <v>1.2250736823450003E-16</v>
      </c>
      <c r="D61" s="35">
        <v>1.9942528735632183</v>
      </c>
      <c r="E61" s="31">
        <v>0.33908045977011492</v>
      </c>
      <c r="F61" s="31">
        <v>0.33333333333333331</v>
      </c>
      <c r="G61" s="31">
        <v>0.29784272790535837</v>
      </c>
      <c r="H61" s="31">
        <v>0.162839248434238</v>
      </c>
      <c r="I61" s="32">
        <v>8090.8878504672894</v>
      </c>
      <c r="J61" s="32">
        <v>-7289.7435897435898</v>
      </c>
      <c r="K61" s="31">
        <v>7.4712643678160925E-2</v>
      </c>
      <c r="L61" s="31">
        <v>0.24008350730688935</v>
      </c>
      <c r="M61" s="31">
        <v>0.23173277661795408</v>
      </c>
      <c r="N61" s="31">
        <v>0.5130434782608696</v>
      </c>
      <c r="O61" s="31">
        <v>0.45645645645645644</v>
      </c>
      <c r="P61" s="31">
        <v>0.45093457943925236</v>
      </c>
    </row>
    <row r="62" spans="1:16" x14ac:dyDescent="0.4">
      <c r="A62" s="33">
        <v>59</v>
      </c>
      <c r="B62" s="30">
        <v>2.4868995751603507E-14</v>
      </c>
      <c r="C62" s="30">
        <v>1.40502800856517E-16</v>
      </c>
      <c r="D62" s="35">
        <v>1.9943502824858756</v>
      </c>
      <c r="E62" s="31">
        <v>0.33898305084745761</v>
      </c>
      <c r="F62" s="31">
        <v>0.33333333333333331</v>
      </c>
      <c r="G62" s="31">
        <v>0.29781420765027322</v>
      </c>
      <c r="H62" s="31">
        <v>0.1646174863387978</v>
      </c>
      <c r="I62" s="32">
        <v>8061.6972477064219</v>
      </c>
      <c r="J62" s="32">
        <v>-7268.8796680497926</v>
      </c>
      <c r="K62" s="31">
        <v>7.909604519774012E-2</v>
      </c>
      <c r="L62" s="31">
        <v>0.24043715846994534</v>
      </c>
      <c r="M62" s="31">
        <v>0.2301912568306011</v>
      </c>
      <c r="N62" s="31">
        <v>0.51420454545454541</v>
      </c>
      <c r="O62" s="31">
        <v>0.45400593471810091</v>
      </c>
      <c r="P62" s="31">
        <v>0.44495412844036697</v>
      </c>
    </row>
    <row r="63" spans="1:16" x14ac:dyDescent="0.4">
      <c r="A63" s="33">
        <v>60</v>
      </c>
      <c r="B63" s="30">
        <v>1.4210854715202004E-14</v>
      </c>
      <c r="C63" s="30">
        <v>7.8949192862233357E-17</v>
      </c>
      <c r="D63" s="35">
        <v>1.9944444444444445</v>
      </c>
      <c r="E63" s="31">
        <v>0.33888888888888891</v>
      </c>
      <c r="F63" s="31">
        <v>0.33333333333333331</v>
      </c>
      <c r="G63" s="31">
        <v>0.29747675962815406</v>
      </c>
      <c r="H63" s="31">
        <v>0.16666666666666666</v>
      </c>
      <c r="I63" s="32">
        <v>8080.8035714285716</v>
      </c>
      <c r="J63" s="32">
        <v>-7294.8207171314743</v>
      </c>
      <c r="K63" s="31">
        <v>8.3333333333333329E-2</v>
      </c>
      <c r="L63" s="31">
        <v>0.2403718459495352</v>
      </c>
      <c r="M63" s="31">
        <v>0.23173970783532535</v>
      </c>
      <c r="N63" s="31">
        <v>0.51657458563535907</v>
      </c>
      <c r="O63" s="31">
        <v>0.44412607449856734</v>
      </c>
      <c r="P63" s="31">
        <v>0.4375</v>
      </c>
    </row>
    <row r="64" spans="1:16" x14ac:dyDescent="0.4">
      <c r="A64" s="33">
        <v>61</v>
      </c>
      <c r="B64" s="30">
        <v>1.5543122344752192E-14</v>
      </c>
      <c r="C64" s="30">
        <v>8.4935094780066616E-17</v>
      </c>
      <c r="D64" s="35">
        <v>1.9945355191256831</v>
      </c>
      <c r="E64" s="31">
        <v>0.33879781420765026</v>
      </c>
      <c r="F64" s="31">
        <v>0.33333333333333331</v>
      </c>
      <c r="G64" s="31">
        <v>0.2948467058056099</v>
      </c>
      <c r="H64" s="31">
        <v>0.16503587736464448</v>
      </c>
      <c r="I64" s="32">
        <v>8093.141592920354</v>
      </c>
      <c r="J64" s="32">
        <v>-7323.715415019763</v>
      </c>
      <c r="K64" s="31">
        <v>8.7431693989071038E-2</v>
      </c>
      <c r="L64" s="31">
        <v>0.2400521852576647</v>
      </c>
      <c r="M64" s="31">
        <v>0.23287671232876711</v>
      </c>
      <c r="N64" s="31">
        <v>0.51086956521739135</v>
      </c>
      <c r="O64" s="31">
        <v>0.44257703081232491</v>
      </c>
      <c r="P64" s="31">
        <v>0.43805309734513276</v>
      </c>
    </row>
    <row r="65" spans="1:16" x14ac:dyDescent="0.4">
      <c r="A65" s="33">
        <v>62</v>
      </c>
      <c r="B65" s="30">
        <v>1.4210854715202004E-14</v>
      </c>
      <c r="C65" s="30">
        <v>7.6402444705387123E-17</v>
      </c>
      <c r="D65" s="35">
        <v>1.9946236559139785</v>
      </c>
      <c r="E65" s="31">
        <v>0.33870967741935482</v>
      </c>
      <c r="F65" s="31">
        <v>0.33333333333333331</v>
      </c>
      <c r="G65" s="31">
        <v>0.29523809523809524</v>
      </c>
      <c r="H65" s="31">
        <v>0.16507936507936508</v>
      </c>
      <c r="I65" s="32">
        <v>8032.9032258064517</v>
      </c>
      <c r="J65" s="32">
        <v>-7229.6153846153848</v>
      </c>
      <c r="K65" s="31">
        <v>8.6021505376344093E-2</v>
      </c>
      <c r="L65" s="31">
        <v>0.23809523809523808</v>
      </c>
      <c r="M65" s="31">
        <v>0.23301587301587301</v>
      </c>
      <c r="N65" s="31">
        <v>0.51733333333333331</v>
      </c>
      <c r="O65" s="31">
        <v>0.44141689373297005</v>
      </c>
      <c r="P65" s="31">
        <v>0.43655913978494626</v>
      </c>
    </row>
    <row r="66" spans="1:16" x14ac:dyDescent="0.4">
      <c r="A66" s="33">
        <v>63</v>
      </c>
      <c r="B66" s="30">
        <v>1.7763568394002505E-14</v>
      </c>
      <c r="C66" s="30">
        <v>9.3987134359801607E-17</v>
      </c>
      <c r="D66" s="35">
        <v>1.9947089947089947</v>
      </c>
      <c r="E66" s="31">
        <v>0.33862433862433861</v>
      </c>
      <c r="F66" s="31">
        <v>0.33333333333333331</v>
      </c>
      <c r="G66" s="31">
        <v>0.29580988117573481</v>
      </c>
      <c r="H66" s="31">
        <v>0.16385240775484677</v>
      </c>
      <c r="I66" s="32">
        <v>8030.0211416490483</v>
      </c>
      <c r="J66" s="32">
        <v>-7228.2442748091607</v>
      </c>
      <c r="K66" s="31">
        <v>8.4656084656084651E-2</v>
      </c>
      <c r="L66" s="31">
        <v>0.2407754846779237</v>
      </c>
      <c r="M66" s="31">
        <v>0.2320200125078174</v>
      </c>
      <c r="N66" s="31">
        <v>0.51168831168831164</v>
      </c>
      <c r="O66" s="31">
        <v>0.44204851752021562</v>
      </c>
      <c r="P66" s="31">
        <v>0.44186046511627908</v>
      </c>
    </row>
    <row r="67" spans="1:16" x14ac:dyDescent="0.4">
      <c r="A67" s="33">
        <v>64</v>
      </c>
      <c r="B67" s="30">
        <v>2.2648549702353193E-14</v>
      </c>
      <c r="C67" s="30">
        <v>1.1796119636642288E-16</v>
      </c>
      <c r="D67" s="35">
        <v>1.9947916666666667</v>
      </c>
      <c r="E67" s="31">
        <v>0.33854166666666669</v>
      </c>
      <c r="F67" s="31">
        <v>0.33333333333333331</v>
      </c>
      <c r="G67" s="31">
        <v>0.29520295202952029</v>
      </c>
      <c r="H67" s="31">
        <v>0.16420664206642066</v>
      </c>
      <c r="I67" s="32">
        <v>8009.583333333333</v>
      </c>
      <c r="J67" s="32">
        <v>-7242.3220973782772</v>
      </c>
      <c r="K67" s="31">
        <v>8.8541666666666671E-2</v>
      </c>
      <c r="L67" s="31">
        <v>0.24231242312423124</v>
      </c>
      <c r="M67" s="31">
        <v>0.23308733087330874</v>
      </c>
      <c r="N67" s="31">
        <v>0.50761421319796951</v>
      </c>
      <c r="O67" s="31">
        <v>0.44063324538258575</v>
      </c>
      <c r="P67" s="31">
        <v>0.43958333333333333</v>
      </c>
    </row>
    <row r="68" spans="1:16" x14ac:dyDescent="0.4">
      <c r="A68" s="33">
        <v>65</v>
      </c>
      <c r="B68" s="30">
        <v>2.1316282072803006E-14</v>
      </c>
      <c r="C68" s="30">
        <v>1.0931426704001542E-16</v>
      </c>
      <c r="D68" s="35">
        <v>1.9948717948717949</v>
      </c>
      <c r="E68" s="31">
        <v>0.33846153846153848</v>
      </c>
      <c r="F68" s="31">
        <v>0.33333333333333331</v>
      </c>
      <c r="G68" s="31">
        <v>0.29515151515151516</v>
      </c>
      <c r="H68" s="31">
        <v>0.16484848484848486</v>
      </c>
      <c r="I68" s="32">
        <v>8069.8151950718684</v>
      </c>
      <c r="J68" s="32">
        <v>-7312.8676470588234</v>
      </c>
      <c r="K68" s="31">
        <v>8.7179487179487175E-2</v>
      </c>
      <c r="L68" s="31">
        <v>0.24424242424242423</v>
      </c>
      <c r="M68" s="31">
        <v>0.23272727272727273</v>
      </c>
      <c r="N68" s="31">
        <v>0.50868486352357323</v>
      </c>
      <c r="O68" s="31">
        <v>0.44010416666666669</v>
      </c>
      <c r="P68" s="31">
        <v>0.43737166324435317</v>
      </c>
    </row>
    <row r="69" spans="1:16" x14ac:dyDescent="0.4">
      <c r="A69" s="33">
        <v>66</v>
      </c>
      <c r="B69" s="30">
        <v>2.1316282072803006E-14</v>
      </c>
      <c r="C69" s="30">
        <v>1.0765799026668185E-16</v>
      </c>
      <c r="D69" s="35">
        <v>1.994949494949495</v>
      </c>
      <c r="E69" s="31">
        <v>0.3383838383838384</v>
      </c>
      <c r="F69" s="31">
        <v>0.33333333333333331</v>
      </c>
      <c r="G69" s="31">
        <v>0.29443447037701975</v>
      </c>
      <c r="H69" s="31">
        <v>0.16517055655296231</v>
      </c>
      <c r="I69" s="32">
        <v>8070.9349593495936</v>
      </c>
      <c r="J69" s="32">
        <v>-7350.724637681159</v>
      </c>
      <c r="K69" s="31">
        <v>8.5858585858585856E-2</v>
      </c>
      <c r="L69" s="31">
        <v>0.24416517055655296</v>
      </c>
      <c r="M69" s="31">
        <v>0.23159784560143626</v>
      </c>
      <c r="N69" s="31">
        <v>0.50735294117647056</v>
      </c>
      <c r="O69" s="31">
        <v>0.43927648578811368</v>
      </c>
      <c r="P69" s="31">
        <v>0.43495934959349591</v>
      </c>
    </row>
    <row r="70" spans="1:16" x14ac:dyDescent="0.4">
      <c r="A70" s="33">
        <v>67</v>
      </c>
      <c r="B70" s="30">
        <v>2.1316282072803006E-14</v>
      </c>
      <c r="C70" s="30">
        <v>1.0605115459105973E-16</v>
      </c>
      <c r="D70" s="35">
        <v>1.9950248756218905</v>
      </c>
      <c r="E70" s="31">
        <v>0.3383084577114428</v>
      </c>
      <c r="F70" s="31">
        <v>0.33333333333333331</v>
      </c>
      <c r="G70" s="31">
        <v>0.29328621908127206</v>
      </c>
      <c r="H70" s="31">
        <v>0.16431095406360424</v>
      </c>
      <c r="I70" s="32">
        <v>8018.8755020080325</v>
      </c>
      <c r="J70" s="32">
        <v>-7294.9820788530469</v>
      </c>
      <c r="K70" s="31">
        <v>8.45771144278607E-2</v>
      </c>
      <c r="L70" s="31">
        <v>0.24440518256772673</v>
      </c>
      <c r="M70" s="31">
        <v>0.2314487632508834</v>
      </c>
      <c r="N70" s="31">
        <v>0.50120481927710847</v>
      </c>
      <c r="O70" s="31">
        <v>0.43765903307888043</v>
      </c>
      <c r="P70" s="31">
        <v>0.43574297188755018</v>
      </c>
    </row>
    <row r="71" spans="1:16" x14ac:dyDescent="0.4">
      <c r="A71" s="33">
        <v>68</v>
      </c>
      <c r="B71" s="30">
        <v>2.3092638912203256E-14</v>
      </c>
      <c r="C71" s="30">
        <v>1.1319921035393752E-16</v>
      </c>
      <c r="D71" s="35">
        <v>1.9950980392156863</v>
      </c>
      <c r="E71" s="31">
        <v>0.33823529411764708</v>
      </c>
      <c r="F71" s="31">
        <v>0.33333333333333331</v>
      </c>
      <c r="G71" s="31">
        <v>0.29333333333333333</v>
      </c>
      <c r="H71" s="31">
        <v>0.16637681159420289</v>
      </c>
      <c r="I71" s="32">
        <v>8029.644268774704</v>
      </c>
      <c r="J71" s="32">
        <v>-7334.1463414634145</v>
      </c>
      <c r="K71" s="31">
        <v>8.3333333333333329E-2</v>
      </c>
      <c r="L71" s="31">
        <v>0.24521739130434783</v>
      </c>
      <c r="M71" s="31">
        <v>0.2336231884057971</v>
      </c>
      <c r="N71" s="31">
        <v>0.50118203309692666</v>
      </c>
      <c r="O71" s="31">
        <v>0.4317617866004963</v>
      </c>
      <c r="P71" s="31">
        <v>0.42885375494071148</v>
      </c>
    </row>
    <row r="72" spans="1:16" x14ac:dyDescent="0.4">
      <c r="A72" s="33">
        <v>69</v>
      </c>
      <c r="B72" s="30">
        <v>1.865174681370263E-14</v>
      </c>
      <c r="C72" s="30">
        <v>9.0105057071027203E-17</v>
      </c>
      <c r="D72" s="35">
        <v>1.9951690821256038</v>
      </c>
      <c r="E72" s="31">
        <v>0.33816425120772947</v>
      </c>
      <c r="F72" s="31">
        <v>0.33333333333333331</v>
      </c>
      <c r="G72" s="31">
        <v>0.29324169530355099</v>
      </c>
      <c r="H72" s="31">
        <v>0.16494845360824742</v>
      </c>
      <c r="I72" s="32">
        <v>8075.5859375</v>
      </c>
      <c r="J72" s="32">
        <v>-7335.416666666667</v>
      </c>
      <c r="K72" s="31">
        <v>8.2125603864734303E-2</v>
      </c>
      <c r="L72" s="31">
        <v>0.24513172966781213</v>
      </c>
      <c r="M72" s="31">
        <v>0.23482245131729668</v>
      </c>
      <c r="N72" s="31">
        <v>0.50467289719626163</v>
      </c>
      <c r="O72" s="31">
        <v>0.42682926829268292</v>
      </c>
      <c r="P72" s="31">
        <v>0.43359375</v>
      </c>
    </row>
    <row r="73" spans="1:16" x14ac:dyDescent="0.4">
      <c r="A73" s="33">
        <v>70</v>
      </c>
      <c r="B73" s="30">
        <v>1.7763568394002505E-14</v>
      </c>
      <c r="C73" s="30">
        <v>8.4588420923821446E-17</v>
      </c>
      <c r="D73" s="35">
        <v>1.9952380952380953</v>
      </c>
      <c r="E73" s="31">
        <v>0.33809523809523812</v>
      </c>
      <c r="F73" s="31">
        <v>0.33333333333333331</v>
      </c>
      <c r="G73" s="31">
        <v>0.29322033898305083</v>
      </c>
      <c r="H73" s="31">
        <v>0.1655367231638418</v>
      </c>
      <c r="I73" s="32">
        <v>8055.1059730250481</v>
      </c>
      <c r="J73" s="32">
        <v>-7298.6348122866893</v>
      </c>
      <c r="K73" s="31">
        <v>8.0952380952380956E-2</v>
      </c>
      <c r="L73" s="31">
        <v>0.24576271186440679</v>
      </c>
      <c r="M73" s="31">
        <v>0.2344632768361582</v>
      </c>
      <c r="N73" s="31">
        <v>0.50574712643678166</v>
      </c>
      <c r="O73" s="31">
        <v>0.42409638554216866</v>
      </c>
      <c r="P73" s="31">
        <v>0.43159922928709055</v>
      </c>
    </row>
    <row r="74" spans="1:16" x14ac:dyDescent="0.4">
      <c r="A74" s="33">
        <v>71</v>
      </c>
      <c r="B74" s="30">
        <v>2.1316282072803006E-14</v>
      </c>
      <c r="C74" s="30">
        <v>1.0007644165635214E-16</v>
      </c>
      <c r="D74" s="35">
        <v>1.9953051643192488</v>
      </c>
      <c r="E74" s="31">
        <v>0.3380281690140845</v>
      </c>
      <c r="F74" s="31">
        <v>0.33333333333333331</v>
      </c>
      <c r="G74" s="31">
        <v>0.29375696767001114</v>
      </c>
      <c r="H74" s="31">
        <v>0.16610925306577481</v>
      </c>
      <c r="I74" s="32">
        <v>8064.7058823529414</v>
      </c>
      <c r="J74" s="32">
        <v>-7332.8859060402683</v>
      </c>
      <c r="K74" s="31">
        <v>7.9812206572769953E-2</v>
      </c>
      <c r="L74" s="31">
        <v>0.24526198439241917</v>
      </c>
      <c r="M74" s="31">
        <v>0.23467112597547379</v>
      </c>
      <c r="N74" s="31">
        <v>0.50454545454545452</v>
      </c>
      <c r="O74" s="31">
        <v>0.42755344418052255</v>
      </c>
      <c r="P74" s="31">
        <v>0.43074003795066412</v>
      </c>
    </row>
    <row r="75" spans="1:16" x14ac:dyDescent="0.4">
      <c r="A75" s="33">
        <v>72</v>
      </c>
      <c r="B75" s="30">
        <v>2.55351295663786E-14</v>
      </c>
      <c r="C75" s="30">
        <v>1.1821819243693797E-16</v>
      </c>
      <c r="D75" s="35">
        <v>1.9953703703703705</v>
      </c>
      <c r="E75" s="31">
        <v>0.33796296296296297</v>
      </c>
      <c r="F75" s="31">
        <v>0.33333333333333331</v>
      </c>
      <c r="G75" s="31">
        <v>0.2943437671609006</v>
      </c>
      <c r="H75" s="31">
        <v>0.16639209225700163</v>
      </c>
      <c r="I75" s="32">
        <v>8077.9850746268658</v>
      </c>
      <c r="J75" s="32">
        <v>-7349.1749174917495</v>
      </c>
      <c r="K75" s="31">
        <v>8.3333333333333329E-2</v>
      </c>
      <c r="L75" s="31">
        <v>0.24382207578253706</v>
      </c>
      <c r="M75" s="31">
        <v>0.23338824821526633</v>
      </c>
      <c r="N75" s="31">
        <v>0.5067567567567568</v>
      </c>
      <c r="O75" s="31">
        <v>0.42823529411764705</v>
      </c>
      <c r="P75" s="31">
        <v>0.43097014925373134</v>
      </c>
    </row>
    <row r="76" spans="1:16" x14ac:dyDescent="0.4">
      <c r="A76" s="33">
        <v>73</v>
      </c>
      <c r="B76" s="30">
        <v>2.8421709430404007E-14</v>
      </c>
      <c r="C76" s="30">
        <v>1.2977949511600003E-16</v>
      </c>
      <c r="D76" s="35">
        <v>1.995433789954338</v>
      </c>
      <c r="E76" s="31">
        <v>0.33789954337899542</v>
      </c>
      <c r="F76" s="31">
        <v>0.33333333333333331</v>
      </c>
      <c r="G76" s="31">
        <v>0.2943089430894309</v>
      </c>
      <c r="H76" s="31">
        <v>0.16693766937669377</v>
      </c>
      <c r="I76" s="32">
        <v>8057.6427255985263</v>
      </c>
      <c r="J76" s="32">
        <v>-7346.4285714285716</v>
      </c>
      <c r="K76" s="31">
        <v>8.2191780821917804E-2</v>
      </c>
      <c r="L76" s="31">
        <v>0.24281842818428184</v>
      </c>
      <c r="M76" s="31">
        <v>0.23523035230352304</v>
      </c>
      <c r="N76" s="31">
        <v>0.5089285714285714</v>
      </c>
      <c r="O76" s="31">
        <v>0.42857142857142855</v>
      </c>
      <c r="P76" s="31">
        <v>0.42909760589318602</v>
      </c>
    </row>
    <row r="77" spans="1:16" x14ac:dyDescent="0.4">
      <c r="A77" s="33">
        <v>74</v>
      </c>
      <c r="B77" s="30">
        <v>3.5527136788005009E-14</v>
      </c>
      <c r="C77" s="30">
        <v>1.6003214769371625E-16</v>
      </c>
      <c r="D77" s="35">
        <v>1.9954954954954955</v>
      </c>
      <c r="E77" s="31">
        <v>0.33783783783783783</v>
      </c>
      <c r="F77" s="31">
        <v>0.33333333333333331</v>
      </c>
      <c r="G77" s="31">
        <v>0.29399255715045186</v>
      </c>
      <c r="H77" s="31">
        <v>0.16799574694311536</v>
      </c>
      <c r="I77" s="32">
        <v>8049.1862567811932</v>
      </c>
      <c r="J77" s="32">
        <v>-7318.0379746835442</v>
      </c>
      <c r="K77" s="31">
        <v>8.1081081081081086E-2</v>
      </c>
      <c r="L77" s="31">
        <v>0.23976608187134502</v>
      </c>
      <c r="M77" s="31">
        <v>0.23179160021265285</v>
      </c>
      <c r="N77" s="31">
        <v>0.50997782705099781</v>
      </c>
      <c r="O77" s="31">
        <v>0.42889908256880732</v>
      </c>
      <c r="P77" s="31">
        <v>0.42495479204339964</v>
      </c>
    </row>
    <row r="78" spans="1:16" x14ac:dyDescent="0.4">
      <c r="A78" s="33">
        <v>75</v>
      </c>
      <c r="B78" s="30">
        <v>3.4083846855992306E-14</v>
      </c>
      <c r="C78" s="30">
        <v>1.5148376380441024E-16</v>
      </c>
      <c r="D78" s="35">
        <v>1.9955555555555555</v>
      </c>
      <c r="E78" s="31">
        <v>0.33777777777777779</v>
      </c>
      <c r="F78" s="31">
        <v>0.33333333333333331</v>
      </c>
      <c r="G78" s="31">
        <v>0.29442691903259727</v>
      </c>
      <c r="H78" s="31">
        <v>0.16719242902208201</v>
      </c>
      <c r="I78" s="32">
        <v>8032.3214285714284</v>
      </c>
      <c r="J78" s="32">
        <v>-7305.3459119496856</v>
      </c>
      <c r="K78" s="31">
        <v>0.08</v>
      </c>
      <c r="L78" s="31">
        <v>0.23817034700315456</v>
      </c>
      <c r="M78" s="31">
        <v>0.231335436382755</v>
      </c>
      <c r="N78" s="31">
        <v>0.51214128035320083</v>
      </c>
      <c r="O78" s="31">
        <v>0.42727272727272725</v>
      </c>
      <c r="P78" s="31">
        <v>0.42857142857142855</v>
      </c>
    </row>
    <row r="79" spans="1:16" x14ac:dyDescent="0.4">
      <c r="A79" s="33">
        <v>76</v>
      </c>
      <c r="B79" s="30">
        <v>3.5527136788005009E-14</v>
      </c>
      <c r="C79" s="30">
        <v>1.5582077538598687E-16</v>
      </c>
      <c r="D79" s="35">
        <v>1.9956140350877194</v>
      </c>
      <c r="E79" s="31">
        <v>0.33771929824561403</v>
      </c>
      <c r="F79" s="31">
        <v>0.33333333333333331</v>
      </c>
      <c r="G79" s="31">
        <v>0.29427083333333331</v>
      </c>
      <c r="H79" s="31">
        <v>0.16666666666666666</v>
      </c>
      <c r="I79" s="32">
        <v>8024.9557522123896</v>
      </c>
      <c r="J79" s="32">
        <v>-7309.6875</v>
      </c>
      <c r="K79" s="31">
        <v>7.8947368421052627E-2</v>
      </c>
      <c r="L79" s="31">
        <v>0.23854166666666668</v>
      </c>
      <c r="M79" s="31">
        <v>0.23125000000000001</v>
      </c>
      <c r="N79" s="31">
        <v>0.51310043668122274</v>
      </c>
      <c r="O79" s="31">
        <v>0.42567567567567566</v>
      </c>
      <c r="P79" s="31">
        <v>0.43008849557522122</v>
      </c>
    </row>
    <row r="80" spans="1:16" x14ac:dyDescent="0.4">
      <c r="A80" s="33">
        <v>77</v>
      </c>
      <c r="B80" s="30">
        <v>3.6859404417555197E-14</v>
      </c>
      <c r="C80" s="30">
        <v>1.5956452128811773E-16</v>
      </c>
      <c r="D80" s="35">
        <v>1.9956709956709957</v>
      </c>
      <c r="E80" s="31">
        <v>0.33766233766233766</v>
      </c>
      <c r="F80" s="31">
        <v>0.33333333333333331</v>
      </c>
      <c r="G80" s="31">
        <v>0.29417825862957236</v>
      </c>
      <c r="H80" s="31">
        <v>0.16640906749098403</v>
      </c>
      <c r="I80" s="32">
        <v>8000.5253940455341</v>
      </c>
      <c r="J80" s="32">
        <v>-7306.5015479876165</v>
      </c>
      <c r="K80" s="31">
        <v>7.792207792207792E-2</v>
      </c>
      <c r="L80" s="31">
        <v>0.2390520350334879</v>
      </c>
      <c r="M80" s="31">
        <v>0.23080886141164347</v>
      </c>
      <c r="N80" s="31">
        <v>0.51508620689655171</v>
      </c>
      <c r="O80" s="31">
        <v>0.42410714285714285</v>
      </c>
      <c r="P80" s="31">
        <v>0.43082311733800349</v>
      </c>
    </row>
    <row r="81" spans="1:16" x14ac:dyDescent="0.4">
      <c r="A81" s="33">
        <v>78</v>
      </c>
      <c r="B81" s="30">
        <v>3.5527136788005009E-14</v>
      </c>
      <c r="C81" s="30">
        <v>1.518253708889103E-16</v>
      </c>
      <c r="D81" s="35">
        <v>1.9957264957264957</v>
      </c>
      <c r="E81" s="31">
        <v>0.33760683760683763</v>
      </c>
      <c r="F81" s="31">
        <v>0.33333333333333331</v>
      </c>
      <c r="G81" s="31">
        <v>0.29408766564729866</v>
      </c>
      <c r="H81" s="31">
        <v>0.16666666666666666</v>
      </c>
      <c r="I81" s="32">
        <v>8006.0658578856155</v>
      </c>
      <c r="J81" s="32">
        <v>-7345.565749235474</v>
      </c>
      <c r="K81" s="31">
        <v>7.6923076923076927E-2</v>
      </c>
      <c r="L81" s="31">
        <v>0.23802242609582058</v>
      </c>
      <c r="M81" s="31">
        <v>0.23037716615698267</v>
      </c>
      <c r="N81" s="31">
        <v>0.5182012847965739</v>
      </c>
      <c r="O81" s="31">
        <v>0.42699115044247787</v>
      </c>
      <c r="P81" s="31">
        <v>0.42980935875216636</v>
      </c>
    </row>
    <row r="82" spans="1:16" x14ac:dyDescent="0.4">
      <c r="A82" s="33">
        <v>79</v>
      </c>
      <c r="B82" s="30">
        <v>3.1974423109204508E-14</v>
      </c>
      <c r="C82" s="30">
        <v>1.3491317767596839E-16</v>
      </c>
      <c r="D82" s="35">
        <v>1.9957805907172996</v>
      </c>
      <c r="E82" s="31">
        <v>0.33755274261603374</v>
      </c>
      <c r="F82" s="31">
        <v>0.33333333333333331</v>
      </c>
      <c r="G82" s="31">
        <v>0.29411764705882354</v>
      </c>
      <c r="H82" s="31">
        <v>0.167420814479638</v>
      </c>
      <c r="I82" s="32">
        <v>7969.2307692307695</v>
      </c>
      <c r="J82" s="32">
        <v>-7319.8198198198197</v>
      </c>
      <c r="K82" s="31">
        <v>7.5949367088607597E-2</v>
      </c>
      <c r="L82" s="31">
        <v>0.23831070889894421</v>
      </c>
      <c r="M82" s="31">
        <v>0.23026646556058319</v>
      </c>
      <c r="N82" s="31">
        <v>0.52109704641350207</v>
      </c>
      <c r="O82" s="31">
        <v>0.42358078602620086</v>
      </c>
      <c r="P82" s="31">
        <v>0.42735042735042733</v>
      </c>
    </row>
    <row r="83" spans="1:16" x14ac:dyDescent="0.4">
      <c r="A83" s="33">
        <v>80</v>
      </c>
      <c r="B83" s="30">
        <v>3.5527136788005009E-14</v>
      </c>
      <c r="C83" s="30">
        <v>1.4802973661668753E-16</v>
      </c>
      <c r="D83" s="35">
        <v>1.9958333333333333</v>
      </c>
      <c r="E83" s="31">
        <v>0.33750000000000002</v>
      </c>
      <c r="F83" s="31">
        <v>0.33333333333333331</v>
      </c>
      <c r="G83" s="31">
        <v>0.29402985074626864</v>
      </c>
      <c r="H83" s="31">
        <v>0.16766169154228855</v>
      </c>
      <c r="I83" s="32">
        <v>8001.5228426395943</v>
      </c>
      <c r="J83" s="32">
        <v>-7336.4985163204747</v>
      </c>
      <c r="K83" s="31">
        <v>7.9166666666666663E-2</v>
      </c>
      <c r="L83" s="31">
        <v>0.23781094527363184</v>
      </c>
      <c r="M83" s="31">
        <v>0.23034825870646766</v>
      </c>
      <c r="N83" s="31">
        <v>0.52092050209205021</v>
      </c>
      <c r="O83" s="31">
        <v>0.42116630669546434</v>
      </c>
      <c r="P83" s="31">
        <v>0.42639593908629442</v>
      </c>
    </row>
    <row r="84" spans="1:16" x14ac:dyDescent="0.4">
      <c r="A84" s="33">
        <v>81</v>
      </c>
      <c r="B84" s="30">
        <v>3.5527136788005009E-14</v>
      </c>
      <c r="C84" s="30">
        <v>1.4620220900413584E-16</v>
      </c>
      <c r="D84" s="35">
        <v>1.9958847736625513</v>
      </c>
      <c r="E84" s="31">
        <v>0.33744855967078191</v>
      </c>
      <c r="F84" s="31">
        <v>0.33333333333333331</v>
      </c>
      <c r="G84" s="31">
        <v>0.29368575624082233</v>
      </c>
      <c r="H84" s="31">
        <v>0.16642192853646598</v>
      </c>
      <c r="I84" s="32">
        <v>8015.333333333333</v>
      </c>
      <c r="J84" s="32">
        <v>-7311.1764705882351</v>
      </c>
      <c r="K84" s="31">
        <v>7.8189300411522639E-2</v>
      </c>
      <c r="L84" s="31">
        <v>0.23592755751346059</v>
      </c>
      <c r="M84" s="31">
        <v>0.23201174743024963</v>
      </c>
      <c r="N84" s="31">
        <v>0.52282157676348551</v>
      </c>
      <c r="O84" s="31">
        <v>0.42405063291139239</v>
      </c>
      <c r="P84" s="31">
        <v>0.43</v>
      </c>
    </row>
    <row r="85" spans="1:16" x14ac:dyDescent="0.4">
      <c r="A85" s="33">
        <v>82</v>
      </c>
      <c r="B85" s="30">
        <v>3.2862601528904634E-14</v>
      </c>
      <c r="C85" s="30">
        <v>1.3358781109310828E-16</v>
      </c>
      <c r="D85" s="35">
        <v>1.9959349593495934</v>
      </c>
      <c r="E85" s="31">
        <v>0.33739837398373984</v>
      </c>
      <c r="F85" s="31">
        <v>0.33333333333333331</v>
      </c>
      <c r="G85" s="31">
        <v>0.29408914728682173</v>
      </c>
      <c r="H85" s="31">
        <v>0.16618217054263565</v>
      </c>
      <c r="I85" s="32">
        <v>7990.7742998352551</v>
      </c>
      <c r="J85" s="32">
        <v>-7316.9096209912541</v>
      </c>
      <c r="K85" s="31">
        <v>7.7235772357723581E-2</v>
      </c>
      <c r="L85" s="31">
        <v>0.23498062015503876</v>
      </c>
      <c r="M85" s="31">
        <v>0.23352713178294573</v>
      </c>
      <c r="N85" s="31">
        <v>0.52164948453608251</v>
      </c>
      <c r="O85" s="31">
        <v>0.42738589211618255</v>
      </c>
      <c r="P85" s="31">
        <v>0.43163097199341022</v>
      </c>
    </row>
    <row r="86" spans="1:16" x14ac:dyDescent="0.4">
      <c r="A86" s="33">
        <v>83</v>
      </c>
      <c r="B86" s="30">
        <v>2.8421709430404007E-14</v>
      </c>
      <c r="C86" s="30">
        <v>1.1414341136708436E-16</v>
      </c>
      <c r="D86" s="35">
        <v>1.9959839357429718</v>
      </c>
      <c r="E86" s="31">
        <v>0.33734939759036142</v>
      </c>
      <c r="F86" s="31">
        <v>0.33333333333333331</v>
      </c>
      <c r="G86" s="31">
        <v>0.29428571428571426</v>
      </c>
      <c r="H86" s="31">
        <v>0.16714285714285715</v>
      </c>
      <c r="I86" s="32">
        <v>7969.5792880258896</v>
      </c>
      <c r="J86" s="32">
        <v>-7307.4074074074078</v>
      </c>
      <c r="K86" s="31">
        <v>7.6305220883534142E-2</v>
      </c>
      <c r="L86" s="31">
        <v>0.23714285714285716</v>
      </c>
      <c r="M86" s="31">
        <v>0.23285714285714285</v>
      </c>
      <c r="N86" s="31">
        <v>0.52008032128514059</v>
      </c>
      <c r="O86" s="31">
        <v>0.42740286298568508</v>
      </c>
      <c r="P86" s="31">
        <v>0.42718446601941745</v>
      </c>
    </row>
    <row r="87" spans="1:16" x14ac:dyDescent="0.4">
      <c r="A87" s="33">
        <v>84</v>
      </c>
      <c r="B87" s="30">
        <v>2.8421709430404007E-14</v>
      </c>
      <c r="C87" s="30">
        <v>1.1278456123176193E-16</v>
      </c>
      <c r="D87" s="35">
        <v>1.996031746031746</v>
      </c>
      <c r="E87" s="31">
        <v>0.33730158730158732</v>
      </c>
      <c r="F87" s="31">
        <v>0.33333333333333331</v>
      </c>
      <c r="G87" s="31">
        <v>0.29472693032015068</v>
      </c>
      <c r="H87" s="31">
        <v>0.16807909604519775</v>
      </c>
      <c r="I87" s="32">
        <v>7959.7444089456867</v>
      </c>
      <c r="J87" s="32">
        <v>-7323.5294117647063</v>
      </c>
      <c r="K87" s="31">
        <v>7.5396825396825393E-2</v>
      </c>
      <c r="L87" s="31">
        <v>0.2396421845574388</v>
      </c>
      <c r="M87" s="31">
        <v>0.23305084745762711</v>
      </c>
      <c r="N87" s="31">
        <v>0.51866404715127701</v>
      </c>
      <c r="O87" s="31">
        <v>0.42626262626262629</v>
      </c>
      <c r="P87" s="31">
        <v>0.42492012779552718</v>
      </c>
    </row>
    <row r="88" spans="1:16" x14ac:dyDescent="0.4">
      <c r="A88" s="33">
        <v>85</v>
      </c>
      <c r="B88" s="30">
        <v>2.8421709430404007E-14</v>
      </c>
      <c r="C88" s="30">
        <v>1.1145768404080003E-16</v>
      </c>
      <c r="D88" s="35">
        <v>1.996078431372549</v>
      </c>
      <c r="E88" s="31">
        <v>0.33725490196078434</v>
      </c>
      <c r="F88" s="31">
        <v>0.33333333333333331</v>
      </c>
      <c r="G88" s="31">
        <v>0.2951582867783985</v>
      </c>
      <c r="H88" s="31">
        <v>0.16759776536312848</v>
      </c>
      <c r="I88" s="32">
        <v>7974.1324921135647</v>
      </c>
      <c r="J88" s="32">
        <v>-7350.5555555555557</v>
      </c>
      <c r="K88" s="31">
        <v>7.4509803921568626E-2</v>
      </c>
      <c r="L88" s="31">
        <v>0.23975791433891994</v>
      </c>
      <c r="M88" s="31">
        <v>0.23277467411545624</v>
      </c>
      <c r="N88" s="31">
        <v>0.51844660194174752</v>
      </c>
      <c r="O88" s="31">
        <v>0.42599999999999999</v>
      </c>
      <c r="P88" s="31">
        <v>0.4274447949526814</v>
      </c>
    </row>
    <row r="89" spans="1:16" x14ac:dyDescent="0.4">
      <c r="A89" s="33">
        <v>86</v>
      </c>
      <c r="B89" s="30">
        <v>2.8421709430404007E-14</v>
      </c>
      <c r="C89" s="30">
        <v>1.1016166445893026E-16</v>
      </c>
      <c r="D89" s="35">
        <v>1.9961240310077519</v>
      </c>
      <c r="E89" s="31">
        <v>0.33720930232558138</v>
      </c>
      <c r="F89" s="31">
        <v>0.33333333333333331</v>
      </c>
      <c r="G89" s="31">
        <v>0.29517241379310344</v>
      </c>
      <c r="H89" s="31">
        <v>0.16689655172413792</v>
      </c>
      <c r="I89" s="32">
        <v>7984.5794392523367</v>
      </c>
      <c r="J89" s="32">
        <v>-7336.6391184573004</v>
      </c>
      <c r="K89" s="31">
        <v>7.3643410852713184E-2</v>
      </c>
      <c r="L89" s="31">
        <v>0.23816091954022989</v>
      </c>
      <c r="M89" s="31">
        <v>0.23402298850574713</v>
      </c>
      <c r="N89" s="31">
        <v>0.51930501930501927</v>
      </c>
      <c r="O89" s="31">
        <v>0.42436149312377208</v>
      </c>
      <c r="P89" s="31">
        <v>0.42990654205607476</v>
      </c>
    </row>
    <row r="90" spans="1:16" x14ac:dyDescent="0.4">
      <c r="A90" s="33">
        <v>87</v>
      </c>
      <c r="B90" s="30">
        <v>2.8421709430404007E-14</v>
      </c>
      <c r="C90" s="30">
        <v>1.0889543843066669E-16</v>
      </c>
      <c r="D90" s="35">
        <v>1.9961685823754789</v>
      </c>
      <c r="E90" s="31">
        <v>0.33716475095785442</v>
      </c>
      <c r="F90" s="31">
        <v>0.33333333333333331</v>
      </c>
      <c r="G90" s="31">
        <v>0.29589041095890412</v>
      </c>
      <c r="H90" s="31">
        <v>0.16666666666666666</v>
      </c>
      <c r="I90" s="32">
        <v>7999.2283950617284</v>
      </c>
      <c r="J90" s="32">
        <v>-7392.8767123287671</v>
      </c>
      <c r="K90" s="31">
        <v>7.662835249042145E-2</v>
      </c>
      <c r="L90" s="31">
        <v>0.23789954337899544</v>
      </c>
      <c r="M90" s="31">
        <v>0.23287671232876711</v>
      </c>
      <c r="N90" s="31">
        <v>0.52207293666026866</v>
      </c>
      <c r="O90" s="31">
        <v>0.42352941176470588</v>
      </c>
      <c r="P90" s="31">
        <v>0.43055555555555558</v>
      </c>
    </row>
    <row r="91" spans="1:16" x14ac:dyDescent="0.4">
      <c r="A91" s="33">
        <v>88</v>
      </c>
      <c r="B91" s="30">
        <v>2.4868995751603507E-14</v>
      </c>
      <c r="C91" s="30">
        <v>9.4200741483346618E-17</v>
      </c>
      <c r="D91" s="35">
        <v>1.9962121212121211</v>
      </c>
      <c r="E91" s="31">
        <v>0.3371212121212121</v>
      </c>
      <c r="F91" s="31">
        <v>0.33333333333333331</v>
      </c>
      <c r="G91" s="31">
        <v>0.29639639639639642</v>
      </c>
      <c r="H91" s="31">
        <v>0.16621621621621621</v>
      </c>
      <c r="I91" s="32">
        <v>8010.9422492401218</v>
      </c>
      <c r="J91" s="32">
        <v>-7387.5338753387532</v>
      </c>
      <c r="K91" s="31">
        <v>7.575757575757576E-2</v>
      </c>
      <c r="L91" s="31">
        <v>0.23693693693693693</v>
      </c>
      <c r="M91" s="31">
        <v>0.23198198198198197</v>
      </c>
      <c r="N91" s="31">
        <v>0.52661596958174905</v>
      </c>
      <c r="O91" s="31">
        <v>0.42135922330097086</v>
      </c>
      <c r="P91" s="31">
        <v>0.43313069908814589</v>
      </c>
    </row>
    <row r="92" spans="1:16" x14ac:dyDescent="0.4">
      <c r="A92" s="33">
        <v>89</v>
      </c>
      <c r="B92" s="30">
        <v>2.4868995751603507E-14</v>
      </c>
      <c r="C92" s="30">
        <v>9.3142306185780929E-17</v>
      </c>
      <c r="D92" s="35">
        <v>1.9962546816479401</v>
      </c>
      <c r="E92" s="31">
        <v>0.33707865168539325</v>
      </c>
      <c r="F92" s="31">
        <v>0.33333333333333331</v>
      </c>
      <c r="G92" s="31">
        <v>0.29629629629629628</v>
      </c>
      <c r="H92" s="31">
        <v>0.16599732262382866</v>
      </c>
      <c r="I92" s="32">
        <v>7989.7590361445782</v>
      </c>
      <c r="J92" s="32">
        <v>-7359.1397849462364</v>
      </c>
      <c r="K92" s="31">
        <v>7.4906367041198504E-2</v>
      </c>
      <c r="L92" s="31">
        <v>0.23694779116465864</v>
      </c>
      <c r="M92" s="31">
        <v>0.23248549754573852</v>
      </c>
      <c r="N92" s="31">
        <v>0.52354048964218458</v>
      </c>
      <c r="O92" s="31">
        <v>0.42034548944337813</v>
      </c>
      <c r="P92" s="31">
        <v>0.43373493975903615</v>
      </c>
    </row>
    <row r="93" spans="1:16" x14ac:dyDescent="0.4">
      <c r="A93" s="33">
        <v>90</v>
      </c>
      <c r="B93" s="30">
        <v>2.1316282072803006E-14</v>
      </c>
      <c r="C93" s="30">
        <v>7.8949192862233357E-17</v>
      </c>
      <c r="D93" s="35">
        <v>1.9962962962962962</v>
      </c>
      <c r="E93" s="31">
        <v>0.33703703703703702</v>
      </c>
      <c r="F93" s="31">
        <v>0.33333333333333331</v>
      </c>
      <c r="G93" s="31">
        <v>0.29664014146772766</v>
      </c>
      <c r="H93" s="31">
        <v>0.16666666666666666</v>
      </c>
      <c r="I93" s="32">
        <v>7984.5007451564825</v>
      </c>
      <c r="J93" s="32">
        <v>-7376.1273209549072</v>
      </c>
      <c r="K93" s="31">
        <v>7.407407407407407E-2</v>
      </c>
      <c r="L93" s="31">
        <v>0.23740053050397877</v>
      </c>
      <c r="M93" s="31">
        <v>0.23165340406719717</v>
      </c>
      <c r="N93" s="31">
        <v>0.52327746741154557</v>
      </c>
      <c r="O93" s="31">
        <v>0.4217557251908397</v>
      </c>
      <c r="P93" s="31">
        <v>0.43219076005961254</v>
      </c>
    </row>
    <row r="94" spans="1:16" x14ac:dyDescent="0.4">
      <c r="A94" s="33">
        <v>91</v>
      </c>
      <c r="B94" s="30">
        <v>2.1316282072803006E-14</v>
      </c>
      <c r="C94" s="30">
        <v>7.808161931429673E-17</v>
      </c>
      <c r="D94" s="35">
        <v>1.9963369963369964</v>
      </c>
      <c r="E94" s="31">
        <v>0.33699633699633702</v>
      </c>
      <c r="F94" s="31">
        <v>0.33333333333333331</v>
      </c>
      <c r="G94" s="31">
        <v>0.29576234163390125</v>
      </c>
      <c r="H94" s="31">
        <v>0.16470074268239407</v>
      </c>
      <c r="I94" s="32">
        <v>8005.3175775480058</v>
      </c>
      <c r="J94" s="32">
        <v>-7376.1273209549072</v>
      </c>
      <c r="K94" s="31">
        <v>7.3260073260073263E-2</v>
      </c>
      <c r="L94" s="31">
        <v>0.23765836609873306</v>
      </c>
      <c r="M94" s="31">
        <v>0.23023154215814767</v>
      </c>
      <c r="N94" s="31">
        <v>0.52022058823529416</v>
      </c>
      <c r="O94" s="31">
        <v>0.42125237191650855</v>
      </c>
      <c r="P94" s="31">
        <v>0.43722304283604135</v>
      </c>
    </row>
    <row r="95" spans="1:16" x14ac:dyDescent="0.4">
      <c r="A95" s="33">
        <v>92</v>
      </c>
      <c r="B95" s="30">
        <v>2.1316282072803006E-14</v>
      </c>
      <c r="C95" s="30">
        <v>7.7232906060880453E-17</v>
      </c>
      <c r="D95" s="35">
        <v>1.9963768115942029</v>
      </c>
      <c r="E95" s="31">
        <v>0.33695652173913043</v>
      </c>
      <c r="F95" s="31">
        <v>0.33333333333333331</v>
      </c>
      <c r="G95" s="31">
        <v>0.29615218331171639</v>
      </c>
      <c r="H95" s="31">
        <v>0.16472114137483787</v>
      </c>
      <c r="I95" s="32">
        <v>7983.5036496350367</v>
      </c>
      <c r="J95" s="32">
        <v>-7348.0314960629921</v>
      </c>
      <c r="K95" s="31">
        <v>7.2463768115942032E-2</v>
      </c>
      <c r="L95" s="31">
        <v>0.23865110246433205</v>
      </c>
      <c r="M95" s="31">
        <v>0.2313013402507566</v>
      </c>
      <c r="N95" s="31">
        <v>0.52173913043478259</v>
      </c>
      <c r="O95" s="31">
        <v>0.42056074766355139</v>
      </c>
      <c r="P95" s="31">
        <v>0.43795620437956206</v>
      </c>
    </row>
    <row r="96" spans="1:16" x14ac:dyDescent="0.4">
      <c r="A96" s="33">
        <v>93</v>
      </c>
      <c r="B96" s="30">
        <v>2.4868995751603507E-14</v>
      </c>
      <c r="C96" s="30">
        <v>8.9136185489618306E-17</v>
      </c>
      <c r="D96" s="35">
        <v>1.9964157706093191</v>
      </c>
      <c r="E96" s="31">
        <v>0.33691756272401435</v>
      </c>
      <c r="F96" s="31">
        <v>0.33333333333333331</v>
      </c>
      <c r="G96" s="31">
        <v>0.29615384615384616</v>
      </c>
      <c r="H96" s="31">
        <v>0.16581196581196581</v>
      </c>
      <c r="I96" s="32">
        <v>7966.9552669552668</v>
      </c>
      <c r="J96" s="32">
        <v>-7330.6701030927834</v>
      </c>
      <c r="K96" s="31">
        <v>7.5268817204301078E-2</v>
      </c>
      <c r="L96" s="31">
        <v>0.23803418803418802</v>
      </c>
      <c r="M96" s="31">
        <v>0.23119658119658121</v>
      </c>
      <c r="N96" s="31">
        <v>0.52244165170556556</v>
      </c>
      <c r="O96" s="31">
        <v>0.42144177449168208</v>
      </c>
      <c r="P96" s="31">
        <v>0.43434343434343436</v>
      </c>
    </row>
    <row r="97" spans="1:16" x14ac:dyDescent="0.4">
      <c r="A97" s="33">
        <v>94</v>
      </c>
      <c r="B97" s="30">
        <v>2.8421709430404007E-14</v>
      </c>
      <c r="C97" s="30">
        <v>1.0078620365391492E-16</v>
      </c>
      <c r="D97" s="35">
        <v>1.9964539007092199</v>
      </c>
      <c r="E97" s="31">
        <v>0.33687943262411346</v>
      </c>
      <c r="F97" s="31">
        <v>0.33333333333333331</v>
      </c>
      <c r="G97" s="31">
        <v>0.29578059071729956</v>
      </c>
      <c r="H97" s="31">
        <v>0.16540084388185655</v>
      </c>
      <c r="I97" s="32">
        <v>7973.4664764621966</v>
      </c>
      <c r="J97" s="32">
        <v>-7313.2653061224491</v>
      </c>
      <c r="K97" s="31">
        <v>7.8014184397163122E-2</v>
      </c>
      <c r="L97" s="31">
        <v>0.23713080168776371</v>
      </c>
      <c r="M97" s="31">
        <v>0.23122362869198312</v>
      </c>
      <c r="N97" s="31">
        <v>0.5195729537366548</v>
      </c>
      <c r="O97" s="31">
        <v>0.41970802919708028</v>
      </c>
      <c r="P97" s="31">
        <v>0.43509272467902993</v>
      </c>
    </row>
    <row r="98" spans="1:16" x14ac:dyDescent="0.4">
      <c r="A98" s="33">
        <v>95</v>
      </c>
      <c r="B98" s="30">
        <v>2.4868995751603507E-14</v>
      </c>
      <c r="C98" s="30">
        <v>8.7259634216152654E-17</v>
      </c>
      <c r="D98" s="35">
        <v>1.9964912280701754</v>
      </c>
      <c r="E98" s="31">
        <v>0.33684210526315789</v>
      </c>
      <c r="F98" s="31">
        <v>0.33333333333333331</v>
      </c>
      <c r="G98" s="31">
        <v>0.29629629629629628</v>
      </c>
      <c r="H98" s="31">
        <v>0.16521015397419891</v>
      </c>
      <c r="I98" s="32">
        <v>7973.4550561797751</v>
      </c>
      <c r="J98" s="32">
        <v>-7349.1183879093196</v>
      </c>
      <c r="K98" s="31">
        <v>7.7192982456140355E-2</v>
      </c>
      <c r="L98" s="31">
        <v>0.2363712026633375</v>
      </c>
      <c r="M98" s="31">
        <v>0.23304203079483979</v>
      </c>
      <c r="N98" s="31">
        <v>0.51936619718309862</v>
      </c>
      <c r="O98" s="31">
        <v>0.41785714285714287</v>
      </c>
      <c r="P98" s="31">
        <v>0.4353932584269663</v>
      </c>
    </row>
    <row r="99" spans="1:16" x14ac:dyDescent="0.4">
      <c r="A99" s="33">
        <v>96</v>
      </c>
      <c r="B99" s="30">
        <v>2.4868995751603507E-14</v>
      </c>
      <c r="C99" s="30">
        <v>8.6350679693067732E-17</v>
      </c>
      <c r="D99" s="35">
        <v>1.9965277777777777</v>
      </c>
      <c r="E99" s="31">
        <v>0.33680555555555558</v>
      </c>
      <c r="F99" s="31">
        <v>0.33333333333333331</v>
      </c>
      <c r="G99" s="31">
        <v>0.29625051503914296</v>
      </c>
      <c r="H99" s="31">
        <v>0.16522455706633704</v>
      </c>
      <c r="I99" s="32">
        <v>7960.2225312934634</v>
      </c>
      <c r="J99" s="32">
        <v>-7352.1197007481296</v>
      </c>
      <c r="K99" s="31">
        <v>7.6388888888888895E-2</v>
      </c>
      <c r="L99" s="31">
        <v>0.2373300370828183</v>
      </c>
      <c r="M99" s="31">
        <v>0.23238566131025959</v>
      </c>
      <c r="N99" s="31">
        <v>0.52083333333333337</v>
      </c>
      <c r="O99" s="31">
        <v>0.41666666666666669</v>
      </c>
      <c r="P99" s="31">
        <v>0.43532684283727396</v>
      </c>
    </row>
    <row r="100" spans="1:16" x14ac:dyDescent="0.4">
      <c r="A100" s="33">
        <v>97</v>
      </c>
      <c r="B100" s="30">
        <v>2.8421709430404007E-14</v>
      </c>
      <c r="C100" s="30">
        <v>9.7669104571835075E-17</v>
      </c>
      <c r="D100" s="35">
        <v>1.9965635738831615</v>
      </c>
      <c r="E100" s="31">
        <v>0.33676975945017185</v>
      </c>
      <c r="F100" s="31">
        <v>0.33333333333333331</v>
      </c>
      <c r="G100" s="31">
        <v>0.29643296432964328</v>
      </c>
      <c r="H100" s="31">
        <v>0.16523165231652318</v>
      </c>
      <c r="I100" s="32">
        <v>8005.9474412171512</v>
      </c>
      <c r="J100" s="32">
        <v>-7453.8461538461543</v>
      </c>
      <c r="K100" s="31">
        <v>7.903780068728522E-2</v>
      </c>
      <c r="L100" s="31">
        <v>0.23657236572365722</v>
      </c>
      <c r="M100" s="31">
        <v>0.23247232472324722</v>
      </c>
      <c r="N100" s="31">
        <v>0.52166377816291165</v>
      </c>
      <c r="O100" s="31">
        <v>0.41798941798941797</v>
      </c>
      <c r="P100" s="31">
        <v>0.43568464730290457</v>
      </c>
    </row>
    <row r="101" spans="1:16" x14ac:dyDescent="0.4">
      <c r="A101" s="33">
        <v>98</v>
      </c>
      <c r="B101" s="30">
        <v>2.8421709430404007E-14</v>
      </c>
      <c r="C101" s="30">
        <v>9.667248105579594E-17</v>
      </c>
      <c r="D101" s="35">
        <v>1.9965986394557824</v>
      </c>
      <c r="E101" s="31">
        <v>0.33673469387755101</v>
      </c>
      <c r="F101" s="31">
        <v>0.33333333333333331</v>
      </c>
      <c r="G101" s="31">
        <v>0.2963865205034511</v>
      </c>
      <c r="H101" s="31">
        <v>0.16483962647178238</v>
      </c>
      <c r="I101" s="32">
        <v>7988.9041095890407</v>
      </c>
      <c r="J101" s="32">
        <v>-7449.5073891625616</v>
      </c>
      <c r="K101" s="31">
        <v>7.8231292517006806E-2</v>
      </c>
      <c r="L101" s="31">
        <v>0.23589118960617134</v>
      </c>
      <c r="M101" s="31">
        <v>0.23183110028420625</v>
      </c>
      <c r="N101" s="31">
        <v>0.52323580034423411</v>
      </c>
      <c r="O101" s="31">
        <v>0.41856392294220668</v>
      </c>
      <c r="P101" s="31">
        <v>0.43698630136986299</v>
      </c>
    </row>
    <row r="102" spans="1:16" x14ac:dyDescent="0.4">
      <c r="A102" s="33">
        <v>99</v>
      </c>
      <c r="B102" s="30">
        <v>2.8421709430404007E-14</v>
      </c>
      <c r="C102" s="30">
        <v>9.5695991348161637E-17</v>
      </c>
      <c r="D102" s="35">
        <v>1.9966329966329965</v>
      </c>
      <c r="E102" s="31">
        <v>0.33670033670033672</v>
      </c>
      <c r="F102" s="31">
        <v>0.33333333333333331</v>
      </c>
      <c r="G102" s="31">
        <v>0.2961630695443645</v>
      </c>
      <c r="H102" s="31">
        <v>0.1650679456434852</v>
      </c>
      <c r="I102" s="32">
        <v>7983.6707152496629</v>
      </c>
      <c r="J102" s="32">
        <v>-7421.7917675544795</v>
      </c>
      <c r="K102" s="31">
        <v>7.7441077441077436E-2</v>
      </c>
      <c r="L102" s="31">
        <v>0.23581135091926458</v>
      </c>
      <c r="M102" s="31">
        <v>0.23141486810551559</v>
      </c>
      <c r="N102" s="31">
        <v>0.52203389830508473</v>
      </c>
      <c r="O102" s="31">
        <v>0.41796200345423146</v>
      </c>
      <c r="P102" s="31">
        <v>0.4358974358974359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756</vt:i4>
      </vt:variant>
    </vt:vector>
  </HeadingPairs>
  <TitlesOfParts>
    <vt:vector size="798" baseType="lpstr">
      <vt:lpstr>Cache</vt:lpstr>
      <vt:lpstr>Template2</vt:lpstr>
      <vt:lpstr>Players</vt:lpstr>
      <vt:lpstr>Template1</vt:lpstr>
      <vt:lpstr>ランキング</vt:lpstr>
      <vt:lpstr>全体</vt:lpstr>
      <vt:lpstr>だいち</vt:lpstr>
      <vt:lpstr>れんたろう</vt:lpstr>
      <vt:lpstr>たかの</vt:lpstr>
      <vt:lpstr>まっつん</vt:lpstr>
      <vt:lpstr>いちかわ</vt:lpstr>
      <vt:lpstr>ただ</vt:lpstr>
      <vt:lpstr>たか</vt:lpstr>
      <vt:lpstr>のり</vt:lpstr>
      <vt:lpstr>りくと</vt:lpstr>
      <vt:lpstr>わさび</vt:lpstr>
      <vt:lpstr>わさび2</vt:lpstr>
      <vt:lpstr>りくと2</vt:lpstr>
      <vt:lpstr>のり2</vt:lpstr>
      <vt:lpstr>たか2</vt:lpstr>
      <vt:lpstr>ただ2</vt:lpstr>
      <vt:lpstr>いちかわ2</vt:lpstr>
      <vt:lpstr>まっつん2</vt:lpstr>
      <vt:lpstr>たかの2</vt:lpstr>
      <vt:lpstr>れんたろう2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いちかわ!アガリ数</vt:lpstr>
      <vt:lpstr>だいち!アガリ数</vt:lpstr>
      <vt:lpstr>たか!アガリ数</vt:lpstr>
      <vt:lpstr>たかの!アガリ数</vt:lpstr>
      <vt:lpstr>ただ!アガリ数</vt:lpstr>
      <vt:lpstr>のり!アガリ数</vt:lpstr>
      <vt:lpstr>まっつん!アガリ数</vt:lpstr>
      <vt:lpstr>りくと!アガリ数</vt:lpstr>
      <vt:lpstr>れんたろう!アガリ数</vt:lpstr>
      <vt:lpstr>わさび!アガリ数</vt:lpstr>
      <vt:lpstr>全体!アガリ数</vt:lpstr>
      <vt:lpstr>Template1!アガリ率</vt:lpstr>
      <vt:lpstr>いちかわ!アガリ率</vt:lpstr>
      <vt:lpstr>だいち!アガリ率</vt:lpstr>
      <vt:lpstr>たか!アガリ率</vt:lpstr>
      <vt:lpstr>たかの!アガリ率</vt:lpstr>
      <vt:lpstr>ただ!アガリ率</vt:lpstr>
      <vt:lpstr>のり!アガリ率</vt:lpstr>
      <vt:lpstr>まっつん!アガリ率</vt:lpstr>
      <vt:lpstr>りくと!アガリ率</vt:lpstr>
      <vt:lpstr>れんたろう!アガリ率</vt:lpstr>
      <vt:lpstr>わさび!アガリ率</vt:lpstr>
      <vt:lpstr>全体!アガリ率</vt:lpstr>
      <vt:lpstr>Template1!ダマアガリ数</vt:lpstr>
      <vt:lpstr>いちかわ!ダマアガリ数</vt:lpstr>
      <vt:lpstr>だいち!ダマアガリ数</vt:lpstr>
      <vt:lpstr>たか!ダマアガリ数</vt:lpstr>
      <vt:lpstr>たかの!ダマアガリ数</vt:lpstr>
      <vt:lpstr>ただ!ダマアガリ数</vt:lpstr>
      <vt:lpstr>のり!ダマアガリ数</vt:lpstr>
      <vt:lpstr>まっつん!ダマアガリ数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Template1!ダマアガリ率</vt:lpstr>
      <vt:lpstr>いちかわ!ダマアガリ率</vt:lpstr>
      <vt:lpstr>だいち!ダマアガリ率</vt:lpstr>
      <vt:lpstr>たか!ダマアガリ率</vt:lpstr>
      <vt:lpstr>たかの!ダマアガリ率</vt:lpstr>
      <vt:lpstr>ただ!ダマアガリ率</vt:lpstr>
      <vt:lpstr>のり!ダマアガリ率</vt:lpstr>
      <vt:lpstr>まっつん!ダマアガリ率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Template1!チョンボ数</vt:lpstr>
      <vt:lpstr>いちかわ!チョンボ数</vt:lpstr>
      <vt:lpstr>だいち!チョンボ数</vt:lpstr>
      <vt:lpstr>たか!チョンボ数</vt:lpstr>
      <vt:lpstr>たかの!チョンボ数</vt:lpstr>
      <vt:lpstr>ただ!チョンボ数</vt:lpstr>
      <vt:lpstr>のり!チョンボ数</vt:lpstr>
      <vt:lpstr>まっつん!チョンボ数</vt:lpstr>
      <vt:lpstr>りくと!チョンボ数</vt:lpstr>
      <vt:lpstr>れんたろう!チョンボ数</vt:lpstr>
      <vt:lpstr>わさび!チョンボ数</vt:lpstr>
      <vt:lpstr>全体!チョンボ数</vt:lpstr>
      <vt:lpstr>Template1!チョンボ率</vt:lpstr>
      <vt:lpstr>いちかわ!チョンボ率</vt:lpstr>
      <vt:lpstr>だいち!チョンボ率</vt:lpstr>
      <vt:lpstr>たか!チョンボ率</vt:lpstr>
      <vt:lpstr>たかの!チョンボ率</vt:lpstr>
      <vt:lpstr>ただ!チョンボ率</vt:lpstr>
      <vt:lpstr>のり!チョンボ率</vt:lpstr>
      <vt:lpstr>まっつん!チョンボ率</vt:lpstr>
      <vt:lpstr>りくと!チョンボ率</vt:lpstr>
      <vt:lpstr>れんたろう!チョンボ率</vt:lpstr>
      <vt:lpstr>わさび!チョンボ率</vt:lpstr>
      <vt:lpstr>全体!チョンボ率</vt:lpstr>
      <vt:lpstr>Template1!ツモ数</vt:lpstr>
      <vt:lpstr>いちかわ!ツモ数</vt:lpstr>
      <vt:lpstr>だいち!ツモ数</vt:lpstr>
      <vt:lpstr>たか!ツモ数</vt:lpstr>
      <vt:lpstr>たかの!ツモ数</vt:lpstr>
      <vt:lpstr>ただ!ツモ数</vt:lpstr>
      <vt:lpstr>のり!ツモ数</vt:lpstr>
      <vt:lpstr>まっつん!ツモ数</vt:lpstr>
      <vt:lpstr>りくと!ツモ数</vt:lpstr>
      <vt:lpstr>れんたろう!ツモ数</vt:lpstr>
      <vt:lpstr>わさび!ツモ数</vt:lpstr>
      <vt:lpstr>全体!ツモ数</vt:lpstr>
      <vt:lpstr>Template1!ツモ率</vt:lpstr>
      <vt:lpstr>いちかわ!ツモ率</vt:lpstr>
      <vt:lpstr>だいち!ツモ率</vt:lpstr>
      <vt:lpstr>たか!ツモ率</vt:lpstr>
      <vt:lpstr>たかの!ツモ率</vt:lpstr>
      <vt:lpstr>ただ!ツモ率</vt:lpstr>
      <vt:lpstr>のり!ツモ率</vt:lpstr>
      <vt:lpstr>まっつん!ツモ率</vt:lpstr>
      <vt:lpstr>りくと!ツモ率</vt:lpstr>
      <vt:lpstr>れんたろう!ツモ率</vt:lpstr>
      <vt:lpstr>わさび!ツモ率</vt:lpstr>
      <vt:lpstr>全体!ツモ率</vt:lpstr>
      <vt:lpstr>Template1!トップ数</vt:lpstr>
      <vt:lpstr>いちかわ!トップ数</vt:lpstr>
      <vt:lpstr>だいち!トップ数</vt:lpstr>
      <vt:lpstr>たか!トップ数</vt:lpstr>
      <vt:lpstr>たかの!トップ数</vt:lpstr>
      <vt:lpstr>ただ!トップ数</vt:lpstr>
      <vt:lpstr>のり!トップ数</vt:lpstr>
      <vt:lpstr>まっつん!トップ数</vt:lpstr>
      <vt:lpstr>りくと!トップ数</vt:lpstr>
      <vt:lpstr>れんたろう!トップ数</vt:lpstr>
      <vt:lpstr>わさび!トップ数</vt:lpstr>
      <vt:lpstr>全体!トップ数</vt:lpstr>
      <vt:lpstr>Template1!トップ率</vt:lpstr>
      <vt:lpstr>いちかわ!トップ率</vt:lpstr>
      <vt:lpstr>だいち!トップ率</vt:lpstr>
      <vt:lpstr>たか!トップ率</vt:lpstr>
      <vt:lpstr>たかの!トップ率</vt:lpstr>
      <vt:lpstr>ただ!トップ率</vt:lpstr>
      <vt:lpstr>のり!トップ率</vt:lpstr>
      <vt:lpstr>まっつん!トップ率</vt:lpstr>
      <vt:lpstr>りくと!トップ率</vt:lpstr>
      <vt:lpstr>れんたろう!トップ率</vt:lpstr>
      <vt:lpstr>わさび!トップ率</vt:lpstr>
      <vt:lpstr>全体!トップ率</vt:lpstr>
      <vt:lpstr>いちかわ!バランス</vt:lpstr>
      <vt:lpstr>だいち!バランス</vt:lpstr>
      <vt:lpstr>たか!バランス</vt:lpstr>
      <vt:lpstr>たかの!バランス</vt:lpstr>
      <vt:lpstr>ただ!バランス</vt:lpstr>
      <vt:lpstr>のり!バランス</vt:lpstr>
      <vt:lpstr>まっつん!バランス</vt:lpstr>
      <vt:lpstr>りくと!バランス</vt:lpstr>
      <vt:lpstr>れんたろう!バランス</vt:lpstr>
      <vt:lpstr>わさび!バランス</vt:lpstr>
      <vt:lpstr>全体!バランス</vt:lpstr>
      <vt:lpstr>バランス</vt:lpstr>
      <vt:lpstr>Template1!ふっとび数</vt:lpstr>
      <vt:lpstr>いちかわ!ふっとび数</vt:lpstr>
      <vt:lpstr>だいち!ふっとび数</vt:lpstr>
      <vt:lpstr>たか!ふっとび数</vt:lpstr>
      <vt:lpstr>たかの!ふっとび数</vt:lpstr>
      <vt:lpstr>ただ!ふっとび数</vt:lpstr>
      <vt:lpstr>のり!ふっとび数</vt:lpstr>
      <vt:lpstr>まっつん!ふっとび数</vt:lpstr>
      <vt:lpstr>りくと!ふっとび数</vt:lpstr>
      <vt:lpstr>れんたろう!ふっとび数</vt:lpstr>
      <vt:lpstr>わさび!ふっとび数</vt:lpstr>
      <vt:lpstr>全体!ふっとび数</vt:lpstr>
      <vt:lpstr>Template1!ふっとび率</vt:lpstr>
      <vt:lpstr>いちかわ!ふっとび率</vt:lpstr>
      <vt:lpstr>だいち!ふっとび率</vt:lpstr>
      <vt:lpstr>たか!ふっとび率</vt:lpstr>
      <vt:lpstr>たかの!ふっとび率</vt:lpstr>
      <vt:lpstr>ただ!ふっとび率</vt:lpstr>
      <vt:lpstr>のり!ふっとび率</vt:lpstr>
      <vt:lpstr>まっつん!ふっとび率</vt:lpstr>
      <vt:lpstr>りくと!ふっとび率</vt:lpstr>
      <vt:lpstr>れんたろう!ふっとび率</vt:lpstr>
      <vt:lpstr>わさび!ふっとび率</vt:lpstr>
      <vt:lpstr>全体!ふっとび率</vt:lpstr>
      <vt:lpstr>Template1!ラス数</vt:lpstr>
      <vt:lpstr>いちかわ!ラス数</vt:lpstr>
      <vt:lpstr>だいち!ラス数</vt:lpstr>
      <vt:lpstr>たか!ラス数</vt:lpstr>
      <vt:lpstr>たかの!ラス数</vt:lpstr>
      <vt:lpstr>ただ!ラス数</vt:lpstr>
      <vt:lpstr>のり!ラス数</vt:lpstr>
      <vt:lpstr>まっつん!ラス数</vt:lpstr>
      <vt:lpstr>りくと!ラス数</vt:lpstr>
      <vt:lpstr>れんたろう!ラス数</vt:lpstr>
      <vt:lpstr>わさび!ラス数</vt:lpstr>
      <vt:lpstr>全体!ラス数</vt:lpstr>
      <vt:lpstr>Template1!ラス率</vt:lpstr>
      <vt:lpstr>いちかわ!ラス率</vt:lpstr>
      <vt:lpstr>だいち!ラス率</vt:lpstr>
      <vt:lpstr>たか!ラス率</vt:lpstr>
      <vt:lpstr>たかの!ラス率</vt:lpstr>
      <vt:lpstr>ただ!ラス率</vt:lpstr>
      <vt:lpstr>のり!ラス率</vt:lpstr>
      <vt:lpstr>まっつん!ラス率</vt:lpstr>
      <vt:lpstr>りくと!ラス率</vt:lpstr>
      <vt:lpstr>れんたろう!ラス率</vt:lpstr>
      <vt:lpstr>わさび!ラス率</vt:lpstr>
      <vt:lpstr>全体!ラス率</vt:lpstr>
      <vt:lpstr>Template1!リーチアガリ数</vt:lpstr>
      <vt:lpstr>いちかわ!リーチアガリ数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のり!リーチアガリ数</vt:lpstr>
      <vt:lpstr>まっつん!リーチアガリ数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Template1!リーチアガリ率</vt:lpstr>
      <vt:lpstr>いちかわ!リーチアガリ率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のり!リーチアガリ率</vt:lpstr>
      <vt:lpstr>まっつん!リーチアガリ率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Template1!リーチ数</vt:lpstr>
      <vt:lpstr>いちかわ!リーチ数</vt:lpstr>
      <vt:lpstr>だいち!リーチ数</vt:lpstr>
      <vt:lpstr>たか!リーチ数</vt:lpstr>
      <vt:lpstr>たかの!リーチ数</vt:lpstr>
      <vt:lpstr>ただ!リーチ数</vt:lpstr>
      <vt:lpstr>のり!リーチ数</vt:lpstr>
      <vt:lpstr>まっつん!リーチ数</vt:lpstr>
      <vt:lpstr>りくと!リーチ数</vt:lpstr>
      <vt:lpstr>れんたろう!リーチ数</vt:lpstr>
      <vt:lpstr>わさび!リーチ数</vt:lpstr>
      <vt:lpstr>全体!リーチ数</vt:lpstr>
      <vt:lpstr>Template1!リーチ成功数</vt:lpstr>
      <vt:lpstr>いちかわ!リーチ成功数</vt:lpstr>
      <vt:lpstr>だいち!リーチ成功数</vt:lpstr>
      <vt:lpstr>たか!リーチ成功数</vt:lpstr>
      <vt:lpstr>たかの!リーチ成功数</vt:lpstr>
      <vt:lpstr>ただ!リーチ成功数</vt:lpstr>
      <vt:lpstr>のり!リーチ成功数</vt:lpstr>
      <vt:lpstr>まっつん!リーチ成功数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Template1!リーチ成功率</vt:lpstr>
      <vt:lpstr>いちかわ!リーチ成功率</vt:lpstr>
      <vt:lpstr>だいち!リーチ成功率</vt:lpstr>
      <vt:lpstr>たか!リーチ成功率</vt:lpstr>
      <vt:lpstr>たかの!リーチ成功率</vt:lpstr>
      <vt:lpstr>ただ!リーチ成功率</vt:lpstr>
      <vt:lpstr>のり!リーチ成功率</vt:lpstr>
      <vt:lpstr>まっつん!リーチ成功率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Template1!リーチ率</vt:lpstr>
      <vt:lpstr>いちかわ!リーチ率</vt:lpstr>
      <vt:lpstr>だいち!リーチ率</vt:lpstr>
      <vt:lpstr>たか!リーチ率</vt:lpstr>
      <vt:lpstr>たかの!リーチ率</vt:lpstr>
      <vt:lpstr>ただ!リーチ率</vt:lpstr>
      <vt:lpstr>のり!リーチ率</vt:lpstr>
      <vt:lpstr>まっつん!リーチ率</vt:lpstr>
      <vt:lpstr>りくと!リーチ率</vt:lpstr>
      <vt:lpstr>れんたろう!リーチ率</vt:lpstr>
      <vt:lpstr>わさび!リーチ率</vt:lpstr>
      <vt:lpstr>全体!リーチ率</vt:lpstr>
      <vt:lpstr>いちかわ!レーティング</vt:lpstr>
      <vt:lpstr>だいち!レーティング</vt:lpstr>
      <vt:lpstr>たか!レーティング</vt:lpstr>
      <vt:lpstr>たかの!レーティング</vt:lpstr>
      <vt:lpstr>ただ!レーティング</vt:lpstr>
      <vt:lpstr>のり!レーティング</vt:lpstr>
      <vt:lpstr>まっつん!レーティング</vt:lpstr>
      <vt:lpstr>りくと!レーティング</vt:lpstr>
      <vt:lpstr>れんたろう!レーティング</vt:lpstr>
      <vt:lpstr>わさび!レーティング</vt:lpstr>
      <vt:lpstr>全体!レーティング</vt:lpstr>
      <vt:lpstr>レーティング</vt:lpstr>
      <vt:lpstr>Template1!ロン数</vt:lpstr>
      <vt:lpstr>いちかわ!ロン数</vt:lpstr>
      <vt:lpstr>だいち!ロン数</vt:lpstr>
      <vt:lpstr>たか!ロン数</vt:lpstr>
      <vt:lpstr>たかの!ロン数</vt:lpstr>
      <vt:lpstr>ただ!ロン数</vt:lpstr>
      <vt:lpstr>のり!ロン数</vt:lpstr>
      <vt:lpstr>まっつん!ロン数</vt:lpstr>
      <vt:lpstr>りくと!ロン数</vt:lpstr>
      <vt:lpstr>れんたろう!ロン数</vt:lpstr>
      <vt:lpstr>わさび!ロン数</vt:lpstr>
      <vt:lpstr>全体!ロン数</vt:lpstr>
      <vt:lpstr>Template1!ロン率</vt:lpstr>
      <vt:lpstr>いちかわ!ロン率</vt:lpstr>
      <vt:lpstr>だいち!ロン率</vt:lpstr>
      <vt:lpstr>たか!ロン率</vt:lpstr>
      <vt:lpstr>たかの!ロン率</vt:lpstr>
      <vt:lpstr>ただ!ロン率</vt:lpstr>
      <vt:lpstr>のり!ロン率</vt:lpstr>
      <vt:lpstr>まっつん!ロン率</vt:lpstr>
      <vt:lpstr>りくと!ロン率</vt:lpstr>
      <vt:lpstr>れんたろう!ロン率</vt:lpstr>
      <vt:lpstr>わさび!ロン率</vt:lpstr>
      <vt:lpstr>全体!ロン率</vt:lpstr>
      <vt:lpstr>いちかわ!一位スコア</vt:lpstr>
      <vt:lpstr>だいち!一位スコア</vt:lpstr>
      <vt:lpstr>たか!一位スコア</vt:lpstr>
      <vt:lpstr>たかの!一位スコア</vt:lpstr>
      <vt:lpstr>ただ!一位スコア</vt:lpstr>
      <vt:lpstr>のり!一位スコア</vt:lpstr>
      <vt:lpstr>まっつん!一位スコア</vt:lpstr>
      <vt:lpstr>りくと!一位スコア</vt:lpstr>
      <vt:lpstr>れんたろう!一位スコア</vt:lpstr>
      <vt:lpstr>わさび!一位スコア</vt:lpstr>
      <vt:lpstr>全体!一位スコア</vt:lpstr>
      <vt:lpstr>一位スコア</vt:lpstr>
      <vt:lpstr>いちかわ!一位通算スコア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のり!一位通算スコア</vt:lpstr>
      <vt:lpstr>まっつん!一位通算スコア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一位通算スコア</vt:lpstr>
      <vt:lpstr>いちかわ!一翻数</vt:lpstr>
      <vt:lpstr>だいち!一翻数</vt:lpstr>
      <vt:lpstr>たか!一翻数</vt:lpstr>
      <vt:lpstr>たかの!一翻数</vt:lpstr>
      <vt:lpstr>ただ!一翻数</vt:lpstr>
      <vt:lpstr>のり!一翻数</vt:lpstr>
      <vt:lpstr>まっつん!一翻数</vt:lpstr>
      <vt:lpstr>りくと!一翻数</vt:lpstr>
      <vt:lpstr>れんたろう!一翻数</vt:lpstr>
      <vt:lpstr>わさび!一翻数</vt:lpstr>
      <vt:lpstr>全体!一翻数</vt:lpstr>
      <vt:lpstr>一翻数</vt:lpstr>
      <vt:lpstr>いちかわ!一翻率</vt:lpstr>
      <vt:lpstr>だいち!一翻率</vt:lpstr>
      <vt:lpstr>たか!一翻率</vt:lpstr>
      <vt:lpstr>たかの!一翻率</vt:lpstr>
      <vt:lpstr>ただ!一翻率</vt:lpstr>
      <vt:lpstr>のり!一翻率</vt:lpstr>
      <vt:lpstr>まっつん!一翻率</vt:lpstr>
      <vt:lpstr>りくと!一翻率</vt:lpstr>
      <vt:lpstr>れんたろう!一翻率</vt:lpstr>
      <vt:lpstr>わさび!一翻率</vt:lpstr>
      <vt:lpstr>全体!一翻率</vt:lpstr>
      <vt:lpstr>一翻率</vt:lpstr>
      <vt:lpstr>Template1!現行連続アガリ</vt:lpstr>
      <vt:lpstr>いちかわ!現行連続アガリ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のり!現行連続アガリ</vt:lpstr>
      <vt:lpstr>まっつん!現行連続アガリ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Template1!現行連続無放銃</vt:lpstr>
      <vt:lpstr>いちかわ!現行連続無放銃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のり!現行連続無放銃</vt:lpstr>
      <vt:lpstr>まっつん!現行連続無放銃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Template1!最高点</vt:lpstr>
      <vt:lpstr>いちかわ!最高点</vt:lpstr>
      <vt:lpstr>だいち!最高点</vt:lpstr>
      <vt:lpstr>たか!最高点</vt:lpstr>
      <vt:lpstr>たかの!最高点</vt:lpstr>
      <vt:lpstr>ただ!最高点</vt:lpstr>
      <vt:lpstr>のり!最高点</vt:lpstr>
      <vt:lpstr>まっつん!最高点</vt:lpstr>
      <vt:lpstr>りくと!最高点</vt:lpstr>
      <vt:lpstr>れんたろう!最高点</vt:lpstr>
      <vt:lpstr>わさび!最高点</vt:lpstr>
      <vt:lpstr>全体!最高点</vt:lpstr>
      <vt:lpstr>Template1!最大ドラ数</vt:lpstr>
      <vt:lpstr>いちかわ!最大ドラ数</vt:lpstr>
      <vt:lpstr>だいち!最大ドラ数</vt:lpstr>
      <vt:lpstr>たか!最大ドラ数</vt:lpstr>
      <vt:lpstr>たかの!最大ドラ数</vt:lpstr>
      <vt:lpstr>ただ!最大ドラ数</vt:lpstr>
      <vt:lpstr>のり!最大ドラ数</vt:lpstr>
      <vt:lpstr>まっつん!最大ドラ数</vt:lpstr>
      <vt:lpstr>りくと!最大ドラ数</vt:lpstr>
      <vt:lpstr>れんたろう!最大ドラ数</vt:lpstr>
      <vt:lpstr>わさび!最大ドラ数</vt:lpstr>
      <vt:lpstr>全体!最大ドラ数</vt:lpstr>
      <vt:lpstr>Template1!最大点数</vt:lpstr>
      <vt:lpstr>いちかわ!最大点数</vt:lpstr>
      <vt:lpstr>だいち!最大点数</vt:lpstr>
      <vt:lpstr>たか!最大点数</vt:lpstr>
      <vt:lpstr>たかの!最大点数</vt:lpstr>
      <vt:lpstr>ただ!最大点数</vt:lpstr>
      <vt:lpstr>のり!最大点数</vt:lpstr>
      <vt:lpstr>まっつん!最大点数</vt:lpstr>
      <vt:lpstr>りくと!最大点数</vt:lpstr>
      <vt:lpstr>れんたろう!最大点数</vt:lpstr>
      <vt:lpstr>わさび!最大点数</vt:lpstr>
      <vt:lpstr>全体!最大点数</vt:lpstr>
      <vt:lpstr>いちかわ!三位スコア</vt:lpstr>
      <vt:lpstr>だいち!三位スコア</vt:lpstr>
      <vt:lpstr>たか!三位スコア</vt:lpstr>
      <vt:lpstr>たかの!三位スコア</vt:lpstr>
      <vt:lpstr>ただ!三位スコア</vt:lpstr>
      <vt:lpstr>のり!三位スコア</vt:lpstr>
      <vt:lpstr>まっつん!三位スコア</vt:lpstr>
      <vt:lpstr>りくと!三位スコア</vt:lpstr>
      <vt:lpstr>れんたろう!三位スコア</vt:lpstr>
      <vt:lpstr>わさび!三位スコア</vt:lpstr>
      <vt:lpstr>全体!三位スコア</vt:lpstr>
      <vt:lpstr>三位スコア</vt:lpstr>
      <vt:lpstr>いちかわ!三位通算スコア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のり!三位通算スコア</vt:lpstr>
      <vt:lpstr>まっつん!三位通算スコア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三位通算スコア</vt:lpstr>
      <vt:lpstr>Template1!総局数</vt:lpstr>
      <vt:lpstr>いちかわ!総局数</vt:lpstr>
      <vt:lpstr>だいち!総局数</vt:lpstr>
      <vt:lpstr>たか!総局数</vt:lpstr>
      <vt:lpstr>たかの!総局数</vt:lpstr>
      <vt:lpstr>ただ!総局数</vt:lpstr>
      <vt:lpstr>のり!総局数</vt:lpstr>
      <vt:lpstr>まっつん!総局数</vt:lpstr>
      <vt:lpstr>りくと!総局数</vt:lpstr>
      <vt:lpstr>れんたろう!総局数</vt:lpstr>
      <vt:lpstr>わさび!総局数</vt:lpstr>
      <vt:lpstr>全体!総局数</vt:lpstr>
      <vt:lpstr>Template1!対戦数</vt:lpstr>
      <vt:lpstr>いちかわ!対戦数</vt:lpstr>
      <vt:lpstr>だいち!対戦数</vt:lpstr>
      <vt:lpstr>たか!対戦数</vt:lpstr>
      <vt:lpstr>たかの!対戦数</vt:lpstr>
      <vt:lpstr>ただ!対戦数</vt:lpstr>
      <vt:lpstr>のり!対戦数</vt:lpstr>
      <vt:lpstr>まっつん!対戦数</vt:lpstr>
      <vt:lpstr>りくと!対戦数</vt:lpstr>
      <vt:lpstr>れんたろう!対戦数</vt:lpstr>
      <vt:lpstr>わさび!対戦数</vt:lpstr>
      <vt:lpstr>全体!対戦数</vt:lpstr>
      <vt:lpstr>Template1!通算アガリ点</vt:lpstr>
      <vt:lpstr>いちかわ!通算アガリ点</vt:lpstr>
      <vt:lpstr>だいち!通算アガリ点</vt:lpstr>
      <vt:lpstr>たか!通算アガリ点</vt:lpstr>
      <vt:lpstr>たかの!通算アガリ点</vt:lpstr>
      <vt:lpstr>ただ!通算アガリ点</vt:lpstr>
      <vt:lpstr>のり!通算アガリ点</vt:lpstr>
      <vt:lpstr>まっつん!通算アガリ点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Template1!通算スコア</vt:lpstr>
      <vt:lpstr>いちかわ!通算スコア</vt:lpstr>
      <vt:lpstr>だいち!通算スコア</vt:lpstr>
      <vt:lpstr>たか!通算スコア</vt:lpstr>
      <vt:lpstr>たかの!通算スコア</vt:lpstr>
      <vt:lpstr>ただ!通算スコア</vt:lpstr>
      <vt:lpstr>のり!通算スコア</vt:lpstr>
      <vt:lpstr>まっつん!通算スコア</vt:lpstr>
      <vt:lpstr>りくと!通算スコア</vt:lpstr>
      <vt:lpstr>れんたろう!通算スコア</vt:lpstr>
      <vt:lpstr>わさび!通算スコア</vt:lpstr>
      <vt:lpstr>全体!通算スコア</vt:lpstr>
      <vt:lpstr>Template1!通算副露アガリ点</vt:lpstr>
      <vt:lpstr>いちかわ!通算副露アガリ点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のり!通算副露アガリ点</vt:lpstr>
      <vt:lpstr>まっつん!通算副露アガリ点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Template1!通算放銃点</vt:lpstr>
      <vt:lpstr>いちかわ!通算放銃点</vt:lpstr>
      <vt:lpstr>だいち!通算放銃点</vt:lpstr>
      <vt:lpstr>たか!通算放銃点</vt:lpstr>
      <vt:lpstr>たかの!通算放銃点</vt:lpstr>
      <vt:lpstr>ただ!通算放銃点</vt:lpstr>
      <vt:lpstr>のり!通算放銃点</vt:lpstr>
      <vt:lpstr>まっつん!通算放銃点</vt:lpstr>
      <vt:lpstr>りくと!通算放銃点</vt:lpstr>
      <vt:lpstr>れんたろう!通算放銃点</vt:lpstr>
      <vt:lpstr>わさび!通算放銃点</vt:lpstr>
      <vt:lpstr>全体!通算放銃点</vt:lpstr>
      <vt:lpstr>Template1!通算門前アガリ点</vt:lpstr>
      <vt:lpstr>いちかわ!通算門前アガリ点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のり!通算門前アガリ点</vt:lpstr>
      <vt:lpstr>まっつん!通算門前アガリ点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いちかわ!二位スコア</vt:lpstr>
      <vt:lpstr>だいち!二位スコア</vt:lpstr>
      <vt:lpstr>たか!二位スコア</vt:lpstr>
      <vt:lpstr>たかの!二位スコア</vt:lpstr>
      <vt:lpstr>ただ!二位スコア</vt:lpstr>
      <vt:lpstr>のり!二位スコア</vt:lpstr>
      <vt:lpstr>まっつん!二位スコア</vt:lpstr>
      <vt:lpstr>りくと!二位スコア</vt:lpstr>
      <vt:lpstr>れんたろう!二位スコア</vt:lpstr>
      <vt:lpstr>わさび!二位スコア</vt:lpstr>
      <vt:lpstr>全体!二位スコア</vt:lpstr>
      <vt:lpstr>二位スコア</vt:lpstr>
      <vt:lpstr>Template1!二位数</vt:lpstr>
      <vt:lpstr>いちかわ!二位数</vt:lpstr>
      <vt:lpstr>だいち!二位数</vt:lpstr>
      <vt:lpstr>たか!二位数</vt:lpstr>
      <vt:lpstr>たかの!二位数</vt:lpstr>
      <vt:lpstr>ただ!二位数</vt:lpstr>
      <vt:lpstr>のり!二位数</vt:lpstr>
      <vt:lpstr>まっつん!二位数</vt:lpstr>
      <vt:lpstr>りくと!二位数</vt:lpstr>
      <vt:lpstr>れんたろう!二位数</vt:lpstr>
      <vt:lpstr>わさび!二位数</vt:lpstr>
      <vt:lpstr>全体!二位数</vt:lpstr>
      <vt:lpstr>いちかわ!二位通算スコア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のり!二位通算スコア</vt:lpstr>
      <vt:lpstr>まっつん!二位通算スコア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二位通算スコア</vt:lpstr>
      <vt:lpstr>Template1!二位率</vt:lpstr>
      <vt:lpstr>いちかわ!二位率</vt:lpstr>
      <vt:lpstr>だいち!二位率</vt:lpstr>
      <vt:lpstr>たか!二位率</vt:lpstr>
      <vt:lpstr>たかの!二位率</vt:lpstr>
      <vt:lpstr>ただ!二位率</vt:lpstr>
      <vt:lpstr>のり!二位率</vt:lpstr>
      <vt:lpstr>まっつん!二位率</vt:lpstr>
      <vt:lpstr>りくと!二位率</vt:lpstr>
      <vt:lpstr>れんたろう!二位率</vt:lpstr>
      <vt:lpstr>わさび!二位率</vt:lpstr>
      <vt:lpstr>全体!二位率</vt:lpstr>
      <vt:lpstr>Template1!副露アガリ数</vt:lpstr>
      <vt:lpstr>いちかわ!副露アガリ数</vt:lpstr>
      <vt:lpstr>だいち!副露アガリ数</vt:lpstr>
      <vt:lpstr>たか!副露アガリ数</vt:lpstr>
      <vt:lpstr>たかの!副露アガリ数</vt:lpstr>
      <vt:lpstr>ただ!副露アガリ数</vt:lpstr>
      <vt:lpstr>のり!副露アガリ数</vt:lpstr>
      <vt:lpstr>まっつん!副露アガリ数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Template1!副露アガリ点</vt:lpstr>
      <vt:lpstr>いちかわ!副露アガリ点</vt:lpstr>
      <vt:lpstr>だいち!副露アガリ点</vt:lpstr>
      <vt:lpstr>たか!副露アガリ点</vt:lpstr>
      <vt:lpstr>たかの!副露アガリ点</vt:lpstr>
      <vt:lpstr>ただ!副露アガリ点</vt:lpstr>
      <vt:lpstr>のり!副露アガリ点</vt:lpstr>
      <vt:lpstr>まっつん!副露アガリ点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Template1!副露アガリ率</vt:lpstr>
      <vt:lpstr>いちかわ!副露アガリ率</vt:lpstr>
      <vt:lpstr>だいち!副露アガリ率</vt:lpstr>
      <vt:lpstr>たか!副露アガリ率</vt:lpstr>
      <vt:lpstr>たかの!副露アガリ率</vt:lpstr>
      <vt:lpstr>ただ!副露アガリ率</vt:lpstr>
      <vt:lpstr>のり!副露アガリ率</vt:lpstr>
      <vt:lpstr>まっつん!副露アガリ率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Template1!副露数</vt:lpstr>
      <vt:lpstr>いちかわ!副露数</vt:lpstr>
      <vt:lpstr>だいち!副露数</vt:lpstr>
      <vt:lpstr>たか!副露数</vt:lpstr>
      <vt:lpstr>たかの!副露数</vt:lpstr>
      <vt:lpstr>ただ!副露数</vt:lpstr>
      <vt:lpstr>のり!副露数</vt:lpstr>
      <vt:lpstr>まっつん!副露数</vt:lpstr>
      <vt:lpstr>りくと!副露数</vt:lpstr>
      <vt:lpstr>れんたろう!副露数</vt:lpstr>
      <vt:lpstr>わさび!副露数</vt:lpstr>
      <vt:lpstr>全体!副露数</vt:lpstr>
      <vt:lpstr>Template1!副露成功数</vt:lpstr>
      <vt:lpstr>いちかわ!副露成功数</vt:lpstr>
      <vt:lpstr>だいち!副露成功数</vt:lpstr>
      <vt:lpstr>たか!副露成功数</vt:lpstr>
      <vt:lpstr>たかの!副露成功数</vt:lpstr>
      <vt:lpstr>ただ!副露成功数</vt:lpstr>
      <vt:lpstr>のり!副露成功数</vt:lpstr>
      <vt:lpstr>まっつん!副露成功数</vt:lpstr>
      <vt:lpstr>りくと!副露成功数</vt:lpstr>
      <vt:lpstr>れんたろう!副露成功数</vt:lpstr>
      <vt:lpstr>わさび!副露成功数</vt:lpstr>
      <vt:lpstr>全体!副露成功数</vt:lpstr>
      <vt:lpstr>Template1!副露成功率</vt:lpstr>
      <vt:lpstr>いちかわ!副露成功率</vt:lpstr>
      <vt:lpstr>だいち!副露成功率</vt:lpstr>
      <vt:lpstr>たか!副露成功率</vt:lpstr>
      <vt:lpstr>たかの!副露成功率</vt:lpstr>
      <vt:lpstr>ただ!副露成功率</vt:lpstr>
      <vt:lpstr>のり!副露成功率</vt:lpstr>
      <vt:lpstr>まっつん!副露成功率</vt:lpstr>
      <vt:lpstr>りくと!副露成功率</vt:lpstr>
      <vt:lpstr>れんたろう!副露成功率</vt:lpstr>
      <vt:lpstr>わさび!副露成功率</vt:lpstr>
      <vt:lpstr>全体!副露成功率</vt:lpstr>
      <vt:lpstr>Template1!副露率</vt:lpstr>
      <vt:lpstr>いちかわ!副露率</vt:lpstr>
      <vt:lpstr>だいち!副露率</vt:lpstr>
      <vt:lpstr>たか!副露率</vt:lpstr>
      <vt:lpstr>たかの!副露率</vt:lpstr>
      <vt:lpstr>ただ!副露率</vt:lpstr>
      <vt:lpstr>のり!副露率</vt:lpstr>
      <vt:lpstr>まっつん!副露率</vt:lpstr>
      <vt:lpstr>りくと!副露率</vt:lpstr>
      <vt:lpstr>れんたろう!副露率</vt:lpstr>
      <vt:lpstr>わさび!副露率</vt:lpstr>
      <vt:lpstr>全体!副露率</vt:lpstr>
      <vt:lpstr>Template1!平均アガリ点</vt:lpstr>
      <vt:lpstr>いちかわ!平均アガリ点</vt:lpstr>
      <vt:lpstr>だいち!平均アガリ点</vt:lpstr>
      <vt:lpstr>たか!平均アガリ点</vt:lpstr>
      <vt:lpstr>たかの!平均アガリ点</vt:lpstr>
      <vt:lpstr>ただ!平均アガリ点</vt:lpstr>
      <vt:lpstr>のり!平均アガリ点</vt:lpstr>
      <vt:lpstr>まっつん!平均アガリ点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Template1!平均スコア</vt:lpstr>
      <vt:lpstr>いちかわ!平均スコア</vt:lpstr>
      <vt:lpstr>だいち!平均スコア</vt:lpstr>
      <vt:lpstr>たか!平均スコア</vt:lpstr>
      <vt:lpstr>たかの!平均スコア</vt:lpstr>
      <vt:lpstr>ただ!平均スコア</vt:lpstr>
      <vt:lpstr>のり!平均スコア</vt:lpstr>
      <vt:lpstr>まっつん!平均スコア</vt:lpstr>
      <vt:lpstr>りくと!平均スコア</vt:lpstr>
      <vt:lpstr>れんたろう!平均スコア</vt:lpstr>
      <vt:lpstr>わさび!平均スコア</vt:lpstr>
      <vt:lpstr>全体!平均スコア</vt:lpstr>
      <vt:lpstr>Template1!平均順位</vt:lpstr>
      <vt:lpstr>いちかわ!平均順位</vt:lpstr>
      <vt:lpstr>だいち!平均順位</vt:lpstr>
      <vt:lpstr>たか!平均順位</vt:lpstr>
      <vt:lpstr>たかの!平均順位</vt:lpstr>
      <vt:lpstr>ただ!平均順位</vt:lpstr>
      <vt:lpstr>のり!平均順位</vt:lpstr>
      <vt:lpstr>まっつん!平均順位</vt:lpstr>
      <vt:lpstr>りくと!平均順位</vt:lpstr>
      <vt:lpstr>れんたろう!平均順位</vt:lpstr>
      <vt:lpstr>わさび!平均順位</vt:lpstr>
      <vt:lpstr>全体!平均順位</vt:lpstr>
      <vt:lpstr>Template1!平均放銃点</vt:lpstr>
      <vt:lpstr>いちかわ!平均放銃点</vt:lpstr>
      <vt:lpstr>だいち!平均放銃点</vt:lpstr>
      <vt:lpstr>たか!平均放銃点</vt:lpstr>
      <vt:lpstr>たかの!平均放銃点</vt:lpstr>
      <vt:lpstr>ただ!平均放銃点</vt:lpstr>
      <vt:lpstr>のり!平均放銃点</vt:lpstr>
      <vt:lpstr>まっつん!平均放銃点</vt:lpstr>
      <vt:lpstr>りくと!平均放銃点</vt:lpstr>
      <vt:lpstr>れんたろう!平均放銃点</vt:lpstr>
      <vt:lpstr>わさび!平均放銃点</vt:lpstr>
      <vt:lpstr>全体!平均放銃点</vt:lpstr>
      <vt:lpstr>Template1!放銃数</vt:lpstr>
      <vt:lpstr>いちかわ!放銃数</vt:lpstr>
      <vt:lpstr>だいち!放銃数</vt:lpstr>
      <vt:lpstr>たか!放銃数</vt:lpstr>
      <vt:lpstr>たかの!放銃数</vt:lpstr>
      <vt:lpstr>ただ!放銃数</vt:lpstr>
      <vt:lpstr>のり!放銃数</vt:lpstr>
      <vt:lpstr>まっつん!放銃数</vt:lpstr>
      <vt:lpstr>りくと!放銃数</vt:lpstr>
      <vt:lpstr>れんたろう!放銃数</vt:lpstr>
      <vt:lpstr>わさび!放銃数</vt:lpstr>
      <vt:lpstr>全体!放銃数</vt:lpstr>
      <vt:lpstr>Template1!放銃率</vt:lpstr>
      <vt:lpstr>いちかわ!放銃率</vt:lpstr>
      <vt:lpstr>だいち!放銃率</vt:lpstr>
      <vt:lpstr>たか!放銃率</vt:lpstr>
      <vt:lpstr>たかの!放銃率</vt:lpstr>
      <vt:lpstr>ただ!放銃率</vt:lpstr>
      <vt:lpstr>のり!放銃率</vt:lpstr>
      <vt:lpstr>まっつん!放銃率</vt:lpstr>
      <vt:lpstr>りくと!放銃率</vt:lpstr>
      <vt:lpstr>れんたろう!放銃率</vt:lpstr>
      <vt:lpstr>わさび!放銃率</vt:lpstr>
      <vt:lpstr>全体!放銃率</vt:lpstr>
      <vt:lpstr>Template1!名前</vt:lpstr>
      <vt:lpstr>いちかわ!名前</vt:lpstr>
      <vt:lpstr>だいち!名前</vt:lpstr>
      <vt:lpstr>たか!名前</vt:lpstr>
      <vt:lpstr>たかの!名前</vt:lpstr>
      <vt:lpstr>ただ!名前</vt:lpstr>
      <vt:lpstr>のり!名前</vt:lpstr>
      <vt:lpstr>まっつん!名前</vt:lpstr>
      <vt:lpstr>りくと!名前</vt:lpstr>
      <vt:lpstr>れんたろう!名前</vt:lpstr>
      <vt:lpstr>わさび!名前</vt:lpstr>
      <vt:lpstr>全体!名前</vt:lpstr>
      <vt:lpstr>Template1!門前アガリ点</vt:lpstr>
      <vt:lpstr>いちかわ!門前アガリ点</vt:lpstr>
      <vt:lpstr>だいち!門前アガリ点</vt:lpstr>
      <vt:lpstr>たか!門前アガリ点</vt:lpstr>
      <vt:lpstr>たかの!門前アガリ点</vt:lpstr>
      <vt:lpstr>ただ!門前アガリ点</vt:lpstr>
      <vt:lpstr>のり!門前アガリ点</vt:lpstr>
      <vt:lpstr>まっつん!門前アガリ点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Template1!連続アガリ</vt:lpstr>
      <vt:lpstr>いちかわ!連続アガリ</vt:lpstr>
      <vt:lpstr>だいち!連続アガリ</vt:lpstr>
      <vt:lpstr>たか!連続アガリ</vt:lpstr>
      <vt:lpstr>たかの!連続アガリ</vt:lpstr>
      <vt:lpstr>ただ!連続アガリ</vt:lpstr>
      <vt:lpstr>のり!連続アガリ</vt:lpstr>
      <vt:lpstr>まっつん!連続アガリ</vt:lpstr>
      <vt:lpstr>りくと!連続アガリ</vt:lpstr>
      <vt:lpstr>れんたろう!連続アガリ</vt:lpstr>
      <vt:lpstr>わさび!連続アガリ</vt:lpstr>
      <vt:lpstr>全体!連続アガリ</vt:lpstr>
      <vt:lpstr>Template1!連続無放銃</vt:lpstr>
      <vt:lpstr>いちかわ!連続無放銃</vt:lpstr>
      <vt:lpstr>だいち!連続無放銃</vt:lpstr>
      <vt:lpstr>たか!連続無放銃</vt:lpstr>
      <vt:lpstr>たかの!連続無放銃</vt:lpstr>
      <vt:lpstr>ただ!連続無放銃</vt:lpstr>
      <vt:lpstr>のり!連続無放銃</vt:lpstr>
      <vt:lpstr>まっつん!連続無放銃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2020-11-21T11:00:01Z</dcterms:modified>
</cp:coreProperties>
</file>