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1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2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6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8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9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D27CEAC4-830E-466E-B41F-C21FEC3322FA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やなぎ2" sheetId="7003" state="hidden" r:id="rId18"/>
    <sheet name="わさび2" sheetId="7001" state="hidden" r:id="rId19"/>
    <sheet name="りくと2" sheetId="6999" state="hidden" r:id="rId20"/>
    <sheet name="のり2" sheetId="6997" state="hidden" r:id="rId21"/>
    <sheet name="たか2" sheetId="6995" state="hidden" r:id="rId22"/>
    <sheet name="ただ2" sheetId="6993" state="hidden" r:id="rId23"/>
    <sheet name="いちかわ2" sheetId="6991" state="hidden" r:id="rId24"/>
    <sheet name="まっつん2" sheetId="6989" state="hidden" r:id="rId25"/>
    <sheet name="たかの2" sheetId="6987" state="hidden" r:id="rId26"/>
    <sheet name="れんたろう2" sheetId="6985" state="hidden" r:id="rId27"/>
    <sheet name="だいち2" sheetId="6983" state="hidden" r:id="rId28"/>
    <sheet name="全体2" sheetId="6981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992" l="1"/>
  <c r="P16" i="7002"/>
  <c r="P15" i="6982" l="1"/>
  <c r="P19" i="6984"/>
  <c r="P15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6" i="6984"/>
  <c r="P21" i="6998" l="1"/>
  <c r="P15" i="6986"/>
  <c r="P16" i="6998" l="1"/>
  <c r="P19" i="6988"/>
  <c r="P18" i="6984" l="1"/>
  <c r="P17" i="6988"/>
  <c r="P15" i="6998" l="1"/>
  <c r="P23" i="6984"/>
  <c r="P17" i="6986" l="1"/>
  <c r="P20" i="6988"/>
  <c r="P22" i="6992"/>
  <c r="P15" i="6988"/>
  <c r="P19" i="6994" l="1"/>
  <c r="P16" i="6986"/>
  <c r="P17" i="6998" l="1"/>
  <c r="P23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9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8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1" i="6984" l="1"/>
  <c r="P20" i="6992"/>
  <c r="P15" i="6990"/>
  <c r="P16" i="6992"/>
  <c r="P23" i="6992"/>
  <c r="P18" i="6994"/>
  <c r="P18" i="6990"/>
  <c r="P20" i="6994"/>
  <c r="P22" i="6984"/>
  <c r="P15" i="6984"/>
  <c r="P18" i="6996" l="1"/>
  <c r="P16" i="6994"/>
  <c r="P16" i="6982"/>
  <c r="P17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6" i="6980"/>
  <c r="P17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2" i="6982"/>
  <c r="P25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18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1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4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4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3" i="6988"/>
  <c r="H18" i="6988"/>
  <c r="H25" i="6988"/>
  <c r="H28" i="6988"/>
  <c r="H31" i="6988"/>
  <c r="C37" i="6988"/>
  <c r="C41" i="6988"/>
  <c r="C45" i="6988"/>
  <c r="C49" i="6988"/>
  <c r="H8" i="6988"/>
  <c r="H22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7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0" i="6980"/>
  <c r="P22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10" i="6984"/>
  <c r="C19" i="6984"/>
  <c r="H9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0" i="6984"/>
  <c r="C22" i="6984"/>
  <c r="H2" i="6984"/>
  <c r="H19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2" i="6984"/>
  <c r="C39" i="6984"/>
  <c r="C49" i="6984"/>
  <c r="H41" i="6984"/>
  <c r="H52" i="6984"/>
  <c r="H28" i="6984"/>
  <c r="H14" i="6984"/>
  <c r="H31" i="6984"/>
  <c r="H23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9" i="6982"/>
  <c r="H28" i="6982"/>
  <c r="C25" i="6982"/>
  <c r="H41" i="6982"/>
  <c r="H45" i="6982"/>
  <c r="H49" i="6982"/>
  <c r="H10" i="6982"/>
  <c r="C38" i="6982"/>
  <c r="C46" i="6982"/>
  <c r="H7" i="6982"/>
  <c r="H9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8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8" i="6980"/>
  <c r="H48" i="6980"/>
  <c r="H25" i="6980"/>
  <c r="H43" i="6980"/>
  <c r="C47" i="6980"/>
  <c r="H49" i="6980"/>
  <c r="H23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7" i="6980"/>
  <c r="H14" i="6980"/>
  <c r="H35" i="6980"/>
  <c r="H18" i="6980"/>
  <c r="H39" i="6980"/>
  <c r="C40" i="6980"/>
  <c r="C44" i="6980"/>
  <c r="C48" i="6980"/>
  <c r="H30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<sst xmlns="http://schemas.openxmlformats.org/spreadsheetml/2006/main" count="3257" uniqueCount="262">
  <si>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</si>
  <si>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</si>
  <si>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</si>
  <si>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</si>
  <si>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</si>
  <si>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</si>
  <si>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</si>
  <si>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</si>
  <si>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</si>
  <si>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</si>
  <si>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</si>
  <si>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</si>
  <si>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</si>
  <si>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</si>
  <si>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</si>
  <si>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</si>
  <si>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</si>
  <si>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</si>
  <si>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</si>
  <si>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</si>
  <si>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</si>
  <si>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</si>
  <si>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</si>
  <si>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</si>
  <si>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</si>
  <si>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</si>
  <si>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</si>
  <si>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</si>
  <si>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</si>
  <si>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</si>
  <si>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</si>
  <si>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</si>
  <si>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</si>
  <si>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</si>
  <si>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</si>
  <si>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</si>
  <si>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</si>
  <si>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</si>
  <si>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</si>
  <si>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</si>
  <si>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</si>
  <si>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</si>
  <si>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</si>
  <si>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</si>
  <si>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</si>
  <si>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</si>
  <si>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</si>
  <si>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</si>
  <si>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</si>
  <si>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</si>
  <si>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</si>
  <si>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</si>
  <si>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</si>
  <si>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</si>
  <si>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</si>
  <si>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</si>
  <si>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</si>
  <si>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</si>
  <si>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</si>
  <si>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</si>
  <si>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</si>
  <si>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</si>
  <si>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</si>
  <si>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</si>
  <si>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</si>
  <si>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</si>
  <si>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</si>
  <si>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</si>
  <si>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</si>
  <si>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</si>
  <si>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</si>
  <si>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</si>
  <si>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</si>
  <si>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</si>
  <si>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</si>
  <si>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</si>
  <si>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</si>
  <si>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</si>
  <si>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</si>
  <si>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</si>
  <si>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</si>
  <si>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</si>
  <si>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</si>
  <si>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</si>
  <si>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</si>
  <si>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</si>
  <si>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</si>
  <si>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</si>
  <si>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</si>
  <si>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</si>
  <si>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</si>
  <si>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</si>
  <si>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</si>
  <si>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</si>
  <si>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</si>
  <si>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</si>
  <si>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</si>
  <si>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</si>
  <si>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</si>
  <si>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</si>
  <si>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</si>
  <si>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</si>
  <si>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</si>
  <si>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</si>
  <si>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</si>
  <si>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</si>
  <si>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</si>
  <si>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</si>
  <si>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</si>
  <si>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</si>
  <si>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</si>
  <si>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</si>
  <si>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</si>
  <si>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</si>
  <si>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</si>
  <si>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</si>
  <si>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</si>
  <si>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</si>
  <si>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</si>
  <si>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</si>
  <si>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</si>
  <si>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</si>
  <si>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</si>
  <si>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</si>
  <si>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</si>
  <si>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</si>
  <si>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</si>
  <si>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</si>
  <si>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</si>
  <si>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</si>
  <si>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</si>
  <si>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</si>
  <si>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</si>
  <si>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</si>
  <si>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</si>
  <si>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</si>
  <si>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</si>
  <si>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</si>
  <si>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</si>
  <si>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</si>
  <si>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</si>
  <si>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</si>
  <si>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</si>
  <si>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</si>
  <si>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</si>
  <si>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</si>
  <si>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</si>
  <si>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</si>
  <si>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</si>
  <si>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</si>
  <si>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</si>
  <si>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</si>
  <si>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</si>
  <si>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</si>
  <si>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</si>
  <si>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</si>
  <si>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</si>
  <si>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</si>
  <si>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</si>
  <si>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</si>
  <si>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</si>
  <si>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</si>
  <si>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</si>
  <si>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</si>
  <si>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</si>
  <si>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</si>
  <si>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</si>
  <si>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</si>
  <si>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</si>
  <si>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</si>
  <si>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</si>
  <si>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</si>
  <si>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</si>
  <si>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</si>
  <si>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</si>
  <si>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</si>
  <si>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</si>
  <si>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</si>
  <si>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</si>
  <si>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</si>
  <si>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</si>
  <si>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</si>
  <si>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</si>
  <si>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</si>
  <si>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</si>
  <si>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</si>
  <si>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</si>
  <si>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</si>
  <si>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</si>
  <si>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</si>
  <si>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</si>
  <si>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</si>
  <si>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</si>
  <si>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</si>
  <si>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</si>
  <si>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</si>
  <si>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</si>
  <si>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</si>
  <si>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</si>
  <si>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</si>
  <si>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</si>
  <si>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</si>
  <si>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</si>
  <si>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</si>
  <si>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</si>
  <si>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</si>
  <si>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</si>
  <si>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</si>
  <si>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</si>
  <si>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</si>
  <si>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</si>
  <si>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</si>
  <si>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</si>
  <si>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</si>
  <si>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</si>
  <si>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</si>
  <si>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</si>
  <si>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</si>
  <si>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</si>
  <si>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</si>
  <si>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</si>
  <si>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</si>
  <si>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</si>
  <si>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</si>
  <si>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</si>
  <si>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</si>
  <si>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</si>
  <si>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</si>
  <si>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</si>
  <si>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</si>
  <si>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</si>
  <si>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</si>
  <si>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</si>
  <si>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</si>
  <si>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</si>
  <si>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</si>
  <si>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</si>
  <si>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</si>
  <si>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</si>
  <si>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</si>
  <si>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</si>
  <si>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</si>
  <si>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</si>
  <si>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</si>
  <si>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</si>
  <si>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</si>
  <si>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</si>
  <si>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</si>
  <si>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</si>
  <si>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</si>
  <si>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</si>
  <si>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</si>
  <si>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</si>
  <si>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</si>
  <si>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</si>
  <si>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</si>
  <si>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</si>
  <si>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</si>
  <si>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</si>
  <si>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</si>
  <si>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やなぎ</t>
    <phoneticPr fontId="1"/>
  </si>
  <si>
    <t>2020-12-01@0.xlsm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</si>
</sst>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全体!$K$2:$K$362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全体!$L$2:$L$362</c:f>
              <c:numCache>
                <c:formatCode>\+0.0;\-0.0;\±0</c:formatCode>
                <c:ptCount val="36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-41.666666666666664</c:v>
                </c:pt>
                <c:pt idx="1">
                  <c:v>22.792022792022792</c:v>
                </c:pt>
                <c:pt idx="2">
                  <c:v>0</c:v>
                </c:pt>
                <c:pt idx="3">
                  <c:v>-5.9523809523809526</c:v>
                </c:pt>
                <c:pt idx="4">
                  <c:v>16.181229773462782</c:v>
                </c:pt>
                <c:pt idx="5">
                  <c:v>14.9812734082397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70</c:v>
                </c:pt>
                <c:pt idx="1">
                  <c:v>172</c:v>
                </c:pt>
                <c:pt idx="2">
                  <c:v>179</c:v>
                </c:pt>
                <c:pt idx="3">
                  <c:v>177</c:v>
                </c:pt>
                <c:pt idx="4">
                  <c:v>128</c:v>
                </c:pt>
                <c:pt idx="5">
                  <c:v>80</c:v>
                </c:pt>
                <c:pt idx="6">
                  <c:v>36</c:v>
                </c:pt>
                <c:pt idx="7">
                  <c:v>27</c:v>
                </c:pt>
                <c:pt idx="8">
                  <c:v>16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全体!$K$2:$K$362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全体!$M$2:$M$362</c:f>
              <c:numCache>
                <c:formatCode>0</c:formatCode>
                <c:ptCount val="36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だいち!$L$2:$L$98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1064.5833333333333</c:v>
                </c:pt>
                <c:pt idx="1">
                  <c:v>-754.83870967741939</c:v>
                </c:pt>
                <c:pt idx="2">
                  <c:v>-732.25806451612902</c:v>
                </c:pt>
                <c:pt idx="3">
                  <c:v>1411.1111111111111</c:v>
                </c:pt>
                <c:pt idx="4">
                  <c:v>204.8780487804878</c:v>
                </c:pt>
                <c:pt idx="5">
                  <c:v>-160.56338028169014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</c:v>
                </c:pt>
                <c:pt idx="1">
                  <c:v>50</c:v>
                </c:pt>
                <c:pt idx="2">
                  <c:v>56</c:v>
                </c:pt>
                <c:pt idx="3">
                  <c:v>48</c:v>
                </c:pt>
                <c:pt idx="4">
                  <c:v>41</c:v>
                </c:pt>
                <c:pt idx="5">
                  <c:v>30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だいち!$M$2:$M$98</c:f>
              <c:numCache>
                <c:formatCode>0</c:formatCode>
                <c:ptCount val="97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れんたろう!$L$2:$L$62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1445</c:v>
                </c:pt>
                <c:pt idx="1">
                  <c:v>-56.896551724137929</c:v>
                </c:pt>
                <c:pt idx="2">
                  <c:v>22.413793103448278</c:v>
                </c:pt>
                <c:pt idx="3">
                  <c:v>-1005.2631578947369</c:v>
                </c:pt>
                <c:pt idx="4">
                  <c:v>-238.46153846153845</c:v>
                </c:pt>
                <c:pt idx="5">
                  <c:v>356.81818181818181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29</c:v>
                </c:pt>
                <c:pt idx="3">
                  <c:v>31</c:v>
                </c:pt>
                <c:pt idx="4">
                  <c:v>28</c:v>
                </c:pt>
                <c:pt idx="5">
                  <c:v>14</c:v>
                </c:pt>
                <c:pt idx="6">
                  <c:v>7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れんたろう!$M$2:$M$62</c:f>
              <c:numCache>
                <c:formatCode>0</c:formatCode>
                <c:ptCount val="61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53.571428571428569</c:v>
                </c:pt>
                <c:pt idx="1">
                  <c:v>850</c:v>
                </c:pt>
                <c:pt idx="2">
                  <c:v>-840.74074074074076</c:v>
                </c:pt>
                <c:pt idx="3">
                  <c:v>-2895.8333333333335</c:v>
                </c:pt>
                <c:pt idx="4">
                  <c:v>2559.090909090909</c:v>
                </c:pt>
                <c:pt idx="5">
                  <c:v>-931.57894736842104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まっつん!$M$2:$M$30</c:f>
              <c:numCache>
                <c:formatCode>0</c:formatCode>
                <c:ptCount val="29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-554.5454545454545</c:v>
                </c:pt>
                <c:pt idx="1">
                  <c:v>686.36363636363637</c:v>
                </c:pt>
                <c:pt idx="2">
                  <c:v>1643.1818181818182</c:v>
                </c:pt>
                <c:pt idx="3">
                  <c:v>39.024390243902438</c:v>
                </c:pt>
                <c:pt idx="4">
                  <c:v>89.189189189189193</c:v>
                </c:pt>
                <c:pt idx="5">
                  <c:v>1474.2857142857142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12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いちかわ!$M$2:$M$46</c:f>
              <c:numCache>
                <c:formatCode>0</c:formatCode>
                <c:ptCount val="4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-181.25</c:v>
                </c:pt>
                <c:pt idx="1">
                  <c:v>691.11111111111109</c:v>
                </c:pt>
                <c:pt idx="2">
                  <c:v>793.47826086956525</c:v>
                </c:pt>
                <c:pt idx="3">
                  <c:v>2274.4186046511627</c:v>
                </c:pt>
                <c:pt idx="4">
                  <c:v>280</c:v>
                </c:pt>
                <c:pt idx="5">
                  <c:v>-18.75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ただ!$M$2:$M$50</c:f>
              <c:numCache>
                <c:formatCode>0</c:formatCode>
                <c:ptCount val="49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やなぎ2!$B$1:$B$2</c:f>
              <c:strCache>
                <c:ptCount val="2"/>
                <c:pt idx="0">
                  <c:v>やなぎ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やなぎ2!$C$1:$C$2</c:f>
              <c:strCache>
                <c:ptCount val="2"/>
                <c:pt idx="0">
                  <c:v>やなぎ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やなぎ2!$C$3:$C$6</c:f>
              <c:numCache>
                <c:formatCode>\+0.0;\-0.0;\±0</c:formatCode>
                <c:ptCount val="4"/>
                <c:pt idx="1">
                  <c:v>-24.5</c:v>
                </c:pt>
                <c:pt idx="2">
                  <c:v>-28.4</c:v>
                </c:pt>
                <c:pt idx="3">
                  <c:v>-16.666666666666668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68649107779168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やなぎ2!$D$1:$D$2</c:f>
              <c:strCache>
                <c:ptCount val="2"/>
                <c:pt idx="0">
                  <c:v>やなぎ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222222222222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やなぎ2!$E$1:$E$2</c:f>
              <c:strCache>
                <c:ptCount val="2"/>
                <c:pt idx="0">
                  <c:v>やなぎ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111111111111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やなぎ2!$F$1:$F$2</c:f>
              <c:strCache>
                <c:ptCount val="2"/>
                <c:pt idx="0">
                  <c:v>やなぎ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やなぎ2!$G$1:$G$2</c:f>
              <c:strCache>
                <c:ptCount val="2"/>
                <c:pt idx="0">
                  <c:v>やなぎ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やなぎ2!$G$3:$G$6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0.25</c:v>
                </c:pt>
                <c:pt idx="3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882410106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やなぎ2!$H$1:$H$2</c:f>
              <c:strCache>
                <c:ptCount val="2"/>
                <c:pt idx="0">
                  <c:v>やなぎ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やなぎ2!$H$3:$H$6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0.25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701976028506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やなぎ2!$I$1:$I$2</c:f>
              <c:strCache>
                <c:ptCount val="2"/>
                <c:pt idx="0">
                  <c:v>やなぎ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やなぎ2!$I$3:$I$6</c:f>
              <c:numCache>
                <c:formatCode>0</c:formatCode>
                <c:ptCount val="4"/>
                <c:pt idx="1">
                  <c:v>16000</c:v>
                </c:pt>
                <c:pt idx="2">
                  <c:v>8300</c:v>
                </c:pt>
                <c:pt idx="3">
                  <c:v>7216.666666666667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87.9690949227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やなぎ2!$J$1:$J$2</c:f>
              <c:strCache>
                <c:ptCount val="2"/>
                <c:pt idx="0">
                  <c:v>やなぎ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やなぎ2!$J$3:$J$6</c:f>
              <c:numCache>
                <c:formatCode>0</c:formatCode>
                <c:ptCount val="4"/>
                <c:pt idx="1">
                  <c:v>-6600</c:v>
                </c:pt>
                <c:pt idx="2">
                  <c:v>-10800</c:v>
                </c:pt>
                <c:pt idx="3">
                  <c:v>-9420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39.75659229208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やなぎ2!$K$1:$K$2</c:f>
              <c:strCache>
                <c:ptCount val="2"/>
                <c:pt idx="0">
                  <c:v>やなぎ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1111111111111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やなぎ2!$L$1:$L$2</c:f>
              <c:strCache>
                <c:ptCount val="2"/>
                <c:pt idx="0">
                  <c:v>やなぎ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やなぎ2!$L$3:$L$6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0.25</c:v>
                </c:pt>
                <c:pt idx="3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71493359248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やなぎ2!$M$1:$M$2</c:f>
              <c:strCache>
                <c:ptCount val="2"/>
                <c:pt idx="0">
                  <c:v>やなぎ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やなぎ2!$M$3:$M$6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0.1875</c:v>
                </c:pt>
                <c:pt idx="3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08130871396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やなぎ2!$N$1:$N$2</c:f>
              <c:strCache>
                <c:ptCount val="2"/>
                <c:pt idx="0">
                  <c:v>やなぎ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やなぎ2!$N$3:$N$6</c:f>
              <c:numCache>
                <c:formatCode>0.0%</c:formatCode>
                <c:ptCount val="4"/>
                <c:pt idx="1">
                  <c:v>0.5</c:v>
                </c:pt>
                <c:pt idx="2">
                  <c:v>0.75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8918918918918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やなぎ2!$O$1:$O$2</c:f>
              <c:strCache>
                <c:ptCount val="2"/>
                <c:pt idx="0">
                  <c:v>やなぎ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やなぎ2!$O$3:$O$6</c:f>
              <c:numCache>
                <c:formatCode>0.0%</c:formatCode>
                <c:ptCount val="4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12125534950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やなぎ2!$P$1:$P$2</c:f>
              <c:strCache>
                <c:ptCount val="2"/>
                <c:pt idx="0">
                  <c:v>やなぎ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やなぎ2!$P$3:$P$6</c:f>
              <c:numCache>
                <c:formatCode>0.0%</c:formatCode>
                <c:ptCount val="4"/>
                <c:pt idx="1">
                  <c:v>0</c:v>
                </c:pt>
                <c:pt idx="2">
                  <c:v>0.25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922737306843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4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261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260</v>
      </c>
    </row>
    <row r="2" spans="1:3" x14ac:dyDescent="0.4">
      <c r="A2" t="s">
        <v>126</v>
      </c>
      <c r="B2" s="120">
        <v>96</v>
      </c>
      <c r="C2" s="120">
        <v>1842.3339395535957</v>
      </c>
    </row>
    <row r="3" spans="1:3" x14ac:dyDescent="0.4">
      <c r="A3" t="s">
        <v>163</v>
      </c>
      <c r="B3" s="120">
        <v>60</v>
      </c>
      <c r="C3" s="120">
        <v>1653.1699313523677</v>
      </c>
    </row>
    <row r="4" spans="1:3" x14ac:dyDescent="0.4">
      <c r="A4" t="s">
        <v>139</v>
      </c>
      <c r="B4" s="120">
        <v>360</v>
      </c>
      <c r="C4" s="120">
        <v>1594.5463045050694</v>
      </c>
    </row>
    <row r="5" spans="1:3" x14ac:dyDescent="0.4">
      <c r="A5" t="s">
        <v>190</v>
      </c>
      <c r="B5" s="120">
        <v>28</v>
      </c>
      <c r="C5" s="120">
        <v>1524.3778689305989</v>
      </c>
    </row>
    <row r="6" spans="1:3" x14ac:dyDescent="0.4">
      <c r="A6" t="s">
        <v>192</v>
      </c>
      <c r="B6" s="120">
        <v>48</v>
      </c>
      <c r="C6" s="120">
        <v>1517.1288342047803</v>
      </c>
    </row>
    <row r="7" spans="1:3" x14ac:dyDescent="0.4">
      <c r="A7" t="s">
        <v>211</v>
      </c>
      <c r="B7" s="120">
        <v>44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/>
      <c r="C1" s="136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0</v>
      </c>
      <c r="C2" s="138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9">
        <v>0</v>
      </c>
      <c r="C3" s="140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1">
        <v>0</v>
      </c>
      <c r="C4" s="142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9">
        <f>IF(B$2=0,0,B$4/B$2)</f>
        <v>0</v>
      </c>
      <c r="C5" s="130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3">
        <v>1500</v>
      </c>
      <c r="C6" s="134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3">
        <f>IF(B$2=0,0,(B$8*1+B$9*2+B$10*3)/B$2)</f>
        <v>0</v>
      </c>
      <c r="C7" s="144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0</v>
      </c>
      <c r="C14" s="130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1">
        <v>0</v>
      </c>
      <c r="C33" s="132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3">
        <v>-1000000</v>
      </c>
      <c r="C34" s="134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9" t="s">
        <v>9</v>
      </c>
      <c r="C1" s="150"/>
      <c r="D1" s="147" t="s">
        <v>6</v>
      </c>
      <c r="E1" s="148"/>
      <c r="F1" s="147" t="s">
        <v>7</v>
      </c>
      <c r="G1" s="148"/>
      <c r="H1" s="149" t="s">
        <v>196</v>
      </c>
      <c r="I1" s="150"/>
      <c r="J1" s="147" t="s">
        <v>15</v>
      </c>
      <c r="K1" s="148"/>
      <c r="L1" s="147" t="s">
        <v>14</v>
      </c>
      <c r="M1" s="148"/>
      <c r="N1" s="147" t="s">
        <v>149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180</v>
      </c>
      <c r="AK1" s="148"/>
    </row>
    <row r="2" spans="1:37" x14ac:dyDescent="0.4">
      <c r="A2" s="36" t="s">
        <v>208</v>
      </c>
      <c r="B2" s="145">
        <v>0.93063396366399642</v>
      </c>
      <c r="C2" s="146"/>
      <c r="D2" s="145">
        <v>0.59268645955677401</v>
      </c>
      <c r="E2" s="146"/>
      <c r="F2" s="145">
        <v>0.51241588788873038</v>
      </c>
      <c r="G2" s="146"/>
      <c r="H2" s="151"/>
      <c r="I2" s="152"/>
      <c r="J2" s="145">
        <v>0.12857605256535465</v>
      </c>
      <c r="K2" s="146"/>
      <c r="L2" s="145">
        <v>-0.16096057383479834</v>
      </c>
      <c r="M2" s="146"/>
      <c r="N2" s="145">
        <v>0.36852190589955791</v>
      </c>
      <c r="O2" s="146"/>
      <c r="P2" s="145">
        <v>0.471744645843588</v>
      </c>
      <c r="Q2" s="146"/>
      <c r="R2" s="145">
        <v>-2.8409528277864474E-2</v>
      </c>
      <c r="S2" s="146"/>
      <c r="T2" s="145">
        <v>0.25255266001110549</v>
      </c>
      <c r="U2" s="146"/>
      <c r="V2" s="145">
        <v>0.15260388549963771</v>
      </c>
      <c r="W2" s="146"/>
      <c r="X2" s="145">
        <v>0.39641442323297954</v>
      </c>
      <c r="Y2" s="146"/>
      <c r="Z2" s="145">
        <v>0.3016214416646586</v>
      </c>
      <c r="AA2" s="146"/>
      <c r="AB2" s="145">
        <v>0.18433003641336682</v>
      </c>
      <c r="AC2" s="146"/>
      <c r="AD2" s="145">
        <v>-2.7511204973220366E-2</v>
      </c>
      <c r="AE2" s="146"/>
      <c r="AF2" s="145">
        <v>0.45926667413853212</v>
      </c>
      <c r="AG2" s="146"/>
      <c r="AH2" s="145">
        <v>-0.10744444846578784</v>
      </c>
      <c r="AI2" s="146"/>
      <c r="AJ2" s="145">
        <v>0.82197009003197052</v>
      </c>
      <c r="AK2" s="146"/>
    </row>
    <row r="3" spans="1:37" x14ac:dyDescent="0.4">
      <c r="A3" s="38">
        <v>1</v>
      </c>
      <c r="B3" s="41" t="s">
        <v>139</v>
      </c>
      <c r="C3" s="113">
        <v>120</v>
      </c>
      <c r="D3" s="39" t="s">
        <v>192</v>
      </c>
      <c r="E3" s="40">
        <v>261.89999999999992</v>
      </c>
      <c r="F3" s="41" t="s">
        <v>192</v>
      </c>
      <c r="G3" s="60">
        <v>5.456249999999998</v>
      </c>
      <c r="H3" s="41" t="s">
        <v>126</v>
      </c>
      <c r="I3" s="45">
        <v>1782.8353488183825</v>
      </c>
      <c r="J3" s="41" t="s">
        <v>192</v>
      </c>
      <c r="K3" s="42">
        <v>1.8125</v>
      </c>
      <c r="L3" s="41" t="s">
        <v>195</v>
      </c>
      <c r="M3" s="43">
        <v>0.5</v>
      </c>
      <c r="N3" s="41" t="s">
        <v>190</v>
      </c>
      <c r="O3" s="43">
        <v>0.21428571428571427</v>
      </c>
      <c r="P3" s="41" t="s">
        <v>192</v>
      </c>
      <c r="Q3" s="44">
        <v>0.33574879227053139</v>
      </c>
      <c r="R3" s="41" t="s">
        <v>190</v>
      </c>
      <c r="S3" s="44">
        <v>0.10245901639344263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0.27324478178368122</v>
      </c>
      <c r="AB3" s="41" t="s">
        <v>189</v>
      </c>
      <c r="AC3" s="44">
        <v>0.30026109660574413</v>
      </c>
      <c r="AD3" s="41" t="s">
        <v>195</v>
      </c>
      <c r="AE3" s="44">
        <v>0.69565217391304346</v>
      </c>
      <c r="AF3" s="41" t="s">
        <v>211</v>
      </c>
      <c r="AG3" s="44">
        <v>0.49367088607594939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96</v>
      </c>
      <c r="D4" s="47" t="s">
        <v>126</v>
      </c>
      <c r="E4" s="48">
        <v>245.49999999999994</v>
      </c>
      <c r="F4" s="49" t="s">
        <v>211</v>
      </c>
      <c r="G4" s="61">
        <v>3.2545454545454544</v>
      </c>
      <c r="H4" s="49" t="s">
        <v>163</v>
      </c>
      <c r="I4" s="53">
        <v>1628.3625261330819</v>
      </c>
      <c r="J4" s="49" t="s">
        <v>195</v>
      </c>
      <c r="K4" s="50">
        <v>1.9166666666666667</v>
      </c>
      <c r="L4" s="49" t="s">
        <v>192</v>
      </c>
      <c r="M4" s="51">
        <v>0.41666666666666669</v>
      </c>
      <c r="N4" s="49" t="s">
        <v>192</v>
      </c>
      <c r="O4" s="51">
        <v>0.22916666666666666</v>
      </c>
      <c r="P4" s="49" t="s">
        <v>126</v>
      </c>
      <c r="Q4" s="52">
        <v>0.32833957553058679</v>
      </c>
      <c r="R4" s="49" t="s">
        <v>192</v>
      </c>
      <c r="S4" s="52">
        <v>0.11352657004830918</v>
      </c>
      <c r="T4" s="49" t="s">
        <v>163</v>
      </c>
      <c r="U4" s="53">
        <v>9193.6170212765956</v>
      </c>
      <c r="V4" s="49" t="s">
        <v>211</v>
      </c>
      <c r="W4" s="53">
        <v>-6609.8039215686276</v>
      </c>
      <c r="X4" s="49" t="s">
        <v>221</v>
      </c>
      <c r="Y4" s="51">
        <v>0</v>
      </c>
      <c r="Z4" s="49" t="s">
        <v>189</v>
      </c>
      <c r="AA4" s="52">
        <v>0.26109660574412535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126</v>
      </c>
      <c r="AG4" s="52">
        <v>0.47305389221556887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60</v>
      </c>
      <c r="D5" s="47" t="s">
        <v>211</v>
      </c>
      <c r="E5" s="48">
        <v>143.19999999999999</v>
      </c>
      <c r="F5" s="49" t="s">
        <v>126</v>
      </c>
      <c r="G5" s="61">
        <v>2.5572916666666661</v>
      </c>
      <c r="H5" s="49" t="s">
        <v>139</v>
      </c>
      <c r="I5" s="53">
        <v>1602.48065207522</v>
      </c>
      <c r="J5" s="49" t="s">
        <v>211</v>
      </c>
      <c r="K5" s="50">
        <v>1.9318181818181819</v>
      </c>
      <c r="L5" s="49" t="s">
        <v>211</v>
      </c>
      <c r="M5" s="51">
        <v>0.38636363636363635</v>
      </c>
      <c r="N5" s="49" t="s">
        <v>211</v>
      </c>
      <c r="O5" s="51">
        <v>0.31818181818181818</v>
      </c>
      <c r="P5" s="49" t="s">
        <v>211</v>
      </c>
      <c r="Q5" s="52">
        <v>0.30158730158730157</v>
      </c>
      <c r="R5" s="49" t="s">
        <v>211</v>
      </c>
      <c r="S5" s="52">
        <v>0.13492063492063491</v>
      </c>
      <c r="T5" s="49" t="s">
        <v>195</v>
      </c>
      <c r="U5" s="53">
        <v>8606.8965517241377</v>
      </c>
      <c r="V5" s="49" t="s">
        <v>126</v>
      </c>
      <c r="W5" s="53">
        <v>-7297.8723404255315</v>
      </c>
      <c r="X5" s="49" t="s">
        <v>259</v>
      </c>
      <c r="Y5" s="51">
        <v>0</v>
      </c>
      <c r="Z5" s="49" t="s">
        <v>126</v>
      </c>
      <c r="AA5" s="52">
        <v>0.25218476903870163</v>
      </c>
      <c r="AB5" s="49" t="s">
        <v>192</v>
      </c>
      <c r="AC5" s="52">
        <v>0.27294685990338163</v>
      </c>
      <c r="AD5" s="49" t="s">
        <v>211</v>
      </c>
      <c r="AE5" s="52">
        <v>0.58750000000000002</v>
      </c>
      <c r="AF5" s="49" t="s">
        <v>193</v>
      </c>
      <c r="AG5" s="52">
        <v>0.41666666666666669</v>
      </c>
      <c r="AH5" s="49" t="s">
        <v>259</v>
      </c>
      <c r="AI5" s="52">
        <v>0.5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48</v>
      </c>
      <c r="D6" s="47" t="s">
        <v>139</v>
      </c>
      <c r="E6" s="48">
        <v>3.5527136788005009E-14</v>
      </c>
      <c r="F6" s="49" t="s">
        <v>139</v>
      </c>
      <c r="G6" s="61">
        <v>9.8686491077791687E-17</v>
      </c>
      <c r="H6" s="49" t="s">
        <v>192</v>
      </c>
      <c r="I6" s="53">
        <v>1580.3102788159663</v>
      </c>
      <c r="J6" s="49" t="s">
        <v>126</v>
      </c>
      <c r="K6" s="50">
        <v>1.9895833333333333</v>
      </c>
      <c r="L6" s="49" t="s">
        <v>189</v>
      </c>
      <c r="M6" s="51">
        <v>0.34883720930232559</v>
      </c>
      <c r="N6" s="49" t="s">
        <v>126</v>
      </c>
      <c r="O6" s="51">
        <v>0.33333333333333331</v>
      </c>
      <c r="P6" s="49" t="s">
        <v>139</v>
      </c>
      <c r="Q6" s="52">
        <v>0.29348882410106902</v>
      </c>
      <c r="R6" s="49" t="s">
        <v>139</v>
      </c>
      <c r="S6" s="52">
        <v>0.15970197602850664</v>
      </c>
      <c r="T6" s="49" t="s">
        <v>126</v>
      </c>
      <c r="U6" s="53">
        <v>8246.7680608365026</v>
      </c>
      <c r="V6" s="49" t="s">
        <v>195</v>
      </c>
      <c r="W6" s="53">
        <v>-7629.411764705882</v>
      </c>
      <c r="X6" s="49" t="s">
        <v>211</v>
      </c>
      <c r="Y6" s="51">
        <v>4.5454545454545456E-2</v>
      </c>
      <c r="Z6" s="49" t="s">
        <v>259</v>
      </c>
      <c r="AA6" s="52">
        <v>0.24</v>
      </c>
      <c r="AB6" s="49" t="s">
        <v>139</v>
      </c>
      <c r="AC6" s="52">
        <v>0.22708130871396179</v>
      </c>
      <c r="AD6" s="49" t="s">
        <v>126</v>
      </c>
      <c r="AE6" s="52">
        <v>0.57920792079207917</v>
      </c>
      <c r="AF6" s="49" t="s">
        <v>192</v>
      </c>
      <c r="AG6" s="52">
        <v>0.41592920353982299</v>
      </c>
      <c r="AH6" s="49" t="s">
        <v>126</v>
      </c>
      <c r="AI6" s="52">
        <v>0.4828897338403042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44</v>
      </c>
      <c r="D7" s="47" t="s">
        <v>221</v>
      </c>
      <c r="E7" s="48">
        <v>-13.5</v>
      </c>
      <c r="F7" s="49" t="s">
        <v>163</v>
      </c>
      <c r="G7" s="61">
        <v>-1.8616666666666668</v>
      </c>
      <c r="H7" s="49" t="s">
        <v>211</v>
      </c>
      <c r="I7" s="53">
        <v>1531.1784483849297</v>
      </c>
      <c r="J7" s="49" t="s">
        <v>139</v>
      </c>
      <c r="K7" s="50">
        <v>1.9972222222222222</v>
      </c>
      <c r="L7" s="49" t="s">
        <v>126</v>
      </c>
      <c r="M7" s="51">
        <v>0.34375</v>
      </c>
      <c r="N7" s="49" t="s">
        <v>139</v>
      </c>
      <c r="O7" s="51">
        <v>0.33333333333333331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139</v>
      </c>
      <c r="U7" s="53">
        <v>8087.969094922737</v>
      </c>
      <c r="V7" s="49" t="s">
        <v>139</v>
      </c>
      <c r="W7" s="53">
        <v>-7639.7565922920894</v>
      </c>
      <c r="X7" s="49" t="s">
        <v>190</v>
      </c>
      <c r="Y7" s="51">
        <v>7.1428571428571425E-2</v>
      </c>
      <c r="Z7" s="49" t="s">
        <v>139</v>
      </c>
      <c r="AA7" s="52">
        <v>0.23971493359248461</v>
      </c>
      <c r="AB7" s="49" t="s">
        <v>163</v>
      </c>
      <c r="AC7" s="52">
        <v>0.2239089184060721</v>
      </c>
      <c r="AD7" s="49" t="s">
        <v>192</v>
      </c>
      <c r="AE7" s="52">
        <v>0.52380952380952384</v>
      </c>
      <c r="AF7" s="49" t="s">
        <v>139</v>
      </c>
      <c r="AG7" s="52">
        <v>0.41512125534950073</v>
      </c>
      <c r="AH7" s="49" t="s">
        <v>189</v>
      </c>
      <c r="AI7" s="52">
        <v>0.47272727272727272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195</v>
      </c>
      <c r="E8" s="48">
        <v>-39.5</v>
      </c>
      <c r="F8" s="49" t="s">
        <v>190</v>
      </c>
      <c r="G8" s="61">
        <v>-2.4035714285714294</v>
      </c>
      <c r="H8" s="49" t="s">
        <v>190</v>
      </c>
      <c r="I8" s="53">
        <v>1525.2391528138457</v>
      </c>
      <c r="J8" s="49" t="s">
        <v>190</v>
      </c>
      <c r="K8" s="50">
        <v>2</v>
      </c>
      <c r="L8" s="49" t="s">
        <v>139</v>
      </c>
      <c r="M8" s="51">
        <v>0.33611111111111114</v>
      </c>
      <c r="N8" s="49" t="s">
        <v>163</v>
      </c>
      <c r="O8" s="51">
        <v>0.35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8075.8620689655172</v>
      </c>
      <c r="V8" s="49" t="s">
        <v>192</v>
      </c>
      <c r="W8" s="53">
        <v>-7774.4680851063831</v>
      </c>
      <c r="X8" s="49" t="s">
        <v>126</v>
      </c>
      <c r="Y8" s="51">
        <v>7.2916666666666671E-2</v>
      </c>
      <c r="Z8" s="49" t="s">
        <v>190</v>
      </c>
      <c r="AA8" s="52">
        <v>0.22950819672131148</v>
      </c>
      <c r="AB8" s="49" t="s">
        <v>193</v>
      </c>
      <c r="AC8" s="52">
        <v>0.22222222222222221</v>
      </c>
      <c r="AD8" s="49" t="s">
        <v>139</v>
      </c>
      <c r="AE8" s="52">
        <v>0.51891891891891895</v>
      </c>
      <c r="AF8" s="49" t="s">
        <v>189</v>
      </c>
      <c r="AG8" s="52">
        <v>0.40869565217391307</v>
      </c>
      <c r="AH8" s="49" t="s">
        <v>163</v>
      </c>
      <c r="AI8" s="52">
        <v>0.46808510638297873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28</v>
      </c>
      <c r="D9" s="47" t="s">
        <v>259</v>
      </c>
      <c r="E9" s="48">
        <v>-50</v>
      </c>
      <c r="F9" s="49" t="s">
        <v>189</v>
      </c>
      <c r="G9" s="61">
        <v>-2.5604651162790697</v>
      </c>
      <c r="H9" s="49" t="s">
        <v>221</v>
      </c>
      <c r="I9" s="53">
        <v>1497.379788</v>
      </c>
      <c r="J9" s="49" t="s">
        <v>163</v>
      </c>
      <c r="K9" s="50">
        <v>2.0333333333333332</v>
      </c>
      <c r="L9" s="49" t="s">
        <v>163</v>
      </c>
      <c r="M9" s="51">
        <v>0.31666666666666665</v>
      </c>
      <c r="N9" s="49" t="s">
        <v>189</v>
      </c>
      <c r="O9" s="51">
        <v>0.39534883720930231</v>
      </c>
      <c r="P9" s="49" t="s">
        <v>163</v>
      </c>
      <c r="Q9" s="52">
        <v>0.26755218216318788</v>
      </c>
      <c r="R9" s="49" t="s">
        <v>189</v>
      </c>
      <c r="S9" s="52">
        <v>0.16971279373368145</v>
      </c>
      <c r="T9" s="49" t="s">
        <v>211</v>
      </c>
      <c r="U9" s="53">
        <v>7921.9298245614036</v>
      </c>
      <c r="V9" s="49" t="s">
        <v>216</v>
      </c>
      <c r="W9" s="53">
        <v>-7886.2068965517237</v>
      </c>
      <c r="X9" s="49" t="s">
        <v>192</v>
      </c>
      <c r="Y9" s="51">
        <v>8.3333333333333329E-2</v>
      </c>
      <c r="Z9" s="49" t="s">
        <v>216</v>
      </c>
      <c r="AA9" s="52">
        <v>0.22857142857142856</v>
      </c>
      <c r="AB9" s="49" t="s">
        <v>211</v>
      </c>
      <c r="AC9" s="52">
        <v>0.20899470899470898</v>
      </c>
      <c r="AD9" s="49" t="s">
        <v>190</v>
      </c>
      <c r="AE9" s="52">
        <v>0.5</v>
      </c>
      <c r="AF9" s="49" t="s">
        <v>221</v>
      </c>
      <c r="AG9" s="52">
        <v>0.4</v>
      </c>
      <c r="AH9" s="49" t="s">
        <v>139</v>
      </c>
      <c r="AI9" s="52">
        <v>0.44922737306843269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190</v>
      </c>
      <c r="E10" s="48">
        <v>-67.300000000000026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189</v>
      </c>
      <c r="K10" s="50">
        <v>2.0465116279069768</v>
      </c>
      <c r="L10" s="49" t="s">
        <v>216</v>
      </c>
      <c r="M10" s="51">
        <v>0.22222222222222221</v>
      </c>
      <c r="N10" s="49" t="s">
        <v>195</v>
      </c>
      <c r="O10" s="51">
        <v>0.41666666666666669</v>
      </c>
      <c r="P10" s="49" t="s">
        <v>259</v>
      </c>
      <c r="Q10" s="52">
        <v>0.24</v>
      </c>
      <c r="R10" s="49" t="s">
        <v>126</v>
      </c>
      <c r="S10" s="52">
        <v>0.17602996254681649</v>
      </c>
      <c r="T10" s="49" t="s">
        <v>193</v>
      </c>
      <c r="U10" s="53">
        <v>7866.666666666667</v>
      </c>
      <c r="V10" s="49" t="s">
        <v>163</v>
      </c>
      <c r="W10" s="53">
        <v>-8011.2244897959181</v>
      </c>
      <c r="X10" s="49" t="s">
        <v>139</v>
      </c>
      <c r="Y10" s="51">
        <v>8.611111111111111E-2</v>
      </c>
      <c r="Z10" s="49" t="s">
        <v>195</v>
      </c>
      <c r="AA10" s="52">
        <v>0.22330097087378642</v>
      </c>
      <c r="AB10" s="49" t="s">
        <v>126</v>
      </c>
      <c r="AC10" s="52">
        <v>0.20848938826466917</v>
      </c>
      <c r="AD10" s="49" t="s">
        <v>163</v>
      </c>
      <c r="AE10" s="52">
        <v>0.47222222222222221</v>
      </c>
      <c r="AF10" s="49" t="s">
        <v>190</v>
      </c>
      <c r="AG10" s="52">
        <v>0.36</v>
      </c>
      <c r="AH10" s="49" t="s">
        <v>216</v>
      </c>
      <c r="AI10" s="52">
        <v>0.43333333333333335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216</v>
      </c>
      <c r="I11" s="53">
        <v>1475.2783888604056</v>
      </c>
      <c r="J11" s="49" t="s">
        <v>216</v>
      </c>
      <c r="K11" s="50">
        <v>2.2222222222222223</v>
      </c>
      <c r="L11" s="49" t="s">
        <v>190</v>
      </c>
      <c r="M11" s="51">
        <v>0.21428571428571427</v>
      </c>
      <c r="N11" s="49" t="s">
        <v>216</v>
      </c>
      <c r="O11" s="51">
        <v>0.44444444444444442</v>
      </c>
      <c r="P11" s="49" t="s">
        <v>190</v>
      </c>
      <c r="Q11" s="52">
        <v>0.23770491803278687</v>
      </c>
      <c r="R11" s="49" t="s">
        <v>163</v>
      </c>
      <c r="S11" s="52">
        <v>0.1859582542694497</v>
      </c>
      <c r="T11" s="49" t="s">
        <v>189</v>
      </c>
      <c r="U11" s="53">
        <v>7535.454545454545</v>
      </c>
      <c r="V11" s="49" t="s">
        <v>189</v>
      </c>
      <c r="W11" s="53">
        <v>-8520</v>
      </c>
      <c r="X11" s="49" t="s">
        <v>189</v>
      </c>
      <c r="Y11" s="51">
        <v>9.3023255813953487E-2</v>
      </c>
      <c r="Z11" s="49" t="s">
        <v>221</v>
      </c>
      <c r="AA11" s="52">
        <v>0.22222222222222221</v>
      </c>
      <c r="AB11" s="49" t="s">
        <v>190</v>
      </c>
      <c r="AC11" s="52">
        <v>0.20491803278688525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211</v>
      </c>
      <c r="AI11" s="52">
        <v>0.42982456140350878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189</v>
      </c>
      <c r="E12" s="48">
        <v>-110.1</v>
      </c>
      <c r="F12" s="49" t="s">
        <v>216</v>
      </c>
      <c r="G12" s="61">
        <v>-10.016666666666667</v>
      </c>
      <c r="H12" s="49" t="s">
        <v>189</v>
      </c>
      <c r="I12" s="53">
        <v>1448.7493412538377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193</v>
      </c>
      <c r="Q12" s="52">
        <v>0.22222222222222221</v>
      </c>
      <c r="R12" s="49" t="s">
        <v>259</v>
      </c>
      <c r="S12" s="52">
        <v>0.2</v>
      </c>
      <c r="T12" s="49" t="s">
        <v>192</v>
      </c>
      <c r="U12" s="53">
        <v>7306.4748201438852</v>
      </c>
      <c r="V12" s="49" t="s">
        <v>193</v>
      </c>
      <c r="W12" s="53">
        <v>-8875</v>
      </c>
      <c r="X12" s="49" t="s">
        <v>216</v>
      </c>
      <c r="Y12" s="51">
        <v>0.1111111111111111</v>
      </c>
      <c r="Z12" s="49" t="s">
        <v>211</v>
      </c>
      <c r="AA12" s="52">
        <v>0.21164021164021163</v>
      </c>
      <c r="AB12" s="49" t="s">
        <v>216</v>
      </c>
      <c r="AC12" s="52">
        <v>0.17142857142857143</v>
      </c>
      <c r="AD12" s="49" t="s">
        <v>189</v>
      </c>
      <c r="AE12" s="52">
        <v>0.43</v>
      </c>
      <c r="AF12" s="49" t="s">
        <v>163</v>
      </c>
      <c r="AG12" s="52">
        <v>0.34745762711864409</v>
      </c>
      <c r="AH12" s="49" t="s">
        <v>192</v>
      </c>
      <c r="AI12" s="52">
        <v>0.39568345323741005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259</v>
      </c>
      <c r="C13" s="114">
        <v>3</v>
      </c>
      <c r="D13" s="47" t="s">
        <v>163</v>
      </c>
      <c r="E13" s="48">
        <v>-111.7</v>
      </c>
      <c r="F13" s="49" t="s">
        <v>193</v>
      </c>
      <c r="G13" s="61">
        <v>-13.033333333333331</v>
      </c>
      <c r="H13" s="49" t="s">
        <v>195</v>
      </c>
      <c r="I13" s="53">
        <v>1396.3170423346389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221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259</v>
      </c>
      <c r="W13" s="53">
        <v>-9420</v>
      </c>
      <c r="X13" s="49" t="s">
        <v>163</v>
      </c>
      <c r="Y13" s="51">
        <v>0.13333333333333333</v>
      </c>
      <c r="Z13" s="49" t="s">
        <v>192</v>
      </c>
      <c r="AA13" s="52">
        <v>0.20289855072463769</v>
      </c>
      <c r="AB13" s="49" t="s">
        <v>259</v>
      </c>
      <c r="AC13" s="52">
        <v>0.16</v>
      </c>
      <c r="AD13" s="49" t="s">
        <v>221</v>
      </c>
      <c r="AE13" s="52">
        <v>0.25</v>
      </c>
      <c r="AF13" s="49" t="s">
        <v>216</v>
      </c>
      <c r="AG13" s="52">
        <v>0.29166666666666669</v>
      </c>
      <c r="AH13" s="49" t="s">
        <v>190</v>
      </c>
      <c r="AI13" s="52">
        <v>0.32758620689655171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221</v>
      </c>
      <c r="C14" s="114">
        <v>2</v>
      </c>
      <c r="D14" s="47" t="s">
        <v>216</v>
      </c>
      <c r="E14" s="48">
        <v>-180.3</v>
      </c>
      <c r="F14" s="49" t="s">
        <v>259</v>
      </c>
      <c r="G14" s="61">
        <v>-16.666666666666668</v>
      </c>
      <c r="H14" s="49" t="s">
        <v>193</v>
      </c>
      <c r="I14" s="53">
        <v>1340.228259602879</v>
      </c>
      <c r="J14" s="49" t="s">
        <v>259</v>
      </c>
      <c r="K14" s="50">
        <v>2.6666666666666665</v>
      </c>
      <c r="L14" s="49" t="s">
        <v>259</v>
      </c>
      <c r="M14" s="51">
        <v>0</v>
      </c>
      <c r="N14" s="49" t="s">
        <v>259</v>
      </c>
      <c r="O14" s="51">
        <v>0.66666666666666663</v>
      </c>
      <c r="P14" s="49" t="s">
        <v>216</v>
      </c>
      <c r="Q14" s="52">
        <v>0.21428571428571427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221</v>
      </c>
      <c r="W14" s="53">
        <v>-10300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195</v>
      </c>
      <c r="AC14" s="52">
        <v>0.13592233009708737</v>
      </c>
      <c r="AD14" s="49" t="s">
        <v>193</v>
      </c>
      <c r="AE14" s="52">
        <v>0.22222222222222221</v>
      </c>
      <c r="AF14" s="49" t="s">
        <v>259</v>
      </c>
      <c r="AG14" s="52">
        <v>0.25</v>
      </c>
      <c r="AH14" s="49" t="s">
        <v>193</v>
      </c>
      <c r="AI14" s="52">
        <v>0.25</v>
      </c>
      <c r="AJ14" s="49" t="s">
        <v>221</v>
      </c>
      <c r="AK14" s="56">
        <v>39000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6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139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360</v>
      </c>
      <c r="C2" s="138"/>
      <c r="E2" s="26" t="s">
        <v>66</v>
      </c>
      <c r="F2" s="23" t="s">
        <v>22</v>
      </c>
      <c r="G2" s="11">
        <v>704</v>
      </c>
      <c r="H2" s="87">
        <f>IF(B$20=0,0,G2/B$20)</f>
        <v>0.77704194260485648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-41.666666666666664</v>
      </c>
      <c r="Q2" s="76">
        <v>360</v>
      </c>
      <c r="R2" s="63">
        <v>-15000</v>
      </c>
    </row>
    <row r="3" spans="1:18" x14ac:dyDescent="0.4">
      <c r="A3" s="19" t="s">
        <v>8</v>
      </c>
      <c r="B3" s="139">
        <v>3087</v>
      </c>
      <c r="C3" s="140"/>
      <c r="E3" s="27" t="s">
        <v>72</v>
      </c>
      <c r="F3" s="24" t="s">
        <v>27</v>
      </c>
      <c r="G3" s="12">
        <v>547</v>
      </c>
      <c r="H3" s="88">
        <f>IF(B$20=0,0,G3/B$20)</f>
        <v>0.60375275938189843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22.792022792022792</v>
      </c>
      <c r="Q3" s="77">
        <v>351</v>
      </c>
      <c r="R3" s="64">
        <v>8000</v>
      </c>
    </row>
    <row r="4" spans="1:18" x14ac:dyDescent="0.4">
      <c r="A4" s="19" t="s">
        <v>6</v>
      </c>
      <c r="B4" s="141">
        <v>3.5527136788005009E-14</v>
      </c>
      <c r="C4" s="142"/>
      <c r="E4" s="27" t="s">
        <v>64</v>
      </c>
      <c r="F4" s="24" t="s">
        <v>20</v>
      </c>
      <c r="G4" s="12">
        <v>372</v>
      </c>
      <c r="H4" s="88">
        <f>IF(B$20=0,0,G4/B$20)</f>
        <v>0.41059602649006621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351</v>
      </c>
      <c r="R4" s="64">
        <v>0</v>
      </c>
    </row>
    <row r="5" spans="1:18" x14ac:dyDescent="0.4">
      <c r="A5" s="19" t="s">
        <v>7</v>
      </c>
      <c r="B5" s="129">
        <f>IF(B$2=0,0,B$4/B$2)</f>
        <v>9.8686491077791687E-17</v>
      </c>
      <c r="C5" s="130"/>
      <c r="E5" s="27" t="s">
        <v>159</v>
      </c>
      <c r="F5" s="24" t="s">
        <v>160</v>
      </c>
      <c r="G5" s="12">
        <v>364</v>
      </c>
      <c r="H5" s="88">
        <f>IF(B$20=0,0,G5/B$20)</f>
        <v>0.40176600441501104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-5.9523809523809526</v>
      </c>
      <c r="Q5" s="77">
        <v>336</v>
      </c>
      <c r="R5" s="64">
        <v>-2000</v>
      </c>
    </row>
    <row r="6" spans="1:18" x14ac:dyDescent="0.4">
      <c r="A6" s="19" t="s">
        <v>196</v>
      </c>
      <c r="B6" s="133">
        <v>1602.48065207522</v>
      </c>
      <c r="C6" s="134"/>
      <c r="E6" s="27" t="s">
        <v>68</v>
      </c>
      <c r="F6" s="24" t="s">
        <v>12</v>
      </c>
      <c r="G6" s="12">
        <v>273</v>
      </c>
      <c r="H6" s="88">
        <f>IF(B$20=0,0,G6/B$20)</f>
        <v>0.30132450331125826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16.181229773462782</v>
      </c>
      <c r="Q6" s="77">
        <v>309</v>
      </c>
      <c r="R6" s="64">
        <v>5000</v>
      </c>
    </row>
    <row r="7" spans="1:18" x14ac:dyDescent="0.4">
      <c r="A7" s="19" t="s">
        <v>1</v>
      </c>
      <c r="B7" s="143">
        <f>IF(B$2=0,0,(B$8*1+B$9*2+B$10*3)/B$2)</f>
        <v>1.9972222222222222</v>
      </c>
      <c r="C7" s="144"/>
      <c r="E7" s="27" t="s">
        <v>67</v>
      </c>
      <c r="F7" s="24" t="s">
        <v>23</v>
      </c>
      <c r="G7" s="12">
        <v>190</v>
      </c>
      <c r="H7" s="88">
        <f>IF(B$20=0,0,G7/B$20)</f>
        <v>0.20971302428256069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14.9812734082397</v>
      </c>
      <c r="Q7" s="78">
        <v>267</v>
      </c>
      <c r="R7" s="65">
        <v>4000</v>
      </c>
    </row>
    <row r="8" spans="1:18" x14ac:dyDescent="0.4">
      <c r="A8" s="19" t="s">
        <v>2</v>
      </c>
      <c r="B8" s="12">
        <v>121</v>
      </c>
      <c r="C8" s="6">
        <f t="shared" ref="C8:C15" si="1">IF(B$2=0,0,B8/B$2)</f>
        <v>0.33611111111111114</v>
      </c>
      <c r="E8" s="27" t="s">
        <v>89</v>
      </c>
      <c r="F8" s="24" t="s">
        <v>44</v>
      </c>
      <c r="G8" s="12">
        <v>126</v>
      </c>
      <c r="H8" s="88">
        <f>IF(B$20=0,0,G8/B$20)</f>
        <v>0.13907284768211919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119</v>
      </c>
      <c r="C9" s="6">
        <f t="shared" si="1"/>
        <v>0.33055555555555555</v>
      </c>
      <c r="E9" s="27" t="s">
        <v>69</v>
      </c>
      <c r="F9" s="24" t="s">
        <v>24</v>
      </c>
      <c r="G9" s="12">
        <v>112</v>
      </c>
      <c r="H9" s="88">
        <f>IF(B$20=0,0,G9/B$20)</f>
        <v>0.12362030905077263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120</v>
      </c>
      <c r="C10" s="7">
        <f t="shared" si="1"/>
        <v>0.33333333333333331</v>
      </c>
      <c r="E10" s="27" t="s">
        <v>70</v>
      </c>
      <c r="F10" s="24" t="s">
        <v>25</v>
      </c>
      <c r="G10" s="12">
        <v>93</v>
      </c>
      <c r="H10" s="88">
        <f>IF(B$20=0,0,G10/B$20)</f>
        <v>0.10264900662251655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3.3149999999999995</v>
      </c>
      <c r="Q10" s="76">
        <v>120</v>
      </c>
      <c r="R10" s="67">
        <v>397.79999999999995</v>
      </c>
    </row>
    <row r="11" spans="1:18" x14ac:dyDescent="0.4">
      <c r="A11" s="20" t="s">
        <v>184</v>
      </c>
      <c r="B11" s="109">
        <f>IF(B8=0,0,C11/B8)</f>
        <v>34.363636363636346</v>
      </c>
      <c r="C11" s="110">
        <v>4157.9999999999982</v>
      </c>
      <c r="E11" s="27" t="s">
        <v>65</v>
      </c>
      <c r="F11" s="24" t="s">
        <v>21</v>
      </c>
      <c r="G11" s="12">
        <v>82</v>
      </c>
      <c r="H11" s="88">
        <f>IF(B$20=0,0,G11/B$20)</f>
        <v>9.0507726269315678E-2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-4.2008333333333328</v>
      </c>
      <c r="Q11" s="77">
        <v>120</v>
      </c>
      <c r="R11" s="68">
        <v>-504.09999999999991</v>
      </c>
    </row>
    <row r="12" spans="1:18" x14ac:dyDescent="0.4">
      <c r="A12" s="20" t="s">
        <v>185</v>
      </c>
      <c r="B12" s="109">
        <f>IF(B9=0,0,C12/B9)</f>
        <v>-0.91008403361344536</v>
      </c>
      <c r="C12" s="110">
        <v>-108.3</v>
      </c>
      <c r="E12" s="27" t="s">
        <v>71</v>
      </c>
      <c r="F12" s="24" t="s">
        <v>26</v>
      </c>
      <c r="G12" s="12">
        <v>55</v>
      </c>
      <c r="H12" s="88">
        <f>IF(B$20=0,0,G12/B$20)</f>
        <v>6.0706401766004413E-2</v>
      </c>
      <c r="I12" s="58">
        <v>6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0.88583333333333369</v>
      </c>
      <c r="Q12" s="78">
        <v>120</v>
      </c>
      <c r="R12" s="69">
        <v>106.30000000000004</v>
      </c>
    </row>
    <row r="13" spans="1:18" x14ac:dyDescent="0.4">
      <c r="A13" s="20" t="s">
        <v>186</v>
      </c>
      <c r="B13" s="109">
        <f>IF(B10=0,0,C13/B10)</f>
        <v>-33.747500000000002</v>
      </c>
      <c r="C13" s="110">
        <v>-4049.7000000000003</v>
      </c>
      <c r="E13" s="27" t="s">
        <v>86</v>
      </c>
      <c r="F13" s="24" t="s">
        <v>41</v>
      </c>
      <c r="G13" s="12">
        <v>47</v>
      </c>
      <c r="H13" s="88">
        <f>IF(B$20=0,0,G13/B$20)</f>
        <v>5.1876379690949229E-2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-9.7982556659033548E-2</v>
      </c>
      <c r="C14" s="130"/>
      <c r="E14" s="27" t="s">
        <v>83</v>
      </c>
      <c r="F14" s="24" t="s">
        <v>38</v>
      </c>
      <c r="G14" s="12">
        <v>39</v>
      </c>
      <c r="H14" s="88">
        <f>IF(B$20=0,0,G14/B$20)</f>
        <v>4.3046357615894038E-2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31</v>
      </c>
      <c r="C15" s="9">
        <f t="shared" si="1"/>
        <v>8.611111111111111E-2</v>
      </c>
      <c r="E15" s="27" t="s">
        <v>81</v>
      </c>
      <c r="F15" s="24" t="s">
        <v>36</v>
      </c>
      <c r="G15" s="12">
        <v>29</v>
      </c>
      <c r="H15" s="88">
        <f>IF(B$20=0,0,G15/B$20)</f>
        <v>3.2008830022075052E-2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259</v>
      </c>
      <c r="P15" s="82">
        <f>IF(Q15=0,0,R15/Q15)</f>
        <v>24.999999999999996</v>
      </c>
      <c r="Q15" s="76">
        <v>6</v>
      </c>
      <c r="R15" s="67">
        <v>149.99999999999997</v>
      </c>
    </row>
    <row r="16" spans="1:18" x14ac:dyDescent="0.4">
      <c r="A16" s="22" t="s">
        <v>121</v>
      </c>
      <c r="B16" s="15">
        <v>740</v>
      </c>
      <c r="C16" s="10">
        <f>IF(B$3=0,0,B16/B$3)</f>
        <v>0.23971493359248461</v>
      </c>
      <c r="E16" s="27" t="s">
        <v>78</v>
      </c>
      <c r="F16" s="24" t="s">
        <v>33</v>
      </c>
      <c r="G16" s="12">
        <v>22</v>
      </c>
      <c r="H16" s="88">
        <f>IF(B$20=0,0,G16/B$20)</f>
        <v>2.4282560706401765E-2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19.550000000000004</v>
      </c>
      <c r="Q16" s="77">
        <v>12</v>
      </c>
      <c r="R16" s="68">
        <v>234.60000000000005</v>
      </c>
    </row>
    <row r="17" spans="1:18" x14ac:dyDescent="0.4">
      <c r="A17" s="19" t="s">
        <v>118</v>
      </c>
      <c r="B17" s="12">
        <v>701</v>
      </c>
      <c r="C17" s="6">
        <f>IF(B$3=0,0,B17/B$3)</f>
        <v>0.22708130871396179</v>
      </c>
      <c r="E17" s="27" t="s">
        <v>155</v>
      </c>
      <c r="F17" s="24" t="s">
        <v>156</v>
      </c>
      <c r="G17" s="12">
        <v>17</v>
      </c>
      <c r="H17" s="88">
        <f>IF(B$20=0,0,G17/B$20)</f>
        <v>1.8763796909492272E-2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15.025000000000002</v>
      </c>
      <c r="Q17" s="77">
        <v>36</v>
      </c>
      <c r="R17" s="68">
        <v>540.90000000000009</v>
      </c>
    </row>
    <row r="18" spans="1:18" x14ac:dyDescent="0.4">
      <c r="A18" s="18" t="s">
        <v>123</v>
      </c>
      <c r="B18" s="11">
        <f>B24</f>
        <v>384</v>
      </c>
      <c r="C18" s="5">
        <f>IF(B$16=0,0,B18/B$16)</f>
        <v>0.51891891891891895</v>
      </c>
      <c r="E18" s="27" t="s">
        <v>91</v>
      </c>
      <c r="F18" s="24" t="s">
        <v>46</v>
      </c>
      <c r="G18" s="12">
        <v>16</v>
      </c>
      <c r="H18" s="88">
        <f>IF(B$20=0,0,G18/B$20)</f>
        <v>1.7660044150110375E-2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291</v>
      </c>
      <c r="C19" s="5">
        <f>IF(B$17=0,0,B19/B$17)</f>
        <v>0.41512125534950073</v>
      </c>
      <c r="E19" s="27" t="s">
        <v>79</v>
      </c>
      <c r="F19" s="24" t="s">
        <v>34</v>
      </c>
      <c r="G19" s="12">
        <v>12</v>
      </c>
      <c r="H19" s="88">
        <f>IF(B$20=0,0,G19/B$20)</f>
        <v>1.3245033112582781E-2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906</v>
      </c>
      <c r="C20" s="5">
        <f>IF(B$3=0,0,B20/B$3)</f>
        <v>0.29348882410106902</v>
      </c>
      <c r="E20" s="27" t="s">
        <v>73</v>
      </c>
      <c r="F20" s="24" t="s">
        <v>28</v>
      </c>
      <c r="G20" s="12">
        <v>9</v>
      </c>
      <c r="H20" s="88">
        <f>IF(B$20=0,0,G20/B$20)</f>
        <v>9.9337748344370865E-3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189</v>
      </c>
      <c r="P20" s="83">
        <f>IF(Q20=0,0,R20/Q20)</f>
        <v>3.8406976744186054</v>
      </c>
      <c r="Q20" s="77">
        <v>86</v>
      </c>
      <c r="R20" s="68">
        <v>330.30000000000007</v>
      </c>
    </row>
    <row r="21" spans="1:18" x14ac:dyDescent="0.4">
      <c r="A21" s="19" t="s">
        <v>13</v>
      </c>
      <c r="B21" s="12">
        <v>493</v>
      </c>
      <c r="C21" s="6">
        <f>IF(B$3=0,0,B21/B$3)</f>
        <v>0.15970197602850664</v>
      </c>
      <c r="E21" s="27" t="s">
        <v>88</v>
      </c>
      <c r="F21" s="24" t="s">
        <v>43</v>
      </c>
      <c r="G21" s="12">
        <v>4</v>
      </c>
      <c r="H21" s="88">
        <f>IF(B$20=0,0,G21/B$20)</f>
        <v>4.4150110375275938E-3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190</v>
      </c>
      <c r="P21" s="83">
        <f>IF(Q21=0,0,R21/Q21)</f>
        <v>3.6053571428571431</v>
      </c>
      <c r="Q21" s="77">
        <v>56</v>
      </c>
      <c r="R21" s="68">
        <v>201.9</v>
      </c>
    </row>
    <row r="22" spans="1:18" x14ac:dyDescent="0.4">
      <c r="A22" s="19" t="s">
        <v>12</v>
      </c>
      <c r="B22" s="12">
        <v>407</v>
      </c>
      <c r="C22" s="6">
        <f>IF(B$20=0,0,B22/B$20)</f>
        <v>0.44922737306843269</v>
      </c>
      <c r="E22" s="27" t="s">
        <v>75</v>
      </c>
      <c r="F22" s="24" t="s">
        <v>30</v>
      </c>
      <c r="G22" s="12">
        <v>3</v>
      </c>
      <c r="H22" s="88">
        <f>IF(B$20=0,0,G22/B$20)</f>
        <v>3.3112582781456954E-3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2.7925000000000018</v>
      </c>
      <c r="Q22" s="77">
        <v>120</v>
      </c>
      <c r="R22" s="68">
        <v>335.10000000000019</v>
      </c>
    </row>
    <row r="23" spans="1:18" x14ac:dyDescent="0.4">
      <c r="A23" s="19" t="s">
        <v>11</v>
      </c>
      <c r="B23" s="12">
        <v>499</v>
      </c>
      <c r="C23" s="6">
        <f>IF(B$20=0,0,B23/B$20)</f>
        <v>0.55077262693156737</v>
      </c>
      <c r="E23" s="27" t="s">
        <v>77</v>
      </c>
      <c r="F23" s="24" t="s">
        <v>32</v>
      </c>
      <c r="G23" s="12">
        <v>3</v>
      </c>
      <c r="H23" s="88">
        <f>IF(B$20=0,0,G23/B$20)</f>
        <v>3.3112582781456954E-3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-3.8359374999999982</v>
      </c>
      <c r="Q23" s="77">
        <v>192</v>
      </c>
      <c r="R23" s="68">
        <v>-736.49999999999966</v>
      </c>
    </row>
    <row r="24" spans="1:18" x14ac:dyDescent="0.4">
      <c r="A24" s="19" t="s">
        <v>183</v>
      </c>
      <c r="B24" s="12">
        <v>384</v>
      </c>
      <c r="C24" s="6">
        <f>IF(B$20=0,0,B24/B$20)</f>
        <v>0.42384105960264901</v>
      </c>
      <c r="E24" s="27" t="s">
        <v>85</v>
      </c>
      <c r="F24" s="24" t="s">
        <v>40</v>
      </c>
      <c r="G24" s="12">
        <v>3</v>
      </c>
      <c r="H24" s="88">
        <f>IF(B$20=0,0,G24/B$20)</f>
        <v>3.3112582781456954E-3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211</v>
      </c>
      <c r="P24" s="83">
        <f>IF(Q24=0,0,R24/Q24)</f>
        <v>-4.8818181818181818</v>
      </c>
      <c r="Q24" s="77">
        <v>88</v>
      </c>
      <c r="R24" s="68">
        <v>-429.6</v>
      </c>
    </row>
    <row r="25" spans="1:18" x14ac:dyDescent="0.4">
      <c r="A25" s="19" t="s">
        <v>181</v>
      </c>
      <c r="B25" s="12">
        <v>291</v>
      </c>
      <c r="C25" s="6">
        <f>IF(B$20=0,0,B25/B$20)</f>
        <v>0.32119205298013243</v>
      </c>
      <c r="E25" s="27" t="s">
        <v>92</v>
      </c>
      <c r="F25" s="24" t="s">
        <v>47</v>
      </c>
      <c r="G25" s="12">
        <v>3</v>
      </c>
      <c r="H25" s="88">
        <f>IF(B$20=0,0,G25/B$20)</f>
        <v>3.3112582781456954E-3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192</v>
      </c>
      <c r="P25" s="83">
        <f>IF(Q25=0,0,R25/Q25)</f>
        <v>-8.1843750000000046</v>
      </c>
      <c r="Q25" s="77">
        <v>96</v>
      </c>
      <c r="R25" s="68">
        <v>-785.7000000000005</v>
      </c>
    </row>
    <row r="26" spans="1:18" x14ac:dyDescent="0.4">
      <c r="A26" s="19" t="s">
        <v>182</v>
      </c>
      <c r="B26" s="12">
        <v>231</v>
      </c>
      <c r="C26" s="6">
        <f>IF(B$20=0,0,B26/B$20)</f>
        <v>0.25496688741721857</v>
      </c>
      <c r="E26" s="27" t="s">
        <v>93</v>
      </c>
      <c r="F26" s="24" t="s">
        <v>48</v>
      </c>
      <c r="G26" s="12">
        <v>2</v>
      </c>
      <c r="H26" s="88">
        <f>IF(B$20=0,0,G26/B$20)</f>
        <v>2.2075055187637969E-3</v>
      </c>
      <c r="I26" s="58">
        <v>3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8087.969094922737</v>
      </c>
      <c r="C27" s="8">
        <v>7327700</v>
      </c>
      <c r="E27" s="27" t="s">
        <v>80</v>
      </c>
      <c r="F27" s="24" t="s">
        <v>35</v>
      </c>
      <c r="G27" s="12">
        <v>1</v>
      </c>
      <c r="H27" s="88">
        <f>IF(B$20=0,0,G27/B$20)</f>
        <v>1.1037527593818985E-3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8676.585365853658</v>
      </c>
      <c r="C28" s="96">
        <v>5336100</v>
      </c>
      <c r="E28" s="27" t="s">
        <v>90</v>
      </c>
      <c r="F28" s="24" t="s">
        <v>45</v>
      </c>
      <c r="G28" s="12">
        <v>1</v>
      </c>
      <c r="H28" s="88">
        <f>IF(B$20=0,0,G28/B$20)</f>
        <v>1.1037527593818985E-3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6843.9862542955325</v>
      </c>
      <c r="C29" s="96">
        <v>1991600</v>
      </c>
      <c r="E29" s="27" t="s">
        <v>102</v>
      </c>
      <c r="F29" s="24" t="s">
        <v>57</v>
      </c>
      <c r="G29" s="12">
        <v>1</v>
      </c>
      <c r="H29" s="88">
        <f>IF(B$20=0,0,G29/B$20)</f>
        <v>1.1037527593818985E-3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-7639.7565922920894</v>
      </c>
      <c r="C30" s="96">
        <v>-3766400</v>
      </c>
      <c r="E30" s="27" t="s">
        <v>106</v>
      </c>
      <c r="F30" s="24" t="s">
        <v>113</v>
      </c>
      <c r="G30" s="12">
        <v>1</v>
      </c>
      <c r="H30" s="88">
        <f>IF(B$20=0,0,G30/B$20)</f>
        <v>1.1037527593818985E-3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11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1">
        <v>7</v>
      </c>
      <c r="C33" s="132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3">
        <v>103000</v>
      </c>
      <c r="C34" s="134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2.2675736961451248E-3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70</v>
      </c>
      <c r="C37" s="98">
        <f t="shared" ref="C37:C49" si="2">IF(B$20=0,0,B37/B$20)</f>
        <v>7.7262693156732898E-2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172</v>
      </c>
      <c r="C38" s="6">
        <f t="shared" si="2"/>
        <v>0.18984547461368653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179</v>
      </c>
      <c r="C39" s="6">
        <f t="shared" si="2"/>
        <v>0.19757174392935983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177</v>
      </c>
      <c r="C40" s="6">
        <f t="shared" si="2"/>
        <v>0.19536423841059603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128</v>
      </c>
      <c r="C41" s="6">
        <f t="shared" si="2"/>
        <v>0.141280353200883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80</v>
      </c>
      <c r="C42" s="6">
        <f t="shared" si="2"/>
        <v>8.8300220750551883E-2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36</v>
      </c>
      <c r="C43" s="6">
        <f t="shared" si="2"/>
        <v>3.9735099337748346E-2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27</v>
      </c>
      <c r="C44" s="6">
        <f t="shared" si="2"/>
        <v>2.9801324503311258E-2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1.7660044150110375E-2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1.1037527593818985E-2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2.2075055187637969E-3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1.1037527593818985E-3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8.8300220750551876E-3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</sheetData>
  <sortState xmlns:xlrd2="http://schemas.microsoft.com/office/spreadsheetml/2017/richdata2" ref="O15:R25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9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126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96</v>
      </c>
      <c r="C2" s="138"/>
      <c r="E2" s="26" t="s">
        <v>66</v>
      </c>
      <c r="F2" s="23" t="s">
        <v>22</v>
      </c>
      <c r="G2" s="11">
        <v>197</v>
      </c>
      <c r="H2" s="87">
        <f>IF(B$20=0,0,G2/B$20)</f>
        <v>0.74904942965779464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1064.5833333333333</v>
      </c>
      <c r="Q2" s="76">
        <v>96</v>
      </c>
      <c r="R2" s="63">
        <v>102200</v>
      </c>
    </row>
    <row r="3" spans="1:18" x14ac:dyDescent="0.4">
      <c r="A3" s="19" t="s">
        <v>8</v>
      </c>
      <c r="B3" s="139">
        <v>801</v>
      </c>
      <c r="C3" s="140"/>
      <c r="E3" s="27" t="s">
        <v>72</v>
      </c>
      <c r="F3" s="24" t="s">
        <v>27</v>
      </c>
      <c r="G3" s="12">
        <v>142</v>
      </c>
      <c r="H3" s="88">
        <f>IF(B$20=0,0,G3/B$20)</f>
        <v>0.53992395437262353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-754.83870967741939</v>
      </c>
      <c r="Q3" s="77">
        <v>93</v>
      </c>
      <c r="R3" s="64">
        <v>-70200</v>
      </c>
    </row>
    <row r="4" spans="1:18" x14ac:dyDescent="0.4">
      <c r="A4" s="19" t="s">
        <v>6</v>
      </c>
      <c r="B4" s="141">
        <v>245.49999999999994</v>
      </c>
      <c r="C4" s="142"/>
      <c r="E4" s="27" t="s">
        <v>64</v>
      </c>
      <c r="F4" s="24" t="s">
        <v>20</v>
      </c>
      <c r="G4" s="12">
        <v>109</v>
      </c>
      <c r="H4" s="88">
        <f>IF(B$20=0,0,G4/B$20)</f>
        <v>0.4144486692015209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-732.25806451612902</v>
      </c>
      <c r="Q4" s="77">
        <v>93</v>
      </c>
      <c r="R4" s="64">
        <v>-68100</v>
      </c>
    </row>
    <row r="5" spans="1:18" x14ac:dyDescent="0.4">
      <c r="A5" s="19" t="s">
        <v>7</v>
      </c>
      <c r="B5" s="129">
        <f>IF(B$2=0,0,B$4/B$2)</f>
        <v>2.5572916666666661</v>
      </c>
      <c r="C5" s="130"/>
      <c r="E5" s="27" t="s">
        <v>159</v>
      </c>
      <c r="F5" s="24" t="s">
        <v>160</v>
      </c>
      <c r="G5" s="12">
        <v>102</v>
      </c>
      <c r="H5" s="88">
        <f>IF(B$20=0,0,G5/B$20)</f>
        <v>0.38783269961977185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1411.1111111111111</v>
      </c>
      <c r="Q5" s="77">
        <v>90</v>
      </c>
      <c r="R5" s="64">
        <v>127000</v>
      </c>
    </row>
    <row r="6" spans="1:18" x14ac:dyDescent="0.4">
      <c r="A6" s="19" t="s">
        <v>196</v>
      </c>
      <c r="B6" s="133">
        <v>1782.8353488183825</v>
      </c>
      <c r="C6" s="134"/>
      <c r="E6" s="27" t="s">
        <v>68</v>
      </c>
      <c r="F6" s="24" t="s">
        <v>12</v>
      </c>
      <c r="G6" s="12">
        <v>84</v>
      </c>
      <c r="H6" s="88">
        <f>IF(B$20=0,0,G6/B$20)</f>
        <v>0.3193916349809886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204.8780487804878</v>
      </c>
      <c r="Q6" s="77">
        <v>82</v>
      </c>
      <c r="R6" s="64">
        <v>16800</v>
      </c>
    </row>
    <row r="7" spans="1:18" x14ac:dyDescent="0.4">
      <c r="A7" s="19" t="s">
        <v>1</v>
      </c>
      <c r="B7" s="143">
        <f>IF(B$2=0,0,(B$8*1+B$9*2+B$10*3)/B$2)</f>
        <v>1.9895833333333333</v>
      </c>
      <c r="C7" s="144"/>
      <c r="E7" s="27" t="s">
        <v>67</v>
      </c>
      <c r="F7" s="24" t="s">
        <v>23</v>
      </c>
      <c r="G7" s="12">
        <v>51</v>
      </c>
      <c r="H7" s="88">
        <f>IF(B$20=0,0,G7/B$20)</f>
        <v>0.19391634980988592</v>
      </c>
      <c r="I7" s="58">
        <v>9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-160.56338028169014</v>
      </c>
      <c r="Q7" s="78">
        <v>71</v>
      </c>
      <c r="R7" s="65">
        <v>-11400</v>
      </c>
    </row>
    <row r="8" spans="1:18" x14ac:dyDescent="0.4">
      <c r="A8" s="19" t="s">
        <v>2</v>
      </c>
      <c r="B8" s="12">
        <v>33</v>
      </c>
      <c r="C8" s="6">
        <f t="shared" ref="C8:C15" si="1">IF(B$2=0,0,B8/B$2)</f>
        <v>0.34375</v>
      </c>
      <c r="E8" s="27" t="s">
        <v>69</v>
      </c>
      <c r="F8" s="24" t="s">
        <v>24</v>
      </c>
      <c r="G8" s="12">
        <v>42</v>
      </c>
      <c r="H8" s="88">
        <f>IF(B$20=0,0,G8/B$20)</f>
        <v>0.1596958174904943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31</v>
      </c>
      <c r="C9" s="6">
        <f t="shared" si="1"/>
        <v>0.32291666666666669</v>
      </c>
      <c r="E9" s="27" t="s">
        <v>70</v>
      </c>
      <c r="F9" s="24" t="s">
        <v>25</v>
      </c>
      <c r="G9" s="12">
        <v>36</v>
      </c>
      <c r="H9" s="88">
        <f>IF(B$20=0,0,G9/B$20)</f>
        <v>0.13688212927756654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32</v>
      </c>
      <c r="C10" s="7">
        <f t="shared" si="1"/>
        <v>0.33333333333333331</v>
      </c>
      <c r="E10" s="27" t="s">
        <v>89</v>
      </c>
      <c r="F10" s="24" t="s">
        <v>44</v>
      </c>
      <c r="G10" s="12">
        <v>35</v>
      </c>
      <c r="H10" s="88">
        <f>IF(B$20=0,0,G10/B$20)</f>
        <v>0.13307984790874525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8.654285714285713</v>
      </c>
      <c r="Q10" s="76">
        <v>35</v>
      </c>
      <c r="R10" s="67">
        <v>302.89999999999998</v>
      </c>
    </row>
    <row r="11" spans="1:18" x14ac:dyDescent="0.4">
      <c r="A11" s="20" t="s">
        <v>184</v>
      </c>
      <c r="B11" s="109">
        <f>IF(B8=0,0,C11/B8)</f>
        <v>38.036363636363639</v>
      </c>
      <c r="C11" s="110">
        <v>1255.2</v>
      </c>
      <c r="E11" s="27" t="s">
        <v>65</v>
      </c>
      <c r="F11" s="24" t="s">
        <v>21</v>
      </c>
      <c r="G11" s="12">
        <v>23</v>
      </c>
      <c r="H11" s="88">
        <f>IF(B$20=0,0,G11/B$20)</f>
        <v>8.7452471482889732E-2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-6.1181818181818182</v>
      </c>
      <c r="Q11" s="77">
        <v>33</v>
      </c>
      <c r="R11" s="68">
        <v>-201.9</v>
      </c>
    </row>
    <row r="12" spans="1:18" x14ac:dyDescent="0.4">
      <c r="A12" s="20" t="s">
        <v>185</v>
      </c>
      <c r="B12" s="109">
        <f>IF(B9=0,0,C12/B9)</f>
        <v>-1.8129032258064512</v>
      </c>
      <c r="C12" s="110">
        <v>-56.199999999999989</v>
      </c>
      <c r="E12" s="27" t="s">
        <v>86</v>
      </c>
      <c r="F12" s="24" t="s">
        <v>41</v>
      </c>
      <c r="G12" s="12">
        <v>17</v>
      </c>
      <c r="H12" s="88">
        <f>IF(B$20=0,0,G12/B$20)</f>
        <v>6.4638783269961975E-2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5.1607142857142865</v>
      </c>
      <c r="Q12" s="78">
        <v>28</v>
      </c>
      <c r="R12" s="69">
        <v>144.50000000000003</v>
      </c>
    </row>
    <row r="13" spans="1:18" x14ac:dyDescent="0.4">
      <c r="A13" s="20" t="s">
        <v>186</v>
      </c>
      <c r="B13" s="109">
        <f>IF(B10=0,0,C13/B10)</f>
        <v>-29.796875</v>
      </c>
      <c r="C13" s="110">
        <v>-953.5</v>
      </c>
      <c r="E13" s="27" t="s">
        <v>83</v>
      </c>
      <c r="F13" s="24" t="s">
        <v>38</v>
      </c>
      <c r="G13" s="12">
        <v>13</v>
      </c>
      <c r="H13" s="88">
        <f>IF(B$20=0,0,G13/B$20)</f>
        <v>4.9429657794676805E-2</v>
      </c>
      <c r="I13" s="58">
        <v>5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2.1421951368523957</v>
      </c>
      <c r="C14" s="130"/>
      <c r="E14" s="27" t="s">
        <v>71</v>
      </c>
      <c r="F14" s="24" t="s">
        <v>26</v>
      </c>
      <c r="G14" s="12">
        <v>11</v>
      </c>
      <c r="H14" s="88">
        <f>IF(B$20=0,0,G14/B$20)</f>
        <v>4.1825095057034217E-2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7.2916666666666671E-2</v>
      </c>
      <c r="E15" s="27" t="s">
        <v>155</v>
      </c>
      <c r="F15" s="24" t="s">
        <v>156</v>
      </c>
      <c r="G15" s="12">
        <v>11</v>
      </c>
      <c r="H15" s="88">
        <f>IF(B$20=0,0,G15/B$20)</f>
        <v>4.1825095057034217E-2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202</v>
      </c>
      <c r="C16" s="10">
        <f>IF(B$3=0,0,B16/B$3)</f>
        <v>0.25218476903870163</v>
      </c>
      <c r="E16" s="27" t="s">
        <v>91</v>
      </c>
      <c r="F16" s="24" t="s">
        <v>46</v>
      </c>
      <c r="G16" s="12">
        <v>8</v>
      </c>
      <c r="H16" s="88">
        <f>IF(B$20=0,0,G16/B$20)</f>
        <v>3.0418250950570342E-2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">
      <c r="A17" s="19" t="s">
        <v>118</v>
      </c>
      <c r="B17" s="12">
        <v>167</v>
      </c>
      <c r="C17" s="6">
        <f>IF(B$3=0,0,B17/B$3)</f>
        <v>0.20848938826466917</v>
      </c>
      <c r="E17" s="27" t="s">
        <v>81</v>
      </c>
      <c r="F17" s="24" t="s">
        <v>36</v>
      </c>
      <c r="G17" s="12">
        <v>5</v>
      </c>
      <c r="H17" s="88">
        <f>IF(B$20=0,0,G17/B$20)</f>
        <v>1.9011406844106463E-2</v>
      </c>
      <c r="I17" s="58">
        <v>11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">
      <c r="A18" s="18" t="s">
        <v>123</v>
      </c>
      <c r="B18" s="11">
        <f>B24</f>
        <v>117</v>
      </c>
      <c r="C18" s="5">
        <f>IF(B$16=0,0,B18/B$16)</f>
        <v>0.57920792079207917</v>
      </c>
      <c r="E18" s="27" t="s">
        <v>78</v>
      </c>
      <c r="F18" s="24" t="s">
        <v>33</v>
      </c>
      <c r="G18" s="12">
        <v>4</v>
      </c>
      <c r="H18" s="88">
        <f>IF(B$20=0,0,G18/B$20)</f>
        <v>1.5209125475285171E-2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9.7818181818181831</v>
      </c>
      <c r="Q18" s="77">
        <v>22</v>
      </c>
      <c r="R18" s="68">
        <v>215.20000000000002</v>
      </c>
    </row>
    <row r="19" spans="1:18" x14ac:dyDescent="0.4">
      <c r="A19" s="18" t="s">
        <v>124</v>
      </c>
      <c r="B19" s="11">
        <f>B25</f>
        <v>79</v>
      </c>
      <c r="C19" s="5">
        <f>IF(B$17=0,0,B19/B$17)</f>
        <v>0.47305389221556887</v>
      </c>
      <c r="E19" s="27" t="s">
        <v>73</v>
      </c>
      <c r="F19" s="24" t="s">
        <v>28</v>
      </c>
      <c r="G19" s="12">
        <v>3</v>
      </c>
      <c r="H19" s="88">
        <f>IF(B$20=0,0,G19/B$20)</f>
        <v>1.1406844106463879E-2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6.7583333333333364</v>
      </c>
      <c r="Q19" s="77">
        <v>48</v>
      </c>
      <c r="R19" s="68">
        <v>324.40000000000015</v>
      </c>
    </row>
    <row r="20" spans="1:18" x14ac:dyDescent="0.4">
      <c r="A20" s="18" t="s">
        <v>10</v>
      </c>
      <c r="B20" s="11">
        <f>B23+B22</f>
        <v>263</v>
      </c>
      <c r="C20" s="5">
        <f>IF(B$3=0,0,B20/B$3)</f>
        <v>0.32833957553058679</v>
      </c>
      <c r="E20" s="27" t="s">
        <v>79</v>
      </c>
      <c r="F20" s="24" t="s">
        <v>34</v>
      </c>
      <c r="G20" s="12">
        <v>3</v>
      </c>
      <c r="H20" s="88">
        <f>IF(B$20=0,0,G20/B$20)</f>
        <v>1.1406844106463879E-2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1.813513513513513</v>
      </c>
      <c r="Q20" s="77">
        <v>37</v>
      </c>
      <c r="R20" s="68">
        <v>67.09999999999998</v>
      </c>
    </row>
    <row r="21" spans="1:18" x14ac:dyDescent="0.4">
      <c r="A21" s="19" t="s">
        <v>13</v>
      </c>
      <c r="B21" s="12">
        <v>141</v>
      </c>
      <c r="C21" s="6">
        <f>IF(B$3=0,0,B21/B$3)</f>
        <v>0.17602996254681649</v>
      </c>
      <c r="E21" s="27" t="s">
        <v>75</v>
      </c>
      <c r="F21" s="24" t="s">
        <v>30</v>
      </c>
      <c r="G21" s="12">
        <v>1</v>
      </c>
      <c r="H21" s="88">
        <f>IF(B$20=0,0,G21/B$20)</f>
        <v>3.8022813688212928E-3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1.7208333333333332</v>
      </c>
      <c r="Q21" s="77">
        <v>24</v>
      </c>
      <c r="R21" s="68">
        <v>41.3</v>
      </c>
    </row>
    <row r="22" spans="1:18" x14ac:dyDescent="0.4">
      <c r="A22" s="19" t="s">
        <v>12</v>
      </c>
      <c r="B22" s="12">
        <v>127</v>
      </c>
      <c r="C22" s="6">
        <f>IF(B$20=0,0,B22/B$20)</f>
        <v>0.4828897338403042</v>
      </c>
      <c r="E22" s="27" t="s">
        <v>80</v>
      </c>
      <c r="F22" s="24" t="s">
        <v>35</v>
      </c>
      <c r="G22" s="12">
        <v>1</v>
      </c>
      <c r="H22" s="88">
        <f>IF(B$20=0,0,G22/B$20)</f>
        <v>3.8022813688212928E-3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-4.1500000000000004</v>
      </c>
      <c r="Q22" s="77">
        <v>40</v>
      </c>
      <c r="R22" s="68">
        <v>-166.00000000000003</v>
      </c>
    </row>
    <row r="23" spans="1:18" x14ac:dyDescent="0.4">
      <c r="A23" s="19" t="s">
        <v>11</v>
      </c>
      <c r="B23" s="12">
        <v>136</v>
      </c>
      <c r="C23" s="6">
        <f>IF(B$20=0,0,B23/B$20)</f>
        <v>0.5171102661596958</v>
      </c>
      <c r="E23" s="27" t="s">
        <v>85</v>
      </c>
      <c r="F23" s="24" t="s">
        <v>40</v>
      </c>
      <c r="G23" s="12">
        <v>1</v>
      </c>
      <c r="H23" s="88">
        <f>IF(B$20=0,0,G23/B$20)</f>
        <v>3.8022813688212928E-3</v>
      </c>
      <c r="I23" s="58">
        <v>3</v>
      </c>
      <c r="K23" s="74">
        <v>21</v>
      </c>
      <c r="L23" s="119">
        <v>131</v>
      </c>
      <c r="M23" s="117">
        <v>1835.0300854789134</v>
      </c>
      <c r="O23" s="74" t="s">
        <v>195</v>
      </c>
      <c r="P23" s="83">
        <f>IF(Q23=0,0,R23/Q23)</f>
        <v>-4.8999999999999986</v>
      </c>
      <c r="Q23" s="77">
        <v>7</v>
      </c>
      <c r="R23" s="68">
        <v>-34.29999999999999</v>
      </c>
    </row>
    <row r="24" spans="1:18" x14ac:dyDescent="0.4">
      <c r="A24" s="19" t="s">
        <v>183</v>
      </c>
      <c r="B24" s="12">
        <v>117</v>
      </c>
      <c r="C24" s="6">
        <f>IF(B$20=0,0,B24/B$20)</f>
        <v>0.44486692015209123</v>
      </c>
      <c r="E24" s="27" t="s">
        <v>88</v>
      </c>
      <c r="F24" s="24" t="s">
        <v>43</v>
      </c>
      <c r="G24" s="12">
        <v>1</v>
      </c>
      <c r="H24" s="88">
        <f>IF(B$20=0,0,G24/B$20)</f>
        <v>3.8022813688212928E-3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79</v>
      </c>
      <c r="C25" s="6">
        <f>IF(B$20=0,0,B25/B$20)</f>
        <v>0.30038022813688214</v>
      </c>
      <c r="E25" s="27" t="s">
        <v>90</v>
      </c>
      <c r="F25" s="24" t="s">
        <v>45</v>
      </c>
      <c r="G25" s="12">
        <v>1</v>
      </c>
      <c r="H25" s="88">
        <f>IF(B$20=0,0,G25/B$20)</f>
        <v>3.8022813688212928E-3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67</v>
      </c>
      <c r="C26" s="6">
        <f>IF(B$20=0,0,B26/B$20)</f>
        <v>0.25475285171102663</v>
      </c>
      <c r="E26" s="27" t="s">
        <v>92</v>
      </c>
      <c r="F26" s="24" t="s">
        <v>47</v>
      </c>
      <c r="G26" s="12">
        <v>1</v>
      </c>
      <c r="H26" s="88">
        <f>IF(B$20=0,0,G26/B$20)</f>
        <v>3.8022813688212928E-3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8246.7680608365026</v>
      </c>
      <c r="C27" s="8">
        <v>2168900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8606.5217391304341</v>
      </c>
      <c r="C28" s="96">
        <v>1583600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7408.8607594936711</v>
      </c>
      <c r="C29" s="96">
        <v>585300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-7297.8723404255315</v>
      </c>
      <c r="C30" s="96">
        <v>-1029000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8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1">
        <v>6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3">
        <v>103000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1.2484394506866417E-3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5.7034220532319393E-2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50</v>
      </c>
      <c r="C38" s="6">
        <f t="shared" si="2"/>
        <v>0.19011406844106463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56</v>
      </c>
      <c r="C39" s="6">
        <f t="shared" si="2"/>
        <v>0.21292775665399238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48</v>
      </c>
      <c r="C40" s="6">
        <f t="shared" si="2"/>
        <v>0.18250950570342206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41</v>
      </c>
      <c r="C41" s="6">
        <f t="shared" si="2"/>
        <v>0.155893536121673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30</v>
      </c>
      <c r="C42" s="6">
        <f t="shared" si="2"/>
        <v>0.11406844106463879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3.0418250950570342E-2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1.9011406844106463E-2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1.9011406844106463E-2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7.6045627376425855E-3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3.8022813688212928E-3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3.8022813688212928E-3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3.8022813688212928E-3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6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163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60</v>
      </c>
      <c r="C2" s="138"/>
      <c r="E2" s="26" t="s">
        <v>66</v>
      </c>
      <c r="F2" s="23" t="s">
        <v>22</v>
      </c>
      <c r="G2" s="11">
        <v>138</v>
      </c>
      <c r="H2" s="87">
        <f>IF(B$20=0,0,G2/B$20)</f>
        <v>0.97872340425531912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1445</v>
      </c>
      <c r="Q2" s="76">
        <v>60</v>
      </c>
      <c r="R2" s="63">
        <v>86700</v>
      </c>
    </row>
    <row r="3" spans="1:18" x14ac:dyDescent="0.4">
      <c r="A3" s="19" t="s">
        <v>8</v>
      </c>
      <c r="B3" s="139">
        <v>527</v>
      </c>
      <c r="C3" s="140"/>
      <c r="E3" s="27" t="s">
        <v>72</v>
      </c>
      <c r="F3" s="24" t="s">
        <v>27</v>
      </c>
      <c r="G3" s="12">
        <v>93</v>
      </c>
      <c r="H3" s="88">
        <f>IF(B$20=0,0,G3/B$20)</f>
        <v>0.65957446808510634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-56.896551724137929</v>
      </c>
      <c r="Q3" s="77">
        <v>58</v>
      </c>
      <c r="R3" s="64">
        <v>-3300</v>
      </c>
    </row>
    <row r="4" spans="1:18" x14ac:dyDescent="0.4">
      <c r="A4" s="19" t="s">
        <v>6</v>
      </c>
      <c r="B4" s="141">
        <v>-111.7</v>
      </c>
      <c r="C4" s="142"/>
      <c r="E4" s="27" t="s">
        <v>64</v>
      </c>
      <c r="F4" s="24" t="s">
        <v>20</v>
      </c>
      <c r="G4" s="12">
        <v>63</v>
      </c>
      <c r="H4" s="88">
        <f>IF(B$20=0,0,G4/B$20)</f>
        <v>0.44680851063829785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22.413793103448278</v>
      </c>
      <c r="Q4" s="77">
        <v>58</v>
      </c>
      <c r="R4" s="64">
        <v>1300</v>
      </c>
    </row>
    <row r="5" spans="1:18" x14ac:dyDescent="0.4">
      <c r="A5" s="19" t="s">
        <v>7</v>
      </c>
      <c r="B5" s="129">
        <f>IF(B$2=0,0,B$4/B$2)</f>
        <v>-1.8616666666666668</v>
      </c>
      <c r="C5" s="130"/>
      <c r="E5" s="27" t="s">
        <v>159</v>
      </c>
      <c r="F5" s="24" t="s">
        <v>160</v>
      </c>
      <c r="G5" s="12">
        <v>54</v>
      </c>
      <c r="H5" s="88">
        <f>IF(B$20=0,0,G5/B$20)</f>
        <v>0.38297872340425532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-1005.2631578947369</v>
      </c>
      <c r="Q5" s="77">
        <v>57</v>
      </c>
      <c r="R5" s="64">
        <v>-57300</v>
      </c>
    </row>
    <row r="6" spans="1:18" x14ac:dyDescent="0.4">
      <c r="A6" s="19" t="s">
        <v>196</v>
      </c>
      <c r="B6" s="133">
        <v>1628.3625261330819</v>
      </c>
      <c r="C6" s="134"/>
      <c r="E6" s="27" t="s">
        <v>68</v>
      </c>
      <c r="F6" s="24" t="s">
        <v>12</v>
      </c>
      <c r="G6" s="12">
        <v>50</v>
      </c>
      <c r="H6" s="88">
        <f>IF(B$20=0,0,G6/B$20)</f>
        <v>0.3546099290780142</v>
      </c>
      <c r="I6" s="58">
        <v>4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-238.46153846153845</v>
      </c>
      <c r="Q6" s="77">
        <v>52</v>
      </c>
      <c r="R6" s="64">
        <v>-12400</v>
      </c>
    </row>
    <row r="7" spans="1:18" x14ac:dyDescent="0.4">
      <c r="A7" s="19" t="s">
        <v>1</v>
      </c>
      <c r="B7" s="143">
        <f>IF(B$2=0,0,(B$8*1+B$9*2+B$10*3)/B$2)</f>
        <v>2.0333333333333332</v>
      </c>
      <c r="C7" s="144"/>
      <c r="E7" s="27" t="s">
        <v>67</v>
      </c>
      <c r="F7" s="24" t="s">
        <v>23</v>
      </c>
      <c r="G7" s="12">
        <v>34</v>
      </c>
      <c r="H7" s="88">
        <f>IF(B$20=0,0,G7/B$20)</f>
        <v>0.24113475177304963</v>
      </c>
      <c r="I7" s="58">
        <v>7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356.81818181818181</v>
      </c>
      <c r="Q7" s="78">
        <v>44</v>
      </c>
      <c r="R7" s="65">
        <v>15700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0.31666666666666665</v>
      </c>
      <c r="E8" s="27" t="s">
        <v>89</v>
      </c>
      <c r="F8" s="24" t="s">
        <v>44</v>
      </c>
      <c r="G8" s="12">
        <v>24</v>
      </c>
      <c r="H8" s="88">
        <f>IF(B$20=0,0,G8/B$20)</f>
        <v>0.1702127659574468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20</v>
      </c>
      <c r="C9" s="6">
        <f t="shared" si="1"/>
        <v>0.33333333333333331</v>
      </c>
      <c r="E9" s="27" t="s">
        <v>65</v>
      </c>
      <c r="F9" s="24" t="s">
        <v>21</v>
      </c>
      <c r="G9" s="12">
        <v>16</v>
      </c>
      <c r="H9" s="88">
        <f>IF(B$20=0,0,G9/B$20)</f>
        <v>0.11347517730496454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21</v>
      </c>
      <c r="C10" s="7">
        <f t="shared" si="1"/>
        <v>0.35</v>
      </c>
      <c r="E10" s="27" t="s">
        <v>69</v>
      </c>
      <c r="F10" s="24" t="s">
        <v>24</v>
      </c>
      <c r="G10" s="12">
        <v>15</v>
      </c>
      <c r="H10" s="88">
        <f>IF(B$20=0,0,G10/B$20)</f>
        <v>0.10638297872340426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-0.89166666666666661</v>
      </c>
      <c r="Q10" s="76">
        <v>24</v>
      </c>
      <c r="R10" s="67">
        <v>-21.4</v>
      </c>
    </row>
    <row r="11" spans="1:18" x14ac:dyDescent="0.4">
      <c r="A11" s="20" t="s">
        <v>184</v>
      </c>
      <c r="B11" s="109">
        <f>IF(B8=0,0,C11/B8)</f>
        <v>34.51052631578947</v>
      </c>
      <c r="C11" s="110">
        <v>655.69999999999993</v>
      </c>
      <c r="E11" s="27" t="s">
        <v>70</v>
      </c>
      <c r="F11" s="24" t="s">
        <v>25</v>
      </c>
      <c r="G11" s="12">
        <v>12</v>
      </c>
      <c r="H11" s="88">
        <f>IF(B$20=0,0,G11/B$20)</f>
        <v>8.5106382978723402E-2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-1.3588235294117661</v>
      </c>
      <c r="Q11" s="77">
        <v>17</v>
      </c>
      <c r="R11" s="68">
        <v>-23.100000000000023</v>
      </c>
    </row>
    <row r="12" spans="1:18" x14ac:dyDescent="0.4">
      <c r="A12" s="20" t="s">
        <v>185</v>
      </c>
      <c r="B12" s="109">
        <f>IF(B9=0,0,C12/B9)</f>
        <v>1.3199999999999998</v>
      </c>
      <c r="C12" s="110">
        <v>26.4</v>
      </c>
      <c r="E12" s="27" t="s">
        <v>71</v>
      </c>
      <c r="F12" s="24" t="s">
        <v>26</v>
      </c>
      <c r="G12" s="12">
        <v>8</v>
      </c>
      <c r="H12" s="88">
        <f>IF(B$20=0,0,G12/B$20)</f>
        <v>5.6737588652482268E-2</v>
      </c>
      <c r="I12" s="58">
        <v>7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-3.5368421052631582</v>
      </c>
      <c r="Q12" s="78">
        <v>19</v>
      </c>
      <c r="R12" s="69">
        <v>-67.2</v>
      </c>
    </row>
    <row r="13" spans="1:18" x14ac:dyDescent="0.4">
      <c r="A13" s="20" t="s">
        <v>186</v>
      </c>
      <c r="B13" s="109">
        <f>IF(B10=0,0,C13/B10)</f>
        <v>-37.800000000000011</v>
      </c>
      <c r="C13" s="110">
        <v>-793.80000000000018</v>
      </c>
      <c r="E13" s="27" t="s">
        <v>86</v>
      </c>
      <c r="F13" s="24" t="s">
        <v>41</v>
      </c>
      <c r="G13" s="12">
        <v>8</v>
      </c>
      <c r="H13" s="88">
        <f>IF(B$20=0,0,G13/B$20)</f>
        <v>5.6737588652482268E-2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-0.65649122807018045</v>
      </c>
      <c r="C14" s="130"/>
      <c r="E14" s="27" t="s">
        <v>83</v>
      </c>
      <c r="F14" s="24" t="s">
        <v>38</v>
      </c>
      <c r="G14" s="12">
        <v>6</v>
      </c>
      <c r="H14" s="88">
        <f>IF(B$20=0,0,G14/B$20)</f>
        <v>4.2553191489361701E-2</v>
      </c>
      <c r="I14" s="58">
        <v>7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0.13333333333333333</v>
      </c>
      <c r="E15" s="27" t="s">
        <v>81</v>
      </c>
      <c r="F15" s="24" t="s">
        <v>36</v>
      </c>
      <c r="G15" s="12">
        <v>5</v>
      </c>
      <c r="H15" s="88">
        <f>IF(B$20=0,0,G15/B$20)</f>
        <v>3.5460992907801421E-2</v>
      </c>
      <c r="I15" s="58">
        <v>5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144</v>
      </c>
      <c r="C16" s="10">
        <f>IF(B$3=0,0,B16/B$3)</f>
        <v>0.27324478178368122</v>
      </c>
      <c r="E16" s="27" t="s">
        <v>155</v>
      </c>
      <c r="F16" s="24" t="s">
        <v>156</v>
      </c>
      <c r="G16" s="12">
        <v>5</v>
      </c>
      <c r="H16" s="88">
        <f>IF(B$20=0,0,G16/B$20)</f>
        <v>3.5460992907801421E-2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193</v>
      </c>
      <c r="P16" s="83">
        <f>IF(Q16=0,0,R16/Q16)</f>
        <v>18.3</v>
      </c>
      <c r="Q16" s="77">
        <v>2</v>
      </c>
      <c r="R16" s="68">
        <v>36.6</v>
      </c>
    </row>
    <row r="17" spans="1:18" x14ac:dyDescent="0.4">
      <c r="A17" s="19" t="s">
        <v>118</v>
      </c>
      <c r="B17" s="12">
        <v>118</v>
      </c>
      <c r="C17" s="6">
        <f>IF(B$3=0,0,B17/B$3)</f>
        <v>0.2239089184060721</v>
      </c>
      <c r="E17" s="27" t="s">
        <v>78</v>
      </c>
      <c r="F17" s="24" t="s">
        <v>33</v>
      </c>
      <c r="G17" s="12">
        <v>4</v>
      </c>
      <c r="H17" s="88">
        <f>IF(B$20=0,0,G17/B$20)</f>
        <v>2.8368794326241134E-2</v>
      </c>
      <c r="I17" s="58">
        <v>6</v>
      </c>
      <c r="K17" s="74">
        <v>15</v>
      </c>
      <c r="L17" s="119">
        <v>-165.10000000000002</v>
      </c>
      <c r="M17" s="117">
        <v>1623.3138180201299</v>
      </c>
      <c r="O17" s="74" t="s">
        <v>189</v>
      </c>
      <c r="P17" s="83">
        <f>IF(Q17=0,0,R17/Q17)</f>
        <v>7.9</v>
      </c>
      <c r="Q17" s="77">
        <v>16</v>
      </c>
      <c r="R17" s="68">
        <v>126.4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0.47222222222222221</v>
      </c>
      <c r="E18" s="27" t="s">
        <v>73</v>
      </c>
      <c r="F18" s="24" t="s">
        <v>28</v>
      </c>
      <c r="G18" s="12">
        <v>3</v>
      </c>
      <c r="H18" s="88">
        <f>IF(B$20=0,0,G18/B$20)</f>
        <v>2.1276595744680851E-2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190</v>
      </c>
      <c r="P18" s="83">
        <f>IF(Q18=0,0,R18/Q18)</f>
        <v>2.7888888888888901</v>
      </c>
      <c r="Q18" s="77">
        <v>9</v>
      </c>
      <c r="R18" s="68">
        <v>25.100000000000012</v>
      </c>
    </row>
    <row r="19" spans="1:18" x14ac:dyDescent="0.4">
      <c r="A19" s="18" t="s">
        <v>124</v>
      </c>
      <c r="B19" s="11">
        <f>B25</f>
        <v>41</v>
      </c>
      <c r="C19" s="5">
        <f>IF(B$17=0,0,B19/B$17)</f>
        <v>0.34745762711864409</v>
      </c>
      <c r="E19" s="27" t="s">
        <v>77</v>
      </c>
      <c r="F19" s="24" t="s">
        <v>32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0.26755218216318788</v>
      </c>
      <c r="E20" s="27" t="s">
        <v>79</v>
      </c>
      <c r="F20" s="24" t="s">
        <v>34</v>
      </c>
      <c r="G20" s="12">
        <v>1</v>
      </c>
      <c r="H20" s="88">
        <f>IF(B$20=0,0,G20/B$20)</f>
        <v>7.0921985815602835E-3</v>
      </c>
      <c r="I20" s="58">
        <v>6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-6.7583333333333355</v>
      </c>
      <c r="Q20" s="77">
        <v>48</v>
      </c>
      <c r="R20" s="68">
        <v>-324.40000000000009</v>
      </c>
    </row>
    <row r="21" spans="1:18" x14ac:dyDescent="0.4">
      <c r="A21" s="19" t="s">
        <v>13</v>
      </c>
      <c r="B21" s="12">
        <v>98</v>
      </c>
      <c r="C21" s="6">
        <f>IF(B$3=0,0,B21/B$3)</f>
        <v>0.1859582542694497</v>
      </c>
      <c r="E21" s="27" t="s">
        <v>85</v>
      </c>
      <c r="F21" s="24" t="s">
        <v>40</v>
      </c>
      <c r="G21" s="12">
        <v>1</v>
      </c>
      <c r="H21" s="88">
        <f>IF(B$20=0,0,G21/B$20)</f>
        <v>7.0921985815602835E-3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192</v>
      </c>
      <c r="P21" s="83">
        <f>IF(Q21=0,0,R21/Q21)</f>
        <v>-11.021428571428572</v>
      </c>
      <c r="Q21" s="77">
        <v>14</v>
      </c>
      <c r="R21" s="68">
        <v>-154.30000000000001</v>
      </c>
    </row>
    <row r="22" spans="1:18" x14ac:dyDescent="0.4">
      <c r="A22" s="19" t="s">
        <v>12</v>
      </c>
      <c r="B22" s="12">
        <v>66</v>
      </c>
      <c r="C22" s="6">
        <f>IF(B$20=0,0,B22/B$20)</f>
        <v>0.46808510638297873</v>
      </c>
      <c r="E22" s="27" t="s">
        <v>88</v>
      </c>
      <c r="F22" s="24" t="s">
        <v>43</v>
      </c>
      <c r="G22" s="12">
        <v>1</v>
      </c>
      <c r="H22" s="88">
        <f>IF(B$20=0,0,G22/B$20)</f>
        <v>7.0921985815602835E-3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211</v>
      </c>
      <c r="P22" s="83">
        <f>IF(Q22=0,0,R22/Q22)</f>
        <v>-11.568421052631582</v>
      </c>
      <c r="Q22" s="77">
        <v>19</v>
      </c>
      <c r="R22" s="68">
        <v>-219.80000000000004</v>
      </c>
    </row>
    <row r="23" spans="1:18" x14ac:dyDescent="0.4">
      <c r="A23" s="19" t="s">
        <v>11</v>
      </c>
      <c r="B23" s="12">
        <v>75</v>
      </c>
      <c r="C23" s="6">
        <f>IF(B$20=0,0,B23/B$20)</f>
        <v>0.53191489361702127</v>
      </c>
      <c r="E23" s="27" t="s">
        <v>91</v>
      </c>
      <c r="F23" s="24" t="s">
        <v>46</v>
      </c>
      <c r="G23" s="12">
        <v>1</v>
      </c>
      <c r="H23" s="88">
        <f>IF(B$20=0,0,G23/B$20)</f>
        <v>7.0921985815602835E-3</v>
      </c>
      <c r="I23" s="58">
        <v>5</v>
      </c>
      <c r="K23" s="74">
        <v>21</v>
      </c>
      <c r="L23" s="119">
        <v>-99.3</v>
      </c>
      <c r="M23" s="117">
        <v>1634.416859807118</v>
      </c>
      <c r="O23" s="74" t="s">
        <v>195</v>
      </c>
      <c r="P23" s="83">
        <f>IF(Q23=0,0,R23/Q23)</f>
        <v>-39.85</v>
      </c>
      <c r="Q23" s="77">
        <v>2</v>
      </c>
      <c r="R23" s="68">
        <v>-79.7</v>
      </c>
    </row>
    <row r="24" spans="1:18" x14ac:dyDescent="0.4">
      <c r="A24" s="19" t="s">
        <v>183</v>
      </c>
      <c r="B24" s="12">
        <v>68</v>
      </c>
      <c r="C24" s="6">
        <f>IF(B$20=0,0,B24/B$20)</f>
        <v>0.48226950354609927</v>
      </c>
      <c r="E24" s="27" t="s">
        <v>92</v>
      </c>
      <c r="F24" s="24" t="s">
        <v>47</v>
      </c>
      <c r="G24" s="12">
        <v>1</v>
      </c>
      <c r="H24" s="88">
        <f>IF(B$20=0,0,G24/B$20)</f>
        <v>7.0921985815602835E-3</v>
      </c>
      <c r="I24" s="58">
        <v>2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41</v>
      </c>
      <c r="C25" s="6">
        <f>IF(B$20=0,0,B25/B$20)</f>
        <v>0.29078014184397161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32</v>
      </c>
      <c r="C26" s="6">
        <f>IF(B$20=0,0,B26/B$20)</f>
        <v>0.22695035460992907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9193.6170212765956</v>
      </c>
      <c r="C27" s="8">
        <v>1296300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9762</v>
      </c>
      <c r="C28" s="96">
        <v>976200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7807.3170731707314</v>
      </c>
      <c r="C29" s="96">
        <v>320100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-8011.2244897959181</v>
      </c>
      <c r="C30" s="96">
        <v>-785100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1">
        <v>7</v>
      </c>
      <c r="C33" s="132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3">
        <v>94700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1.8975332068311196E-3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6.3829787234042548E-2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11</v>
      </c>
      <c r="C38" s="6">
        <f t="shared" si="2"/>
        <v>7.8014184397163122E-2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29</v>
      </c>
      <c r="C39" s="6">
        <f t="shared" si="2"/>
        <v>0.20567375886524822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31</v>
      </c>
      <c r="C40" s="6">
        <f t="shared" si="2"/>
        <v>0.21985815602836881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28</v>
      </c>
      <c r="C41" s="6">
        <f t="shared" si="2"/>
        <v>0.19858156028368795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14</v>
      </c>
      <c r="C42" s="6">
        <f t="shared" si="2"/>
        <v>9.9290780141843976E-2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7</v>
      </c>
      <c r="C43" s="6">
        <f t="shared" si="2"/>
        <v>4.9645390070921988E-2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6</v>
      </c>
      <c r="C44" s="6">
        <f t="shared" si="2"/>
        <v>4.2553191489361701E-2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2.1276595744680851E-2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189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43</v>
      </c>
      <c r="C2" s="138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39">
        <v>383</v>
      </c>
      <c r="C3" s="140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11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1">
        <v>-110.1</v>
      </c>
      <c r="C4" s="142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9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29">
        <f>IF(B$2=0,0,B$4/B$2)</f>
        <v>-2.5604651162790697</v>
      </c>
      <c r="C5" s="130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3">
        <v>1448.7493412538377</v>
      </c>
      <c r="C6" s="134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3">
        <f>IF(B$2=0,0,(B$8*1+B$9*2+B$10*3)/B$2)</f>
        <v>2.0465116279069768</v>
      </c>
      <c r="C7" s="144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5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3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-0.44243612596553561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1">
        <v>7</v>
      </c>
      <c r="C33" s="132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3">
        <v>89900</v>
      </c>
      <c r="C34" s="134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190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28</v>
      </c>
      <c r="C2" s="138"/>
      <c r="E2" s="26" t="s">
        <v>66</v>
      </c>
      <c r="F2" s="23" t="s">
        <v>22</v>
      </c>
      <c r="G2" s="11">
        <v>53</v>
      </c>
      <c r="H2" s="87">
        <f>IF(B$20=0,0,G2/B$20)</f>
        <v>0.91379310344827591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53.571428571428569</v>
      </c>
      <c r="Q2" s="76">
        <v>28</v>
      </c>
      <c r="R2" s="63">
        <v>1500</v>
      </c>
    </row>
    <row r="3" spans="1:18" x14ac:dyDescent="0.4">
      <c r="A3" s="19" t="s">
        <v>8</v>
      </c>
      <c r="B3" s="139">
        <v>244</v>
      </c>
      <c r="C3" s="140"/>
      <c r="E3" s="27" t="s">
        <v>72</v>
      </c>
      <c r="F3" s="24" t="s">
        <v>27</v>
      </c>
      <c r="G3" s="12">
        <v>36</v>
      </c>
      <c r="H3" s="88">
        <f>IF(B$20=0,0,G3/B$20)</f>
        <v>0.62068965517241381</v>
      </c>
      <c r="I3" s="58">
        <v>6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850</v>
      </c>
      <c r="Q3" s="77">
        <v>28</v>
      </c>
      <c r="R3" s="64">
        <v>23800</v>
      </c>
    </row>
    <row r="4" spans="1:18" x14ac:dyDescent="0.4">
      <c r="A4" s="19" t="s">
        <v>6</v>
      </c>
      <c r="B4" s="141">
        <v>-67.300000000000026</v>
      </c>
      <c r="C4" s="142"/>
      <c r="E4" s="27" t="s">
        <v>64</v>
      </c>
      <c r="F4" s="24" t="s">
        <v>20</v>
      </c>
      <c r="G4" s="12">
        <v>28</v>
      </c>
      <c r="H4" s="88">
        <f>IF(B$20=0,0,G4/B$20)</f>
        <v>0.48275862068965519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-840.74074074074076</v>
      </c>
      <c r="Q4" s="77">
        <v>27</v>
      </c>
      <c r="R4" s="64">
        <v>-22700</v>
      </c>
    </row>
    <row r="5" spans="1:18" x14ac:dyDescent="0.4">
      <c r="A5" s="19" t="s">
        <v>7</v>
      </c>
      <c r="B5" s="129">
        <f>IF(B$2=0,0,B$4/B$2)</f>
        <v>-2.4035714285714294</v>
      </c>
      <c r="C5" s="130"/>
      <c r="E5" s="27" t="s">
        <v>159</v>
      </c>
      <c r="F5" s="24" t="s">
        <v>160</v>
      </c>
      <c r="G5" s="12">
        <v>27</v>
      </c>
      <c r="H5" s="88">
        <f>IF(B$20=0,0,G5/B$20)</f>
        <v>0.46551724137931033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-2895.8333333333335</v>
      </c>
      <c r="Q5" s="77">
        <v>24</v>
      </c>
      <c r="R5" s="64">
        <v>-69500</v>
      </c>
    </row>
    <row r="6" spans="1:18" x14ac:dyDescent="0.4">
      <c r="A6" s="19" t="s">
        <v>196</v>
      </c>
      <c r="B6" s="133">
        <v>1525.2391528138457</v>
      </c>
      <c r="C6" s="134"/>
      <c r="E6" s="27" t="s">
        <v>67</v>
      </c>
      <c r="F6" s="24" t="s">
        <v>23</v>
      </c>
      <c r="G6" s="12">
        <v>15</v>
      </c>
      <c r="H6" s="88">
        <f>IF(B$20=0,0,G6/B$20)</f>
        <v>0.25862068965517243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2559.090909090909</v>
      </c>
      <c r="Q6" s="77">
        <v>22</v>
      </c>
      <c r="R6" s="64">
        <v>56300</v>
      </c>
    </row>
    <row r="7" spans="1:18" x14ac:dyDescent="0.4">
      <c r="A7" s="19" t="s">
        <v>1</v>
      </c>
      <c r="B7" s="143">
        <f>IF(B$2=0,0,(B$8*1+B$9*2+B$10*3)/B$2)</f>
        <v>2</v>
      </c>
      <c r="C7" s="144"/>
      <c r="E7" s="27" t="s">
        <v>68</v>
      </c>
      <c r="F7" s="24" t="s">
        <v>12</v>
      </c>
      <c r="G7" s="12">
        <v>14</v>
      </c>
      <c r="H7" s="88">
        <f>IF(B$20=0,0,G7/B$20)</f>
        <v>0.2413793103448276</v>
      </c>
      <c r="I7" s="58">
        <v>12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-931.57894736842104</v>
      </c>
      <c r="Q7" s="78">
        <v>19</v>
      </c>
      <c r="R7" s="65">
        <v>-17700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0.21428571428571427</v>
      </c>
      <c r="E8" s="27" t="s">
        <v>65</v>
      </c>
      <c r="F8" s="24" t="s">
        <v>21</v>
      </c>
      <c r="G8" s="12">
        <v>11</v>
      </c>
      <c r="H8" s="88">
        <f>IF(B$20=0,0,G8/B$20)</f>
        <v>0.18965517241379309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0.5714285714285714</v>
      </c>
      <c r="E9" s="27" t="s">
        <v>89</v>
      </c>
      <c r="F9" s="24" t="s">
        <v>44</v>
      </c>
      <c r="G9" s="12">
        <v>7</v>
      </c>
      <c r="H9" s="88">
        <f>IF(B$20=0,0,G9/B$20)</f>
        <v>0.1206896551724138</v>
      </c>
      <c r="I9" s="58">
        <v>9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0.21428571428571427</v>
      </c>
      <c r="E10" s="27" t="s">
        <v>69</v>
      </c>
      <c r="F10" s="24" t="s">
        <v>24</v>
      </c>
      <c r="G10" s="12">
        <v>6</v>
      </c>
      <c r="H10" s="88">
        <f>IF(B$20=0,0,G10/B$20)</f>
        <v>0.10344827586206896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8.6206896551724144E-2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-7.4090909090909092</v>
      </c>
      <c r="Q11" s="77">
        <v>11</v>
      </c>
      <c r="R11" s="68">
        <v>-81.5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8.6206896551724144E-2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71</v>
      </c>
      <c r="F13" s="24" t="s">
        <v>26</v>
      </c>
      <c r="G13" s="12">
        <v>2</v>
      </c>
      <c r="H13" s="88">
        <f>IF(B$20=0,0,G13/B$20)</f>
        <v>3.4482758620689655E-2</v>
      </c>
      <c r="I13" s="58">
        <v>10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-2.5513888888888907</v>
      </c>
      <c r="C14" s="130"/>
      <c r="E14" s="27" t="s">
        <v>79</v>
      </c>
      <c r="F14" s="24" t="s">
        <v>34</v>
      </c>
      <c r="G14" s="12">
        <v>2</v>
      </c>
      <c r="H14" s="88">
        <f>IF(B$20=0,0,G14/B$20)</f>
        <v>3.4482758620689655E-2</v>
      </c>
      <c r="I14" s="58">
        <v>1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7.1428571428571425E-2</v>
      </c>
      <c r="E15" s="27" t="s">
        <v>81</v>
      </c>
      <c r="F15" s="24" t="s">
        <v>36</v>
      </c>
      <c r="G15" s="12">
        <v>2</v>
      </c>
      <c r="H15" s="88">
        <f>IF(B$20=0,0,G15/B$20)</f>
        <v>3.4482758620689655E-2</v>
      </c>
      <c r="I15" s="58">
        <v>6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56</v>
      </c>
      <c r="C16" s="10">
        <f>IF(B$3=0,0,B16/B$3)</f>
        <v>0.22950819672131148</v>
      </c>
      <c r="E16" s="27" t="s">
        <v>83</v>
      </c>
      <c r="F16" s="24" t="s">
        <v>38</v>
      </c>
      <c r="G16" s="12">
        <v>2</v>
      </c>
      <c r="H16" s="88">
        <f>IF(B$20=0,0,G16/B$20)</f>
        <v>3.4482758620689655E-2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 t="shared" si="2"/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50</v>
      </c>
      <c r="C17" s="6">
        <f>IF(B$3=0,0,B17/B$3)</f>
        <v>0.20491803278688525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 t="shared" si="2"/>
        <v>-2.7888888888888888</v>
      </c>
      <c r="Q17" s="77">
        <v>9</v>
      </c>
      <c r="R17" s="68">
        <v>-25.099999999999998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-9.7818181818181831</v>
      </c>
      <c r="Q18" s="77">
        <v>22</v>
      </c>
      <c r="R18" s="68">
        <v>-215.20000000000002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0.23770491803278687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0.10245901639344263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19</v>
      </c>
      <c r="C22" s="6">
        <f>IF(B$20=0,0,B22/B$20)</f>
        <v>0.32758620689655171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0.67241379310344829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0.48275862068965519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0.31034482758620691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12</v>
      </c>
      <c r="C26" s="6">
        <f>IF(B$20=0,0,B26/B$20)</f>
        <v>0.20689655172413793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8075.8620689655172</v>
      </c>
      <c r="C27" s="8">
        <v>468400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7792.5</v>
      </c>
      <c r="C28" s="96">
        <v>311700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28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7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80000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1.7241379310344827E-2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3"/>
        <v>0.17241379310344829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3"/>
        <v>0.2413793103448276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3"/>
        <v>0.27586206896551724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3"/>
        <v>0.1206896551724138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3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5.1724137931034482E-2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1.7241379310344827E-2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44</v>
      </c>
      <c r="C2" s="138"/>
      <c r="E2" s="26" t="s">
        <v>66</v>
      </c>
      <c r="F2" s="23" t="s">
        <v>22</v>
      </c>
      <c r="G2" s="11">
        <v>83</v>
      </c>
      <c r="H2" s="87">
        <f>IF(B$20=0,0,G2/B$20)</f>
        <v>0.72807017543859653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-554.5454545454545</v>
      </c>
      <c r="Q2" s="76">
        <v>44</v>
      </c>
      <c r="R2" s="63">
        <v>-24400</v>
      </c>
    </row>
    <row r="3" spans="1:18" x14ac:dyDescent="0.4">
      <c r="A3" s="19" t="s">
        <v>8</v>
      </c>
      <c r="B3" s="139">
        <v>378</v>
      </c>
      <c r="C3" s="140"/>
      <c r="E3" s="27" t="s">
        <v>72</v>
      </c>
      <c r="F3" s="24" t="s">
        <v>27</v>
      </c>
      <c r="G3" s="12">
        <v>67</v>
      </c>
      <c r="H3" s="88">
        <f>IF(B$20=0,0,G3/B$20)</f>
        <v>0.58771929824561409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686.36363636363637</v>
      </c>
      <c r="Q3" s="77">
        <v>44</v>
      </c>
      <c r="R3" s="64">
        <v>30200</v>
      </c>
    </row>
    <row r="4" spans="1:18" x14ac:dyDescent="0.4">
      <c r="A4" s="19" t="s">
        <v>6</v>
      </c>
      <c r="B4" s="141">
        <v>143.19999999999999</v>
      </c>
      <c r="C4" s="142"/>
      <c r="E4" s="27" t="s">
        <v>64</v>
      </c>
      <c r="F4" s="24" t="s">
        <v>20</v>
      </c>
      <c r="G4" s="12">
        <v>48</v>
      </c>
      <c r="H4" s="88">
        <f>IF(B$20=0,0,G4/B$20)</f>
        <v>0.42105263157894735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1643.1818181818182</v>
      </c>
      <c r="Q4" s="77">
        <v>44</v>
      </c>
      <c r="R4" s="64">
        <v>72300</v>
      </c>
    </row>
    <row r="5" spans="1:18" x14ac:dyDescent="0.4">
      <c r="A5" s="19" t="s">
        <v>7</v>
      </c>
      <c r="B5" s="129">
        <f>IF(B$2=0,0,B$4/B$2)</f>
        <v>3.2545454545454544</v>
      </c>
      <c r="C5" s="130"/>
      <c r="E5" s="27" t="s">
        <v>159</v>
      </c>
      <c r="F5" s="24" t="s">
        <v>160</v>
      </c>
      <c r="G5" s="12">
        <v>37</v>
      </c>
      <c r="H5" s="88">
        <f>IF(B$20=0,0,G5/B$20)</f>
        <v>0.32456140350877194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39.024390243902438</v>
      </c>
      <c r="Q5" s="77">
        <v>41</v>
      </c>
      <c r="R5" s="64">
        <v>1600</v>
      </c>
    </row>
    <row r="6" spans="1:18" x14ac:dyDescent="0.4">
      <c r="A6" s="19" t="s">
        <v>196</v>
      </c>
      <c r="B6" s="133">
        <v>1531.1784483849297</v>
      </c>
      <c r="C6" s="134"/>
      <c r="E6" s="27" t="s">
        <v>68</v>
      </c>
      <c r="F6" s="24" t="s">
        <v>12</v>
      </c>
      <c r="G6" s="12">
        <v>30</v>
      </c>
      <c r="H6" s="88">
        <f>IF(B$20=0,0,G6/B$20)</f>
        <v>0.26315789473684209</v>
      </c>
      <c r="I6" s="58">
        <v>9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89.189189189189193</v>
      </c>
      <c r="Q6" s="77">
        <v>37</v>
      </c>
      <c r="R6" s="64">
        <v>3300</v>
      </c>
    </row>
    <row r="7" spans="1:18" x14ac:dyDescent="0.4">
      <c r="A7" s="19" t="s">
        <v>1</v>
      </c>
      <c r="B7" s="143">
        <f>IF(B$2=0,0,(B$8*1+B$9*2+B$10*3)/B$2)</f>
        <v>1.9318181818181819</v>
      </c>
      <c r="C7" s="144"/>
      <c r="E7" s="27" t="s">
        <v>67</v>
      </c>
      <c r="F7" s="24" t="s">
        <v>23</v>
      </c>
      <c r="G7" s="12">
        <v>29</v>
      </c>
      <c r="H7" s="88">
        <f>IF(B$20=0,0,G7/B$20)</f>
        <v>0.25438596491228072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1474.2857142857142</v>
      </c>
      <c r="Q7" s="78">
        <v>35</v>
      </c>
      <c r="R7" s="65">
        <v>51600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0.38636363636363635</v>
      </c>
      <c r="E8" s="27" t="s">
        <v>89</v>
      </c>
      <c r="F8" s="24" t="s">
        <v>44</v>
      </c>
      <c r="G8" s="12">
        <v>20</v>
      </c>
      <c r="H8" s="88">
        <f>IF(B$20=0,0,G8/B$20)</f>
        <v>0.17543859649122806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0.29545454545454547</v>
      </c>
      <c r="E9" s="27" t="s">
        <v>69</v>
      </c>
      <c r="F9" s="24" t="s">
        <v>24</v>
      </c>
      <c r="G9" s="12">
        <v>16</v>
      </c>
      <c r="H9" s="88">
        <f>IF(B$20=0,0,G9/B$20)</f>
        <v>0.14035087719298245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0.31818181818181818</v>
      </c>
      <c r="E10" s="27" t="s">
        <v>71</v>
      </c>
      <c r="F10" s="24" t="s">
        <v>26</v>
      </c>
      <c r="G10" s="12">
        <v>9</v>
      </c>
      <c r="H10" s="88">
        <f>IF(B$20=0,0,G10/B$20)</f>
        <v>7.8947368421052627E-2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32.964705882352938</v>
      </c>
      <c r="C11" s="110">
        <v>560.4</v>
      </c>
      <c r="E11" s="27" t="s">
        <v>65</v>
      </c>
      <c r="F11" s="24" t="s">
        <v>21</v>
      </c>
      <c r="G11" s="12">
        <v>8</v>
      </c>
      <c r="H11" s="88">
        <f>IF(B$20=0,0,G11/B$20)</f>
        <v>7.0175438596491224E-2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6.1403508771929821E-2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5.2631578947368418E-2</v>
      </c>
      <c r="I13" s="58">
        <v>4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1.020103425985776</v>
      </c>
      <c r="C14" s="130"/>
      <c r="E14" s="27" t="s">
        <v>70</v>
      </c>
      <c r="F14" s="24" t="s">
        <v>25</v>
      </c>
      <c r="G14" s="12">
        <v>5</v>
      </c>
      <c r="H14" s="88">
        <f>IF(B$20=0,0,G14/B$20)</f>
        <v>4.3859649122807015E-2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4.5454545454545456E-2</v>
      </c>
      <c r="E15" s="27" t="s">
        <v>81</v>
      </c>
      <c r="F15" s="24" t="s">
        <v>36</v>
      </c>
      <c r="G15" s="12">
        <v>5</v>
      </c>
      <c r="H15" s="88">
        <f>IF(B$20=0,0,G15/B$20)</f>
        <v>4.3859649122807015E-2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80</v>
      </c>
      <c r="C16" s="10">
        <f>IF(B$3=0,0,B16/B$3)</f>
        <v>0.21164021164021163</v>
      </c>
      <c r="E16" s="27" t="s">
        <v>91</v>
      </c>
      <c r="F16" s="24" t="s">
        <v>46</v>
      </c>
      <c r="G16" s="12">
        <v>5</v>
      </c>
      <c r="H16" s="88">
        <f>IF(B$20=0,0,G16/B$20)</f>
        <v>4.3859649122807015E-2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 t="shared" si="2"/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79</v>
      </c>
      <c r="C17" s="6">
        <f>IF(B$3=0,0,B17/B$3)</f>
        <v>0.20899470899470898</v>
      </c>
      <c r="E17" s="27" t="s">
        <v>78</v>
      </c>
      <c r="F17" s="24" t="s">
        <v>33</v>
      </c>
      <c r="G17" s="12">
        <v>4</v>
      </c>
      <c r="H17" s="88">
        <f>IF(B$20=0,0,G17/B$20)</f>
        <v>3.5087719298245612E-2</v>
      </c>
      <c r="I17" s="58">
        <v>3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0.58750000000000002</v>
      </c>
      <c r="E18" s="27" t="s">
        <v>73</v>
      </c>
      <c r="F18" s="24" t="s">
        <v>28</v>
      </c>
      <c r="G18" s="12">
        <v>2</v>
      </c>
      <c r="H18" s="88">
        <f>IF(B$20=0,0,G18/B$20)</f>
        <v>1.7543859649122806E-2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 t="shared" si="2"/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0.49367088607594939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0.30158730158730157</v>
      </c>
      <c r="E20" s="27" t="s">
        <v>93</v>
      </c>
      <c r="F20" s="24" t="s">
        <v>48</v>
      </c>
      <c r="G20" s="12">
        <v>1</v>
      </c>
      <c r="H20" s="88">
        <f>IF(B$20=0,0,G20/B$20)</f>
        <v>8.771929824561403E-3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-1.720833333333333</v>
      </c>
      <c r="Q20" s="77">
        <v>24</v>
      </c>
      <c r="R20" s="68">
        <v>-41.29999999999999</v>
      </c>
    </row>
    <row r="21" spans="1:18" x14ac:dyDescent="0.4">
      <c r="A21" s="19" t="s">
        <v>13</v>
      </c>
      <c r="B21" s="12">
        <v>51</v>
      </c>
      <c r="C21" s="6">
        <f>IF(B$3=0,0,B21/B$3)</f>
        <v>0.13492063492063491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49</v>
      </c>
      <c r="C22" s="6">
        <f>IF(B$20=0,0,B22/B$20)</f>
        <v>0.42982456140350878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65</v>
      </c>
      <c r="C23" s="6">
        <f>IF(B$20=0,0,B23/B$20)</f>
        <v>0.57017543859649122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47</v>
      </c>
      <c r="C24" s="6">
        <f>IF(B$20=0,0,B24/B$20)</f>
        <v>0.41228070175438597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39</v>
      </c>
      <c r="C25" s="6">
        <f>IF(B$20=0,0,B25/B$20)</f>
        <v>0.34210526315789475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0.24561403508771928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7921.9298245614036</v>
      </c>
      <c r="C27" s="8">
        <v>903100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8273.3333333333339</v>
      </c>
      <c r="C28" s="96">
        <v>620500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7246.1538461538457</v>
      </c>
      <c r="C29" s="96">
        <v>282600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-6609.8039215686276</v>
      </c>
      <c r="C30" s="96">
        <v>-337100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1">
        <v>6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3">
        <v>86700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7.9365079365079361E-3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7.0175438596491224E-2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3"/>
        <v>0.21929824561403508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3"/>
        <v>0.18421052631578946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3"/>
        <v>0.13157894736842105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12</v>
      </c>
      <c r="C42" s="6">
        <f t="shared" si="3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4.3859649122807015E-2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3.5087719298245612E-2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8.771929824561403E-3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1.7543859649122806E-2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3"/>
        <v>8.771929824561403E-3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8.771929824561403E-3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192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48</v>
      </c>
      <c r="C2" s="138"/>
      <c r="E2" s="26" t="s">
        <v>66</v>
      </c>
      <c r="F2" s="23" t="s">
        <v>22</v>
      </c>
      <c r="G2" s="11">
        <v>104</v>
      </c>
      <c r="H2" s="87">
        <f>IF(B$20=0,0,G2/B$20)</f>
        <v>0.74820143884892087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-181.25</v>
      </c>
      <c r="Q2" s="76">
        <v>48</v>
      </c>
      <c r="R2" s="63">
        <v>-8700</v>
      </c>
    </row>
    <row r="3" spans="1:18" x14ac:dyDescent="0.4">
      <c r="A3" s="19" t="s">
        <v>8</v>
      </c>
      <c r="B3" s="139">
        <v>414</v>
      </c>
      <c r="C3" s="140"/>
      <c r="E3" s="27" t="s">
        <v>72</v>
      </c>
      <c r="F3" s="24" t="s">
        <v>27</v>
      </c>
      <c r="G3" s="12">
        <v>88</v>
      </c>
      <c r="H3" s="88">
        <f>IF(B$20=0,0,G3/B$20)</f>
        <v>0.63309352517985606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691.11111111111109</v>
      </c>
      <c r="Q3" s="77">
        <v>45</v>
      </c>
      <c r="R3" s="64">
        <v>31100</v>
      </c>
    </row>
    <row r="4" spans="1:18" x14ac:dyDescent="0.4">
      <c r="A4" s="19" t="s">
        <v>6</v>
      </c>
      <c r="B4" s="141">
        <v>261.89999999999992</v>
      </c>
      <c r="C4" s="142"/>
      <c r="E4" s="27" t="s">
        <v>159</v>
      </c>
      <c r="F4" s="24" t="s">
        <v>160</v>
      </c>
      <c r="G4" s="12">
        <v>67</v>
      </c>
      <c r="H4" s="88">
        <f>IF(B$20=0,0,G4/B$20)</f>
        <v>0.48201438848920863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793.47826086956525</v>
      </c>
      <c r="Q4" s="77">
        <v>46</v>
      </c>
      <c r="R4" s="64">
        <v>36500</v>
      </c>
    </row>
    <row r="5" spans="1:18" x14ac:dyDescent="0.4">
      <c r="A5" s="19" t="s">
        <v>7</v>
      </c>
      <c r="B5" s="129">
        <f>IF(B$2=0,0,B$4/B$2)</f>
        <v>5.456249999999998</v>
      </c>
      <c r="C5" s="130"/>
      <c r="E5" s="27" t="s">
        <v>64</v>
      </c>
      <c r="F5" s="24" t="s">
        <v>20</v>
      </c>
      <c r="G5" s="12">
        <v>44</v>
      </c>
      <c r="H5" s="88">
        <f>IF(B$20=0,0,G5/B$20)</f>
        <v>0.31654676258992803</v>
      </c>
      <c r="I5" s="58">
        <v>10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2274.4186046511627</v>
      </c>
      <c r="Q5" s="77">
        <v>43</v>
      </c>
      <c r="R5" s="64">
        <v>97800</v>
      </c>
    </row>
    <row r="6" spans="1:18" x14ac:dyDescent="0.4">
      <c r="A6" s="19" t="s">
        <v>196</v>
      </c>
      <c r="B6" s="133">
        <v>1580.3102788159663</v>
      </c>
      <c r="C6" s="134"/>
      <c r="E6" s="27" t="s">
        <v>68</v>
      </c>
      <c r="F6" s="24" t="s">
        <v>12</v>
      </c>
      <c r="G6" s="12">
        <v>34</v>
      </c>
      <c r="H6" s="88">
        <f>IF(B$20=0,0,G6/B$20)</f>
        <v>0.2446043165467626</v>
      </c>
      <c r="I6" s="58">
        <v>11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280</v>
      </c>
      <c r="Q6" s="77">
        <v>40</v>
      </c>
      <c r="R6" s="64">
        <v>11200</v>
      </c>
    </row>
    <row r="7" spans="1:18" x14ac:dyDescent="0.4">
      <c r="A7" s="19" t="s">
        <v>1</v>
      </c>
      <c r="B7" s="143">
        <f>IF(B$2=0,0,(B$8*1+B$9*2+B$10*3)/B$2)</f>
        <v>1.8125</v>
      </c>
      <c r="C7" s="144"/>
      <c r="E7" s="27" t="s">
        <v>70</v>
      </c>
      <c r="F7" s="24" t="s">
        <v>25</v>
      </c>
      <c r="G7" s="12">
        <v>18</v>
      </c>
      <c r="H7" s="88">
        <f>IF(B$20=0,0,G7/B$20)</f>
        <v>0.12949640287769784</v>
      </c>
      <c r="I7" s="58">
        <v>3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-18.75</v>
      </c>
      <c r="Q7" s="78">
        <v>32</v>
      </c>
      <c r="R7" s="65">
        <v>-600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0.41666666666666669</v>
      </c>
      <c r="E8" s="27" t="s">
        <v>67</v>
      </c>
      <c r="F8" s="24" t="s">
        <v>23</v>
      </c>
      <c r="G8" s="12">
        <v>17</v>
      </c>
      <c r="H8" s="88">
        <f>IF(B$20=0,0,G8/B$20)</f>
        <v>0.1223021582733813</v>
      </c>
      <c r="I8" s="58">
        <v>11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0.35416666666666669</v>
      </c>
      <c r="E9" s="27" t="s">
        <v>89</v>
      </c>
      <c r="F9" s="24" t="s">
        <v>44</v>
      </c>
      <c r="G9" s="12">
        <v>17</v>
      </c>
      <c r="H9" s="88">
        <f>IF(B$20=0,0,G9/B$20)</f>
        <v>0.1223021582733813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0.22916666666666666</v>
      </c>
      <c r="E10" s="27" t="s">
        <v>71</v>
      </c>
      <c r="F10" s="24" t="s">
        <v>26</v>
      </c>
      <c r="G10" s="12">
        <v>15</v>
      </c>
      <c r="H10" s="88">
        <f>IF(B$20=0,0,G10/B$20)</f>
        <v>0.1079136690647482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9.3525179856115109E-2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3.5971223021582732E-2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1.2307692307692302</v>
      </c>
      <c r="Q12" s="78">
        <v>13</v>
      </c>
      <c r="R12" s="69">
        <v>15.999999999999993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3.5971223021582732E-2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-1.2433155080213893</v>
      </c>
      <c r="C14" s="130"/>
      <c r="E14" s="27" t="s">
        <v>78</v>
      </c>
      <c r="F14" s="24" t="s">
        <v>33</v>
      </c>
      <c r="G14" s="12">
        <v>4</v>
      </c>
      <c r="H14" s="88">
        <f>IF(B$20=0,0,G14/B$20)</f>
        <v>2.8776978417266189E-2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79</v>
      </c>
      <c r="F15" s="24" t="s">
        <v>34</v>
      </c>
      <c r="G15" s="12">
        <v>3</v>
      </c>
      <c r="H15" s="88">
        <f>IF(B$20=0,0,G15/B$20)</f>
        <v>2.1582733812949641E-2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84</v>
      </c>
      <c r="C16" s="10">
        <f>IF(B$3=0,0,B16/B$3)</f>
        <v>0.20289855072463769</v>
      </c>
      <c r="E16" s="27" t="s">
        <v>81</v>
      </c>
      <c r="F16" s="24" t="s">
        <v>36</v>
      </c>
      <c r="G16" s="12">
        <v>3</v>
      </c>
      <c r="H16" s="88">
        <f>IF(B$20=0,0,G16/B$20)</f>
        <v>2.1582733812949641E-2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113</v>
      </c>
      <c r="C17" s="6">
        <f>IF(B$3=0,0,B17/B$3)</f>
        <v>0.27294685990338163</v>
      </c>
      <c r="E17" s="27" t="s">
        <v>83</v>
      </c>
      <c r="F17" s="24" t="s">
        <v>38</v>
      </c>
      <c r="G17" s="12">
        <v>3</v>
      </c>
      <c r="H17" s="88">
        <f>IF(B$20=0,0,G17/B$20)</f>
        <v>2.1582733812949641E-2</v>
      </c>
      <c r="I17" s="58">
        <v>9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0.52380952380952384</v>
      </c>
      <c r="E18" s="27" t="s">
        <v>73</v>
      </c>
      <c r="F18" s="24" t="s">
        <v>28</v>
      </c>
      <c r="G18" s="12">
        <v>1</v>
      </c>
      <c r="H18" s="88">
        <f>IF(B$20=0,0,G18/B$20)</f>
        <v>7.1942446043165471E-3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0.41592920353982299</v>
      </c>
      <c r="E19" s="27" t="s">
        <v>88</v>
      </c>
      <c r="F19" s="24" t="s">
        <v>43</v>
      </c>
      <c r="G19" s="12">
        <v>1</v>
      </c>
      <c r="H19" s="88">
        <f>IF(B$20=0,0,G19/B$20)</f>
        <v>7.1942446043165471E-3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139</v>
      </c>
      <c r="C20" s="5">
        <f>IF(B$3=0,0,B20/B$3)</f>
        <v>0.33574879227053139</v>
      </c>
      <c r="E20" s="27" t="s">
        <v>92</v>
      </c>
      <c r="F20" s="24" t="s">
        <v>47</v>
      </c>
      <c r="G20" s="12">
        <v>1</v>
      </c>
      <c r="H20" s="88">
        <f>IF(B$20=0,0,G20/B$20)</f>
        <v>7.1942446043165471E-3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47</v>
      </c>
      <c r="C21" s="6">
        <f>IF(B$3=0,0,B21/B$3)</f>
        <v>0.11352657004830918</v>
      </c>
      <c r="E21" s="27" t="s">
        <v>102</v>
      </c>
      <c r="F21" s="24" t="s">
        <v>57</v>
      </c>
      <c r="G21" s="12">
        <v>1</v>
      </c>
      <c r="H21" s="88">
        <f>IF(B$20=0,0,G21/B$20)</f>
        <v>7.1942446043165471E-3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4.1499999999999968</v>
      </c>
      <c r="Q21" s="77">
        <v>40</v>
      </c>
      <c r="R21" s="68">
        <v>165.99999999999989</v>
      </c>
    </row>
    <row r="22" spans="1:18" x14ac:dyDescent="0.4">
      <c r="A22" s="19" t="s">
        <v>12</v>
      </c>
      <c r="B22" s="12">
        <v>55</v>
      </c>
      <c r="C22" s="6">
        <f>IF(B$20=0,0,B22/B$20)</f>
        <v>0.39568345323741005</v>
      </c>
      <c r="E22" s="27" t="s">
        <v>155</v>
      </c>
      <c r="F22" s="24" t="s">
        <v>156</v>
      </c>
      <c r="G22" s="12">
        <v>1</v>
      </c>
      <c r="H22" s="88">
        <f>IF(B$20=0,0,G22/B$20)</f>
        <v>7.1942446043165471E-3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84</v>
      </c>
      <c r="C23" s="6">
        <f>IF(B$20=0,0,B23/B$20)</f>
        <v>0.60431654676258995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-25.18</v>
      </c>
      <c r="Q23" s="77">
        <v>5</v>
      </c>
      <c r="R23" s="68">
        <v>-125.9</v>
      </c>
    </row>
    <row r="24" spans="1:18" x14ac:dyDescent="0.4">
      <c r="A24" s="19" t="s">
        <v>183</v>
      </c>
      <c r="B24" s="12">
        <v>44</v>
      </c>
      <c r="C24" s="6">
        <f>IF(B$20=0,0,B24/B$20)</f>
        <v>0.31654676258992803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47</v>
      </c>
      <c r="C25" s="6">
        <f>IF(B$20=0,0,B25/B$20)</f>
        <v>0.33812949640287771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0.34532374100719426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7306.4748201438852</v>
      </c>
      <c r="C27" s="8">
        <v>1015600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8179.347826086957</v>
      </c>
      <c r="C28" s="96">
        <v>752500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5597.8723404255315</v>
      </c>
      <c r="C29" s="96">
        <v>263100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-7774.4680851063831</v>
      </c>
      <c r="C30" s="96">
        <v>-365400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1">
        <v>7</v>
      </c>
      <c r="C33" s="132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3">
        <v>98800</v>
      </c>
      <c r="C34" s="134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2">IF(B$20=0,0,B37/B$20)</f>
        <v>9.3525179856115109E-2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2"/>
        <v>0.25899280575539568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30</v>
      </c>
      <c r="C39" s="6">
        <f t="shared" si="2"/>
        <v>0.21582733812949639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2"/>
        <v>0.14388489208633093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2"/>
        <v>0.15107913669064749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2.8776978417266189E-2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2"/>
        <v>5.7553956834532377E-2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1.4388489208633094E-2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1.4388489208633094E-2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2"/>
        <v>7.1942446043165471E-3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1.4388489208633094E-2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216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18</v>
      </c>
      <c r="C2" s="138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9">
        <v>140</v>
      </c>
      <c r="C3" s="140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1">
        <v>-180.3</v>
      </c>
      <c r="C4" s="142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5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9">
        <f>IF(B$2=0,0,B$4/B$2)</f>
        <v>-10.016666666666667</v>
      </c>
      <c r="C5" s="130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3">
        <v>1475.2783888604056</v>
      </c>
      <c r="C6" s="134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7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3">
        <f>IF(B$2=0,0,(B$8*1+B$9*2+B$10*3)/B$2)</f>
        <v>2.2222222222222223</v>
      </c>
      <c r="C7" s="144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5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-1.3125</v>
      </c>
      <c r="C14" s="130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74600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193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6</v>
      </c>
      <c r="C2" s="138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39">
        <v>54</v>
      </c>
      <c r="C3" s="140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1">
        <v>-78.199999999999989</v>
      </c>
      <c r="C4" s="142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29">
        <f>IF(B$2=0,0,B$4/B$2)</f>
        <v>-13.033333333333331</v>
      </c>
      <c r="C5" s="130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3">
        <v>1340.228259602879</v>
      </c>
      <c r="C6" s="134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11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3">
        <f>IF(B$2=0,0,(B$8*1+B$9*2+B$10*3)/B$2)</f>
        <v>2.3333333333333335</v>
      </c>
      <c r="C7" s="144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2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2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-4.0388888888888888</v>
      </c>
      <c r="C14" s="130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45000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195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12</v>
      </c>
      <c r="C2" s="138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9">
        <v>103</v>
      </c>
      <c r="C3" s="140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1">
        <v>-39.5</v>
      </c>
      <c r="C4" s="142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9">
        <f>IF(B$2=0,0,B$4/B$2)</f>
        <v>-3.2916666666666665</v>
      </c>
      <c r="C5" s="130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3">
        <v>1396.3170423346389</v>
      </c>
      <c r="C6" s="134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3">
        <f>IF(B$2=0,0,(B$8*1+B$9*2+B$10*3)/B$2)</f>
        <v>1.9166666666666667</v>
      </c>
      <c r="C7" s="144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-6.7477777777777765</v>
      </c>
      <c r="C14" s="130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5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65700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221</v>
      </c>
      <c r="C1" s="136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2</v>
      </c>
      <c r="C2" s="138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9">
        <v>18</v>
      </c>
      <c r="C3" s="140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1">
        <v>-13.5</v>
      </c>
      <c r="C4" s="142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9">
        <f>IF(B$2=0,0,B$4/B$2)</f>
        <v>-6.75</v>
      </c>
      <c r="C5" s="130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11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3">
        <v>1497.379788</v>
      </c>
      <c r="C6" s="134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3">
        <f>IF(B$2=0,0,(B$8*1+B$9*2+B$10*3)/B$2)</f>
        <v>2.5</v>
      </c>
      <c r="C7" s="144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-4.5</v>
      </c>
      <c r="C14" s="130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12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10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39000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5" t="s">
        <v>259</v>
      </c>
      <c r="C1" s="136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7">
        <v>3</v>
      </c>
      <c r="C2" s="138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39">
        <v>25</v>
      </c>
      <c r="C3" s="140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1">
        <v>-50</v>
      </c>
      <c r="C4" s="142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29">
        <f>IF(B$2=0,0,B$4/B$2)</f>
        <v>-16.666666666666668</v>
      </c>
      <c r="C5" s="130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1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3">
        <v>1493.0891304000002</v>
      </c>
      <c r="C6" s="134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3">
        <f>IF(B$2=0,0,(B$8*1+B$9*2+B$10*3)/B$2)</f>
        <v>2.6666666666666665</v>
      </c>
      <c r="C7" s="144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12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9">
        <f>AVERAGE(B11:B13)</f>
        <v>-7.1999999999999993</v>
      </c>
      <c r="C14" s="130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9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1">
        <v>3</v>
      </c>
      <c r="C33" s="132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3">
        <v>41800</v>
      </c>
      <c r="C34" s="134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6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9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2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819</vt:i4>
      </vt:variant>
    </vt:vector>
  </HeadingPairs>
  <TitlesOfParts>
    <vt:vector size="863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2020-12-01T09:19:41Z</dcterms:modified>
</cp:coreProperties>
</file>