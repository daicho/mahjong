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9B7DD383-D943-4360-BD8B-A91240AA35BA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852" l="1"/>
  <c r="P19" i="6856"/>
  <c r="P15" i="6866" l="1"/>
  <c r="P21" i="6852"/>
  <c r="P17" i="6854" l="1"/>
  <c r="P18" i="6856"/>
  <c r="P21" i="6860"/>
  <c r="P15" i="6856"/>
  <c r="P19" i="6862" l="1"/>
  <c r="P15" i="6854"/>
  <c r="P17" i="6866" l="1"/>
  <c r="P20" i="6850"/>
  <c r="P21" i="6858" l="1"/>
  <c r="P19" i="6854"/>
  <c r="P15" i="6860" l="1"/>
  <c r="P18" i="6860"/>
  <c r="P18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9" i="6848"/>
  <c r="P19" i="6866"/>
  <c r="P16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4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C19" i="6866" l="1"/>
  <c r="H26" i="6866"/>
  <c r="H31" i="6866"/>
  <c r="H17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2" i="6866"/>
  <c r="H10" i="6866"/>
  <c r="C25" i="6866"/>
  <c r="H4" i="6866"/>
  <c r="C26" i="6866"/>
  <c r="H5" i="6866"/>
  <c r="H15" i="6866"/>
  <c r="H28" i="6866"/>
  <c r="H37" i="6866"/>
  <c r="H20" i="6866"/>
  <c r="B28" i="6866"/>
  <c r="C37" i="6866"/>
  <c r="H48" i="6866"/>
  <c r="H47" i="6866"/>
  <c r="H9" i="6866"/>
  <c r="C22" i="6866"/>
  <c r="H29" i="6866"/>
  <c r="H39" i="6866"/>
  <c r="H49" i="6866"/>
  <c r="H7" i="6866"/>
  <c r="H18" i="6866"/>
  <c r="C20" i="6866"/>
  <c r="H13" i="6866"/>
  <c r="H6" i="6866"/>
  <c r="H2" i="6866"/>
  <c r="H8" i="6866"/>
  <c r="H16" i="6866"/>
  <c r="H24" i="6866"/>
  <c r="H40" i="6866"/>
  <c r="H3" i="6866"/>
  <c r="H21" i="6866"/>
  <c r="H23" i="6866"/>
  <c r="H27" i="6866"/>
  <c r="H30" i="6866"/>
  <c r="H36" i="6866"/>
  <c r="C40" i="6866"/>
  <c r="C44" i="6866"/>
  <c r="C48" i="6866"/>
  <c r="C41" i="6866"/>
  <c r="C45" i="6866"/>
  <c r="C49" i="6866"/>
  <c r="H19" i="6866"/>
  <c r="H11" i="6866"/>
  <c r="C23" i="6866"/>
  <c r="B27" i="6866"/>
  <c r="H32" i="6866"/>
  <c r="H38" i="6866"/>
  <c r="H42" i="6866"/>
  <c r="H46" i="6866"/>
  <c r="H50" i="6866"/>
  <c r="H25" i="6866"/>
  <c r="H12" i="6866"/>
  <c r="H33" i="6866"/>
  <c r="C38" i="6866"/>
  <c r="C42" i="6866"/>
  <c r="C46" i="6866"/>
  <c r="H51" i="6866"/>
  <c r="C39" i="6866"/>
  <c r="C43" i="6866"/>
  <c r="C47" i="6866"/>
  <c r="P19" i="6852" l="1"/>
  <c r="P19" i="6860"/>
  <c r="P16" i="6858"/>
  <c r="P16" i="6860"/>
  <c r="P22" i="6860"/>
  <c r="P18" i="6862"/>
  <c r="P20" i="6858"/>
  <c r="P20" i="6862"/>
  <c r="P17" i="6852"/>
  <c r="P16" i="6852"/>
  <c r="P17" i="6864" l="1"/>
  <c r="P16" i="6862"/>
  <c r="P15" i="6850"/>
  <c r="P17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7" i="6858"/>
  <c r="P15" i="6848"/>
  <c r="P16" i="6848"/>
  <c r="B14" i="6862" l="1"/>
  <c r="B14" i="6864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2" i="6860"/>
  <c r="C47" i="6860"/>
  <c r="H13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7" i="6860"/>
  <c r="B28" i="6860"/>
  <c r="H38" i="6860"/>
  <c r="H44" i="6860"/>
  <c r="C49" i="6860"/>
  <c r="C25" i="6860"/>
  <c r="H31" i="6860"/>
  <c r="H10" i="6860"/>
  <c r="H18" i="6860"/>
  <c r="H8" i="6860"/>
  <c r="H7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6" i="6860"/>
  <c r="H41" i="6860"/>
  <c r="H45" i="6860"/>
  <c r="H50" i="6860"/>
  <c r="H15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19" i="6850" l="1"/>
  <c r="P16" i="6850"/>
  <c r="P19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7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6" i="6856"/>
  <c r="B14" i="6858"/>
  <c r="C19" i="6858"/>
  <c r="H4" i="6858"/>
  <c r="H16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1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0" i="6858"/>
  <c r="H25" i="6858"/>
  <c r="H26" i="6858"/>
  <c r="C37" i="6858"/>
  <c r="H44" i="6858"/>
  <c r="H6" i="6858"/>
  <c r="H7" i="6858"/>
  <c r="H18" i="6858"/>
  <c r="H31" i="6858"/>
  <c r="H14" i="6858"/>
  <c r="H3" i="6858"/>
  <c r="H35" i="6858"/>
  <c r="H2" i="6858"/>
  <c r="H17" i="6858"/>
  <c r="B28" i="6858"/>
  <c r="H5" i="6858"/>
  <c r="H15" i="6858"/>
  <c r="H22" i="6858"/>
  <c r="C23" i="6858"/>
  <c r="H30" i="6858"/>
  <c r="H39" i="6858"/>
  <c r="H45" i="6858"/>
  <c r="H52" i="6858"/>
  <c r="H24" i="6858"/>
  <c r="H13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7" i="6856"/>
  <c r="H15" i="6856"/>
  <c r="H21" i="6856"/>
  <c r="C22" i="6856"/>
  <c r="H28" i="6856"/>
  <c r="H34" i="6856"/>
  <c r="C39" i="6856"/>
  <c r="H45" i="6856"/>
  <c r="H50" i="6856"/>
  <c r="H36" i="6856"/>
  <c r="H12" i="6856"/>
  <c r="H37" i="6856"/>
  <c r="C25" i="6856"/>
  <c r="H14" i="6856"/>
  <c r="H4" i="6856"/>
  <c r="H25" i="6856"/>
  <c r="B27" i="6856"/>
  <c r="H35" i="6856"/>
  <c r="C40" i="6856"/>
  <c r="C45" i="6856"/>
  <c r="H5" i="6856"/>
  <c r="H3" i="6856"/>
  <c r="H11" i="6856"/>
  <c r="H42" i="6856"/>
  <c r="H19" i="6856"/>
  <c r="H24" i="6856"/>
  <c r="H17" i="6856"/>
  <c r="H32" i="6856"/>
  <c r="H8" i="6856"/>
  <c r="H16" i="6856"/>
  <c r="H18" i="6856"/>
  <c r="H22" i="6856"/>
  <c r="H13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20" i="6852"/>
  <c r="C35" i="6852"/>
  <c r="B30" i="6852"/>
  <c r="C21" i="6852"/>
  <c r="B20" i="6852"/>
  <c r="H17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1" i="6848"/>
  <c r="P21" i="6850"/>
  <c r="P18" i="6850"/>
  <c r="C35" i="6850"/>
  <c r="B30" i="6850"/>
  <c r="C21" i="6850"/>
  <c r="B20" i="6850"/>
  <c r="H15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2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5" i="6850"/>
  <c r="C19" i="6850"/>
  <c r="B14" i="6848"/>
  <c r="C19" i="6854"/>
  <c r="H31" i="6854"/>
  <c r="H6" i="6854"/>
  <c r="H10" i="6854"/>
  <c r="C20" i="6854"/>
  <c r="H17" i="6854"/>
  <c r="H18" i="6854"/>
  <c r="H37" i="6854"/>
  <c r="C41" i="6854"/>
  <c r="H46" i="6854"/>
  <c r="H52" i="6854"/>
  <c r="H27" i="6854"/>
  <c r="C25" i="6854"/>
  <c r="C37" i="6854"/>
  <c r="H42" i="6854"/>
  <c r="H47" i="6854"/>
  <c r="H21" i="6854"/>
  <c r="H24" i="6854"/>
  <c r="H30" i="6854"/>
  <c r="H32" i="6854"/>
  <c r="H38" i="6854"/>
  <c r="H43" i="6854"/>
  <c r="C47" i="6854"/>
  <c r="C24" i="6854"/>
  <c r="H41" i="6854"/>
  <c r="H23" i="6854"/>
  <c r="H7" i="6854"/>
  <c r="C26" i="6854"/>
  <c r="C43" i="6854"/>
  <c r="H4" i="6854"/>
  <c r="H25" i="6854"/>
  <c r="C22" i="6854"/>
  <c r="H19" i="6854"/>
  <c r="H34" i="6854"/>
  <c r="C39" i="6854"/>
  <c r="H44" i="6854"/>
  <c r="C48" i="6854"/>
  <c r="H3" i="6854"/>
  <c r="H36" i="6854"/>
  <c r="C45" i="6854"/>
  <c r="H2" i="6854"/>
  <c r="H15" i="6854"/>
  <c r="H8" i="6854"/>
  <c r="H26" i="6854"/>
  <c r="H14" i="6854"/>
  <c r="H20" i="6854"/>
  <c r="H39" i="6854"/>
  <c r="H48" i="6854"/>
  <c r="H5" i="6854"/>
  <c r="H12" i="6854"/>
  <c r="H22" i="6854"/>
  <c r="H28" i="6854"/>
  <c r="B27" i="6854"/>
  <c r="H35" i="6854"/>
  <c r="H40" i="6854"/>
  <c r="C44" i="6854"/>
  <c r="H49" i="6854"/>
  <c r="H11" i="6854"/>
  <c r="H16" i="6854"/>
  <c r="H13" i="6854"/>
  <c r="C23" i="6854"/>
  <c r="B28" i="6854"/>
  <c r="C40" i="6854"/>
  <c r="H45" i="6854"/>
  <c r="H50" i="6854"/>
  <c r="C49" i="6854"/>
  <c r="H29" i="6854"/>
  <c r="H9" i="6854"/>
  <c r="H33" i="6854"/>
  <c r="C38" i="6854"/>
  <c r="C42" i="6854"/>
  <c r="C46" i="6854"/>
  <c r="H10" i="6852"/>
  <c r="H37" i="6852"/>
  <c r="H42" i="6852"/>
  <c r="H48" i="6852"/>
  <c r="H19" i="6852"/>
  <c r="H13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18" i="6852"/>
  <c r="C26" i="6852"/>
  <c r="H50" i="6852"/>
  <c r="H30" i="6852"/>
  <c r="H26" i="6852"/>
  <c r="H33" i="6852"/>
  <c r="H7" i="6852"/>
  <c r="H11" i="6852"/>
  <c r="H25" i="6852"/>
  <c r="C22" i="6852"/>
  <c r="H21" i="6852"/>
  <c r="H35" i="6852"/>
  <c r="C39" i="6852"/>
  <c r="C44" i="6852"/>
  <c r="C49" i="6852"/>
  <c r="C24" i="6852"/>
  <c r="H31" i="6852"/>
  <c r="H27" i="6852"/>
  <c r="H40" i="6852"/>
  <c r="H4" i="6852"/>
  <c r="H28" i="6852"/>
  <c r="B27" i="6852"/>
  <c r="H36" i="6852"/>
  <c r="H41" i="6852"/>
  <c r="H46" i="6852"/>
  <c r="H5" i="6852"/>
  <c r="H3" i="6852"/>
  <c r="C41" i="6852"/>
  <c r="H2" i="6852"/>
  <c r="H15" i="6852"/>
  <c r="H45" i="6852"/>
  <c r="H6" i="6852"/>
  <c r="H14" i="6852"/>
  <c r="H22" i="6852"/>
  <c r="H16" i="6852"/>
  <c r="H12" i="6852"/>
  <c r="C23" i="6852"/>
  <c r="B28" i="6852"/>
  <c r="C40" i="6852"/>
  <c r="C45" i="6852"/>
  <c r="H52" i="6852"/>
  <c r="H43" i="6852"/>
  <c r="H47" i="6852"/>
  <c r="H51" i="6852"/>
  <c r="H20" i="6852"/>
  <c r="H8" i="6852"/>
  <c r="H34" i="6852"/>
  <c r="C38" i="6852"/>
  <c r="C42" i="6852"/>
  <c r="C46" i="6852"/>
  <c r="C19" i="6848"/>
  <c r="H14" i="6850"/>
  <c r="H6" i="6850"/>
  <c r="H46" i="6850"/>
  <c r="H11" i="6850"/>
  <c r="H24" i="6850"/>
  <c r="H21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2" i="6850"/>
  <c r="C22" i="6850"/>
  <c r="B28" i="6850"/>
  <c r="H37" i="6850"/>
  <c r="H44" i="6850"/>
  <c r="C49" i="6850"/>
  <c r="H13" i="6850"/>
  <c r="C45" i="6850"/>
  <c r="H28" i="6850"/>
  <c r="H20" i="6850"/>
  <c r="H26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2" i="6850"/>
  <c r="H4" i="6850"/>
  <c r="H27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3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1" i="6848"/>
  <c r="H13" i="6848"/>
  <c r="H34" i="6848"/>
  <c r="H37" i="6848"/>
  <c r="C39" i="6848"/>
  <c r="C43" i="6848"/>
  <c r="C47" i="6848"/>
  <c r="H52" i="6848"/>
  <c r="H20" i="6848"/>
  <c r="H30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6" i="6848"/>
  <c r="H14" i="6848"/>
  <c r="H33" i="6848"/>
  <c r="H17" i="6848"/>
  <c r="H38" i="6848"/>
  <c r="C40" i="6848"/>
  <c r="C44" i="6848"/>
  <c r="C48" i="6848"/>
  <c r="H4" i="6848"/>
  <c r="H24" i="6848"/>
  <c r="C22" i="6848"/>
  <c r="C26" i="6848"/>
  <c r="H39" i="6848"/>
  <c r="H28" i="6848"/>
  <c r="H46" i="6848"/>
  <c r="H50" i="6848"/>
  <c r="H6" i="6848"/>
  <c r="H12" i="6848"/>
  <c r="H29" i="6848"/>
  <c r="H32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27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<sst xmlns="http://schemas.openxmlformats.org/spreadsheetml/2006/main" count="2953" uniqueCount="244">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</sst>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全体!$K$2:$K$230</c:f>
              <c:numCache>
                <c:formatCode>General</c:formatCode>
                <c:ptCount val="2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</c:numCache>
            </c:numRef>
          </c:xVal>
          <c:yVal>
            <c:numRef>
              <c:f>全体!$L$2:$L$230</c:f>
              <c:numCache>
                <c:formatCode>\+0.0;\-0.0;\±0</c:formatCode>
                <c:ptCount val="229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-39.473684210526315</c:v>
                </c:pt>
                <c:pt idx="1">
                  <c:v>40.54054054054054</c:v>
                </c:pt>
                <c:pt idx="2">
                  <c:v>-26.666666666666668</c:v>
                </c:pt>
                <c:pt idx="3">
                  <c:v>4.7619047619047619</c:v>
                </c:pt>
                <c:pt idx="4">
                  <c:v>10.416666666666666</c:v>
                </c:pt>
                <c:pt idx="5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49</c:v>
                </c:pt>
                <c:pt idx="1">
                  <c:v>115</c:v>
                </c:pt>
                <c:pt idx="2">
                  <c:v>105</c:v>
                </c:pt>
                <c:pt idx="3">
                  <c:v>98</c:v>
                </c:pt>
                <c:pt idx="4">
                  <c:v>76</c:v>
                </c:pt>
                <c:pt idx="5">
                  <c:v>53</c:v>
                </c:pt>
                <c:pt idx="6">
                  <c:v>29</c:v>
                </c:pt>
                <c:pt idx="7">
                  <c:v>16</c:v>
                </c:pt>
                <c:pt idx="8">
                  <c:v>11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全体!$K$2:$K$230</c:f>
              <c:numCache>
                <c:formatCode>General</c:formatCode>
                <c:ptCount val="2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</c:numCache>
            </c:numRef>
          </c:xVal>
          <c:yVal>
            <c:numRef>
              <c:f>全体!$M$2:$M$230</c:f>
              <c:numCache>
                <c:formatCode>0</c:formatCode>
                <c:ptCount val="229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だいち!$L$2:$L$63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745.90163934426232</c:v>
                </c:pt>
                <c:pt idx="1">
                  <c:v>-598.30508474576266</c:v>
                </c:pt>
                <c:pt idx="2">
                  <c:v>-858.33333333333337</c:v>
                </c:pt>
                <c:pt idx="3">
                  <c:v>221.05263157894737</c:v>
                </c:pt>
                <c:pt idx="4">
                  <c:v>259.61538461538464</c:v>
                </c:pt>
                <c:pt idx="5">
                  <c:v>-804.76190476190482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36</c:v>
                </c:pt>
                <c:pt idx="3">
                  <c:v>23</c:v>
                </c:pt>
                <c:pt idx="4">
                  <c:v>25</c:v>
                </c:pt>
                <c:pt idx="5">
                  <c:v>19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だいち!$M$2:$M$63</c:f>
              <c:numCache>
                <c:formatCode>0</c:formatCode>
                <c:ptCount val="6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1878.5714285714287</c:v>
                </c:pt>
                <c:pt idx="1">
                  <c:v>-2022.2222222222222</c:v>
                </c:pt>
                <c:pt idx="2">
                  <c:v>503.7037037037037</c:v>
                </c:pt>
                <c:pt idx="3">
                  <c:v>176.92307692307693</c:v>
                </c:pt>
                <c:pt idx="4">
                  <c:v>352.17391304347825</c:v>
                </c:pt>
                <c:pt idx="5">
                  <c:v>-329.41176470588238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6</c:v>
                </c:pt>
                <c:pt idx="1">
                  <c:v>5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れんたろう!$M$2:$M$30</c:f>
              <c:numCache>
                <c:formatCode>0</c:formatCode>
                <c:ptCount val="29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743.33333333333337</c:v>
                </c:pt>
                <c:pt idx="1">
                  <c:v>-780</c:v>
                </c:pt>
                <c:pt idx="2">
                  <c:v>1076.6666666666667</c:v>
                </c:pt>
                <c:pt idx="3">
                  <c:v>266.66666666666669</c:v>
                </c:pt>
                <c:pt idx="4">
                  <c:v>-1773.3333333333333</c:v>
                </c:pt>
                <c:pt idx="5">
                  <c:v>713.63636363636363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たかの!$M$2:$M$32</c:f>
              <c:numCache>
                <c:formatCode>0</c:formatCode>
                <c:ptCount val="3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-84.615384615384613</c:v>
                </c:pt>
                <c:pt idx="1">
                  <c:v>1561.5384615384614</c:v>
                </c:pt>
                <c:pt idx="2">
                  <c:v>-592.30769230769226</c:v>
                </c:pt>
                <c:pt idx="3">
                  <c:v>-3136.3636363636365</c:v>
                </c:pt>
                <c:pt idx="4">
                  <c:v>-2100</c:v>
                </c:pt>
                <c:pt idx="5">
                  <c:v>-2187.5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まっつん!$M$2:$M$15</c:f>
              <c:numCache>
                <c:formatCode>0</c:formatCode>
                <c:ptCount val="1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-810.71428571428567</c:v>
                </c:pt>
                <c:pt idx="1">
                  <c:v>878.57142857142856</c:v>
                </c:pt>
                <c:pt idx="2">
                  <c:v>2214.2857142857142</c:v>
                </c:pt>
                <c:pt idx="3">
                  <c:v>200</c:v>
                </c:pt>
                <c:pt idx="4">
                  <c:v>557.14285714285711</c:v>
                </c:pt>
                <c:pt idx="5">
                  <c:v>1431.578947368421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いちかわ!$M$2:$M$30</c:f>
              <c:numCache>
                <c:formatCode>0</c:formatCode>
                <c:ptCount val="29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-58.333333333333336</c:v>
                </c:pt>
                <c:pt idx="1">
                  <c:v>2032.3529411764705</c:v>
                </c:pt>
                <c:pt idx="2">
                  <c:v>217.14285714285714</c:v>
                </c:pt>
                <c:pt idx="3">
                  <c:v>1178.125</c:v>
                </c:pt>
                <c:pt idx="4">
                  <c:v>1513.3333333333333</c:v>
                </c:pt>
                <c:pt idx="5">
                  <c:v>279.16666666666669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25</c:v>
                </c:pt>
                <c:pt idx="2">
                  <c:v>24</c:v>
                </c:pt>
                <c:pt idx="3">
                  <c:v>17</c:v>
                </c:pt>
                <c:pt idx="4">
                  <c:v>15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ただ!$M$2:$M$38</c:f>
              <c:numCache>
                <c:formatCode>0</c:formatCode>
                <c:ptCount val="37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-3500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たかの2!$B$3:$B$33</c:f>
              <c:numCache>
                <c:formatCode>\+0.0;\-0.0;\±0</c:formatCode>
                <c:ptCount val="3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たかの2!$C$3:$C$33</c:f>
              <c:numCache>
                <c:formatCode>\+0.0;\-0.0;\±0</c:formatCode>
                <c:ptCount val="31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58207753859868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たかの2!$D$3:$D$33</c:f>
              <c:numCache>
                <c:formatCode>0.00\ "位"</c:formatCode>
                <c:ptCount val="31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614035087719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たかの2!$E$3:$E$33</c:f>
              <c:numCache>
                <c:formatCode>0.0%</c:formatCode>
                <c:ptCount val="3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71929824561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たかの2!$F$3:$F$33</c:f>
              <c:numCache>
                <c:formatCode>0.0%</c:formatCode>
                <c:ptCount val="3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たかの2!$G$3:$G$33</c:f>
              <c:numCache>
                <c:formatCode>0.0%</c:formatCode>
                <c:ptCount val="31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2708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たかの2!$H$3:$H$33</c:f>
              <c:numCache>
                <c:formatCode>0.0%</c:formatCode>
                <c:ptCount val="31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たかの2!$I$3:$I$33</c:f>
              <c:numCache>
                <c:formatCode>0</c:formatCode>
                <c:ptCount val="31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24.95575221238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たかの2!$J$3:$J$33</c:f>
              <c:numCache>
                <c:formatCode>0</c:formatCode>
                <c:ptCount val="31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09.6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たかの2!$K$3:$K$33</c:f>
              <c:numCache>
                <c:formatCode>0.0%</c:formatCode>
                <c:ptCount val="3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894736842105262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たかの2!$L$3:$L$33</c:f>
              <c:numCache>
                <c:formatCode>0.0%</c:formatCode>
                <c:ptCount val="31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54166666666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たかの2!$M$3:$M$33</c:f>
              <c:numCache>
                <c:formatCode>0.0%</c:formatCode>
                <c:ptCount val="31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250000000000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たかの2!$N$3:$N$33</c:f>
              <c:numCache>
                <c:formatCode>0.0%</c:formatCode>
                <c:ptCount val="31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3100436681222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たかの2!$O$3:$O$33</c:f>
              <c:numCache>
                <c:formatCode>0.0%</c:formatCode>
                <c:ptCount val="31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5675675675675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たかの2!$A$3:$A$33</c:f>
              <c:numCache>
                <c:formatCode>0\ "回"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たかの2!$P$3:$P$33</c:f>
              <c:numCache>
                <c:formatCode>0.0%</c:formatCode>
                <c:ptCount val="31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0884955752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9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7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7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7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7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7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7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7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7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7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7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7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7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7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61</v>
      </c>
      <c r="C2" s="120">
        <v>1842.3339395535957</v>
      </c>
    </row>
    <row r="3" spans="1:3" x14ac:dyDescent="0.45">
      <c r="A3" t="s">
        <v>163</v>
      </c>
      <c r="B3" s="120">
        <v>28</v>
      </c>
      <c r="C3" s="120">
        <v>1653.1699313523677</v>
      </c>
    </row>
    <row r="4" spans="1:3" x14ac:dyDescent="0.45">
      <c r="A4" t="s">
        <v>139</v>
      </c>
      <c r="B4" s="120">
        <v>228</v>
      </c>
      <c r="C4" s="120">
        <v>1594.5463045050694</v>
      </c>
    </row>
    <row r="5" spans="1:3" x14ac:dyDescent="0.45">
      <c r="A5" t="s">
        <v>190</v>
      </c>
      <c r="B5" s="120">
        <v>13</v>
      </c>
      <c r="C5" s="120">
        <v>1524.3778689305989</v>
      </c>
    </row>
    <row r="6" spans="1:3" x14ac:dyDescent="0.45">
      <c r="A6" t="s">
        <v>192</v>
      </c>
      <c r="B6" s="120">
        <v>36</v>
      </c>
      <c r="C6" s="120">
        <v>1517.1288342047803</v>
      </c>
    </row>
    <row r="7" spans="1:3" x14ac:dyDescent="0.45">
      <c r="A7" t="s">
        <v>211</v>
      </c>
      <c r="B7" s="120">
        <v>28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30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0.8264642037403459</v>
      </c>
      <c r="C2" s="144"/>
      <c r="D2" s="143">
        <v>0.16829925819003913</v>
      </c>
      <c r="E2" s="144"/>
      <c r="F2" s="143">
        <v>0.26642671868687906</v>
      </c>
      <c r="G2" s="144"/>
      <c r="H2" s="145"/>
      <c r="I2" s="146"/>
      <c r="J2" s="143">
        <v>0.11681853081453333</v>
      </c>
      <c r="K2" s="144"/>
      <c r="L2" s="143">
        <v>7.3247698511837198E-2</v>
      </c>
      <c r="M2" s="144"/>
      <c r="N2" s="143">
        <v>0.15784597318979851</v>
      </c>
      <c r="O2" s="144"/>
      <c r="P2" s="143">
        <v>0.35894524101899272</v>
      </c>
      <c r="Q2" s="144"/>
      <c r="R2" s="143">
        <v>-0.18806979977466975</v>
      </c>
      <c r="S2" s="144"/>
      <c r="T2" s="143">
        <v>0.73940385376612483</v>
      </c>
      <c r="U2" s="144"/>
      <c r="V2" s="143">
        <v>0.11676122962991381</v>
      </c>
      <c r="W2" s="144"/>
      <c r="X2" s="143">
        <v>-0.15485221709264826</v>
      </c>
      <c r="Y2" s="144"/>
      <c r="Z2" s="143">
        <v>0.1881994467815308</v>
      </c>
      <c r="AA2" s="144"/>
      <c r="AB2" s="143">
        <v>-8.7433243195037591E-2</v>
      </c>
      <c r="AC2" s="144"/>
      <c r="AD2" s="143">
        <v>0.3380591402893745</v>
      </c>
      <c r="AE2" s="144"/>
      <c r="AF2" s="143">
        <v>0.16529644733995888</v>
      </c>
      <c r="AG2" s="144"/>
      <c r="AH2" s="143">
        <v>0.22235524860006839</v>
      </c>
      <c r="AI2" s="144"/>
      <c r="AJ2" s="143">
        <v>0.91654393513036347</v>
      </c>
      <c r="AK2" s="144"/>
    </row>
    <row r="3" spans="1:37" x14ac:dyDescent="0.45">
      <c r="A3" s="38">
        <v>1</v>
      </c>
      <c r="B3" s="41" t="s">
        <v>139</v>
      </c>
      <c r="C3" s="113">
        <v>76</v>
      </c>
      <c r="D3" s="39" t="s">
        <v>192</v>
      </c>
      <c r="E3" s="40">
        <v>334.59999999999997</v>
      </c>
      <c r="F3" s="41" t="s">
        <v>192</v>
      </c>
      <c r="G3" s="60">
        <v>9.2944444444444443</v>
      </c>
      <c r="H3" s="41" t="s">
        <v>126</v>
      </c>
      <c r="I3" s="45">
        <v>1766.8723534118858</v>
      </c>
      <c r="J3" s="41" t="s">
        <v>192</v>
      </c>
      <c r="K3" s="42">
        <v>1.6944444444444444</v>
      </c>
      <c r="L3" s="41" t="s">
        <v>192</v>
      </c>
      <c r="M3" s="43">
        <v>0.5</v>
      </c>
      <c r="N3" s="41" t="s">
        <v>192</v>
      </c>
      <c r="O3" s="43">
        <v>0.19444444444444445</v>
      </c>
      <c r="P3" s="41" t="s">
        <v>192</v>
      </c>
      <c r="Q3" s="44">
        <v>0.34615384615384615</v>
      </c>
      <c r="R3" s="41" t="s">
        <v>190</v>
      </c>
      <c r="S3" s="44">
        <v>0.10377358490566038</v>
      </c>
      <c r="T3" s="41" t="s">
        <v>221</v>
      </c>
      <c r="U3" s="45">
        <v>10925</v>
      </c>
      <c r="V3" s="41" t="s">
        <v>190</v>
      </c>
      <c r="W3" s="45">
        <v>-5827.272727272727</v>
      </c>
      <c r="X3" s="41" t="s">
        <v>193</v>
      </c>
      <c r="Y3" s="43">
        <v>0</v>
      </c>
      <c r="Z3" s="41" t="s">
        <v>189</v>
      </c>
      <c r="AA3" s="44">
        <v>0.27238805970149255</v>
      </c>
      <c r="AB3" s="41" t="s">
        <v>189</v>
      </c>
      <c r="AC3" s="44">
        <v>0.29477611940298509</v>
      </c>
      <c r="AD3" s="41" t="s">
        <v>195</v>
      </c>
      <c r="AE3" s="44">
        <v>0.76923076923076927</v>
      </c>
      <c r="AF3" s="41" t="s">
        <v>211</v>
      </c>
      <c r="AG3" s="44">
        <v>0.50943396226415094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61</v>
      </c>
      <c r="D4" s="47" t="s">
        <v>211</v>
      </c>
      <c r="E4" s="48">
        <v>106.39999999999998</v>
      </c>
      <c r="F4" s="49" t="s">
        <v>211</v>
      </c>
      <c r="G4" s="61">
        <v>3.7999999999999994</v>
      </c>
      <c r="H4" s="49" t="s">
        <v>163</v>
      </c>
      <c r="I4" s="53">
        <v>1638.0732230081205</v>
      </c>
      <c r="J4" s="49" t="s">
        <v>211</v>
      </c>
      <c r="K4" s="50">
        <v>1.9285714285714286</v>
      </c>
      <c r="L4" s="49" t="s">
        <v>195</v>
      </c>
      <c r="M4" s="51">
        <v>0.5</v>
      </c>
      <c r="N4" s="49" t="s">
        <v>190</v>
      </c>
      <c r="O4" s="51">
        <v>0.30769230769230771</v>
      </c>
      <c r="P4" s="49" t="s">
        <v>211</v>
      </c>
      <c r="Q4" s="52">
        <v>0.32126696832579188</v>
      </c>
      <c r="R4" s="49" t="s">
        <v>192</v>
      </c>
      <c r="S4" s="52">
        <v>0.125</v>
      </c>
      <c r="T4" s="49" t="s">
        <v>163</v>
      </c>
      <c r="U4" s="53">
        <v>8972.7272727272721</v>
      </c>
      <c r="V4" s="49" t="s">
        <v>126</v>
      </c>
      <c r="W4" s="53">
        <v>-6746.3157894736842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211</v>
      </c>
      <c r="AE4" s="52">
        <v>0.57777777777777772</v>
      </c>
      <c r="AF4" s="49" t="s">
        <v>192</v>
      </c>
      <c r="AG4" s="52">
        <v>0.47499999999999998</v>
      </c>
      <c r="AH4" s="49" t="s">
        <v>189</v>
      </c>
      <c r="AI4" s="52">
        <v>0.49367088607594939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36</v>
      </c>
      <c r="D5" s="47" t="s">
        <v>189</v>
      </c>
      <c r="E5" s="48">
        <v>11.199999999999989</v>
      </c>
      <c r="F5" s="49" t="s">
        <v>189</v>
      </c>
      <c r="G5" s="61">
        <v>0.37333333333333296</v>
      </c>
      <c r="H5" s="49" t="s">
        <v>139</v>
      </c>
      <c r="I5" s="53">
        <v>1599.6160593866916</v>
      </c>
      <c r="J5" s="49" t="s">
        <v>189</v>
      </c>
      <c r="K5" s="50">
        <v>1.9666666666666666</v>
      </c>
      <c r="L5" s="49" t="s">
        <v>211</v>
      </c>
      <c r="M5" s="51">
        <v>0.39285714285714285</v>
      </c>
      <c r="N5" s="49" t="s">
        <v>211</v>
      </c>
      <c r="O5" s="51">
        <v>0.32142857142857145</v>
      </c>
      <c r="P5" s="49" t="s">
        <v>126</v>
      </c>
      <c r="Q5" s="52">
        <v>0.30588235294117649</v>
      </c>
      <c r="R5" s="49" t="s">
        <v>211</v>
      </c>
      <c r="S5" s="52">
        <v>0.14479638009049775</v>
      </c>
      <c r="T5" s="49" t="s">
        <v>195</v>
      </c>
      <c r="U5" s="53">
        <v>8526.3157894736851</v>
      </c>
      <c r="V5" s="49" t="s">
        <v>211</v>
      </c>
      <c r="W5" s="53">
        <v>-6971.875</v>
      </c>
      <c r="X5" s="49" t="s">
        <v>189</v>
      </c>
      <c r="Y5" s="51">
        <v>3.3333333333333333E-2</v>
      </c>
      <c r="Z5" s="49" t="s">
        <v>163</v>
      </c>
      <c r="AA5" s="52">
        <v>0.2530612244897959</v>
      </c>
      <c r="AB5" s="49" t="s">
        <v>221</v>
      </c>
      <c r="AC5" s="52">
        <v>0.27777777777777779</v>
      </c>
      <c r="AD5" s="49" t="s">
        <v>126</v>
      </c>
      <c r="AE5" s="52">
        <v>0.55813953488372092</v>
      </c>
      <c r="AF5" s="49" t="s">
        <v>190</v>
      </c>
      <c r="AG5" s="52">
        <v>0.45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189</v>
      </c>
      <c r="C6" s="114">
        <v>30</v>
      </c>
      <c r="D6" s="47" t="s">
        <v>139</v>
      </c>
      <c r="E6" s="48">
        <v>3.5527136788005009E-14</v>
      </c>
      <c r="F6" s="49" t="s">
        <v>139</v>
      </c>
      <c r="G6" s="61">
        <v>1.5582077538598687E-16</v>
      </c>
      <c r="H6" s="49" t="s">
        <v>192</v>
      </c>
      <c r="I6" s="53">
        <v>1589.9026760335635</v>
      </c>
      <c r="J6" s="49" t="s">
        <v>139</v>
      </c>
      <c r="K6" s="50">
        <v>1.9956140350877194</v>
      </c>
      <c r="L6" s="49" t="s">
        <v>189</v>
      </c>
      <c r="M6" s="51">
        <v>0.36666666666666664</v>
      </c>
      <c r="N6" s="49" t="s">
        <v>189</v>
      </c>
      <c r="O6" s="51">
        <v>0.33333333333333331</v>
      </c>
      <c r="P6" s="49" t="s">
        <v>189</v>
      </c>
      <c r="Q6" s="52">
        <v>0.29477611940298509</v>
      </c>
      <c r="R6" s="49" t="s">
        <v>139</v>
      </c>
      <c r="S6" s="52">
        <v>0.16666666666666666</v>
      </c>
      <c r="T6" s="49" t="s">
        <v>126</v>
      </c>
      <c r="U6" s="53">
        <v>8333.3333333333339</v>
      </c>
      <c r="V6" s="49" t="s">
        <v>195</v>
      </c>
      <c r="W6" s="53">
        <v>-7154.545454545455</v>
      </c>
      <c r="X6" s="49" t="s">
        <v>192</v>
      </c>
      <c r="Y6" s="51">
        <v>5.5555555555555552E-2</v>
      </c>
      <c r="Z6" s="49" t="s">
        <v>126</v>
      </c>
      <c r="AA6" s="52">
        <v>0.25294117647058822</v>
      </c>
      <c r="AB6" s="49" t="s">
        <v>192</v>
      </c>
      <c r="AC6" s="52">
        <v>0.25641025641025639</v>
      </c>
      <c r="AD6" s="49" t="s">
        <v>190</v>
      </c>
      <c r="AE6" s="52">
        <v>0.54166666666666663</v>
      </c>
      <c r="AF6" s="49" t="s">
        <v>195</v>
      </c>
      <c r="AG6" s="52">
        <v>0.44444444444444442</v>
      </c>
      <c r="AH6" s="49" t="s">
        <v>126</v>
      </c>
      <c r="AI6" s="52">
        <v>0.45512820512820512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163</v>
      </c>
      <c r="C7" s="114">
        <v>28</v>
      </c>
      <c r="D7" s="47" t="s">
        <v>126</v>
      </c>
      <c r="E7" s="48">
        <v>-0.40000000000004121</v>
      </c>
      <c r="F7" s="49" t="s">
        <v>126</v>
      </c>
      <c r="G7" s="61">
        <v>-6.5573770491810035E-3</v>
      </c>
      <c r="H7" s="49" t="s">
        <v>211</v>
      </c>
      <c r="I7" s="53">
        <v>1520.3458986715063</v>
      </c>
      <c r="J7" s="49" t="s">
        <v>195</v>
      </c>
      <c r="K7" s="50">
        <v>2</v>
      </c>
      <c r="L7" s="49" t="s">
        <v>139</v>
      </c>
      <c r="M7" s="51">
        <v>0.33771929824561403</v>
      </c>
      <c r="N7" s="49" t="s">
        <v>139</v>
      </c>
      <c r="O7" s="51">
        <v>0.33333333333333331</v>
      </c>
      <c r="P7" s="49" t="s">
        <v>139</v>
      </c>
      <c r="Q7" s="52">
        <v>0.29427083333333331</v>
      </c>
      <c r="R7" s="49" t="s">
        <v>221</v>
      </c>
      <c r="S7" s="52">
        <v>0.16666666666666666</v>
      </c>
      <c r="T7" s="49" t="s">
        <v>193</v>
      </c>
      <c r="U7" s="53">
        <v>8212.5</v>
      </c>
      <c r="V7" s="49" t="s">
        <v>139</v>
      </c>
      <c r="W7" s="53">
        <v>-7309.6875</v>
      </c>
      <c r="X7" s="49" t="s">
        <v>126</v>
      </c>
      <c r="Y7" s="51">
        <v>6.5573770491803282E-2</v>
      </c>
      <c r="Z7" s="49" t="s">
        <v>139</v>
      </c>
      <c r="AA7" s="52">
        <v>0.23854166666666668</v>
      </c>
      <c r="AB7" s="49" t="s">
        <v>211</v>
      </c>
      <c r="AC7" s="52">
        <v>0.23981900452488689</v>
      </c>
      <c r="AD7" s="49" t="s">
        <v>192</v>
      </c>
      <c r="AE7" s="52">
        <v>0.52238805970149249</v>
      </c>
      <c r="AF7" s="49" t="s">
        <v>139</v>
      </c>
      <c r="AG7" s="52">
        <v>0.42567567567567566</v>
      </c>
      <c r="AH7" s="49" t="s">
        <v>163</v>
      </c>
      <c r="AI7" s="52">
        <v>0.45454545454545453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211</v>
      </c>
      <c r="C8" s="114">
        <v>28</v>
      </c>
      <c r="D8" s="47" t="s">
        <v>221</v>
      </c>
      <c r="E8" s="48">
        <v>-13.5</v>
      </c>
      <c r="F8" s="49" t="s">
        <v>163</v>
      </c>
      <c r="G8" s="61">
        <v>-2.3964285714285718</v>
      </c>
      <c r="H8" s="49" t="s">
        <v>190</v>
      </c>
      <c r="I8" s="53">
        <v>1513.7987256195274</v>
      </c>
      <c r="J8" s="49" t="s">
        <v>163</v>
      </c>
      <c r="K8" s="50">
        <v>2.0357142857142856</v>
      </c>
      <c r="L8" s="49" t="s">
        <v>163</v>
      </c>
      <c r="M8" s="51">
        <v>0.32142857142857145</v>
      </c>
      <c r="N8" s="49" t="s">
        <v>126</v>
      </c>
      <c r="O8" s="51">
        <v>0.34426229508196721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8024.9557522123896</v>
      </c>
      <c r="V8" s="49" t="s">
        <v>192</v>
      </c>
      <c r="W8" s="53">
        <v>-7448.7179487179483</v>
      </c>
      <c r="X8" s="49" t="s">
        <v>211</v>
      </c>
      <c r="Y8" s="51">
        <v>7.1428571428571425E-2</v>
      </c>
      <c r="Z8" s="49" t="s">
        <v>216</v>
      </c>
      <c r="AA8" s="52">
        <v>0.22857142857142856</v>
      </c>
      <c r="AB8" s="49" t="s">
        <v>139</v>
      </c>
      <c r="AC8" s="52">
        <v>0.23125000000000001</v>
      </c>
      <c r="AD8" s="49" t="s">
        <v>139</v>
      </c>
      <c r="AE8" s="52">
        <v>0.51310043668122274</v>
      </c>
      <c r="AF8" s="49" t="s">
        <v>126</v>
      </c>
      <c r="AG8" s="52">
        <v>0.4247787610619469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195</v>
      </c>
      <c r="E9" s="48">
        <v>-45.7</v>
      </c>
      <c r="F9" s="49" t="s">
        <v>195</v>
      </c>
      <c r="G9" s="61">
        <v>-5.7125000000000004</v>
      </c>
      <c r="H9" s="49" t="s">
        <v>221</v>
      </c>
      <c r="I9" s="53">
        <v>1497.379788</v>
      </c>
      <c r="J9" s="49" t="s">
        <v>126</v>
      </c>
      <c r="K9" s="50">
        <v>2.0655737704918034</v>
      </c>
      <c r="L9" s="49" t="s">
        <v>126</v>
      </c>
      <c r="M9" s="51">
        <v>0.27868852459016391</v>
      </c>
      <c r="N9" s="49" t="s">
        <v>163</v>
      </c>
      <c r="O9" s="51">
        <v>0.35714285714285715</v>
      </c>
      <c r="P9" s="49" t="s">
        <v>163</v>
      </c>
      <c r="Q9" s="52">
        <v>0.26938775510204083</v>
      </c>
      <c r="R9" s="49" t="s">
        <v>189</v>
      </c>
      <c r="S9" s="52">
        <v>0.17164179104477612</v>
      </c>
      <c r="T9" s="49" t="s">
        <v>192</v>
      </c>
      <c r="U9" s="53">
        <v>7805.5555555555557</v>
      </c>
      <c r="V9" s="49" t="s">
        <v>189</v>
      </c>
      <c r="W9" s="53">
        <v>-7539.130434782609</v>
      </c>
      <c r="X9" s="49" t="s">
        <v>190</v>
      </c>
      <c r="Y9" s="51">
        <v>7.6923076923076927E-2</v>
      </c>
      <c r="Z9" s="49" t="s">
        <v>190</v>
      </c>
      <c r="AA9" s="52">
        <v>0.22641509433962265</v>
      </c>
      <c r="AB9" s="49" t="s">
        <v>126</v>
      </c>
      <c r="AC9" s="52">
        <v>0.22156862745098038</v>
      </c>
      <c r="AD9" s="49" t="s">
        <v>189</v>
      </c>
      <c r="AE9" s="52">
        <v>0.46575342465753422</v>
      </c>
      <c r="AF9" s="49" t="s">
        <v>193</v>
      </c>
      <c r="AG9" s="52">
        <v>0.4</v>
      </c>
      <c r="AH9" s="49" t="s">
        <v>139</v>
      </c>
      <c r="AI9" s="52">
        <v>0.43008849557522122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13</v>
      </c>
      <c r="D10" s="47" t="s">
        <v>193</v>
      </c>
      <c r="E10" s="48">
        <v>-51.699999999999996</v>
      </c>
      <c r="F10" s="49" t="s">
        <v>221</v>
      </c>
      <c r="G10" s="61">
        <v>-6.75</v>
      </c>
      <c r="H10" s="49" t="s">
        <v>216</v>
      </c>
      <c r="I10" s="53">
        <v>1475.2783888604056</v>
      </c>
      <c r="J10" s="49" t="s">
        <v>190</v>
      </c>
      <c r="K10" s="50">
        <v>2.1538461538461537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126</v>
      </c>
      <c r="S10" s="52">
        <v>0.18627450980392157</v>
      </c>
      <c r="T10" s="49" t="s">
        <v>211</v>
      </c>
      <c r="U10" s="53">
        <v>7802.8169014084506</v>
      </c>
      <c r="V10" s="49" t="s">
        <v>163</v>
      </c>
      <c r="W10" s="53">
        <v>-7832.608695652174</v>
      </c>
      <c r="X10" s="49" t="s">
        <v>139</v>
      </c>
      <c r="Y10" s="51">
        <v>7.8947368421052627E-2</v>
      </c>
      <c r="Z10" s="49" t="s">
        <v>221</v>
      </c>
      <c r="AA10" s="52">
        <v>0.22222222222222221</v>
      </c>
      <c r="AB10" s="49" t="s">
        <v>163</v>
      </c>
      <c r="AC10" s="52">
        <v>0.20816326530612245</v>
      </c>
      <c r="AD10" s="49" t="s">
        <v>163</v>
      </c>
      <c r="AE10" s="52">
        <v>0.45161290322580644</v>
      </c>
      <c r="AF10" s="49" t="s">
        <v>221</v>
      </c>
      <c r="AG10" s="52">
        <v>0.4</v>
      </c>
      <c r="AH10" s="49" t="s">
        <v>192</v>
      </c>
      <c r="AI10" s="52">
        <v>0.41666666666666669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163</v>
      </c>
      <c r="E11" s="48">
        <v>-67.100000000000009</v>
      </c>
      <c r="F11" s="49" t="s">
        <v>190</v>
      </c>
      <c r="G11" s="61">
        <v>-7.1923076923076934</v>
      </c>
      <c r="H11" s="49" t="s">
        <v>189</v>
      </c>
      <c r="I11" s="53">
        <v>1461.3380512742167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195</v>
      </c>
      <c r="O11" s="51">
        <v>0.5</v>
      </c>
      <c r="P11" s="49" t="s">
        <v>190</v>
      </c>
      <c r="Q11" s="52">
        <v>0.22641509433962265</v>
      </c>
      <c r="R11" s="49" t="s">
        <v>163</v>
      </c>
      <c r="S11" s="52">
        <v>0.18775510204081633</v>
      </c>
      <c r="T11" s="49" t="s">
        <v>189</v>
      </c>
      <c r="U11" s="53">
        <v>7453.164556962025</v>
      </c>
      <c r="V11" s="49" t="s">
        <v>216</v>
      </c>
      <c r="W11" s="53">
        <v>-7886.2068965517237</v>
      </c>
      <c r="X11" s="49" t="s">
        <v>216</v>
      </c>
      <c r="Y11" s="51">
        <v>0.1111111111111111</v>
      </c>
      <c r="Z11" s="49" t="s">
        <v>192</v>
      </c>
      <c r="AA11" s="52">
        <v>0.21474358974358973</v>
      </c>
      <c r="AB11" s="49" t="s">
        <v>190</v>
      </c>
      <c r="AC11" s="52">
        <v>0.18867924528301888</v>
      </c>
      <c r="AD11" s="49" t="s">
        <v>216</v>
      </c>
      <c r="AE11" s="52">
        <v>0.4375</v>
      </c>
      <c r="AF11" s="49" t="s">
        <v>189</v>
      </c>
      <c r="AG11" s="52">
        <v>0.39240506329113922</v>
      </c>
      <c r="AH11" s="49" t="s">
        <v>211</v>
      </c>
      <c r="AI11" s="52">
        <v>0.38028169014084506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190</v>
      </c>
      <c r="E12" s="48">
        <v>-93.500000000000014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190</v>
      </c>
      <c r="M12" s="51">
        <v>0.15384615384615385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216</v>
      </c>
      <c r="U12" s="53">
        <v>7183.333333333333</v>
      </c>
      <c r="V12" s="49" t="s">
        <v>193</v>
      </c>
      <c r="W12" s="53">
        <v>-9387.5</v>
      </c>
      <c r="X12" s="49" t="s">
        <v>163</v>
      </c>
      <c r="Y12" s="51">
        <v>0.14285714285714285</v>
      </c>
      <c r="Z12" s="49" t="s">
        <v>211</v>
      </c>
      <c r="AA12" s="52">
        <v>0.20361990950226244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0.37254901960784315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190</v>
      </c>
      <c r="U13" s="53">
        <v>7050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23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228</v>
      </c>
      <c r="C2" s="134"/>
      <c r="E2" s="26" t="s">
        <v>66</v>
      </c>
      <c r="F2" s="23" t="s">
        <v>22</v>
      </c>
      <c r="G2" s="11">
        <v>437</v>
      </c>
      <c r="H2" s="87">
        <f>IF(B$20=0,0,G2/B$20)</f>
        <v>0.77345132743362832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-39.473684210526315</v>
      </c>
      <c r="Q2" s="76">
        <v>228</v>
      </c>
      <c r="R2" s="63">
        <v>-9000</v>
      </c>
    </row>
    <row r="3" spans="1:18" x14ac:dyDescent="0.45">
      <c r="A3" s="19" t="s">
        <v>8</v>
      </c>
      <c r="B3" s="135">
        <v>1920</v>
      </c>
      <c r="C3" s="136"/>
      <c r="E3" s="27" t="s">
        <v>72</v>
      </c>
      <c r="F3" s="24" t="s">
        <v>27</v>
      </c>
      <c r="G3" s="12">
        <v>339</v>
      </c>
      <c r="H3" s="88">
        <f>IF(B$20=0,0,G3/B$20)</f>
        <v>0.6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40.54054054054054</v>
      </c>
      <c r="Q3" s="77">
        <v>222</v>
      </c>
      <c r="R3" s="64">
        <v>9000</v>
      </c>
    </row>
    <row r="4" spans="1:18" x14ac:dyDescent="0.45">
      <c r="A4" s="19" t="s">
        <v>6</v>
      </c>
      <c r="B4" s="137">
        <v>3.5527136788005009E-14</v>
      </c>
      <c r="C4" s="138"/>
      <c r="E4" s="27" t="s">
        <v>64</v>
      </c>
      <c r="F4" s="24" t="s">
        <v>20</v>
      </c>
      <c r="G4" s="12">
        <v>228</v>
      </c>
      <c r="H4" s="88">
        <f>IF(B$20=0,0,G4/B$20)</f>
        <v>0.40353982300884955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-26.666666666666668</v>
      </c>
      <c r="Q4" s="77">
        <v>225</v>
      </c>
      <c r="R4" s="64">
        <v>-6000</v>
      </c>
    </row>
    <row r="5" spans="1:18" x14ac:dyDescent="0.45">
      <c r="A5" s="19" t="s">
        <v>7</v>
      </c>
      <c r="B5" s="125">
        <f>IF(B$2=0,0,B$4/B$2)</f>
        <v>1.5582077538598687E-16</v>
      </c>
      <c r="C5" s="126"/>
      <c r="E5" s="27" t="s">
        <v>159</v>
      </c>
      <c r="F5" s="24" t="s">
        <v>160</v>
      </c>
      <c r="G5" s="12">
        <v>217</v>
      </c>
      <c r="H5" s="88">
        <f>IF(B$20=0,0,G5/B$20)</f>
        <v>0.384070796460177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4.7619047619047619</v>
      </c>
      <c r="Q5" s="77">
        <v>210</v>
      </c>
      <c r="R5" s="64">
        <v>1000</v>
      </c>
    </row>
    <row r="6" spans="1:18" x14ac:dyDescent="0.45">
      <c r="A6" s="19" t="s">
        <v>196</v>
      </c>
      <c r="B6" s="129">
        <v>1599.6160593866916</v>
      </c>
      <c r="C6" s="130"/>
      <c r="E6" s="27" t="s">
        <v>68</v>
      </c>
      <c r="F6" s="24" t="s">
        <v>12</v>
      </c>
      <c r="G6" s="12">
        <v>164</v>
      </c>
      <c r="H6" s="88">
        <f>IF(B$20=0,0,G6/B$20)</f>
        <v>0.29026548672566371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10.416666666666666</v>
      </c>
      <c r="Q6" s="77">
        <v>192</v>
      </c>
      <c r="R6" s="64">
        <v>2000</v>
      </c>
    </row>
    <row r="7" spans="1:18" x14ac:dyDescent="0.45">
      <c r="A7" s="19" t="s">
        <v>1</v>
      </c>
      <c r="B7" s="139">
        <f>IF(B$2=0,0,(B$8*1+B$9*2+B$10*3)/B$2)</f>
        <v>1.9956140350877194</v>
      </c>
      <c r="C7" s="140"/>
      <c r="E7" s="27" t="s">
        <v>67</v>
      </c>
      <c r="F7" s="24" t="s">
        <v>23</v>
      </c>
      <c r="G7" s="12">
        <v>120</v>
      </c>
      <c r="H7" s="88">
        <f>IF(B$20=0,0,G7/B$20)</f>
        <v>0.21238938053097345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19.23076923076923</v>
      </c>
      <c r="Q7" s="78">
        <v>156</v>
      </c>
      <c r="R7" s="65">
        <v>3000</v>
      </c>
    </row>
    <row r="8" spans="1:18" x14ac:dyDescent="0.45">
      <c r="A8" s="19" t="s">
        <v>2</v>
      </c>
      <c r="B8" s="12">
        <v>77</v>
      </c>
      <c r="C8" s="6">
        <f t="shared" ref="C8:C15" si="1">IF(B$2=0,0,B8/B$2)</f>
        <v>0.33771929824561403</v>
      </c>
      <c r="E8" s="27" t="s">
        <v>89</v>
      </c>
      <c r="F8" s="24" t="s">
        <v>44</v>
      </c>
      <c r="G8" s="12">
        <v>79</v>
      </c>
      <c r="H8" s="88">
        <f>IF(B$20=0,0,G8/B$20)</f>
        <v>0.13982300884955753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75</v>
      </c>
      <c r="C9" s="6">
        <f t="shared" si="1"/>
        <v>0.32894736842105265</v>
      </c>
      <c r="E9" s="27" t="s">
        <v>69</v>
      </c>
      <c r="F9" s="24" t="s">
        <v>24</v>
      </c>
      <c r="G9" s="12">
        <v>72</v>
      </c>
      <c r="H9" s="88">
        <f>IF(B$20=0,0,G9/B$20)</f>
        <v>0.12743362831858407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76</v>
      </c>
      <c r="C10" s="7">
        <f t="shared" si="1"/>
        <v>0.33333333333333331</v>
      </c>
      <c r="E10" s="27" t="s">
        <v>70</v>
      </c>
      <c r="F10" s="24" t="s">
        <v>25</v>
      </c>
      <c r="G10" s="12">
        <v>60</v>
      </c>
      <c r="H10" s="88">
        <f>IF(B$20=0,0,G10/B$20)</f>
        <v>0.10619469026548672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2.5802631578947373</v>
      </c>
      <c r="Q10" s="76">
        <v>76</v>
      </c>
      <c r="R10" s="67">
        <v>196.10000000000002</v>
      </c>
    </row>
    <row r="11" spans="1:18" x14ac:dyDescent="0.45">
      <c r="A11" s="20" t="s">
        <v>184</v>
      </c>
      <c r="B11" s="109">
        <f>IF(B8=0,0,C11/B8)</f>
        <v>34.631168831168821</v>
      </c>
      <c r="C11" s="110">
        <v>2666.599999999999</v>
      </c>
      <c r="E11" s="27" t="s">
        <v>65</v>
      </c>
      <c r="F11" s="24" t="s">
        <v>21</v>
      </c>
      <c r="G11" s="12">
        <v>46</v>
      </c>
      <c r="H11" s="88">
        <f>IF(B$20=0,0,G11/B$20)</f>
        <v>8.1415929203539822E-2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-5.0328947368421044</v>
      </c>
      <c r="Q11" s="77">
        <v>76</v>
      </c>
      <c r="R11" s="68">
        <v>-382.49999999999994</v>
      </c>
    </row>
    <row r="12" spans="1:18" x14ac:dyDescent="0.45">
      <c r="A12" s="20" t="s">
        <v>185</v>
      </c>
      <c r="B12" s="109">
        <f>IF(B9=0,0,C12/B9)</f>
        <v>-1.0733333333333333</v>
      </c>
      <c r="C12" s="110">
        <v>-80.5</v>
      </c>
      <c r="E12" s="27" t="s">
        <v>71</v>
      </c>
      <c r="F12" s="24" t="s">
        <v>26</v>
      </c>
      <c r="G12" s="12">
        <v>33</v>
      </c>
      <c r="H12" s="88">
        <f>IF(B$20=0,0,G12/B$20)</f>
        <v>5.8407079646017698E-2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2.4526315789473685</v>
      </c>
      <c r="Q12" s="78">
        <v>76</v>
      </c>
      <c r="R12" s="69">
        <v>186.4</v>
      </c>
    </row>
    <row r="13" spans="1:18" x14ac:dyDescent="0.45">
      <c r="A13" s="20" t="s">
        <v>186</v>
      </c>
      <c r="B13" s="109">
        <f>IF(B10=0,0,C13/B10)</f>
        <v>-34.027631578947371</v>
      </c>
      <c r="C13" s="110">
        <v>-2586.1000000000004</v>
      </c>
      <c r="E13" s="27" t="s">
        <v>86</v>
      </c>
      <c r="F13" s="24" t="s">
        <v>41</v>
      </c>
      <c r="G13" s="12">
        <v>31</v>
      </c>
      <c r="H13" s="88">
        <f>IF(B$20=0,0,G13/B$20)</f>
        <v>5.4867256637168141E-2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-0.15659869370396015</v>
      </c>
      <c r="C14" s="126"/>
      <c r="E14" s="27" t="s">
        <v>83</v>
      </c>
      <c r="F14" s="24" t="s">
        <v>38</v>
      </c>
      <c r="G14" s="12">
        <v>25</v>
      </c>
      <c r="H14" s="88">
        <f>IF(B$20=0,0,G14/B$20)</f>
        <v>4.4247787610619468E-2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18</v>
      </c>
      <c r="C15" s="9">
        <f t="shared" si="1"/>
        <v>7.8947368421052627E-2</v>
      </c>
      <c r="E15" s="27" t="s">
        <v>81</v>
      </c>
      <c r="F15" s="24" t="s">
        <v>36</v>
      </c>
      <c r="G15" s="12">
        <v>23</v>
      </c>
      <c r="H15" s="88">
        <f>IF(B$20=0,0,G15/B$20)</f>
        <v>4.0707964601769911E-2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458</v>
      </c>
      <c r="C16" s="10">
        <f>IF(B$3=0,0,B16/B$3)</f>
        <v>0.23854166666666668</v>
      </c>
      <c r="E16" s="27" t="s">
        <v>78</v>
      </c>
      <c r="F16" s="24" t="s">
        <v>33</v>
      </c>
      <c r="G16" s="12">
        <v>15</v>
      </c>
      <c r="H16" s="88">
        <f>IF(B$20=0,0,G16/B$20)</f>
        <v>2.6548672566371681E-2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444</v>
      </c>
      <c r="C17" s="6">
        <f>IF(B$3=0,0,B17/B$3)</f>
        <v>0.23125000000000001</v>
      </c>
      <c r="E17" s="27" t="s">
        <v>91</v>
      </c>
      <c r="F17" s="24" t="s">
        <v>46</v>
      </c>
      <c r="G17" s="12">
        <v>11</v>
      </c>
      <c r="H17" s="88">
        <f>IF(B$20=0,0,G17/B$20)</f>
        <v>1.9469026548672566E-2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190</v>
      </c>
      <c r="P17" s="83">
        <f>IF(Q17=0,0,R17/Q17)</f>
        <v>10.788461538461538</v>
      </c>
      <c r="Q17" s="77">
        <v>26</v>
      </c>
      <c r="R17" s="68">
        <v>280.5</v>
      </c>
    </row>
    <row r="18" spans="1:18" x14ac:dyDescent="0.45">
      <c r="A18" s="18" t="s">
        <v>123</v>
      </c>
      <c r="B18" s="11">
        <f>B24</f>
        <v>235</v>
      </c>
      <c r="C18" s="5">
        <f>IF(B$16=0,0,B18/B$16)</f>
        <v>0.51310043668122274</v>
      </c>
      <c r="E18" s="27" t="s">
        <v>155</v>
      </c>
      <c r="F18" s="24" t="s">
        <v>156</v>
      </c>
      <c r="G18" s="12">
        <v>11</v>
      </c>
      <c r="H18" s="88">
        <f>IF(B$20=0,0,G18/B$20)</f>
        <v>1.9469026548672566E-2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189</v>
      </c>
      <c r="C19" s="5">
        <f>IF(B$17=0,0,B19/B$17)</f>
        <v>0.42567567567567566</v>
      </c>
      <c r="E19" s="27" t="s">
        <v>79</v>
      </c>
      <c r="F19" s="24" t="s">
        <v>34</v>
      </c>
      <c r="G19" s="12">
        <v>9</v>
      </c>
      <c r="H19" s="88">
        <f>IF(B$20=0,0,G19/B$20)</f>
        <v>1.5929203539823009E-2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8.568750000000005</v>
      </c>
      <c r="Q19" s="77">
        <v>16</v>
      </c>
      <c r="R19" s="68">
        <v>137.10000000000008</v>
      </c>
    </row>
    <row r="20" spans="1:18" x14ac:dyDescent="0.45">
      <c r="A20" s="18" t="s">
        <v>10</v>
      </c>
      <c r="B20" s="11">
        <f>B23+B22</f>
        <v>565</v>
      </c>
      <c r="C20" s="5">
        <f>IF(B$3=0,0,B20/B$3)</f>
        <v>0.29427083333333331</v>
      </c>
      <c r="E20" s="27" t="s">
        <v>73</v>
      </c>
      <c r="F20" s="24" t="s">
        <v>28</v>
      </c>
      <c r="G20" s="12">
        <v>6</v>
      </c>
      <c r="H20" s="88">
        <f>IF(B$20=0,0,G20/B$20)</f>
        <v>1.0619469026548672E-2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3.5946428571428592</v>
      </c>
      <c r="Q20" s="77">
        <v>56</v>
      </c>
      <c r="R20" s="68">
        <v>201.30000000000013</v>
      </c>
    </row>
    <row r="21" spans="1:18" x14ac:dyDescent="0.45">
      <c r="A21" s="19" t="s">
        <v>13</v>
      </c>
      <c r="B21" s="12">
        <v>320</v>
      </c>
      <c r="C21" s="6">
        <f>IF(B$3=0,0,B21/B$3)</f>
        <v>0.16666666666666666</v>
      </c>
      <c r="E21" s="27" t="s">
        <v>85</v>
      </c>
      <c r="F21" s="24" t="s">
        <v>40</v>
      </c>
      <c r="G21" s="12">
        <v>3</v>
      </c>
      <c r="H21" s="88">
        <f>IF(B$20=0,0,G21/B$20)</f>
        <v>5.3097345132743362E-3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9.8360655737736603E-3</v>
      </c>
      <c r="Q21" s="77">
        <v>122</v>
      </c>
      <c r="R21" s="68">
        <v>1.2000000000003865</v>
      </c>
    </row>
    <row r="22" spans="1:18" x14ac:dyDescent="0.45">
      <c r="A22" s="19" t="s">
        <v>12</v>
      </c>
      <c r="B22" s="12">
        <v>243</v>
      </c>
      <c r="C22" s="6">
        <f>IF(B$20=0,0,B22/B$20)</f>
        <v>0.43008849557522122</v>
      </c>
      <c r="E22" s="27" t="s">
        <v>88</v>
      </c>
      <c r="F22" s="24" t="s">
        <v>43</v>
      </c>
      <c r="G22" s="12">
        <v>3</v>
      </c>
      <c r="H22" s="88">
        <f>IF(B$20=0,0,G22/B$20)</f>
        <v>5.3097345132743362E-3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-0.55999999999999894</v>
      </c>
      <c r="Q22" s="77">
        <v>60</v>
      </c>
      <c r="R22" s="68">
        <v>-33.599999999999937</v>
      </c>
    </row>
    <row r="23" spans="1:18" x14ac:dyDescent="0.45">
      <c r="A23" s="19" t="s">
        <v>11</v>
      </c>
      <c r="B23" s="12">
        <v>322</v>
      </c>
      <c r="C23" s="6">
        <f>IF(B$20=0,0,B23/B$20)</f>
        <v>0.56991150442477878</v>
      </c>
      <c r="E23" s="27" t="s">
        <v>75</v>
      </c>
      <c r="F23" s="24" t="s">
        <v>30</v>
      </c>
      <c r="G23" s="12">
        <v>2</v>
      </c>
      <c r="H23" s="88">
        <f>IF(B$20=0,0,G23/B$20)</f>
        <v>3.5398230088495575E-3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-5.7000000000000011</v>
      </c>
      <c r="Q23" s="77">
        <v>56</v>
      </c>
      <c r="R23" s="68">
        <v>-319.20000000000005</v>
      </c>
    </row>
    <row r="24" spans="1:18" x14ac:dyDescent="0.45">
      <c r="A24" s="19" t="s">
        <v>183</v>
      </c>
      <c r="B24" s="12">
        <v>235</v>
      </c>
      <c r="C24" s="6">
        <f>IF(B$20=0,0,B24/B$20)</f>
        <v>0.41592920353982299</v>
      </c>
      <c r="E24" s="27" t="s">
        <v>77</v>
      </c>
      <c r="F24" s="24" t="s">
        <v>32</v>
      </c>
      <c r="G24" s="12">
        <v>2</v>
      </c>
      <c r="H24" s="88">
        <f>IF(B$20=0,0,G24/B$20)</f>
        <v>3.5398230088495575E-3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-13.941666666666672</v>
      </c>
      <c r="Q24" s="77">
        <v>72</v>
      </c>
      <c r="R24" s="68">
        <v>-1003.8000000000004</v>
      </c>
    </row>
    <row r="25" spans="1:18" x14ac:dyDescent="0.45">
      <c r="A25" s="19" t="s">
        <v>181</v>
      </c>
      <c r="B25" s="12">
        <v>189</v>
      </c>
      <c r="C25" s="6">
        <f>IF(B$20=0,0,B25/B$20)</f>
        <v>0.3345132743362832</v>
      </c>
      <c r="E25" s="27" t="s">
        <v>92</v>
      </c>
      <c r="F25" s="24" t="s">
        <v>47</v>
      </c>
      <c r="G25" s="12">
        <v>2</v>
      </c>
      <c r="H25" s="88">
        <f>IF(B$20=0,0,G25/B$20)</f>
        <v>3.5398230088495575E-3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141</v>
      </c>
      <c r="C26" s="6">
        <f>IF(B$20=0,0,B26/B$20)</f>
        <v>0.24955752212389382</v>
      </c>
      <c r="E26" s="27" t="s">
        <v>80</v>
      </c>
      <c r="F26" s="24" t="s">
        <v>35</v>
      </c>
      <c r="G26" s="12">
        <v>1</v>
      </c>
      <c r="H26" s="88">
        <f>IF(B$20=0,0,G26/B$20)</f>
        <v>1.7699115044247787E-3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8024.9557522123896</v>
      </c>
      <c r="C27" s="8">
        <v>4534100</v>
      </c>
      <c r="E27" s="27" t="s">
        <v>93</v>
      </c>
      <c r="F27" s="24" t="s">
        <v>48</v>
      </c>
      <c r="G27" s="12">
        <v>1</v>
      </c>
      <c r="H27" s="88">
        <f>IF(B$20=0,0,G27/B$20)</f>
        <v>1.7699115044247787E-3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8679.521276595744</v>
      </c>
      <c r="C28" s="96">
        <v>3263500</v>
      </c>
      <c r="E28" s="27" t="s">
        <v>102</v>
      </c>
      <c r="F28" s="24" t="s">
        <v>57</v>
      </c>
      <c r="G28" s="12">
        <v>1</v>
      </c>
      <c r="H28" s="88">
        <f>IF(B$20=0,0,G28/B$20)</f>
        <v>1.7699115044247787E-3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6722.7513227513227</v>
      </c>
      <c r="C29" s="96">
        <v>1270600</v>
      </c>
      <c r="E29" s="27" t="s">
        <v>74</v>
      </c>
      <c r="F29" s="24" t="s">
        <v>29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-7309.6875</v>
      </c>
      <c r="C30" s="96">
        <v>-2339100</v>
      </c>
      <c r="E30" s="27" t="s">
        <v>76</v>
      </c>
      <c r="F30" s="24" t="s">
        <v>31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6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2.6041666666666665E-3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49</v>
      </c>
      <c r="C37" s="98">
        <f t="shared" ref="C37:C49" si="2">IF(B$20=0,0,B37/B$20)</f>
        <v>8.6725663716814158E-2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115</v>
      </c>
      <c r="C38" s="6">
        <f t="shared" si="2"/>
        <v>0.20353982300884957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105</v>
      </c>
      <c r="C39" s="6">
        <f t="shared" si="2"/>
        <v>0.18584070796460178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98</v>
      </c>
      <c r="C40" s="6">
        <f t="shared" si="2"/>
        <v>0.17345132743362832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76</v>
      </c>
      <c r="C41" s="6">
        <f t="shared" si="2"/>
        <v>0.13451327433628318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53</v>
      </c>
      <c r="C42" s="6">
        <f t="shared" si="2"/>
        <v>9.3805309734513273E-2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29</v>
      </c>
      <c r="C43" s="6">
        <f t="shared" si="2"/>
        <v>5.1327433628318583E-2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16</v>
      </c>
      <c r="C44" s="6">
        <f t="shared" si="2"/>
        <v>2.831858407079646E-2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11</v>
      </c>
      <c r="C45" s="6">
        <f t="shared" si="2"/>
        <v>1.9469026548672566E-2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1.2389380530973451E-2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3.5398230088495575E-3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7.0796460176991149E-3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6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61</v>
      </c>
      <c r="C2" s="134"/>
      <c r="E2" s="26" t="s">
        <v>66</v>
      </c>
      <c r="F2" s="23" t="s">
        <v>22</v>
      </c>
      <c r="G2" s="11">
        <v>114</v>
      </c>
      <c r="H2" s="87">
        <f>IF(B$20=0,0,G2/B$20)</f>
        <v>0.73076923076923073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745.90163934426232</v>
      </c>
      <c r="Q2" s="76">
        <v>61</v>
      </c>
      <c r="R2" s="63">
        <v>45500</v>
      </c>
    </row>
    <row r="3" spans="1:18" x14ac:dyDescent="0.45">
      <c r="A3" s="19" t="s">
        <v>8</v>
      </c>
      <c r="B3" s="135">
        <v>510</v>
      </c>
      <c r="C3" s="136"/>
      <c r="E3" s="27" t="s">
        <v>72</v>
      </c>
      <c r="F3" s="24" t="s">
        <v>27</v>
      </c>
      <c r="G3" s="12">
        <v>91</v>
      </c>
      <c r="H3" s="88">
        <f>IF(B$20=0,0,G3/B$20)</f>
        <v>0.58333333333333337</v>
      </c>
      <c r="I3" s="58">
        <v>7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-598.30508474576266</v>
      </c>
      <c r="Q3" s="77">
        <v>59</v>
      </c>
      <c r="R3" s="64">
        <v>-35300</v>
      </c>
    </row>
    <row r="4" spans="1:18" x14ac:dyDescent="0.45">
      <c r="A4" s="19" t="s">
        <v>6</v>
      </c>
      <c r="B4" s="137">
        <v>-0.40000000000004121</v>
      </c>
      <c r="C4" s="138"/>
      <c r="E4" s="27" t="s">
        <v>64</v>
      </c>
      <c r="F4" s="24" t="s">
        <v>20</v>
      </c>
      <c r="G4" s="12">
        <v>65</v>
      </c>
      <c r="H4" s="88">
        <f>IF(B$20=0,0,G4/B$20)</f>
        <v>0.41666666666666669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-858.33333333333337</v>
      </c>
      <c r="Q4" s="77">
        <v>60</v>
      </c>
      <c r="R4" s="64">
        <v>-51500</v>
      </c>
    </row>
    <row r="5" spans="1:18" x14ac:dyDescent="0.45">
      <c r="A5" s="19" t="s">
        <v>7</v>
      </c>
      <c r="B5" s="125">
        <f>IF(B$2=0,0,B$4/B$2)</f>
        <v>-6.5573770491810035E-3</v>
      </c>
      <c r="C5" s="126"/>
      <c r="E5" s="27" t="s">
        <v>159</v>
      </c>
      <c r="F5" s="24" t="s">
        <v>160</v>
      </c>
      <c r="G5" s="12">
        <v>59</v>
      </c>
      <c r="H5" s="88">
        <f>IF(B$20=0,0,G5/B$20)</f>
        <v>0.37820512820512819</v>
      </c>
      <c r="I5" s="58">
        <v>6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221.05263157894737</v>
      </c>
      <c r="Q5" s="77">
        <v>57</v>
      </c>
      <c r="R5" s="64">
        <v>12600</v>
      </c>
    </row>
    <row r="6" spans="1:18" x14ac:dyDescent="0.45">
      <c r="A6" s="19" t="s">
        <v>196</v>
      </c>
      <c r="B6" s="129">
        <v>1766.8723534118858</v>
      </c>
      <c r="C6" s="130"/>
      <c r="E6" s="27" t="s">
        <v>68</v>
      </c>
      <c r="F6" s="24" t="s">
        <v>12</v>
      </c>
      <c r="G6" s="12">
        <v>47</v>
      </c>
      <c r="H6" s="88">
        <f>IF(B$20=0,0,G6/B$20)</f>
        <v>0.30128205128205127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259.61538461538464</v>
      </c>
      <c r="Q6" s="77">
        <v>52</v>
      </c>
      <c r="R6" s="64">
        <v>13500</v>
      </c>
    </row>
    <row r="7" spans="1:18" x14ac:dyDescent="0.45">
      <c r="A7" s="19" t="s">
        <v>1</v>
      </c>
      <c r="B7" s="139">
        <f>IF(B$2=0,0,(B$8*1+B$9*2+B$10*3)/B$2)</f>
        <v>2.0655737704918034</v>
      </c>
      <c r="C7" s="140"/>
      <c r="E7" s="27" t="s">
        <v>67</v>
      </c>
      <c r="F7" s="24" t="s">
        <v>23</v>
      </c>
      <c r="G7" s="12">
        <v>36</v>
      </c>
      <c r="H7" s="88">
        <f>IF(B$20=0,0,G7/B$20)</f>
        <v>0.23076923076923078</v>
      </c>
      <c r="I7" s="58">
        <v>5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-804.76190476190482</v>
      </c>
      <c r="Q7" s="78">
        <v>42</v>
      </c>
      <c r="R7" s="65">
        <v>-33800</v>
      </c>
    </row>
    <row r="8" spans="1:18" x14ac:dyDescent="0.45">
      <c r="A8" s="19" t="s">
        <v>2</v>
      </c>
      <c r="B8" s="12">
        <v>17</v>
      </c>
      <c r="C8" s="6">
        <f t="shared" ref="C8:C15" si="1">IF(B$2=0,0,B8/B$2)</f>
        <v>0.27868852459016391</v>
      </c>
      <c r="E8" s="27" t="s">
        <v>69</v>
      </c>
      <c r="F8" s="24" t="s">
        <v>24</v>
      </c>
      <c r="G8" s="12">
        <v>28</v>
      </c>
      <c r="H8" s="88">
        <f>IF(B$20=0,0,G8/B$20)</f>
        <v>0.17948717948717949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23</v>
      </c>
      <c r="C9" s="6">
        <f t="shared" si="1"/>
        <v>0.37704918032786883</v>
      </c>
      <c r="E9" s="27" t="s">
        <v>70</v>
      </c>
      <c r="F9" s="24" t="s">
        <v>25</v>
      </c>
      <c r="G9" s="12">
        <v>22</v>
      </c>
      <c r="H9" s="88">
        <f>IF(B$20=0,0,G9/B$20)</f>
        <v>0.14102564102564102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21</v>
      </c>
      <c r="C10" s="7">
        <f t="shared" si="1"/>
        <v>0.34426229508196721</v>
      </c>
      <c r="E10" s="27" t="s">
        <v>89</v>
      </c>
      <c r="F10" s="24" t="s">
        <v>44</v>
      </c>
      <c r="G10" s="12">
        <v>22</v>
      </c>
      <c r="H10" s="88">
        <f>IF(B$20=0,0,G10/B$20)</f>
        <v>0.14102564102564102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8.9380952380952365</v>
      </c>
      <c r="Q10" s="76">
        <v>21</v>
      </c>
      <c r="R10" s="67">
        <v>187.69999999999996</v>
      </c>
    </row>
    <row r="11" spans="1:18" x14ac:dyDescent="0.45">
      <c r="A11" s="20" t="s">
        <v>184</v>
      </c>
      <c r="B11" s="109">
        <f>IF(B8=0,0,C11/B8)</f>
        <v>39.517647058823535</v>
      </c>
      <c r="C11" s="110">
        <v>671.80000000000007</v>
      </c>
      <c r="E11" s="27" t="s">
        <v>65</v>
      </c>
      <c r="F11" s="24" t="s">
        <v>21</v>
      </c>
      <c r="G11" s="12">
        <v>13</v>
      </c>
      <c r="H11" s="88">
        <f>IF(B$20=0,0,G11/B$20)</f>
        <v>8.3333333333333329E-2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-10.339130434782607</v>
      </c>
      <c r="Q11" s="77">
        <v>23</v>
      </c>
      <c r="R11" s="68">
        <v>-237.79999999999998</v>
      </c>
    </row>
    <row r="12" spans="1:18" x14ac:dyDescent="0.45">
      <c r="A12" s="20" t="s">
        <v>185</v>
      </c>
      <c r="B12" s="109">
        <f>IF(B9=0,0,C12/B9)</f>
        <v>-2.3739130434782605</v>
      </c>
      <c r="C12" s="110">
        <v>-54.599999999999994</v>
      </c>
      <c r="E12" s="27" t="s">
        <v>83</v>
      </c>
      <c r="F12" s="24" t="s">
        <v>38</v>
      </c>
      <c r="G12" s="12">
        <v>9</v>
      </c>
      <c r="H12" s="88">
        <f>IF(B$20=0,0,G12/B$20)</f>
        <v>5.7692307692307696E-2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2.9235294117647066</v>
      </c>
      <c r="Q12" s="78">
        <v>17</v>
      </c>
      <c r="R12" s="69">
        <v>49.70000000000001</v>
      </c>
    </row>
    <row r="13" spans="1:18" x14ac:dyDescent="0.45">
      <c r="A13" s="20" t="s">
        <v>186</v>
      </c>
      <c r="B13" s="109">
        <f>IF(B10=0,0,C13/B10)</f>
        <v>-29.409523809523812</v>
      </c>
      <c r="C13" s="110">
        <v>-617.6</v>
      </c>
      <c r="E13" s="27" t="s">
        <v>86</v>
      </c>
      <c r="F13" s="24" t="s">
        <v>41</v>
      </c>
      <c r="G13" s="12">
        <v>9</v>
      </c>
      <c r="H13" s="88">
        <f>IF(B$20=0,0,G13/B$20)</f>
        <v>5.7692307692307696E-2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2.578070068607154</v>
      </c>
      <c r="C14" s="126"/>
      <c r="E14" s="27" t="s">
        <v>71</v>
      </c>
      <c r="F14" s="24" t="s">
        <v>26</v>
      </c>
      <c r="G14" s="12">
        <v>8</v>
      </c>
      <c r="H14" s="88">
        <f>IF(B$20=0,0,G14/B$20)</f>
        <v>5.128205128205128E-2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6.5573770491803282E-2</v>
      </c>
      <c r="E15" s="27" t="s">
        <v>155</v>
      </c>
      <c r="F15" s="24" t="s">
        <v>156</v>
      </c>
      <c r="G15" s="12">
        <v>8</v>
      </c>
      <c r="H15" s="88">
        <f>IF(B$20=0,0,G15/B$20)</f>
        <v>5.128205128205128E-2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129</v>
      </c>
      <c r="C16" s="10">
        <f>IF(B$3=0,0,B16/B$3)</f>
        <v>0.25294117647058822</v>
      </c>
      <c r="E16" s="27" t="s">
        <v>81</v>
      </c>
      <c r="F16" s="24" t="s">
        <v>36</v>
      </c>
      <c r="G16" s="12">
        <v>4</v>
      </c>
      <c r="H16" s="88">
        <f>IF(B$20=0,0,G16/B$20)</f>
        <v>2.564102564102564E-2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>IF(Q16=0,0,R16/Q16)</f>
        <v>11.969999999999999</v>
      </c>
      <c r="Q16" s="77">
        <v>10</v>
      </c>
      <c r="R16" s="68">
        <v>119.69999999999999</v>
      </c>
    </row>
    <row r="17" spans="1:18" x14ac:dyDescent="0.45">
      <c r="A17" s="19" t="s">
        <v>118</v>
      </c>
      <c r="B17" s="12">
        <v>113</v>
      </c>
      <c r="C17" s="6">
        <f>IF(B$3=0,0,B17/B$3)</f>
        <v>0.22156862745098038</v>
      </c>
      <c r="E17" s="27" t="s">
        <v>91</v>
      </c>
      <c r="F17" s="24" t="s">
        <v>46</v>
      </c>
      <c r="G17" s="12">
        <v>4</v>
      </c>
      <c r="H17" s="88">
        <f>IF(B$20=0,0,G17/B$20)</f>
        <v>2.564102564102564E-2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5">
      <c r="A18" s="18" t="s">
        <v>123</v>
      </c>
      <c r="B18" s="11">
        <f>B24</f>
        <v>72</v>
      </c>
      <c r="C18" s="5">
        <f>IF(B$16=0,0,B18/B$16)</f>
        <v>0.55813953488372092</v>
      </c>
      <c r="E18" s="27" t="s">
        <v>78</v>
      </c>
      <c r="F18" s="24" t="s">
        <v>33</v>
      </c>
      <c r="G18" s="12">
        <v>3</v>
      </c>
      <c r="H18" s="88">
        <f>IF(B$20=0,0,G18/B$20)</f>
        <v>1.9230769230769232E-2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9.6142857142857157</v>
      </c>
      <c r="Q18" s="77">
        <v>21</v>
      </c>
      <c r="R18" s="68">
        <v>201.90000000000003</v>
      </c>
    </row>
    <row r="19" spans="1:18" x14ac:dyDescent="0.45">
      <c r="A19" s="18" t="s">
        <v>124</v>
      </c>
      <c r="B19" s="11">
        <f>B25</f>
        <v>48</v>
      </c>
      <c r="C19" s="5">
        <f>IF(B$17=0,0,B19/B$17)</f>
        <v>0.4247787610619469</v>
      </c>
      <c r="E19" s="27" t="s">
        <v>73</v>
      </c>
      <c r="F19" s="24" t="s">
        <v>28</v>
      </c>
      <c r="G19" s="12">
        <v>2</v>
      </c>
      <c r="H19" s="88">
        <f>IF(B$20=0,0,G19/B$20)</f>
        <v>1.282051282051282E-2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5.71875</v>
      </c>
      <c r="Q19" s="77">
        <v>16</v>
      </c>
      <c r="R19" s="68">
        <v>91.5</v>
      </c>
    </row>
    <row r="20" spans="1:18" x14ac:dyDescent="0.45">
      <c r="A20" s="18" t="s">
        <v>10</v>
      </c>
      <c r="B20" s="11">
        <f>B23+B22</f>
        <v>156</v>
      </c>
      <c r="C20" s="5">
        <f>IF(B$3=0,0,B20/B$3)</f>
        <v>0.30588235294117649</v>
      </c>
      <c r="E20" s="27" t="s">
        <v>75</v>
      </c>
      <c r="F20" s="24" t="s">
        <v>30</v>
      </c>
      <c r="G20" s="12">
        <v>1</v>
      </c>
      <c r="H20" s="88">
        <f>IF(B$20=0,0,G20/B$20)</f>
        <v>6.41025641025641E-3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95</v>
      </c>
      <c r="C21" s="6">
        <f>IF(B$3=0,0,B21/B$3)</f>
        <v>0.18627450980392157</v>
      </c>
      <c r="E21" s="27" t="s">
        <v>79</v>
      </c>
      <c r="F21" s="24" t="s">
        <v>34</v>
      </c>
      <c r="G21" s="12">
        <v>1</v>
      </c>
      <c r="H21" s="88">
        <f>IF(B$20=0,0,G21/B$20)</f>
        <v>6.41025641025641E-3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-5.9777777777777779</v>
      </c>
      <c r="Q21" s="77">
        <v>27</v>
      </c>
      <c r="R21" s="68">
        <v>-161.4</v>
      </c>
    </row>
    <row r="22" spans="1:18" x14ac:dyDescent="0.45">
      <c r="A22" s="19" t="s">
        <v>12</v>
      </c>
      <c r="B22" s="12">
        <v>71</v>
      </c>
      <c r="C22" s="6">
        <f>IF(B$20=0,0,B22/B$20)</f>
        <v>0.45512820512820512</v>
      </c>
      <c r="E22" s="27" t="s">
        <v>80</v>
      </c>
      <c r="F22" s="24" t="s">
        <v>35</v>
      </c>
      <c r="G22" s="12">
        <v>1</v>
      </c>
      <c r="H22" s="88">
        <f>IF(B$20=0,0,G22/B$20)</f>
        <v>6.41025641025641E-3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-14.226666666666667</v>
      </c>
      <c r="Q22" s="77">
        <v>30</v>
      </c>
      <c r="R22" s="68">
        <v>-426.8</v>
      </c>
    </row>
    <row r="23" spans="1:18" x14ac:dyDescent="0.45">
      <c r="A23" s="19" t="s">
        <v>11</v>
      </c>
      <c r="B23" s="12">
        <v>85</v>
      </c>
      <c r="C23" s="6">
        <f>IF(B$20=0,0,B23/B$20)</f>
        <v>0.54487179487179482</v>
      </c>
      <c r="E23" s="27" t="s">
        <v>85</v>
      </c>
      <c r="F23" s="24" t="s">
        <v>40</v>
      </c>
      <c r="G23" s="12">
        <v>1</v>
      </c>
      <c r="H23" s="88">
        <f>IF(B$20=0,0,G23/B$20)</f>
        <v>6.41025641025641E-3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72</v>
      </c>
      <c r="C24" s="6">
        <f>IF(B$20=0,0,B24/B$20)</f>
        <v>0.46153846153846156</v>
      </c>
      <c r="E24" s="27" t="s">
        <v>92</v>
      </c>
      <c r="F24" s="24" t="s">
        <v>47</v>
      </c>
      <c r="G24" s="12">
        <v>1</v>
      </c>
      <c r="H24" s="88">
        <f>IF(B$20=0,0,G24/B$20)</f>
        <v>6.41025641025641E-3</v>
      </c>
      <c r="I24" s="58">
        <v>2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48</v>
      </c>
      <c r="C25" s="6">
        <f>IF(B$20=0,0,B25/B$20)</f>
        <v>0.30769230769230771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36</v>
      </c>
      <c r="C26" s="6">
        <f>IF(B$20=0,0,B26/B$20)</f>
        <v>0.23076923076923078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8333.3333333333339</v>
      </c>
      <c r="C27" s="8">
        <v>1300000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8737.0370370370365</v>
      </c>
      <c r="C28" s="96">
        <v>943600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7425</v>
      </c>
      <c r="C29" s="96">
        <v>356400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-6746.3157894736842</v>
      </c>
      <c r="C30" s="96">
        <v>-640900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2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8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1.9607843137254902E-3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9</v>
      </c>
      <c r="C37" s="98">
        <f t="shared" ref="C37:C49" si="2">IF(B$20=0,0,B37/B$20)</f>
        <v>5.7692307692307696E-2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27</v>
      </c>
      <c r="C38" s="6">
        <f t="shared" si="2"/>
        <v>0.17307692307692307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36</v>
      </c>
      <c r="C39" s="6">
        <f t="shared" si="2"/>
        <v>0.23076923076923078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23</v>
      </c>
      <c r="C40" s="6">
        <f t="shared" si="2"/>
        <v>0.14743589743589744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25</v>
      </c>
      <c r="C41" s="6">
        <f t="shared" si="2"/>
        <v>0.16025641025641027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19</v>
      </c>
      <c r="C42" s="6">
        <f t="shared" si="2"/>
        <v>0.12179487179487179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5.128205128205128E-2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1.282051282051282E-2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2.564102564102564E-2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6.41025641025641E-3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6.41025641025641E-3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6.41025641025641E-3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67</v>
      </c>
      <c r="H2" s="87">
        <f>IF(B$20=0,0,G2/B$20)</f>
        <v>1.0151515151515151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1878.5714285714287</v>
      </c>
      <c r="Q2" s="76">
        <v>28</v>
      </c>
      <c r="R2" s="63">
        <v>52600</v>
      </c>
    </row>
    <row r="3" spans="1:18" x14ac:dyDescent="0.45">
      <c r="A3" s="19" t="s">
        <v>8</v>
      </c>
      <c r="B3" s="135">
        <v>245</v>
      </c>
      <c r="C3" s="136"/>
      <c r="E3" s="27" t="s">
        <v>72</v>
      </c>
      <c r="F3" s="24" t="s">
        <v>27</v>
      </c>
      <c r="G3" s="12">
        <v>35</v>
      </c>
      <c r="H3" s="88">
        <f>IF(B$20=0,0,G3/B$20)</f>
        <v>0.53030303030303028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-2022.2222222222222</v>
      </c>
      <c r="Q3" s="77">
        <v>27</v>
      </c>
      <c r="R3" s="64">
        <v>-54600</v>
      </c>
    </row>
    <row r="4" spans="1:18" x14ac:dyDescent="0.45">
      <c r="A4" s="19" t="s">
        <v>6</v>
      </c>
      <c r="B4" s="137">
        <v>-67.100000000000009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0.42424242424242425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503.7037037037037</v>
      </c>
      <c r="Q4" s="77">
        <v>27</v>
      </c>
      <c r="R4" s="64">
        <v>13600</v>
      </c>
    </row>
    <row r="5" spans="1:18" x14ac:dyDescent="0.45">
      <c r="A5" s="19" t="s">
        <v>7</v>
      </c>
      <c r="B5" s="125">
        <f>IF(B$2=0,0,B$4/B$2)</f>
        <v>-2.3964285714285718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0.40909090909090912</v>
      </c>
      <c r="I5" s="58">
        <v>3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176.92307692307693</v>
      </c>
      <c r="Q5" s="77">
        <v>26</v>
      </c>
      <c r="R5" s="64">
        <v>4600</v>
      </c>
    </row>
    <row r="6" spans="1:18" x14ac:dyDescent="0.45">
      <c r="A6" s="19" t="s">
        <v>196</v>
      </c>
      <c r="B6" s="129">
        <v>1638.0732230081205</v>
      </c>
      <c r="C6" s="130"/>
      <c r="E6" s="27" t="s">
        <v>68</v>
      </c>
      <c r="F6" s="24" t="s">
        <v>12</v>
      </c>
      <c r="G6" s="12">
        <v>23</v>
      </c>
      <c r="H6" s="88">
        <f>IF(B$20=0,0,G6/B$20)</f>
        <v>0.34848484848484851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352.17391304347825</v>
      </c>
      <c r="Q6" s="77">
        <v>23</v>
      </c>
      <c r="R6" s="64">
        <v>8100</v>
      </c>
    </row>
    <row r="7" spans="1:18" x14ac:dyDescent="0.45">
      <c r="A7" s="19" t="s">
        <v>1</v>
      </c>
      <c r="B7" s="139">
        <f>IF(B$2=0,0,(B$8*1+B$9*2+B$10*3)/B$2)</f>
        <v>2.0357142857142856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0.21212121212121213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-329.41176470588238</v>
      </c>
      <c r="Q7" s="78">
        <v>17</v>
      </c>
      <c r="R7" s="65">
        <v>-5600</v>
      </c>
    </row>
    <row r="8" spans="1:18" x14ac:dyDescent="0.45">
      <c r="A8" s="19" t="s">
        <v>2</v>
      </c>
      <c r="B8" s="12">
        <v>9</v>
      </c>
      <c r="C8" s="6">
        <f t="shared" ref="C8:C15" si="1">IF(B$2=0,0,B8/B$2)</f>
        <v>0.32142857142857145</v>
      </c>
      <c r="E8" s="27" t="s">
        <v>89</v>
      </c>
      <c r="F8" s="24" t="s">
        <v>44</v>
      </c>
      <c r="G8" s="12">
        <v>11</v>
      </c>
      <c r="H8" s="88">
        <f>IF(B$20=0,0,G8/B$20)</f>
        <v>0.16666666666666666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0.32142857142857145</v>
      </c>
      <c r="E9" s="27" t="s">
        <v>69</v>
      </c>
      <c r="F9" s="24" t="s">
        <v>24</v>
      </c>
      <c r="G9" s="12">
        <v>6</v>
      </c>
      <c r="H9" s="88">
        <f>IF(B$20=0,0,G9/B$20)</f>
        <v>9.0909090909090912E-2</v>
      </c>
      <c r="I9" s="58">
        <v>7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0.35714285714285715</v>
      </c>
      <c r="E10" s="27" t="s">
        <v>65</v>
      </c>
      <c r="F10" s="24" t="s">
        <v>21</v>
      </c>
      <c r="G10" s="12">
        <v>5</v>
      </c>
      <c r="H10" s="88">
        <f>IF(B$20=0,0,G10/B$20)</f>
        <v>7.575757575757576E-2</v>
      </c>
      <c r="I10" s="58">
        <v>8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-5.416666666666667</v>
      </c>
      <c r="Q10" s="76">
        <v>12</v>
      </c>
      <c r="R10" s="67">
        <v>-65</v>
      </c>
    </row>
    <row r="11" spans="1:18" x14ac:dyDescent="0.45">
      <c r="A11" s="20" t="s">
        <v>184</v>
      </c>
      <c r="B11" s="109">
        <f>IF(B8=0,0,C11/B8)</f>
        <v>37.755555555555553</v>
      </c>
      <c r="C11" s="110">
        <v>339.79999999999995</v>
      </c>
      <c r="E11" s="27" t="s">
        <v>70</v>
      </c>
      <c r="F11" s="24" t="s">
        <v>25</v>
      </c>
      <c r="G11" s="12">
        <v>5</v>
      </c>
      <c r="H11" s="88">
        <f>IF(B$20=0,0,G11/B$20)</f>
        <v>7.575757575757576E-2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1.5124999999999975</v>
      </c>
      <c r="Q11" s="77">
        <v>8</v>
      </c>
      <c r="R11" s="68">
        <v>12.09999999999998</v>
      </c>
    </row>
    <row r="12" spans="1:18" x14ac:dyDescent="0.45">
      <c r="A12" s="20" t="s">
        <v>185</v>
      </c>
      <c r="B12" s="109">
        <f>IF(B9=0,0,C12/B9)</f>
        <v>1.7</v>
      </c>
      <c r="C12" s="110">
        <v>15.299999999999999</v>
      </c>
      <c r="E12" s="27" t="s">
        <v>81</v>
      </c>
      <c r="F12" s="24" t="s">
        <v>36</v>
      </c>
      <c r="G12" s="12">
        <v>5</v>
      </c>
      <c r="H12" s="88">
        <f>IF(B$20=0,0,G12/B$20)</f>
        <v>7.575757575757576E-2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-1.7749999999999999</v>
      </c>
      <c r="Q12" s="78">
        <v>8</v>
      </c>
      <c r="R12" s="69">
        <v>-14.2</v>
      </c>
    </row>
    <row r="13" spans="1:18" x14ac:dyDescent="0.45">
      <c r="A13" s="20" t="s">
        <v>186</v>
      </c>
      <c r="B13" s="109">
        <f>IF(B10=0,0,C13/B10)</f>
        <v>-42.22</v>
      </c>
      <c r="C13" s="110">
        <v>-422.2</v>
      </c>
      <c r="E13" s="27" t="s">
        <v>86</v>
      </c>
      <c r="F13" s="24" t="s">
        <v>41</v>
      </c>
      <c r="G13" s="12">
        <v>5</v>
      </c>
      <c r="H13" s="88">
        <f>IF(B$20=0,0,G13/B$20)</f>
        <v>7.575757575757576E-2</v>
      </c>
      <c r="I13" s="58">
        <v>4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-0.92148148148148101</v>
      </c>
      <c r="C14" s="126"/>
      <c r="E14" s="27" t="s">
        <v>71</v>
      </c>
      <c r="F14" s="24" t="s">
        <v>26</v>
      </c>
      <c r="G14" s="12">
        <v>4</v>
      </c>
      <c r="H14" s="88">
        <f>IF(B$20=0,0,G14/B$20)</f>
        <v>6.0606060606060608E-2</v>
      </c>
      <c r="I14" s="58">
        <v>4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0.14285714285714285</v>
      </c>
      <c r="E15" s="27" t="s">
        <v>83</v>
      </c>
      <c r="F15" s="24" t="s">
        <v>38</v>
      </c>
      <c r="G15" s="12">
        <v>4</v>
      </c>
      <c r="H15" s="88">
        <f>IF(B$20=0,0,G15/B$20)</f>
        <v>6.0606060606060608E-2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190</v>
      </c>
      <c r="P15" s="82">
        <f t="shared" ref="P15:P21" si="2">IF(Q15=0,0,R15/Q15)</f>
        <v>36.35</v>
      </c>
      <c r="Q15" s="76">
        <v>2</v>
      </c>
      <c r="R15" s="67">
        <v>72.7</v>
      </c>
    </row>
    <row r="16" spans="1:18" x14ac:dyDescent="0.45">
      <c r="A16" s="22" t="s">
        <v>121</v>
      </c>
      <c r="B16" s="15">
        <v>62</v>
      </c>
      <c r="C16" s="10">
        <f>IF(B$3=0,0,B16/B$3)</f>
        <v>0.2530612244897959</v>
      </c>
      <c r="E16" s="27" t="s">
        <v>78</v>
      </c>
      <c r="F16" s="24" t="s">
        <v>33</v>
      </c>
      <c r="G16" s="12">
        <v>3</v>
      </c>
      <c r="H16" s="88">
        <f>IF(B$20=0,0,G16/B$20)</f>
        <v>4.5454545454545456E-2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216</v>
      </c>
      <c r="P16" s="83">
        <f t="shared" si="2"/>
        <v>35.614285714285714</v>
      </c>
      <c r="Q16" s="77">
        <v>7</v>
      </c>
      <c r="R16" s="68">
        <v>249.3</v>
      </c>
    </row>
    <row r="17" spans="1:18" x14ac:dyDescent="0.45">
      <c r="A17" s="19" t="s">
        <v>118</v>
      </c>
      <c r="B17" s="12">
        <v>51</v>
      </c>
      <c r="C17" s="6">
        <f>IF(B$3=0,0,B17/B$3)</f>
        <v>0.20816326530612245</v>
      </c>
      <c r="E17" s="27" t="s">
        <v>155</v>
      </c>
      <c r="F17" s="24" t="s">
        <v>156</v>
      </c>
      <c r="G17" s="12">
        <v>2</v>
      </c>
      <c r="H17" s="88">
        <f>IF(B$20=0,0,G17/B$20)</f>
        <v>3.0303030303030304E-2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 t="shared" si="2"/>
        <v>-0.23333333333333398</v>
      </c>
      <c r="Q17" s="77">
        <v>9</v>
      </c>
      <c r="R17" s="68">
        <v>-2.1000000000000059</v>
      </c>
    </row>
    <row r="18" spans="1:18" x14ac:dyDescent="0.45">
      <c r="A18" s="18" t="s">
        <v>123</v>
      </c>
      <c r="B18" s="11">
        <f>B24</f>
        <v>28</v>
      </c>
      <c r="C18" s="5">
        <f>IF(B$16=0,0,B18/B$16)</f>
        <v>0.45161290322580644</v>
      </c>
      <c r="E18" s="27" t="s">
        <v>73</v>
      </c>
      <c r="F18" s="24" t="s">
        <v>28</v>
      </c>
      <c r="G18" s="12">
        <v>1</v>
      </c>
      <c r="H18" s="88">
        <f>IF(B$20=0,0,G18/B$20)</f>
        <v>1.5151515151515152E-2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 t="shared" si="2"/>
        <v>-9.6142857142857192</v>
      </c>
      <c r="Q18" s="77">
        <v>21</v>
      </c>
      <c r="R18" s="68">
        <v>-201.90000000000009</v>
      </c>
    </row>
    <row r="19" spans="1:18" x14ac:dyDescent="0.45">
      <c r="A19" s="18" t="s">
        <v>124</v>
      </c>
      <c r="B19" s="11">
        <f>B25</f>
        <v>19</v>
      </c>
      <c r="C19" s="5">
        <f>IF(B$17=0,0,B19/B$17)</f>
        <v>0.37254901960784315</v>
      </c>
      <c r="E19" s="27" t="s">
        <v>79</v>
      </c>
      <c r="F19" s="24" t="s">
        <v>34</v>
      </c>
      <c r="G19" s="12">
        <v>1</v>
      </c>
      <c r="H19" s="88">
        <f>IF(B$20=0,0,G19/B$20)</f>
        <v>1.5151515151515152E-2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192</v>
      </c>
      <c r="P19" s="83">
        <f t="shared" si="2"/>
        <v>-14.78571428571429</v>
      </c>
      <c r="Q19" s="77">
        <v>7</v>
      </c>
      <c r="R19" s="68">
        <v>-103.50000000000003</v>
      </c>
    </row>
    <row r="20" spans="1:18" x14ac:dyDescent="0.45">
      <c r="A20" s="18" t="s">
        <v>10</v>
      </c>
      <c r="B20" s="11">
        <f>B23+B22</f>
        <v>66</v>
      </c>
      <c r="C20" s="5">
        <f>IF(B$3=0,0,B20/B$3)</f>
        <v>0.26938775510204083</v>
      </c>
      <c r="E20" s="27" t="s">
        <v>85</v>
      </c>
      <c r="F20" s="24" t="s">
        <v>40</v>
      </c>
      <c r="G20" s="12">
        <v>1</v>
      </c>
      <c r="H20" s="88">
        <f>IF(B$20=0,0,G20/B$20)</f>
        <v>1.5151515151515152E-2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189</v>
      </c>
      <c r="P20" s="83">
        <f t="shared" si="2"/>
        <v>-17.012499999999999</v>
      </c>
      <c r="Q20" s="77">
        <v>8</v>
      </c>
      <c r="R20" s="68">
        <v>-136.1</v>
      </c>
    </row>
    <row r="21" spans="1:18" x14ac:dyDescent="0.45">
      <c r="A21" s="19" t="s">
        <v>13</v>
      </c>
      <c r="B21" s="12">
        <v>46</v>
      </c>
      <c r="C21" s="6">
        <f>IF(B$3=0,0,B21/B$3)</f>
        <v>0.18775510204081633</v>
      </c>
      <c r="E21" s="27" t="s">
        <v>88</v>
      </c>
      <c r="F21" s="24" t="s">
        <v>43</v>
      </c>
      <c r="G21" s="12">
        <v>1</v>
      </c>
      <c r="H21" s="88">
        <f>IF(B$20=0,0,G21/B$20)</f>
        <v>1.5151515151515152E-2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 t="shared" si="2"/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30</v>
      </c>
      <c r="C22" s="6">
        <f>IF(B$20=0,0,B22/B$20)</f>
        <v>0.45454545454545453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36</v>
      </c>
      <c r="C23" s="6">
        <f>IF(B$20=0,0,B23/B$20)</f>
        <v>0.54545454545454541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28</v>
      </c>
      <c r="C24" s="6">
        <f>IF(B$20=0,0,B24/B$20)</f>
        <v>0.42424242424242425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19</v>
      </c>
      <c r="C25" s="6">
        <f>IF(B$20=0,0,B25/B$20)</f>
        <v>0.2878787878787879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19</v>
      </c>
      <c r="C26" s="6">
        <f>IF(B$20=0,0,B26/B$20)</f>
        <v>0.2878787878787879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8972.7272727272721</v>
      </c>
      <c r="C27" s="8">
        <v>592200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9091.489361702128</v>
      </c>
      <c r="C28" s="96">
        <v>427300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8678.9473684210534</v>
      </c>
      <c r="C29" s="96">
        <v>164900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-7832.608695652174</v>
      </c>
      <c r="C30" s="96">
        <v>-360300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4.0816326530612249E-3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9.0909090909090912E-2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7.575757575757576E-2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13</v>
      </c>
      <c r="C39" s="6">
        <f t="shared" si="3"/>
        <v>0.19696969696969696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12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13</v>
      </c>
      <c r="C41" s="6">
        <f t="shared" si="3"/>
        <v>0.19696969696969696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10</v>
      </c>
      <c r="C42" s="6">
        <f t="shared" si="3"/>
        <v>0.15151515151515152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3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3.0303030303030304E-2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1.5151515151515152E-2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1.5151515151515152E-2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30</v>
      </c>
      <c r="C2" s="134"/>
      <c r="E2" s="26" t="s">
        <v>66</v>
      </c>
      <c r="F2" s="23" t="s">
        <v>22</v>
      </c>
      <c r="G2" s="11">
        <v>54</v>
      </c>
      <c r="H2" s="87">
        <f>IF(B$20=0,0,G2/B$20)</f>
        <v>0.68354430379746833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743.33333333333337</v>
      </c>
      <c r="Q2" s="76">
        <v>30</v>
      </c>
      <c r="R2" s="63">
        <v>22300</v>
      </c>
    </row>
    <row r="3" spans="1:18" x14ac:dyDescent="0.45">
      <c r="A3" s="19" t="s">
        <v>8</v>
      </c>
      <c r="B3" s="135">
        <v>268</v>
      </c>
      <c r="C3" s="136"/>
      <c r="E3" s="27" t="s">
        <v>72</v>
      </c>
      <c r="F3" s="24" t="s">
        <v>27</v>
      </c>
      <c r="G3" s="12">
        <v>51</v>
      </c>
      <c r="H3" s="88">
        <f>IF(B$20=0,0,G3/B$20)</f>
        <v>0.64556962025316456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-780</v>
      </c>
      <c r="Q3" s="77">
        <v>30</v>
      </c>
      <c r="R3" s="64">
        <v>-23400</v>
      </c>
    </row>
    <row r="4" spans="1:18" x14ac:dyDescent="0.45">
      <c r="A4" s="19" t="s">
        <v>6</v>
      </c>
      <c r="B4" s="137">
        <v>11.199999999999989</v>
      </c>
      <c r="C4" s="138"/>
      <c r="E4" s="27" t="s">
        <v>64</v>
      </c>
      <c r="F4" s="24" t="s">
        <v>20</v>
      </c>
      <c r="G4" s="12">
        <v>33</v>
      </c>
      <c r="H4" s="88">
        <f>IF(B$20=0,0,G4/B$20)</f>
        <v>0.41772151898734178</v>
      </c>
      <c r="I4" s="58">
        <v>5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1076.6666666666667</v>
      </c>
      <c r="Q4" s="77">
        <v>30</v>
      </c>
      <c r="R4" s="64">
        <v>32300</v>
      </c>
    </row>
    <row r="5" spans="1:18" x14ac:dyDescent="0.45">
      <c r="A5" s="19" t="s">
        <v>7</v>
      </c>
      <c r="B5" s="125">
        <f>IF(B$2=0,0,B$4/B$2)</f>
        <v>0.37333333333333296</v>
      </c>
      <c r="C5" s="126"/>
      <c r="E5" s="27" t="s">
        <v>68</v>
      </c>
      <c r="F5" s="24" t="s">
        <v>12</v>
      </c>
      <c r="G5" s="12">
        <v>25</v>
      </c>
      <c r="H5" s="88">
        <f>IF(B$20=0,0,G5/B$20)</f>
        <v>0.31645569620253167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266.66666666666669</v>
      </c>
      <c r="Q5" s="77">
        <v>30</v>
      </c>
      <c r="R5" s="64">
        <v>8000</v>
      </c>
    </row>
    <row r="6" spans="1:18" x14ac:dyDescent="0.45">
      <c r="A6" s="19" t="s">
        <v>196</v>
      </c>
      <c r="B6" s="129">
        <v>1461.3380512742167</v>
      </c>
      <c r="C6" s="130"/>
      <c r="E6" s="27" t="s">
        <v>159</v>
      </c>
      <c r="F6" s="24" t="s">
        <v>160</v>
      </c>
      <c r="G6" s="12">
        <v>23</v>
      </c>
      <c r="H6" s="88">
        <f>IF(B$20=0,0,G6/B$20)</f>
        <v>0.29113924050632911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-1773.3333333333333</v>
      </c>
      <c r="Q6" s="77">
        <v>30</v>
      </c>
      <c r="R6" s="64">
        <v>-53200</v>
      </c>
    </row>
    <row r="7" spans="1:18" x14ac:dyDescent="0.45">
      <c r="A7" s="19" t="s">
        <v>1</v>
      </c>
      <c r="B7" s="139">
        <f>IF(B$2=0,0,(B$8*1+B$9*2+B$10*3)/B$2)</f>
        <v>1.9666666666666666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0.25316455696202533</v>
      </c>
      <c r="I7" s="58">
        <v>3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713.63636363636363</v>
      </c>
      <c r="Q7" s="78">
        <v>22</v>
      </c>
      <c r="R7" s="65">
        <v>15700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0.36666666666666664</v>
      </c>
      <c r="E8" s="27" t="s">
        <v>70</v>
      </c>
      <c r="F8" s="24" t="s">
        <v>25</v>
      </c>
      <c r="G8" s="12">
        <v>9</v>
      </c>
      <c r="H8" s="88">
        <f>IF(B$20=0,0,G8/B$20)</f>
        <v>0.11392405063291139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</v>
      </c>
      <c r="E9" s="27" t="s">
        <v>89</v>
      </c>
      <c r="F9" s="24" t="s">
        <v>44</v>
      </c>
      <c r="G9" s="12">
        <v>9</v>
      </c>
      <c r="H9" s="88">
        <f>IF(B$20=0,0,G9/B$20)</f>
        <v>0.11392405063291139</v>
      </c>
      <c r="I9" s="58">
        <v>9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0.33333333333333331</v>
      </c>
      <c r="E10" s="27" t="s">
        <v>69</v>
      </c>
      <c r="F10" s="24" t="s">
        <v>24</v>
      </c>
      <c r="G10" s="12">
        <v>8</v>
      </c>
      <c r="H10" s="88">
        <f>IF(B$20=0,0,G10/B$20)</f>
        <v>0.10126582278481013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8.6333333333333329</v>
      </c>
      <c r="Q10" s="76">
        <v>9</v>
      </c>
      <c r="R10" s="67">
        <v>77.7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6</v>
      </c>
      <c r="H11" s="88">
        <f>IF(B$20=0,0,G11/B$20)</f>
        <v>7.5949367088607597E-2</v>
      </c>
      <c r="I11" s="58">
        <v>7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-3.1222222222222222</v>
      </c>
      <c r="Q11" s="77">
        <v>9</v>
      </c>
      <c r="R11" s="68">
        <v>-28.1</v>
      </c>
    </row>
    <row r="12" spans="1:18" x14ac:dyDescent="0.45">
      <c r="A12" s="20" t="s">
        <v>185</v>
      </c>
      <c r="B12" s="109">
        <f>IF(B9=0,0,C12/B9)</f>
        <v>4.7777777777777777</v>
      </c>
      <c r="C12" s="110">
        <v>43</v>
      </c>
      <c r="E12" s="27" t="s">
        <v>71</v>
      </c>
      <c r="F12" s="24" t="s">
        <v>26</v>
      </c>
      <c r="G12" s="12">
        <v>4</v>
      </c>
      <c r="H12" s="88">
        <f>IF(B$20=0,0,G12/B$20)</f>
        <v>5.0632911392405063E-2</v>
      </c>
      <c r="I12" s="58">
        <v>7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-3.2000000000000015</v>
      </c>
      <c r="Q12" s="78">
        <v>12</v>
      </c>
      <c r="R12" s="69">
        <v>-38.40000000000002</v>
      </c>
    </row>
    <row r="13" spans="1:18" x14ac:dyDescent="0.45">
      <c r="A13" s="20" t="s">
        <v>186</v>
      </c>
      <c r="B13" s="109">
        <f>IF(B10=0,0,C13/B10)</f>
        <v>-32.28</v>
      </c>
      <c r="C13" s="110">
        <v>-322.8</v>
      </c>
      <c r="E13" s="27" t="s">
        <v>81</v>
      </c>
      <c r="F13" s="24" t="s">
        <v>36</v>
      </c>
      <c r="G13" s="12">
        <v>4</v>
      </c>
      <c r="H13" s="88">
        <f>IF(B$20=0,0,G13/B$20)</f>
        <v>5.0632911392405063E-2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-0.34922558922558977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5.0632911392405063E-2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3.3333333333333333E-2</v>
      </c>
      <c r="E15" s="27" t="s">
        <v>79</v>
      </c>
      <c r="F15" s="24" t="s">
        <v>34</v>
      </c>
      <c r="G15" s="12">
        <v>3</v>
      </c>
      <c r="H15" s="88">
        <f>IF(B$20=0,0,G15/B$20)</f>
        <v>3.7974683544303799E-2</v>
      </c>
      <c r="I15" s="58">
        <v>2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73</v>
      </c>
      <c r="C16" s="10">
        <f>IF(B$3=0,0,B16/B$3)</f>
        <v>0.27238805970149255</v>
      </c>
      <c r="E16" s="27" t="s">
        <v>78</v>
      </c>
      <c r="F16" s="24" t="s">
        <v>33</v>
      </c>
      <c r="G16" s="12">
        <v>2</v>
      </c>
      <c r="H16" s="88">
        <f>IF(B$20=0,0,G16/B$20)</f>
        <v>2.5316455696202531E-2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>IF(Q16=0,0,R16/Q16)</f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79</v>
      </c>
      <c r="C17" s="6">
        <f>IF(B$3=0,0,B17/B$3)</f>
        <v>0.29477611940298509</v>
      </c>
      <c r="E17" s="27" t="s">
        <v>86</v>
      </c>
      <c r="F17" s="24" t="s">
        <v>41</v>
      </c>
      <c r="G17" s="12">
        <v>2</v>
      </c>
      <c r="H17" s="88">
        <f>IF(B$20=0,0,G17/B$20)</f>
        <v>2.5316455696202531E-2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34</v>
      </c>
      <c r="C18" s="5">
        <f>IF(B$16=0,0,B18/B$16)</f>
        <v>0.46575342465753422</v>
      </c>
      <c r="E18" s="27" t="s">
        <v>91</v>
      </c>
      <c r="F18" s="24" t="s">
        <v>46</v>
      </c>
      <c r="G18" s="12">
        <v>2</v>
      </c>
      <c r="H18" s="88">
        <f>IF(B$20=0,0,G18/B$20)</f>
        <v>2.5316455696202531E-2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5.9777777777777761</v>
      </c>
      <c r="Q18" s="77">
        <v>27</v>
      </c>
      <c r="R18" s="68">
        <v>161.39999999999995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0.39240506329113922</v>
      </c>
      <c r="E19" s="27" t="s">
        <v>88</v>
      </c>
      <c r="F19" s="24" t="s">
        <v>43</v>
      </c>
      <c r="G19" s="12">
        <v>1</v>
      </c>
      <c r="H19" s="88">
        <f>IF(B$20=0,0,G19/B$20)</f>
        <v>1.2658227848101266E-2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79</v>
      </c>
      <c r="C20" s="5">
        <f>IF(B$3=0,0,B20/B$3)</f>
        <v>0.29477611940298509</v>
      </c>
      <c r="E20" s="27" t="s">
        <v>93</v>
      </c>
      <c r="F20" s="24" t="s">
        <v>48</v>
      </c>
      <c r="G20" s="12">
        <v>1</v>
      </c>
      <c r="H20" s="88">
        <f>IF(B$20=0,0,G20/B$20)</f>
        <v>1.2658227848101266E-2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-19.570588235294121</v>
      </c>
      <c r="Q20" s="77">
        <v>17</v>
      </c>
      <c r="R20" s="68">
        <v>-332.70000000000005</v>
      </c>
    </row>
    <row r="21" spans="1:18" x14ac:dyDescent="0.45">
      <c r="A21" s="19" t="s">
        <v>13</v>
      </c>
      <c r="B21" s="12">
        <v>46</v>
      </c>
      <c r="C21" s="6">
        <f>IF(B$3=0,0,B21/B$3)</f>
        <v>0.17164179104477612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39</v>
      </c>
      <c r="C22" s="6">
        <f>IF(B$20=0,0,B22/B$20)</f>
        <v>0.49367088607594939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40</v>
      </c>
      <c r="C23" s="6">
        <f>IF(B$20=0,0,B23/B$20)</f>
        <v>0.50632911392405067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34</v>
      </c>
      <c r="C24" s="6">
        <f>IF(B$20=0,0,B24/B$20)</f>
        <v>0.43037974683544306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31</v>
      </c>
      <c r="C25" s="6">
        <f>IF(B$20=0,0,B25/B$20)</f>
        <v>0.39240506329113922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0.17721518987341772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7453.164556962025</v>
      </c>
      <c r="C27" s="8">
        <v>588800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8770.8333333333339</v>
      </c>
      <c r="C28" s="96">
        <v>421000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5412.9032258064517</v>
      </c>
      <c r="C29" s="96">
        <v>167800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-7539.130434782609</v>
      </c>
      <c r="C30" s="96">
        <v>-346800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3.7313432835820895E-3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2">IF(B$20=0,0,B37/B$20)</f>
        <v>0.12658227848101267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2"/>
        <v>0.26582278481012656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2"/>
        <v>0.13924050632911392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16</v>
      </c>
      <c r="C40" s="6">
        <f t="shared" si="2"/>
        <v>0.20253164556962025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6.3291139240506333E-2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3.7974683544303799E-2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3.7974683544303799E-2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2.5316455696202531E-2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2"/>
        <v>5.0632911392405063E-2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2"/>
        <v>3.7974683544303799E-2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1.2658227848101266E-2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13</v>
      </c>
      <c r="C2" s="134"/>
      <c r="E2" s="26" t="s">
        <v>66</v>
      </c>
      <c r="F2" s="23" t="s">
        <v>22</v>
      </c>
      <c r="G2" s="11">
        <v>20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-84.615384615384613</v>
      </c>
      <c r="Q2" s="76">
        <v>13</v>
      </c>
      <c r="R2" s="63">
        <v>-1100</v>
      </c>
    </row>
    <row r="3" spans="1:18" x14ac:dyDescent="0.45">
      <c r="A3" s="19" t="s">
        <v>8</v>
      </c>
      <c r="B3" s="135">
        <v>106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0.58333333333333337</v>
      </c>
      <c r="I3" s="58">
        <v>7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1561.5384615384614</v>
      </c>
      <c r="Q3" s="77">
        <v>13</v>
      </c>
      <c r="R3" s="64">
        <v>20300</v>
      </c>
    </row>
    <row r="4" spans="1:18" x14ac:dyDescent="0.45">
      <c r="A4" s="19" t="s">
        <v>6</v>
      </c>
      <c r="B4" s="137">
        <v>-93.500000000000014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0.54166666666666663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-592.30769230769226</v>
      </c>
      <c r="Q4" s="77">
        <v>13</v>
      </c>
      <c r="R4" s="64">
        <v>-7700</v>
      </c>
    </row>
    <row r="5" spans="1:18" x14ac:dyDescent="0.45">
      <c r="A5" s="19" t="s">
        <v>7</v>
      </c>
      <c r="B5" s="125">
        <f>IF(B$2=0,0,B$4/B$2)</f>
        <v>-7.1923076923076934</v>
      </c>
      <c r="C5" s="126"/>
      <c r="E5" s="27" t="s">
        <v>159</v>
      </c>
      <c r="F5" s="24" t="s">
        <v>160</v>
      </c>
      <c r="G5" s="12">
        <v>8</v>
      </c>
      <c r="H5" s="88">
        <f>IF(B$20=0,0,G5/B$20)</f>
        <v>0.33333333333333331</v>
      </c>
      <c r="I5" s="58">
        <v>8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-3136.3636363636365</v>
      </c>
      <c r="Q5" s="77">
        <v>11</v>
      </c>
      <c r="R5" s="64">
        <v>-34500</v>
      </c>
    </row>
    <row r="6" spans="1:18" x14ac:dyDescent="0.45">
      <c r="A6" s="19" t="s">
        <v>196</v>
      </c>
      <c r="B6" s="129">
        <v>1513.7987256195274</v>
      </c>
      <c r="C6" s="130"/>
      <c r="E6" s="27" t="s">
        <v>65</v>
      </c>
      <c r="F6" s="24" t="s">
        <v>21</v>
      </c>
      <c r="G6" s="12">
        <v>5</v>
      </c>
      <c r="H6" s="88">
        <f>IF(B$20=0,0,G6/B$20)</f>
        <v>0.20833333333333334</v>
      </c>
      <c r="I6" s="58">
        <v>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-2100</v>
      </c>
      <c r="Q6" s="77">
        <v>10</v>
      </c>
      <c r="R6" s="64">
        <v>-21000</v>
      </c>
    </row>
    <row r="7" spans="1:18" x14ac:dyDescent="0.45">
      <c r="A7" s="19" t="s">
        <v>1</v>
      </c>
      <c r="B7" s="139">
        <f>IF(B$2=0,0,(B$8*1+B$9*2+B$10*3)/B$2)</f>
        <v>2.1538461538461537</v>
      </c>
      <c r="C7" s="140"/>
      <c r="E7" s="27" t="s">
        <v>67</v>
      </c>
      <c r="F7" s="24" t="s">
        <v>23</v>
      </c>
      <c r="G7" s="12">
        <v>5</v>
      </c>
      <c r="H7" s="88">
        <f>IF(B$20=0,0,G7/B$20)</f>
        <v>0.20833333333333334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-2187.5</v>
      </c>
      <c r="Q7" s="78">
        <v>8</v>
      </c>
      <c r="R7" s="65">
        <v>-17500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0.15384615384615385</v>
      </c>
      <c r="E8" s="27" t="s">
        <v>68</v>
      </c>
      <c r="F8" s="24" t="s">
        <v>12</v>
      </c>
      <c r="G8" s="12">
        <v>3</v>
      </c>
      <c r="H8" s="88">
        <f>IF(B$20=0,0,G8/B$20)</f>
        <v>0.125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0.53846153846153844</v>
      </c>
      <c r="E9" s="27" t="s">
        <v>69</v>
      </c>
      <c r="F9" s="24" t="s">
        <v>24</v>
      </c>
      <c r="G9" s="12">
        <v>3</v>
      </c>
      <c r="H9" s="88">
        <f>IF(B$20=0,0,G9/B$20)</f>
        <v>0.125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0.30769230769230771</v>
      </c>
      <c r="E10" s="27" t="s">
        <v>89</v>
      </c>
      <c r="F10" s="24" t="s">
        <v>44</v>
      </c>
      <c r="G10" s="12">
        <v>3</v>
      </c>
      <c r="H10" s="88">
        <f>IF(B$20=0,0,G10/B$20)</f>
        <v>0.125</v>
      </c>
      <c r="I10" s="58">
        <v>8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-27.324999999999999</v>
      </c>
      <c r="Q10" s="76">
        <v>4</v>
      </c>
      <c r="R10" s="67">
        <v>-109.3</v>
      </c>
    </row>
    <row r="11" spans="1:18" x14ac:dyDescent="0.45">
      <c r="A11" s="20" t="s">
        <v>184</v>
      </c>
      <c r="B11" s="109">
        <f>IF(B8=0,0,C11/B8)</f>
        <v>35.9</v>
      </c>
      <c r="C11" s="110">
        <v>71.8</v>
      </c>
      <c r="E11" s="27" t="s">
        <v>86</v>
      </c>
      <c r="F11" s="24" t="s">
        <v>41</v>
      </c>
      <c r="G11" s="12">
        <v>2</v>
      </c>
      <c r="H11" s="88">
        <f>IF(B$20=0,0,G11/B$20)</f>
        <v>8.3333333333333329E-2</v>
      </c>
      <c r="I11" s="58">
        <v>3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-13.933333333333332</v>
      </c>
      <c r="Q11" s="77">
        <v>3</v>
      </c>
      <c r="R11" s="68">
        <v>-41.8</v>
      </c>
    </row>
    <row r="12" spans="1:18" x14ac:dyDescent="0.45">
      <c r="A12" s="20" t="s">
        <v>185</v>
      </c>
      <c r="B12" s="109">
        <f>IF(B9=0,0,C12/B9)</f>
        <v>-2.1857142857142855</v>
      </c>
      <c r="C12" s="110">
        <v>-15.299999999999999</v>
      </c>
      <c r="E12" s="27" t="s">
        <v>79</v>
      </c>
      <c r="F12" s="24" t="s">
        <v>34</v>
      </c>
      <c r="G12" s="12">
        <v>1</v>
      </c>
      <c r="H12" s="88">
        <f>IF(B$20=0,0,G12/B$20)</f>
        <v>4.1666666666666664E-2</v>
      </c>
      <c r="I12" s="58">
        <v>1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9.6000000000000014</v>
      </c>
      <c r="Q12" s="78">
        <v>6</v>
      </c>
      <c r="R12" s="69">
        <v>57.600000000000009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81</v>
      </c>
      <c r="F13" s="24" t="s">
        <v>36</v>
      </c>
      <c r="G13" s="12">
        <v>1</v>
      </c>
      <c r="H13" s="88">
        <f>IF(B$20=0,0,G13/B$20)</f>
        <v>4.1666666666666664E-2</v>
      </c>
      <c r="I13" s="58">
        <v>6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-1.2619047619047616</v>
      </c>
      <c r="C14" s="126"/>
      <c r="E14" s="27" t="s">
        <v>83</v>
      </c>
      <c r="F14" s="24" t="s">
        <v>38</v>
      </c>
      <c r="G14" s="12">
        <v>1</v>
      </c>
      <c r="H14" s="88">
        <f>IF(B$20=0,0,G14/B$20)</f>
        <v>4.1666666666666664E-2</v>
      </c>
      <c r="I14" s="58">
        <v>7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7.6923076923076927E-2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24</v>
      </c>
      <c r="C16" s="10">
        <f>IF(B$3=0,0,B16/B$3)</f>
        <v>0.22641509433962265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-8.0399999999999991</v>
      </c>
      <c r="Q16" s="77">
        <v>5</v>
      </c>
      <c r="R16" s="68">
        <v>-40.199999999999996</v>
      </c>
    </row>
    <row r="17" spans="1:18" x14ac:dyDescent="0.45">
      <c r="A17" s="19" t="s">
        <v>118</v>
      </c>
      <c r="B17" s="12">
        <v>20</v>
      </c>
      <c r="C17" s="6">
        <f>IF(B$3=0,0,B17/B$3)</f>
        <v>0.18867924528301888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O17" s="74" t="s">
        <v>126</v>
      </c>
      <c r="P17" s="83">
        <f>IF(Q17=0,0,R17/Q17)</f>
        <v>-11.970000000000002</v>
      </c>
      <c r="Q17" s="77">
        <v>10</v>
      </c>
      <c r="R17" s="68">
        <v>-119.70000000000002</v>
      </c>
    </row>
    <row r="18" spans="1:18" x14ac:dyDescent="0.45">
      <c r="A18" s="18" t="s">
        <v>123</v>
      </c>
      <c r="B18" s="11">
        <f>B24</f>
        <v>13</v>
      </c>
      <c r="C18" s="5">
        <f>IF(B$16=0,0,B18/B$16)</f>
        <v>0.54166666666666663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0.45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O19" s="74" t="s">
        <v>163</v>
      </c>
      <c r="P19" s="83">
        <f>IF(Q19=0,0,R19/Q19)</f>
        <v>-36.35</v>
      </c>
      <c r="Q19" s="77">
        <v>2</v>
      </c>
      <c r="R19" s="68">
        <v>-72.7</v>
      </c>
    </row>
    <row r="20" spans="1:18" x14ac:dyDescent="0.45">
      <c r="A20" s="18" t="s">
        <v>10</v>
      </c>
      <c r="B20" s="11">
        <f>B23+B22</f>
        <v>24</v>
      </c>
      <c r="C20" s="5">
        <f>IF(B$3=0,0,B20/B$3)</f>
        <v>0.22641509433962265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11</v>
      </c>
      <c r="C21" s="6">
        <f>IF(B$3=0,0,B21/B$3)</f>
        <v>0.10377358490566038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21</v>
      </c>
      <c r="C23" s="6">
        <f>IF(B$20=0,0,B23/B$20)</f>
        <v>0.875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13</v>
      </c>
      <c r="C24" s="6">
        <f>IF(B$20=0,0,B24/B$20)</f>
        <v>0.54166666666666663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0.375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2</v>
      </c>
      <c r="C26" s="6">
        <f>IF(B$20=0,0,B26/B$20)</f>
        <v>8.3333333333333329E-2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7050</v>
      </c>
      <c r="C27" s="8">
        <v>169200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7140</v>
      </c>
      <c r="C28" s="96">
        <v>107100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6900</v>
      </c>
      <c r="C29" s="96">
        <v>62100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-5827.272727272727</v>
      </c>
      <c r="C30" s="96">
        <v>-64100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4.1666666666666664E-2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7</v>
      </c>
      <c r="C38" s="6">
        <f t="shared" si="2"/>
        <v>0.29166666666666669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0.20833333333333334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8.3333333333333329E-2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57</v>
      </c>
      <c r="H2" s="87">
        <f>IF(B$20=0,0,G2/B$20)</f>
        <v>0.80281690140845074</v>
      </c>
      <c r="I2" s="57">
        <v>5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-810.71428571428567</v>
      </c>
      <c r="Q2" s="76">
        <v>28</v>
      </c>
      <c r="R2" s="63">
        <v>-22700</v>
      </c>
    </row>
    <row r="3" spans="1:18" x14ac:dyDescent="0.45">
      <c r="A3" s="19" t="s">
        <v>8</v>
      </c>
      <c r="B3" s="135">
        <v>221</v>
      </c>
      <c r="C3" s="136"/>
      <c r="E3" s="27" t="s">
        <v>72</v>
      </c>
      <c r="F3" s="24" t="s">
        <v>27</v>
      </c>
      <c r="G3" s="12">
        <v>44</v>
      </c>
      <c r="H3" s="88">
        <f>IF(B$20=0,0,G3/B$20)</f>
        <v>0.61971830985915488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878.57142857142856</v>
      </c>
      <c r="Q3" s="77">
        <v>28</v>
      </c>
      <c r="R3" s="64">
        <v>24600</v>
      </c>
    </row>
    <row r="4" spans="1:18" x14ac:dyDescent="0.45">
      <c r="A4" s="19" t="s">
        <v>6</v>
      </c>
      <c r="B4" s="137">
        <v>106.39999999999998</v>
      </c>
      <c r="C4" s="138"/>
      <c r="E4" s="27" t="s">
        <v>64</v>
      </c>
      <c r="F4" s="24" t="s">
        <v>20</v>
      </c>
      <c r="G4" s="12">
        <v>27</v>
      </c>
      <c r="H4" s="88">
        <f>IF(B$20=0,0,G4/B$20)</f>
        <v>0.38028169014084506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2214.2857142857142</v>
      </c>
      <c r="Q4" s="77">
        <v>28</v>
      </c>
      <c r="R4" s="64">
        <v>62000</v>
      </c>
    </row>
    <row r="5" spans="1:18" x14ac:dyDescent="0.45">
      <c r="A5" s="19" t="s">
        <v>7</v>
      </c>
      <c r="B5" s="125">
        <f>IF(B$2=0,0,B$4/B$2)</f>
        <v>3.7999999999999994</v>
      </c>
      <c r="C5" s="126"/>
      <c r="E5" s="27" t="s">
        <v>67</v>
      </c>
      <c r="F5" s="24" t="s">
        <v>23</v>
      </c>
      <c r="G5" s="12">
        <v>19</v>
      </c>
      <c r="H5" s="88">
        <f>IF(B$20=0,0,G5/B$20)</f>
        <v>0.26760563380281688</v>
      </c>
      <c r="I5" s="58">
        <v>2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200</v>
      </c>
      <c r="Q5" s="77">
        <v>25</v>
      </c>
      <c r="R5" s="64">
        <v>5000</v>
      </c>
    </row>
    <row r="6" spans="1:18" x14ac:dyDescent="0.45">
      <c r="A6" s="19" t="s">
        <v>196</v>
      </c>
      <c r="B6" s="129">
        <v>1520.3458986715063</v>
      </c>
      <c r="C6" s="130"/>
      <c r="E6" s="27" t="s">
        <v>159</v>
      </c>
      <c r="F6" s="24" t="s">
        <v>160</v>
      </c>
      <c r="G6" s="12">
        <v>17</v>
      </c>
      <c r="H6" s="88">
        <f>IF(B$20=0,0,G6/B$20)</f>
        <v>0.23943661971830985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557.14285714285711</v>
      </c>
      <c r="Q6" s="77">
        <v>21</v>
      </c>
      <c r="R6" s="64">
        <v>11700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16</v>
      </c>
      <c r="H7" s="88">
        <f>IF(B$20=0,0,G7/B$20)</f>
        <v>0.22535211267605634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1431.578947368421</v>
      </c>
      <c r="Q7" s="78">
        <v>19</v>
      </c>
      <c r="R7" s="65">
        <v>27200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0.39285714285714285</v>
      </c>
      <c r="E8" s="27" t="s">
        <v>89</v>
      </c>
      <c r="F8" s="24" t="s">
        <v>44</v>
      </c>
      <c r="G8" s="12">
        <v>11</v>
      </c>
      <c r="H8" s="88">
        <f>IF(B$20=0,0,G8/B$20)</f>
        <v>0.15492957746478872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0.2857142857142857</v>
      </c>
      <c r="E9" s="27" t="s">
        <v>69</v>
      </c>
      <c r="F9" s="24" t="s">
        <v>24</v>
      </c>
      <c r="G9" s="12">
        <v>10</v>
      </c>
      <c r="H9" s="88">
        <f>IF(B$20=0,0,G9/B$20)</f>
        <v>0.14084507042253522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0.32142857142857145</v>
      </c>
      <c r="E10" s="27" t="s">
        <v>86</v>
      </c>
      <c r="F10" s="24" t="s">
        <v>41</v>
      </c>
      <c r="G10" s="12">
        <v>7</v>
      </c>
      <c r="H10" s="88">
        <f>IF(B$20=0,0,G10/B$20)</f>
        <v>9.8591549295774641E-2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32.472727272727269</v>
      </c>
      <c r="C11" s="110">
        <v>357.2</v>
      </c>
      <c r="E11" s="27" t="s">
        <v>71</v>
      </c>
      <c r="F11" s="24" t="s">
        <v>26</v>
      </c>
      <c r="G11" s="12">
        <v>6</v>
      </c>
      <c r="H11" s="88">
        <f>IF(B$20=0,0,G11/B$20)</f>
        <v>8.4507042253521125E-2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0.77499999999999969</v>
      </c>
      <c r="C12" s="110">
        <v>6.1999999999999975</v>
      </c>
      <c r="E12" s="27" t="s">
        <v>91</v>
      </c>
      <c r="F12" s="24" t="s">
        <v>46</v>
      </c>
      <c r="G12" s="12">
        <v>5</v>
      </c>
      <c r="H12" s="88">
        <f>IF(B$20=0,0,G12/B$20)</f>
        <v>7.0422535211267609E-2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11.123076923076923</v>
      </c>
      <c r="Q12" s="78">
        <v>13</v>
      </c>
      <c r="R12" s="69">
        <v>144.6</v>
      </c>
    </row>
    <row r="13" spans="1:18" x14ac:dyDescent="0.45">
      <c r="A13" s="20" t="s">
        <v>186</v>
      </c>
      <c r="B13" s="109">
        <f>IF(B10=0,0,C13/B10)</f>
        <v>-28.555555555555557</v>
      </c>
      <c r="C13" s="110">
        <v>-257</v>
      </c>
      <c r="E13" s="27" t="s">
        <v>83</v>
      </c>
      <c r="F13" s="24" t="s">
        <v>38</v>
      </c>
      <c r="G13" s="12">
        <v>4</v>
      </c>
      <c r="H13" s="88">
        <f>IF(B$20=0,0,G13/B$20)</f>
        <v>5.6338028169014086E-2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1.5640572390572369</v>
      </c>
      <c r="C14" s="126"/>
      <c r="E14" s="27" t="s">
        <v>65</v>
      </c>
      <c r="F14" s="24" t="s">
        <v>21</v>
      </c>
      <c r="G14" s="12">
        <v>3</v>
      </c>
      <c r="H14" s="88">
        <f>IF(B$20=0,0,G14/B$20)</f>
        <v>4.2253521126760563E-2</v>
      </c>
      <c r="I14" s="58">
        <v>10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7.1428571428571425E-2</v>
      </c>
      <c r="E15" s="27" t="s">
        <v>70</v>
      </c>
      <c r="F15" s="24" t="s">
        <v>25</v>
      </c>
      <c r="G15" s="12">
        <v>3</v>
      </c>
      <c r="H15" s="88">
        <f>IF(B$20=0,0,G15/B$20)</f>
        <v>4.2253521126760563E-2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45</v>
      </c>
      <c r="C16" s="10">
        <f>IF(B$3=0,0,B16/B$3)</f>
        <v>0.20361990950226244</v>
      </c>
      <c r="E16" s="27" t="s">
        <v>81</v>
      </c>
      <c r="F16" s="24" t="s">
        <v>36</v>
      </c>
      <c r="G16" s="12">
        <v>3</v>
      </c>
      <c r="H16" s="88">
        <f>IF(B$20=0,0,G16/B$20)</f>
        <v>4.2253521126760563E-2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53</v>
      </c>
      <c r="C17" s="6">
        <f>IF(B$3=0,0,B17/B$3)</f>
        <v>0.23981900452488689</v>
      </c>
      <c r="E17" s="27" t="s">
        <v>73</v>
      </c>
      <c r="F17" s="24" t="s">
        <v>28</v>
      </c>
      <c r="G17" s="12">
        <v>2</v>
      </c>
      <c r="H17" s="88">
        <f>IF(B$20=0,0,G17/B$20)</f>
        <v>2.8169014084507043E-2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 t="shared" si="2"/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26</v>
      </c>
      <c r="C18" s="5">
        <f>IF(B$16=0,0,B18/B$16)</f>
        <v>0.57777777777777772</v>
      </c>
      <c r="E18" s="27" t="s">
        <v>78</v>
      </c>
      <c r="F18" s="24" t="s">
        <v>33</v>
      </c>
      <c r="G18" s="12">
        <v>2</v>
      </c>
      <c r="H18" s="88">
        <f>IF(B$20=0,0,G18/B$20)</f>
        <v>2.8169014084507043E-2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27</v>
      </c>
      <c r="C19" s="5">
        <f>IF(B$17=0,0,B19/B$17)</f>
        <v>0.50943396226415094</v>
      </c>
      <c r="E19" s="27" t="s">
        <v>75</v>
      </c>
      <c r="F19" s="24" t="s">
        <v>30</v>
      </c>
      <c r="G19" s="12">
        <v>1</v>
      </c>
      <c r="H19" s="88">
        <f>IF(B$20=0,0,G19/B$20)</f>
        <v>1.4084507042253521E-2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 t="shared" si="2"/>
        <v>8.0399999999999974</v>
      </c>
      <c r="Q19" s="77">
        <v>5</v>
      </c>
      <c r="R19" s="68">
        <v>40.199999999999989</v>
      </c>
    </row>
    <row r="20" spans="1:18" x14ac:dyDescent="0.45">
      <c r="A20" s="18" t="s">
        <v>10</v>
      </c>
      <c r="B20" s="11">
        <f>B23+B22</f>
        <v>71</v>
      </c>
      <c r="C20" s="5">
        <f>IF(B$3=0,0,B20/B$3)</f>
        <v>0.32126696832579188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 t="shared" si="2"/>
        <v>0.2333333333333335</v>
      </c>
      <c r="Q20" s="77">
        <v>9</v>
      </c>
      <c r="R20" s="68">
        <v>2.1000000000000014</v>
      </c>
    </row>
    <row r="21" spans="1:18" x14ac:dyDescent="0.45">
      <c r="A21" s="19" t="s">
        <v>13</v>
      </c>
      <c r="B21" s="12">
        <v>32</v>
      </c>
      <c r="C21" s="6">
        <f>IF(B$3=0,0,B21/B$3)</f>
        <v>0.14479638009049775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27</v>
      </c>
      <c r="C22" s="6">
        <f>IF(B$20=0,0,B22/B$20)</f>
        <v>0.38028169014084506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-5.71875</v>
      </c>
      <c r="Q22" s="77">
        <v>16</v>
      </c>
      <c r="R22" s="68">
        <v>-91.5</v>
      </c>
    </row>
    <row r="23" spans="1:18" x14ac:dyDescent="0.45">
      <c r="A23" s="19" t="s">
        <v>11</v>
      </c>
      <c r="B23" s="12">
        <v>44</v>
      </c>
      <c r="C23" s="6">
        <f>IF(B$20=0,0,B23/B$20)</f>
        <v>0.61971830985915488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26</v>
      </c>
      <c r="C24" s="6">
        <f>IF(B$20=0,0,B24/B$20)</f>
        <v>0.36619718309859156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27</v>
      </c>
      <c r="C25" s="6">
        <f>IF(B$20=0,0,B25/B$20)</f>
        <v>0.38028169014084506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18</v>
      </c>
      <c r="C26" s="6">
        <f>IF(B$20=0,0,B26/B$20)</f>
        <v>0.25352112676056338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7802.8169014084506</v>
      </c>
      <c r="C27" s="8">
        <v>554000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8034.090909090909</v>
      </c>
      <c r="C28" s="96">
        <v>353500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7425.9259259259261</v>
      </c>
      <c r="C29" s="96">
        <v>200500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-6971.875</v>
      </c>
      <c r="C30" s="96">
        <v>-223100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4.5248868778280547E-3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8.4507042253521125E-2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3"/>
        <v>0.25352112676056338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3"/>
        <v>0.14084507042253522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3"/>
        <v>0.14084507042253522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3"/>
        <v>0.12676056338028169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7</v>
      </c>
      <c r="C42" s="6">
        <f t="shared" si="3"/>
        <v>9.8591549295774641E-2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3"/>
        <v>7.0422535211267609E-2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4.2253521126760563E-2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1.4084507042253521E-2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1.4084507042253521E-2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1.4084507042253521E-2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36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0.75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-58.333333333333336</v>
      </c>
      <c r="Q2" s="76">
        <v>36</v>
      </c>
      <c r="R2" s="63">
        <v>-2100</v>
      </c>
    </row>
    <row r="3" spans="1:18" x14ac:dyDescent="0.45">
      <c r="A3" s="19" t="s">
        <v>8</v>
      </c>
      <c r="B3" s="135">
        <v>312</v>
      </c>
      <c r="C3" s="136"/>
      <c r="E3" s="27" t="s">
        <v>72</v>
      </c>
      <c r="F3" s="24" t="s">
        <v>27</v>
      </c>
      <c r="G3" s="12">
        <v>70</v>
      </c>
      <c r="H3" s="88">
        <f>IF(B$20=0,0,G3/B$20)</f>
        <v>0.64814814814814814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2032.3529411764705</v>
      </c>
      <c r="Q3" s="77">
        <v>34</v>
      </c>
      <c r="R3" s="64">
        <v>69100</v>
      </c>
    </row>
    <row r="4" spans="1:18" x14ac:dyDescent="0.45">
      <c r="A4" s="19" t="s">
        <v>6</v>
      </c>
      <c r="B4" s="137">
        <v>334.59999999999997</v>
      </c>
      <c r="C4" s="138"/>
      <c r="E4" s="27" t="s">
        <v>159</v>
      </c>
      <c r="F4" s="24" t="s">
        <v>160</v>
      </c>
      <c r="G4" s="12">
        <v>55</v>
      </c>
      <c r="H4" s="88">
        <f>IF(B$20=0,0,G4/B$20)</f>
        <v>0.5092592592592593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217.14285714285714</v>
      </c>
      <c r="Q4" s="77">
        <v>35</v>
      </c>
      <c r="R4" s="64">
        <v>7600</v>
      </c>
    </row>
    <row r="5" spans="1:18" x14ac:dyDescent="0.45">
      <c r="A5" s="19" t="s">
        <v>7</v>
      </c>
      <c r="B5" s="125">
        <f>IF(B$2=0,0,B$4/B$2)</f>
        <v>9.2944444444444443</v>
      </c>
      <c r="C5" s="126"/>
      <c r="E5" s="27" t="s">
        <v>64</v>
      </c>
      <c r="F5" s="24" t="s">
        <v>20</v>
      </c>
      <c r="G5" s="12">
        <v>36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1178.125</v>
      </c>
      <c r="Q5" s="77">
        <v>32</v>
      </c>
      <c r="R5" s="64">
        <v>37700</v>
      </c>
    </row>
    <row r="6" spans="1:18" x14ac:dyDescent="0.45">
      <c r="A6" s="19" t="s">
        <v>196</v>
      </c>
      <c r="B6" s="129">
        <v>1589.9026760335635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0.25925925925925924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1513.3333333333333</v>
      </c>
      <c r="Q6" s="77">
        <v>30</v>
      </c>
      <c r="R6" s="64">
        <v>45400</v>
      </c>
    </row>
    <row r="7" spans="1:18" x14ac:dyDescent="0.45">
      <c r="A7" s="19" t="s">
        <v>1</v>
      </c>
      <c r="B7" s="139">
        <f>IF(B$2=0,0,(B$8*1+B$9*2+B$10*3)/B$2)</f>
        <v>1.6944444444444444</v>
      </c>
      <c r="C7" s="140"/>
      <c r="E7" s="27" t="s">
        <v>70</v>
      </c>
      <c r="F7" s="24" t="s">
        <v>25</v>
      </c>
      <c r="G7" s="12">
        <v>16</v>
      </c>
      <c r="H7" s="88">
        <f>IF(B$20=0,0,G7/B$20)</f>
        <v>0.14814814814814814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279.16666666666669</v>
      </c>
      <c r="Q7" s="78">
        <v>24</v>
      </c>
      <c r="R7" s="65">
        <v>6700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0.12962962962962962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11</v>
      </c>
      <c r="C9" s="6">
        <f t="shared" si="1"/>
        <v>0.30555555555555558</v>
      </c>
      <c r="E9" s="27" t="s">
        <v>89</v>
      </c>
      <c r="F9" s="24" t="s">
        <v>44</v>
      </c>
      <c r="G9" s="12">
        <v>12</v>
      </c>
      <c r="H9" s="88">
        <f>IF(B$20=0,0,G9/B$20)</f>
        <v>0.1111111111111111</v>
      </c>
      <c r="I9" s="58">
        <v>10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0.19444444444444445</v>
      </c>
      <c r="E10" s="27" t="s">
        <v>69</v>
      </c>
      <c r="F10" s="24" t="s">
        <v>24</v>
      </c>
      <c r="G10" s="12">
        <v>9</v>
      </c>
      <c r="H10" s="88">
        <f>IF(B$20=0,0,G10/B$20)</f>
        <v>8.3333333333333329E-2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71</v>
      </c>
      <c r="F11" s="24" t="s">
        <v>26</v>
      </c>
      <c r="G11" s="12">
        <v>9</v>
      </c>
      <c r="H11" s="88">
        <f>IF(B$20=0,0,G11/B$20)</f>
        <v>8.3333333333333329E-2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-5.6454545454545446</v>
      </c>
      <c r="C12" s="110">
        <v>-62.099999999999994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4.6296296296296294E-2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7.5428571428571427</v>
      </c>
      <c r="Q12" s="78">
        <v>7</v>
      </c>
      <c r="R12" s="69">
        <v>52.8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3.7037037037037035E-2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-1.7495430495430508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2.7777777777777776E-2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5.5555555555555552E-2</v>
      </c>
      <c r="E15" s="27" t="s">
        <v>81</v>
      </c>
      <c r="F15" s="24" t="s">
        <v>36</v>
      </c>
      <c r="G15" s="12">
        <v>3</v>
      </c>
      <c r="H15" s="88">
        <f>IF(B$20=0,0,G15/B$20)</f>
        <v>2.7777777777777776E-2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0.21474358974358973</v>
      </c>
      <c r="E16" s="27" t="s">
        <v>86</v>
      </c>
      <c r="F16" s="24" t="s">
        <v>41</v>
      </c>
      <c r="G16" s="12">
        <v>3</v>
      </c>
      <c r="H16" s="88">
        <f>IF(B$20=0,0,G16/B$20)</f>
        <v>2.7777777777777776E-2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80</v>
      </c>
      <c r="C17" s="6">
        <f>IF(B$3=0,0,B17/B$3)</f>
        <v>0.25641025641025639</v>
      </c>
      <c r="E17" s="27" t="s">
        <v>83</v>
      </c>
      <c r="F17" s="24" t="s">
        <v>38</v>
      </c>
      <c r="G17" s="12">
        <v>2</v>
      </c>
      <c r="H17" s="88">
        <f>IF(B$20=0,0,G17/B$20)</f>
        <v>1.8518518518518517E-2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19.570588235294117</v>
      </c>
      <c r="Q17" s="77">
        <v>17</v>
      </c>
      <c r="R17" s="68">
        <v>332.7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9.2592592592592587E-3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38</v>
      </c>
      <c r="C19" s="5">
        <f>IF(B$17=0,0,B19/B$17)</f>
        <v>0.47499999999999998</v>
      </c>
      <c r="E19" s="27" t="s">
        <v>88</v>
      </c>
      <c r="F19" s="24" t="s">
        <v>43</v>
      </c>
      <c r="G19" s="12">
        <v>1</v>
      </c>
      <c r="H19" s="88">
        <f>IF(B$20=0,0,G19/B$20)</f>
        <v>9.2592592592592587E-3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108</v>
      </c>
      <c r="C20" s="5">
        <f>IF(B$3=0,0,B20/B$3)</f>
        <v>0.34615384615384615</v>
      </c>
      <c r="E20" s="27" t="s">
        <v>92</v>
      </c>
      <c r="F20" s="24" t="s">
        <v>47</v>
      </c>
      <c r="G20" s="12">
        <v>1</v>
      </c>
      <c r="H20" s="88">
        <f>IF(B$20=0,0,G20/B$20)</f>
        <v>9.2592592592592587E-3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14.226666666666663</v>
      </c>
      <c r="Q20" s="77">
        <v>30</v>
      </c>
      <c r="R20" s="68">
        <v>426.7999999999999</v>
      </c>
    </row>
    <row r="21" spans="1:18" x14ac:dyDescent="0.45">
      <c r="A21" s="19" t="s">
        <v>13</v>
      </c>
      <c r="B21" s="12">
        <v>39</v>
      </c>
      <c r="C21" s="6">
        <f>IF(B$3=0,0,B21/B$3)</f>
        <v>0.125</v>
      </c>
      <c r="E21" s="27" t="s">
        <v>102</v>
      </c>
      <c r="F21" s="24" t="s">
        <v>57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45</v>
      </c>
      <c r="C22" s="6">
        <f>IF(B$20=0,0,B22/B$20)</f>
        <v>0.41666666666666669</v>
      </c>
      <c r="E22" s="27" t="s">
        <v>155</v>
      </c>
      <c r="F22" s="24" t="s">
        <v>156</v>
      </c>
      <c r="G22" s="12">
        <v>1</v>
      </c>
      <c r="H22" s="88">
        <f>IF(B$20=0,0,G22/B$20)</f>
        <v>9.2592592592592587E-3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63</v>
      </c>
      <c r="C23" s="6">
        <f>IF(B$20=0,0,B23/B$20)</f>
        <v>0.58333333333333337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0.32407407407407407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38</v>
      </c>
      <c r="C25" s="6">
        <f>IF(B$20=0,0,B25/B$20)</f>
        <v>0.35185185185185186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35</v>
      </c>
      <c r="C26" s="6">
        <f>IF(B$20=0,0,B26/B$20)</f>
        <v>0.32407407407407407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7805.5555555555557</v>
      </c>
      <c r="C27" s="8">
        <v>843000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9262.8571428571431</v>
      </c>
      <c r="C28" s="96">
        <v>648400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5121.0526315789475</v>
      </c>
      <c r="C29" s="96">
        <v>194600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51</v>
      </c>
      <c r="C32" s="90">
        <v>51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2">IF(B$20=0,0,B37/B$20)</f>
        <v>9.2592592592592587E-2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25</v>
      </c>
      <c r="C38" s="6">
        <f t="shared" si="2"/>
        <v>0.23148148148148148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24</v>
      </c>
      <c r="C39" s="6">
        <f t="shared" si="2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17</v>
      </c>
      <c r="C40" s="6">
        <f t="shared" si="2"/>
        <v>0.15740740740740741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15</v>
      </c>
      <c r="C41" s="6">
        <f t="shared" si="2"/>
        <v>0.1388888888888889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2"/>
        <v>2.7777777777777776E-2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2"/>
        <v>7.407407407407407E-2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1.8518518518518517E-2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9.2592592592592587E-3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9.2592592592592587E-3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1.8518518518518517E-2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7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-3500</v>
      </c>
      <c r="Q5" s="77">
        <v>7</v>
      </c>
      <c r="R5" s="64">
        <v>-24500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3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6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7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2020-11-12T12:03:34Z</dcterms:modified>
</cp:coreProperties>
</file>