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4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6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7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CBC7ADB0-EFF3-4D01-87A9-FDBC5BEF6BF6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いっしー" sheetId="7004" r:id="rId18"/>
    <sheet name="いっしー2" sheetId="7005" state="hidden" r:id="rId19"/>
    <sheet name="やなぎ2" sheetId="7003" state="hidden" r:id="rId20"/>
    <sheet name="わさび2" sheetId="7001" state="hidden" r:id="rId21"/>
    <sheet name="りくと2" sheetId="6999" state="hidden" r:id="rId22"/>
    <sheet name="のり2" sheetId="6997" state="hidden" r:id="rId23"/>
    <sheet name="たか2" sheetId="6995" state="hidden" r:id="rId24"/>
    <sheet name="ただ2" sheetId="6993" state="hidden" r:id="rId25"/>
    <sheet name="いちかわ2" sheetId="6991" state="hidden" r:id="rId26"/>
    <sheet name="まっつん2" sheetId="6989" state="hidden" r:id="rId27"/>
    <sheet name="たかの2" sheetId="6987" state="hidden" r:id="rId28"/>
    <sheet name="れんたろう2" sheetId="6985" state="hidden" r:id="rId29"/>
    <sheet name="だいち2" sheetId="6983" state="hidden" r:id="rId30"/>
    <sheet name="全体2" sheetId="698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リーチ率" sheetId="3524" state="hidden" r:id="rId42"/>
    <sheet name="副露率" sheetId="3525" state="hidden" r:id="rId43"/>
    <sheet name="リーチ成功率" sheetId="4841" state="hidden" r:id="rId44"/>
    <sheet name="副露成功率" sheetId="3527" state="hidden" r:id="rId45"/>
    <sheet name="ツモ率" sheetId="3528" state="hidden" r:id="rId46"/>
  </sheets>
  <definedNames>
    <definedName name="アガリ数" localSheetId="3">Template1!$B$20</definedName>
    <definedName name="アガリ数" localSheetId="10">いちかわ!$B$20</definedName>
    <definedName name="アガリ数" localSheetId="17">いっしー!$B$20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17">いっしー!$C$20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17">いっしー!$B$26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17">いっしー!$C$26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17">いっしー!$B$35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17">いっしー!$C$35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17">いっしー!$B$22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17">いっしー!$C$22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17">いっしー!$B$8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17">いっしー!$C$8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17">いっしー!$B$14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17">いっしー!$B$15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17">いっしー!$C$15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17">いっしー!$B$10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17">いっしー!$C$10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17">いっしー!$B$24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17">いっしー!$C$24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17">いっしー!$B$16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17">いっしー!$B$18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17">いっしー!$C$18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17">いっしー!$C$16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17">いっしー!$B$6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17">いっしー!$B$23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17">いっしー!$C$23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17">いっしー!$B$11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17">いっしー!$C$11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17">いっしー!$B$37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17">いっしー!$C$37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17">いっしー!$C$31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17">いっしー!$C$32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17">いっしー!$B$34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17">いっしー!$B$33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17">いっしー!$B$34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17">いっしー!$B$13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17">いっしー!$C$13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17">いっしー!$B$3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17">いっしー!$B$2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17">いっしー!$C$27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17">いっしー!$B$4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17">いっしー!$C$29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17">いっしー!$C$30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17">いっしー!$C$28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17">いっしー!$B$12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17">いっしー!$B$9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17">いっしー!$C$12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17">いっしー!$C$9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17">いっしー!$B$25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17">いっしー!$B$29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17">いっしー!$C$25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17">いっしー!$B$17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17">いっしー!$B$19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17">いっしー!$C$19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17">いっしー!$C$17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17">いっしー!$B$27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17">いっしー!$B$5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17">いっしー!$B$7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17">いっしー!$B$30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17">いっしー!$B$21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17">いっしー!$C$21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17">いっしー!$B$1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17">いっしー!$B$28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17">いっしー!$B$31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17">いっしー!$B$32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982" l="1"/>
  <c r="P16" i="6984"/>
  <c r="P15" i="6980"/>
  <c r="P16" i="7004"/>
  <c r="P15" i="7004"/>
  <c r="C35" i="7004"/>
  <c r="B30" i="7004"/>
  <c r="C21" i="7004"/>
  <c r="B20" i="7004"/>
  <c r="H51" i="7004" s="1"/>
  <c r="B19" i="7004"/>
  <c r="B29" i="7004" s="1"/>
  <c r="B18" i="7004"/>
  <c r="C18" i="7004" s="1"/>
  <c r="C17" i="7004"/>
  <c r="C16" i="7004"/>
  <c r="C15" i="7004"/>
  <c r="B14" i="7004"/>
  <c r="B13" i="7004"/>
  <c r="P12" i="7004"/>
  <c r="B12" i="7004"/>
  <c r="P11" i="7004"/>
  <c r="B11" i="7004"/>
  <c r="P10" i="7004"/>
  <c r="C10" i="7004"/>
  <c r="C9" i="7004"/>
  <c r="C8" i="7004"/>
  <c r="P7" i="7004"/>
  <c r="B7" i="7004"/>
  <c r="P6" i="7004"/>
  <c r="P5" i="7004"/>
  <c r="B5" i="7004"/>
  <c r="P4" i="7004"/>
  <c r="P3" i="7004"/>
  <c r="P2" i="7004"/>
  <c r="C19" i="7004" l="1"/>
  <c r="H6" i="7004"/>
  <c r="H4" i="7004"/>
  <c r="H10" i="7004"/>
  <c r="H19" i="7004"/>
  <c r="C39" i="7004"/>
  <c r="H46" i="7004"/>
  <c r="H40" i="7004"/>
  <c r="H13" i="7004"/>
  <c r="H47" i="7004"/>
  <c r="H14" i="7004"/>
  <c r="H32" i="7004"/>
  <c r="C23" i="7004"/>
  <c r="H16" i="7004"/>
  <c r="C24" i="7004"/>
  <c r="H5" i="7004"/>
  <c r="H25" i="7004"/>
  <c r="C47" i="7004"/>
  <c r="H42" i="7004"/>
  <c r="H48" i="7004"/>
  <c r="H49" i="7004"/>
  <c r="H41" i="7004"/>
  <c r="H35" i="7004"/>
  <c r="H3" i="7004"/>
  <c r="C26" i="7004"/>
  <c r="H43" i="7004"/>
  <c r="H2" i="7004"/>
  <c r="H17" i="7004"/>
  <c r="H22" i="7004"/>
  <c r="C43" i="7004"/>
  <c r="H50" i="7004"/>
  <c r="H34" i="7004"/>
  <c r="H9" i="7004"/>
  <c r="H8" i="7004"/>
  <c r="H20" i="7004"/>
  <c r="B27" i="7004"/>
  <c r="H37" i="7004"/>
  <c r="H38" i="7004"/>
  <c r="H44" i="7004"/>
  <c r="H7" i="7004"/>
  <c r="H12" i="7004"/>
  <c r="C25" i="7004"/>
  <c r="C20" i="7004"/>
  <c r="B28" i="7004"/>
  <c r="H15" i="7004"/>
  <c r="H18" i="7004"/>
  <c r="C22" i="7004"/>
  <c r="H29" i="7004"/>
  <c r="H39" i="7004"/>
  <c r="H45" i="7004"/>
  <c r="H52" i="7004"/>
  <c r="H21" i="7004"/>
  <c r="H11" i="7004"/>
  <c r="H26" i="7004"/>
  <c r="H30" i="7004"/>
  <c r="H36" i="7004"/>
  <c r="C40" i="7004"/>
  <c r="C44" i="7004"/>
  <c r="C48" i="7004"/>
  <c r="H23" i="7004"/>
  <c r="H27" i="7004"/>
  <c r="H31" i="7004"/>
  <c r="C37" i="7004"/>
  <c r="C41" i="7004"/>
  <c r="C45" i="7004"/>
  <c r="C49" i="7004"/>
  <c r="H24" i="7004"/>
  <c r="H28" i="7004"/>
  <c r="H33" i="7004"/>
  <c r="C38" i="7004"/>
  <c r="C42" i="7004"/>
  <c r="C46" i="7004"/>
  <c r="P17" i="6992" l="1"/>
  <c r="P16" i="7002"/>
  <c r="P15" i="6982" l="1"/>
  <c r="P19" i="6984"/>
  <c r="P16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7" i="6984"/>
  <c r="P21" i="6998" l="1"/>
  <c r="P15" i="6986"/>
  <c r="P18" i="6998" l="1"/>
  <c r="P18" i="6988"/>
  <c r="P21" i="6984" l="1"/>
  <c r="P16" i="6988"/>
  <c r="P15" i="6998" l="1"/>
  <c r="P24" i="6984"/>
  <c r="P16" i="6986" l="1"/>
  <c r="P20" i="6988"/>
  <c r="P22" i="6992"/>
  <c r="P15" i="6988"/>
  <c r="P19" i="6994" l="1"/>
  <c r="P17" i="6986"/>
  <c r="P19" i="6998" l="1"/>
  <c r="P18" i="6982"/>
  <c r="P23" i="6990" l="1"/>
  <c r="P18" i="6986"/>
  <c r="P15" i="6992" l="1"/>
  <c r="P19" i="6992"/>
  <c r="P20" i="6998"/>
  <c r="P17" i="7000"/>
  <c r="P16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8" i="6980"/>
  <c r="P17" i="6998"/>
  <c r="P16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9" i="6980"/>
  <c r="C41" i="6998" l="1"/>
  <c r="C23" i="6998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2" i="6998"/>
  <c r="H17" i="6998"/>
  <c r="H15" i="6998"/>
  <c r="C24" i="6998"/>
  <c r="H38" i="6998"/>
  <c r="C43" i="6998"/>
  <c r="C49" i="6998"/>
  <c r="H26" i="6998"/>
  <c r="H39" i="6998"/>
  <c r="H44" i="6998"/>
  <c r="H50" i="6998"/>
  <c r="H14" i="6998"/>
  <c r="C20" i="6998"/>
  <c r="C25" i="6998"/>
  <c r="H32" i="6998"/>
  <c r="C39" i="6998"/>
  <c r="H45" i="6998"/>
  <c r="H3" i="6998"/>
  <c r="H31" i="6998"/>
  <c r="H6" i="6998"/>
  <c r="H2" i="6998"/>
  <c r="H8" i="6998"/>
  <c r="H13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1" i="6998"/>
  <c r="H33" i="6998"/>
  <c r="C38" i="6998"/>
  <c r="C42" i="6998"/>
  <c r="C46" i="6998"/>
  <c r="P23" i="6984" l="1"/>
  <c r="P20" i="6992"/>
  <c r="P15" i="6990"/>
  <c r="P16" i="6992"/>
  <c r="P23" i="6992"/>
  <c r="P18" i="6994"/>
  <c r="P17" i="6990"/>
  <c r="P20" i="6994"/>
  <c r="P22" i="6984"/>
  <c r="P15" i="6984"/>
  <c r="P18" i="6996" l="1"/>
  <c r="P16" i="6994"/>
  <c r="P17" i="6982"/>
  <c r="P20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8" i="6990"/>
  <c r="P17" i="6980"/>
  <c r="P20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3" i="6994"/>
  <c r="H19" i="6994"/>
  <c r="H22" i="6994"/>
  <c r="C24" i="6994"/>
  <c r="B28" i="6994"/>
  <c r="H34" i="6994"/>
  <c r="H39" i="6994"/>
  <c r="H43" i="6994"/>
  <c r="H47" i="6994"/>
  <c r="H5" i="6994"/>
  <c r="H24" i="6994"/>
  <c r="H12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1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4" i="6982"/>
  <c r="P26" i="6980"/>
  <c r="C19" i="6992" l="1"/>
  <c r="B14" i="6992"/>
  <c r="C20" i="6992"/>
  <c r="H3" i="6992"/>
  <c r="H31" i="6992"/>
  <c r="H35" i="6992"/>
  <c r="C38" i="6992"/>
  <c r="C46" i="6992"/>
  <c r="H2" i="6992"/>
  <c r="H11" i="6992"/>
  <c r="H25" i="6992"/>
  <c r="H16" i="6992"/>
  <c r="C24" i="6992"/>
  <c r="B28" i="6992"/>
  <c r="H36" i="6992"/>
  <c r="H41" i="6992"/>
  <c r="H44" i="6992"/>
  <c r="H48" i="6992"/>
  <c r="H4" i="6992"/>
  <c r="H29" i="6992"/>
  <c r="H13" i="6992"/>
  <c r="H21" i="6992"/>
  <c r="H37" i="6992"/>
  <c r="C39" i="6992"/>
  <c r="C43" i="6992"/>
  <c r="C47" i="6992"/>
  <c r="H52" i="6992"/>
  <c r="H19" i="6992"/>
  <c r="H26" i="6992"/>
  <c r="C25" i="6992"/>
  <c r="H42" i="6992"/>
  <c r="H45" i="6992"/>
  <c r="H49" i="6992"/>
  <c r="H8" i="6992"/>
  <c r="C42" i="6992"/>
  <c r="H18" i="6992"/>
  <c r="H7" i="6992"/>
  <c r="H9" i="6992"/>
  <c r="H28" i="6992"/>
  <c r="H15" i="6992"/>
  <c r="H32" i="6992"/>
  <c r="H33" i="6992"/>
  <c r="H38" i="6992"/>
  <c r="C40" i="6992"/>
  <c r="C44" i="6992"/>
  <c r="C48" i="6992"/>
  <c r="H5" i="6992"/>
  <c r="H27" i="6992"/>
  <c r="C22" i="6992"/>
  <c r="C26" i="6992"/>
  <c r="H39" i="6992"/>
  <c r="H23" i="6992"/>
  <c r="H46" i="6992"/>
  <c r="H50" i="6992"/>
  <c r="H6" i="6992"/>
  <c r="H10" i="6992"/>
  <c r="H24" i="6992"/>
  <c r="H30" i="6992"/>
  <c r="H20" i="6992"/>
  <c r="H22" i="6992"/>
  <c r="C37" i="6992"/>
  <c r="C41" i="6992"/>
  <c r="C45" i="6992"/>
  <c r="C49" i="6992"/>
  <c r="H12" i="6992"/>
  <c r="H14" i="6992"/>
  <c r="H17" i="6992"/>
  <c r="C23" i="6992"/>
  <c r="B27" i="6992"/>
  <c r="H34" i="6992"/>
  <c r="H40" i="6992"/>
  <c r="H43" i="6992"/>
  <c r="H47" i="6992"/>
  <c r="P23" i="6982" l="1"/>
  <c r="P21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4" i="6980"/>
  <c r="P19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5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0" i="6990"/>
  <c r="C24" i="6990"/>
  <c r="B28" i="6990"/>
  <c r="H34" i="6990"/>
  <c r="H39" i="6990"/>
  <c r="H43" i="6990"/>
  <c r="H47" i="6990"/>
  <c r="H5" i="6990"/>
  <c r="H26" i="6990"/>
  <c r="H11" i="6990"/>
  <c r="H31" i="6990"/>
  <c r="H35" i="6990"/>
  <c r="C39" i="6990"/>
  <c r="C43" i="6990"/>
  <c r="C47" i="6990"/>
  <c r="H52" i="6990"/>
  <c r="H18" i="6990"/>
  <c r="H23" i="6990"/>
  <c r="C25" i="6990"/>
  <c r="H40" i="6990"/>
  <c r="H44" i="6990"/>
  <c r="H48" i="6990"/>
  <c r="H33" i="6990"/>
  <c r="C42" i="6990"/>
  <c r="H51" i="6990"/>
  <c r="H2" i="6990"/>
  <c r="H6" i="6990"/>
  <c r="H14" i="6990"/>
  <c r="H25" i="6990"/>
  <c r="H13" i="6990"/>
  <c r="H29" i="6990"/>
  <c r="H17" i="6990"/>
  <c r="H36" i="6990"/>
  <c r="C40" i="6990"/>
  <c r="C44" i="6990"/>
  <c r="C48" i="6990"/>
  <c r="H4" i="6990"/>
  <c r="H24" i="6990"/>
  <c r="C22" i="6990"/>
  <c r="C26" i="6990"/>
  <c r="H37" i="6990"/>
  <c r="H41" i="6990"/>
  <c r="H45" i="6990"/>
  <c r="H49" i="6990"/>
  <c r="H7" i="6990"/>
  <c r="H12" i="6990"/>
  <c r="H22" i="6990"/>
  <c r="H27" i="6990"/>
  <c r="H30" i="6990"/>
  <c r="H32" i="6990"/>
  <c r="C37" i="6990"/>
  <c r="C41" i="6990"/>
  <c r="C45" i="6990"/>
  <c r="C49" i="6990"/>
  <c r="H10" i="6990"/>
  <c r="H15" i="6990"/>
  <c r="H16" i="6990"/>
  <c r="C23" i="6990"/>
  <c r="B27" i="6990"/>
  <c r="H21" i="6990"/>
  <c r="H38" i="6990"/>
  <c r="H42" i="6990"/>
  <c r="H46" i="6990"/>
  <c r="C20" i="6988"/>
  <c r="H3" i="6988"/>
  <c r="H28" i="6988"/>
  <c r="H33" i="6988"/>
  <c r="C42" i="6988"/>
  <c r="H51" i="6988"/>
  <c r="H2" i="6988"/>
  <c r="H9" i="6988"/>
  <c r="H23" i="6988"/>
  <c r="H17" i="6988"/>
  <c r="C24" i="6988"/>
  <c r="B28" i="6988"/>
  <c r="H34" i="6988"/>
  <c r="H39" i="6988"/>
  <c r="H43" i="6988"/>
  <c r="H47" i="6988"/>
  <c r="H5" i="6988"/>
  <c r="H26" i="6988"/>
  <c r="H11" i="6988"/>
  <c r="H19" i="6988"/>
  <c r="H35" i="6988"/>
  <c r="C39" i="6988"/>
  <c r="C43" i="6988"/>
  <c r="C47" i="6988"/>
  <c r="H52" i="6988"/>
  <c r="H21" i="6988"/>
  <c r="H24" i="6988"/>
  <c r="C25" i="6988"/>
  <c r="H40" i="6988"/>
  <c r="H44" i="6988"/>
  <c r="H48" i="6988"/>
  <c r="H10" i="6988"/>
  <c r="C38" i="6988"/>
  <c r="C46" i="6988"/>
  <c r="H7" i="6988"/>
  <c r="H12" i="6988"/>
  <c r="H25" i="6988"/>
  <c r="H13" i="6988"/>
  <c r="H29" i="6988"/>
  <c r="H20" i="6988"/>
  <c r="H36" i="6988"/>
  <c r="C40" i="6988"/>
  <c r="C44" i="6988"/>
  <c r="C48" i="6988"/>
  <c r="H4" i="6988"/>
  <c r="H18" i="6988"/>
  <c r="C22" i="6988"/>
  <c r="C26" i="6988"/>
  <c r="H37" i="6988"/>
  <c r="H41" i="6988"/>
  <c r="H45" i="6988"/>
  <c r="H49" i="6988"/>
  <c r="H6" i="6988"/>
  <c r="H16" i="6988"/>
  <c r="H22" i="6988"/>
  <c r="H27" i="6988"/>
  <c r="H30" i="6988"/>
  <c r="H31" i="6988"/>
  <c r="C37" i="6988"/>
  <c r="C41" i="6988"/>
  <c r="C45" i="6988"/>
  <c r="C49" i="6988"/>
  <c r="H8" i="6988"/>
  <c r="H14" i="6988"/>
  <c r="H15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0" i="6984"/>
  <c r="P18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3" i="6980"/>
  <c r="P22" i="6982"/>
  <c r="P19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2" i="6980"/>
  <c r="P21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C43" i="6984" l="1"/>
  <c r="B14" i="6984"/>
  <c r="H9" i="6984"/>
  <c r="C19" i="6984"/>
  <c r="H10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9" i="6984"/>
  <c r="H7" i="6984"/>
  <c r="H22" i="6984"/>
  <c r="C22" i="6984"/>
  <c r="H2" i="6984"/>
  <c r="H21" i="6984"/>
  <c r="H4" i="6984"/>
  <c r="H30" i="6984"/>
  <c r="C41" i="6984"/>
  <c r="C19" i="6986"/>
  <c r="C20" i="6986"/>
  <c r="H2" i="6986"/>
  <c r="H30" i="6986"/>
  <c r="H8" i="6986"/>
  <c r="H34" i="6986"/>
  <c r="C38" i="6986"/>
  <c r="C42" i="6986"/>
  <c r="C46" i="6986"/>
  <c r="H51" i="6986"/>
  <c r="H3" i="6986"/>
  <c r="H10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9" i="6986"/>
  <c r="H27" i="6986"/>
  <c r="H13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2" i="6986"/>
  <c r="H23" i="6986"/>
  <c r="H29" i="6986"/>
  <c r="H19" i="6986"/>
  <c r="H33" i="6986"/>
  <c r="C37" i="6986"/>
  <c r="C41" i="6986"/>
  <c r="C45" i="6986"/>
  <c r="C49" i="6986"/>
  <c r="H11" i="6986"/>
  <c r="H15" i="6986"/>
  <c r="H14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3" i="6984"/>
  <c r="C39" i="6984"/>
  <c r="C49" i="6984"/>
  <c r="H41" i="6984"/>
  <c r="H52" i="6984"/>
  <c r="H28" i="6984"/>
  <c r="H14" i="6984"/>
  <c r="H31" i="6984"/>
  <c r="H15" i="6984"/>
  <c r="H37" i="6984"/>
  <c r="C40" i="6984"/>
  <c r="C44" i="6984"/>
  <c r="C48" i="6984"/>
  <c r="H38" i="6984"/>
  <c r="H42" i="6984"/>
  <c r="H46" i="6984"/>
  <c r="H50" i="6984"/>
  <c r="H18" i="6984"/>
  <c r="H17" i="6984"/>
  <c r="C23" i="6984"/>
  <c r="B27" i="6984"/>
  <c r="H33" i="6984"/>
  <c r="H39" i="6984"/>
  <c r="H43" i="6984"/>
  <c r="H47" i="6984"/>
  <c r="H51" i="6984"/>
  <c r="H20" i="6984"/>
  <c r="H8" i="6984"/>
  <c r="H34" i="6984"/>
  <c r="C38" i="6984"/>
  <c r="C42" i="6984"/>
  <c r="C46" i="6984"/>
  <c r="H16" i="6984"/>
  <c r="C24" i="6984"/>
  <c r="B28" i="6984"/>
  <c r="H35" i="6984"/>
  <c r="H40" i="6984"/>
  <c r="H44" i="6984"/>
  <c r="H48" i="6984"/>
  <c r="C19" i="6980"/>
  <c r="C20" i="6982"/>
  <c r="H3" i="6982"/>
  <c r="H21" i="6982"/>
  <c r="H34" i="6982"/>
  <c r="C42" i="6982"/>
  <c r="H15" i="6982"/>
  <c r="H2" i="6982"/>
  <c r="H8" i="6982"/>
  <c r="H22" i="6982"/>
  <c r="H18" i="6982"/>
  <c r="C24" i="6982"/>
  <c r="B28" i="6982"/>
  <c r="H35" i="6982"/>
  <c r="H40" i="6982"/>
  <c r="H44" i="6982"/>
  <c r="H48" i="6982"/>
  <c r="H5" i="6982"/>
  <c r="H31" i="6982"/>
  <c r="H12" i="6982"/>
  <c r="H26" i="6982"/>
  <c r="H36" i="6982"/>
  <c r="C39" i="6982"/>
  <c r="C43" i="6982"/>
  <c r="C47" i="6982"/>
  <c r="H52" i="6982"/>
  <c r="H20" i="6982"/>
  <c r="H29" i="6982"/>
  <c r="C25" i="6982"/>
  <c r="H41" i="6982"/>
  <c r="H45" i="6982"/>
  <c r="H49" i="6982"/>
  <c r="H10" i="6982"/>
  <c r="C38" i="6982"/>
  <c r="C46" i="6982"/>
  <c r="H7" i="6982"/>
  <c r="H9" i="6982"/>
  <c r="H23" i="6982"/>
  <c r="H13" i="6982"/>
  <c r="H32" i="6982"/>
  <c r="H17" i="6982"/>
  <c r="H37" i="6982"/>
  <c r="C40" i="6982"/>
  <c r="C44" i="6982"/>
  <c r="C48" i="6982"/>
  <c r="H4" i="6982"/>
  <c r="H30" i="6982"/>
  <c r="C22" i="6982"/>
  <c r="C26" i="6982"/>
  <c r="H38" i="6982"/>
  <c r="H42" i="6982"/>
  <c r="H46" i="6982"/>
  <c r="H50" i="6982"/>
  <c r="H6" i="6982"/>
  <c r="H14" i="6982"/>
  <c r="H28" i="6982"/>
  <c r="H24" i="6982"/>
  <c r="H25" i="6982"/>
  <c r="H27" i="6982"/>
  <c r="C37" i="6982"/>
  <c r="C41" i="6982"/>
  <c r="C45" i="6982"/>
  <c r="C49" i="6982"/>
  <c r="H11" i="6982"/>
  <c r="H16" i="6982"/>
  <c r="H19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9" i="6980"/>
  <c r="C39" i="6980"/>
  <c r="C45" i="6980"/>
  <c r="H33" i="6980"/>
  <c r="H9" i="6980"/>
  <c r="H2" i="6980"/>
  <c r="H10" i="6980"/>
  <c r="H46" i="6980"/>
  <c r="H7" i="6980"/>
  <c r="H13" i="6980"/>
  <c r="H22" i="6980"/>
  <c r="H25" i="6980"/>
  <c r="H48" i="6980"/>
  <c r="H26" i="6980"/>
  <c r="H43" i="6980"/>
  <c r="C47" i="6980"/>
  <c r="H49" i="6980"/>
  <c r="H23" i="6980"/>
  <c r="C25" i="6980"/>
  <c r="H30" i="6980"/>
  <c r="H6" i="6980"/>
  <c r="H12" i="6980"/>
  <c r="H32" i="6980"/>
  <c r="C26" i="6980"/>
  <c r="C41" i="6980"/>
  <c r="C49" i="6980"/>
  <c r="C20" i="6980"/>
  <c r="H38" i="6980"/>
  <c r="H11" i="6980"/>
  <c r="H34" i="6980"/>
  <c r="H45" i="6980"/>
  <c r="H5" i="6980"/>
  <c r="H37" i="6980"/>
  <c r="H24" i="6980"/>
  <c r="H3" i="6980"/>
  <c r="H19" i="6980"/>
  <c r="B28" i="6980"/>
  <c r="H40" i="6980"/>
  <c r="C43" i="6980"/>
  <c r="H52" i="6980"/>
  <c r="H28" i="6980"/>
  <c r="H14" i="6980"/>
  <c r="H35" i="6980"/>
  <c r="H17" i="6980"/>
  <c r="H39" i="6980"/>
  <c r="C40" i="6980"/>
  <c r="C44" i="6980"/>
  <c r="C48" i="6980"/>
  <c r="H31" i="6980"/>
  <c r="H50" i="6980"/>
  <c r="H16" i="6980"/>
  <c r="H15" i="6980"/>
  <c r="C23" i="6980"/>
  <c r="B27" i="6980"/>
  <c r="H27" i="6980"/>
  <c r="H41" i="6980"/>
  <c r="H44" i="6980"/>
  <c r="H47" i="6980"/>
  <c r="H51" i="6980"/>
  <c r="H21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<sst xmlns="http://schemas.openxmlformats.org/spreadsheetml/2006/main" count="3533" uniqueCount="274">
  <si>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</si>
  <si>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</si>
  <si>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</si>
  <si>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</si>
  <si>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</si>
  <si>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</si>
  <si>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</si>
  <si>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</si>
  <si>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</si>
  <si>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</si>
  <si>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</si>
  <si>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</si>
  <si>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</si>
  <si>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</si>
  <si>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</si>
  <si>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</si>
  <si>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</si>
  <si>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</si>
  <si>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</si>
  <si>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</si>
  <si>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</si>
  <si>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</si>
  <si>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</si>
  <si>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</si>
  <si>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</si>
  <si>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</si>
  <si>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</si>
  <si>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</si>
  <si>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</si>
  <si>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</si>
  <si>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</si>
  <si>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</si>
  <si>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</si>
  <si>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</si>
  <si>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</si>
  <si>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</si>
  <si>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</si>
  <si>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</si>
  <si>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</si>
  <si>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</si>
  <si>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</si>
  <si>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</si>
  <si>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</si>
  <si>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</si>
  <si>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</si>
  <si>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</si>
  <si>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</si>
  <si>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</si>
  <si>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</si>
  <si>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</si>
  <si>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</si>
  <si>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</si>
  <si>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</si>
  <si>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</si>
  <si>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</si>
  <si>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</si>
  <si>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</si>
  <si>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</si>
  <si>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</si>
  <si>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</si>
  <si>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</si>
  <si>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</si>
  <si>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</si>
  <si>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</si>
  <si>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</si>
  <si>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</si>
  <si>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</si>
  <si>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</si>
  <si>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</si>
  <si>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</si>
  <si>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</si>
  <si>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</si>
  <si>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</si>
  <si>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</si>
  <si>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</si>
  <si>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</si>
  <si>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</si>
  <si>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</si>
  <si>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</si>
  <si>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</si>
  <si>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</si>
  <si>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</si>
  <si>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</si>
  <si>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</si>
  <si>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</si>
  <si>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</si>
  <si>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</si>
  <si>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</si>
  <si>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</si>
  <si>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</si>
  <si>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</si>
  <si>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</si>
  <si>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</si>
  <si>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</si>
  <si>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</si>
  <si>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</si>
  <si>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</si>
  <si>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</si>
  <si>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</si>
  <si>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</si>
  <si>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</si>
  <si>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</si>
  <si>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</si>
  <si>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</si>
  <si>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</si>
  <si>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</si>
  <si>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</si>
  <si>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</si>
  <si>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</si>
  <si>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</si>
  <si>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</si>
  <si>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</si>
  <si>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</si>
  <si>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</si>
  <si>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</si>
  <si>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</si>
  <si>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</si>
  <si>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</si>
  <si>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</si>
  <si>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</si>
  <si>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</si>
  <si>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</si>
  <si>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</si>
  <si>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</si>
  <si>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</si>
  <si>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</si>
  <si>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</si>
  <si>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</si>
  <si>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</si>
  <si>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</si>
  <si>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</si>
  <si>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</si>
  <si>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</si>
  <si>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</si>
  <si>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</si>
  <si>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</si>
  <si>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</si>
  <si>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</si>
  <si>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</si>
  <si>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</si>
  <si>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</si>
  <si>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</si>
  <si>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</si>
  <si>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</si>
  <si>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</si>
  <si>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</si>
  <si>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</si>
  <si>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</si>
  <si>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</si>
  <si>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</si>
  <si>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</si>
  <si>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</si>
  <si>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</si>
  <si>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</si>
  <si>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</si>
  <si>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</si>
  <si>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</si>
  <si>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</si>
  <si>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</si>
  <si>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</si>
  <si>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</si>
  <si>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</si>
  <si>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</si>
  <si>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</si>
  <si>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</si>
  <si>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</si>
  <si>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</si>
  <si>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</si>
  <si>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</si>
  <si>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</si>
  <si>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</si>
  <si>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</si>
  <si>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</si>
  <si>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</si>
  <si>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</si>
  <si>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</si>
  <si>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</si>
  <si>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</si>
  <si>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</si>
  <si>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</si>
  <si>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</si>
  <si>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</si>
  <si>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</si>
  <si>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</si>
  <si>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</si>
  <si>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</si>
  <si>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</si>
  <si>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</si>
  <si>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</si>
  <si>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</si>
  <si>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</si>
  <si>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</si>
  <si>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</si>
  <si>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</si>
  <si>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</si>
  <si>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</si>
  <si>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</si>
  <si>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</si>
  <si>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</si>
  <si>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</si>
  <si>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</si>
  <si>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</si>
  <si>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</si>
  <si>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</si>
  <si>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</si>
  <si>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</si>
  <si>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</si>
  <si>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</si>
  <si>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</si>
  <si>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</si>
  <si>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</si>
  <si>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</si>
  <si>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</si>
  <si>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</si>
  <si>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</si>
  <si>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</si>
  <si>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</si>
  <si>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</si>
  <si>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</si>
  <si>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</si>
  <si>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</si>
  <si>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</si>
  <si>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</si>
  <si>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</si>
  <si>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</si>
  <si>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</si>
  <si>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</si>
  <si>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</si>
  <si>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</si>
  <si>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</si>
  <si>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</si>
  <si>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</si>
  <si>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</si>
  <si>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</si>
  <si>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</si>
  <si>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</si>
  <si>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</si>
  <si>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</si>
  <si>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</si>
  <si>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</si>
  <si>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</si>
  <si>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</si>
  <si>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</si>
  <si>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</si>
  <si>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</si>
  <si>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</si>
  <si>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</si>
  <si>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</si>
  <si>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</si>
  <si>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</si>
  <si>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</si>
  <si>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</si>
  <si>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</si>
  <si>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</si>
  <si>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</si>
  <si>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</si>
  <si>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</si>
  <si>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</si>
  <si>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</si>
  <si>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</si>
  <si>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2020-12-01@0.xlsm</t>
  </si>
  <si>
    <t>2020-12-03@0.xlsm</t>
  </si>
  <si>
    <t>2020-12-08@0.xlsm</t>
  </si>
  <si>
    <t>いっしー</t>
    <phoneticPr fontId="1"/>
  </si>
  <si>
    <t>2020-12-09@0.xlsm</t>
  </si>
  <si>
    <t>2020-12-10@0.xlsm</t>
  </si>
  <si>
    <t>2020-12-11@0.xlsm</t>
  </si>
  <si>
    <t>2020-12-12@0.xlsm</t>
  </si>
  <si>
    <t>2020-12-14@0.xlsm</t>
  </si>
  <si>
    <t>2020-12-23@0.xlsm</t>
  </si>
  <si>
    <t>2021-01-06@0.xlsm</t>
  </si>
  <si>
    <t>2021-01-07@0.xlsm</t>
  </si>
  <si>
    <t>2021-01-15@0.xlsm</t>
  </si>
  <si>
    <t>2021-01-16@0.xlsm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</si>
</sst>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全体!$K$2:$K$446</c:f>
              <c:numCache>
                <c:formatCode>General</c:formatCode>
                <c:ptCount val="4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</c:numCache>
            </c:numRef>
          </c:xVal>
          <c:yVal>
            <c:numRef>
              <c:f>全体!$L$2:$L$446</c:f>
              <c:numCache>
                <c:formatCode>\+0.0;\-0.0;\±0</c:formatCode>
                <c:ptCount val="445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  <c:pt idx="370">
                  <c:v>-0.49999999999996447</c:v>
                </c:pt>
                <c:pt idx="371">
                  <c:v>-23.899999999999963</c:v>
                </c:pt>
                <c:pt idx="372">
                  <c:v>3.5527136788005009E-14</c:v>
                </c:pt>
                <c:pt idx="373">
                  <c:v>0.30000000000003552</c:v>
                </c:pt>
                <c:pt idx="374">
                  <c:v>37.400000000000034</c:v>
                </c:pt>
                <c:pt idx="375">
                  <c:v>3.5527136788005009E-14</c:v>
                </c:pt>
                <c:pt idx="376">
                  <c:v>-48.999999999999964</c:v>
                </c:pt>
                <c:pt idx="377">
                  <c:v>-59.999999999999964</c:v>
                </c:pt>
                <c:pt idx="378">
                  <c:v>3.5527136788005009E-14</c:v>
                </c:pt>
                <c:pt idx="379">
                  <c:v>-4.4999999999999645</c:v>
                </c:pt>
                <c:pt idx="380">
                  <c:v>24.200000000000035</c:v>
                </c:pt>
                <c:pt idx="381">
                  <c:v>3.5527136788005009E-14</c:v>
                </c:pt>
                <c:pt idx="382">
                  <c:v>49.400000000000034</c:v>
                </c:pt>
                <c:pt idx="383">
                  <c:v>50.500000000000036</c:v>
                </c:pt>
                <c:pt idx="384">
                  <c:v>3.5527136788005009E-14</c:v>
                </c:pt>
                <c:pt idx="385">
                  <c:v>40.600000000000037</c:v>
                </c:pt>
                <c:pt idx="386">
                  <c:v>51.80000000000004</c:v>
                </c:pt>
                <c:pt idx="387">
                  <c:v>4.2632564145606011E-14</c:v>
                </c:pt>
                <c:pt idx="388">
                  <c:v>-12.199999999999957</c:v>
                </c:pt>
                <c:pt idx="389">
                  <c:v>22.500000000000046</c:v>
                </c:pt>
                <c:pt idx="390">
                  <c:v>4.6185277824406512E-14</c:v>
                </c:pt>
                <c:pt idx="391">
                  <c:v>14.500000000000046</c:v>
                </c:pt>
                <c:pt idx="392">
                  <c:v>13.700000000000045</c:v>
                </c:pt>
                <c:pt idx="393">
                  <c:v>4.6185277824406512E-14</c:v>
                </c:pt>
                <c:pt idx="394">
                  <c:v>-8.6999999999999531</c:v>
                </c:pt>
                <c:pt idx="395">
                  <c:v>-32.599999999999952</c:v>
                </c:pt>
                <c:pt idx="396">
                  <c:v>4.9737991503207013E-14</c:v>
                </c:pt>
                <c:pt idx="397">
                  <c:v>14.50000000000005</c:v>
                </c:pt>
                <c:pt idx="398">
                  <c:v>1.8000000000000504</c:v>
                </c:pt>
                <c:pt idx="399">
                  <c:v>5.0404125317982107E-14</c:v>
                </c:pt>
                <c:pt idx="400">
                  <c:v>49.900000000000048</c:v>
                </c:pt>
                <c:pt idx="401">
                  <c:v>13.800000000000047</c:v>
                </c:pt>
                <c:pt idx="402">
                  <c:v>4.6185277824406512E-14</c:v>
                </c:pt>
                <c:pt idx="403">
                  <c:v>-24.599999999999955</c:v>
                </c:pt>
                <c:pt idx="404">
                  <c:v>-21.599999999999955</c:v>
                </c:pt>
                <c:pt idx="405">
                  <c:v>4.6185277824406512E-14</c:v>
                </c:pt>
                <c:pt idx="406">
                  <c:v>9.9000000000000465</c:v>
                </c:pt>
                <c:pt idx="407">
                  <c:v>-23.599999999999952</c:v>
                </c:pt>
                <c:pt idx="408">
                  <c:v>4.9737991503207013E-14</c:v>
                </c:pt>
                <c:pt idx="409">
                  <c:v>-2.8999999999999502</c:v>
                </c:pt>
                <c:pt idx="410">
                  <c:v>-24.899999999999949</c:v>
                </c:pt>
                <c:pt idx="411">
                  <c:v>4.9737991503207013E-14</c:v>
                </c:pt>
                <c:pt idx="412">
                  <c:v>72.000000000000057</c:v>
                </c:pt>
                <c:pt idx="413">
                  <c:v>48.000000000000057</c:v>
                </c:pt>
                <c:pt idx="414">
                  <c:v>5.6843418860808015E-14</c:v>
                </c:pt>
                <c:pt idx="415">
                  <c:v>-42.899999999999942</c:v>
                </c:pt>
                <c:pt idx="416">
                  <c:v>-52.099999999999937</c:v>
                </c:pt>
                <c:pt idx="417">
                  <c:v>6.3948846218409017E-14</c:v>
                </c:pt>
                <c:pt idx="418">
                  <c:v>-50.599999999999937</c:v>
                </c:pt>
                <c:pt idx="419">
                  <c:v>-55.999999999999936</c:v>
                </c:pt>
                <c:pt idx="420">
                  <c:v>6.3948846218409017E-14</c:v>
                </c:pt>
                <c:pt idx="421">
                  <c:v>2.100000000000064</c:v>
                </c:pt>
                <c:pt idx="422">
                  <c:v>17.500000000000064</c:v>
                </c:pt>
                <c:pt idx="423">
                  <c:v>6.3948846218409017E-14</c:v>
                </c:pt>
                <c:pt idx="424">
                  <c:v>68.600000000000051</c:v>
                </c:pt>
                <c:pt idx="425">
                  <c:v>16.900000000000048</c:v>
                </c:pt>
                <c:pt idx="426">
                  <c:v>4.9737991503207013E-14</c:v>
                </c:pt>
                <c:pt idx="427">
                  <c:v>2.3000000000000496</c:v>
                </c:pt>
                <c:pt idx="428">
                  <c:v>-30.19999999999995</c:v>
                </c:pt>
                <c:pt idx="429">
                  <c:v>4.9737991503207013E-14</c:v>
                </c:pt>
                <c:pt idx="430">
                  <c:v>24.50000000000005</c:v>
                </c:pt>
                <c:pt idx="431">
                  <c:v>-5.5999999999999517</c:v>
                </c:pt>
                <c:pt idx="432">
                  <c:v>4.7961634663806763E-14</c:v>
                </c:pt>
                <c:pt idx="433">
                  <c:v>-48.299999999999947</c:v>
                </c:pt>
                <c:pt idx="434">
                  <c:v>-9.699999999999946</c:v>
                </c:pt>
                <c:pt idx="435">
                  <c:v>5.3290705182007514E-14</c:v>
                </c:pt>
                <c:pt idx="436">
                  <c:v>36.500000000000057</c:v>
                </c:pt>
                <c:pt idx="437">
                  <c:v>7.4000000000000554</c:v>
                </c:pt>
                <c:pt idx="438">
                  <c:v>5.5067062021407764E-14</c:v>
                </c:pt>
                <c:pt idx="439">
                  <c:v>-26.799999999999947</c:v>
                </c:pt>
                <c:pt idx="440">
                  <c:v>-24.399999999999949</c:v>
                </c:pt>
                <c:pt idx="441">
                  <c:v>4.9737991503207013E-14</c:v>
                </c:pt>
                <c:pt idx="442">
                  <c:v>40.300000000000047</c:v>
                </c:pt>
                <c:pt idx="443">
                  <c:v>46.00000000000005</c:v>
                </c:pt>
                <c:pt idx="444">
                  <c:v>4.9737991503207013E-14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-34.013605442176868</c:v>
                </c:pt>
                <c:pt idx="1">
                  <c:v>13.888888888888889</c:v>
                </c:pt>
                <c:pt idx="2">
                  <c:v>2.3148148148148149</c:v>
                </c:pt>
                <c:pt idx="3">
                  <c:v>-4.8661800486618008</c:v>
                </c:pt>
                <c:pt idx="4">
                  <c:v>13.333333333333334</c:v>
                </c:pt>
                <c:pt idx="5">
                  <c:v>15.576323987538942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80</c:v>
                </c:pt>
                <c:pt idx="1">
                  <c:v>208</c:v>
                </c:pt>
                <c:pt idx="2">
                  <c:v>217</c:v>
                </c:pt>
                <c:pt idx="3">
                  <c:v>217</c:v>
                </c:pt>
                <c:pt idx="4">
                  <c:v>165</c:v>
                </c:pt>
                <c:pt idx="5">
                  <c:v>104</c:v>
                </c:pt>
                <c:pt idx="6">
                  <c:v>48</c:v>
                </c:pt>
                <c:pt idx="7">
                  <c:v>36</c:v>
                </c:pt>
                <c:pt idx="8">
                  <c:v>20</c:v>
                </c:pt>
                <c:pt idx="9">
                  <c:v>12</c:v>
                </c:pt>
                <c:pt idx="10">
                  <c:v>4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全体!$K$2:$K$446</c:f>
              <c:numCache>
                <c:formatCode>General</c:formatCode>
                <c:ptCount val="4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</c:numCache>
            </c:numRef>
          </c:xVal>
          <c:yVal>
            <c:numRef>
              <c:f>全体!$M$2:$M$446</c:f>
              <c:numCache>
                <c:formatCode>0</c:formatCode>
                <c:ptCount val="445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  <c:pt idx="370">
                  <c:v>1604.9306597050318</c:v>
                </c:pt>
                <c:pt idx="371">
                  <c:v>1600.9650757468016</c:v>
                </c:pt>
                <c:pt idx="372">
                  <c:v>1605.5372852923208</c:v>
                </c:pt>
                <c:pt idx="373">
                  <c:v>1605.8340615805669</c:v>
                </c:pt>
                <c:pt idx="374">
                  <c:v>1612.7530572110834</c:v>
                </c:pt>
                <c:pt idx="375">
                  <c:v>1606.2205388678169</c:v>
                </c:pt>
                <c:pt idx="376">
                  <c:v>1597.63321563461</c:v>
                </c:pt>
                <c:pt idx="377">
                  <c:v>1595.9374163408024</c:v>
                </c:pt>
                <c:pt idx="378">
                  <c:v>1607.0317918427577</c:v>
                </c:pt>
                <c:pt idx="379">
                  <c:v>1606.3476010917011</c:v>
                </c:pt>
                <c:pt idx="380">
                  <c:v>1611.6435154851508</c:v>
                </c:pt>
                <c:pt idx="381">
                  <c:v>1607.38565439224</c:v>
                </c:pt>
                <c:pt idx="382">
                  <c:v>1616.4013404658865</c:v>
                </c:pt>
                <c:pt idx="383">
                  <c:v>1616.6689324230913</c:v>
                </c:pt>
                <c:pt idx="384">
                  <c:v>1607.6469188285528</c:v>
                </c:pt>
                <c:pt idx="385">
                  <c:v>1615.0770373155815</c:v>
                </c:pt>
                <c:pt idx="386">
                  <c:v>1617.1705750916881</c:v>
                </c:pt>
                <c:pt idx="387">
                  <c:v>1607.911551641138</c:v>
                </c:pt>
                <c:pt idx="388">
                  <c:v>1605.8360823312912</c:v>
                </c:pt>
                <c:pt idx="389">
                  <c:v>1612.2150658373034</c:v>
                </c:pt>
                <c:pt idx="390">
                  <c:v>1608.2597754422795</c:v>
                </c:pt>
                <c:pt idx="391">
                  <c:v>1610.9822167896259</c:v>
                </c:pt>
                <c:pt idx="392">
                  <c:v>1610.9343234888881</c:v>
                </c:pt>
                <c:pt idx="393">
                  <c:v>1608.5647175479548</c:v>
                </c:pt>
                <c:pt idx="394">
                  <c:v>1607.0313292426672</c:v>
                </c:pt>
                <c:pt idx="395">
                  <c:v>1602.7711412672113</c:v>
                </c:pt>
                <c:pt idx="396">
                  <c:v>1608.7065144196081</c:v>
                </c:pt>
                <c:pt idx="397">
                  <c:v>1611.3482753330904</c:v>
                </c:pt>
                <c:pt idx="398">
                  <c:v>1609.078185681092</c:v>
                </c:pt>
                <c:pt idx="399">
                  <c:v>1608.7837165670055</c:v>
                </c:pt>
                <c:pt idx="400">
                  <c:v>1617.5390142676035</c:v>
                </c:pt>
                <c:pt idx="401">
                  <c:v>1610.7617801819979</c:v>
                </c:pt>
                <c:pt idx="402">
                  <c:v>1608.0392095009058</c:v>
                </c:pt>
                <c:pt idx="403">
                  <c:v>1603.3889742439003</c:v>
                </c:pt>
                <c:pt idx="404">
                  <c:v>1603.7346403984368</c:v>
                </c:pt>
                <c:pt idx="405">
                  <c:v>1607.4262325560462</c:v>
                </c:pt>
                <c:pt idx="406">
                  <c:v>1609.43367516071</c:v>
                </c:pt>
                <c:pt idx="407">
                  <c:v>1603.6170731097457</c:v>
                </c:pt>
                <c:pt idx="408">
                  <c:v>1608.1133706710873</c:v>
                </c:pt>
                <c:pt idx="409">
                  <c:v>1607.8126904470607</c:v>
                </c:pt>
                <c:pt idx="410">
                  <c:v>1604.0758143043784</c:v>
                </c:pt>
                <c:pt idx="411">
                  <c:v>1608.8033594185522</c:v>
                </c:pt>
                <c:pt idx="412">
                  <c:v>1621.6685392620409</c:v>
                </c:pt>
                <c:pt idx="413">
                  <c:v>1617.1765280264688</c:v>
                </c:pt>
                <c:pt idx="414">
                  <c:v>1608.39146885831</c:v>
                </c:pt>
                <c:pt idx="415">
                  <c:v>1600.5291200451602</c:v>
                </c:pt>
                <c:pt idx="416">
                  <c:v>1598.7799453248892</c:v>
                </c:pt>
                <c:pt idx="417">
                  <c:v>1608.0752656529398</c:v>
                </c:pt>
                <c:pt idx="418">
                  <c:v>1598.8648140590221</c:v>
                </c:pt>
                <c:pt idx="419">
                  <c:v>1597.8456251746679</c:v>
                </c:pt>
                <c:pt idx="420">
                  <c:v>1607.88455142362</c:v>
                </c:pt>
                <c:pt idx="421">
                  <c:v>1608.1612441150783</c:v>
                </c:pt>
                <c:pt idx="422">
                  <c:v>1610.8302766503878</c:v>
                </c:pt>
                <c:pt idx="423">
                  <c:v>1607.5612949904855</c:v>
                </c:pt>
                <c:pt idx="424">
                  <c:v>1620.0019272205427</c:v>
                </c:pt>
                <c:pt idx="425">
                  <c:v>1610.7139156572196</c:v>
                </c:pt>
                <c:pt idx="426">
                  <c:v>1607.7456321632762</c:v>
                </c:pt>
                <c:pt idx="427">
                  <c:v>1608.2511583702965</c:v>
                </c:pt>
                <c:pt idx="428">
                  <c:v>1602.4896514200748</c:v>
                </c:pt>
                <c:pt idx="429">
                  <c:v>1608.0487135115543</c:v>
                </c:pt>
                <c:pt idx="430">
                  <c:v>1612.4584212304849</c:v>
                </c:pt>
                <c:pt idx="431">
                  <c:v>1607.013670703102</c:v>
                </c:pt>
                <c:pt idx="432">
                  <c:v>1608.0275886788834</c:v>
                </c:pt>
                <c:pt idx="433">
                  <c:v>1599.33342314681</c:v>
                </c:pt>
                <c:pt idx="434">
                  <c:v>1606.3334226079292</c:v>
                </c:pt>
                <c:pt idx="435">
                  <c:v>1608.0894220722816</c:v>
                </c:pt>
                <c:pt idx="436">
                  <c:v>1614.886885539848</c:v>
                </c:pt>
                <c:pt idx="437">
                  <c:v>1609.835564226609</c:v>
                </c:pt>
                <c:pt idx="438">
                  <c:v>1608.7205508412494</c:v>
                </c:pt>
                <c:pt idx="439">
                  <c:v>1604.1202275362018</c:v>
                </c:pt>
                <c:pt idx="440">
                  <c:v>1604.8035061709845</c:v>
                </c:pt>
                <c:pt idx="441">
                  <c:v>1609.4426851339585</c:v>
                </c:pt>
                <c:pt idx="442">
                  <c:v>1616.9160290231548</c:v>
                </c:pt>
                <c:pt idx="443">
                  <c:v>1618.1165328490158</c:v>
                </c:pt>
                <c:pt idx="444">
                  <c:v>1610.0038336519217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だいち!$K$2:$K$126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</c:numCache>
            </c:numRef>
          </c:xVal>
          <c:yVal>
            <c:numRef>
              <c:f>だいち!$L$2:$L$126</c:f>
              <c:numCache>
                <c:formatCode>\+0.0;\-0.0;\±0</c:formatCode>
                <c:ptCount val="125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  <c:pt idx="100">
                  <c:v>196.39999999999995</c:v>
                </c:pt>
                <c:pt idx="101">
                  <c:v>158.99999999999994</c:v>
                </c:pt>
                <c:pt idx="102">
                  <c:v>147.99999999999994</c:v>
                </c:pt>
                <c:pt idx="103">
                  <c:v>123.79999999999994</c:v>
                </c:pt>
                <c:pt idx="104">
                  <c:v>173.19999999999993</c:v>
                </c:pt>
                <c:pt idx="105">
                  <c:v>184.39999999999992</c:v>
                </c:pt>
                <c:pt idx="106">
                  <c:v>219.09999999999991</c:v>
                </c:pt>
                <c:pt idx="107">
                  <c:v>218.2999999999999</c:v>
                </c:pt>
                <c:pt idx="108">
                  <c:v>209.59999999999991</c:v>
                </c:pt>
                <c:pt idx="109">
                  <c:v>207.7999999999999</c:v>
                </c:pt>
                <c:pt idx="110">
                  <c:v>257.69999999999987</c:v>
                </c:pt>
                <c:pt idx="111">
                  <c:v>233.09999999999988</c:v>
                </c:pt>
                <c:pt idx="112">
                  <c:v>256.69999999999987</c:v>
                </c:pt>
                <c:pt idx="113">
                  <c:v>234.69999999999987</c:v>
                </c:pt>
                <c:pt idx="114">
                  <c:v>186.69999999999987</c:v>
                </c:pt>
                <c:pt idx="115">
                  <c:v>143.79999999999987</c:v>
                </c:pt>
                <c:pt idx="116">
                  <c:v>199.79999999999987</c:v>
                </c:pt>
                <c:pt idx="117">
                  <c:v>215.19999999999987</c:v>
                </c:pt>
                <c:pt idx="118">
                  <c:v>163.49999999999989</c:v>
                </c:pt>
                <c:pt idx="119">
                  <c:v>130.99999999999989</c:v>
                </c:pt>
                <c:pt idx="120">
                  <c:v>100.89999999999989</c:v>
                </c:pt>
                <c:pt idx="121">
                  <c:v>52.599999999999895</c:v>
                </c:pt>
                <c:pt idx="122">
                  <c:v>23.499999999999893</c:v>
                </c:pt>
                <c:pt idx="123">
                  <c:v>-3.3000000000001073</c:v>
                </c:pt>
                <c:pt idx="124">
                  <c:v>36.999999999999886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531.70731707317077</c:v>
                </c:pt>
                <c:pt idx="1">
                  <c:v>-605.83333333333337</c:v>
                </c:pt>
                <c:pt idx="2">
                  <c:v>-1626.6666666666667</c:v>
                </c:pt>
                <c:pt idx="3">
                  <c:v>819.13043478260875</c:v>
                </c:pt>
                <c:pt idx="4">
                  <c:v>766.34615384615381</c:v>
                </c:pt>
                <c:pt idx="5">
                  <c:v>431.46067415730334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19</c:v>
                </c:pt>
                <c:pt idx="1">
                  <c:v>66</c:v>
                </c:pt>
                <c:pt idx="2">
                  <c:v>63</c:v>
                </c:pt>
                <c:pt idx="3">
                  <c:v>63</c:v>
                </c:pt>
                <c:pt idx="4">
                  <c:v>51</c:v>
                </c:pt>
                <c:pt idx="5">
                  <c:v>39</c:v>
                </c:pt>
                <c:pt idx="6">
                  <c:v>11</c:v>
                </c:pt>
                <c:pt idx="7">
                  <c:v>7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だいち!$K$2:$K$126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</c:numCache>
            </c:numRef>
          </c:xVal>
          <c:yVal>
            <c:numRef>
              <c:f>だいち!$M$2:$M$126</c:f>
              <c:numCache>
                <c:formatCode>0</c:formatCode>
                <c:ptCount val="125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  <c:pt idx="100">
                  <c:v>1770.8969883892191</c:v>
                </c:pt>
                <c:pt idx="101">
                  <c:v>1763.4156064588838</c:v>
                </c:pt>
                <c:pt idx="102">
                  <c:v>1760.7251128201306</c:v>
                </c:pt>
                <c:pt idx="103">
                  <c:v>1755.5727621432097</c:v>
                </c:pt>
                <c:pt idx="104">
                  <c:v>1763.6993255703505</c:v>
                </c:pt>
                <c:pt idx="105">
                  <c:v>1764.9011296169285</c:v>
                </c:pt>
                <c:pt idx="106">
                  <c:v>1770.325722839227</c:v>
                </c:pt>
                <c:pt idx="107">
                  <c:v>1769.3217685021916</c:v>
                </c:pt>
                <c:pt idx="108">
                  <c:v>1766.8238378911785</c:v>
                </c:pt>
                <c:pt idx="109">
                  <c:v>1765.5828948638314</c:v>
                </c:pt>
                <c:pt idx="110">
                  <c:v>1773.3973974946484</c:v>
                </c:pt>
                <c:pt idx="111">
                  <c:v>1767.7550131096805</c:v>
                </c:pt>
                <c:pt idx="112">
                  <c:v>1771.2664830310223</c:v>
                </c:pt>
                <c:pt idx="113">
                  <c:v>1766.5488841328361</c:v>
                </c:pt>
                <c:pt idx="114">
                  <c:v>1756.8675908280391</c:v>
                </c:pt>
                <c:pt idx="115">
                  <c:v>1748.1143852830708</c:v>
                </c:pt>
                <c:pt idx="116">
                  <c:v>1757.2516989713724</c:v>
                </c:pt>
                <c:pt idx="117">
                  <c:v>1759.0261887775441</c:v>
                </c:pt>
                <c:pt idx="118">
                  <c:v>1748.9040316448788</c:v>
                </c:pt>
                <c:pt idx="119">
                  <c:v>1742.2986074550095</c:v>
                </c:pt>
                <c:pt idx="120">
                  <c:v>1736.0748158102795</c:v>
                </c:pt>
                <c:pt idx="121">
                  <c:v>1726.6123669154179</c:v>
                </c:pt>
                <c:pt idx="122">
                  <c:v>1720.8906927139253</c:v>
                </c:pt>
                <c:pt idx="123">
                  <c:v>1715.6173485576417</c:v>
                </c:pt>
                <c:pt idx="124">
                  <c:v>1722.4536444662958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れんたろう!$K$2:$K$83</c:f>
              <c:numCache>
                <c:formatCode>General</c:formatCode>
                <c:ptCount val="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</c:numCache>
            </c:numRef>
          </c:xVal>
          <c:yVal>
            <c:numRef>
              <c:f>れんたろう!$L$2:$L$83</c:f>
              <c:numCache>
                <c:formatCode>\+0.0;\-0.0;\±0</c:formatCode>
                <c:ptCount val="82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  <c:pt idx="64">
                  <c:v>-129.5</c:v>
                </c:pt>
                <c:pt idx="65">
                  <c:v>-92.4</c:v>
                </c:pt>
                <c:pt idx="66">
                  <c:v>-141.4</c:v>
                </c:pt>
                <c:pt idx="67">
                  <c:v>-112.7</c:v>
                </c:pt>
                <c:pt idx="68">
                  <c:v>-163.19999999999999</c:v>
                </c:pt>
                <c:pt idx="69">
                  <c:v>-122.6</c:v>
                </c:pt>
                <c:pt idx="70">
                  <c:v>-134.79999999999998</c:v>
                </c:pt>
                <c:pt idx="71">
                  <c:v>-102.19999999999999</c:v>
                </c:pt>
                <c:pt idx="72">
                  <c:v>-87.699999999999989</c:v>
                </c:pt>
                <c:pt idx="73">
                  <c:v>-121.19999999999999</c:v>
                </c:pt>
                <c:pt idx="74">
                  <c:v>-96.299999999999983</c:v>
                </c:pt>
                <c:pt idx="75">
                  <c:v>-101.69999999999999</c:v>
                </c:pt>
                <c:pt idx="76">
                  <c:v>-119.19999999999999</c:v>
                </c:pt>
                <c:pt idx="77">
                  <c:v>-113.6</c:v>
                </c:pt>
                <c:pt idx="78">
                  <c:v>-103.89999999999999</c:v>
                </c:pt>
                <c:pt idx="79">
                  <c:v>-111.3</c:v>
                </c:pt>
                <c:pt idx="80">
                  <c:v>-86.9</c:v>
                </c:pt>
                <c:pt idx="81">
                  <c:v>-132.9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1197.5308641975309</c:v>
                </c:pt>
                <c:pt idx="1">
                  <c:v>-401.26582278481015</c:v>
                </c:pt>
                <c:pt idx="2">
                  <c:v>-579.74683544303798</c:v>
                </c:pt>
                <c:pt idx="3">
                  <c:v>76.315789473684205</c:v>
                </c:pt>
                <c:pt idx="4">
                  <c:v>-82.608695652173907</c:v>
                </c:pt>
                <c:pt idx="5">
                  <c:v>-31.666666666666668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20</c:v>
                </c:pt>
                <c:pt idx="2">
                  <c:v>34</c:v>
                </c:pt>
                <c:pt idx="3">
                  <c:v>37</c:v>
                </c:pt>
                <c:pt idx="4">
                  <c:v>37</c:v>
                </c:pt>
                <c:pt idx="5">
                  <c:v>22</c:v>
                </c:pt>
                <c:pt idx="6">
                  <c:v>11</c:v>
                </c:pt>
                <c:pt idx="7">
                  <c:v>8</c:v>
                </c:pt>
                <c:pt idx="8">
                  <c:v>7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れんたろう!$K$2:$K$83</c:f>
              <c:numCache>
                <c:formatCode>General</c:formatCode>
                <c:ptCount val="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</c:numCache>
            </c:numRef>
          </c:xVal>
          <c:yVal>
            <c:numRef>
              <c:f>れんたろう!$M$2:$M$83</c:f>
              <c:numCache>
                <c:formatCode>0</c:formatCode>
                <c:ptCount val="82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  <c:pt idx="64">
                  <c:v>1625.582146430668</c:v>
                </c:pt>
                <c:pt idx="65">
                  <c:v>1632.3826535520841</c:v>
                </c:pt>
                <c:pt idx="66">
                  <c:v>1623.6383576307717</c:v>
                </c:pt>
                <c:pt idx="67">
                  <c:v>1628.830527484987</c:v>
                </c:pt>
                <c:pt idx="68">
                  <c:v>1619.735544320077</c:v>
                </c:pt>
                <c:pt idx="69">
                  <c:v>1627.0931310541566</c:v>
                </c:pt>
                <c:pt idx="70">
                  <c:v>1624.9025722678316</c:v>
                </c:pt>
                <c:pt idx="71">
                  <c:v>1630.7051568342247</c:v>
                </c:pt>
                <c:pt idx="72">
                  <c:v>1633.2149258932193</c:v>
                </c:pt>
                <c:pt idx="73">
                  <c:v>1627.2556363378599</c:v>
                </c:pt>
                <c:pt idx="74">
                  <c:v>1631.8441025198326</c:v>
                </c:pt>
                <c:pt idx="75">
                  <c:v>1630.6270379047137</c:v>
                </c:pt>
                <c:pt idx="76">
                  <c:v>1627.2392756772854</c:v>
                </c:pt>
                <c:pt idx="77">
                  <c:v>1628.1318400232217</c:v>
                </c:pt>
                <c:pt idx="78">
                  <c:v>1629.7570489830823</c:v>
                </c:pt>
                <c:pt idx="79">
                  <c:v>1628.5225066891837</c:v>
                </c:pt>
                <c:pt idx="80">
                  <c:v>1633.0193716490487</c:v>
                </c:pt>
                <c:pt idx="81">
                  <c:v>1624.8172554191544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  <c:pt idx="44">
                  <c:v>-134</c:v>
                </c:pt>
                <c:pt idx="45">
                  <c:v>-146.69999999999999</c:v>
                </c:pt>
                <c:pt idx="46">
                  <c:v>-94.6</c:v>
                </c:pt>
                <c:pt idx="47">
                  <c:v>-70.099999999999994</c:v>
                </c:pt>
                <c:pt idx="48">
                  <c:v>-31.499999999999993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-427.08333333333331</c:v>
                </c:pt>
                <c:pt idx="1">
                  <c:v>-533.33333333333337</c:v>
                </c:pt>
                <c:pt idx="2">
                  <c:v>1240.4255319148936</c:v>
                </c:pt>
                <c:pt idx="3">
                  <c:v>-1121.2765957446809</c:v>
                </c:pt>
                <c:pt idx="4">
                  <c:v>-1164.4444444444443</c:v>
                </c:pt>
                <c:pt idx="5">
                  <c:v>-529.72972972972968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16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7</c:v>
                </c:pt>
                <c:pt idx="5">
                  <c:v>5</c:v>
                </c:pt>
                <c:pt idx="6">
                  <c:v>6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たかの!$M$2:$M$50</c:f>
              <c:numCache>
                <c:formatCode>0</c:formatCode>
                <c:ptCount val="49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  <c:pt idx="44">
                  <c:v>1445.4388452063147</c:v>
                </c:pt>
                <c:pt idx="45">
                  <c:v>1444.1642121350767</c:v>
                </c:pt>
                <c:pt idx="46">
                  <c:v>1454.3872268622663</c:v>
                </c:pt>
                <c:pt idx="47">
                  <c:v>1459.7189035010927</c:v>
                </c:pt>
                <c:pt idx="48">
                  <c:v>1467.5565900800862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  <c:pt idx="32">
                  <c:v>-0.400000000000027</c:v>
                </c:pt>
                <c:pt idx="33">
                  <c:v>-0.10000000000002701</c:v>
                </c:pt>
                <c:pt idx="34">
                  <c:v>59.89999999999997</c:v>
                </c:pt>
                <c:pt idx="35">
                  <c:v>46.099999999999966</c:v>
                </c:pt>
                <c:pt idx="36">
                  <c:v>67.69999999999996</c:v>
                </c:pt>
                <c:pt idx="37">
                  <c:v>58.499999999999957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816.21621621621625</c:v>
                </c:pt>
                <c:pt idx="1">
                  <c:v>418.91891891891891</c:v>
                </c:pt>
                <c:pt idx="2">
                  <c:v>1277.7777777777778</c:v>
                </c:pt>
                <c:pt idx="3">
                  <c:v>-2562.5</c:v>
                </c:pt>
                <c:pt idx="4">
                  <c:v>1982.7586206896551</c:v>
                </c:pt>
                <c:pt idx="5">
                  <c:v>-1069.5652173913043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19</c:v>
                </c:pt>
                <c:pt idx="3">
                  <c:v>22</c:v>
                </c:pt>
                <c:pt idx="4">
                  <c:v>12</c:v>
                </c:pt>
                <c:pt idx="5">
                  <c:v>7</c:v>
                </c:pt>
                <c:pt idx="6">
                  <c:v>3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まっつん!$M$2:$M$39</c:f>
              <c:numCache>
                <c:formatCode>0</c:formatCode>
                <c:ptCount val="38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  <c:pt idx="32">
                  <c:v>1539.9417134373232</c:v>
                </c:pt>
                <c:pt idx="33">
                  <c:v>1540.6320631566994</c:v>
                </c:pt>
                <c:pt idx="34">
                  <c:v>1552.0582707777592</c:v>
                </c:pt>
                <c:pt idx="35">
                  <c:v>1549.6879211530927</c:v>
                </c:pt>
                <c:pt idx="36">
                  <c:v>1553.703793626174</c:v>
                </c:pt>
                <c:pt idx="37">
                  <c:v>1552.235570864417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  <c:pt idx="45">
                  <c:v>157.69999999999999</c:v>
                </c:pt>
                <c:pt idx="46">
                  <c:v>167.6</c:v>
                </c:pt>
                <c:pt idx="47">
                  <c:v>164.7</c:v>
                </c:pt>
                <c:pt idx="48">
                  <c:v>140.69999999999999</c:v>
                </c:pt>
                <c:pt idx="49">
                  <c:v>209.29999999999998</c:v>
                </c:pt>
                <c:pt idx="50">
                  <c:v>211.6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-767.34693877551024</c:v>
                </c:pt>
                <c:pt idx="1">
                  <c:v>1110.204081632653</c:v>
                </c:pt>
                <c:pt idx="2">
                  <c:v>2391.8367346938776</c:v>
                </c:pt>
                <c:pt idx="3">
                  <c:v>-97.826086956521735</c:v>
                </c:pt>
                <c:pt idx="4">
                  <c:v>263.41463414634148</c:v>
                </c:pt>
                <c:pt idx="5">
                  <c:v>1755.2631578947369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27</c:v>
                </c:pt>
                <c:pt idx="2">
                  <c:v>27</c:v>
                </c:pt>
                <c:pt idx="3">
                  <c:v>19</c:v>
                </c:pt>
                <c:pt idx="4">
                  <c:v>20</c:v>
                </c:pt>
                <c:pt idx="5">
                  <c:v>15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いちかわ!$M$2:$M$52</c:f>
              <c:numCache>
                <c:formatCode>0</c:formatCode>
                <c:ptCount val="51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  <c:pt idx="45">
                  <c:v>1534.3633776946201</c:v>
                </c:pt>
                <c:pt idx="46">
                  <c:v>1536.8091974284523</c:v>
                </c:pt>
                <c:pt idx="47">
                  <c:v>1536.9363422438817</c:v>
                </c:pt>
                <c:pt idx="48">
                  <c:v>1532.9527241904184</c:v>
                </c:pt>
                <c:pt idx="49">
                  <c:v>1545.841007845276</c:v>
                </c:pt>
                <c:pt idx="50">
                  <c:v>1546.7179617982042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ただ!$L$2:$L$56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  <c:pt idx="50">
                  <c:v>231.29999999999993</c:v>
                </c:pt>
                <c:pt idx="51">
                  <c:v>261.49999999999994</c:v>
                </c:pt>
                <c:pt idx="52">
                  <c:v>297.99999999999994</c:v>
                </c:pt>
                <c:pt idx="53">
                  <c:v>300.39999999999992</c:v>
                </c:pt>
                <c:pt idx="54">
                  <c:v>306.09999999999991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-120.37037037037037</c:v>
                </c:pt>
                <c:pt idx="1">
                  <c:v>835.29411764705878</c:v>
                </c:pt>
                <c:pt idx="2">
                  <c:v>1255.7692307692307</c:v>
                </c:pt>
                <c:pt idx="3">
                  <c:v>2557.1428571428573</c:v>
                </c:pt>
                <c:pt idx="4">
                  <c:v>-460</c:v>
                </c:pt>
                <c:pt idx="5">
                  <c:v>-152.77777777777777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14</c:v>
                </c:pt>
                <c:pt idx="1">
                  <c:v>41</c:v>
                </c:pt>
                <c:pt idx="2">
                  <c:v>32</c:v>
                </c:pt>
                <c:pt idx="3">
                  <c:v>23</c:v>
                </c:pt>
                <c:pt idx="4">
                  <c:v>25</c:v>
                </c:pt>
                <c:pt idx="5">
                  <c:v>4</c:v>
                </c:pt>
                <c:pt idx="6">
                  <c:v>9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ただ!$M$2:$M$56</c:f>
              <c:numCache>
                <c:formatCode>0</c:formatCode>
                <c:ptCount val="55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  <c:pt idx="49">
                  <c:v>1578.1244171430706</c:v>
                </c:pt>
                <c:pt idx="50">
                  <c:v>1575.3516706402122</c:v>
                </c:pt>
                <c:pt idx="51">
                  <c:v>1581.073560616371</c:v>
                </c:pt>
                <c:pt idx="52">
                  <c:v>1588.0331192526728</c:v>
                </c:pt>
                <c:pt idx="53">
                  <c:v>1588.8129205371567</c:v>
                </c:pt>
                <c:pt idx="54">
                  <c:v>1590.1820430139337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  <c:pt idx="19">
                  <c:v>-108.30000000000001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たか!$M$2:$M$21</c:f>
              <c:numCache>
                <c:formatCode>0</c:formatCode>
                <c:ptCount val="20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  <c:pt idx="1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  <c:pt idx="13">
                  <c:v>-75.599999999999994</c:v>
                </c:pt>
                <c:pt idx="14">
                  <c:v>-72.599999999999994</c:v>
                </c:pt>
                <c:pt idx="15">
                  <c:v>-123.19999999999999</c:v>
                </c:pt>
                <c:pt idx="16">
                  <c:v>-121.1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-1737.5</c:v>
                </c:pt>
                <c:pt idx="1">
                  <c:v>3526.6666666666665</c:v>
                </c:pt>
                <c:pt idx="2">
                  <c:v>-1137.5</c:v>
                </c:pt>
                <c:pt idx="3">
                  <c:v>-3218.75</c:v>
                </c:pt>
                <c:pt idx="4">
                  <c:v>-1806.6666666666667</c:v>
                </c:pt>
                <c:pt idx="5">
                  <c:v>-1957.1428571428571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りくと!$M$2:$M$18</c:f>
              <c:numCache>
                <c:formatCode>0</c:formatCode>
                <c:ptCount val="17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  <c:pt idx="13">
                  <c:v>1390.8671400806311</c:v>
                </c:pt>
                <c:pt idx="14">
                  <c:v>1392.4879372401474</c:v>
                </c:pt>
                <c:pt idx="15">
                  <c:v>1384.5710096167065</c:v>
                </c:pt>
                <c:pt idx="16">
                  <c:v>1386.1875835590063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3-47CE-A9C4-F06FBEC5B1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B3-47CE-A9C4-F06FBEC5B1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いっしー!$K$4:$L$4</c:f>
              <c:numCache>
                <c:formatCode>\+0.0;\-0.0;\±0</c:formatCode>
                <c:ptCount val="2"/>
                <c:pt idx="0" formatCode="General">
                  <c:v>2</c:v>
                </c:pt>
                <c:pt idx="1">
                  <c:v>-3.4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A-4D29-A808-9B6CE3D2E75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いっしー!$K$5:$L$5</c:f>
              <c:numCache>
                <c:formatCode>\+0.0;\-0.0;\±0</c:formatCode>
                <c:ptCount val="2"/>
                <c:pt idx="0" formatCode="General">
                  <c:v>3</c:v>
                </c:pt>
                <c:pt idx="1">
                  <c:v>-55.199999999999996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A-4D29-A808-9B6CE3D2E75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いっしー!$K$6:$L$6</c:f>
              <c:numCache>
                <c:formatCode>\+0.0;\-0.0;\±0</c:formatCode>
                <c:ptCount val="2"/>
                <c:pt idx="0" formatCode="General">
                  <c:v>4</c:v>
                </c:pt>
                <c:pt idx="1">
                  <c:v>-77.699999999999989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14-4890-917F-A78A44C1A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-4450</c:v>
                </c:pt>
                <c:pt idx="1">
                  <c:v>-3150</c:v>
                </c:pt>
                <c:pt idx="2">
                  <c:v>3475</c:v>
                </c:pt>
                <c:pt idx="3">
                  <c:v>-1966.6666666666667</c:v>
                </c:pt>
                <c:pt idx="4">
                  <c:v>-9400</c:v>
                </c:pt>
                <c:pt idx="5">
                  <c:v>-2366.6666666666665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D-4529-A134-432FE3794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8B7-9615-6C7DF2FB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いっしー!$M$2:$M$6</c:f>
              <c:numCache>
                <c:formatCode>0</c:formatCode>
                <c:ptCount val="5"/>
                <c:pt idx="0">
                  <c:v>1500.437982464869</c:v>
                </c:pt>
                <c:pt idx="1">
                  <c:v>1500.3933545700797</c:v>
                </c:pt>
                <c:pt idx="2">
                  <c:v>1501.3569944426592</c:v>
                </c:pt>
                <c:pt idx="3">
                  <c:v>1492.7928524760032</c:v>
                </c:pt>
                <c:pt idx="4">
                  <c:v>1489.5540953611471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4C2-8B3D-8695D2C9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ただ2!$B$3:$B$57</c:f>
              <c:numCache>
                <c:formatCode>\+0.0;\-0.0;\±0</c:formatCode>
                <c:ptCount val="55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  <c:pt idx="50">
                  <c:v>231.29999999999993</c:v>
                </c:pt>
                <c:pt idx="51">
                  <c:v>261.49999999999994</c:v>
                </c:pt>
                <c:pt idx="52">
                  <c:v>297.99999999999994</c:v>
                </c:pt>
                <c:pt idx="53">
                  <c:v>300.39999999999992</c:v>
                </c:pt>
                <c:pt idx="54">
                  <c:v>306.09999999999991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973799150320701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ただ2!$C$3:$C$57</c:f>
              <c:numCache>
                <c:formatCode>\+0.0;\-0.0;\±0</c:formatCode>
                <c:ptCount val="55"/>
                <c:pt idx="1">
                  <c:v>11.6</c:v>
                </c:pt>
                <c:pt idx="2">
                  <c:v>21.45</c:v>
                </c:pt>
                <c:pt idx="3">
                  <c:v>16.399999999999999</c:v>
                </c:pt>
                <c:pt idx="4">
                  <c:v>18.95</c:v>
                </c:pt>
                <c:pt idx="5">
                  <c:v>9.5599999999999987</c:v>
                </c:pt>
                <c:pt idx="6">
                  <c:v>4.3999999999999995</c:v>
                </c:pt>
                <c:pt idx="7">
                  <c:v>3.6999999999999997</c:v>
                </c:pt>
                <c:pt idx="8">
                  <c:v>0.1875</c:v>
                </c:pt>
                <c:pt idx="9">
                  <c:v>1.0777777777777777</c:v>
                </c:pt>
                <c:pt idx="10">
                  <c:v>0.91999999999999993</c:v>
                </c:pt>
                <c:pt idx="11">
                  <c:v>0.20909090909090899</c:v>
                </c:pt>
                <c:pt idx="12">
                  <c:v>0.13333333333333325</c:v>
                </c:pt>
                <c:pt idx="13">
                  <c:v>-3.7307692307692308</c:v>
                </c:pt>
                <c:pt idx="14">
                  <c:v>-1.4428571428571428</c:v>
                </c:pt>
                <c:pt idx="15">
                  <c:v>1.5000000000000002</c:v>
                </c:pt>
                <c:pt idx="16">
                  <c:v>4.03125</c:v>
                </c:pt>
                <c:pt idx="17">
                  <c:v>0.61764705882352944</c:v>
                </c:pt>
                <c:pt idx="18">
                  <c:v>-1.2388888888888887</c:v>
                </c:pt>
                <c:pt idx="19">
                  <c:v>0.44736842105263175</c:v>
                </c:pt>
                <c:pt idx="20">
                  <c:v>1.8400000000000003</c:v>
                </c:pt>
                <c:pt idx="21">
                  <c:v>3.1523809523809527</c:v>
                </c:pt>
                <c:pt idx="22">
                  <c:v>4.6818181818181817</c:v>
                </c:pt>
                <c:pt idx="23">
                  <c:v>5.4391304347826086</c:v>
                </c:pt>
                <c:pt idx="24">
                  <c:v>8.2874999999999996</c:v>
                </c:pt>
                <c:pt idx="25">
                  <c:v>9.2039999999999988</c:v>
                </c:pt>
                <c:pt idx="26">
                  <c:v>11.169230769230769</c:v>
                </c:pt>
                <c:pt idx="27">
                  <c:v>9.2629629629629608</c:v>
                </c:pt>
                <c:pt idx="28">
                  <c:v>8.0964285714285698</c:v>
                </c:pt>
                <c:pt idx="29">
                  <c:v>6.958620689655171</c:v>
                </c:pt>
                <c:pt idx="30">
                  <c:v>8.4199999999999982</c:v>
                </c:pt>
                <c:pt idx="31">
                  <c:v>9.5870967741935473</c:v>
                </c:pt>
                <c:pt idx="32">
                  <c:v>9.1843749999999993</c:v>
                </c:pt>
                <c:pt idx="33">
                  <c:v>9.8181818181818183</c:v>
                </c:pt>
                <c:pt idx="34">
                  <c:v>9.4323529411764699</c:v>
                </c:pt>
                <c:pt idx="35">
                  <c:v>9.8457142857142852</c:v>
                </c:pt>
                <c:pt idx="36">
                  <c:v>9.2944444444444443</c:v>
                </c:pt>
                <c:pt idx="37">
                  <c:v>9.0567567567567551</c:v>
                </c:pt>
                <c:pt idx="38">
                  <c:v>8.6842105263157876</c:v>
                </c:pt>
                <c:pt idx="39">
                  <c:v>9.4999999999999982</c:v>
                </c:pt>
                <c:pt idx="40">
                  <c:v>7.9324999999999992</c:v>
                </c:pt>
                <c:pt idx="41">
                  <c:v>6.9878048780487791</c:v>
                </c:pt>
                <c:pt idx="42">
                  <c:v>5.5619047619047608</c:v>
                </c:pt>
                <c:pt idx="43">
                  <c:v>5.4441860465116267</c:v>
                </c:pt>
                <c:pt idx="44">
                  <c:v>5.4863636363636354</c:v>
                </c:pt>
                <c:pt idx="45">
                  <c:v>5.0866666666666651</c:v>
                </c:pt>
                <c:pt idx="46">
                  <c:v>5.0195652173913032</c:v>
                </c:pt>
                <c:pt idx="47">
                  <c:v>4.744680851063829</c:v>
                </c:pt>
                <c:pt idx="48">
                  <c:v>5.456249999999998</c:v>
                </c:pt>
                <c:pt idx="49">
                  <c:v>5.0653061224489786</c:v>
                </c:pt>
                <c:pt idx="50">
                  <c:v>4.6259999999999986</c:v>
                </c:pt>
                <c:pt idx="51">
                  <c:v>5.1274509803921555</c:v>
                </c:pt>
                <c:pt idx="52">
                  <c:v>5.7307692307692299</c:v>
                </c:pt>
                <c:pt idx="53">
                  <c:v>5.6679245283018851</c:v>
                </c:pt>
                <c:pt idx="54">
                  <c:v>5.6685185185185167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1202250338560137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ただ2!$D$3:$D$57</c:f>
              <c:numCache>
                <c:formatCode>0.00\ "位"</c:formatCode>
                <c:ptCount val="55"/>
                <c:pt idx="1">
                  <c:v>1</c:v>
                </c:pt>
                <c:pt idx="2">
                  <c:v>1</c:v>
                </c:pt>
                <c:pt idx="3">
                  <c:v>1.3333333333333333</c:v>
                </c:pt>
                <c:pt idx="4">
                  <c:v>1.25</c:v>
                </c:pt>
                <c:pt idx="5">
                  <c:v>1.4</c:v>
                </c:pt>
                <c:pt idx="6">
                  <c:v>1.6666666666666667</c:v>
                </c:pt>
                <c:pt idx="7">
                  <c:v>1.7142857142857142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2</c:v>
                </c:pt>
                <c:pt idx="14">
                  <c:v>1.9285714285714286</c:v>
                </c:pt>
                <c:pt idx="15">
                  <c:v>1.8666666666666667</c:v>
                </c:pt>
                <c:pt idx="16">
                  <c:v>1.8125</c:v>
                </c:pt>
                <c:pt idx="17">
                  <c:v>1.8823529411764706</c:v>
                </c:pt>
                <c:pt idx="18">
                  <c:v>1.9444444444444444</c:v>
                </c:pt>
                <c:pt idx="19">
                  <c:v>1.8947368421052631</c:v>
                </c:pt>
                <c:pt idx="20">
                  <c:v>1.85</c:v>
                </c:pt>
                <c:pt idx="21">
                  <c:v>1.8095238095238095</c:v>
                </c:pt>
                <c:pt idx="22">
                  <c:v>1.7727272727272727</c:v>
                </c:pt>
                <c:pt idx="23">
                  <c:v>1.7391304347826086</c:v>
                </c:pt>
                <c:pt idx="24">
                  <c:v>1.7083333333333333</c:v>
                </c:pt>
                <c:pt idx="25">
                  <c:v>1.68</c:v>
                </c:pt>
                <c:pt idx="26">
                  <c:v>1.6538461538461537</c:v>
                </c:pt>
                <c:pt idx="27">
                  <c:v>1.7037037037037037</c:v>
                </c:pt>
                <c:pt idx="28">
                  <c:v>1.7142857142857142</c:v>
                </c:pt>
                <c:pt idx="29">
                  <c:v>1.7586206896551724</c:v>
                </c:pt>
                <c:pt idx="30">
                  <c:v>1.7333333333333334</c:v>
                </c:pt>
                <c:pt idx="31">
                  <c:v>1.7096774193548387</c:v>
                </c:pt>
                <c:pt idx="32">
                  <c:v>1.71875</c:v>
                </c:pt>
                <c:pt idx="33">
                  <c:v>1.696969696969697</c:v>
                </c:pt>
                <c:pt idx="34">
                  <c:v>1.7058823529411764</c:v>
                </c:pt>
                <c:pt idx="35">
                  <c:v>1.6857142857142857</c:v>
                </c:pt>
                <c:pt idx="36">
                  <c:v>1.6944444444444444</c:v>
                </c:pt>
                <c:pt idx="37">
                  <c:v>1.7027027027027026</c:v>
                </c:pt>
                <c:pt idx="38">
                  <c:v>1.7105263157894737</c:v>
                </c:pt>
                <c:pt idx="39">
                  <c:v>1.6923076923076923</c:v>
                </c:pt>
                <c:pt idx="40">
                  <c:v>1.7250000000000001</c:v>
                </c:pt>
                <c:pt idx="41">
                  <c:v>1.7560975609756098</c:v>
                </c:pt>
                <c:pt idx="42">
                  <c:v>1.7857142857142858</c:v>
                </c:pt>
                <c:pt idx="43">
                  <c:v>1.7906976744186047</c:v>
                </c:pt>
                <c:pt idx="44">
                  <c:v>1.7954545454545454</c:v>
                </c:pt>
                <c:pt idx="45">
                  <c:v>1.8222222222222222</c:v>
                </c:pt>
                <c:pt idx="46">
                  <c:v>1.826086956521739</c:v>
                </c:pt>
                <c:pt idx="47">
                  <c:v>1.8297872340425532</c:v>
                </c:pt>
                <c:pt idx="48">
                  <c:v>1.8125</c:v>
                </c:pt>
                <c:pt idx="49">
                  <c:v>1.8367346938775511</c:v>
                </c:pt>
                <c:pt idx="50">
                  <c:v>1.84</c:v>
                </c:pt>
                <c:pt idx="51">
                  <c:v>1.8235294117647058</c:v>
                </c:pt>
                <c:pt idx="52">
                  <c:v>1.8076923076923077</c:v>
                </c:pt>
                <c:pt idx="53">
                  <c:v>1.8113207547169812</c:v>
                </c:pt>
                <c:pt idx="54">
                  <c:v>1.8148148148148149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7477477477477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ただ2!$E$3:$E$57</c:f>
              <c:numCache>
                <c:formatCode>0.0%</c:formatCode>
                <c:ptCount val="5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0.47826086956521741</c:v>
                </c:pt>
                <c:pt idx="24">
                  <c:v>0.5</c:v>
                </c:pt>
                <c:pt idx="25">
                  <c:v>0.52</c:v>
                </c:pt>
                <c:pt idx="26">
                  <c:v>0.53846153846153844</c:v>
                </c:pt>
                <c:pt idx="27">
                  <c:v>0.51851851851851849</c:v>
                </c:pt>
                <c:pt idx="28">
                  <c:v>0.5</c:v>
                </c:pt>
                <c:pt idx="29">
                  <c:v>0.48275862068965519</c:v>
                </c:pt>
                <c:pt idx="30">
                  <c:v>0.5</c:v>
                </c:pt>
                <c:pt idx="31">
                  <c:v>0.5161290322580645</c:v>
                </c:pt>
                <c:pt idx="32">
                  <c:v>0.5</c:v>
                </c:pt>
                <c:pt idx="33">
                  <c:v>0.51515151515151514</c:v>
                </c:pt>
                <c:pt idx="34">
                  <c:v>0.5</c:v>
                </c:pt>
                <c:pt idx="35">
                  <c:v>0.51428571428571423</c:v>
                </c:pt>
                <c:pt idx="36">
                  <c:v>0.5</c:v>
                </c:pt>
                <c:pt idx="37">
                  <c:v>0.48648648648648651</c:v>
                </c:pt>
                <c:pt idx="38">
                  <c:v>0.47368421052631576</c:v>
                </c:pt>
                <c:pt idx="39">
                  <c:v>0.48717948717948717</c:v>
                </c:pt>
                <c:pt idx="40">
                  <c:v>0.47499999999999998</c:v>
                </c:pt>
                <c:pt idx="41">
                  <c:v>0.46341463414634149</c:v>
                </c:pt>
                <c:pt idx="42">
                  <c:v>0.45238095238095238</c:v>
                </c:pt>
                <c:pt idx="43">
                  <c:v>0.44186046511627908</c:v>
                </c:pt>
                <c:pt idx="44">
                  <c:v>0.43181818181818182</c:v>
                </c:pt>
                <c:pt idx="45">
                  <c:v>0.42222222222222222</c:v>
                </c:pt>
                <c:pt idx="46">
                  <c:v>0.41304347826086957</c:v>
                </c:pt>
                <c:pt idx="47">
                  <c:v>0.40425531914893614</c:v>
                </c:pt>
                <c:pt idx="48">
                  <c:v>0.41666666666666669</c:v>
                </c:pt>
                <c:pt idx="49">
                  <c:v>0.40816326530612246</c:v>
                </c:pt>
                <c:pt idx="50">
                  <c:v>0.4</c:v>
                </c:pt>
                <c:pt idx="51">
                  <c:v>0.41176470588235292</c:v>
                </c:pt>
                <c:pt idx="52">
                  <c:v>0.42307692307692307</c:v>
                </c:pt>
                <c:pt idx="53">
                  <c:v>0.41509433962264153</c:v>
                </c:pt>
                <c:pt idx="54">
                  <c:v>0.40740740740740738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58558558558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ただ2!$F$3:$F$57</c:f>
              <c:numCache>
                <c:formatCode>0.0%</c:formatCode>
                <c:ptCount val="5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0.21875</c:v>
                </c:pt>
                <c:pt idx="33">
                  <c:v>0.21212121212121213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0.2</c:v>
                </c:pt>
                <c:pt idx="41">
                  <c:v>0.21951219512195122</c:v>
                </c:pt>
                <c:pt idx="42">
                  <c:v>0.23809523809523808</c:v>
                </c:pt>
                <c:pt idx="43">
                  <c:v>0.23255813953488372</c:v>
                </c:pt>
                <c:pt idx="44">
                  <c:v>0.22727272727272727</c:v>
                </c:pt>
                <c:pt idx="45">
                  <c:v>0.24444444444444444</c:v>
                </c:pt>
                <c:pt idx="46">
                  <c:v>0.2391304347826087</c:v>
                </c:pt>
                <c:pt idx="47">
                  <c:v>0.23404255319148937</c:v>
                </c:pt>
                <c:pt idx="48">
                  <c:v>0.22916666666666666</c:v>
                </c:pt>
                <c:pt idx="49">
                  <c:v>0.24489795918367346</c:v>
                </c:pt>
                <c:pt idx="50">
                  <c:v>0.24</c:v>
                </c:pt>
                <c:pt idx="51">
                  <c:v>0.23529411764705882</c:v>
                </c:pt>
                <c:pt idx="52">
                  <c:v>0.23076923076923078</c:v>
                </c:pt>
                <c:pt idx="53">
                  <c:v>0.22641509433962265</c:v>
                </c:pt>
                <c:pt idx="54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ただ2!$G$3:$G$57</c:f>
              <c:numCache>
                <c:formatCode>0.0%</c:formatCode>
                <c:ptCount val="55"/>
                <c:pt idx="1">
                  <c:v>0.25</c:v>
                </c:pt>
                <c:pt idx="2">
                  <c:v>0.36842105263157893</c:v>
                </c:pt>
                <c:pt idx="3">
                  <c:v>0.37037037037037035</c:v>
                </c:pt>
                <c:pt idx="4">
                  <c:v>0.375</c:v>
                </c:pt>
                <c:pt idx="5">
                  <c:v>0.32608695652173914</c:v>
                </c:pt>
                <c:pt idx="6">
                  <c:v>0.30357142857142855</c:v>
                </c:pt>
                <c:pt idx="7">
                  <c:v>0.3125</c:v>
                </c:pt>
                <c:pt idx="8">
                  <c:v>0.31428571428571428</c:v>
                </c:pt>
                <c:pt idx="9">
                  <c:v>0.32926829268292684</c:v>
                </c:pt>
                <c:pt idx="10">
                  <c:v>0.32258064516129031</c:v>
                </c:pt>
                <c:pt idx="11">
                  <c:v>0.32323232323232326</c:v>
                </c:pt>
                <c:pt idx="12">
                  <c:v>0.31775700934579437</c:v>
                </c:pt>
                <c:pt idx="13">
                  <c:v>0.30973451327433627</c:v>
                </c:pt>
                <c:pt idx="14">
                  <c:v>0.30952380952380953</c:v>
                </c:pt>
                <c:pt idx="15">
                  <c:v>0.31617647058823528</c:v>
                </c:pt>
                <c:pt idx="16">
                  <c:v>0.32167832167832167</c:v>
                </c:pt>
                <c:pt idx="17">
                  <c:v>0.31292517006802723</c:v>
                </c:pt>
                <c:pt idx="18">
                  <c:v>0.30573248407643311</c:v>
                </c:pt>
                <c:pt idx="19">
                  <c:v>0.31288343558282211</c:v>
                </c:pt>
                <c:pt idx="20">
                  <c:v>0.31764705882352939</c:v>
                </c:pt>
                <c:pt idx="21">
                  <c:v>0.32960893854748602</c:v>
                </c:pt>
                <c:pt idx="22">
                  <c:v>0.33689839572192515</c:v>
                </c:pt>
                <c:pt idx="23">
                  <c:v>0.34183673469387754</c:v>
                </c:pt>
                <c:pt idx="24">
                  <c:v>0.34499999999999997</c:v>
                </c:pt>
                <c:pt idx="25">
                  <c:v>0.34449760765550241</c:v>
                </c:pt>
                <c:pt idx="26">
                  <c:v>0.36486486486486486</c:v>
                </c:pt>
                <c:pt idx="27">
                  <c:v>0.35807860262008734</c:v>
                </c:pt>
                <c:pt idx="28">
                  <c:v>0.35169491525423729</c:v>
                </c:pt>
                <c:pt idx="29">
                  <c:v>0.34552845528455284</c:v>
                </c:pt>
                <c:pt idx="30">
                  <c:v>0.35</c:v>
                </c:pt>
                <c:pt idx="31">
                  <c:v>0.34572490706319703</c:v>
                </c:pt>
                <c:pt idx="32">
                  <c:v>0.34275618374558303</c:v>
                </c:pt>
                <c:pt idx="33">
                  <c:v>0.34246575342465752</c:v>
                </c:pt>
                <c:pt idx="34">
                  <c:v>0.34448160535117056</c:v>
                </c:pt>
                <c:pt idx="35">
                  <c:v>0.35294117647058826</c:v>
                </c:pt>
                <c:pt idx="36">
                  <c:v>0.34615384615384615</c:v>
                </c:pt>
                <c:pt idx="37">
                  <c:v>0.34579439252336447</c:v>
                </c:pt>
                <c:pt idx="38">
                  <c:v>0.34662576687116564</c:v>
                </c:pt>
                <c:pt idx="39">
                  <c:v>0.34925373134328358</c:v>
                </c:pt>
                <c:pt idx="40">
                  <c:v>0.33913043478260868</c:v>
                </c:pt>
                <c:pt idx="41">
                  <c:v>0.3342696629213483</c:v>
                </c:pt>
                <c:pt idx="42">
                  <c:v>0.32970027247956402</c:v>
                </c:pt>
                <c:pt idx="43">
                  <c:v>0.32887700534759357</c:v>
                </c:pt>
                <c:pt idx="44">
                  <c:v>0.32808398950131235</c:v>
                </c:pt>
                <c:pt idx="45">
                  <c:v>0.32736572890025578</c:v>
                </c:pt>
                <c:pt idx="46">
                  <c:v>0.32663316582914576</c:v>
                </c:pt>
                <c:pt idx="47">
                  <c:v>0.32839506172839505</c:v>
                </c:pt>
                <c:pt idx="48">
                  <c:v>0.33574879227053139</c:v>
                </c:pt>
                <c:pt idx="49">
                  <c:v>0.33412322274881517</c:v>
                </c:pt>
                <c:pt idx="50">
                  <c:v>0.32943925233644861</c:v>
                </c:pt>
                <c:pt idx="51">
                  <c:v>0.33179723502304148</c:v>
                </c:pt>
                <c:pt idx="52">
                  <c:v>0.3355855855855856</c:v>
                </c:pt>
                <c:pt idx="53">
                  <c:v>0.33555555555555555</c:v>
                </c:pt>
                <c:pt idx="54">
                  <c:v>0.33839479392624727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501048218029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ただ2!$H$3:$H$57</c:f>
              <c:numCache>
                <c:formatCode>0.0%</c:formatCode>
                <c:ptCount val="55"/>
                <c:pt idx="1">
                  <c:v>0</c:v>
                </c:pt>
                <c:pt idx="2">
                  <c:v>5.2631578947368418E-2</c:v>
                </c:pt>
                <c:pt idx="3">
                  <c:v>0.1111111111111111</c:v>
                </c:pt>
                <c:pt idx="4">
                  <c:v>0.1</c:v>
                </c:pt>
                <c:pt idx="5">
                  <c:v>0.10869565217391304</c:v>
                </c:pt>
                <c:pt idx="6">
                  <c:v>0.10714285714285714</c:v>
                </c:pt>
                <c:pt idx="7">
                  <c:v>0.109375</c:v>
                </c:pt>
                <c:pt idx="8">
                  <c:v>0.11428571428571428</c:v>
                </c:pt>
                <c:pt idx="9">
                  <c:v>0.10975609756097561</c:v>
                </c:pt>
                <c:pt idx="10">
                  <c:v>0.11827956989247312</c:v>
                </c:pt>
                <c:pt idx="11">
                  <c:v>0.12121212121212122</c:v>
                </c:pt>
                <c:pt idx="12">
                  <c:v>0.12149532710280374</c:v>
                </c:pt>
                <c:pt idx="13">
                  <c:v>0.15044247787610621</c:v>
                </c:pt>
                <c:pt idx="14">
                  <c:v>0.15873015873015872</c:v>
                </c:pt>
                <c:pt idx="15">
                  <c:v>0.15441176470588236</c:v>
                </c:pt>
                <c:pt idx="16">
                  <c:v>0.14685314685314685</c:v>
                </c:pt>
                <c:pt idx="17">
                  <c:v>0.15646258503401361</c:v>
                </c:pt>
                <c:pt idx="18">
                  <c:v>0.15923566878980891</c:v>
                </c:pt>
                <c:pt idx="19">
                  <c:v>0.15950920245398773</c:v>
                </c:pt>
                <c:pt idx="20">
                  <c:v>0.1588235294117647</c:v>
                </c:pt>
                <c:pt idx="21">
                  <c:v>0.16201117318435754</c:v>
                </c:pt>
                <c:pt idx="22">
                  <c:v>0.15508021390374332</c:v>
                </c:pt>
                <c:pt idx="23">
                  <c:v>0.15816326530612246</c:v>
                </c:pt>
                <c:pt idx="24">
                  <c:v>0.155</c:v>
                </c:pt>
                <c:pt idx="25">
                  <c:v>0.14832535885167464</c:v>
                </c:pt>
                <c:pt idx="26">
                  <c:v>0.13963963963963963</c:v>
                </c:pt>
                <c:pt idx="27">
                  <c:v>0.14410480349344978</c:v>
                </c:pt>
                <c:pt idx="28">
                  <c:v>0.13983050847457626</c:v>
                </c:pt>
                <c:pt idx="29">
                  <c:v>0.14227642276422764</c:v>
                </c:pt>
                <c:pt idx="30">
                  <c:v>0.14615384615384616</c:v>
                </c:pt>
                <c:pt idx="31">
                  <c:v>0.1449814126394052</c:v>
                </c:pt>
                <c:pt idx="32">
                  <c:v>0.13780918727915195</c:v>
                </c:pt>
                <c:pt idx="33">
                  <c:v>0.13356164383561644</c:v>
                </c:pt>
                <c:pt idx="34">
                  <c:v>0.13043478260869565</c:v>
                </c:pt>
                <c:pt idx="35">
                  <c:v>0.12745098039215685</c:v>
                </c:pt>
                <c:pt idx="36">
                  <c:v>0.125</c:v>
                </c:pt>
                <c:pt idx="37">
                  <c:v>0.12149532710280374</c:v>
                </c:pt>
                <c:pt idx="38">
                  <c:v>0.1196319018404908</c:v>
                </c:pt>
                <c:pt idx="39">
                  <c:v>0.11940298507462686</c:v>
                </c:pt>
                <c:pt idx="40">
                  <c:v>0.12173913043478261</c:v>
                </c:pt>
                <c:pt idx="41">
                  <c:v>0.12359550561797752</c:v>
                </c:pt>
                <c:pt idx="42">
                  <c:v>0.1226158038147139</c:v>
                </c:pt>
                <c:pt idx="43">
                  <c:v>0.12032085561497326</c:v>
                </c:pt>
                <c:pt idx="44">
                  <c:v>0.11811023622047244</c:v>
                </c:pt>
                <c:pt idx="45">
                  <c:v>0.11508951406649616</c:v>
                </c:pt>
                <c:pt idx="46">
                  <c:v>0.11306532663316583</c:v>
                </c:pt>
                <c:pt idx="47">
                  <c:v>0.11604938271604938</c:v>
                </c:pt>
                <c:pt idx="48">
                  <c:v>0.11352657004830918</c:v>
                </c:pt>
                <c:pt idx="49">
                  <c:v>0.11611374407582939</c:v>
                </c:pt>
                <c:pt idx="50">
                  <c:v>0.1191588785046729</c:v>
                </c:pt>
                <c:pt idx="51">
                  <c:v>0.11751152073732719</c:v>
                </c:pt>
                <c:pt idx="52">
                  <c:v>0.11711711711711711</c:v>
                </c:pt>
                <c:pt idx="53">
                  <c:v>0.12</c:v>
                </c:pt>
                <c:pt idx="54">
                  <c:v>0.11713665943600868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997903563941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ただ2!$I$3:$I$57</c:f>
              <c:numCache>
                <c:formatCode>0</c:formatCode>
                <c:ptCount val="55"/>
                <c:pt idx="1">
                  <c:v>1800</c:v>
                </c:pt>
                <c:pt idx="2">
                  <c:v>6028.5714285714284</c:v>
                </c:pt>
                <c:pt idx="3">
                  <c:v>6210</c:v>
                </c:pt>
                <c:pt idx="4">
                  <c:v>6126.666666666667</c:v>
                </c:pt>
                <c:pt idx="5">
                  <c:v>6126.666666666667</c:v>
                </c:pt>
                <c:pt idx="6">
                  <c:v>6288.2352941176468</c:v>
                </c:pt>
                <c:pt idx="7">
                  <c:v>6405</c:v>
                </c:pt>
                <c:pt idx="8">
                  <c:v>6031.818181818182</c:v>
                </c:pt>
                <c:pt idx="9">
                  <c:v>6414.8148148148148</c:v>
                </c:pt>
                <c:pt idx="10">
                  <c:v>6493.333333333333</c:v>
                </c:pt>
                <c:pt idx="11">
                  <c:v>6315.625</c:v>
                </c:pt>
                <c:pt idx="12">
                  <c:v>6532.3529411764703</c:v>
                </c:pt>
                <c:pt idx="13">
                  <c:v>6460</c:v>
                </c:pt>
                <c:pt idx="14">
                  <c:v>6669.2307692307695</c:v>
                </c:pt>
                <c:pt idx="15">
                  <c:v>6951.1627906976746</c:v>
                </c:pt>
                <c:pt idx="16">
                  <c:v>7095.652173913043</c:v>
                </c:pt>
                <c:pt idx="17">
                  <c:v>7095.652173913043</c:v>
                </c:pt>
                <c:pt idx="18">
                  <c:v>7087.5</c:v>
                </c:pt>
                <c:pt idx="19">
                  <c:v>7294.1176470588234</c:v>
                </c:pt>
                <c:pt idx="20">
                  <c:v>7277.7777777777774</c:v>
                </c:pt>
                <c:pt idx="21">
                  <c:v>7345.7627118644068</c:v>
                </c:pt>
                <c:pt idx="22">
                  <c:v>7447.6190476190477</c:v>
                </c:pt>
                <c:pt idx="23">
                  <c:v>7525.373134328358</c:v>
                </c:pt>
                <c:pt idx="24">
                  <c:v>8171.014492753623</c:v>
                </c:pt>
                <c:pt idx="25">
                  <c:v>8055.5555555555557</c:v>
                </c:pt>
                <c:pt idx="26">
                  <c:v>7793.8271604938273</c:v>
                </c:pt>
                <c:pt idx="27">
                  <c:v>7730.4878048780483</c:v>
                </c:pt>
                <c:pt idx="28">
                  <c:v>7675.9036144578313</c:v>
                </c:pt>
                <c:pt idx="29">
                  <c:v>7843.5294117647063</c:v>
                </c:pt>
                <c:pt idx="30">
                  <c:v>7987.9120879120883</c:v>
                </c:pt>
                <c:pt idx="31">
                  <c:v>8138.7096774193551</c:v>
                </c:pt>
                <c:pt idx="32">
                  <c:v>7967.0103092783502</c:v>
                </c:pt>
                <c:pt idx="33">
                  <c:v>7924</c:v>
                </c:pt>
                <c:pt idx="34">
                  <c:v>7923.3009708737864</c:v>
                </c:pt>
                <c:pt idx="35">
                  <c:v>7805.5555555555557</c:v>
                </c:pt>
                <c:pt idx="36">
                  <c:v>7805.5555555555557</c:v>
                </c:pt>
                <c:pt idx="37">
                  <c:v>7767.5675675675675</c:v>
                </c:pt>
                <c:pt idx="38">
                  <c:v>7695.575221238938</c:v>
                </c:pt>
                <c:pt idx="39">
                  <c:v>7710.2564102564102</c:v>
                </c:pt>
                <c:pt idx="40">
                  <c:v>7710.2564102564102</c:v>
                </c:pt>
                <c:pt idx="41">
                  <c:v>7712.6050420168067</c:v>
                </c:pt>
                <c:pt idx="42">
                  <c:v>7631.4049586776855</c:v>
                </c:pt>
                <c:pt idx="43">
                  <c:v>7573.1707317073169</c:v>
                </c:pt>
                <c:pt idx="44">
                  <c:v>7534.4</c:v>
                </c:pt>
                <c:pt idx="45">
                  <c:v>7482.8125</c:v>
                </c:pt>
                <c:pt idx="46">
                  <c:v>7520.7692307692305</c:v>
                </c:pt>
                <c:pt idx="47">
                  <c:v>7401.5037593984962</c:v>
                </c:pt>
                <c:pt idx="48">
                  <c:v>7306.4748201438852</c:v>
                </c:pt>
                <c:pt idx="49">
                  <c:v>7300</c:v>
                </c:pt>
                <c:pt idx="50">
                  <c:v>7300</c:v>
                </c:pt>
                <c:pt idx="51">
                  <c:v>7267.3611111111113</c:v>
                </c:pt>
                <c:pt idx="52">
                  <c:v>7322.1476510067114</c:v>
                </c:pt>
                <c:pt idx="53">
                  <c:v>7384.1059602649011</c:v>
                </c:pt>
                <c:pt idx="54">
                  <c:v>7321.7948717948721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72.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ただ2!$J$3:$J$57</c:f>
              <c:numCache>
                <c:formatCode>0</c:formatCode>
                <c:ptCount val="55"/>
                <c:pt idx="1">
                  <c:v>0</c:v>
                </c:pt>
                <c:pt idx="2">
                  <c:v>-12000</c:v>
                </c:pt>
                <c:pt idx="3">
                  <c:v>-8866.6666666666661</c:v>
                </c:pt>
                <c:pt idx="4">
                  <c:v>-7625</c:v>
                </c:pt>
                <c:pt idx="5">
                  <c:v>-8500</c:v>
                </c:pt>
                <c:pt idx="6">
                  <c:v>-7733.333333333333</c:v>
                </c:pt>
                <c:pt idx="7">
                  <c:v>-7371.4285714285716</c:v>
                </c:pt>
                <c:pt idx="8">
                  <c:v>-7450</c:v>
                </c:pt>
                <c:pt idx="9">
                  <c:v>-7955.5555555555557</c:v>
                </c:pt>
                <c:pt idx="10">
                  <c:v>-7327.272727272727</c:v>
                </c:pt>
                <c:pt idx="11">
                  <c:v>-7150</c:v>
                </c:pt>
                <c:pt idx="12">
                  <c:v>-7830.7692307692305</c:v>
                </c:pt>
                <c:pt idx="13">
                  <c:v>-7641.1764705882351</c:v>
                </c:pt>
                <c:pt idx="14">
                  <c:v>-6980</c:v>
                </c:pt>
                <c:pt idx="15">
                  <c:v>-6771.4285714285716</c:v>
                </c:pt>
                <c:pt idx="16">
                  <c:v>-6771.4285714285716</c:v>
                </c:pt>
                <c:pt idx="17">
                  <c:v>-7226.086956521739</c:v>
                </c:pt>
                <c:pt idx="18">
                  <c:v>-7180</c:v>
                </c:pt>
                <c:pt idx="19">
                  <c:v>-7211.5384615384619</c:v>
                </c:pt>
                <c:pt idx="20">
                  <c:v>-7051.8518518518522</c:v>
                </c:pt>
                <c:pt idx="21">
                  <c:v>-7089.6551724137935</c:v>
                </c:pt>
                <c:pt idx="22">
                  <c:v>-7089.6551724137935</c:v>
                </c:pt>
                <c:pt idx="23">
                  <c:v>-7277.4193548387093</c:v>
                </c:pt>
                <c:pt idx="24">
                  <c:v>-7277.4193548387093</c:v>
                </c:pt>
                <c:pt idx="25">
                  <c:v>-7277.4193548387093</c:v>
                </c:pt>
                <c:pt idx="26">
                  <c:v>-7277.4193548387093</c:v>
                </c:pt>
                <c:pt idx="27">
                  <c:v>-7393.939393939394</c:v>
                </c:pt>
                <c:pt idx="28">
                  <c:v>-7393.939393939394</c:v>
                </c:pt>
                <c:pt idx="29">
                  <c:v>-7828.5714285714284</c:v>
                </c:pt>
                <c:pt idx="30">
                  <c:v>-7542.105263157895</c:v>
                </c:pt>
                <c:pt idx="31">
                  <c:v>-7448.7179487179483</c:v>
                </c:pt>
                <c:pt idx="32">
                  <c:v>-7448.7179487179483</c:v>
                </c:pt>
                <c:pt idx="33">
                  <c:v>-7448.7179487179483</c:v>
                </c:pt>
                <c:pt idx="34">
                  <c:v>-7448.7179487179483</c:v>
                </c:pt>
                <c:pt idx="35">
                  <c:v>-7448.7179487179483</c:v>
                </c:pt>
                <c:pt idx="36">
                  <c:v>-7448.7179487179483</c:v>
                </c:pt>
                <c:pt idx="37">
                  <c:v>-7448.7179487179483</c:v>
                </c:pt>
                <c:pt idx="38">
                  <c:v>-7448.7179487179483</c:v>
                </c:pt>
                <c:pt idx="39">
                  <c:v>-7302.5</c:v>
                </c:pt>
                <c:pt idx="40">
                  <c:v>-7366.666666666667</c:v>
                </c:pt>
                <c:pt idx="41">
                  <c:v>-7654.545454545455</c:v>
                </c:pt>
                <c:pt idx="42">
                  <c:v>-8017.7777777777774</c:v>
                </c:pt>
                <c:pt idx="43">
                  <c:v>-8017.7777777777774</c:v>
                </c:pt>
                <c:pt idx="44">
                  <c:v>-8017.7777777777774</c:v>
                </c:pt>
                <c:pt idx="45">
                  <c:v>-8017.7777777777774</c:v>
                </c:pt>
                <c:pt idx="46">
                  <c:v>-8017.7777777777774</c:v>
                </c:pt>
                <c:pt idx="47">
                  <c:v>-7774.4680851063831</c:v>
                </c:pt>
                <c:pt idx="48">
                  <c:v>-7774.4680851063831</c:v>
                </c:pt>
                <c:pt idx="49">
                  <c:v>-7693.8775510204077</c:v>
                </c:pt>
                <c:pt idx="50">
                  <c:v>-7507.8431372549021</c:v>
                </c:pt>
                <c:pt idx="51">
                  <c:v>-7507.8431372549021</c:v>
                </c:pt>
                <c:pt idx="52">
                  <c:v>-7671.1538461538457</c:v>
                </c:pt>
                <c:pt idx="53">
                  <c:v>-7731.4814814814818</c:v>
                </c:pt>
                <c:pt idx="54">
                  <c:v>-7731.4814814814818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70.57877813504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ただ2!$K$3:$K$57</c:f>
              <c:numCache>
                <c:formatCode>0.0%</c:formatCode>
                <c:ptCount val="5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7.4999999999999997E-2</c:v>
                </c:pt>
                <c:pt idx="41">
                  <c:v>7.3170731707317069E-2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09009009009008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ただ2!$L$3:$L$57</c:f>
              <c:numCache>
                <c:formatCode>0.0%</c:formatCode>
                <c:ptCount val="55"/>
                <c:pt idx="1">
                  <c:v>0</c:v>
                </c:pt>
                <c:pt idx="2">
                  <c:v>0.26315789473684209</c:v>
                </c:pt>
                <c:pt idx="3">
                  <c:v>0.25925925925925924</c:v>
                </c:pt>
                <c:pt idx="4">
                  <c:v>0.25</c:v>
                </c:pt>
                <c:pt idx="5">
                  <c:v>0.21739130434782608</c:v>
                </c:pt>
                <c:pt idx="6">
                  <c:v>0.25</c:v>
                </c:pt>
                <c:pt idx="7">
                  <c:v>0.25</c:v>
                </c:pt>
                <c:pt idx="8">
                  <c:v>0.25714285714285712</c:v>
                </c:pt>
                <c:pt idx="9">
                  <c:v>0.24390243902439024</c:v>
                </c:pt>
                <c:pt idx="10">
                  <c:v>0.22580645161290322</c:v>
                </c:pt>
                <c:pt idx="11">
                  <c:v>0.23232323232323232</c:v>
                </c:pt>
                <c:pt idx="12">
                  <c:v>0.23364485981308411</c:v>
                </c:pt>
                <c:pt idx="13">
                  <c:v>0.23008849557522124</c:v>
                </c:pt>
                <c:pt idx="14">
                  <c:v>0.23015873015873015</c:v>
                </c:pt>
                <c:pt idx="15">
                  <c:v>0.22058823529411764</c:v>
                </c:pt>
                <c:pt idx="16">
                  <c:v>0.21678321678321677</c:v>
                </c:pt>
                <c:pt idx="17">
                  <c:v>0.21768707482993196</c:v>
                </c:pt>
                <c:pt idx="18">
                  <c:v>0.22292993630573249</c:v>
                </c:pt>
                <c:pt idx="19">
                  <c:v>0.23312883435582821</c:v>
                </c:pt>
                <c:pt idx="20">
                  <c:v>0.23529411764705882</c:v>
                </c:pt>
                <c:pt idx="21">
                  <c:v>0.22905027932960895</c:v>
                </c:pt>
                <c:pt idx="22">
                  <c:v>0.22459893048128343</c:v>
                </c:pt>
                <c:pt idx="23">
                  <c:v>0.22448979591836735</c:v>
                </c:pt>
                <c:pt idx="24">
                  <c:v>0.23</c:v>
                </c:pt>
                <c:pt idx="25">
                  <c:v>0.22488038277511962</c:v>
                </c:pt>
                <c:pt idx="26">
                  <c:v>0.22072072072072071</c:v>
                </c:pt>
                <c:pt idx="27">
                  <c:v>0.22270742358078602</c:v>
                </c:pt>
                <c:pt idx="28">
                  <c:v>0.22033898305084745</c:v>
                </c:pt>
                <c:pt idx="29">
                  <c:v>0.22357723577235772</c:v>
                </c:pt>
                <c:pt idx="30">
                  <c:v>0.23076923076923078</c:v>
                </c:pt>
                <c:pt idx="31">
                  <c:v>0.23048327137546468</c:v>
                </c:pt>
                <c:pt idx="32">
                  <c:v>0.22261484098939929</c:v>
                </c:pt>
                <c:pt idx="33">
                  <c:v>0.22602739726027396</c:v>
                </c:pt>
                <c:pt idx="34">
                  <c:v>0.22408026755852842</c:v>
                </c:pt>
                <c:pt idx="35">
                  <c:v>0.21895424836601307</c:v>
                </c:pt>
                <c:pt idx="36">
                  <c:v>0.21474358974358973</c:v>
                </c:pt>
                <c:pt idx="37">
                  <c:v>0.2087227414330218</c:v>
                </c:pt>
                <c:pt idx="38">
                  <c:v>0.20858895705521471</c:v>
                </c:pt>
                <c:pt idx="39">
                  <c:v>0.20895522388059701</c:v>
                </c:pt>
                <c:pt idx="40">
                  <c:v>0.20869565217391303</c:v>
                </c:pt>
                <c:pt idx="41">
                  <c:v>0.2050561797752809</c:v>
                </c:pt>
                <c:pt idx="42">
                  <c:v>0.20708446866485014</c:v>
                </c:pt>
                <c:pt idx="43">
                  <c:v>0.20320855614973263</c:v>
                </c:pt>
                <c:pt idx="44">
                  <c:v>0.20209973753280841</c:v>
                </c:pt>
                <c:pt idx="45">
                  <c:v>0.20204603580562661</c:v>
                </c:pt>
                <c:pt idx="46">
                  <c:v>0.20351758793969849</c:v>
                </c:pt>
                <c:pt idx="47">
                  <c:v>0.20246913580246914</c:v>
                </c:pt>
                <c:pt idx="48">
                  <c:v>0.20289855072463769</c:v>
                </c:pt>
                <c:pt idx="49">
                  <c:v>0.2014218009478673</c:v>
                </c:pt>
                <c:pt idx="50">
                  <c:v>0.19859813084112149</c:v>
                </c:pt>
                <c:pt idx="51">
                  <c:v>0.20046082949308755</c:v>
                </c:pt>
                <c:pt idx="52">
                  <c:v>0.20045045045045046</c:v>
                </c:pt>
                <c:pt idx="53">
                  <c:v>0.19777777777777777</c:v>
                </c:pt>
                <c:pt idx="54">
                  <c:v>0.19956616052060738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855345911949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ただ2!$M$3:$M$57</c:f>
              <c:numCache>
                <c:formatCode>0.0%</c:formatCode>
                <c:ptCount val="55"/>
                <c:pt idx="1">
                  <c:v>0.25</c:v>
                </c:pt>
                <c:pt idx="2">
                  <c:v>0.15789473684210525</c:v>
                </c:pt>
                <c:pt idx="3">
                  <c:v>0.14814814814814814</c:v>
                </c:pt>
                <c:pt idx="4">
                  <c:v>0.17499999999999999</c:v>
                </c:pt>
                <c:pt idx="5">
                  <c:v>0.17391304347826086</c:v>
                </c:pt>
                <c:pt idx="6">
                  <c:v>0.21428571428571427</c:v>
                </c:pt>
                <c:pt idx="7">
                  <c:v>0.203125</c:v>
                </c:pt>
                <c:pt idx="8">
                  <c:v>0.2</c:v>
                </c:pt>
                <c:pt idx="9">
                  <c:v>0.1951219512195122</c:v>
                </c:pt>
                <c:pt idx="10">
                  <c:v>0.21505376344086022</c:v>
                </c:pt>
                <c:pt idx="11">
                  <c:v>0.21212121212121213</c:v>
                </c:pt>
                <c:pt idx="12">
                  <c:v>0.21495327102803738</c:v>
                </c:pt>
                <c:pt idx="13">
                  <c:v>0.24778761061946902</c:v>
                </c:pt>
                <c:pt idx="14">
                  <c:v>0.24603174603174602</c:v>
                </c:pt>
                <c:pt idx="15">
                  <c:v>0.26470588235294118</c:v>
                </c:pt>
                <c:pt idx="16">
                  <c:v>0.28671328671328672</c:v>
                </c:pt>
                <c:pt idx="17">
                  <c:v>0.2857142857142857</c:v>
                </c:pt>
                <c:pt idx="18">
                  <c:v>0.27388535031847133</c:v>
                </c:pt>
                <c:pt idx="19">
                  <c:v>0.26993865030674846</c:v>
                </c:pt>
                <c:pt idx="20">
                  <c:v>0.26470588235294118</c:v>
                </c:pt>
                <c:pt idx="21">
                  <c:v>0.26256983240223464</c:v>
                </c:pt>
                <c:pt idx="22">
                  <c:v>0.26203208556149732</c:v>
                </c:pt>
                <c:pt idx="23">
                  <c:v>0.25510204081632654</c:v>
                </c:pt>
                <c:pt idx="24">
                  <c:v>0.25</c:v>
                </c:pt>
                <c:pt idx="25">
                  <c:v>0.25358851674641147</c:v>
                </c:pt>
                <c:pt idx="26">
                  <c:v>0.26126126126126126</c:v>
                </c:pt>
                <c:pt idx="27">
                  <c:v>0.25327510917030566</c:v>
                </c:pt>
                <c:pt idx="28">
                  <c:v>0.24576271186440679</c:v>
                </c:pt>
                <c:pt idx="29">
                  <c:v>0.24390243902439024</c:v>
                </c:pt>
                <c:pt idx="30">
                  <c:v>0.24230769230769231</c:v>
                </c:pt>
                <c:pt idx="31">
                  <c:v>0.24163568773234201</c:v>
                </c:pt>
                <c:pt idx="32">
                  <c:v>0.25088339222614842</c:v>
                </c:pt>
                <c:pt idx="33">
                  <c:v>0.26027397260273971</c:v>
                </c:pt>
                <c:pt idx="34">
                  <c:v>0.2608695652173913</c:v>
                </c:pt>
                <c:pt idx="35">
                  <c:v>0.2581699346405229</c:v>
                </c:pt>
                <c:pt idx="36">
                  <c:v>0.25641025641025639</c:v>
                </c:pt>
                <c:pt idx="37">
                  <c:v>0.2554517133956386</c:v>
                </c:pt>
                <c:pt idx="38">
                  <c:v>0.25153374233128833</c:v>
                </c:pt>
                <c:pt idx="39">
                  <c:v>0.24776119402985075</c:v>
                </c:pt>
                <c:pt idx="40">
                  <c:v>0.25507246376811593</c:v>
                </c:pt>
                <c:pt idx="41">
                  <c:v>0.2640449438202247</c:v>
                </c:pt>
                <c:pt idx="42">
                  <c:v>0.25885558583106266</c:v>
                </c:pt>
                <c:pt idx="43">
                  <c:v>0.26737967914438504</c:v>
                </c:pt>
                <c:pt idx="44">
                  <c:v>0.27296587926509186</c:v>
                </c:pt>
                <c:pt idx="45">
                  <c:v>0.26854219948849106</c:v>
                </c:pt>
                <c:pt idx="46">
                  <c:v>0.26884422110552764</c:v>
                </c:pt>
                <c:pt idx="47">
                  <c:v>0.26913580246913582</c:v>
                </c:pt>
                <c:pt idx="48">
                  <c:v>0.27294685990338163</c:v>
                </c:pt>
                <c:pt idx="49">
                  <c:v>0.27488151658767773</c:v>
                </c:pt>
                <c:pt idx="50">
                  <c:v>0.2780373831775701</c:v>
                </c:pt>
                <c:pt idx="51">
                  <c:v>0.27419354838709675</c:v>
                </c:pt>
                <c:pt idx="52">
                  <c:v>0.2747747747747748</c:v>
                </c:pt>
                <c:pt idx="53">
                  <c:v>0.27555555555555555</c:v>
                </c:pt>
                <c:pt idx="54">
                  <c:v>0.27765726681127983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4842767295597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ただ2!$N$3:$N$57</c:f>
              <c:numCache>
                <c:formatCode>0.0%</c:formatCode>
                <c:ptCount val="55"/>
                <c:pt idx="1">
                  <c:v>0</c:v>
                </c:pt>
                <c:pt idx="2">
                  <c:v>0.6</c:v>
                </c:pt>
                <c:pt idx="3">
                  <c:v>0.7142857142857143</c:v>
                </c:pt>
                <c:pt idx="4">
                  <c:v>0.8</c:v>
                </c:pt>
                <c:pt idx="5">
                  <c:v>0.8</c:v>
                </c:pt>
                <c:pt idx="6">
                  <c:v>0.6428571428571429</c:v>
                </c:pt>
                <c:pt idx="7">
                  <c:v>0.625</c:v>
                </c:pt>
                <c:pt idx="8">
                  <c:v>0.61111111111111116</c:v>
                </c:pt>
                <c:pt idx="9">
                  <c:v>0.6</c:v>
                </c:pt>
                <c:pt idx="10">
                  <c:v>0.5714285714285714</c:v>
                </c:pt>
                <c:pt idx="11">
                  <c:v>0.56521739130434778</c:v>
                </c:pt>
                <c:pt idx="12">
                  <c:v>0.52</c:v>
                </c:pt>
                <c:pt idx="13">
                  <c:v>0.5</c:v>
                </c:pt>
                <c:pt idx="14">
                  <c:v>0.48275862068965519</c:v>
                </c:pt>
                <c:pt idx="15">
                  <c:v>0.5</c:v>
                </c:pt>
                <c:pt idx="16">
                  <c:v>0.4838709677419355</c:v>
                </c:pt>
                <c:pt idx="17">
                  <c:v>0.46875</c:v>
                </c:pt>
                <c:pt idx="18">
                  <c:v>0.42857142857142855</c:v>
                </c:pt>
                <c:pt idx="19">
                  <c:v>0.47368421052631576</c:v>
                </c:pt>
                <c:pt idx="20">
                  <c:v>0.47499999999999998</c:v>
                </c:pt>
                <c:pt idx="21">
                  <c:v>0.48780487804878048</c:v>
                </c:pt>
                <c:pt idx="22">
                  <c:v>0.5</c:v>
                </c:pt>
                <c:pt idx="23">
                  <c:v>0.52272727272727271</c:v>
                </c:pt>
                <c:pt idx="24">
                  <c:v>0.52173913043478259</c:v>
                </c:pt>
                <c:pt idx="25">
                  <c:v>0.53191489361702127</c:v>
                </c:pt>
                <c:pt idx="26">
                  <c:v>0.53061224489795922</c:v>
                </c:pt>
                <c:pt idx="27">
                  <c:v>0.50980392156862742</c:v>
                </c:pt>
                <c:pt idx="28">
                  <c:v>0.5</c:v>
                </c:pt>
                <c:pt idx="29">
                  <c:v>0.50909090909090904</c:v>
                </c:pt>
                <c:pt idx="30">
                  <c:v>0.51666666666666672</c:v>
                </c:pt>
                <c:pt idx="31">
                  <c:v>0.5161290322580645</c:v>
                </c:pt>
                <c:pt idx="32">
                  <c:v>0.52380952380952384</c:v>
                </c:pt>
                <c:pt idx="33">
                  <c:v>0.51515151515151514</c:v>
                </c:pt>
                <c:pt idx="34">
                  <c:v>0.52238805970149249</c:v>
                </c:pt>
                <c:pt idx="35">
                  <c:v>0.52238805970149249</c:v>
                </c:pt>
                <c:pt idx="36">
                  <c:v>0.52238805970149249</c:v>
                </c:pt>
                <c:pt idx="37">
                  <c:v>0.52238805970149249</c:v>
                </c:pt>
                <c:pt idx="38">
                  <c:v>0.52941176470588236</c:v>
                </c:pt>
                <c:pt idx="39">
                  <c:v>0.54285714285714282</c:v>
                </c:pt>
                <c:pt idx="40">
                  <c:v>0.52777777777777779</c:v>
                </c:pt>
                <c:pt idx="41">
                  <c:v>0.53424657534246578</c:v>
                </c:pt>
                <c:pt idx="42">
                  <c:v>0.52631578947368418</c:v>
                </c:pt>
                <c:pt idx="43">
                  <c:v>0.52631578947368418</c:v>
                </c:pt>
                <c:pt idx="44">
                  <c:v>0.53246753246753242</c:v>
                </c:pt>
                <c:pt idx="45">
                  <c:v>0.54430379746835444</c:v>
                </c:pt>
                <c:pt idx="46">
                  <c:v>0.53086419753086422</c:v>
                </c:pt>
                <c:pt idx="47">
                  <c:v>0.52439024390243905</c:v>
                </c:pt>
                <c:pt idx="48">
                  <c:v>0.52380952380952384</c:v>
                </c:pt>
                <c:pt idx="49">
                  <c:v>0.52941176470588236</c:v>
                </c:pt>
                <c:pt idx="50">
                  <c:v>0.52941176470588236</c:v>
                </c:pt>
                <c:pt idx="51">
                  <c:v>0.54022988505747127</c:v>
                </c:pt>
                <c:pt idx="52">
                  <c:v>0.550561797752809</c:v>
                </c:pt>
                <c:pt idx="53">
                  <c:v>0.550561797752809</c:v>
                </c:pt>
                <c:pt idx="54">
                  <c:v>0.54347826086956519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0169851380042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ただ2!$O$3:$O$57</c:f>
              <c:numCache>
                <c:formatCode>0.0%</c:formatCode>
                <c:ptCount val="55"/>
                <c:pt idx="1">
                  <c:v>0.5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0.5714285714285714</c:v>
                </c:pt>
                <c:pt idx="5">
                  <c:v>0.5</c:v>
                </c:pt>
                <c:pt idx="6">
                  <c:v>0.41666666666666669</c:v>
                </c:pt>
                <c:pt idx="7">
                  <c:v>0.46153846153846156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0.47619047619047616</c:v>
                </c:pt>
                <c:pt idx="12">
                  <c:v>0.43478260869565216</c:v>
                </c:pt>
                <c:pt idx="13">
                  <c:v>0.39285714285714285</c:v>
                </c:pt>
                <c:pt idx="14">
                  <c:v>0.41935483870967744</c:v>
                </c:pt>
                <c:pt idx="15">
                  <c:v>0.41666666666666669</c:v>
                </c:pt>
                <c:pt idx="16">
                  <c:v>0.43902439024390244</c:v>
                </c:pt>
                <c:pt idx="17">
                  <c:v>0.42857142857142855</c:v>
                </c:pt>
                <c:pt idx="18">
                  <c:v>0.44186046511627908</c:v>
                </c:pt>
                <c:pt idx="19">
                  <c:v>0.43181818181818182</c:v>
                </c:pt>
                <c:pt idx="20">
                  <c:v>0.44444444444444442</c:v>
                </c:pt>
                <c:pt idx="21">
                  <c:v>0.44680851063829785</c:v>
                </c:pt>
                <c:pt idx="22">
                  <c:v>0.46938775510204084</c:v>
                </c:pt>
                <c:pt idx="23">
                  <c:v>0.48</c:v>
                </c:pt>
                <c:pt idx="24">
                  <c:v>0.48</c:v>
                </c:pt>
                <c:pt idx="25">
                  <c:v>0.49056603773584906</c:v>
                </c:pt>
                <c:pt idx="26">
                  <c:v>0.51724137931034486</c:v>
                </c:pt>
                <c:pt idx="27">
                  <c:v>0.51724137931034486</c:v>
                </c:pt>
                <c:pt idx="28">
                  <c:v>0.51724137931034486</c:v>
                </c:pt>
                <c:pt idx="29">
                  <c:v>0.5</c:v>
                </c:pt>
                <c:pt idx="30">
                  <c:v>0.49206349206349204</c:v>
                </c:pt>
                <c:pt idx="31">
                  <c:v>0.49230769230769234</c:v>
                </c:pt>
                <c:pt idx="32">
                  <c:v>0.49295774647887325</c:v>
                </c:pt>
                <c:pt idx="33">
                  <c:v>0.47368421052631576</c:v>
                </c:pt>
                <c:pt idx="34">
                  <c:v>0.47435897435897434</c:v>
                </c:pt>
                <c:pt idx="35">
                  <c:v>0.48101265822784811</c:v>
                </c:pt>
                <c:pt idx="36">
                  <c:v>0.47499999999999998</c:v>
                </c:pt>
                <c:pt idx="37">
                  <c:v>0.47560975609756095</c:v>
                </c:pt>
                <c:pt idx="38">
                  <c:v>0.47560975609756095</c:v>
                </c:pt>
                <c:pt idx="39">
                  <c:v>0.48192771084337349</c:v>
                </c:pt>
                <c:pt idx="40">
                  <c:v>0.45454545454545453</c:v>
                </c:pt>
                <c:pt idx="41">
                  <c:v>0.43617021276595747</c:v>
                </c:pt>
                <c:pt idx="42">
                  <c:v>0.43157894736842106</c:v>
                </c:pt>
                <c:pt idx="43">
                  <c:v>0.42</c:v>
                </c:pt>
                <c:pt idx="44">
                  <c:v>0.41346153846153844</c:v>
                </c:pt>
                <c:pt idx="45">
                  <c:v>0.40952380952380951</c:v>
                </c:pt>
                <c:pt idx="46">
                  <c:v>0.41121495327102803</c:v>
                </c:pt>
                <c:pt idx="47">
                  <c:v>0.40366972477064222</c:v>
                </c:pt>
                <c:pt idx="48">
                  <c:v>0.41592920353982299</c:v>
                </c:pt>
                <c:pt idx="49">
                  <c:v>0.41379310344827586</c:v>
                </c:pt>
                <c:pt idx="50">
                  <c:v>0.40336134453781514</c:v>
                </c:pt>
                <c:pt idx="51">
                  <c:v>0.40336134453781514</c:v>
                </c:pt>
                <c:pt idx="52">
                  <c:v>0.40163934426229508</c:v>
                </c:pt>
                <c:pt idx="53">
                  <c:v>0.40322580645161288</c:v>
                </c:pt>
                <c:pt idx="54">
                  <c:v>0.421875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6759906759906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ただ2!$P$3:$P$57</c:f>
              <c:numCache>
                <c:formatCode>0.0%</c:formatCode>
                <c:ptCount val="55"/>
                <c:pt idx="1">
                  <c:v>0</c:v>
                </c:pt>
                <c:pt idx="2">
                  <c:v>0.42857142857142855</c:v>
                </c:pt>
                <c:pt idx="3">
                  <c:v>0.5</c:v>
                </c:pt>
                <c:pt idx="4">
                  <c:v>0.4</c:v>
                </c:pt>
                <c:pt idx="5">
                  <c:v>0.4</c:v>
                </c:pt>
                <c:pt idx="6">
                  <c:v>0.41176470588235292</c:v>
                </c:pt>
                <c:pt idx="7">
                  <c:v>0.35</c:v>
                </c:pt>
                <c:pt idx="8">
                  <c:v>0.31818181818181818</c:v>
                </c:pt>
                <c:pt idx="9">
                  <c:v>0.40740740740740738</c:v>
                </c:pt>
                <c:pt idx="10">
                  <c:v>0.4</c:v>
                </c:pt>
                <c:pt idx="11">
                  <c:v>0.40625</c:v>
                </c:pt>
                <c:pt idx="12">
                  <c:v>0.41176470588235292</c:v>
                </c:pt>
                <c:pt idx="13">
                  <c:v>0.42857142857142855</c:v>
                </c:pt>
                <c:pt idx="14">
                  <c:v>0.41025641025641024</c:v>
                </c:pt>
                <c:pt idx="15">
                  <c:v>0.39534883720930231</c:v>
                </c:pt>
                <c:pt idx="16">
                  <c:v>0.39130434782608697</c:v>
                </c:pt>
                <c:pt idx="17">
                  <c:v>0.39130434782608697</c:v>
                </c:pt>
                <c:pt idx="18">
                  <c:v>0.39583333333333331</c:v>
                </c:pt>
                <c:pt idx="19">
                  <c:v>0.39215686274509803</c:v>
                </c:pt>
                <c:pt idx="20">
                  <c:v>0.37037037037037035</c:v>
                </c:pt>
                <c:pt idx="21">
                  <c:v>0.3559322033898305</c:v>
                </c:pt>
                <c:pt idx="22">
                  <c:v>0.36507936507936506</c:v>
                </c:pt>
                <c:pt idx="23">
                  <c:v>0.37313432835820898</c:v>
                </c:pt>
                <c:pt idx="24">
                  <c:v>0.39130434782608697</c:v>
                </c:pt>
                <c:pt idx="25">
                  <c:v>0.41666666666666669</c:v>
                </c:pt>
                <c:pt idx="26">
                  <c:v>0.44444444444444442</c:v>
                </c:pt>
                <c:pt idx="27">
                  <c:v>0.43902439024390244</c:v>
                </c:pt>
                <c:pt idx="28">
                  <c:v>0.43373493975903615</c:v>
                </c:pt>
                <c:pt idx="29">
                  <c:v>0.44705882352941179</c:v>
                </c:pt>
                <c:pt idx="30">
                  <c:v>0.4175824175824176</c:v>
                </c:pt>
                <c:pt idx="31">
                  <c:v>0.41935483870967744</c:v>
                </c:pt>
                <c:pt idx="32">
                  <c:v>0.41237113402061853</c:v>
                </c:pt>
                <c:pt idx="33">
                  <c:v>0.4</c:v>
                </c:pt>
                <c:pt idx="34">
                  <c:v>0.40776699029126212</c:v>
                </c:pt>
                <c:pt idx="35">
                  <c:v>0.41666666666666669</c:v>
                </c:pt>
                <c:pt idx="36">
                  <c:v>0.41666666666666669</c:v>
                </c:pt>
                <c:pt idx="37">
                  <c:v>0.4144144144144144</c:v>
                </c:pt>
                <c:pt idx="38">
                  <c:v>0.41592920353982299</c:v>
                </c:pt>
                <c:pt idx="39">
                  <c:v>0.40170940170940173</c:v>
                </c:pt>
                <c:pt idx="40">
                  <c:v>0.40170940170940173</c:v>
                </c:pt>
                <c:pt idx="41">
                  <c:v>0.40336134453781514</c:v>
                </c:pt>
                <c:pt idx="42">
                  <c:v>0.4049586776859504</c:v>
                </c:pt>
                <c:pt idx="43">
                  <c:v>0.41463414634146339</c:v>
                </c:pt>
                <c:pt idx="44">
                  <c:v>0.41599999999999998</c:v>
                </c:pt>
                <c:pt idx="45">
                  <c:v>0.40625</c:v>
                </c:pt>
                <c:pt idx="46">
                  <c:v>0.40769230769230769</c:v>
                </c:pt>
                <c:pt idx="47">
                  <c:v>0.40601503759398494</c:v>
                </c:pt>
                <c:pt idx="48">
                  <c:v>0.39568345323741005</c:v>
                </c:pt>
                <c:pt idx="49">
                  <c:v>0.3971631205673759</c:v>
                </c:pt>
                <c:pt idx="50">
                  <c:v>0.3971631205673759</c:v>
                </c:pt>
                <c:pt idx="51">
                  <c:v>0.40277777777777779</c:v>
                </c:pt>
                <c:pt idx="52">
                  <c:v>0.40939597315436244</c:v>
                </c:pt>
                <c:pt idx="53">
                  <c:v>0.40397350993377484</c:v>
                </c:pt>
                <c:pt idx="54">
                  <c:v>0.40384615384615385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8392857142857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56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260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261</v>
      </c>
      <c r="B45" s="3">
        <v>44168.706261574072</v>
      </c>
      <c r="C45" s="2" t="s">
        <v>127</v>
      </c>
      <c r="D45" s="2" t="s">
        <v>188</v>
      </c>
      <c r="E45" s="2" t="s">
        <v>191</v>
      </c>
    </row>
    <row r="46" spans="1:7" x14ac:dyDescent="0.4">
      <c r="A46" s="2" t="s">
        <v>262</v>
      </c>
      <c r="B46" s="3">
        <v>44173.827592592592</v>
      </c>
      <c r="C46" s="2" t="s">
        <v>127</v>
      </c>
      <c r="D46" s="2" t="s">
        <v>188</v>
      </c>
      <c r="E46" s="2" t="s">
        <v>191</v>
      </c>
      <c r="F46" s="2" t="s">
        <v>194</v>
      </c>
    </row>
    <row r="47" spans="1:7" x14ac:dyDescent="0.4">
      <c r="A47" s="2" t="s">
        <v>264</v>
      </c>
      <c r="B47" s="3">
        <v>44174.98369212963</v>
      </c>
      <c r="C47" s="2" t="s">
        <v>127</v>
      </c>
      <c r="D47" s="2" t="s">
        <v>188</v>
      </c>
      <c r="E47" s="2" t="s">
        <v>191</v>
      </c>
    </row>
    <row r="48" spans="1:7" x14ac:dyDescent="0.4">
      <c r="A48" s="2" t="s">
        <v>265</v>
      </c>
      <c r="B48" s="3">
        <v>44175.828553240739</v>
      </c>
      <c r="C48" s="2" t="s">
        <v>127</v>
      </c>
    </row>
    <row r="49" spans="1:6" x14ac:dyDescent="0.4">
      <c r="A49" s="2" t="s">
        <v>266</v>
      </c>
      <c r="B49" s="3">
        <v>44176.732916666668</v>
      </c>
      <c r="C49" s="2" t="s">
        <v>127</v>
      </c>
      <c r="D49" s="2" t="s">
        <v>188</v>
      </c>
    </row>
    <row r="50" spans="1:6" x14ac:dyDescent="0.4">
      <c r="A50" s="2" t="s">
        <v>267</v>
      </c>
      <c r="B50" s="3">
        <v>44177.783159722225</v>
      </c>
      <c r="C50" s="2" t="s">
        <v>127</v>
      </c>
      <c r="D50" s="2" t="s">
        <v>188</v>
      </c>
    </row>
    <row r="51" spans="1:6" x14ac:dyDescent="0.4">
      <c r="A51" s="2" t="s">
        <v>268</v>
      </c>
      <c r="B51" s="3">
        <v>44179.770092592589</v>
      </c>
      <c r="C51" s="2" t="s">
        <v>127</v>
      </c>
      <c r="D51" s="2" t="s">
        <v>188</v>
      </c>
    </row>
    <row r="52" spans="1:6" x14ac:dyDescent="0.4">
      <c r="A52" s="2" t="s">
        <v>269</v>
      </c>
      <c r="B52" s="3">
        <v>44188.877129629633</v>
      </c>
      <c r="C52" s="2" t="s">
        <v>127</v>
      </c>
    </row>
    <row r="53" spans="1:6" x14ac:dyDescent="0.4">
      <c r="A53" s="2" t="s">
        <v>270</v>
      </c>
      <c r="B53" s="3">
        <v>44202.692986111113</v>
      </c>
      <c r="C53" s="2" t="s">
        <v>127</v>
      </c>
    </row>
    <row r="54" spans="1:6" x14ac:dyDescent="0.4">
      <c r="A54" s="2" t="s">
        <v>271</v>
      </c>
      <c r="B54" s="3">
        <v>44203.727847222224</v>
      </c>
      <c r="C54" s="2" t="s">
        <v>127</v>
      </c>
      <c r="D54" s="2" t="s">
        <v>188</v>
      </c>
      <c r="E54" s="2" t="s">
        <v>191</v>
      </c>
      <c r="F54" s="2" t="s">
        <v>194</v>
      </c>
    </row>
    <row r="55" spans="1:6" x14ac:dyDescent="0.4">
      <c r="A55" s="2" t="s">
        <v>272</v>
      </c>
      <c r="B55" s="3">
        <v>44211.712731481479</v>
      </c>
      <c r="C55" s="2" t="s">
        <v>127</v>
      </c>
      <c r="D55" s="2" t="s">
        <v>188</v>
      </c>
    </row>
    <row r="56" spans="1:6" x14ac:dyDescent="0.4">
      <c r="A56" s="2" t="s">
        <v>273</v>
      </c>
      <c r="B56" s="3">
        <v>44212.86445601852</v>
      </c>
      <c r="C56" s="2" t="s">
        <v>127</v>
      </c>
      <c r="D56" s="2" t="s">
        <v>188</v>
      </c>
      <c r="E56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263</v>
      </c>
    </row>
    <row r="2" spans="1:3" x14ac:dyDescent="0.4">
      <c r="A2" t="s">
        <v>126</v>
      </c>
      <c r="B2" s="120">
        <v>124</v>
      </c>
      <c r="C2" s="120">
        <v>1842.3339395535957</v>
      </c>
    </row>
    <row r="3" spans="1:3" x14ac:dyDescent="0.4">
      <c r="A3" t="s">
        <v>163</v>
      </c>
      <c r="B3" s="120">
        <v>81</v>
      </c>
      <c r="C3" s="120">
        <v>1653.1699313523677</v>
      </c>
    </row>
    <row r="4" spans="1:3" x14ac:dyDescent="0.4">
      <c r="A4" t="s">
        <v>139</v>
      </c>
      <c r="B4" s="120">
        <v>444</v>
      </c>
      <c r="C4" s="120">
        <v>1594.5463045050694</v>
      </c>
    </row>
    <row r="5" spans="1:3" x14ac:dyDescent="0.4">
      <c r="A5" t="s">
        <v>190</v>
      </c>
      <c r="B5" s="120">
        <v>37</v>
      </c>
      <c r="C5" s="120">
        <v>1524.3778689305989</v>
      </c>
    </row>
    <row r="6" spans="1:3" x14ac:dyDescent="0.4">
      <c r="A6" t="s">
        <v>192</v>
      </c>
      <c r="B6" s="120">
        <v>54</v>
      </c>
      <c r="C6" s="120">
        <v>1517.1288342047803</v>
      </c>
    </row>
    <row r="7" spans="1:3" x14ac:dyDescent="0.4">
      <c r="A7" t="s">
        <v>211</v>
      </c>
      <c r="B7" s="120">
        <v>50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48</v>
      </c>
      <c r="C10" s="120">
        <v>1433.30445236539</v>
      </c>
    </row>
    <row r="11" spans="1:3" x14ac:dyDescent="0.4">
      <c r="A11" t="s">
        <v>195</v>
      </c>
      <c r="B11" s="120">
        <v>16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B14" s="120">
        <v>4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19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/>
      <c r="C1" s="140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0</v>
      </c>
      <c r="C2" s="142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43">
        <v>0</v>
      </c>
      <c r="C3" s="14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5">
        <v>0</v>
      </c>
      <c r="C4" s="14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33">
        <f>IF(B$2=0,0,B$4/B$2)</f>
        <v>0</v>
      </c>
      <c r="C5" s="134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7">
        <v>1500</v>
      </c>
      <c r="C6" s="13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7">
        <f>IF(B$2=0,0,(B$8*1+B$9*2+B$10*3)/B$2)</f>
        <v>0</v>
      </c>
      <c r="C7" s="148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</v>
      </c>
      <c r="C14" s="134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5">
        <v>0</v>
      </c>
      <c r="C33" s="136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7">
        <v>-1000000</v>
      </c>
      <c r="C34" s="138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5" t="s">
        <v>9</v>
      </c>
      <c r="C1" s="156"/>
      <c r="D1" s="149" t="s">
        <v>6</v>
      </c>
      <c r="E1" s="150"/>
      <c r="F1" s="149" t="s">
        <v>7</v>
      </c>
      <c r="G1" s="150"/>
      <c r="H1" s="155" t="s">
        <v>196</v>
      </c>
      <c r="I1" s="156"/>
      <c r="J1" s="149" t="s">
        <v>15</v>
      </c>
      <c r="K1" s="150"/>
      <c r="L1" s="149" t="s">
        <v>14</v>
      </c>
      <c r="M1" s="150"/>
      <c r="N1" s="149" t="s">
        <v>149</v>
      </c>
      <c r="O1" s="150"/>
      <c r="P1" s="149" t="s">
        <v>143</v>
      </c>
      <c r="Q1" s="150"/>
      <c r="R1" s="149" t="s">
        <v>144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145</v>
      </c>
      <c r="AG1" s="150"/>
      <c r="AH1" s="149" t="s">
        <v>138</v>
      </c>
      <c r="AI1" s="150"/>
      <c r="AJ1" s="149" t="s">
        <v>180</v>
      </c>
      <c r="AK1" s="150"/>
    </row>
    <row r="2" spans="1:37" x14ac:dyDescent="0.4">
      <c r="A2" s="36" t="s">
        <v>208</v>
      </c>
      <c r="B2" s="151">
        <v>0.9047162145727764</v>
      </c>
      <c r="C2" s="152"/>
      <c r="D2" s="151">
        <v>0.32480232358163208</v>
      </c>
      <c r="E2" s="152"/>
      <c r="F2" s="151">
        <v>0.54422727113483693</v>
      </c>
      <c r="G2" s="152"/>
      <c r="H2" s="153"/>
      <c r="I2" s="154"/>
      <c r="J2" s="151">
        <v>0.26724286390534774</v>
      </c>
      <c r="K2" s="152"/>
      <c r="L2" s="151">
        <v>-0.12519378101752909</v>
      </c>
      <c r="M2" s="152"/>
      <c r="N2" s="151">
        <v>0.38618128909485361</v>
      </c>
      <c r="O2" s="152"/>
      <c r="P2" s="151">
        <v>0.53623821907465496</v>
      </c>
      <c r="Q2" s="152"/>
      <c r="R2" s="151">
        <v>2.480937256662993E-2</v>
      </c>
      <c r="S2" s="152"/>
      <c r="T2" s="151">
        <v>-6.4391793450642131E-3</v>
      </c>
      <c r="U2" s="152"/>
      <c r="V2" s="151">
        <v>0.2826940886938541</v>
      </c>
      <c r="W2" s="152"/>
      <c r="X2" s="151">
        <v>0.39850178413588594</v>
      </c>
      <c r="Y2" s="152"/>
      <c r="Z2" s="151">
        <v>0.15251633167969494</v>
      </c>
      <c r="AA2" s="152"/>
      <c r="AB2" s="151">
        <v>0.26398419641470894</v>
      </c>
      <c r="AC2" s="152"/>
      <c r="AD2" s="151">
        <v>-7.3349502908990283E-2</v>
      </c>
      <c r="AE2" s="152"/>
      <c r="AF2" s="151">
        <v>0.65478972000694557</v>
      </c>
      <c r="AG2" s="152"/>
      <c r="AH2" s="151">
        <v>-0.38381528650227376</v>
      </c>
      <c r="AI2" s="152"/>
      <c r="AJ2" s="151">
        <v>0.77919879693967264</v>
      </c>
      <c r="AK2" s="152"/>
    </row>
    <row r="3" spans="1:37" x14ac:dyDescent="0.4">
      <c r="A3" s="38">
        <v>1</v>
      </c>
      <c r="B3" s="41" t="s">
        <v>139</v>
      </c>
      <c r="C3" s="113">
        <v>148</v>
      </c>
      <c r="D3" s="39" t="s">
        <v>192</v>
      </c>
      <c r="E3" s="40">
        <v>306.09999999999991</v>
      </c>
      <c r="F3" s="41" t="s">
        <v>192</v>
      </c>
      <c r="G3" s="60">
        <v>5.6685185185185167</v>
      </c>
      <c r="H3" s="41" t="s">
        <v>126</v>
      </c>
      <c r="I3" s="45">
        <v>1722.4536444662958</v>
      </c>
      <c r="J3" s="41" t="s">
        <v>192</v>
      </c>
      <c r="K3" s="42">
        <v>1.8148148148148149</v>
      </c>
      <c r="L3" s="41" t="s">
        <v>192</v>
      </c>
      <c r="M3" s="43">
        <v>0.40740740740740738</v>
      </c>
      <c r="N3" s="41" t="s">
        <v>190</v>
      </c>
      <c r="O3" s="43">
        <v>0.1891891891891892</v>
      </c>
      <c r="P3" s="41" t="s">
        <v>192</v>
      </c>
      <c r="Q3" s="44">
        <v>0.33839479392624727</v>
      </c>
      <c r="R3" s="41" t="s">
        <v>190</v>
      </c>
      <c r="S3" s="44">
        <v>0.1059190031152648</v>
      </c>
      <c r="T3" s="41" t="s">
        <v>221</v>
      </c>
      <c r="U3" s="45">
        <v>10925</v>
      </c>
      <c r="V3" s="41" t="s">
        <v>190</v>
      </c>
      <c r="W3" s="45">
        <v>-6517.6470588235297</v>
      </c>
      <c r="X3" s="41" t="s">
        <v>193</v>
      </c>
      <c r="Y3" s="43">
        <v>0</v>
      </c>
      <c r="Z3" s="41" t="s">
        <v>163</v>
      </c>
      <c r="AA3" s="44">
        <v>0.2857142857142857</v>
      </c>
      <c r="AB3" s="41" t="s">
        <v>189</v>
      </c>
      <c r="AC3" s="44">
        <v>0.29716981132075471</v>
      </c>
      <c r="AD3" s="41" t="s">
        <v>201</v>
      </c>
      <c r="AE3" s="44">
        <v>0.66666666666666663</v>
      </c>
      <c r="AF3" s="41" t="s">
        <v>126</v>
      </c>
      <c r="AG3" s="44">
        <v>0.46411483253588515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124</v>
      </c>
      <c r="D4" s="47" t="s">
        <v>211</v>
      </c>
      <c r="E4" s="48">
        <v>211.6</v>
      </c>
      <c r="F4" s="49" t="s">
        <v>211</v>
      </c>
      <c r="G4" s="61">
        <v>4.2320000000000002</v>
      </c>
      <c r="H4" s="49" t="s">
        <v>163</v>
      </c>
      <c r="I4" s="53">
        <v>1624.8172554191544</v>
      </c>
      <c r="J4" s="49" t="s">
        <v>190</v>
      </c>
      <c r="K4" s="50">
        <v>1.8918918918918919</v>
      </c>
      <c r="L4" s="49" t="s">
        <v>211</v>
      </c>
      <c r="M4" s="51">
        <v>0.38</v>
      </c>
      <c r="N4" s="49" t="s">
        <v>192</v>
      </c>
      <c r="O4" s="51">
        <v>0.22222222222222221</v>
      </c>
      <c r="P4" s="49" t="s">
        <v>126</v>
      </c>
      <c r="Q4" s="52">
        <v>0.31513409961685823</v>
      </c>
      <c r="R4" s="49" t="s">
        <v>192</v>
      </c>
      <c r="S4" s="52">
        <v>0.11713665943600868</v>
      </c>
      <c r="T4" s="49" t="s">
        <v>163</v>
      </c>
      <c r="U4" s="53">
        <v>9472.2513089005242</v>
      </c>
      <c r="V4" s="49" t="s">
        <v>211</v>
      </c>
      <c r="W4" s="53">
        <v>-6854.3859649122805</v>
      </c>
      <c r="X4" s="49" t="s">
        <v>221</v>
      </c>
      <c r="Y4" s="51">
        <v>0</v>
      </c>
      <c r="Z4" s="49" t="s">
        <v>189</v>
      </c>
      <c r="AA4" s="52">
        <v>0.2617924528301887</v>
      </c>
      <c r="AB4" s="49" t="s">
        <v>221</v>
      </c>
      <c r="AC4" s="52">
        <v>0.27777777777777779</v>
      </c>
      <c r="AD4" s="49" t="s">
        <v>259</v>
      </c>
      <c r="AE4" s="52">
        <v>0.66666666666666663</v>
      </c>
      <c r="AF4" s="49" t="s">
        <v>211</v>
      </c>
      <c r="AG4" s="52">
        <v>0.45833333333333331</v>
      </c>
      <c r="AH4" s="49" t="s">
        <v>201</v>
      </c>
      <c r="AI4" s="52">
        <v>0.55555555555555558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81</v>
      </c>
      <c r="D5" s="47" t="s">
        <v>190</v>
      </c>
      <c r="E5" s="48">
        <v>58.499999999999957</v>
      </c>
      <c r="F5" s="49" t="s">
        <v>190</v>
      </c>
      <c r="G5" s="61">
        <v>1.58108108108108</v>
      </c>
      <c r="H5" s="49" t="s">
        <v>139</v>
      </c>
      <c r="I5" s="53">
        <v>1610.0038336519217</v>
      </c>
      <c r="J5" s="49" t="s">
        <v>211</v>
      </c>
      <c r="K5" s="50">
        <v>1.9</v>
      </c>
      <c r="L5" s="49" t="s">
        <v>189</v>
      </c>
      <c r="M5" s="51">
        <v>0.375</v>
      </c>
      <c r="N5" s="49" t="s">
        <v>211</v>
      </c>
      <c r="O5" s="51">
        <v>0.28000000000000003</v>
      </c>
      <c r="P5" s="49" t="s">
        <v>211</v>
      </c>
      <c r="Q5" s="52">
        <v>0.30969267139479906</v>
      </c>
      <c r="R5" s="49" t="s">
        <v>211</v>
      </c>
      <c r="S5" s="52">
        <v>0.13475177304964539</v>
      </c>
      <c r="T5" s="49" t="s">
        <v>195</v>
      </c>
      <c r="U5" s="53">
        <v>8974.2857142857138</v>
      </c>
      <c r="V5" s="49" t="s">
        <v>201</v>
      </c>
      <c r="W5" s="53">
        <v>-7370</v>
      </c>
      <c r="X5" s="49" t="s">
        <v>259</v>
      </c>
      <c r="Y5" s="51">
        <v>0</v>
      </c>
      <c r="Z5" s="49" t="s">
        <v>190</v>
      </c>
      <c r="AA5" s="52">
        <v>0.26168224299065418</v>
      </c>
      <c r="AB5" s="49" t="s">
        <v>192</v>
      </c>
      <c r="AC5" s="52">
        <v>0.27765726681127983</v>
      </c>
      <c r="AD5" s="49" t="s">
        <v>195</v>
      </c>
      <c r="AE5" s="52">
        <v>0.61764705882352944</v>
      </c>
      <c r="AF5" s="49" t="s">
        <v>192</v>
      </c>
      <c r="AG5" s="52">
        <v>0.421875</v>
      </c>
      <c r="AH5" s="49" t="s">
        <v>195</v>
      </c>
      <c r="AI5" s="52">
        <v>0.54285714285714282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54</v>
      </c>
      <c r="D6" s="47" t="s">
        <v>126</v>
      </c>
      <c r="E6" s="48">
        <v>36.999999999999886</v>
      </c>
      <c r="F6" s="49" t="s">
        <v>126</v>
      </c>
      <c r="G6" s="61">
        <v>0.29838709677419262</v>
      </c>
      <c r="H6" s="49" t="s">
        <v>192</v>
      </c>
      <c r="I6" s="53">
        <v>1590.1820430139337</v>
      </c>
      <c r="J6" s="49" t="s">
        <v>139</v>
      </c>
      <c r="K6" s="50">
        <v>1.9977477477477477</v>
      </c>
      <c r="L6" s="49" t="s">
        <v>195</v>
      </c>
      <c r="M6" s="51">
        <v>0.375</v>
      </c>
      <c r="N6" s="49" t="s">
        <v>163</v>
      </c>
      <c r="O6" s="51">
        <v>0.33333333333333331</v>
      </c>
      <c r="P6" s="49" t="s">
        <v>189</v>
      </c>
      <c r="Q6" s="52">
        <v>0.30188679245283018</v>
      </c>
      <c r="R6" s="49" t="s">
        <v>189</v>
      </c>
      <c r="S6" s="52">
        <v>0.15801886792452829</v>
      </c>
      <c r="T6" s="49" t="s">
        <v>139</v>
      </c>
      <c r="U6" s="53">
        <v>8172.5</v>
      </c>
      <c r="V6" s="49" t="s">
        <v>126</v>
      </c>
      <c r="W6" s="53">
        <v>-7560.869565217391</v>
      </c>
      <c r="X6" s="49" t="s">
        <v>211</v>
      </c>
      <c r="Y6" s="51">
        <v>0.04</v>
      </c>
      <c r="Z6" s="49" t="s">
        <v>126</v>
      </c>
      <c r="AA6" s="52">
        <v>0.24904214559386972</v>
      </c>
      <c r="AB6" s="49" t="s">
        <v>211</v>
      </c>
      <c r="AC6" s="52">
        <v>0.22695035460992907</v>
      </c>
      <c r="AD6" s="49" t="s">
        <v>211</v>
      </c>
      <c r="AE6" s="52">
        <v>0.59375</v>
      </c>
      <c r="AF6" s="49" t="s">
        <v>193</v>
      </c>
      <c r="AG6" s="52">
        <v>0.41666666666666669</v>
      </c>
      <c r="AH6" s="49" t="s">
        <v>259</v>
      </c>
      <c r="AI6" s="52">
        <v>0.5</v>
      </c>
      <c r="AJ6" s="49" t="s">
        <v>216</v>
      </c>
      <c r="AK6" s="56">
        <v>97000</v>
      </c>
    </row>
    <row r="7" spans="1:37" x14ac:dyDescent="0.4">
      <c r="A7" s="46">
        <v>5</v>
      </c>
      <c r="B7" s="49" t="s">
        <v>211</v>
      </c>
      <c r="C7" s="114">
        <v>50</v>
      </c>
      <c r="D7" s="47" t="s">
        <v>139</v>
      </c>
      <c r="E7" s="48">
        <v>4.9737991503207013E-14</v>
      </c>
      <c r="F7" s="49" t="s">
        <v>139</v>
      </c>
      <c r="G7" s="61">
        <v>1.1202250338560137E-16</v>
      </c>
      <c r="H7" s="49" t="s">
        <v>190</v>
      </c>
      <c r="I7" s="53">
        <v>1552.235570864417</v>
      </c>
      <c r="J7" s="49" t="s">
        <v>163</v>
      </c>
      <c r="K7" s="50">
        <v>2.0123456790123457</v>
      </c>
      <c r="L7" s="49" t="s">
        <v>139</v>
      </c>
      <c r="M7" s="51">
        <v>0.3355855855855856</v>
      </c>
      <c r="N7" s="49" t="s">
        <v>139</v>
      </c>
      <c r="O7" s="51">
        <v>0.33333333333333331</v>
      </c>
      <c r="P7" s="49" t="s">
        <v>139</v>
      </c>
      <c r="Q7" s="52">
        <v>0.29350104821802936</v>
      </c>
      <c r="R7" s="49" t="s">
        <v>139</v>
      </c>
      <c r="S7" s="52">
        <v>0.16299790356394131</v>
      </c>
      <c r="T7" s="49" t="s">
        <v>126</v>
      </c>
      <c r="U7" s="53">
        <v>8151.0638297872338</v>
      </c>
      <c r="V7" s="49" t="s">
        <v>139</v>
      </c>
      <c r="W7" s="53">
        <v>-7670.5787781350482</v>
      </c>
      <c r="X7" s="49" t="s">
        <v>190</v>
      </c>
      <c r="Y7" s="51">
        <v>5.4054054054054057E-2</v>
      </c>
      <c r="Z7" s="49" t="s">
        <v>139</v>
      </c>
      <c r="AA7" s="52">
        <v>0.24685534591194969</v>
      </c>
      <c r="AB7" s="49" t="s">
        <v>163</v>
      </c>
      <c r="AC7" s="52">
        <v>0.22607489597780861</v>
      </c>
      <c r="AD7" s="49" t="s">
        <v>126</v>
      </c>
      <c r="AE7" s="52">
        <v>0.56153846153846154</v>
      </c>
      <c r="AF7" s="49" t="s">
        <v>189</v>
      </c>
      <c r="AG7" s="52">
        <v>0.41269841269841268</v>
      </c>
      <c r="AH7" s="49" t="s">
        <v>216</v>
      </c>
      <c r="AI7" s="52">
        <v>0.47058823529411764</v>
      </c>
      <c r="AJ7" s="49" t="s">
        <v>163</v>
      </c>
      <c r="AK7" s="56">
        <v>94700</v>
      </c>
    </row>
    <row r="8" spans="1:37" x14ac:dyDescent="0.4">
      <c r="A8" s="46">
        <v>6</v>
      </c>
      <c r="B8" s="49" t="s">
        <v>189</v>
      </c>
      <c r="C8" s="114">
        <v>48</v>
      </c>
      <c r="D8" s="47" t="s">
        <v>221</v>
      </c>
      <c r="E8" s="48">
        <v>-13.5</v>
      </c>
      <c r="F8" s="49" t="s">
        <v>189</v>
      </c>
      <c r="G8" s="61">
        <v>-0.65624999999999989</v>
      </c>
      <c r="H8" s="49" t="s">
        <v>211</v>
      </c>
      <c r="I8" s="53">
        <v>1546.7179617982042</v>
      </c>
      <c r="J8" s="49" t="s">
        <v>189</v>
      </c>
      <c r="K8" s="50">
        <v>2.0208333333333335</v>
      </c>
      <c r="L8" s="49" t="s">
        <v>126</v>
      </c>
      <c r="M8" s="51">
        <v>0.33064516129032256</v>
      </c>
      <c r="N8" s="49" t="s">
        <v>126</v>
      </c>
      <c r="O8" s="51">
        <v>0.37096774193548387</v>
      </c>
      <c r="P8" s="49" t="s">
        <v>163</v>
      </c>
      <c r="Q8" s="52">
        <v>0.26490984743411927</v>
      </c>
      <c r="R8" s="49" t="s">
        <v>221</v>
      </c>
      <c r="S8" s="52">
        <v>0.16666666666666666</v>
      </c>
      <c r="T8" s="49" t="s">
        <v>190</v>
      </c>
      <c r="U8" s="53">
        <v>8091.7647058823532</v>
      </c>
      <c r="V8" s="49" t="s">
        <v>163</v>
      </c>
      <c r="W8" s="53">
        <v>-7730.9859154929582</v>
      </c>
      <c r="X8" s="49" t="s">
        <v>192</v>
      </c>
      <c r="Y8" s="51">
        <v>7.407407407407407E-2</v>
      </c>
      <c r="Z8" s="49" t="s">
        <v>259</v>
      </c>
      <c r="AA8" s="52">
        <v>0.24</v>
      </c>
      <c r="AB8" s="49" t="s">
        <v>139</v>
      </c>
      <c r="AC8" s="52">
        <v>0.22484276729559749</v>
      </c>
      <c r="AD8" s="49" t="s">
        <v>192</v>
      </c>
      <c r="AE8" s="52">
        <v>0.54347826086956519</v>
      </c>
      <c r="AF8" s="49" t="s">
        <v>139</v>
      </c>
      <c r="AG8" s="52">
        <v>0.40675990675990675</v>
      </c>
      <c r="AH8" s="49" t="s">
        <v>189</v>
      </c>
      <c r="AI8" s="52">
        <v>0.46875</v>
      </c>
      <c r="AJ8" s="49" t="s">
        <v>211</v>
      </c>
      <c r="AK8" s="56">
        <v>93600</v>
      </c>
    </row>
    <row r="9" spans="1:37" x14ac:dyDescent="0.4">
      <c r="A9" s="46">
        <v>7</v>
      </c>
      <c r="B9" s="49" t="s">
        <v>190</v>
      </c>
      <c r="C9" s="114">
        <v>37</v>
      </c>
      <c r="D9" s="47" t="s">
        <v>189</v>
      </c>
      <c r="E9" s="48">
        <v>-31.499999999999993</v>
      </c>
      <c r="F9" s="49" t="s">
        <v>163</v>
      </c>
      <c r="G9" s="61">
        <v>-1.6407407407407408</v>
      </c>
      <c r="H9" s="49" t="s">
        <v>221</v>
      </c>
      <c r="I9" s="53">
        <v>1497.379788</v>
      </c>
      <c r="J9" s="49" t="s">
        <v>126</v>
      </c>
      <c r="K9" s="50">
        <v>2.0403225806451615</v>
      </c>
      <c r="L9" s="49" t="s">
        <v>163</v>
      </c>
      <c r="M9" s="51">
        <v>0.32098765432098764</v>
      </c>
      <c r="N9" s="49" t="s">
        <v>189</v>
      </c>
      <c r="O9" s="51">
        <v>0.39583333333333331</v>
      </c>
      <c r="P9" s="49" t="s">
        <v>190</v>
      </c>
      <c r="Q9" s="52">
        <v>0.26479750778816197</v>
      </c>
      <c r="R9" s="49" t="s">
        <v>195</v>
      </c>
      <c r="S9" s="52">
        <v>0.17241379310344829</v>
      </c>
      <c r="T9" s="49" t="s">
        <v>211</v>
      </c>
      <c r="U9" s="53">
        <v>7960.3053435114507</v>
      </c>
      <c r="V9" s="49" t="s">
        <v>192</v>
      </c>
      <c r="W9" s="53">
        <v>-7731.4814814814818</v>
      </c>
      <c r="X9" s="49" t="s">
        <v>189</v>
      </c>
      <c r="Y9" s="51">
        <v>8.3333333333333329E-2</v>
      </c>
      <c r="Z9" s="49" t="s">
        <v>216</v>
      </c>
      <c r="AA9" s="52">
        <v>0.2361111111111111</v>
      </c>
      <c r="AB9" s="49" t="s">
        <v>193</v>
      </c>
      <c r="AC9" s="52">
        <v>0.22222222222222221</v>
      </c>
      <c r="AD9" s="49" t="s">
        <v>139</v>
      </c>
      <c r="AE9" s="52">
        <v>0.52016985138004246</v>
      </c>
      <c r="AF9" s="49" t="s">
        <v>221</v>
      </c>
      <c r="AG9" s="52">
        <v>0.4</v>
      </c>
      <c r="AH9" s="49" t="s">
        <v>126</v>
      </c>
      <c r="AI9" s="52">
        <v>0.45896656534954405</v>
      </c>
      <c r="AJ9" s="49" t="s">
        <v>189</v>
      </c>
      <c r="AK9" s="56">
        <v>89900</v>
      </c>
    </row>
    <row r="10" spans="1:37" x14ac:dyDescent="0.4">
      <c r="A10" s="46">
        <v>8</v>
      </c>
      <c r="B10" s="49" t="s">
        <v>216</v>
      </c>
      <c r="C10" s="114">
        <v>19</v>
      </c>
      <c r="D10" s="47" t="s">
        <v>259</v>
      </c>
      <c r="E10" s="48">
        <v>-50</v>
      </c>
      <c r="F10" s="49" t="s">
        <v>216</v>
      </c>
      <c r="G10" s="61">
        <v>-5.7</v>
      </c>
      <c r="H10" s="49" t="s">
        <v>259</v>
      </c>
      <c r="I10" s="53">
        <v>1493.0891304000002</v>
      </c>
      <c r="J10" s="49" t="s">
        <v>195</v>
      </c>
      <c r="K10" s="50">
        <v>2.0625</v>
      </c>
      <c r="L10" s="49" t="s">
        <v>190</v>
      </c>
      <c r="M10" s="51">
        <v>0.29729729729729731</v>
      </c>
      <c r="N10" s="49" t="s">
        <v>216</v>
      </c>
      <c r="O10" s="51">
        <v>0.42105263157894735</v>
      </c>
      <c r="P10" s="49" t="s">
        <v>201</v>
      </c>
      <c r="Q10" s="52">
        <v>0.25</v>
      </c>
      <c r="R10" s="49" t="s">
        <v>126</v>
      </c>
      <c r="S10" s="52">
        <v>0.17624521072796934</v>
      </c>
      <c r="T10" s="49" t="s">
        <v>216</v>
      </c>
      <c r="U10" s="53">
        <v>7926.4705882352937</v>
      </c>
      <c r="V10" s="49" t="s">
        <v>195</v>
      </c>
      <c r="W10" s="53">
        <v>-7868</v>
      </c>
      <c r="X10" s="49" t="s">
        <v>126</v>
      </c>
      <c r="Y10" s="51">
        <v>8.8709677419354843E-2</v>
      </c>
      <c r="Z10" s="49" t="s">
        <v>195</v>
      </c>
      <c r="AA10" s="52">
        <v>0.23448275862068965</v>
      </c>
      <c r="AB10" s="49" t="s">
        <v>201</v>
      </c>
      <c r="AC10" s="52">
        <v>0.22222222222222221</v>
      </c>
      <c r="AD10" s="49" t="s">
        <v>190</v>
      </c>
      <c r="AE10" s="52">
        <v>0.51190476190476186</v>
      </c>
      <c r="AF10" s="49" t="s">
        <v>190</v>
      </c>
      <c r="AG10" s="52">
        <v>0.36507936507936506</v>
      </c>
      <c r="AH10" s="49" t="s">
        <v>163</v>
      </c>
      <c r="AI10" s="52">
        <v>0.45549738219895286</v>
      </c>
      <c r="AJ10" s="49" t="s">
        <v>190</v>
      </c>
      <c r="AK10" s="56">
        <v>85000</v>
      </c>
    </row>
    <row r="11" spans="1:37" x14ac:dyDescent="0.4">
      <c r="A11" s="46">
        <v>9</v>
      </c>
      <c r="B11" s="49" t="s">
        <v>195</v>
      </c>
      <c r="C11" s="114">
        <v>16</v>
      </c>
      <c r="D11" s="47" t="s">
        <v>201</v>
      </c>
      <c r="E11" s="48">
        <v>-77.699999999999989</v>
      </c>
      <c r="F11" s="49" t="s">
        <v>221</v>
      </c>
      <c r="G11" s="61">
        <v>-6.75</v>
      </c>
      <c r="H11" s="49" t="s">
        <v>201</v>
      </c>
      <c r="I11" s="53">
        <v>1489.5540953611471</v>
      </c>
      <c r="J11" s="49" t="s">
        <v>216</v>
      </c>
      <c r="K11" s="50">
        <v>2.1578947368421053</v>
      </c>
      <c r="L11" s="49" t="s">
        <v>216</v>
      </c>
      <c r="M11" s="51">
        <v>0.26315789473684209</v>
      </c>
      <c r="N11" s="49" t="s">
        <v>195</v>
      </c>
      <c r="O11" s="51">
        <v>0.4375</v>
      </c>
      <c r="P11" s="49" t="s">
        <v>195</v>
      </c>
      <c r="Q11" s="52">
        <v>0.2413793103448276</v>
      </c>
      <c r="R11" s="49" t="s">
        <v>163</v>
      </c>
      <c r="S11" s="52">
        <v>0.19694868238557559</v>
      </c>
      <c r="T11" s="49" t="s">
        <v>193</v>
      </c>
      <c r="U11" s="53">
        <v>7866.666666666667</v>
      </c>
      <c r="V11" s="49" t="s">
        <v>216</v>
      </c>
      <c r="W11" s="53">
        <v>-7886.2068965517237</v>
      </c>
      <c r="X11" s="49" t="s">
        <v>139</v>
      </c>
      <c r="Y11" s="51">
        <v>9.0090090090090086E-2</v>
      </c>
      <c r="Z11" s="49" t="s">
        <v>211</v>
      </c>
      <c r="AA11" s="52">
        <v>0.22695035460992907</v>
      </c>
      <c r="AB11" s="49" t="s">
        <v>126</v>
      </c>
      <c r="AC11" s="52">
        <v>0.20019157088122605</v>
      </c>
      <c r="AD11" s="49" t="s">
        <v>216</v>
      </c>
      <c r="AE11" s="52">
        <v>0.47058823529411764</v>
      </c>
      <c r="AF11" s="49" t="s">
        <v>163</v>
      </c>
      <c r="AG11" s="52">
        <v>0.34355828220858897</v>
      </c>
      <c r="AH11" s="49" t="s">
        <v>139</v>
      </c>
      <c r="AI11" s="52">
        <v>0.43839285714285714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193</v>
      </c>
      <c r="E12" s="48">
        <v>-78.199999999999989</v>
      </c>
      <c r="F12" s="49" t="s">
        <v>195</v>
      </c>
      <c r="G12" s="61">
        <v>-7.5687499999999996</v>
      </c>
      <c r="H12" s="49" t="s">
        <v>216</v>
      </c>
      <c r="I12" s="53">
        <v>1488.9447185272431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259</v>
      </c>
      <c r="Q12" s="52">
        <v>0.24</v>
      </c>
      <c r="R12" s="49" t="s">
        <v>259</v>
      </c>
      <c r="S12" s="52">
        <v>0.2</v>
      </c>
      <c r="T12" s="49" t="s">
        <v>189</v>
      </c>
      <c r="U12" s="53">
        <v>7529.6875</v>
      </c>
      <c r="V12" s="49" t="s">
        <v>189</v>
      </c>
      <c r="W12" s="53">
        <v>-8488.059701492537</v>
      </c>
      <c r="X12" s="49" t="s">
        <v>216</v>
      </c>
      <c r="Y12" s="51">
        <v>0.10526315789473684</v>
      </c>
      <c r="Z12" s="49" t="s">
        <v>221</v>
      </c>
      <c r="AA12" s="52">
        <v>0.22222222222222221</v>
      </c>
      <c r="AB12" s="49" t="s">
        <v>190</v>
      </c>
      <c r="AC12" s="52">
        <v>0.19626168224299065</v>
      </c>
      <c r="AD12" s="49" t="s">
        <v>163</v>
      </c>
      <c r="AE12" s="52">
        <v>0.46601941747572817</v>
      </c>
      <c r="AF12" s="49" t="s">
        <v>216</v>
      </c>
      <c r="AG12" s="52">
        <v>0.32</v>
      </c>
      <c r="AH12" s="49" t="s">
        <v>211</v>
      </c>
      <c r="AI12" s="52">
        <v>0.40458015267175573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201</v>
      </c>
      <c r="C13" s="114">
        <v>4</v>
      </c>
      <c r="D13" s="47" t="s">
        <v>216</v>
      </c>
      <c r="E13" s="48">
        <v>-108.30000000000001</v>
      </c>
      <c r="F13" s="49" t="s">
        <v>193</v>
      </c>
      <c r="G13" s="61">
        <v>-13.033333333333331</v>
      </c>
      <c r="H13" s="49" t="s">
        <v>189</v>
      </c>
      <c r="I13" s="53">
        <v>1467.5565900800862</v>
      </c>
      <c r="J13" s="49" t="s">
        <v>201</v>
      </c>
      <c r="K13" s="50">
        <v>2.5</v>
      </c>
      <c r="L13" s="49" t="s">
        <v>201</v>
      </c>
      <c r="M13" s="51">
        <v>0</v>
      </c>
      <c r="N13" s="49" t="s">
        <v>201</v>
      </c>
      <c r="O13" s="51">
        <v>0.5</v>
      </c>
      <c r="P13" s="49" t="s">
        <v>216</v>
      </c>
      <c r="Q13" s="52">
        <v>0.2361111111111111</v>
      </c>
      <c r="R13" s="49" t="s">
        <v>216</v>
      </c>
      <c r="S13" s="52">
        <v>0.2013888888888889</v>
      </c>
      <c r="T13" s="49" t="s">
        <v>192</v>
      </c>
      <c r="U13" s="53">
        <v>7321.7948717948721</v>
      </c>
      <c r="V13" s="49" t="s">
        <v>193</v>
      </c>
      <c r="W13" s="53">
        <v>-8875</v>
      </c>
      <c r="X13" s="49" t="s">
        <v>163</v>
      </c>
      <c r="Y13" s="51">
        <v>0.13580246913580246</v>
      </c>
      <c r="Z13" s="49" t="s">
        <v>192</v>
      </c>
      <c r="AA13" s="52">
        <v>0.19956616052060738</v>
      </c>
      <c r="AB13" s="49" t="s">
        <v>216</v>
      </c>
      <c r="AC13" s="52">
        <v>0.1736111111111111</v>
      </c>
      <c r="AD13" s="49" t="s">
        <v>189</v>
      </c>
      <c r="AE13" s="52">
        <v>0.45045045045045046</v>
      </c>
      <c r="AF13" s="49" t="s">
        <v>195</v>
      </c>
      <c r="AG13" s="52">
        <v>0.26315789473684209</v>
      </c>
      <c r="AH13" s="49" t="s">
        <v>192</v>
      </c>
      <c r="AI13" s="52">
        <v>0.40384615384615385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259</v>
      </c>
      <c r="C14" s="114">
        <v>3</v>
      </c>
      <c r="D14" s="47" t="s">
        <v>195</v>
      </c>
      <c r="E14" s="48">
        <v>-121.1</v>
      </c>
      <c r="F14" s="49" t="s">
        <v>259</v>
      </c>
      <c r="G14" s="61">
        <v>-16.666666666666668</v>
      </c>
      <c r="H14" s="49" t="s">
        <v>195</v>
      </c>
      <c r="I14" s="53">
        <v>1386.1875835590063</v>
      </c>
      <c r="J14" s="49" t="s">
        <v>221</v>
      </c>
      <c r="K14" s="50">
        <v>2.5</v>
      </c>
      <c r="L14" s="49" t="s">
        <v>221</v>
      </c>
      <c r="M14" s="51">
        <v>0</v>
      </c>
      <c r="N14" s="49" t="s">
        <v>221</v>
      </c>
      <c r="O14" s="51">
        <v>0.5</v>
      </c>
      <c r="P14" s="49" t="s">
        <v>193</v>
      </c>
      <c r="Q14" s="52">
        <v>0.22222222222222221</v>
      </c>
      <c r="R14" s="49" t="s">
        <v>193</v>
      </c>
      <c r="S14" s="52">
        <v>0.22222222222222221</v>
      </c>
      <c r="T14" s="49" t="s">
        <v>259</v>
      </c>
      <c r="U14" s="53">
        <v>7216.666666666667</v>
      </c>
      <c r="V14" s="49" t="s">
        <v>259</v>
      </c>
      <c r="W14" s="53">
        <v>-9420</v>
      </c>
      <c r="X14" s="49" t="s">
        <v>195</v>
      </c>
      <c r="Y14" s="51">
        <v>0.1875</v>
      </c>
      <c r="Z14" s="49" t="s">
        <v>193</v>
      </c>
      <c r="AA14" s="52">
        <v>0.16666666666666666</v>
      </c>
      <c r="AB14" s="49" t="s">
        <v>259</v>
      </c>
      <c r="AC14" s="52">
        <v>0.16</v>
      </c>
      <c r="AD14" s="49" t="s">
        <v>221</v>
      </c>
      <c r="AE14" s="52">
        <v>0.25</v>
      </c>
      <c r="AF14" s="49" t="s">
        <v>201</v>
      </c>
      <c r="AG14" s="52">
        <v>0.25</v>
      </c>
      <c r="AH14" s="49" t="s">
        <v>190</v>
      </c>
      <c r="AI14" s="52">
        <v>0.31764705882352939</v>
      </c>
      <c r="AJ14" s="49" t="s">
        <v>221</v>
      </c>
      <c r="AK14" s="56">
        <v>39000</v>
      </c>
    </row>
    <row r="15" spans="1:37" x14ac:dyDescent="0.4">
      <c r="A15" s="46">
        <v>13</v>
      </c>
      <c r="B15" s="49" t="s">
        <v>221</v>
      </c>
      <c r="C15" s="114">
        <v>2</v>
      </c>
      <c r="D15" s="47" t="s">
        <v>163</v>
      </c>
      <c r="E15" s="48">
        <v>-132.9</v>
      </c>
      <c r="F15" s="49" t="s">
        <v>201</v>
      </c>
      <c r="G15" s="61">
        <v>-19.424999999999997</v>
      </c>
      <c r="H15" s="49" t="s">
        <v>193</v>
      </c>
      <c r="I15" s="53">
        <v>1340.228259602879</v>
      </c>
      <c r="J15" s="49" t="s">
        <v>259</v>
      </c>
      <c r="K15" s="50">
        <v>2.6666666666666665</v>
      </c>
      <c r="L15" s="49" t="s">
        <v>259</v>
      </c>
      <c r="M15" s="51">
        <v>0</v>
      </c>
      <c r="N15" s="49" t="s">
        <v>259</v>
      </c>
      <c r="O15" s="51">
        <v>0.66666666666666663</v>
      </c>
      <c r="P15" s="49" t="s">
        <v>221</v>
      </c>
      <c r="Q15" s="52">
        <v>0.22222222222222221</v>
      </c>
      <c r="R15" s="49" t="s">
        <v>201</v>
      </c>
      <c r="S15" s="52">
        <v>0.27777777777777779</v>
      </c>
      <c r="T15" s="49" t="s">
        <v>201</v>
      </c>
      <c r="U15" s="53">
        <v>6744.4444444444443</v>
      </c>
      <c r="V15" s="49" t="s">
        <v>221</v>
      </c>
      <c r="W15" s="53">
        <v>-10300</v>
      </c>
      <c r="X15" s="49" t="s">
        <v>201</v>
      </c>
      <c r="Y15" s="51">
        <v>0.25</v>
      </c>
      <c r="Z15" s="49" t="s">
        <v>201</v>
      </c>
      <c r="AA15" s="52">
        <v>0.16666666666666666</v>
      </c>
      <c r="AB15" s="49" t="s">
        <v>195</v>
      </c>
      <c r="AC15" s="52">
        <v>0.1310344827586207</v>
      </c>
      <c r="AD15" s="49" t="s">
        <v>193</v>
      </c>
      <c r="AE15" s="52">
        <v>0.22222222222222221</v>
      </c>
      <c r="AF15" s="49" t="s">
        <v>259</v>
      </c>
      <c r="AG15" s="52">
        <v>0.25</v>
      </c>
      <c r="AH15" s="49" t="s">
        <v>193</v>
      </c>
      <c r="AI15" s="52">
        <v>0.25</v>
      </c>
      <c r="AJ15" s="49" t="s">
        <v>201</v>
      </c>
      <c r="AK15" s="56">
        <v>36100</v>
      </c>
    </row>
  </sheetData>
  <sortState xmlns:xlrd2="http://schemas.microsoft.com/office/spreadsheetml/2017/richdata2" ref="AJ3:AK69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44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139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444</v>
      </c>
      <c r="C2" s="142"/>
      <c r="E2" s="26" t="s">
        <v>66</v>
      </c>
      <c r="F2" s="23" t="s">
        <v>22</v>
      </c>
      <c r="G2" s="11">
        <v>876</v>
      </c>
      <c r="H2" s="87">
        <f>IF(B$20=0,0,G2/B$20)</f>
        <v>0.78214285714285714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-34.013605442176868</v>
      </c>
      <c r="Q2" s="76">
        <v>441</v>
      </c>
      <c r="R2" s="63">
        <v>-15000</v>
      </c>
    </row>
    <row r="3" spans="1:18" x14ac:dyDescent="0.4">
      <c r="A3" s="19" t="s">
        <v>8</v>
      </c>
      <c r="B3" s="143">
        <v>3816</v>
      </c>
      <c r="C3" s="144"/>
      <c r="E3" s="27" t="s">
        <v>72</v>
      </c>
      <c r="F3" s="24" t="s">
        <v>27</v>
      </c>
      <c r="G3" s="12">
        <v>670</v>
      </c>
      <c r="H3" s="88">
        <f>IF(B$20=0,0,G3/B$20)</f>
        <v>0.5982142857142857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13.888888888888889</v>
      </c>
      <c r="Q3" s="77">
        <v>432</v>
      </c>
      <c r="R3" s="64">
        <v>6000</v>
      </c>
    </row>
    <row r="4" spans="1:18" x14ac:dyDescent="0.4">
      <c r="A4" s="19" t="s">
        <v>6</v>
      </c>
      <c r="B4" s="145">
        <v>4.9737991503207013E-14</v>
      </c>
      <c r="C4" s="146"/>
      <c r="E4" s="27" t="s">
        <v>64</v>
      </c>
      <c r="F4" s="24" t="s">
        <v>20</v>
      </c>
      <c r="G4" s="12">
        <v>474</v>
      </c>
      <c r="H4" s="88">
        <f>IF(B$20=0,0,G4/B$20)</f>
        <v>0.42321428571428571</v>
      </c>
      <c r="I4" s="58">
        <v>8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2.3148148148148149</v>
      </c>
      <c r="Q4" s="77">
        <v>432</v>
      </c>
      <c r="R4" s="64">
        <v>1000</v>
      </c>
    </row>
    <row r="5" spans="1:18" x14ac:dyDescent="0.4">
      <c r="A5" s="19" t="s">
        <v>7</v>
      </c>
      <c r="B5" s="133">
        <f>IF(B$2=0,0,B$4/B$2)</f>
        <v>1.1202250338560137E-16</v>
      </c>
      <c r="C5" s="134"/>
      <c r="E5" s="27" t="s">
        <v>159</v>
      </c>
      <c r="F5" s="24" t="s">
        <v>160</v>
      </c>
      <c r="G5" s="12">
        <v>454</v>
      </c>
      <c r="H5" s="88">
        <f>IF(B$20=0,0,G5/B$20)</f>
        <v>0.40535714285714286</v>
      </c>
      <c r="I5" s="58">
        <v>7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-4.8661800486618008</v>
      </c>
      <c r="Q5" s="77">
        <v>411</v>
      </c>
      <c r="R5" s="64">
        <v>-2000</v>
      </c>
    </row>
    <row r="6" spans="1:18" x14ac:dyDescent="0.4">
      <c r="A6" s="19" t="s">
        <v>196</v>
      </c>
      <c r="B6" s="137">
        <v>1610.0038336519217</v>
      </c>
      <c r="C6" s="138"/>
      <c r="E6" s="27" t="s">
        <v>68</v>
      </c>
      <c r="F6" s="24" t="s">
        <v>12</v>
      </c>
      <c r="G6" s="12">
        <v>334</v>
      </c>
      <c r="H6" s="88">
        <f>IF(B$20=0,0,G6/B$20)</f>
        <v>0.29821428571428571</v>
      </c>
      <c r="I6" s="58">
        <v>8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13.333333333333334</v>
      </c>
      <c r="Q6" s="77">
        <v>375</v>
      </c>
      <c r="R6" s="64">
        <v>5000</v>
      </c>
    </row>
    <row r="7" spans="1:18" x14ac:dyDescent="0.4">
      <c r="A7" s="19" t="s">
        <v>1</v>
      </c>
      <c r="B7" s="147">
        <f>IF(B$2=0,0,(B$8*1+B$9*2+B$10*3)/B$2)</f>
        <v>1.9977477477477477</v>
      </c>
      <c r="C7" s="148"/>
      <c r="E7" s="27" t="s">
        <v>67</v>
      </c>
      <c r="F7" s="24" t="s">
        <v>23</v>
      </c>
      <c r="G7" s="12">
        <v>254</v>
      </c>
      <c r="H7" s="88">
        <f>IF(B$20=0,0,G7/B$20)</f>
        <v>0.22678571428571428</v>
      </c>
      <c r="I7" s="58">
        <v>8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15.576323987538942</v>
      </c>
      <c r="Q7" s="78">
        <v>321</v>
      </c>
      <c r="R7" s="65">
        <v>5000</v>
      </c>
    </row>
    <row r="8" spans="1:18" x14ac:dyDescent="0.4">
      <c r="A8" s="19" t="s">
        <v>2</v>
      </c>
      <c r="B8" s="12">
        <v>149</v>
      </c>
      <c r="C8" s="6">
        <f t="shared" ref="C8:C15" si="1">IF(B$2=0,0,B8/B$2)</f>
        <v>0.3355855855855856</v>
      </c>
      <c r="E8" s="27" t="s">
        <v>89</v>
      </c>
      <c r="F8" s="24" t="s">
        <v>44</v>
      </c>
      <c r="G8" s="12">
        <v>155</v>
      </c>
      <c r="H8" s="88">
        <f>IF(B$20=0,0,G8/B$20)</f>
        <v>0.13839285714285715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147</v>
      </c>
      <c r="C9" s="6">
        <f t="shared" si="1"/>
        <v>0.33108108108108109</v>
      </c>
      <c r="E9" s="27" t="s">
        <v>69</v>
      </c>
      <c r="F9" s="24" t="s">
        <v>24</v>
      </c>
      <c r="G9" s="12">
        <v>148</v>
      </c>
      <c r="H9" s="88">
        <f>IF(B$20=0,0,G9/B$20)</f>
        <v>0.13214285714285715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148</v>
      </c>
      <c r="C10" s="7">
        <f t="shared" si="1"/>
        <v>0.33333333333333331</v>
      </c>
      <c r="E10" s="27" t="s">
        <v>70</v>
      </c>
      <c r="F10" s="24" t="s">
        <v>25</v>
      </c>
      <c r="G10" s="12">
        <v>109</v>
      </c>
      <c r="H10" s="88">
        <f>IF(B$20=0,0,G10/B$20)</f>
        <v>9.7321428571428573E-2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3.3743243243243244</v>
      </c>
      <c r="Q10" s="76">
        <v>148</v>
      </c>
      <c r="R10" s="67">
        <v>499.4</v>
      </c>
    </row>
    <row r="11" spans="1:18" x14ac:dyDescent="0.4">
      <c r="A11" s="20" t="s">
        <v>184</v>
      </c>
      <c r="B11" s="109">
        <f>IF(B8=0,0,C11/B8)</f>
        <v>34.650335570469792</v>
      </c>
      <c r="C11" s="110">
        <v>5162.8999999999987</v>
      </c>
      <c r="E11" s="27" t="s">
        <v>65</v>
      </c>
      <c r="F11" s="24" t="s">
        <v>21</v>
      </c>
      <c r="G11" s="12">
        <v>105</v>
      </c>
      <c r="H11" s="88">
        <f>IF(B$20=0,0,G11/B$20)</f>
        <v>9.375E-2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-4.1351351351351351</v>
      </c>
      <c r="Q11" s="77">
        <v>148</v>
      </c>
      <c r="R11" s="68">
        <v>-612</v>
      </c>
    </row>
    <row r="12" spans="1:18" x14ac:dyDescent="0.4">
      <c r="A12" s="20" t="s">
        <v>185</v>
      </c>
      <c r="B12" s="109">
        <f>IF(B9=0,0,C12/B9)</f>
        <v>-1.0040816326530613</v>
      </c>
      <c r="C12" s="110">
        <v>-147.60000000000002</v>
      </c>
      <c r="E12" s="27" t="s">
        <v>71</v>
      </c>
      <c r="F12" s="24" t="s">
        <v>26</v>
      </c>
      <c r="G12" s="12">
        <v>69</v>
      </c>
      <c r="H12" s="88">
        <f>IF(B$20=0,0,G12/B$20)</f>
        <v>6.160714285714286E-2</v>
      </c>
      <c r="I12" s="58">
        <v>8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0.76081081081081092</v>
      </c>
      <c r="Q12" s="78">
        <v>148</v>
      </c>
      <c r="R12" s="69">
        <v>112.60000000000002</v>
      </c>
    </row>
    <row r="13" spans="1:18" x14ac:dyDescent="0.4">
      <c r="A13" s="20" t="s">
        <v>186</v>
      </c>
      <c r="B13" s="109">
        <f>IF(B10=0,0,C13/B10)</f>
        <v>-33.887162162162163</v>
      </c>
      <c r="C13" s="110">
        <v>-5015.3</v>
      </c>
      <c r="E13" s="27" t="s">
        <v>86</v>
      </c>
      <c r="F13" s="24" t="s">
        <v>41</v>
      </c>
      <c r="G13" s="12">
        <v>66</v>
      </c>
      <c r="H13" s="88">
        <f>IF(B$20=0,0,G13/B$20)</f>
        <v>5.8928571428571427E-2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-8.0302741448477377E-2</v>
      </c>
      <c r="C14" s="134"/>
      <c r="E14" s="27" t="s">
        <v>83</v>
      </c>
      <c r="F14" s="24" t="s">
        <v>38</v>
      </c>
      <c r="G14" s="12">
        <v>48</v>
      </c>
      <c r="H14" s="88">
        <f>IF(B$20=0,0,G14/B$20)</f>
        <v>4.2857142857142858E-2</v>
      </c>
      <c r="I14" s="58">
        <v>8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40</v>
      </c>
      <c r="C15" s="9">
        <f t="shared" si="1"/>
        <v>9.0090090090090086E-2</v>
      </c>
      <c r="E15" s="27" t="s">
        <v>81</v>
      </c>
      <c r="F15" s="24" t="s">
        <v>36</v>
      </c>
      <c r="G15" s="12">
        <v>33</v>
      </c>
      <c r="H15" s="88">
        <f>IF(B$20=0,0,G15/B$20)</f>
        <v>2.9464285714285714E-2</v>
      </c>
      <c r="I15" s="58">
        <v>8</v>
      </c>
      <c r="K15" s="74">
        <v>13</v>
      </c>
      <c r="L15" s="119">
        <v>48.999999999999993</v>
      </c>
      <c r="M15" s="117">
        <v>1603.6953056015411</v>
      </c>
      <c r="O15" s="73" t="s">
        <v>201</v>
      </c>
      <c r="P15" s="82">
        <f>IF(Q15=0,0,R15/Q15)</f>
        <v>29.137500000000003</v>
      </c>
      <c r="Q15" s="76">
        <v>8</v>
      </c>
      <c r="R15" s="67">
        <v>233.10000000000002</v>
      </c>
    </row>
    <row r="16" spans="1:18" x14ac:dyDescent="0.4">
      <c r="A16" s="22" t="s">
        <v>121</v>
      </c>
      <c r="B16" s="15">
        <v>942</v>
      </c>
      <c r="C16" s="10">
        <f>IF(B$3=0,0,B16/B$3)</f>
        <v>0.24685534591194969</v>
      </c>
      <c r="E16" s="27" t="s">
        <v>78</v>
      </c>
      <c r="F16" s="24" t="s">
        <v>33</v>
      </c>
      <c r="G16" s="12">
        <v>31</v>
      </c>
      <c r="H16" s="88">
        <f>IF(B$20=0,0,G16/B$20)</f>
        <v>2.7678571428571427E-2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259</v>
      </c>
      <c r="P16" s="83">
        <f>IF(Q16=0,0,R16/Q16)</f>
        <v>24.999999999999996</v>
      </c>
      <c r="Q16" s="77">
        <v>6</v>
      </c>
      <c r="R16" s="68">
        <v>149.99999999999997</v>
      </c>
    </row>
    <row r="17" spans="1:18" x14ac:dyDescent="0.4">
      <c r="A17" s="19" t="s">
        <v>118</v>
      </c>
      <c r="B17" s="12">
        <v>858</v>
      </c>
      <c r="C17" s="6">
        <f>IF(B$3=0,0,B17/B$3)</f>
        <v>0.22484276729559749</v>
      </c>
      <c r="E17" s="27" t="s">
        <v>91</v>
      </c>
      <c r="F17" s="24" t="s">
        <v>46</v>
      </c>
      <c r="G17" s="12">
        <v>22</v>
      </c>
      <c r="H17" s="88">
        <f>IF(B$20=0,0,G17/B$20)</f>
        <v>1.9642857142857142E-2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19.550000000000004</v>
      </c>
      <c r="Q17" s="77">
        <v>12</v>
      </c>
      <c r="R17" s="68">
        <v>234.60000000000005</v>
      </c>
    </row>
    <row r="18" spans="1:18" x14ac:dyDescent="0.4">
      <c r="A18" s="18" t="s">
        <v>123</v>
      </c>
      <c r="B18" s="11">
        <f>B24</f>
        <v>490</v>
      </c>
      <c r="C18" s="5">
        <f>IF(B$16=0,0,B18/B$16)</f>
        <v>0.52016985138004246</v>
      </c>
      <c r="E18" s="27" t="s">
        <v>155</v>
      </c>
      <c r="F18" s="24" t="s">
        <v>156</v>
      </c>
      <c r="G18" s="12">
        <v>20</v>
      </c>
      <c r="H18" s="88">
        <f>IF(B$20=0,0,G18/B$20)</f>
        <v>1.7857142857142856E-2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11.353125</v>
      </c>
      <c r="Q18" s="77">
        <v>32</v>
      </c>
      <c r="R18" s="68">
        <v>363.3</v>
      </c>
    </row>
    <row r="19" spans="1:18" x14ac:dyDescent="0.4">
      <c r="A19" s="18" t="s">
        <v>124</v>
      </c>
      <c r="B19" s="11">
        <f>B25</f>
        <v>349</v>
      </c>
      <c r="C19" s="5">
        <f>IF(B$17=0,0,B19/B$17)</f>
        <v>0.40675990675990675</v>
      </c>
      <c r="E19" s="27" t="s">
        <v>79</v>
      </c>
      <c r="F19" s="24" t="s">
        <v>34</v>
      </c>
      <c r="G19" s="12">
        <v>15</v>
      </c>
      <c r="H19" s="88">
        <f>IF(B$20=0,0,G19/B$20)</f>
        <v>1.3392857142857142E-2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">
      <c r="A20" s="18" t="s">
        <v>10</v>
      </c>
      <c r="B20" s="11">
        <f>B23+B22</f>
        <v>1120</v>
      </c>
      <c r="C20" s="5">
        <f>IF(B$3=0,0,B20/B$3)</f>
        <v>0.29350104821802936</v>
      </c>
      <c r="E20" s="27" t="s">
        <v>73</v>
      </c>
      <c r="F20" s="24" t="s">
        <v>28</v>
      </c>
      <c r="G20" s="12">
        <v>9</v>
      </c>
      <c r="H20" s="88">
        <f>IF(B$20=0,0,G20/B$20)</f>
        <v>8.0357142857142849E-3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216</v>
      </c>
      <c r="P20" s="83">
        <f>IF(Q20=0,0,R20/Q20)</f>
        <v>8.5500000000000025</v>
      </c>
      <c r="Q20" s="77">
        <v>38</v>
      </c>
      <c r="R20" s="68">
        <v>324.90000000000009</v>
      </c>
    </row>
    <row r="21" spans="1:18" x14ac:dyDescent="0.4">
      <c r="A21" s="19" t="s">
        <v>13</v>
      </c>
      <c r="B21" s="12">
        <v>622</v>
      </c>
      <c r="C21" s="6">
        <f>IF(B$3=0,0,B21/B$3)</f>
        <v>0.16299790356394131</v>
      </c>
      <c r="E21" s="27" t="s">
        <v>85</v>
      </c>
      <c r="F21" s="24" t="s">
        <v>40</v>
      </c>
      <c r="G21" s="12">
        <v>6</v>
      </c>
      <c r="H21" s="88">
        <f>IF(B$20=0,0,G21/B$20)</f>
        <v>5.3571428571428572E-3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163</v>
      </c>
      <c r="P21" s="83">
        <f>IF(Q21=0,0,R21/Q21)</f>
        <v>2.4611111111111112</v>
      </c>
      <c r="Q21" s="77">
        <v>162</v>
      </c>
      <c r="R21" s="68">
        <v>398.7</v>
      </c>
    </row>
    <row r="22" spans="1:18" x14ac:dyDescent="0.4">
      <c r="A22" s="19" t="s">
        <v>12</v>
      </c>
      <c r="B22" s="12">
        <v>491</v>
      </c>
      <c r="C22" s="6">
        <f>IF(B$20=0,0,B22/B$20)</f>
        <v>0.43839285714285714</v>
      </c>
      <c r="E22" s="27" t="s">
        <v>75</v>
      </c>
      <c r="F22" s="24" t="s">
        <v>30</v>
      </c>
      <c r="G22" s="12">
        <v>4</v>
      </c>
      <c r="H22" s="88">
        <f>IF(B$20=0,0,G22/B$20)</f>
        <v>3.5714285714285713E-3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0.984375</v>
      </c>
      <c r="Q22" s="77">
        <v>96</v>
      </c>
      <c r="R22" s="68">
        <v>94.5</v>
      </c>
    </row>
    <row r="23" spans="1:18" x14ac:dyDescent="0.4">
      <c r="A23" s="19" t="s">
        <v>11</v>
      </c>
      <c r="B23" s="12">
        <v>629</v>
      </c>
      <c r="C23" s="6">
        <f>IF(B$20=0,0,B23/B$20)</f>
        <v>0.56160714285714286</v>
      </c>
      <c r="E23" s="27" t="s">
        <v>77</v>
      </c>
      <c r="F23" s="24" t="s">
        <v>32</v>
      </c>
      <c r="G23" s="12">
        <v>4</v>
      </c>
      <c r="H23" s="88">
        <f>IF(B$20=0,0,G23/B$20)</f>
        <v>3.5714285714285713E-3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-0.44758064516128926</v>
      </c>
      <c r="Q23" s="77">
        <v>248</v>
      </c>
      <c r="R23" s="68">
        <v>-110.99999999999973</v>
      </c>
    </row>
    <row r="24" spans="1:18" x14ac:dyDescent="0.4">
      <c r="A24" s="19" t="s">
        <v>183</v>
      </c>
      <c r="B24" s="12">
        <v>490</v>
      </c>
      <c r="C24" s="6">
        <f>IF(B$20=0,0,B24/B$20)</f>
        <v>0.4375</v>
      </c>
      <c r="E24" s="27" t="s">
        <v>88</v>
      </c>
      <c r="F24" s="24" t="s">
        <v>43</v>
      </c>
      <c r="G24" s="12">
        <v>4</v>
      </c>
      <c r="H24" s="88">
        <f>IF(B$20=0,0,G24/B$20)</f>
        <v>3.5714285714285713E-3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190</v>
      </c>
      <c r="P24" s="83">
        <f>IF(Q24=0,0,R24/Q24)</f>
        <v>-2.3716216216216215</v>
      </c>
      <c r="Q24" s="77">
        <v>74</v>
      </c>
      <c r="R24" s="68">
        <v>-175.5</v>
      </c>
    </row>
    <row r="25" spans="1:18" x14ac:dyDescent="0.4">
      <c r="A25" s="19" t="s">
        <v>181</v>
      </c>
      <c r="B25" s="12">
        <v>349</v>
      </c>
      <c r="C25" s="6">
        <f>IF(B$20=0,0,B25/B$20)</f>
        <v>0.31160714285714286</v>
      </c>
      <c r="E25" s="27" t="s">
        <v>90</v>
      </c>
      <c r="F25" s="24" t="s">
        <v>45</v>
      </c>
      <c r="G25" s="12">
        <v>3</v>
      </c>
      <c r="H25" s="88">
        <f>IF(B$20=0,0,G25/B$20)</f>
        <v>2.6785714285714286E-3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211</v>
      </c>
      <c r="P25" s="83">
        <f>IF(Q25=0,0,R25/Q25)</f>
        <v>-6.3479999999999981</v>
      </c>
      <c r="Q25" s="77">
        <v>100</v>
      </c>
      <c r="R25" s="68">
        <v>-634.79999999999984</v>
      </c>
    </row>
    <row r="26" spans="1:18" x14ac:dyDescent="0.4">
      <c r="A26" s="19" t="s">
        <v>182</v>
      </c>
      <c r="B26" s="12">
        <v>281</v>
      </c>
      <c r="C26" s="6">
        <f>IF(B$20=0,0,B26/B$20)</f>
        <v>0.25089285714285714</v>
      </c>
      <c r="E26" s="27" t="s">
        <v>92</v>
      </c>
      <c r="F26" s="24" t="s">
        <v>47</v>
      </c>
      <c r="G26" s="12">
        <v>3</v>
      </c>
      <c r="H26" s="88">
        <f>IF(B$20=0,0,G26/B$20)</f>
        <v>2.6785714285714286E-3</v>
      </c>
      <c r="I26" s="58">
        <v>4</v>
      </c>
      <c r="K26" s="74">
        <v>24</v>
      </c>
      <c r="L26" s="119">
        <v>-7.1054273576010019E-15</v>
      </c>
      <c r="M26" s="117">
        <v>1593.6312177958805</v>
      </c>
      <c r="O26" s="74" t="s">
        <v>192</v>
      </c>
      <c r="P26" s="83">
        <f>IF(Q26=0,0,R26/Q26)</f>
        <v>-8.5027777777777835</v>
      </c>
      <c r="Q26" s="77">
        <v>108</v>
      </c>
      <c r="R26" s="68">
        <v>-918.30000000000064</v>
      </c>
    </row>
    <row r="27" spans="1:18" x14ac:dyDescent="0.4">
      <c r="A27" s="19" t="s">
        <v>5</v>
      </c>
      <c r="B27" s="16">
        <f>IF(B$20=0,0,C27/B$20)</f>
        <v>8172.5</v>
      </c>
      <c r="C27" s="8">
        <v>9153200</v>
      </c>
      <c r="E27" s="27" t="s">
        <v>93</v>
      </c>
      <c r="F27" s="24" t="s">
        <v>48</v>
      </c>
      <c r="G27" s="12">
        <v>2</v>
      </c>
      <c r="H27" s="88">
        <f>IF(B$20=0,0,G27/B$20)</f>
        <v>1.7857142857142857E-3</v>
      </c>
      <c r="I27" s="58">
        <v>3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8764.85084306096</v>
      </c>
      <c r="C28" s="96">
        <v>6757700</v>
      </c>
      <c r="E28" s="27" t="s">
        <v>80</v>
      </c>
      <c r="F28" s="24" t="s">
        <v>35</v>
      </c>
      <c r="G28" s="12">
        <v>1</v>
      </c>
      <c r="H28" s="88">
        <f>IF(B$20=0,0,G28/B$20)</f>
        <v>8.9285714285714283E-4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6863.8968481375359</v>
      </c>
      <c r="C29" s="96">
        <v>2395500</v>
      </c>
      <c r="E29" s="27" t="s">
        <v>84</v>
      </c>
      <c r="F29" s="24" t="s">
        <v>39</v>
      </c>
      <c r="G29" s="12">
        <v>1</v>
      </c>
      <c r="H29" s="88">
        <f>IF(B$20=0,0,G29/B$20)</f>
        <v>8.9285714285714283E-4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-7670.5787781350482</v>
      </c>
      <c r="C30" s="96">
        <v>-4771100</v>
      </c>
      <c r="E30" s="27" t="s">
        <v>102</v>
      </c>
      <c r="F30" s="24" t="s">
        <v>57</v>
      </c>
      <c r="G30" s="12">
        <v>1</v>
      </c>
      <c r="H30" s="88">
        <f>IF(B$20=0,0,G30/B$20)</f>
        <v>8.9285714285714283E-4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106</v>
      </c>
      <c r="F31" s="24" t="s">
        <v>113</v>
      </c>
      <c r="G31" s="12">
        <v>1</v>
      </c>
      <c r="H31" s="88">
        <f>IF(B$20=0,0,G31/B$20)</f>
        <v>8.9285714285714283E-4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0</v>
      </c>
      <c r="E32" s="27" t="s">
        <v>74</v>
      </c>
      <c r="F32" s="24" t="s">
        <v>29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5">
        <v>7</v>
      </c>
      <c r="C33" s="136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7">
        <v>103000</v>
      </c>
      <c r="C34" s="138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1.8343815513626835E-3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80</v>
      </c>
      <c r="C37" s="98">
        <f t="shared" ref="C37:C49" si="2">IF(B$20=0,0,B37/B$20)</f>
        <v>7.1428571428571425E-2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208</v>
      </c>
      <c r="C38" s="6">
        <f t="shared" si="2"/>
        <v>0.18571428571428572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217</v>
      </c>
      <c r="C39" s="6">
        <f t="shared" si="2"/>
        <v>0.19375000000000001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217</v>
      </c>
      <c r="C40" s="6">
        <f t="shared" si="2"/>
        <v>0.19375000000000001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165</v>
      </c>
      <c r="C41" s="6">
        <f t="shared" si="2"/>
        <v>0.14732142857142858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104</v>
      </c>
      <c r="C42" s="6">
        <f t="shared" si="2"/>
        <v>9.285714285714286E-2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48</v>
      </c>
      <c r="C43" s="6">
        <f t="shared" si="2"/>
        <v>4.2857142857142858E-2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36</v>
      </c>
      <c r="C44" s="6">
        <f t="shared" si="2"/>
        <v>3.214285714285714E-2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20</v>
      </c>
      <c r="C45" s="6">
        <f t="shared" si="2"/>
        <v>1.7857142857142856E-2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12</v>
      </c>
      <c r="C46" s="6">
        <f t="shared" si="2"/>
        <v>1.0714285714285714E-2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4</v>
      </c>
      <c r="C47" s="6">
        <f t="shared" si="2"/>
        <v>3.5714285714285713E-3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8.9285714285714283E-4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8</v>
      </c>
      <c r="C49" s="9">
        <f t="shared" si="2"/>
        <v>7.1428571428571426E-3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  <row r="372" spans="11:13" x14ac:dyDescent="0.4">
      <c r="K372" s="74">
        <v>370</v>
      </c>
      <c r="L372" s="119">
        <v>-0.49999999999996447</v>
      </c>
      <c r="M372" s="117">
        <v>1604.9306597050318</v>
      </c>
    </row>
    <row r="373" spans="11:13" x14ac:dyDescent="0.4">
      <c r="K373" s="74">
        <v>371</v>
      </c>
      <c r="L373" s="119">
        <v>-23.899999999999963</v>
      </c>
      <c r="M373" s="117">
        <v>1600.9650757468016</v>
      </c>
    </row>
    <row r="374" spans="11:13" x14ac:dyDescent="0.4">
      <c r="K374" s="74">
        <v>372</v>
      </c>
      <c r="L374" s="119">
        <v>3.5527136788005009E-14</v>
      </c>
      <c r="M374" s="117">
        <v>1605.5372852923208</v>
      </c>
    </row>
    <row r="375" spans="11:13" x14ac:dyDescent="0.4">
      <c r="K375" s="74">
        <v>373</v>
      </c>
      <c r="L375" s="119">
        <v>0.30000000000003552</v>
      </c>
      <c r="M375" s="117">
        <v>1605.8340615805669</v>
      </c>
    </row>
    <row r="376" spans="11:13" x14ac:dyDescent="0.4">
      <c r="K376" s="74">
        <v>374</v>
      </c>
      <c r="L376" s="119">
        <v>37.400000000000034</v>
      </c>
      <c r="M376" s="117">
        <v>1612.7530572110834</v>
      </c>
    </row>
    <row r="377" spans="11:13" x14ac:dyDescent="0.4">
      <c r="K377" s="74">
        <v>375</v>
      </c>
      <c r="L377" s="119">
        <v>3.5527136788005009E-14</v>
      </c>
      <c r="M377" s="117">
        <v>1606.2205388678169</v>
      </c>
    </row>
    <row r="378" spans="11:13" x14ac:dyDescent="0.4">
      <c r="K378" s="74">
        <v>376</v>
      </c>
      <c r="L378" s="119">
        <v>-48.999999999999964</v>
      </c>
      <c r="M378" s="117">
        <v>1597.63321563461</v>
      </c>
    </row>
    <row r="379" spans="11:13" x14ac:dyDescent="0.4">
      <c r="K379" s="74">
        <v>377</v>
      </c>
      <c r="L379" s="119">
        <v>-59.999999999999964</v>
      </c>
      <c r="M379" s="117">
        <v>1595.9374163408024</v>
      </c>
    </row>
    <row r="380" spans="11:13" x14ac:dyDescent="0.4">
      <c r="K380" s="74">
        <v>378</v>
      </c>
      <c r="L380" s="119">
        <v>3.5527136788005009E-14</v>
      </c>
      <c r="M380" s="117">
        <v>1607.0317918427577</v>
      </c>
    </row>
    <row r="381" spans="11:13" x14ac:dyDescent="0.4">
      <c r="K381" s="74">
        <v>379</v>
      </c>
      <c r="L381" s="119">
        <v>-4.4999999999999645</v>
      </c>
      <c r="M381" s="117">
        <v>1606.3476010917011</v>
      </c>
    </row>
    <row r="382" spans="11:13" x14ac:dyDescent="0.4">
      <c r="K382" s="74">
        <v>380</v>
      </c>
      <c r="L382" s="119">
        <v>24.200000000000035</v>
      </c>
      <c r="M382" s="117">
        <v>1611.6435154851508</v>
      </c>
    </row>
    <row r="383" spans="11:13" x14ac:dyDescent="0.4">
      <c r="K383" s="74">
        <v>381</v>
      </c>
      <c r="L383" s="119">
        <v>3.5527136788005009E-14</v>
      </c>
      <c r="M383" s="117">
        <v>1607.38565439224</v>
      </c>
    </row>
    <row r="384" spans="11:13" x14ac:dyDescent="0.4">
      <c r="K384" s="74">
        <v>382</v>
      </c>
      <c r="L384" s="119">
        <v>49.400000000000034</v>
      </c>
      <c r="M384" s="117">
        <v>1616.4013404658865</v>
      </c>
    </row>
    <row r="385" spans="11:13" x14ac:dyDescent="0.4">
      <c r="K385" s="74">
        <v>383</v>
      </c>
      <c r="L385" s="119">
        <v>50.500000000000036</v>
      </c>
      <c r="M385" s="117">
        <v>1616.6689324230913</v>
      </c>
    </row>
    <row r="386" spans="11:13" x14ac:dyDescent="0.4">
      <c r="K386" s="74">
        <v>384</v>
      </c>
      <c r="L386" s="119">
        <v>3.5527136788005009E-14</v>
      </c>
      <c r="M386" s="117">
        <v>1607.6469188285528</v>
      </c>
    </row>
    <row r="387" spans="11:13" x14ac:dyDescent="0.4">
      <c r="K387" s="74">
        <v>385</v>
      </c>
      <c r="L387" s="119">
        <v>40.600000000000037</v>
      </c>
      <c r="M387" s="117">
        <v>1615.0770373155815</v>
      </c>
    </row>
    <row r="388" spans="11:13" x14ac:dyDescent="0.4">
      <c r="K388" s="74">
        <v>386</v>
      </c>
      <c r="L388" s="119">
        <v>51.80000000000004</v>
      </c>
      <c r="M388" s="117">
        <v>1617.1705750916881</v>
      </c>
    </row>
    <row r="389" spans="11:13" x14ac:dyDescent="0.4">
      <c r="K389" s="74">
        <v>387</v>
      </c>
      <c r="L389" s="119">
        <v>4.2632564145606011E-14</v>
      </c>
      <c r="M389" s="117">
        <v>1607.911551641138</v>
      </c>
    </row>
    <row r="390" spans="11:13" x14ac:dyDescent="0.4">
      <c r="K390" s="74">
        <v>388</v>
      </c>
      <c r="L390" s="119">
        <v>-12.199999999999957</v>
      </c>
      <c r="M390" s="117">
        <v>1605.8360823312912</v>
      </c>
    </row>
    <row r="391" spans="11:13" x14ac:dyDescent="0.4">
      <c r="K391" s="74">
        <v>389</v>
      </c>
      <c r="L391" s="119">
        <v>22.500000000000046</v>
      </c>
      <c r="M391" s="117">
        <v>1612.2150658373034</v>
      </c>
    </row>
    <row r="392" spans="11:13" x14ac:dyDescent="0.4">
      <c r="K392" s="74">
        <v>390</v>
      </c>
      <c r="L392" s="119">
        <v>4.6185277824406512E-14</v>
      </c>
      <c r="M392" s="117">
        <v>1608.2597754422795</v>
      </c>
    </row>
    <row r="393" spans="11:13" x14ac:dyDescent="0.4">
      <c r="K393" s="74">
        <v>391</v>
      </c>
      <c r="L393" s="119">
        <v>14.500000000000046</v>
      </c>
      <c r="M393" s="117">
        <v>1610.9822167896259</v>
      </c>
    </row>
    <row r="394" spans="11:13" x14ac:dyDescent="0.4">
      <c r="K394" s="74">
        <v>392</v>
      </c>
      <c r="L394" s="119">
        <v>13.700000000000045</v>
      </c>
      <c r="M394" s="117">
        <v>1610.9343234888881</v>
      </c>
    </row>
    <row r="395" spans="11:13" x14ac:dyDescent="0.4">
      <c r="K395" s="74">
        <v>393</v>
      </c>
      <c r="L395" s="119">
        <v>4.6185277824406512E-14</v>
      </c>
      <c r="M395" s="117">
        <v>1608.5647175479548</v>
      </c>
    </row>
    <row r="396" spans="11:13" x14ac:dyDescent="0.4">
      <c r="K396" s="74">
        <v>394</v>
      </c>
      <c r="L396" s="119">
        <v>-8.6999999999999531</v>
      </c>
      <c r="M396" s="117">
        <v>1607.0313292426672</v>
      </c>
    </row>
    <row r="397" spans="11:13" x14ac:dyDescent="0.4">
      <c r="K397" s="74">
        <v>395</v>
      </c>
      <c r="L397" s="119">
        <v>-32.599999999999952</v>
      </c>
      <c r="M397" s="117">
        <v>1602.7711412672113</v>
      </c>
    </row>
    <row r="398" spans="11:13" x14ac:dyDescent="0.4">
      <c r="K398" s="74">
        <v>396</v>
      </c>
      <c r="L398" s="119">
        <v>4.9737991503207013E-14</v>
      </c>
      <c r="M398" s="117">
        <v>1608.7065144196081</v>
      </c>
    </row>
    <row r="399" spans="11:13" x14ac:dyDescent="0.4">
      <c r="K399" s="74">
        <v>397</v>
      </c>
      <c r="L399" s="119">
        <v>14.50000000000005</v>
      </c>
      <c r="M399" s="117">
        <v>1611.3482753330904</v>
      </c>
    </row>
    <row r="400" spans="11:13" x14ac:dyDescent="0.4">
      <c r="K400" s="74">
        <v>398</v>
      </c>
      <c r="L400" s="119">
        <v>1.8000000000000504</v>
      </c>
      <c r="M400" s="117">
        <v>1609.078185681092</v>
      </c>
    </row>
    <row r="401" spans="11:13" x14ac:dyDescent="0.4">
      <c r="K401" s="74">
        <v>399</v>
      </c>
      <c r="L401" s="119">
        <v>5.0404125317982107E-14</v>
      </c>
      <c r="M401" s="117">
        <v>1608.7837165670055</v>
      </c>
    </row>
    <row r="402" spans="11:13" x14ac:dyDescent="0.4">
      <c r="K402" s="74">
        <v>400</v>
      </c>
      <c r="L402" s="119">
        <v>49.900000000000048</v>
      </c>
      <c r="M402" s="117">
        <v>1617.5390142676035</v>
      </c>
    </row>
    <row r="403" spans="11:13" x14ac:dyDescent="0.4">
      <c r="K403" s="74">
        <v>401</v>
      </c>
      <c r="L403" s="119">
        <v>13.800000000000047</v>
      </c>
      <c r="M403" s="117">
        <v>1610.7617801819979</v>
      </c>
    </row>
    <row r="404" spans="11:13" x14ac:dyDescent="0.4">
      <c r="K404" s="74">
        <v>402</v>
      </c>
      <c r="L404" s="119">
        <v>4.6185277824406512E-14</v>
      </c>
      <c r="M404" s="117">
        <v>1608.0392095009058</v>
      </c>
    </row>
    <row r="405" spans="11:13" x14ac:dyDescent="0.4">
      <c r="K405" s="74">
        <v>403</v>
      </c>
      <c r="L405" s="119">
        <v>-24.599999999999955</v>
      </c>
      <c r="M405" s="117">
        <v>1603.3889742439003</v>
      </c>
    </row>
    <row r="406" spans="11:13" x14ac:dyDescent="0.4">
      <c r="K406" s="74">
        <v>404</v>
      </c>
      <c r="L406" s="119">
        <v>-21.599999999999955</v>
      </c>
      <c r="M406" s="117">
        <v>1603.7346403984368</v>
      </c>
    </row>
    <row r="407" spans="11:13" x14ac:dyDescent="0.4">
      <c r="K407" s="74">
        <v>405</v>
      </c>
      <c r="L407" s="119">
        <v>4.6185277824406512E-14</v>
      </c>
      <c r="M407" s="117">
        <v>1607.4262325560462</v>
      </c>
    </row>
    <row r="408" spans="11:13" x14ac:dyDescent="0.4">
      <c r="K408" s="74">
        <v>406</v>
      </c>
      <c r="L408" s="119">
        <v>9.9000000000000465</v>
      </c>
      <c r="M408" s="117">
        <v>1609.43367516071</v>
      </c>
    </row>
    <row r="409" spans="11:13" x14ac:dyDescent="0.4">
      <c r="K409" s="74">
        <v>407</v>
      </c>
      <c r="L409" s="119">
        <v>-23.599999999999952</v>
      </c>
      <c r="M409" s="117">
        <v>1603.6170731097457</v>
      </c>
    </row>
    <row r="410" spans="11:13" x14ac:dyDescent="0.4">
      <c r="K410" s="74">
        <v>408</v>
      </c>
      <c r="L410" s="119">
        <v>4.9737991503207013E-14</v>
      </c>
      <c r="M410" s="117">
        <v>1608.1133706710873</v>
      </c>
    </row>
    <row r="411" spans="11:13" x14ac:dyDescent="0.4">
      <c r="K411" s="74">
        <v>409</v>
      </c>
      <c r="L411" s="119">
        <v>-2.8999999999999502</v>
      </c>
      <c r="M411" s="117">
        <v>1607.8126904470607</v>
      </c>
    </row>
    <row r="412" spans="11:13" x14ac:dyDescent="0.4">
      <c r="K412" s="74">
        <v>410</v>
      </c>
      <c r="L412" s="119">
        <v>-24.899999999999949</v>
      </c>
      <c r="M412" s="117">
        <v>1604.0758143043784</v>
      </c>
    </row>
    <row r="413" spans="11:13" x14ac:dyDescent="0.4">
      <c r="K413" s="74">
        <v>411</v>
      </c>
      <c r="L413" s="119">
        <v>4.9737991503207013E-14</v>
      </c>
      <c r="M413" s="117">
        <v>1608.8033594185522</v>
      </c>
    </row>
    <row r="414" spans="11:13" x14ac:dyDescent="0.4">
      <c r="K414" s="74">
        <v>412</v>
      </c>
      <c r="L414" s="119">
        <v>72.000000000000057</v>
      </c>
      <c r="M414" s="117">
        <v>1621.6685392620409</v>
      </c>
    </row>
    <row r="415" spans="11:13" x14ac:dyDescent="0.4">
      <c r="K415" s="74">
        <v>413</v>
      </c>
      <c r="L415" s="119">
        <v>48.000000000000057</v>
      </c>
      <c r="M415" s="117">
        <v>1617.1765280264688</v>
      </c>
    </row>
    <row r="416" spans="11:13" x14ac:dyDescent="0.4">
      <c r="K416" s="74">
        <v>414</v>
      </c>
      <c r="L416" s="119">
        <v>5.6843418860808015E-14</v>
      </c>
      <c r="M416" s="117">
        <v>1608.39146885831</v>
      </c>
    </row>
    <row r="417" spans="11:13" x14ac:dyDescent="0.4">
      <c r="K417" s="74">
        <v>415</v>
      </c>
      <c r="L417" s="119">
        <v>-42.899999999999942</v>
      </c>
      <c r="M417" s="117">
        <v>1600.5291200451602</v>
      </c>
    </row>
    <row r="418" spans="11:13" x14ac:dyDescent="0.4">
      <c r="K418" s="74">
        <v>416</v>
      </c>
      <c r="L418" s="119">
        <v>-52.099999999999937</v>
      </c>
      <c r="M418" s="117">
        <v>1598.7799453248892</v>
      </c>
    </row>
    <row r="419" spans="11:13" x14ac:dyDescent="0.4">
      <c r="K419" s="74">
        <v>417</v>
      </c>
      <c r="L419" s="119">
        <v>6.3948846218409017E-14</v>
      </c>
      <c r="M419" s="117">
        <v>1608.0752656529398</v>
      </c>
    </row>
    <row r="420" spans="11:13" x14ac:dyDescent="0.4">
      <c r="K420" s="74">
        <v>418</v>
      </c>
      <c r="L420" s="119">
        <v>-50.599999999999937</v>
      </c>
      <c r="M420" s="117">
        <v>1598.8648140590221</v>
      </c>
    </row>
    <row r="421" spans="11:13" x14ac:dyDescent="0.4">
      <c r="K421" s="74">
        <v>419</v>
      </c>
      <c r="L421" s="119">
        <v>-55.999999999999936</v>
      </c>
      <c r="M421" s="117">
        <v>1597.8456251746679</v>
      </c>
    </row>
    <row r="422" spans="11:13" x14ac:dyDescent="0.4">
      <c r="K422" s="74">
        <v>420</v>
      </c>
      <c r="L422" s="119">
        <v>6.3948846218409017E-14</v>
      </c>
      <c r="M422" s="117">
        <v>1607.88455142362</v>
      </c>
    </row>
    <row r="423" spans="11:13" x14ac:dyDescent="0.4">
      <c r="K423" s="74">
        <v>421</v>
      </c>
      <c r="L423" s="119">
        <v>2.100000000000064</v>
      </c>
      <c r="M423" s="117">
        <v>1608.1612441150783</v>
      </c>
    </row>
    <row r="424" spans="11:13" x14ac:dyDescent="0.4">
      <c r="K424" s="74">
        <v>422</v>
      </c>
      <c r="L424" s="119">
        <v>17.500000000000064</v>
      </c>
      <c r="M424" s="117">
        <v>1610.8302766503878</v>
      </c>
    </row>
    <row r="425" spans="11:13" x14ac:dyDescent="0.4">
      <c r="K425" s="74">
        <v>423</v>
      </c>
      <c r="L425" s="119">
        <v>6.3948846218409017E-14</v>
      </c>
      <c r="M425" s="117">
        <v>1607.5612949904855</v>
      </c>
    </row>
    <row r="426" spans="11:13" x14ac:dyDescent="0.4">
      <c r="K426" s="74">
        <v>424</v>
      </c>
      <c r="L426" s="119">
        <v>68.600000000000051</v>
      </c>
      <c r="M426" s="117">
        <v>1620.0019272205427</v>
      </c>
    </row>
    <row r="427" spans="11:13" x14ac:dyDescent="0.4">
      <c r="K427" s="74">
        <v>425</v>
      </c>
      <c r="L427" s="119">
        <v>16.900000000000048</v>
      </c>
      <c r="M427" s="117">
        <v>1610.7139156572196</v>
      </c>
    </row>
    <row r="428" spans="11:13" x14ac:dyDescent="0.4">
      <c r="K428" s="74">
        <v>426</v>
      </c>
      <c r="L428" s="119">
        <v>4.9737991503207013E-14</v>
      </c>
      <c r="M428" s="117">
        <v>1607.7456321632762</v>
      </c>
    </row>
    <row r="429" spans="11:13" x14ac:dyDescent="0.4">
      <c r="K429" s="74">
        <v>427</v>
      </c>
      <c r="L429" s="119">
        <v>2.3000000000000496</v>
      </c>
      <c r="M429" s="117">
        <v>1608.2511583702965</v>
      </c>
    </row>
    <row r="430" spans="11:13" x14ac:dyDescent="0.4">
      <c r="K430" s="74">
        <v>428</v>
      </c>
      <c r="L430" s="119">
        <v>-30.19999999999995</v>
      </c>
      <c r="M430" s="117">
        <v>1602.4896514200748</v>
      </c>
    </row>
    <row r="431" spans="11:13" x14ac:dyDescent="0.4">
      <c r="K431" s="74">
        <v>429</v>
      </c>
      <c r="L431" s="119">
        <v>4.9737991503207013E-14</v>
      </c>
      <c r="M431" s="117">
        <v>1608.0487135115543</v>
      </c>
    </row>
    <row r="432" spans="11:13" x14ac:dyDescent="0.4">
      <c r="K432" s="74">
        <v>430</v>
      </c>
      <c r="L432" s="119">
        <v>24.50000000000005</v>
      </c>
      <c r="M432" s="117">
        <v>1612.4584212304849</v>
      </c>
    </row>
    <row r="433" spans="11:13" x14ac:dyDescent="0.4">
      <c r="K433" s="74">
        <v>431</v>
      </c>
      <c r="L433" s="119">
        <v>-5.5999999999999517</v>
      </c>
      <c r="M433" s="117">
        <v>1607.013670703102</v>
      </c>
    </row>
    <row r="434" spans="11:13" x14ac:dyDescent="0.4">
      <c r="K434" s="74">
        <v>432</v>
      </c>
      <c r="L434" s="119">
        <v>4.7961634663806763E-14</v>
      </c>
      <c r="M434" s="117">
        <v>1608.0275886788834</v>
      </c>
    </row>
    <row r="435" spans="11:13" x14ac:dyDescent="0.4">
      <c r="K435" s="74">
        <v>433</v>
      </c>
      <c r="L435" s="119">
        <v>-48.299999999999947</v>
      </c>
      <c r="M435" s="117">
        <v>1599.33342314681</v>
      </c>
    </row>
    <row r="436" spans="11:13" x14ac:dyDescent="0.4">
      <c r="K436" s="74">
        <v>434</v>
      </c>
      <c r="L436" s="119">
        <v>-9.699999999999946</v>
      </c>
      <c r="M436" s="117">
        <v>1606.3334226079292</v>
      </c>
    </row>
    <row r="437" spans="11:13" x14ac:dyDescent="0.4">
      <c r="K437" s="74">
        <v>435</v>
      </c>
      <c r="L437" s="119">
        <v>5.3290705182007514E-14</v>
      </c>
      <c r="M437" s="117">
        <v>1608.0894220722816</v>
      </c>
    </row>
    <row r="438" spans="11:13" x14ac:dyDescent="0.4">
      <c r="K438" s="74">
        <v>436</v>
      </c>
      <c r="L438" s="119">
        <v>36.500000000000057</v>
      </c>
      <c r="M438" s="117">
        <v>1614.886885539848</v>
      </c>
    </row>
    <row r="439" spans="11:13" x14ac:dyDescent="0.4">
      <c r="K439" s="74">
        <v>437</v>
      </c>
      <c r="L439" s="119">
        <v>7.4000000000000554</v>
      </c>
      <c r="M439" s="117">
        <v>1609.835564226609</v>
      </c>
    </row>
    <row r="440" spans="11:13" x14ac:dyDescent="0.4">
      <c r="K440" s="74">
        <v>438</v>
      </c>
      <c r="L440" s="119">
        <v>5.5067062021407764E-14</v>
      </c>
      <c r="M440" s="117">
        <v>1608.7205508412494</v>
      </c>
    </row>
    <row r="441" spans="11:13" x14ac:dyDescent="0.4">
      <c r="K441" s="74">
        <v>439</v>
      </c>
      <c r="L441" s="119">
        <v>-26.799999999999947</v>
      </c>
      <c r="M441" s="117">
        <v>1604.1202275362018</v>
      </c>
    </row>
    <row r="442" spans="11:13" x14ac:dyDescent="0.4">
      <c r="K442" s="74">
        <v>440</v>
      </c>
      <c r="L442" s="119">
        <v>-24.399999999999949</v>
      </c>
      <c r="M442" s="117">
        <v>1604.8035061709845</v>
      </c>
    </row>
    <row r="443" spans="11:13" x14ac:dyDescent="0.4">
      <c r="K443" s="74">
        <v>441</v>
      </c>
      <c r="L443" s="119">
        <v>4.9737991503207013E-14</v>
      </c>
      <c r="M443" s="117">
        <v>1609.4426851339585</v>
      </c>
    </row>
    <row r="444" spans="11:13" x14ac:dyDescent="0.4">
      <c r="K444" s="74">
        <v>442</v>
      </c>
      <c r="L444" s="119">
        <v>40.300000000000047</v>
      </c>
      <c r="M444" s="117">
        <v>1616.9160290231548</v>
      </c>
    </row>
    <row r="445" spans="11:13" x14ac:dyDescent="0.4">
      <c r="K445" s="74">
        <v>443</v>
      </c>
      <c r="L445" s="119">
        <v>46.00000000000005</v>
      </c>
      <c r="M445" s="117">
        <v>1618.1165328490158</v>
      </c>
    </row>
    <row r="446" spans="11:13" x14ac:dyDescent="0.4">
      <c r="K446" s="74">
        <v>444</v>
      </c>
      <c r="L446" s="119">
        <v>4.9737991503207013E-14</v>
      </c>
      <c r="M446" s="117">
        <v>1610.0038336519217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2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126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124</v>
      </c>
      <c r="C2" s="142"/>
      <c r="E2" s="26" t="s">
        <v>66</v>
      </c>
      <c r="F2" s="23" t="s">
        <v>22</v>
      </c>
      <c r="G2" s="11">
        <v>250</v>
      </c>
      <c r="H2" s="87">
        <f>IF(B$20=0,0,G2/B$20)</f>
        <v>0.75987841945288759</v>
      </c>
      <c r="I2" s="57">
        <v>9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531.70731707317077</v>
      </c>
      <c r="Q2" s="76">
        <v>123</v>
      </c>
      <c r="R2" s="63">
        <v>65400</v>
      </c>
    </row>
    <row r="3" spans="1:18" x14ac:dyDescent="0.4">
      <c r="A3" s="19" t="s">
        <v>8</v>
      </c>
      <c r="B3" s="143">
        <v>1044</v>
      </c>
      <c r="C3" s="144"/>
      <c r="E3" s="27" t="s">
        <v>72</v>
      </c>
      <c r="F3" s="24" t="s">
        <v>27</v>
      </c>
      <c r="G3" s="12">
        <v>179</v>
      </c>
      <c r="H3" s="88">
        <f>IF(B$20=0,0,G3/B$20)</f>
        <v>0.54407294832826747</v>
      </c>
      <c r="I3" s="58">
        <v>10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-605.83333333333337</v>
      </c>
      <c r="Q3" s="77">
        <v>120</v>
      </c>
      <c r="R3" s="64">
        <v>-72700</v>
      </c>
    </row>
    <row r="4" spans="1:18" x14ac:dyDescent="0.4">
      <c r="A4" s="19" t="s">
        <v>6</v>
      </c>
      <c r="B4" s="145">
        <v>36.999999999999886</v>
      </c>
      <c r="C4" s="146"/>
      <c r="E4" s="27" t="s">
        <v>64</v>
      </c>
      <c r="F4" s="24" t="s">
        <v>20</v>
      </c>
      <c r="G4" s="12">
        <v>137</v>
      </c>
      <c r="H4" s="88">
        <f>IF(B$20=0,0,G4/B$20)</f>
        <v>0.41641337386018235</v>
      </c>
      <c r="I4" s="58">
        <v>9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-1626.6666666666667</v>
      </c>
      <c r="Q4" s="77">
        <v>120</v>
      </c>
      <c r="R4" s="64">
        <v>-195200</v>
      </c>
    </row>
    <row r="5" spans="1:18" x14ac:dyDescent="0.4">
      <c r="A5" s="19" t="s">
        <v>7</v>
      </c>
      <c r="B5" s="133">
        <f>IF(B$2=0,0,B$4/B$2)</f>
        <v>0.29838709677419262</v>
      </c>
      <c r="C5" s="134"/>
      <c r="E5" s="27" t="s">
        <v>159</v>
      </c>
      <c r="F5" s="24" t="s">
        <v>160</v>
      </c>
      <c r="G5" s="12">
        <v>127</v>
      </c>
      <c r="H5" s="88">
        <f>IF(B$20=0,0,G5/B$20)</f>
        <v>0.3860182370820669</v>
      </c>
      <c r="I5" s="58">
        <v>9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819.13043478260875</v>
      </c>
      <c r="Q5" s="77">
        <v>115</v>
      </c>
      <c r="R5" s="64">
        <v>94200</v>
      </c>
    </row>
    <row r="6" spans="1:18" x14ac:dyDescent="0.4">
      <c r="A6" s="19" t="s">
        <v>196</v>
      </c>
      <c r="B6" s="137">
        <v>1722.4536444662958</v>
      </c>
      <c r="C6" s="138"/>
      <c r="E6" s="27" t="s">
        <v>68</v>
      </c>
      <c r="F6" s="24" t="s">
        <v>12</v>
      </c>
      <c r="G6" s="12">
        <v>103</v>
      </c>
      <c r="H6" s="88">
        <f>IF(B$20=0,0,G6/B$20)</f>
        <v>0.31306990881458968</v>
      </c>
      <c r="I6" s="58">
        <v>7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766.34615384615381</v>
      </c>
      <c r="Q6" s="77">
        <v>104</v>
      </c>
      <c r="R6" s="64">
        <v>79700</v>
      </c>
    </row>
    <row r="7" spans="1:18" x14ac:dyDescent="0.4">
      <c r="A7" s="19" t="s">
        <v>1</v>
      </c>
      <c r="B7" s="147">
        <f>IF(B$2=0,0,(B$8*1+B$9*2+B$10*3)/B$2)</f>
        <v>2.0403225806451615</v>
      </c>
      <c r="C7" s="148"/>
      <c r="E7" s="27" t="s">
        <v>67</v>
      </c>
      <c r="F7" s="24" t="s">
        <v>23</v>
      </c>
      <c r="G7" s="12">
        <v>67</v>
      </c>
      <c r="H7" s="88">
        <f>IF(B$20=0,0,G7/B$20)</f>
        <v>0.20364741641337386</v>
      </c>
      <c r="I7" s="58">
        <v>10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431.46067415730334</v>
      </c>
      <c r="Q7" s="78">
        <v>89</v>
      </c>
      <c r="R7" s="65">
        <v>38400</v>
      </c>
    </row>
    <row r="8" spans="1:18" x14ac:dyDescent="0.4">
      <c r="A8" s="19" t="s">
        <v>2</v>
      </c>
      <c r="B8" s="12">
        <v>41</v>
      </c>
      <c r="C8" s="6">
        <f t="shared" ref="C8:C15" si="1">IF(B$2=0,0,B8/B$2)</f>
        <v>0.33064516129032256</v>
      </c>
      <c r="E8" s="27" t="s">
        <v>69</v>
      </c>
      <c r="F8" s="24" t="s">
        <v>24</v>
      </c>
      <c r="G8" s="12">
        <v>54</v>
      </c>
      <c r="H8" s="88">
        <f>IF(B$20=0,0,G8/B$20)</f>
        <v>0.1641337386018237</v>
      </c>
      <c r="I8" s="58">
        <v>3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37</v>
      </c>
      <c r="C9" s="6">
        <f t="shared" si="1"/>
        <v>0.29838709677419356</v>
      </c>
      <c r="E9" s="27" t="s">
        <v>70</v>
      </c>
      <c r="F9" s="24" t="s">
        <v>25</v>
      </c>
      <c r="G9" s="12">
        <v>44</v>
      </c>
      <c r="H9" s="88">
        <f>IF(B$20=0,0,G9/B$20)</f>
        <v>0.1337386018237082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46</v>
      </c>
      <c r="C10" s="7">
        <f t="shared" si="1"/>
        <v>0.37096774193548387</v>
      </c>
      <c r="E10" s="27" t="s">
        <v>89</v>
      </c>
      <c r="F10" s="24" t="s">
        <v>44</v>
      </c>
      <c r="G10" s="12">
        <v>42</v>
      </c>
      <c r="H10" s="88">
        <f>IF(B$20=0,0,G10/B$20)</f>
        <v>0.1276595744680851</v>
      </c>
      <c r="I10" s="58">
        <v>8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5.8477272727272718</v>
      </c>
      <c r="Q10" s="76">
        <v>44</v>
      </c>
      <c r="R10" s="67">
        <v>257.29999999999995</v>
      </c>
    </row>
    <row r="11" spans="1:18" x14ac:dyDescent="0.4">
      <c r="A11" s="20" t="s">
        <v>184</v>
      </c>
      <c r="B11" s="109">
        <f>IF(B8=0,0,C11/B8)</f>
        <v>37.765853658536592</v>
      </c>
      <c r="C11" s="110">
        <v>1548.4000000000003</v>
      </c>
      <c r="E11" s="27" t="s">
        <v>65</v>
      </c>
      <c r="F11" s="24" t="s">
        <v>21</v>
      </c>
      <c r="G11" s="12">
        <v>29</v>
      </c>
      <c r="H11" s="88">
        <f>IF(B$20=0,0,G11/B$20)</f>
        <v>8.8145896656534953E-2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-7.3906976744186066</v>
      </c>
      <c r="Q11" s="77">
        <v>43</v>
      </c>
      <c r="R11" s="68">
        <v>-317.80000000000007</v>
      </c>
    </row>
    <row r="12" spans="1:18" x14ac:dyDescent="0.4">
      <c r="A12" s="20" t="s">
        <v>185</v>
      </c>
      <c r="B12" s="109">
        <f>IF(B9=0,0,C12/B9)</f>
        <v>-1.5783783783783782</v>
      </c>
      <c r="C12" s="110">
        <v>-58.399999999999991</v>
      </c>
      <c r="E12" s="27" t="s">
        <v>86</v>
      </c>
      <c r="F12" s="24" t="s">
        <v>41</v>
      </c>
      <c r="G12" s="12">
        <v>24</v>
      </c>
      <c r="H12" s="88">
        <f>IF(B$20=0,0,G12/B$20)</f>
        <v>7.29483282674772E-2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2.635135135135136</v>
      </c>
      <c r="Q12" s="78">
        <v>37</v>
      </c>
      <c r="R12" s="69">
        <v>97.500000000000028</v>
      </c>
    </row>
    <row r="13" spans="1:18" x14ac:dyDescent="0.4">
      <c r="A13" s="20" t="s">
        <v>186</v>
      </c>
      <c r="B13" s="109">
        <f>IF(B10=0,0,C13/B10)</f>
        <v>-31.586956521739129</v>
      </c>
      <c r="C13" s="110">
        <v>-1453</v>
      </c>
      <c r="E13" s="27" t="s">
        <v>83</v>
      </c>
      <c r="F13" s="24" t="s">
        <v>38</v>
      </c>
      <c r="G13" s="12">
        <v>15</v>
      </c>
      <c r="H13" s="88">
        <f>IF(B$20=0,0,G13/B$20)</f>
        <v>4.5592705167173252E-2</v>
      </c>
      <c r="I13" s="58">
        <v>7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1.5335062528063605</v>
      </c>
      <c r="C14" s="134"/>
      <c r="E14" s="27" t="s">
        <v>71</v>
      </c>
      <c r="F14" s="24" t="s">
        <v>26</v>
      </c>
      <c r="G14" s="12">
        <v>13</v>
      </c>
      <c r="H14" s="88">
        <f>IF(B$20=0,0,G14/B$20)</f>
        <v>3.9513677811550151E-2</v>
      </c>
      <c r="I14" s="58">
        <v>9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</v>
      </c>
      <c r="C15" s="9">
        <f t="shared" si="1"/>
        <v>8.8709677419354843E-2</v>
      </c>
      <c r="E15" s="27" t="s">
        <v>155</v>
      </c>
      <c r="F15" s="24" t="s">
        <v>156</v>
      </c>
      <c r="G15" s="12">
        <v>12</v>
      </c>
      <c r="H15" s="88">
        <f>IF(B$20=0,0,G15/B$20)</f>
        <v>3.64741641337386E-2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260</v>
      </c>
      <c r="C16" s="10">
        <f>IF(B$3=0,0,B16/B$3)</f>
        <v>0.24904214559386972</v>
      </c>
      <c r="E16" s="27" t="s">
        <v>78</v>
      </c>
      <c r="F16" s="24" t="s">
        <v>33</v>
      </c>
      <c r="G16" s="12">
        <v>8</v>
      </c>
      <c r="H16" s="88">
        <f>IF(B$20=0,0,G16/B$20)</f>
        <v>2.4316109422492401E-2</v>
      </c>
      <c r="I16" s="58">
        <v>9</v>
      </c>
      <c r="K16" s="74">
        <v>14</v>
      </c>
      <c r="L16" s="119">
        <v>222</v>
      </c>
      <c r="M16" s="117">
        <v>1861.6993429866839</v>
      </c>
      <c r="O16" s="74" t="s">
        <v>201</v>
      </c>
      <c r="P16" s="83">
        <f>IF(Q16=0,0,R16/Q16)</f>
        <v>37.200000000000003</v>
      </c>
      <c r="Q16" s="77">
        <v>4</v>
      </c>
      <c r="R16" s="68">
        <v>148.80000000000001</v>
      </c>
    </row>
    <row r="17" spans="1:18" x14ac:dyDescent="0.4">
      <c r="A17" s="19" t="s">
        <v>118</v>
      </c>
      <c r="B17" s="12">
        <v>209</v>
      </c>
      <c r="C17" s="6">
        <f>IF(B$3=0,0,B17/B$3)</f>
        <v>0.20019157088122605</v>
      </c>
      <c r="E17" s="27" t="s">
        <v>91</v>
      </c>
      <c r="F17" s="24" t="s">
        <v>46</v>
      </c>
      <c r="G17" s="12">
        <v>8</v>
      </c>
      <c r="H17" s="88">
        <f>IF(B$20=0,0,G17/B$20)</f>
        <v>2.4316109422492401E-2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146</v>
      </c>
      <c r="C18" s="5">
        <f>IF(B$16=0,0,B18/B$16)</f>
        <v>0.56153846153846154</v>
      </c>
      <c r="E18" s="27" t="s">
        <v>79</v>
      </c>
      <c r="F18" s="24" t="s">
        <v>34</v>
      </c>
      <c r="G18" s="12">
        <v>5</v>
      </c>
      <c r="H18" s="88">
        <f>IF(B$20=0,0,G18/B$20)</f>
        <v>1.5197568389057751E-2</v>
      </c>
      <c r="I18" s="58">
        <v>4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>IF(Q18=0,0,R18/Q18)</f>
        <v>13.090909090909093</v>
      </c>
      <c r="Q18" s="77">
        <v>11</v>
      </c>
      <c r="R18" s="68">
        <v>144.00000000000003</v>
      </c>
    </row>
    <row r="19" spans="1:18" x14ac:dyDescent="0.4">
      <c r="A19" s="18" t="s">
        <v>124</v>
      </c>
      <c r="B19" s="11">
        <f>B25</f>
        <v>97</v>
      </c>
      <c r="C19" s="5">
        <f>IF(B$17=0,0,B19/B$17)</f>
        <v>0.46411483253588515</v>
      </c>
      <c r="E19" s="27" t="s">
        <v>81</v>
      </c>
      <c r="F19" s="24" t="s">
        <v>36</v>
      </c>
      <c r="G19" s="12">
        <v>5</v>
      </c>
      <c r="H19" s="88">
        <f>IF(B$20=0,0,G19/B$20)</f>
        <v>1.5197568389057751E-2</v>
      </c>
      <c r="I19" s="58">
        <v>12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4.1695652173913045</v>
      </c>
      <c r="Q19" s="77">
        <v>69</v>
      </c>
      <c r="R19" s="68">
        <v>287.7</v>
      </c>
    </row>
    <row r="20" spans="1:18" x14ac:dyDescent="0.4">
      <c r="A20" s="18" t="s">
        <v>10</v>
      </c>
      <c r="B20" s="11">
        <f>B23+B22</f>
        <v>329</v>
      </c>
      <c r="C20" s="5">
        <f>IF(B$3=0,0,B20/B$3)</f>
        <v>0.31513409961685823</v>
      </c>
      <c r="E20" s="27" t="s">
        <v>73</v>
      </c>
      <c r="F20" s="24" t="s">
        <v>28</v>
      </c>
      <c r="G20" s="12">
        <v>3</v>
      </c>
      <c r="H20" s="88">
        <f>IF(B$20=0,0,G20/B$20)</f>
        <v>9.11854103343465E-3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216</v>
      </c>
      <c r="P20" s="83">
        <f>IF(Q20=0,0,R20/Q20)</f>
        <v>-0.10909090909091064</v>
      </c>
      <c r="Q20" s="77">
        <v>11</v>
      </c>
      <c r="R20" s="68">
        <v>-1.2000000000000171</v>
      </c>
    </row>
    <row r="21" spans="1:18" x14ac:dyDescent="0.4">
      <c r="A21" s="19" t="s">
        <v>13</v>
      </c>
      <c r="B21" s="12">
        <v>184</v>
      </c>
      <c r="C21" s="6">
        <f>IF(B$3=0,0,B21/B$3)</f>
        <v>0.17624521072796934</v>
      </c>
      <c r="E21" s="27" t="s">
        <v>85</v>
      </c>
      <c r="F21" s="24" t="s">
        <v>40</v>
      </c>
      <c r="G21" s="12">
        <v>3</v>
      </c>
      <c r="H21" s="88">
        <f>IF(B$20=0,0,G21/B$20)</f>
        <v>9.11854103343465E-3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190</v>
      </c>
      <c r="P21" s="83">
        <f>IF(Q21=0,0,R21/Q21)</f>
        <v>-0.82903225806451564</v>
      </c>
      <c r="Q21" s="77">
        <v>31</v>
      </c>
      <c r="R21" s="68">
        <v>-25.699999999999985</v>
      </c>
    </row>
    <row r="22" spans="1:18" x14ac:dyDescent="0.4">
      <c r="A22" s="19" t="s">
        <v>12</v>
      </c>
      <c r="B22" s="12">
        <v>151</v>
      </c>
      <c r="C22" s="6">
        <f>IF(B$20=0,0,B22/B$20)</f>
        <v>0.45896656534954405</v>
      </c>
      <c r="E22" s="27" t="s">
        <v>75</v>
      </c>
      <c r="F22" s="24" t="s">
        <v>30</v>
      </c>
      <c r="G22" s="12">
        <v>2</v>
      </c>
      <c r="H22" s="88">
        <f>IF(B$20=0,0,G22/B$20)</f>
        <v>6.0790273556231003E-3</v>
      </c>
      <c r="I22" s="58">
        <v>3</v>
      </c>
      <c r="K22" s="74">
        <v>20</v>
      </c>
      <c r="L22" s="119">
        <v>154.5</v>
      </c>
      <c r="M22" s="117">
        <v>1840.6741302604762</v>
      </c>
      <c r="O22" s="74" t="s">
        <v>189</v>
      </c>
      <c r="P22" s="83">
        <f>IF(Q22=0,0,R22/Q22)</f>
        <v>-3.4119047619047622</v>
      </c>
      <c r="Q22" s="77">
        <v>42</v>
      </c>
      <c r="R22" s="68">
        <v>-143.30000000000001</v>
      </c>
    </row>
    <row r="23" spans="1:18" x14ac:dyDescent="0.4">
      <c r="A23" s="19" t="s">
        <v>11</v>
      </c>
      <c r="B23" s="12">
        <v>178</v>
      </c>
      <c r="C23" s="6">
        <f>IF(B$20=0,0,B23/B$20)</f>
        <v>0.54103343465045595</v>
      </c>
      <c r="E23" s="27" t="s">
        <v>80</v>
      </c>
      <c r="F23" s="24" t="s">
        <v>35</v>
      </c>
      <c r="G23" s="12">
        <v>1</v>
      </c>
      <c r="H23" s="88">
        <f>IF(B$20=0,0,G23/B$20)</f>
        <v>3.0395136778115501E-3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211</v>
      </c>
      <c r="P23" s="83">
        <f>IF(Q23=0,0,R23/Q23)</f>
        <v>-5.2833333333333332</v>
      </c>
      <c r="Q23" s="77">
        <v>30</v>
      </c>
      <c r="R23" s="68">
        <v>-158.5</v>
      </c>
    </row>
    <row r="24" spans="1:18" x14ac:dyDescent="0.4">
      <c r="A24" s="19" t="s">
        <v>183</v>
      </c>
      <c r="B24" s="12">
        <v>146</v>
      </c>
      <c r="C24" s="6">
        <f>IF(B$20=0,0,B24/B$20)</f>
        <v>0.44376899696048633</v>
      </c>
      <c r="E24" s="27" t="s">
        <v>84</v>
      </c>
      <c r="F24" s="24" t="s">
        <v>39</v>
      </c>
      <c r="G24" s="12">
        <v>1</v>
      </c>
      <c r="H24" s="88">
        <f>IF(B$20=0,0,G24/B$20)</f>
        <v>3.0395136778115501E-3</v>
      </c>
      <c r="I24" s="58">
        <v>1</v>
      </c>
      <c r="K24" s="74">
        <v>22</v>
      </c>
      <c r="L24" s="119">
        <v>106.3</v>
      </c>
      <c r="M24" s="117">
        <v>1829.4799049660398</v>
      </c>
      <c r="O24" s="74" t="s">
        <v>192</v>
      </c>
      <c r="P24" s="83">
        <f>IF(Q24=0,0,R24/Q24)</f>
        <v>-6.7565217391304353</v>
      </c>
      <c r="Q24" s="77">
        <v>46</v>
      </c>
      <c r="R24" s="68">
        <v>-310.8</v>
      </c>
    </row>
    <row r="25" spans="1:18" x14ac:dyDescent="0.4">
      <c r="A25" s="19" t="s">
        <v>181</v>
      </c>
      <c r="B25" s="12">
        <v>97</v>
      </c>
      <c r="C25" s="6">
        <f>IF(B$20=0,0,B25/B$20)</f>
        <v>0.29483282674772038</v>
      </c>
      <c r="E25" s="27" t="s">
        <v>88</v>
      </c>
      <c r="F25" s="24" t="s">
        <v>43</v>
      </c>
      <c r="G25" s="12">
        <v>1</v>
      </c>
      <c r="H25" s="88">
        <f>IF(B$20=0,0,G25/B$20)</f>
        <v>3.0395136778115501E-3</v>
      </c>
      <c r="I25" s="58">
        <v>5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86</v>
      </c>
      <c r="C26" s="6">
        <f>IF(B$20=0,0,B26/B$20)</f>
        <v>0.26139817629179329</v>
      </c>
      <c r="E26" s="27" t="s">
        <v>90</v>
      </c>
      <c r="F26" s="24" t="s">
        <v>45</v>
      </c>
      <c r="G26" s="12">
        <v>1</v>
      </c>
      <c r="H26" s="88">
        <f>IF(B$20=0,0,G26/B$20)</f>
        <v>3.0395136778115501E-3</v>
      </c>
      <c r="I26" s="58">
        <v>3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8151.0638297872338</v>
      </c>
      <c r="C27" s="8">
        <v>2681700</v>
      </c>
      <c r="E27" s="27" t="s">
        <v>92</v>
      </c>
      <c r="F27" s="24" t="s">
        <v>47</v>
      </c>
      <c r="G27" s="12">
        <v>1</v>
      </c>
      <c r="H27" s="88">
        <f>IF(B$20=0,0,G27/B$20)</f>
        <v>3.0395136778115501E-3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8392.2413793103442</v>
      </c>
      <c r="C28" s="96">
        <v>1947000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7574.2268041237112</v>
      </c>
      <c r="C29" s="96">
        <v>734700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-7560.869565217391</v>
      </c>
      <c r="C30" s="96">
        <v>-1391200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2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6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5">
        <v>6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7">
        <v>103000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9.5785440613026815E-4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19</v>
      </c>
      <c r="C37" s="98">
        <f t="shared" ref="C37:C49" si="2">IF(B$20=0,0,B37/B$20)</f>
        <v>5.7750759878419454E-2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66</v>
      </c>
      <c r="C38" s="6">
        <f t="shared" si="2"/>
        <v>0.20060790273556231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63</v>
      </c>
      <c r="C39" s="6">
        <f t="shared" si="2"/>
        <v>0.19148936170212766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63</v>
      </c>
      <c r="C40" s="6">
        <f t="shared" si="2"/>
        <v>0.19148936170212766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51</v>
      </c>
      <c r="C41" s="6">
        <f t="shared" si="2"/>
        <v>0.15501519756838905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39</v>
      </c>
      <c r="C42" s="6">
        <f t="shared" si="2"/>
        <v>0.11854103343465046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11</v>
      </c>
      <c r="C43" s="6">
        <f t="shared" si="2"/>
        <v>3.3434650455927049E-2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7</v>
      </c>
      <c r="C44" s="6">
        <f t="shared" si="2"/>
        <v>2.1276595744680851E-2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1.5197568389057751E-2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6.0790273556231003E-3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3.0395136778115501E-3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3.0395136778115501E-3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3.0395136778115501E-3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  <row r="102" spans="11:13" x14ac:dyDescent="0.4">
      <c r="K102" s="74">
        <v>100</v>
      </c>
      <c r="L102" s="119">
        <v>196.39999999999995</v>
      </c>
      <c r="M102" s="117">
        <v>1770.8969883892191</v>
      </c>
    </row>
    <row r="103" spans="11:13" x14ac:dyDescent="0.4">
      <c r="K103" s="74">
        <v>101</v>
      </c>
      <c r="L103" s="119">
        <v>158.99999999999994</v>
      </c>
      <c r="M103" s="117">
        <v>1763.4156064588838</v>
      </c>
    </row>
    <row r="104" spans="11:13" x14ac:dyDescent="0.4">
      <c r="K104" s="74">
        <v>102</v>
      </c>
      <c r="L104" s="119">
        <v>147.99999999999994</v>
      </c>
      <c r="M104" s="117">
        <v>1760.7251128201306</v>
      </c>
    </row>
    <row r="105" spans="11:13" x14ac:dyDescent="0.4">
      <c r="K105" s="74">
        <v>103</v>
      </c>
      <c r="L105" s="119">
        <v>123.79999999999994</v>
      </c>
      <c r="M105" s="117">
        <v>1755.5727621432097</v>
      </c>
    </row>
    <row r="106" spans="11:13" x14ac:dyDescent="0.4">
      <c r="K106" s="74">
        <v>104</v>
      </c>
      <c r="L106" s="119">
        <v>173.19999999999993</v>
      </c>
      <c r="M106" s="117">
        <v>1763.6993255703505</v>
      </c>
    </row>
    <row r="107" spans="11:13" x14ac:dyDescent="0.4">
      <c r="K107" s="74">
        <v>105</v>
      </c>
      <c r="L107" s="119">
        <v>184.39999999999992</v>
      </c>
      <c r="M107" s="117">
        <v>1764.9011296169285</v>
      </c>
    </row>
    <row r="108" spans="11:13" x14ac:dyDescent="0.4">
      <c r="K108" s="74">
        <v>106</v>
      </c>
      <c r="L108" s="119">
        <v>219.09999999999991</v>
      </c>
      <c r="M108" s="117">
        <v>1770.325722839227</v>
      </c>
    </row>
    <row r="109" spans="11:13" x14ac:dyDescent="0.4">
      <c r="K109" s="74">
        <v>107</v>
      </c>
      <c r="L109" s="119">
        <v>218.2999999999999</v>
      </c>
      <c r="M109" s="117">
        <v>1769.3217685021916</v>
      </c>
    </row>
    <row r="110" spans="11:13" x14ac:dyDescent="0.4">
      <c r="K110" s="74">
        <v>108</v>
      </c>
      <c r="L110" s="119">
        <v>209.59999999999991</v>
      </c>
      <c r="M110" s="117">
        <v>1766.8238378911785</v>
      </c>
    </row>
    <row r="111" spans="11:13" x14ac:dyDescent="0.4">
      <c r="K111" s="74">
        <v>109</v>
      </c>
      <c r="L111" s="119">
        <v>207.7999999999999</v>
      </c>
      <c r="M111" s="117">
        <v>1765.5828948638314</v>
      </c>
    </row>
    <row r="112" spans="11:13" x14ac:dyDescent="0.4">
      <c r="K112" s="74">
        <v>110</v>
      </c>
      <c r="L112" s="119">
        <v>257.69999999999987</v>
      </c>
      <c r="M112" s="117">
        <v>1773.3973974946484</v>
      </c>
    </row>
    <row r="113" spans="11:13" x14ac:dyDescent="0.4">
      <c r="K113" s="74">
        <v>111</v>
      </c>
      <c r="L113" s="119">
        <v>233.09999999999988</v>
      </c>
      <c r="M113" s="117">
        <v>1767.7550131096805</v>
      </c>
    </row>
    <row r="114" spans="11:13" x14ac:dyDescent="0.4">
      <c r="K114" s="74">
        <v>112</v>
      </c>
      <c r="L114" s="119">
        <v>256.69999999999987</v>
      </c>
      <c r="M114" s="117">
        <v>1771.2664830310223</v>
      </c>
    </row>
    <row r="115" spans="11:13" x14ac:dyDescent="0.4">
      <c r="K115" s="74">
        <v>113</v>
      </c>
      <c r="L115" s="119">
        <v>234.69999999999987</v>
      </c>
      <c r="M115" s="117">
        <v>1766.5488841328361</v>
      </c>
    </row>
    <row r="116" spans="11:13" x14ac:dyDescent="0.4">
      <c r="K116" s="74">
        <v>114</v>
      </c>
      <c r="L116" s="119">
        <v>186.69999999999987</v>
      </c>
      <c r="M116" s="117">
        <v>1756.8675908280391</v>
      </c>
    </row>
    <row r="117" spans="11:13" x14ac:dyDescent="0.4">
      <c r="K117" s="74">
        <v>115</v>
      </c>
      <c r="L117" s="119">
        <v>143.79999999999987</v>
      </c>
      <c r="M117" s="117">
        <v>1748.1143852830708</v>
      </c>
    </row>
    <row r="118" spans="11:13" x14ac:dyDescent="0.4">
      <c r="K118" s="74">
        <v>116</v>
      </c>
      <c r="L118" s="119">
        <v>199.79999999999987</v>
      </c>
      <c r="M118" s="117">
        <v>1757.2516989713724</v>
      </c>
    </row>
    <row r="119" spans="11:13" x14ac:dyDescent="0.4">
      <c r="K119" s="74">
        <v>117</v>
      </c>
      <c r="L119" s="119">
        <v>215.19999999999987</v>
      </c>
      <c r="M119" s="117">
        <v>1759.0261887775441</v>
      </c>
    </row>
    <row r="120" spans="11:13" x14ac:dyDescent="0.4">
      <c r="K120" s="74">
        <v>118</v>
      </c>
      <c r="L120" s="119">
        <v>163.49999999999989</v>
      </c>
      <c r="M120" s="117">
        <v>1748.9040316448788</v>
      </c>
    </row>
    <row r="121" spans="11:13" x14ac:dyDescent="0.4">
      <c r="K121" s="74">
        <v>119</v>
      </c>
      <c r="L121" s="119">
        <v>130.99999999999989</v>
      </c>
      <c r="M121" s="117">
        <v>1742.2986074550095</v>
      </c>
    </row>
    <row r="122" spans="11:13" x14ac:dyDescent="0.4">
      <c r="K122" s="74">
        <v>120</v>
      </c>
      <c r="L122" s="119">
        <v>100.89999999999989</v>
      </c>
      <c r="M122" s="117">
        <v>1736.0748158102795</v>
      </c>
    </row>
    <row r="123" spans="11:13" x14ac:dyDescent="0.4">
      <c r="K123" s="74">
        <v>121</v>
      </c>
      <c r="L123" s="119">
        <v>52.599999999999895</v>
      </c>
      <c r="M123" s="117">
        <v>1726.6123669154179</v>
      </c>
    </row>
    <row r="124" spans="11:13" x14ac:dyDescent="0.4">
      <c r="K124" s="74">
        <v>122</v>
      </c>
      <c r="L124" s="119">
        <v>23.499999999999893</v>
      </c>
      <c r="M124" s="117">
        <v>1720.8906927139253</v>
      </c>
    </row>
    <row r="125" spans="11:13" x14ac:dyDescent="0.4">
      <c r="K125" s="74">
        <v>123</v>
      </c>
      <c r="L125" s="119">
        <v>-3.3000000000001073</v>
      </c>
      <c r="M125" s="117">
        <v>1715.6173485576417</v>
      </c>
    </row>
    <row r="126" spans="11:13" x14ac:dyDescent="0.4">
      <c r="K126" s="74">
        <v>124</v>
      </c>
      <c r="L126" s="119">
        <v>36.999999999999886</v>
      </c>
      <c r="M126" s="117">
        <v>1722.4536444662958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8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163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81</v>
      </c>
      <c r="C2" s="142"/>
      <c r="E2" s="26" t="s">
        <v>66</v>
      </c>
      <c r="F2" s="23" t="s">
        <v>22</v>
      </c>
      <c r="G2" s="11">
        <v>187</v>
      </c>
      <c r="H2" s="87">
        <f>IF(B$20=0,0,G2/B$20)</f>
        <v>0.97905759162303663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1197.5308641975309</v>
      </c>
      <c r="Q2" s="76">
        <v>81</v>
      </c>
      <c r="R2" s="63">
        <v>97000</v>
      </c>
    </row>
    <row r="3" spans="1:18" x14ac:dyDescent="0.4">
      <c r="A3" s="19" t="s">
        <v>8</v>
      </c>
      <c r="B3" s="143">
        <v>721</v>
      </c>
      <c r="C3" s="144"/>
      <c r="E3" s="27" t="s">
        <v>72</v>
      </c>
      <c r="F3" s="24" t="s">
        <v>27</v>
      </c>
      <c r="G3" s="12">
        <v>124</v>
      </c>
      <c r="H3" s="88">
        <f>IF(B$20=0,0,G3/B$20)</f>
        <v>0.64921465968586389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-401.26582278481015</v>
      </c>
      <c r="Q3" s="77">
        <v>79</v>
      </c>
      <c r="R3" s="64">
        <v>-31700</v>
      </c>
    </row>
    <row r="4" spans="1:18" x14ac:dyDescent="0.4">
      <c r="A4" s="19" t="s">
        <v>6</v>
      </c>
      <c r="B4" s="145">
        <v>-132.9</v>
      </c>
      <c r="C4" s="146"/>
      <c r="E4" s="27" t="s">
        <v>64</v>
      </c>
      <c r="F4" s="24" t="s">
        <v>20</v>
      </c>
      <c r="G4" s="12">
        <v>90</v>
      </c>
      <c r="H4" s="88">
        <f>IF(B$20=0,0,G4/B$20)</f>
        <v>0.47120418848167539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-579.74683544303798</v>
      </c>
      <c r="Q4" s="77">
        <v>79</v>
      </c>
      <c r="R4" s="64">
        <v>-45800</v>
      </c>
    </row>
    <row r="5" spans="1:18" x14ac:dyDescent="0.4">
      <c r="A5" s="19" t="s">
        <v>7</v>
      </c>
      <c r="B5" s="133">
        <f>IF(B$2=0,0,B$4/B$2)</f>
        <v>-1.6407407407407408</v>
      </c>
      <c r="C5" s="134"/>
      <c r="E5" s="27" t="s">
        <v>159</v>
      </c>
      <c r="F5" s="24" t="s">
        <v>160</v>
      </c>
      <c r="G5" s="12">
        <v>75</v>
      </c>
      <c r="H5" s="88">
        <f>IF(B$20=0,0,G5/B$20)</f>
        <v>0.39267015706806285</v>
      </c>
      <c r="I5" s="58">
        <v>8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76.315789473684205</v>
      </c>
      <c r="Q5" s="77">
        <v>76</v>
      </c>
      <c r="R5" s="64">
        <v>5800</v>
      </c>
    </row>
    <row r="6" spans="1:18" x14ac:dyDescent="0.4">
      <c r="A6" s="19" t="s">
        <v>196</v>
      </c>
      <c r="B6" s="137">
        <v>1624.8172554191544</v>
      </c>
      <c r="C6" s="138"/>
      <c r="E6" s="27" t="s">
        <v>68</v>
      </c>
      <c r="F6" s="24" t="s">
        <v>12</v>
      </c>
      <c r="G6" s="12">
        <v>64</v>
      </c>
      <c r="H6" s="88">
        <f>IF(B$20=0,0,G6/B$20)</f>
        <v>0.33507853403141363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-82.608695652173907</v>
      </c>
      <c r="Q6" s="77">
        <v>69</v>
      </c>
      <c r="R6" s="64">
        <v>-5700</v>
      </c>
    </row>
    <row r="7" spans="1:18" x14ac:dyDescent="0.4">
      <c r="A7" s="19" t="s">
        <v>1</v>
      </c>
      <c r="B7" s="147">
        <f>IF(B$2=0,0,(B$8*1+B$9*2+B$10*3)/B$2)</f>
        <v>2.0123456790123457</v>
      </c>
      <c r="C7" s="148"/>
      <c r="E7" s="27" t="s">
        <v>67</v>
      </c>
      <c r="F7" s="24" t="s">
        <v>23</v>
      </c>
      <c r="G7" s="12">
        <v>58</v>
      </c>
      <c r="H7" s="88">
        <f>IF(B$20=0,0,G7/B$20)</f>
        <v>0.30366492146596857</v>
      </c>
      <c r="I7" s="58">
        <v>4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-31.666666666666668</v>
      </c>
      <c r="Q7" s="78">
        <v>60</v>
      </c>
      <c r="R7" s="65">
        <v>-1900</v>
      </c>
    </row>
    <row r="8" spans="1:18" x14ac:dyDescent="0.4">
      <c r="A8" s="19" t="s">
        <v>2</v>
      </c>
      <c r="B8" s="12">
        <v>26</v>
      </c>
      <c r="C8" s="6">
        <f t="shared" ref="C8:C15" si="1">IF(B$2=0,0,B8/B$2)</f>
        <v>0.32098765432098764</v>
      </c>
      <c r="E8" s="27" t="s">
        <v>89</v>
      </c>
      <c r="F8" s="24" t="s">
        <v>44</v>
      </c>
      <c r="G8" s="12">
        <v>31</v>
      </c>
      <c r="H8" s="88">
        <f>IF(B$20=0,0,G8/B$20)</f>
        <v>0.16230366492146597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28</v>
      </c>
      <c r="C9" s="6">
        <f t="shared" si="1"/>
        <v>0.34567901234567899</v>
      </c>
      <c r="E9" s="27" t="s">
        <v>69</v>
      </c>
      <c r="F9" s="24" t="s">
        <v>24</v>
      </c>
      <c r="G9" s="12">
        <v>24</v>
      </c>
      <c r="H9" s="88">
        <f>IF(B$20=0,0,G9/B$20)</f>
        <v>0.1256544502617801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27</v>
      </c>
      <c r="C10" s="7">
        <f t="shared" si="1"/>
        <v>0.33333333333333331</v>
      </c>
      <c r="E10" s="27" t="s">
        <v>65</v>
      </c>
      <c r="F10" s="24" t="s">
        <v>21</v>
      </c>
      <c r="G10" s="12">
        <v>22</v>
      </c>
      <c r="H10" s="88">
        <f>IF(B$20=0,0,G10/B$20)</f>
        <v>0.11518324607329843</v>
      </c>
      <c r="I10" s="58">
        <v>4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-1.5129032258064514</v>
      </c>
      <c r="Q10" s="76">
        <v>31</v>
      </c>
      <c r="R10" s="67">
        <v>-46.899999999999991</v>
      </c>
    </row>
    <row r="11" spans="1:18" x14ac:dyDescent="0.4">
      <c r="A11" s="20" t="s">
        <v>184</v>
      </c>
      <c r="B11" s="109">
        <f>IF(B8=0,0,C11/B8)</f>
        <v>33.019230769230766</v>
      </c>
      <c r="C11" s="110">
        <v>858.5</v>
      </c>
      <c r="E11" s="27" t="s">
        <v>70</v>
      </c>
      <c r="F11" s="24" t="s">
        <v>25</v>
      </c>
      <c r="G11" s="12">
        <v>17</v>
      </c>
      <c r="H11" s="88">
        <f>IF(B$20=0,0,G11/B$20)</f>
        <v>8.9005235602094238E-2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0.24545454545454468</v>
      </c>
      <c r="Q11" s="77">
        <v>22</v>
      </c>
      <c r="R11" s="68">
        <v>5.3999999999999826</v>
      </c>
    </row>
    <row r="12" spans="1:18" x14ac:dyDescent="0.4">
      <c r="A12" s="20" t="s">
        <v>185</v>
      </c>
      <c r="B12" s="109">
        <f>IF(B9=0,0,C12/B9)</f>
        <v>1.2071428571428573</v>
      </c>
      <c r="C12" s="110">
        <v>33.800000000000004</v>
      </c>
      <c r="E12" s="27" t="s">
        <v>71</v>
      </c>
      <c r="F12" s="24" t="s">
        <v>26</v>
      </c>
      <c r="G12" s="12">
        <v>15</v>
      </c>
      <c r="H12" s="88">
        <f>IF(B$20=0,0,G12/B$20)</f>
        <v>7.8534031413612565E-2</v>
      </c>
      <c r="I12" s="58">
        <v>5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-3.2642857142857147</v>
      </c>
      <c r="Q12" s="78">
        <v>28</v>
      </c>
      <c r="R12" s="69">
        <v>-91.4</v>
      </c>
    </row>
    <row r="13" spans="1:18" x14ac:dyDescent="0.4">
      <c r="A13" s="20" t="s">
        <v>186</v>
      </c>
      <c r="B13" s="109">
        <f>IF(B10=0,0,C13/B10)</f>
        <v>-37.970370370370382</v>
      </c>
      <c r="C13" s="110">
        <v>-1025.2000000000003</v>
      </c>
      <c r="E13" s="27" t="s">
        <v>86</v>
      </c>
      <c r="F13" s="24" t="s">
        <v>41</v>
      </c>
      <c r="G13" s="12">
        <v>12</v>
      </c>
      <c r="H13" s="88">
        <f>IF(B$20=0,0,G13/B$20)</f>
        <v>6.2827225130890049E-2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-1.2479989146655868</v>
      </c>
      <c r="C14" s="134"/>
      <c r="E14" s="27" t="s">
        <v>83</v>
      </c>
      <c r="F14" s="24" t="s">
        <v>38</v>
      </c>
      <c r="G14" s="12">
        <v>6</v>
      </c>
      <c r="H14" s="88">
        <f>IF(B$20=0,0,G14/B$20)</f>
        <v>3.1413612565445025E-2</v>
      </c>
      <c r="I14" s="58">
        <v>9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</v>
      </c>
      <c r="C15" s="9">
        <f t="shared" si="1"/>
        <v>0.13580246913580246</v>
      </c>
      <c r="E15" s="27" t="s">
        <v>91</v>
      </c>
      <c r="F15" s="24" t="s">
        <v>46</v>
      </c>
      <c r="G15" s="12">
        <v>6</v>
      </c>
      <c r="H15" s="88">
        <f>IF(B$20=0,0,G15/B$20)</f>
        <v>3.1413612565445025E-2</v>
      </c>
      <c r="I15" s="58">
        <v>2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206</v>
      </c>
      <c r="C16" s="10">
        <f>IF(B$3=0,0,B16/B$3)</f>
        <v>0.2857142857142857</v>
      </c>
      <c r="E16" s="27" t="s">
        <v>155</v>
      </c>
      <c r="F16" s="24" t="s">
        <v>156</v>
      </c>
      <c r="G16" s="12">
        <v>6</v>
      </c>
      <c r="H16" s="88">
        <f>IF(B$20=0,0,G16/B$20)</f>
        <v>3.1413612565445025E-2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201</v>
      </c>
      <c r="P16" s="83">
        <f>IF(Q16=0,0,R16/Q16)</f>
        <v>21.074999999999999</v>
      </c>
      <c r="Q16" s="77">
        <v>4</v>
      </c>
      <c r="R16" s="68">
        <v>84.3</v>
      </c>
    </row>
    <row r="17" spans="1:18" x14ac:dyDescent="0.4">
      <c r="A17" s="19" t="s">
        <v>118</v>
      </c>
      <c r="B17" s="12">
        <v>163</v>
      </c>
      <c r="C17" s="6">
        <f>IF(B$3=0,0,B17/B$3)</f>
        <v>0.22607489597780861</v>
      </c>
      <c r="E17" s="27" t="s">
        <v>81</v>
      </c>
      <c r="F17" s="24" t="s">
        <v>36</v>
      </c>
      <c r="G17" s="12">
        <v>5</v>
      </c>
      <c r="H17" s="88">
        <f>IF(B$20=0,0,G17/B$20)</f>
        <v>2.6178010471204188E-2</v>
      </c>
      <c r="I17" s="58">
        <v>10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>IF(Q17=0,0,R17/Q17)</f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96</v>
      </c>
      <c r="C18" s="5">
        <f>IF(B$16=0,0,B18/B$16)</f>
        <v>0.46601941747572817</v>
      </c>
      <c r="E18" s="27" t="s">
        <v>78</v>
      </c>
      <c r="F18" s="24" t="s">
        <v>33</v>
      </c>
      <c r="G18" s="12">
        <v>4</v>
      </c>
      <c r="H18" s="88">
        <f>IF(B$20=0,0,G18/B$20)</f>
        <v>2.0942408376963352E-2</v>
      </c>
      <c r="I18" s="58">
        <v>10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>IF(Q18=0,0,R18/Q18)</f>
        <v>8.1149999999999984</v>
      </c>
      <c r="Q18" s="77">
        <v>20</v>
      </c>
      <c r="R18" s="68">
        <v>162.29999999999998</v>
      </c>
    </row>
    <row r="19" spans="1:18" x14ac:dyDescent="0.4">
      <c r="A19" s="18" t="s">
        <v>124</v>
      </c>
      <c r="B19" s="11">
        <f>B25</f>
        <v>56</v>
      </c>
      <c r="C19" s="5">
        <f>IF(B$17=0,0,B19/B$17)</f>
        <v>0.34355828220858897</v>
      </c>
      <c r="E19" s="27" t="s">
        <v>73</v>
      </c>
      <c r="F19" s="24" t="s">
        <v>28</v>
      </c>
      <c r="G19" s="12">
        <v>3</v>
      </c>
      <c r="H19" s="88">
        <f>IF(B$20=0,0,G19/B$20)</f>
        <v>1.5706806282722512E-2</v>
      </c>
      <c r="I19" s="58">
        <v>1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>IF(Q19=0,0,R19/Q19)</f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191</v>
      </c>
      <c r="C20" s="5">
        <f>IF(B$3=0,0,B20/B$3)</f>
        <v>0.26490984743411927</v>
      </c>
      <c r="E20" s="27" t="s">
        <v>85</v>
      </c>
      <c r="F20" s="24" t="s">
        <v>40</v>
      </c>
      <c r="G20" s="12">
        <v>2</v>
      </c>
      <c r="H20" s="88">
        <f>IF(B$20=0,0,G20/B$20)</f>
        <v>1.0471204188481676E-2</v>
      </c>
      <c r="I20" s="58">
        <v>2</v>
      </c>
      <c r="K20" s="74">
        <v>18</v>
      </c>
      <c r="L20" s="119">
        <v>-91.000000000000014</v>
      </c>
      <c r="M20" s="117">
        <v>1635.974524408329</v>
      </c>
      <c r="O20" s="74" t="s">
        <v>126</v>
      </c>
      <c r="P20" s="83">
        <f>IF(Q20=0,0,R20/Q20)</f>
        <v>-4.1695652173913027</v>
      </c>
      <c r="Q20" s="77">
        <v>69</v>
      </c>
      <c r="R20" s="68">
        <v>-287.69999999999987</v>
      </c>
    </row>
    <row r="21" spans="1:18" x14ac:dyDescent="0.4">
      <c r="A21" s="19" t="s">
        <v>13</v>
      </c>
      <c r="B21" s="12">
        <v>142</v>
      </c>
      <c r="C21" s="6">
        <f>IF(B$3=0,0,B21/B$3)</f>
        <v>0.19694868238557559</v>
      </c>
      <c r="E21" s="27" t="s">
        <v>77</v>
      </c>
      <c r="F21" s="24" t="s">
        <v>32</v>
      </c>
      <c r="G21" s="12">
        <v>1</v>
      </c>
      <c r="H21" s="88">
        <f>IF(B$20=0,0,G21/B$20)</f>
        <v>5.235602094240838E-3</v>
      </c>
      <c r="I21" s="58">
        <v>3</v>
      </c>
      <c r="K21" s="74">
        <v>19</v>
      </c>
      <c r="L21" s="119">
        <v>-143.4</v>
      </c>
      <c r="M21" s="117">
        <v>1626.518677261879</v>
      </c>
      <c r="O21" s="74" t="s">
        <v>190</v>
      </c>
      <c r="P21" s="83">
        <f>IF(Q21=0,0,R21/Q21)</f>
        <v>-8.7866666666666653</v>
      </c>
      <c r="Q21" s="77">
        <v>15</v>
      </c>
      <c r="R21" s="68">
        <v>-131.79999999999998</v>
      </c>
    </row>
    <row r="22" spans="1:18" x14ac:dyDescent="0.4">
      <c r="A22" s="19" t="s">
        <v>12</v>
      </c>
      <c r="B22" s="12">
        <v>87</v>
      </c>
      <c r="C22" s="6">
        <f>IF(B$20=0,0,B22/B$20)</f>
        <v>0.45549738219895286</v>
      </c>
      <c r="E22" s="27" t="s">
        <v>79</v>
      </c>
      <c r="F22" s="24" t="s">
        <v>34</v>
      </c>
      <c r="G22" s="12">
        <v>1</v>
      </c>
      <c r="H22" s="88">
        <f>IF(B$20=0,0,G22/B$20)</f>
        <v>5.235602094240838E-3</v>
      </c>
      <c r="I22" s="58">
        <v>7</v>
      </c>
      <c r="K22" s="74">
        <v>20</v>
      </c>
      <c r="L22" s="119">
        <v>-101.2</v>
      </c>
      <c r="M22" s="117">
        <v>1634.1175651983078</v>
      </c>
      <c r="O22" s="74" t="s">
        <v>211</v>
      </c>
      <c r="P22" s="83">
        <f>IF(Q22=0,0,R22/Q22)</f>
        <v>-11.209523809523811</v>
      </c>
      <c r="Q22" s="77">
        <v>21</v>
      </c>
      <c r="R22" s="68">
        <v>-235.40000000000003</v>
      </c>
    </row>
    <row r="23" spans="1:18" x14ac:dyDescent="0.4">
      <c r="A23" s="19" t="s">
        <v>11</v>
      </c>
      <c r="B23" s="12">
        <v>104</v>
      </c>
      <c r="C23" s="6">
        <f>IF(B$20=0,0,B23/B$20)</f>
        <v>0.54450261780104714</v>
      </c>
      <c r="E23" s="27" t="s">
        <v>88</v>
      </c>
      <c r="F23" s="24" t="s">
        <v>43</v>
      </c>
      <c r="G23" s="12">
        <v>1</v>
      </c>
      <c r="H23" s="88">
        <f>IF(B$20=0,0,G23/B$20)</f>
        <v>5.235602094240838E-3</v>
      </c>
      <c r="I23" s="58">
        <v>3</v>
      </c>
      <c r="K23" s="74">
        <v>21</v>
      </c>
      <c r="L23" s="119">
        <v>-99.3</v>
      </c>
      <c r="M23" s="117">
        <v>1634.416859807118</v>
      </c>
      <c r="O23" s="74" t="s">
        <v>192</v>
      </c>
      <c r="P23" s="83">
        <f>IF(Q23=0,0,R23/Q23)</f>
        <v>-13.405882352941177</v>
      </c>
      <c r="Q23" s="77">
        <v>17</v>
      </c>
      <c r="R23" s="68">
        <v>-227.9</v>
      </c>
    </row>
    <row r="24" spans="1:18" x14ac:dyDescent="0.4">
      <c r="A24" s="19" t="s">
        <v>183</v>
      </c>
      <c r="B24" s="12">
        <v>96</v>
      </c>
      <c r="C24" s="6">
        <f>IF(B$20=0,0,B24/B$20)</f>
        <v>0.50261780104712039</v>
      </c>
      <c r="E24" s="27" t="s">
        <v>92</v>
      </c>
      <c r="F24" s="24" t="s">
        <v>47</v>
      </c>
      <c r="G24" s="12">
        <v>1</v>
      </c>
      <c r="H24" s="88">
        <f>IF(B$20=0,0,G24/B$20)</f>
        <v>5.235602094240838E-3</v>
      </c>
      <c r="I24" s="58">
        <v>2</v>
      </c>
      <c r="K24" s="74">
        <v>22</v>
      </c>
      <c r="L24" s="119">
        <v>-95.2</v>
      </c>
      <c r="M24" s="117">
        <v>1635.1103586482752</v>
      </c>
      <c r="O24" s="74" t="s">
        <v>195</v>
      </c>
      <c r="P24" s="83">
        <f>IF(Q24=0,0,R24/Q24)</f>
        <v>-13.525000000000002</v>
      </c>
      <c r="Q24" s="77">
        <v>4</v>
      </c>
      <c r="R24" s="68">
        <v>-54.100000000000009</v>
      </c>
    </row>
    <row r="25" spans="1:18" x14ac:dyDescent="0.4">
      <c r="A25" s="19" t="s">
        <v>181</v>
      </c>
      <c r="B25" s="12">
        <v>56</v>
      </c>
      <c r="C25" s="6">
        <f>IF(B$20=0,0,B25/B$20)</f>
        <v>0.29319371727748689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39</v>
      </c>
      <c r="C26" s="6">
        <f>IF(B$20=0,0,B26/B$20)</f>
        <v>0.20418848167539266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9472.2513089005242</v>
      </c>
      <c r="C27" s="8">
        <v>1809200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10302.962962962964</v>
      </c>
      <c r="C28" s="96">
        <v>1390900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7469.6428571428569</v>
      </c>
      <c r="C29" s="96">
        <v>418300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-7730.9859154929582</v>
      </c>
      <c r="C30" s="96">
        <v>-1097800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7">
        <v>94700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1.3869625520110957E-3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10</v>
      </c>
      <c r="C37" s="98">
        <f t="shared" ref="C37:C49" si="2">IF(B$20=0,0,B37/B$20)</f>
        <v>5.2356020942408377E-2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20</v>
      </c>
      <c r="C38" s="6">
        <f t="shared" si="2"/>
        <v>0.10471204188481675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34</v>
      </c>
      <c r="C39" s="6">
        <f t="shared" si="2"/>
        <v>0.17801047120418848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37</v>
      </c>
      <c r="C40" s="6">
        <f t="shared" si="2"/>
        <v>0.193717277486911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37</v>
      </c>
      <c r="C41" s="6">
        <f t="shared" si="2"/>
        <v>0.193717277486911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22</v>
      </c>
      <c r="C42" s="6">
        <f t="shared" si="2"/>
        <v>0.11518324607329843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11</v>
      </c>
      <c r="C43" s="6">
        <f t="shared" si="2"/>
        <v>5.7591623036649213E-2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8</v>
      </c>
      <c r="C44" s="6">
        <f t="shared" si="2"/>
        <v>4.1884816753926704E-2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7</v>
      </c>
      <c r="C45" s="6">
        <f t="shared" si="2"/>
        <v>3.6649214659685861E-2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2</v>
      </c>
      <c r="C46" s="6">
        <f t="shared" si="2"/>
        <v>1.0471204188481676E-2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1</v>
      </c>
      <c r="C47" s="6">
        <f t="shared" si="2"/>
        <v>5.235602094240838E-3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2"/>
        <v>1.0471204188481676E-2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  <row r="66" spans="11:13" x14ac:dyDescent="0.4">
      <c r="K66" s="74">
        <v>64</v>
      </c>
      <c r="L66" s="119">
        <v>-129.5</v>
      </c>
      <c r="M66" s="117">
        <v>1625.582146430668</v>
      </c>
    </row>
    <row r="67" spans="11:13" x14ac:dyDescent="0.4">
      <c r="K67" s="74">
        <v>65</v>
      </c>
      <c r="L67" s="119">
        <v>-92.4</v>
      </c>
      <c r="M67" s="117">
        <v>1632.3826535520841</v>
      </c>
    </row>
    <row r="68" spans="11:13" x14ac:dyDescent="0.4">
      <c r="K68" s="74">
        <v>66</v>
      </c>
      <c r="L68" s="119">
        <v>-141.4</v>
      </c>
      <c r="M68" s="117">
        <v>1623.6383576307717</v>
      </c>
    </row>
    <row r="69" spans="11:13" x14ac:dyDescent="0.4">
      <c r="K69" s="74">
        <v>67</v>
      </c>
      <c r="L69" s="119">
        <v>-112.7</v>
      </c>
      <c r="M69" s="117">
        <v>1628.830527484987</v>
      </c>
    </row>
    <row r="70" spans="11:13" x14ac:dyDescent="0.4">
      <c r="K70" s="74">
        <v>68</v>
      </c>
      <c r="L70" s="119">
        <v>-163.19999999999999</v>
      </c>
      <c r="M70" s="117">
        <v>1619.735544320077</v>
      </c>
    </row>
    <row r="71" spans="11:13" x14ac:dyDescent="0.4">
      <c r="K71" s="74">
        <v>69</v>
      </c>
      <c r="L71" s="119">
        <v>-122.6</v>
      </c>
      <c r="M71" s="117">
        <v>1627.0931310541566</v>
      </c>
    </row>
    <row r="72" spans="11:13" x14ac:dyDescent="0.4">
      <c r="K72" s="74">
        <v>70</v>
      </c>
      <c r="L72" s="119">
        <v>-134.79999999999998</v>
      </c>
      <c r="M72" s="117">
        <v>1624.9025722678316</v>
      </c>
    </row>
    <row r="73" spans="11:13" x14ac:dyDescent="0.4">
      <c r="K73" s="74">
        <v>71</v>
      </c>
      <c r="L73" s="119">
        <v>-102.19999999999999</v>
      </c>
      <c r="M73" s="117">
        <v>1630.7051568342247</v>
      </c>
    </row>
    <row r="74" spans="11:13" x14ac:dyDescent="0.4">
      <c r="K74" s="74">
        <v>72</v>
      </c>
      <c r="L74" s="119">
        <v>-87.699999999999989</v>
      </c>
      <c r="M74" s="117">
        <v>1633.2149258932193</v>
      </c>
    </row>
    <row r="75" spans="11:13" x14ac:dyDescent="0.4">
      <c r="K75" s="74">
        <v>73</v>
      </c>
      <c r="L75" s="119">
        <v>-121.19999999999999</v>
      </c>
      <c r="M75" s="117">
        <v>1627.2556363378599</v>
      </c>
    </row>
    <row r="76" spans="11:13" x14ac:dyDescent="0.4">
      <c r="K76" s="74">
        <v>74</v>
      </c>
      <c r="L76" s="119">
        <v>-96.299999999999983</v>
      </c>
      <c r="M76" s="117">
        <v>1631.8441025198326</v>
      </c>
    </row>
    <row r="77" spans="11:13" x14ac:dyDescent="0.4">
      <c r="K77" s="74">
        <v>75</v>
      </c>
      <c r="L77" s="119">
        <v>-101.69999999999999</v>
      </c>
      <c r="M77" s="117">
        <v>1630.6270379047137</v>
      </c>
    </row>
    <row r="78" spans="11:13" x14ac:dyDescent="0.4">
      <c r="K78" s="74">
        <v>76</v>
      </c>
      <c r="L78" s="119">
        <v>-119.19999999999999</v>
      </c>
      <c r="M78" s="117">
        <v>1627.2392756772854</v>
      </c>
    </row>
    <row r="79" spans="11:13" x14ac:dyDescent="0.4">
      <c r="K79" s="74">
        <v>77</v>
      </c>
      <c r="L79" s="119">
        <v>-113.6</v>
      </c>
      <c r="M79" s="117">
        <v>1628.1318400232217</v>
      </c>
    </row>
    <row r="80" spans="11:13" x14ac:dyDescent="0.4">
      <c r="K80" s="74">
        <v>78</v>
      </c>
      <c r="L80" s="119">
        <v>-103.89999999999999</v>
      </c>
      <c r="M80" s="117">
        <v>1629.7570489830823</v>
      </c>
    </row>
    <row r="81" spans="11:13" x14ac:dyDescent="0.4">
      <c r="K81" s="74">
        <v>79</v>
      </c>
      <c r="L81" s="119">
        <v>-111.3</v>
      </c>
      <c r="M81" s="117">
        <v>1628.5225066891837</v>
      </c>
    </row>
    <row r="82" spans="11:13" x14ac:dyDescent="0.4">
      <c r="K82" s="74">
        <v>80</v>
      </c>
      <c r="L82" s="119">
        <v>-86.9</v>
      </c>
      <c r="M82" s="117">
        <v>1633.0193716490487</v>
      </c>
    </row>
    <row r="83" spans="11:13" x14ac:dyDescent="0.4">
      <c r="K83" s="74">
        <v>81</v>
      </c>
      <c r="L83" s="119">
        <v>-132.9</v>
      </c>
      <c r="M83" s="117">
        <v>1624.8172554191544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189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48</v>
      </c>
      <c r="C2" s="142"/>
      <c r="E2" s="26" t="s">
        <v>72</v>
      </c>
      <c r="F2" s="23" t="s">
        <v>27</v>
      </c>
      <c r="G2" s="11">
        <v>90</v>
      </c>
      <c r="H2" s="87">
        <f>IF(B$20=0,0,G2/B$20)</f>
        <v>0.703125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-427.08333333333331</v>
      </c>
      <c r="Q2" s="76">
        <v>48</v>
      </c>
      <c r="R2" s="63">
        <v>-20500</v>
      </c>
    </row>
    <row r="3" spans="1:18" x14ac:dyDescent="0.4">
      <c r="A3" s="19" t="s">
        <v>8</v>
      </c>
      <c r="B3" s="143">
        <v>424</v>
      </c>
      <c r="C3" s="144"/>
      <c r="E3" s="27" t="s">
        <v>66</v>
      </c>
      <c r="F3" s="24" t="s">
        <v>22</v>
      </c>
      <c r="G3" s="12">
        <v>79</v>
      </c>
      <c r="H3" s="88">
        <f>IF(B$20=0,0,G3/B$20)</f>
        <v>0.6171875</v>
      </c>
      <c r="I3" s="58">
        <v>13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-533.33333333333337</v>
      </c>
      <c r="Q3" s="77">
        <v>48</v>
      </c>
      <c r="R3" s="64">
        <v>-25600</v>
      </c>
    </row>
    <row r="4" spans="1:18" x14ac:dyDescent="0.4">
      <c r="A4" s="19" t="s">
        <v>6</v>
      </c>
      <c r="B4" s="145">
        <v>-31.499999999999993</v>
      </c>
      <c r="C4" s="146"/>
      <c r="E4" s="27" t="s">
        <v>64</v>
      </c>
      <c r="F4" s="24" t="s">
        <v>20</v>
      </c>
      <c r="G4" s="12">
        <v>50</v>
      </c>
      <c r="H4" s="88">
        <f>IF(B$20=0,0,G4/B$20)</f>
        <v>0.390625</v>
      </c>
      <c r="I4" s="58">
        <v>10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1240.4255319148936</v>
      </c>
      <c r="Q4" s="77">
        <v>47</v>
      </c>
      <c r="R4" s="64">
        <v>58300</v>
      </c>
    </row>
    <row r="5" spans="1:18" x14ac:dyDescent="0.4">
      <c r="A5" s="19" t="s">
        <v>7</v>
      </c>
      <c r="B5" s="133">
        <f>IF(B$2=0,0,B$4/B$2)</f>
        <v>-0.65624999999999989</v>
      </c>
      <c r="C5" s="134"/>
      <c r="E5" s="27" t="s">
        <v>159</v>
      </c>
      <c r="F5" s="24" t="s">
        <v>160</v>
      </c>
      <c r="G5" s="12">
        <v>48</v>
      </c>
      <c r="H5" s="88">
        <f>IF(B$20=0,0,G5/B$20)</f>
        <v>0.375</v>
      </c>
      <c r="I5" s="58">
        <v>10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-1121.2765957446809</v>
      </c>
      <c r="Q5" s="77">
        <v>47</v>
      </c>
      <c r="R5" s="64">
        <v>-52700</v>
      </c>
    </row>
    <row r="6" spans="1:18" x14ac:dyDescent="0.4">
      <c r="A6" s="19" t="s">
        <v>196</v>
      </c>
      <c r="B6" s="137">
        <v>1467.5565900800862</v>
      </c>
      <c r="C6" s="138"/>
      <c r="E6" s="27" t="s">
        <v>68</v>
      </c>
      <c r="F6" s="24" t="s">
        <v>12</v>
      </c>
      <c r="G6" s="12">
        <v>35</v>
      </c>
      <c r="H6" s="88">
        <f>IF(B$20=0,0,G6/B$20)</f>
        <v>0.2734375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-1164.4444444444443</v>
      </c>
      <c r="Q6" s="77">
        <v>45</v>
      </c>
      <c r="R6" s="64">
        <v>-52400</v>
      </c>
    </row>
    <row r="7" spans="1:18" x14ac:dyDescent="0.4">
      <c r="A7" s="19" t="s">
        <v>1</v>
      </c>
      <c r="B7" s="147">
        <f>IF(B$2=0,0,(B$8*1+B$9*2+B$10*3)/B$2)</f>
        <v>2.0208333333333335</v>
      </c>
      <c r="C7" s="148"/>
      <c r="E7" s="27" t="s">
        <v>67</v>
      </c>
      <c r="F7" s="24" t="s">
        <v>23</v>
      </c>
      <c r="G7" s="12">
        <v>30</v>
      </c>
      <c r="H7" s="88">
        <f>IF(B$20=0,0,G7/B$20)</f>
        <v>0.234375</v>
      </c>
      <c r="I7" s="58">
        <v>7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-529.72972972972968</v>
      </c>
      <c r="Q7" s="78">
        <v>37</v>
      </c>
      <c r="R7" s="65">
        <v>-19600</v>
      </c>
    </row>
    <row r="8" spans="1:18" x14ac:dyDescent="0.4">
      <c r="A8" s="19" t="s">
        <v>2</v>
      </c>
      <c r="B8" s="12">
        <v>18</v>
      </c>
      <c r="C8" s="6">
        <f t="shared" ref="C8:C15" si="1">IF(B$2=0,0,B8/B$2)</f>
        <v>0.375</v>
      </c>
      <c r="E8" s="27" t="s">
        <v>89</v>
      </c>
      <c r="F8" s="24" t="s">
        <v>44</v>
      </c>
      <c r="G8" s="12">
        <v>13</v>
      </c>
      <c r="H8" s="88">
        <f>IF(B$20=0,0,G8/B$20)</f>
        <v>0.1015625</v>
      </c>
      <c r="I8" s="58">
        <v>10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0.22916666666666666</v>
      </c>
      <c r="E9" s="27" t="s">
        <v>70</v>
      </c>
      <c r="F9" s="24" t="s">
        <v>25</v>
      </c>
      <c r="G9" s="12">
        <v>12</v>
      </c>
      <c r="H9" s="88">
        <f>IF(B$20=0,0,G9/B$20)</f>
        <v>9.375E-2</v>
      </c>
      <c r="I9" s="58">
        <v>5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19</v>
      </c>
      <c r="C10" s="7">
        <f t="shared" si="1"/>
        <v>0.39583333333333331</v>
      </c>
      <c r="E10" s="27" t="s">
        <v>69</v>
      </c>
      <c r="F10" s="24" t="s">
        <v>24</v>
      </c>
      <c r="G10" s="12">
        <v>11</v>
      </c>
      <c r="H10" s="88">
        <f>IF(B$20=0,0,G10/B$20)</f>
        <v>8.59375E-2</v>
      </c>
      <c r="I10" s="58">
        <v>8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6.9000000000000012</v>
      </c>
      <c r="Q10" s="76">
        <v>12</v>
      </c>
      <c r="R10" s="67">
        <v>82.800000000000011</v>
      </c>
    </row>
    <row r="11" spans="1:18" x14ac:dyDescent="0.4">
      <c r="A11" s="20" t="s">
        <v>184</v>
      </c>
      <c r="B11" s="109">
        <f>IF(B8=0,0,C11/B8)</f>
        <v>30.577777777777783</v>
      </c>
      <c r="C11" s="110">
        <v>550.40000000000009</v>
      </c>
      <c r="E11" s="27" t="s">
        <v>65</v>
      </c>
      <c r="F11" s="24" t="s">
        <v>21</v>
      </c>
      <c r="G11" s="12">
        <v>10</v>
      </c>
      <c r="H11" s="88">
        <f>IF(B$20=0,0,G11/B$20)</f>
        <v>7.8125E-2</v>
      </c>
      <c r="I11" s="58">
        <v>10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-5.1055555555555561</v>
      </c>
      <c r="Q11" s="77">
        <v>18</v>
      </c>
      <c r="R11" s="68">
        <v>-91.9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71</v>
      </c>
      <c r="F12" s="24" t="s">
        <v>26</v>
      </c>
      <c r="G12" s="12">
        <v>8</v>
      </c>
      <c r="H12" s="88">
        <f>IF(B$20=0,0,G12/B$20)</f>
        <v>6.25E-2</v>
      </c>
      <c r="I12" s="58">
        <v>7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-1.2444444444444451</v>
      </c>
      <c r="Q12" s="78">
        <v>18</v>
      </c>
      <c r="R12" s="69">
        <v>-22.400000000000013</v>
      </c>
    </row>
    <row r="13" spans="1:18" x14ac:dyDescent="0.4">
      <c r="A13" s="20" t="s">
        <v>186</v>
      </c>
      <c r="B13" s="109">
        <f>IF(B10=0,0,C13/B10)</f>
        <v>-33.473684210526315</v>
      </c>
      <c r="C13" s="110">
        <v>-636</v>
      </c>
      <c r="E13" s="27" t="s">
        <v>83</v>
      </c>
      <c r="F13" s="24" t="s">
        <v>38</v>
      </c>
      <c r="G13" s="12">
        <v>8</v>
      </c>
      <c r="H13" s="88">
        <f>IF(B$20=0,0,G13/B$20)</f>
        <v>6.25E-2</v>
      </c>
      <c r="I13" s="58">
        <v>4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0.67409179514442974</v>
      </c>
      <c r="C14" s="134"/>
      <c r="E14" s="27" t="s">
        <v>81</v>
      </c>
      <c r="F14" s="24" t="s">
        <v>36</v>
      </c>
      <c r="G14" s="12">
        <v>5</v>
      </c>
      <c r="H14" s="88">
        <f>IF(B$20=0,0,G14/B$20)</f>
        <v>3.90625E-2</v>
      </c>
      <c r="I14" s="58">
        <v>5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8.3333333333333329E-2</v>
      </c>
      <c r="E15" s="27" t="s">
        <v>78</v>
      </c>
      <c r="F15" s="24" t="s">
        <v>33</v>
      </c>
      <c r="G15" s="12">
        <v>4</v>
      </c>
      <c r="H15" s="88">
        <f>IF(B$20=0,0,G15/B$20)</f>
        <v>3.125E-2</v>
      </c>
      <c r="I15" s="58">
        <v>5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 t="shared" ref="P15:P21" si="2"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111</v>
      </c>
      <c r="C16" s="10">
        <f>IF(B$3=0,0,B16/B$3)</f>
        <v>0.2617924528301887</v>
      </c>
      <c r="E16" s="27" t="s">
        <v>79</v>
      </c>
      <c r="F16" s="24" t="s">
        <v>34</v>
      </c>
      <c r="G16" s="12">
        <v>3</v>
      </c>
      <c r="H16" s="88">
        <f>IF(B$20=0,0,G16/B$20)</f>
        <v>2.34375E-2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190</v>
      </c>
      <c r="P16" s="83">
        <f t="shared" si="2"/>
        <v>39.524999999999999</v>
      </c>
      <c r="Q16" s="77">
        <v>4</v>
      </c>
      <c r="R16" s="68">
        <v>158.1</v>
      </c>
    </row>
    <row r="17" spans="1:18" x14ac:dyDescent="0.4">
      <c r="A17" s="19" t="s">
        <v>118</v>
      </c>
      <c r="B17" s="12">
        <v>126</v>
      </c>
      <c r="C17" s="6">
        <f>IF(B$3=0,0,B17/B$3)</f>
        <v>0.29716981132075471</v>
      </c>
      <c r="E17" s="27" t="s">
        <v>86</v>
      </c>
      <c r="F17" s="24" t="s">
        <v>41</v>
      </c>
      <c r="G17" s="12">
        <v>3</v>
      </c>
      <c r="H17" s="88">
        <f>IF(B$20=0,0,G17/B$20)</f>
        <v>2.34375E-2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216</v>
      </c>
      <c r="P17" s="83">
        <f t="shared" si="2"/>
        <v>35.5</v>
      </c>
      <c r="Q17" s="77">
        <v>1</v>
      </c>
      <c r="R17" s="68">
        <v>35.5</v>
      </c>
    </row>
    <row r="18" spans="1:18" x14ac:dyDescent="0.4">
      <c r="A18" s="18" t="s">
        <v>123</v>
      </c>
      <c r="B18" s="11">
        <f>B24</f>
        <v>50</v>
      </c>
      <c r="C18" s="5">
        <f>IF(B$16=0,0,B18/B$16)</f>
        <v>0.45045045045045046</v>
      </c>
      <c r="E18" s="27" t="s">
        <v>91</v>
      </c>
      <c r="F18" s="24" t="s">
        <v>46</v>
      </c>
      <c r="G18" s="12">
        <v>2</v>
      </c>
      <c r="H18" s="88">
        <f>IF(B$20=0,0,G18/B$20)</f>
        <v>1.5625E-2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 t="shared" si="2"/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52</v>
      </c>
      <c r="C19" s="5">
        <f>IF(B$17=0,0,B19/B$17)</f>
        <v>0.41269841269841268</v>
      </c>
      <c r="E19" s="27" t="s">
        <v>88</v>
      </c>
      <c r="F19" s="24" t="s">
        <v>43</v>
      </c>
      <c r="G19" s="12">
        <v>1</v>
      </c>
      <c r="H19" s="88">
        <f>IF(B$20=0,0,G19/B$20)</f>
        <v>7.8125E-3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 t="shared" si="2"/>
        <v>3.4119047619047622</v>
      </c>
      <c r="Q19" s="77">
        <v>42</v>
      </c>
      <c r="R19" s="68">
        <v>143.30000000000001</v>
      </c>
    </row>
    <row r="20" spans="1:18" x14ac:dyDescent="0.4">
      <c r="A20" s="18" t="s">
        <v>10</v>
      </c>
      <c r="B20" s="11">
        <f>B23+B22</f>
        <v>128</v>
      </c>
      <c r="C20" s="5">
        <f>IF(B$3=0,0,B20/B$3)</f>
        <v>0.30188679245283018</v>
      </c>
      <c r="E20" s="27" t="s">
        <v>93</v>
      </c>
      <c r="F20" s="24" t="s">
        <v>48</v>
      </c>
      <c r="G20" s="12">
        <v>1</v>
      </c>
      <c r="H20" s="88">
        <f>IF(B$20=0,0,G20/B$20)</f>
        <v>7.8125E-3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 t="shared" si="2"/>
        <v>-8.1149999999999967</v>
      </c>
      <c r="Q20" s="77">
        <v>20</v>
      </c>
      <c r="R20" s="68">
        <v>-162.29999999999993</v>
      </c>
    </row>
    <row r="21" spans="1:18" x14ac:dyDescent="0.4">
      <c r="A21" s="19" t="s">
        <v>13</v>
      </c>
      <c r="B21" s="12">
        <v>67</v>
      </c>
      <c r="C21" s="6">
        <f>IF(B$3=0,0,B21/B$3)</f>
        <v>0.15801886792452829</v>
      </c>
      <c r="E21" s="27" t="s">
        <v>106</v>
      </c>
      <c r="F21" s="24" t="s">
        <v>113</v>
      </c>
      <c r="G21" s="12">
        <v>1</v>
      </c>
      <c r="H21" s="88">
        <f>IF(B$20=0,0,G21/B$20)</f>
        <v>7.8125E-3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60</v>
      </c>
      <c r="C22" s="6">
        <f>IF(B$20=0,0,B22/B$20)</f>
        <v>0.46875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68</v>
      </c>
      <c r="C23" s="6">
        <f>IF(B$20=0,0,B23/B$20)</f>
        <v>0.53125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50</v>
      </c>
      <c r="C24" s="6">
        <f>IF(B$20=0,0,B24/B$20)</f>
        <v>0.390625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52</v>
      </c>
      <c r="C25" s="6">
        <f>IF(B$20=0,0,B25/B$20)</f>
        <v>0.40625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26</v>
      </c>
      <c r="C26" s="6">
        <f>IF(B$20=0,0,B26/B$20)</f>
        <v>0.203125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7529.6875</v>
      </c>
      <c r="C27" s="8">
        <v>963800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9067.105263157895</v>
      </c>
      <c r="C28" s="96">
        <v>689100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5282.6923076923076</v>
      </c>
      <c r="C29" s="96">
        <v>274700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-8488.059701492537</v>
      </c>
      <c r="C30" s="96">
        <v>-568700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2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12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5">
        <v>7</v>
      </c>
      <c r="C33" s="136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7">
        <v>89900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2.3584905660377358E-3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16</v>
      </c>
      <c r="C37" s="98">
        <f t="shared" ref="C37:C49" si="3">IF(B$20=0,0,B37/B$20)</f>
        <v>0.125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3"/>
        <v>0.2109375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28</v>
      </c>
      <c r="C39" s="6">
        <f t="shared" si="3"/>
        <v>0.21875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27</v>
      </c>
      <c r="C40" s="6">
        <f t="shared" si="3"/>
        <v>0.2109375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7</v>
      </c>
      <c r="C41" s="6">
        <f t="shared" si="3"/>
        <v>5.46875E-2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3"/>
        <v>3.90625E-2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6</v>
      </c>
      <c r="C43" s="6">
        <f t="shared" si="3"/>
        <v>4.6875E-2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3"/>
        <v>1.5625E-2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3"/>
        <v>3.125E-2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3"/>
        <v>3.125E-2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-134</v>
      </c>
      <c r="M46" s="117">
        <v>1445.4388452063147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-146.69999999999999</v>
      </c>
      <c r="M47" s="117">
        <v>1444.1642121350767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-94.6</v>
      </c>
      <c r="M48" s="117">
        <v>1454.3872268622663</v>
      </c>
    </row>
    <row r="49" spans="1:13" x14ac:dyDescent="0.4">
      <c r="A49" s="21" t="s">
        <v>179</v>
      </c>
      <c r="B49" s="97">
        <v>2</v>
      </c>
      <c r="C49" s="9">
        <f t="shared" si="3"/>
        <v>1.5625E-2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-70.099999999999994</v>
      </c>
      <c r="M49" s="117">
        <v>1459.7189035010927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-31.499999999999993</v>
      </c>
      <c r="M50" s="117">
        <v>1467.5565900800862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190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37</v>
      </c>
      <c r="C2" s="142"/>
      <c r="E2" s="26" t="s">
        <v>66</v>
      </c>
      <c r="F2" s="23" t="s">
        <v>22</v>
      </c>
      <c r="G2" s="11">
        <v>70</v>
      </c>
      <c r="H2" s="87">
        <f>IF(B$20=0,0,G2/B$20)</f>
        <v>0.82352941176470584</v>
      </c>
      <c r="I2" s="57">
        <v>5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816.21621621621625</v>
      </c>
      <c r="Q2" s="76">
        <v>37</v>
      </c>
      <c r="R2" s="63">
        <v>30200</v>
      </c>
    </row>
    <row r="3" spans="1:18" x14ac:dyDescent="0.4">
      <c r="A3" s="19" t="s">
        <v>8</v>
      </c>
      <c r="B3" s="143">
        <v>321</v>
      </c>
      <c r="C3" s="144"/>
      <c r="E3" s="27" t="s">
        <v>72</v>
      </c>
      <c r="F3" s="24" t="s">
        <v>27</v>
      </c>
      <c r="G3" s="12">
        <v>49</v>
      </c>
      <c r="H3" s="88">
        <f>IF(B$20=0,0,G3/B$20)</f>
        <v>0.57647058823529407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418.91891891891891</v>
      </c>
      <c r="Q3" s="77">
        <v>37</v>
      </c>
      <c r="R3" s="64">
        <v>15500</v>
      </c>
    </row>
    <row r="4" spans="1:18" x14ac:dyDescent="0.4">
      <c r="A4" s="19" t="s">
        <v>6</v>
      </c>
      <c r="B4" s="145">
        <v>58.499999999999957</v>
      </c>
      <c r="C4" s="146"/>
      <c r="E4" s="27" t="s">
        <v>64</v>
      </c>
      <c r="F4" s="24" t="s">
        <v>20</v>
      </c>
      <c r="G4" s="12">
        <v>41</v>
      </c>
      <c r="H4" s="88">
        <f>IF(B$20=0,0,G4/B$20)</f>
        <v>0.4823529411764706</v>
      </c>
      <c r="I4" s="58">
        <v>3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1277.7777777777778</v>
      </c>
      <c r="Q4" s="77">
        <v>36</v>
      </c>
      <c r="R4" s="64">
        <v>46000</v>
      </c>
    </row>
    <row r="5" spans="1:18" x14ac:dyDescent="0.4">
      <c r="A5" s="19" t="s">
        <v>7</v>
      </c>
      <c r="B5" s="133">
        <f>IF(B$2=0,0,B$4/B$2)</f>
        <v>1.58108108108108</v>
      </c>
      <c r="C5" s="134"/>
      <c r="E5" s="27" t="s">
        <v>159</v>
      </c>
      <c r="F5" s="24" t="s">
        <v>160</v>
      </c>
      <c r="G5" s="12">
        <v>37</v>
      </c>
      <c r="H5" s="88">
        <f>IF(B$20=0,0,G5/B$20)</f>
        <v>0.43529411764705883</v>
      </c>
      <c r="I5" s="58">
        <v>5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-2562.5</v>
      </c>
      <c r="Q5" s="77">
        <v>32</v>
      </c>
      <c r="R5" s="64">
        <v>-82000</v>
      </c>
    </row>
    <row r="6" spans="1:18" x14ac:dyDescent="0.4">
      <c r="A6" s="19" t="s">
        <v>196</v>
      </c>
      <c r="B6" s="137">
        <v>1552.235570864417</v>
      </c>
      <c r="C6" s="138"/>
      <c r="E6" s="27" t="s">
        <v>68</v>
      </c>
      <c r="F6" s="24" t="s">
        <v>12</v>
      </c>
      <c r="G6" s="12">
        <v>21</v>
      </c>
      <c r="H6" s="88">
        <f>IF(B$20=0,0,G6/B$20)</f>
        <v>0.24705882352941178</v>
      </c>
      <c r="I6" s="58">
        <v>11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1982.7586206896551</v>
      </c>
      <c r="Q6" s="77">
        <v>29</v>
      </c>
      <c r="R6" s="64">
        <v>57500</v>
      </c>
    </row>
    <row r="7" spans="1:18" x14ac:dyDescent="0.4">
      <c r="A7" s="19" t="s">
        <v>1</v>
      </c>
      <c r="B7" s="147">
        <f>IF(B$2=0,0,(B$8*1+B$9*2+B$10*3)/B$2)</f>
        <v>1.8918918918918919</v>
      </c>
      <c r="C7" s="148"/>
      <c r="E7" s="27" t="s">
        <v>67</v>
      </c>
      <c r="F7" s="24" t="s">
        <v>23</v>
      </c>
      <c r="G7" s="12">
        <v>18</v>
      </c>
      <c r="H7" s="88">
        <f>IF(B$20=0,0,G7/B$20)</f>
        <v>0.21176470588235294</v>
      </c>
      <c r="I7" s="58">
        <v>9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-1069.5652173913043</v>
      </c>
      <c r="Q7" s="78">
        <v>23</v>
      </c>
      <c r="R7" s="65">
        <v>-24600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0.29729729729729731</v>
      </c>
      <c r="E8" s="27" t="s">
        <v>65</v>
      </c>
      <c r="F8" s="24" t="s">
        <v>21</v>
      </c>
      <c r="G8" s="12">
        <v>15</v>
      </c>
      <c r="H8" s="88">
        <f>IF(B$20=0,0,G8/B$20)</f>
        <v>0.17647058823529413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19</v>
      </c>
      <c r="C9" s="6">
        <f t="shared" si="1"/>
        <v>0.51351351351351349</v>
      </c>
      <c r="E9" s="27" t="s">
        <v>69</v>
      </c>
      <c r="F9" s="24" t="s">
        <v>24</v>
      </c>
      <c r="G9" s="12">
        <v>14</v>
      </c>
      <c r="H9" s="88">
        <f>IF(B$20=0,0,G9/B$20)</f>
        <v>0.16470588235294117</v>
      </c>
      <c r="I9" s="58">
        <v>2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0.1891891891891892</v>
      </c>
      <c r="E10" s="27" t="s">
        <v>89</v>
      </c>
      <c r="F10" s="24" t="s">
        <v>44</v>
      </c>
      <c r="G10" s="12">
        <v>9</v>
      </c>
      <c r="H10" s="88">
        <f>IF(B$20=0,0,G10/B$20)</f>
        <v>0.10588235294117647</v>
      </c>
      <c r="I10" s="58">
        <v>9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-4.24</v>
      </c>
      <c r="Q10" s="76">
        <v>10</v>
      </c>
      <c r="R10" s="67">
        <v>-42.4</v>
      </c>
    </row>
    <row r="11" spans="1:18" x14ac:dyDescent="0.4">
      <c r="A11" s="20" t="s">
        <v>184</v>
      </c>
      <c r="B11" s="109">
        <f>IF(B8=0,0,C11/B8)</f>
        <v>33.6</v>
      </c>
      <c r="C11" s="110">
        <v>369.6</v>
      </c>
      <c r="E11" s="27" t="s">
        <v>86</v>
      </c>
      <c r="F11" s="24" t="s">
        <v>41</v>
      </c>
      <c r="G11" s="12">
        <v>8</v>
      </c>
      <c r="H11" s="88">
        <f>IF(B$20=0,0,G11/B$20)</f>
        <v>9.4117647058823528E-2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-3.7399999999999998</v>
      </c>
      <c r="Q11" s="77">
        <v>15</v>
      </c>
      <c r="R11" s="68">
        <v>-56.099999999999994</v>
      </c>
    </row>
    <row r="12" spans="1:18" x14ac:dyDescent="0.4">
      <c r="A12" s="20" t="s">
        <v>185</v>
      </c>
      <c r="B12" s="109">
        <f>IF(B9=0,0,C12/B9)</f>
        <v>-2.9947368421052634</v>
      </c>
      <c r="C12" s="110">
        <v>-56.900000000000006</v>
      </c>
      <c r="E12" s="27" t="s">
        <v>70</v>
      </c>
      <c r="F12" s="24" t="s">
        <v>25</v>
      </c>
      <c r="G12" s="12">
        <v>6</v>
      </c>
      <c r="H12" s="88">
        <f>IF(B$20=0,0,G12/B$20)</f>
        <v>7.0588235294117646E-2</v>
      </c>
      <c r="I12" s="58">
        <v>8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13.08333333333333</v>
      </c>
      <c r="Q12" s="78">
        <v>12</v>
      </c>
      <c r="R12" s="69">
        <v>156.99999999999997</v>
      </c>
    </row>
    <row r="13" spans="1:18" x14ac:dyDescent="0.4">
      <c r="A13" s="20" t="s">
        <v>186</v>
      </c>
      <c r="B13" s="109">
        <f>IF(B10=0,0,C13/B10)</f>
        <v>-36.314285714285717</v>
      </c>
      <c r="C13" s="110">
        <v>-254.20000000000002</v>
      </c>
      <c r="E13" s="27" t="s">
        <v>83</v>
      </c>
      <c r="F13" s="24" t="s">
        <v>38</v>
      </c>
      <c r="G13" s="12">
        <v>5</v>
      </c>
      <c r="H13" s="88">
        <f>IF(B$20=0,0,G13/B$20)</f>
        <v>5.8823529411764705E-2</v>
      </c>
      <c r="I13" s="58">
        <v>5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-1.9030075187969924</v>
      </c>
      <c r="C14" s="134"/>
      <c r="E14" s="27" t="s">
        <v>78</v>
      </c>
      <c r="F14" s="24" t="s">
        <v>33</v>
      </c>
      <c r="G14" s="12">
        <v>3</v>
      </c>
      <c r="H14" s="88">
        <f>IF(B$20=0,0,G14/B$20)</f>
        <v>3.5294117647058823E-2</v>
      </c>
      <c r="I14" s="58">
        <v>4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5.4054054054054057E-2</v>
      </c>
      <c r="E15" s="27" t="s">
        <v>81</v>
      </c>
      <c r="F15" s="24" t="s">
        <v>36</v>
      </c>
      <c r="G15" s="12">
        <v>3</v>
      </c>
      <c r="H15" s="88">
        <f>IF(B$20=0,0,G15/B$20)</f>
        <v>3.5294117647058823E-2</v>
      </c>
      <c r="I15" s="58">
        <v>7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84</v>
      </c>
      <c r="C16" s="10">
        <f>IF(B$3=0,0,B16/B$3)</f>
        <v>0.26168224299065418</v>
      </c>
      <c r="E16" s="27" t="s">
        <v>71</v>
      </c>
      <c r="F16" s="24" t="s">
        <v>26</v>
      </c>
      <c r="G16" s="12">
        <v>2</v>
      </c>
      <c r="H16" s="88">
        <f>IF(B$20=0,0,G16/B$20)</f>
        <v>2.3529411764705882E-2</v>
      </c>
      <c r="I16" s="58">
        <v>11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 t="shared" si="2"/>
        <v>8.7866666666666671</v>
      </c>
      <c r="Q16" s="77">
        <v>15</v>
      </c>
      <c r="R16" s="68">
        <v>131.80000000000001</v>
      </c>
    </row>
    <row r="17" spans="1:18" x14ac:dyDescent="0.4">
      <c r="A17" s="19" t="s">
        <v>118</v>
      </c>
      <c r="B17" s="12">
        <v>63</v>
      </c>
      <c r="C17" s="6">
        <f>IF(B$3=0,0,B17/B$3)</f>
        <v>0.19626168224299065</v>
      </c>
      <c r="E17" s="27" t="s">
        <v>79</v>
      </c>
      <c r="F17" s="24" t="s">
        <v>34</v>
      </c>
      <c r="G17" s="12">
        <v>2</v>
      </c>
      <c r="H17" s="88">
        <f>IF(B$20=0,0,G17/B$20)</f>
        <v>2.3529411764705882E-2</v>
      </c>
      <c r="I17" s="58">
        <v>1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 t="shared" si="2"/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0.51190476190476186</v>
      </c>
      <c r="E18" s="27" t="s">
        <v>77</v>
      </c>
      <c r="F18" s="24" t="s">
        <v>32</v>
      </c>
      <c r="G18" s="12">
        <v>1</v>
      </c>
      <c r="H18" s="88">
        <f>IF(B$20=0,0,G18/B$20)</f>
        <v>1.1764705882352941E-2</v>
      </c>
      <c r="I18" s="58">
        <v>2</v>
      </c>
      <c r="K18" s="74">
        <v>16</v>
      </c>
      <c r="L18" s="119">
        <v>-49.800000000000018</v>
      </c>
      <c r="M18" s="117">
        <v>1523.8481507442182</v>
      </c>
      <c r="O18" s="74" t="s">
        <v>195</v>
      </c>
      <c r="P18" s="83">
        <f t="shared" si="2"/>
        <v>3.9499999999999993</v>
      </c>
      <c r="Q18" s="77">
        <v>4</v>
      </c>
      <c r="R18" s="68">
        <v>15.799999999999997</v>
      </c>
    </row>
    <row r="19" spans="1:18" x14ac:dyDescent="0.4">
      <c r="A19" s="18" t="s">
        <v>124</v>
      </c>
      <c r="B19" s="11">
        <f>B25</f>
        <v>23</v>
      </c>
      <c r="C19" s="5">
        <f>IF(B$17=0,0,B19/B$17)</f>
        <v>0.36507936507936506</v>
      </c>
      <c r="E19" s="27" t="s">
        <v>90</v>
      </c>
      <c r="F19" s="24" t="s">
        <v>45</v>
      </c>
      <c r="G19" s="12">
        <v>1</v>
      </c>
      <c r="H19" s="88">
        <f>IF(B$20=0,0,G19/B$20)</f>
        <v>1.1764705882352941E-2</v>
      </c>
      <c r="I19" s="58">
        <v>1</v>
      </c>
      <c r="K19" s="74">
        <v>17</v>
      </c>
      <c r="L19" s="119">
        <v>-47.800000000000018</v>
      </c>
      <c r="M19" s="117">
        <v>1524.9050618397528</v>
      </c>
      <c r="O19" s="74" t="s">
        <v>126</v>
      </c>
      <c r="P19" s="83">
        <f t="shared" si="2"/>
        <v>0.82903225806451564</v>
      </c>
      <c r="Q19" s="77">
        <v>31</v>
      </c>
      <c r="R19" s="68">
        <v>25.699999999999985</v>
      </c>
    </row>
    <row r="20" spans="1:18" x14ac:dyDescent="0.4">
      <c r="A20" s="18" t="s">
        <v>10</v>
      </c>
      <c r="B20" s="11">
        <f>B23+B22</f>
        <v>85</v>
      </c>
      <c r="C20" s="5">
        <f>IF(B$3=0,0,B20/B$3)</f>
        <v>0.26479750778816197</v>
      </c>
      <c r="E20" s="27" t="s">
        <v>91</v>
      </c>
      <c r="F20" s="24" t="s">
        <v>46</v>
      </c>
      <c r="G20" s="12">
        <v>1</v>
      </c>
      <c r="H20" s="88">
        <f>IF(B$20=0,0,G20/B$20)</f>
        <v>1.1764705882352941E-2</v>
      </c>
      <c r="I20" s="58">
        <v>6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-39.525000000000006</v>
      </c>
      <c r="Q20" s="77">
        <v>4</v>
      </c>
      <c r="R20" s="68">
        <v>-158.10000000000002</v>
      </c>
    </row>
    <row r="21" spans="1:18" x14ac:dyDescent="0.4">
      <c r="A21" s="19" t="s">
        <v>13</v>
      </c>
      <c r="B21" s="12">
        <v>34</v>
      </c>
      <c r="C21" s="6">
        <f>IF(B$3=0,0,B21/B$3)</f>
        <v>0.1059190031152648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27</v>
      </c>
      <c r="C22" s="6">
        <f>IF(B$20=0,0,B22/B$20)</f>
        <v>0.31764705882352939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58</v>
      </c>
      <c r="C23" s="6">
        <f>IF(B$20=0,0,B23/B$20)</f>
        <v>0.68235294117647061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43</v>
      </c>
      <c r="C24" s="6">
        <f>IF(B$20=0,0,B24/B$20)</f>
        <v>0.50588235294117645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23</v>
      </c>
      <c r="C25" s="6">
        <f>IF(B$20=0,0,B25/B$20)</f>
        <v>0.27058823529411763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19</v>
      </c>
      <c r="C26" s="6">
        <f>IF(B$20=0,0,B26/B$20)</f>
        <v>0.22352941176470589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8091.7647058823532</v>
      </c>
      <c r="C27" s="8">
        <v>687800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7982.2580645161288</v>
      </c>
      <c r="C28" s="96">
        <v>494900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8386.95652173913</v>
      </c>
      <c r="C29" s="96">
        <v>192900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-6517.6470588235297</v>
      </c>
      <c r="C30" s="96">
        <v>-221600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46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5">
        <v>7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7">
        <v>85000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-0.400000000000027</v>
      </c>
      <c r="M34" s="117">
        <v>1539.9417134373232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-0.10000000000002701</v>
      </c>
      <c r="M35" s="117">
        <v>1540.6320631566994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59.89999999999997</v>
      </c>
      <c r="M36" s="117">
        <v>1552.0582707777592</v>
      </c>
    </row>
    <row r="37" spans="1:13" x14ac:dyDescent="0.4">
      <c r="A37" s="54" t="s">
        <v>171</v>
      </c>
      <c r="B37" s="123">
        <v>3</v>
      </c>
      <c r="C37" s="98">
        <f t="shared" ref="C37:C49" si="3">IF(B$20=0,0,B37/B$20)</f>
        <v>3.5294117647058823E-2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46.099999999999966</v>
      </c>
      <c r="M37" s="117">
        <v>1549.6879211530927</v>
      </c>
    </row>
    <row r="38" spans="1:13" x14ac:dyDescent="0.4">
      <c r="A38" s="19" t="s">
        <v>167</v>
      </c>
      <c r="B38" s="12">
        <v>13</v>
      </c>
      <c r="C38" s="6">
        <f t="shared" si="3"/>
        <v>0.15294117647058825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67.69999999999996</v>
      </c>
      <c r="M38" s="117">
        <v>1553.703793626174</v>
      </c>
    </row>
    <row r="39" spans="1:13" x14ac:dyDescent="0.4">
      <c r="A39" s="19" t="s">
        <v>168</v>
      </c>
      <c r="B39" s="124">
        <v>19</v>
      </c>
      <c r="C39" s="6">
        <f t="shared" si="3"/>
        <v>0.22352941176470589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58.499999999999957</v>
      </c>
      <c r="M39" s="117">
        <v>1552.235570864417</v>
      </c>
    </row>
    <row r="40" spans="1:13" x14ac:dyDescent="0.4">
      <c r="A40" s="19" t="s">
        <v>169</v>
      </c>
      <c r="B40" s="124">
        <v>22</v>
      </c>
      <c r="C40" s="6">
        <f t="shared" si="3"/>
        <v>0.25882352941176473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12</v>
      </c>
      <c r="C41" s="6">
        <f t="shared" si="3"/>
        <v>0.14117647058823529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7</v>
      </c>
      <c r="C42" s="6">
        <f t="shared" si="3"/>
        <v>8.2352941176470587E-2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3"/>
        <v>3.5294117647058823E-2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5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1.1764705882352941E-2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50</v>
      </c>
      <c r="C2" s="142"/>
      <c r="E2" s="26" t="s">
        <v>66</v>
      </c>
      <c r="F2" s="23" t="s">
        <v>22</v>
      </c>
      <c r="G2" s="11">
        <v>88</v>
      </c>
      <c r="H2" s="87">
        <f>IF(B$20=0,0,G2/B$20)</f>
        <v>0.6717557251908397</v>
      </c>
      <c r="I2" s="57">
        <v>10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-767.34693877551024</v>
      </c>
      <c r="Q2" s="76">
        <v>49</v>
      </c>
      <c r="R2" s="63">
        <v>-37600</v>
      </c>
    </row>
    <row r="3" spans="1:18" x14ac:dyDescent="0.4">
      <c r="A3" s="19" t="s">
        <v>8</v>
      </c>
      <c r="B3" s="143">
        <v>423</v>
      </c>
      <c r="C3" s="144"/>
      <c r="E3" s="27" t="s">
        <v>72</v>
      </c>
      <c r="F3" s="24" t="s">
        <v>27</v>
      </c>
      <c r="G3" s="12">
        <v>78</v>
      </c>
      <c r="H3" s="88">
        <f>IF(B$20=0,0,G3/B$20)</f>
        <v>0.59541984732824427</v>
      </c>
      <c r="I3" s="58">
        <v>7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1110.204081632653</v>
      </c>
      <c r="Q3" s="77">
        <v>49</v>
      </c>
      <c r="R3" s="64">
        <v>54400</v>
      </c>
    </row>
    <row r="4" spans="1:18" x14ac:dyDescent="0.4">
      <c r="A4" s="19" t="s">
        <v>6</v>
      </c>
      <c r="B4" s="145">
        <v>211.6</v>
      </c>
      <c r="C4" s="146"/>
      <c r="E4" s="27" t="s">
        <v>64</v>
      </c>
      <c r="F4" s="24" t="s">
        <v>20</v>
      </c>
      <c r="G4" s="12">
        <v>58</v>
      </c>
      <c r="H4" s="88">
        <f>IF(B$20=0,0,G4/B$20)</f>
        <v>0.44274809160305345</v>
      </c>
      <c r="I4" s="58">
        <v>6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2391.8367346938776</v>
      </c>
      <c r="Q4" s="77">
        <v>49</v>
      </c>
      <c r="R4" s="64">
        <v>117200</v>
      </c>
    </row>
    <row r="5" spans="1:18" x14ac:dyDescent="0.4">
      <c r="A5" s="19" t="s">
        <v>7</v>
      </c>
      <c r="B5" s="133">
        <f>IF(B$2=0,0,B$4/B$2)</f>
        <v>4.2320000000000002</v>
      </c>
      <c r="C5" s="134"/>
      <c r="E5" s="27" t="s">
        <v>159</v>
      </c>
      <c r="F5" s="24" t="s">
        <v>160</v>
      </c>
      <c r="G5" s="12">
        <v>44</v>
      </c>
      <c r="H5" s="88">
        <f>IF(B$20=0,0,G5/B$20)</f>
        <v>0.33587786259541985</v>
      </c>
      <c r="I5" s="58">
        <v>11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-97.826086956521735</v>
      </c>
      <c r="Q5" s="77">
        <v>46</v>
      </c>
      <c r="R5" s="64">
        <v>-4500</v>
      </c>
    </row>
    <row r="6" spans="1:18" x14ac:dyDescent="0.4">
      <c r="A6" s="19" t="s">
        <v>196</v>
      </c>
      <c r="B6" s="137">
        <v>1546.7179617982042</v>
      </c>
      <c r="C6" s="138"/>
      <c r="E6" s="27" t="s">
        <v>67</v>
      </c>
      <c r="F6" s="24" t="s">
        <v>23</v>
      </c>
      <c r="G6" s="12">
        <v>37</v>
      </c>
      <c r="H6" s="88">
        <f>IF(B$20=0,0,G6/B$20)</f>
        <v>0.28244274809160308</v>
      </c>
      <c r="I6" s="58">
        <v>5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263.41463414634148</v>
      </c>
      <c r="Q6" s="77">
        <v>41</v>
      </c>
      <c r="R6" s="64">
        <v>10800</v>
      </c>
    </row>
    <row r="7" spans="1:18" x14ac:dyDescent="0.4">
      <c r="A7" s="19" t="s">
        <v>1</v>
      </c>
      <c r="B7" s="147">
        <f>IF(B$2=0,0,(B$8*1+B$9*2+B$10*3)/B$2)</f>
        <v>1.9</v>
      </c>
      <c r="C7" s="148"/>
      <c r="E7" s="27" t="s">
        <v>68</v>
      </c>
      <c r="F7" s="24" t="s">
        <v>12</v>
      </c>
      <c r="G7" s="12">
        <v>32</v>
      </c>
      <c r="H7" s="88">
        <f>IF(B$20=0,0,G7/B$20)</f>
        <v>0.24427480916030533</v>
      </c>
      <c r="I7" s="58">
        <v>12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1755.2631578947369</v>
      </c>
      <c r="Q7" s="78">
        <v>38</v>
      </c>
      <c r="R7" s="65">
        <v>66700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0.38</v>
      </c>
      <c r="E8" s="27" t="s">
        <v>89</v>
      </c>
      <c r="F8" s="24" t="s">
        <v>44</v>
      </c>
      <c r="G8" s="12">
        <v>26</v>
      </c>
      <c r="H8" s="88">
        <f>IF(B$20=0,0,G8/B$20)</f>
        <v>0.19847328244274809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0.34</v>
      </c>
      <c r="E9" s="27" t="s">
        <v>69</v>
      </c>
      <c r="F9" s="24" t="s">
        <v>24</v>
      </c>
      <c r="G9" s="12">
        <v>19</v>
      </c>
      <c r="H9" s="88">
        <f>IF(B$20=0,0,G9/B$20)</f>
        <v>0.14503816793893129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0.28000000000000003</v>
      </c>
      <c r="E10" s="27" t="s">
        <v>65</v>
      </c>
      <c r="F10" s="24" t="s">
        <v>21</v>
      </c>
      <c r="G10" s="12">
        <v>11</v>
      </c>
      <c r="H10" s="88">
        <f>IF(B$20=0,0,G10/B$20)</f>
        <v>8.3969465648854963E-2</v>
      </c>
      <c r="I10" s="58">
        <v>8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3.78125</v>
      </c>
      <c r="Q10" s="76">
        <v>16</v>
      </c>
      <c r="R10" s="67">
        <v>60.5</v>
      </c>
    </row>
    <row r="11" spans="1:18" x14ac:dyDescent="0.4">
      <c r="A11" s="20" t="s">
        <v>184</v>
      </c>
      <c r="B11" s="109">
        <f>IF(B8=0,0,C11/B8)</f>
        <v>33.868421052631582</v>
      </c>
      <c r="C11" s="110">
        <v>643.5</v>
      </c>
      <c r="E11" s="27" t="s">
        <v>86</v>
      </c>
      <c r="F11" s="24" t="s">
        <v>41</v>
      </c>
      <c r="G11" s="12">
        <v>10</v>
      </c>
      <c r="H11" s="88">
        <f>IF(B$20=0,0,G11/B$20)</f>
        <v>7.6335877862595422E-2</v>
      </c>
      <c r="I11" s="58">
        <v>3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-0.7823529411764697</v>
      </c>
      <c r="Q11" s="77">
        <v>17</v>
      </c>
      <c r="R11" s="68">
        <v>-13.299999999999985</v>
      </c>
    </row>
    <row r="12" spans="1:18" x14ac:dyDescent="0.4">
      <c r="A12" s="20" t="s">
        <v>185</v>
      </c>
      <c r="B12" s="109">
        <f>IF(B9=0,0,C12/B9)</f>
        <v>-1.9823529411764711</v>
      </c>
      <c r="C12" s="110">
        <v>-33.70000000000001</v>
      </c>
      <c r="E12" s="27" t="s">
        <v>71</v>
      </c>
      <c r="F12" s="24" t="s">
        <v>26</v>
      </c>
      <c r="G12" s="12">
        <v>9</v>
      </c>
      <c r="H12" s="88">
        <f>IF(B$20=0,0,G12/B$20)</f>
        <v>6.8702290076335881E-2</v>
      </c>
      <c r="I12" s="58">
        <v>6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9.6705882352941188</v>
      </c>
      <c r="Q12" s="78">
        <v>17</v>
      </c>
      <c r="R12" s="69">
        <v>164.4</v>
      </c>
    </row>
    <row r="13" spans="1:18" x14ac:dyDescent="0.4">
      <c r="A13" s="20" t="s">
        <v>186</v>
      </c>
      <c r="B13" s="109">
        <f>IF(B10=0,0,C13/B10)</f>
        <v>-28.442857142857147</v>
      </c>
      <c r="C13" s="110">
        <v>-398.20000000000005</v>
      </c>
      <c r="E13" s="27" t="s">
        <v>83</v>
      </c>
      <c r="F13" s="24" t="s">
        <v>38</v>
      </c>
      <c r="G13" s="12">
        <v>7</v>
      </c>
      <c r="H13" s="88">
        <f>IF(B$20=0,0,G13/B$20)</f>
        <v>5.3435114503816793E-2</v>
      </c>
      <c r="I13" s="58">
        <v>6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1.1477369895326544</v>
      </c>
      <c r="C14" s="134"/>
      <c r="E14" s="27" t="s">
        <v>70</v>
      </c>
      <c r="F14" s="24" t="s">
        <v>25</v>
      </c>
      <c r="G14" s="12">
        <v>5</v>
      </c>
      <c r="H14" s="88">
        <f>IF(B$20=0,0,G14/B$20)</f>
        <v>3.8167938931297711E-2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0.04</v>
      </c>
      <c r="E15" s="27" t="s">
        <v>78</v>
      </c>
      <c r="F15" s="24" t="s">
        <v>33</v>
      </c>
      <c r="G15" s="12">
        <v>5</v>
      </c>
      <c r="H15" s="88">
        <f>IF(B$20=0,0,G15/B$20)</f>
        <v>3.8167938931297711E-2</v>
      </c>
      <c r="I15" s="58">
        <v>3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26.462500000000006</v>
      </c>
      <c r="Q15" s="76">
        <v>8</v>
      </c>
      <c r="R15" s="67">
        <v>211.70000000000005</v>
      </c>
    </row>
    <row r="16" spans="1:18" x14ac:dyDescent="0.4">
      <c r="A16" s="22" t="s">
        <v>121</v>
      </c>
      <c r="B16" s="15">
        <v>96</v>
      </c>
      <c r="C16" s="10">
        <f>IF(B$3=0,0,B16/B$3)</f>
        <v>0.22695035460992907</v>
      </c>
      <c r="E16" s="27" t="s">
        <v>81</v>
      </c>
      <c r="F16" s="24" t="s">
        <v>36</v>
      </c>
      <c r="G16" s="12">
        <v>5</v>
      </c>
      <c r="H16" s="88">
        <f>IF(B$20=0,0,G16/B$20)</f>
        <v>3.8167938931297711E-2</v>
      </c>
      <c r="I16" s="58">
        <v>6</v>
      </c>
      <c r="K16" s="74">
        <v>14</v>
      </c>
      <c r="L16" s="119">
        <v>99.300000000000011</v>
      </c>
      <c r="M16" s="117">
        <v>1512.415829547685</v>
      </c>
      <c r="O16" s="74" t="s">
        <v>221</v>
      </c>
      <c r="P16" s="83">
        <f t="shared" si="2"/>
        <v>16.2</v>
      </c>
      <c r="Q16" s="77">
        <v>1</v>
      </c>
      <c r="R16" s="68">
        <v>16.2</v>
      </c>
    </row>
    <row r="17" spans="1:18" x14ac:dyDescent="0.4">
      <c r="A17" s="19" t="s">
        <v>118</v>
      </c>
      <c r="B17" s="12">
        <v>96</v>
      </c>
      <c r="C17" s="6">
        <f>IF(B$3=0,0,B17/B$3)</f>
        <v>0.22695035460992907</v>
      </c>
      <c r="E17" s="27" t="s">
        <v>91</v>
      </c>
      <c r="F17" s="24" t="s">
        <v>46</v>
      </c>
      <c r="G17" s="12">
        <v>5</v>
      </c>
      <c r="H17" s="88">
        <f>IF(B$20=0,0,G17/B$20)</f>
        <v>3.8167938931297711E-2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163</v>
      </c>
      <c r="P17" s="83">
        <f t="shared" si="2"/>
        <v>11.209523809523812</v>
      </c>
      <c r="Q17" s="77">
        <v>21</v>
      </c>
      <c r="R17" s="68">
        <v>235.40000000000006</v>
      </c>
    </row>
    <row r="18" spans="1:18" x14ac:dyDescent="0.4">
      <c r="A18" s="18" t="s">
        <v>123</v>
      </c>
      <c r="B18" s="11">
        <f>B24</f>
        <v>57</v>
      </c>
      <c r="C18" s="5">
        <f>IF(B$16=0,0,B18/B$16)</f>
        <v>0.59375</v>
      </c>
      <c r="E18" s="27" t="s">
        <v>73</v>
      </c>
      <c r="F18" s="24" t="s">
        <v>28</v>
      </c>
      <c r="G18" s="12">
        <v>2</v>
      </c>
      <c r="H18" s="88">
        <f>IF(B$20=0,0,G18/B$20)</f>
        <v>1.5267175572519083E-2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216</v>
      </c>
      <c r="P18" s="83">
        <f t="shared" si="2"/>
        <v>8.4214285714285744</v>
      </c>
      <c r="Q18" s="77">
        <v>14</v>
      </c>
      <c r="R18" s="68">
        <v>117.90000000000003</v>
      </c>
    </row>
    <row r="19" spans="1:18" x14ac:dyDescent="0.4">
      <c r="A19" s="18" t="s">
        <v>124</v>
      </c>
      <c r="B19" s="11">
        <f>B25</f>
        <v>44</v>
      </c>
      <c r="C19" s="5">
        <f>IF(B$17=0,0,B19/B$17)</f>
        <v>0.45833333333333331</v>
      </c>
      <c r="E19" s="27" t="s">
        <v>75</v>
      </c>
      <c r="F19" s="24" t="s">
        <v>30</v>
      </c>
      <c r="G19" s="12">
        <v>1</v>
      </c>
      <c r="H19" s="88">
        <f>IF(B$20=0,0,G19/B$20)</f>
        <v>7.6335877862595417E-3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 t="shared" si="2"/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131</v>
      </c>
      <c r="C20" s="5">
        <f>IF(B$3=0,0,B20/B$3)</f>
        <v>0.30969267139479906</v>
      </c>
      <c r="E20" s="27" t="s">
        <v>79</v>
      </c>
      <c r="F20" s="24" t="s">
        <v>34</v>
      </c>
      <c r="G20" s="12">
        <v>1</v>
      </c>
      <c r="H20" s="88">
        <f>IF(B$20=0,0,G20/B$20)</f>
        <v>7.6335877862595417E-3</v>
      </c>
      <c r="I20" s="58">
        <v>6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5.2833333333333332</v>
      </c>
      <c r="Q20" s="77">
        <v>30</v>
      </c>
      <c r="R20" s="68">
        <v>158.5</v>
      </c>
    </row>
    <row r="21" spans="1:18" x14ac:dyDescent="0.4">
      <c r="A21" s="19" t="s">
        <v>13</v>
      </c>
      <c r="B21" s="12">
        <v>57</v>
      </c>
      <c r="C21" s="6">
        <f>IF(B$3=0,0,B21/B$3)</f>
        <v>0.13475177304964539</v>
      </c>
      <c r="E21" s="27" t="s">
        <v>93</v>
      </c>
      <c r="F21" s="24" t="s">
        <v>48</v>
      </c>
      <c r="G21" s="12">
        <v>1</v>
      </c>
      <c r="H21" s="88">
        <f>IF(B$20=0,0,G21/B$20)</f>
        <v>7.6335877862595417E-3</v>
      </c>
      <c r="I21" s="58">
        <v>2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 t="shared" si="2"/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53</v>
      </c>
      <c r="C22" s="6">
        <f>IF(B$20=0,0,B22/B$20)</f>
        <v>0.40458015267175573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 t="shared" si="2"/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78</v>
      </c>
      <c r="C23" s="6">
        <f>IF(B$20=0,0,B23/B$20)</f>
        <v>0.59541984732824427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 t="shared" si="2"/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57</v>
      </c>
      <c r="C24" s="6">
        <f>IF(B$20=0,0,B24/B$20)</f>
        <v>0.4351145038167939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44</v>
      </c>
      <c r="C25" s="6">
        <f>IF(B$20=0,0,B25/B$20)</f>
        <v>0.33587786259541985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30</v>
      </c>
      <c r="C26" s="6">
        <f>IF(B$20=0,0,B26/B$20)</f>
        <v>0.22900763358778625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7960.3053435114507</v>
      </c>
      <c r="C27" s="8">
        <v>1042800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8465.5172413793098</v>
      </c>
      <c r="C28" s="96">
        <v>736500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6961.363636363636</v>
      </c>
      <c r="C29" s="96">
        <v>306300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-6854.3859649122805</v>
      </c>
      <c r="C30" s="96">
        <v>-390700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5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5">
        <v>6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7">
        <v>93600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7.0921985815602835E-3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6.1068702290076333E-2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27</v>
      </c>
      <c r="C38" s="6">
        <f t="shared" si="3"/>
        <v>0.20610687022900764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27</v>
      </c>
      <c r="C39" s="6">
        <f t="shared" si="3"/>
        <v>0.20610687022900764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3"/>
        <v>0.14503816793893129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20</v>
      </c>
      <c r="C41" s="6">
        <f t="shared" si="3"/>
        <v>0.15267175572519084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15</v>
      </c>
      <c r="C42" s="6">
        <f t="shared" si="3"/>
        <v>0.11450381679389313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3"/>
        <v>3.8167938931297711E-2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3"/>
        <v>3.0534351145038167E-2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3"/>
        <v>7.6335877862595417E-3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3"/>
        <v>1.5267175572519083E-2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2</v>
      </c>
      <c r="C47" s="6">
        <f t="shared" si="3"/>
        <v>1.5267175572519083E-2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157.69999999999999</v>
      </c>
      <c r="M47" s="117">
        <v>1534.3633776946201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167.6</v>
      </c>
      <c r="M48" s="117">
        <v>1536.8091974284523</v>
      </c>
    </row>
    <row r="49" spans="1:13" x14ac:dyDescent="0.4">
      <c r="A49" s="21" t="s">
        <v>179</v>
      </c>
      <c r="B49" s="97">
        <v>1</v>
      </c>
      <c r="C49" s="9">
        <f t="shared" si="3"/>
        <v>7.6335877862595417E-3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164.7</v>
      </c>
      <c r="M49" s="117">
        <v>1536.9363422438817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140.69999999999999</v>
      </c>
      <c r="M50" s="117">
        <v>1532.9527241904184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  <c r="K51" s="74">
        <v>49</v>
      </c>
      <c r="L51" s="119">
        <v>209.29999999999998</v>
      </c>
      <c r="M51" s="117">
        <v>1545.841007845276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211.6</v>
      </c>
      <c r="M52" s="117">
        <v>1546.7179617982042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192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54</v>
      </c>
      <c r="C2" s="142"/>
      <c r="E2" s="26" t="s">
        <v>66</v>
      </c>
      <c r="F2" s="23" t="s">
        <v>22</v>
      </c>
      <c r="G2" s="11">
        <v>121</v>
      </c>
      <c r="H2" s="87">
        <f>IF(B$20=0,0,G2/B$20)</f>
        <v>0.77564102564102566</v>
      </c>
      <c r="I2" s="57">
        <v>8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-120.37037037037037</v>
      </c>
      <c r="Q2" s="76">
        <v>54</v>
      </c>
      <c r="R2" s="63">
        <v>-6500</v>
      </c>
    </row>
    <row r="3" spans="1:18" x14ac:dyDescent="0.4">
      <c r="A3" s="19" t="s">
        <v>8</v>
      </c>
      <c r="B3" s="143">
        <v>461</v>
      </c>
      <c r="C3" s="144"/>
      <c r="E3" s="27" t="s">
        <v>72</v>
      </c>
      <c r="F3" s="24" t="s">
        <v>27</v>
      </c>
      <c r="G3" s="12">
        <v>99</v>
      </c>
      <c r="H3" s="88">
        <f>IF(B$20=0,0,G3/B$20)</f>
        <v>0.63461538461538458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835.29411764705878</v>
      </c>
      <c r="Q3" s="77">
        <v>51</v>
      </c>
      <c r="R3" s="64">
        <v>42600</v>
      </c>
    </row>
    <row r="4" spans="1:18" x14ac:dyDescent="0.4">
      <c r="A4" s="19" t="s">
        <v>6</v>
      </c>
      <c r="B4" s="145">
        <v>306.09999999999991</v>
      </c>
      <c r="C4" s="146"/>
      <c r="E4" s="27" t="s">
        <v>159</v>
      </c>
      <c r="F4" s="24" t="s">
        <v>160</v>
      </c>
      <c r="G4" s="12">
        <v>73</v>
      </c>
      <c r="H4" s="88">
        <f>IF(B$20=0,0,G4/B$20)</f>
        <v>0.46794871794871795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1255.7692307692307</v>
      </c>
      <c r="Q4" s="77">
        <v>52</v>
      </c>
      <c r="R4" s="64">
        <v>65300</v>
      </c>
    </row>
    <row r="5" spans="1:18" x14ac:dyDescent="0.4">
      <c r="A5" s="19" t="s">
        <v>7</v>
      </c>
      <c r="B5" s="133">
        <f>IF(B$2=0,0,B$4/B$2)</f>
        <v>5.6685185185185167</v>
      </c>
      <c r="C5" s="134"/>
      <c r="E5" s="27" t="s">
        <v>64</v>
      </c>
      <c r="F5" s="24" t="s">
        <v>20</v>
      </c>
      <c r="G5" s="12">
        <v>50</v>
      </c>
      <c r="H5" s="88">
        <f>IF(B$20=0,0,G5/B$20)</f>
        <v>0.32051282051282054</v>
      </c>
      <c r="I5" s="58">
        <v>11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2557.1428571428573</v>
      </c>
      <c r="Q5" s="77">
        <v>49</v>
      </c>
      <c r="R5" s="64">
        <v>125300</v>
      </c>
    </row>
    <row r="6" spans="1:18" x14ac:dyDescent="0.4">
      <c r="A6" s="19" t="s">
        <v>196</v>
      </c>
      <c r="B6" s="137">
        <v>1590.1820430139337</v>
      </c>
      <c r="C6" s="138"/>
      <c r="E6" s="27" t="s">
        <v>68</v>
      </c>
      <c r="F6" s="24" t="s">
        <v>12</v>
      </c>
      <c r="G6" s="12">
        <v>38</v>
      </c>
      <c r="H6" s="88">
        <f>IF(B$20=0,0,G6/B$20)</f>
        <v>0.24358974358974358</v>
      </c>
      <c r="I6" s="58">
        <v>13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-460</v>
      </c>
      <c r="Q6" s="77">
        <v>45</v>
      </c>
      <c r="R6" s="64">
        <v>-20700</v>
      </c>
    </row>
    <row r="7" spans="1:18" x14ac:dyDescent="0.4">
      <c r="A7" s="19" t="s">
        <v>1</v>
      </c>
      <c r="B7" s="147">
        <f>IF(B$2=0,0,(B$8*1+B$9*2+B$10*3)/B$2)</f>
        <v>1.8148148148148149</v>
      </c>
      <c r="C7" s="148"/>
      <c r="E7" s="27" t="s">
        <v>67</v>
      </c>
      <c r="F7" s="24" t="s">
        <v>23</v>
      </c>
      <c r="G7" s="12">
        <v>20</v>
      </c>
      <c r="H7" s="88">
        <f>IF(B$20=0,0,G7/B$20)</f>
        <v>0.12820512820512819</v>
      </c>
      <c r="I7" s="58">
        <v>11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-152.77777777777777</v>
      </c>
      <c r="Q7" s="78">
        <v>36</v>
      </c>
      <c r="R7" s="65">
        <v>-5500</v>
      </c>
    </row>
    <row r="8" spans="1:18" x14ac:dyDescent="0.4">
      <c r="A8" s="19" t="s">
        <v>2</v>
      </c>
      <c r="B8" s="12">
        <v>22</v>
      </c>
      <c r="C8" s="6">
        <f t="shared" ref="C8:C15" si="1">IF(B$2=0,0,B8/B$2)</f>
        <v>0.40740740740740738</v>
      </c>
      <c r="E8" s="27" t="s">
        <v>89</v>
      </c>
      <c r="F8" s="24" t="s">
        <v>44</v>
      </c>
      <c r="G8" s="12">
        <v>20</v>
      </c>
      <c r="H8" s="88">
        <f>IF(B$20=0,0,G8/B$20)</f>
        <v>0.12820512820512819</v>
      </c>
      <c r="I8" s="58">
        <v>7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20</v>
      </c>
      <c r="C9" s="6">
        <f t="shared" si="1"/>
        <v>0.37037037037037035</v>
      </c>
      <c r="E9" s="27" t="s">
        <v>70</v>
      </c>
      <c r="F9" s="24" t="s">
        <v>25</v>
      </c>
      <c r="G9" s="12">
        <v>18</v>
      </c>
      <c r="H9" s="88">
        <f>IF(B$20=0,0,G9/B$20)</f>
        <v>0.11538461538461539</v>
      </c>
      <c r="I9" s="58">
        <v>3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0.22222222222222221</v>
      </c>
      <c r="E10" s="27" t="s">
        <v>71</v>
      </c>
      <c r="F10" s="24" t="s">
        <v>26</v>
      </c>
      <c r="G10" s="12">
        <v>15</v>
      </c>
      <c r="H10" s="88">
        <f>IF(B$20=0,0,G10/B$20)</f>
        <v>9.6153846153846159E-2</v>
      </c>
      <c r="I10" s="58">
        <v>3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14.775</v>
      </c>
      <c r="Q10" s="76">
        <v>20</v>
      </c>
      <c r="R10" s="67">
        <v>295.5</v>
      </c>
    </row>
    <row r="11" spans="1:18" x14ac:dyDescent="0.4">
      <c r="A11" s="20" t="s">
        <v>184</v>
      </c>
      <c r="B11" s="109">
        <f>IF(B8=0,0,C11/B8)</f>
        <v>35.940909090909095</v>
      </c>
      <c r="C11" s="110">
        <v>790.7</v>
      </c>
      <c r="E11" s="27" t="s">
        <v>69</v>
      </c>
      <c r="F11" s="24" t="s">
        <v>24</v>
      </c>
      <c r="G11" s="12">
        <v>13</v>
      </c>
      <c r="H11" s="88">
        <f>IF(B$20=0,0,G11/B$20)</f>
        <v>8.3333333333333329E-2</v>
      </c>
      <c r="I11" s="58">
        <v>9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-0.27777777777777751</v>
      </c>
      <c r="Q11" s="77">
        <v>18</v>
      </c>
      <c r="R11" s="68">
        <v>-4.9999999999999956</v>
      </c>
    </row>
    <row r="12" spans="1:18" x14ac:dyDescent="0.4">
      <c r="A12" s="20" t="s">
        <v>185</v>
      </c>
      <c r="B12" s="109">
        <f>IF(B9=0,0,C12/B9)</f>
        <v>-3.6799999999999988</v>
      </c>
      <c r="C12" s="110">
        <v>-73.59999999999998</v>
      </c>
      <c r="E12" s="27" t="s">
        <v>65</v>
      </c>
      <c r="F12" s="24" t="s">
        <v>21</v>
      </c>
      <c r="G12" s="12">
        <v>6</v>
      </c>
      <c r="H12" s="88">
        <f>IF(B$20=0,0,G12/B$20)</f>
        <v>3.8461538461538464E-2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0.97499999999999964</v>
      </c>
      <c r="Q12" s="78">
        <v>16</v>
      </c>
      <c r="R12" s="69">
        <v>15.599999999999994</v>
      </c>
    </row>
    <row r="13" spans="1:18" x14ac:dyDescent="0.4">
      <c r="A13" s="20" t="s">
        <v>186</v>
      </c>
      <c r="B13" s="109">
        <f>IF(B10=0,0,C13/B10)</f>
        <v>-34.25</v>
      </c>
      <c r="C13" s="110">
        <v>-411</v>
      </c>
      <c r="E13" s="27" t="s">
        <v>86</v>
      </c>
      <c r="F13" s="24" t="s">
        <v>41</v>
      </c>
      <c r="G13" s="12">
        <v>6</v>
      </c>
      <c r="H13" s="88">
        <f>IF(B$20=0,0,G13/B$20)</f>
        <v>3.8461538461538464E-2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-0.66303030303030164</v>
      </c>
      <c r="C14" s="134"/>
      <c r="E14" s="27" t="s">
        <v>78</v>
      </c>
      <c r="F14" s="24" t="s">
        <v>33</v>
      </c>
      <c r="G14" s="12">
        <v>4</v>
      </c>
      <c r="H14" s="88">
        <f>IF(B$20=0,0,G14/B$20)</f>
        <v>2.564102564102564E-2</v>
      </c>
      <c r="I14" s="58">
        <v>8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7.407407407407407E-2</v>
      </c>
      <c r="E15" s="27" t="s">
        <v>83</v>
      </c>
      <c r="F15" s="24" t="s">
        <v>38</v>
      </c>
      <c r="G15" s="12">
        <v>4</v>
      </c>
      <c r="H15" s="88">
        <f>IF(B$20=0,0,G15/B$20)</f>
        <v>2.564102564102564E-2</v>
      </c>
      <c r="I15" s="58">
        <v>10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92</v>
      </c>
      <c r="C16" s="10">
        <f>IF(B$3=0,0,B16/B$3)</f>
        <v>0.19956616052060738</v>
      </c>
      <c r="E16" s="27" t="s">
        <v>79</v>
      </c>
      <c r="F16" s="24" t="s">
        <v>34</v>
      </c>
      <c r="G16" s="12">
        <v>3</v>
      </c>
      <c r="H16" s="88">
        <f>IF(B$20=0,0,G16/B$20)</f>
        <v>1.9230769230769232E-2</v>
      </c>
      <c r="I16" s="58">
        <v>3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128</v>
      </c>
      <c r="C17" s="6">
        <f>IF(B$3=0,0,B17/B$3)</f>
        <v>0.27765726681127983</v>
      </c>
      <c r="E17" s="27" t="s">
        <v>81</v>
      </c>
      <c r="F17" s="24" t="s">
        <v>36</v>
      </c>
      <c r="G17" s="12">
        <v>3</v>
      </c>
      <c r="H17" s="88">
        <f>IF(B$20=0,0,G17/B$20)</f>
        <v>1.9230769230769232E-2</v>
      </c>
      <c r="I17" s="58">
        <v>11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>IF(Q17=0,0,R17/Q17)</f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50</v>
      </c>
      <c r="C18" s="5">
        <f>IF(B$16=0,0,B18/B$16)</f>
        <v>0.54347826086956519</v>
      </c>
      <c r="E18" s="27" t="s">
        <v>155</v>
      </c>
      <c r="F18" s="24" t="s">
        <v>156</v>
      </c>
      <c r="G18" s="12">
        <v>2</v>
      </c>
      <c r="H18" s="88">
        <f>IF(B$20=0,0,G18/B$20)</f>
        <v>1.282051282051282E-2</v>
      </c>
      <c r="I18" s="58">
        <v>4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>IF(Q18=0,0,R18/Q18)</f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54</v>
      </c>
      <c r="C19" s="5">
        <f>IF(B$17=0,0,B19/B$17)</f>
        <v>0.421875</v>
      </c>
      <c r="E19" s="27" t="s">
        <v>73</v>
      </c>
      <c r="F19" s="24" t="s">
        <v>28</v>
      </c>
      <c r="G19" s="12">
        <v>1</v>
      </c>
      <c r="H19" s="88">
        <f>IF(B$20=0,0,G19/B$20)</f>
        <v>6.41025641025641E-3</v>
      </c>
      <c r="I19" s="58">
        <v>5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>IF(Q19=0,0,R19/Q19)</f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156</v>
      </c>
      <c r="C20" s="5">
        <f>IF(B$3=0,0,B20/B$3)</f>
        <v>0.33839479392624727</v>
      </c>
      <c r="E20" s="27" t="s">
        <v>88</v>
      </c>
      <c r="F20" s="24" t="s">
        <v>43</v>
      </c>
      <c r="G20" s="12">
        <v>1</v>
      </c>
      <c r="H20" s="88">
        <f>IF(B$20=0,0,G20/B$20)</f>
        <v>6.41025641025641E-3</v>
      </c>
      <c r="I20" s="58">
        <v>2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>IF(Q20=0,0,R20/Q20)</f>
        <v>13.405882352941177</v>
      </c>
      <c r="Q20" s="77">
        <v>17</v>
      </c>
      <c r="R20" s="68">
        <v>227.9</v>
      </c>
    </row>
    <row r="21" spans="1:18" x14ac:dyDescent="0.4">
      <c r="A21" s="19" t="s">
        <v>13</v>
      </c>
      <c r="B21" s="12">
        <v>54</v>
      </c>
      <c r="C21" s="6">
        <f>IF(B$3=0,0,B21/B$3)</f>
        <v>0.11713665943600868</v>
      </c>
      <c r="E21" s="27" t="s">
        <v>90</v>
      </c>
      <c r="F21" s="24" t="s">
        <v>45</v>
      </c>
      <c r="G21" s="12">
        <v>1</v>
      </c>
      <c r="H21" s="88">
        <f>IF(B$20=0,0,G21/B$20)</f>
        <v>6.41025641025641E-3</v>
      </c>
      <c r="I21" s="58">
        <v>2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>IF(Q21=0,0,R21/Q21)</f>
        <v>6.7565217391304326</v>
      </c>
      <c r="Q21" s="77">
        <v>46</v>
      </c>
      <c r="R21" s="68">
        <v>310.7999999999999</v>
      </c>
    </row>
    <row r="22" spans="1:18" x14ac:dyDescent="0.4">
      <c r="A22" s="19" t="s">
        <v>12</v>
      </c>
      <c r="B22" s="12">
        <v>63</v>
      </c>
      <c r="C22" s="6">
        <f>IF(B$20=0,0,B22/B$20)</f>
        <v>0.40384615384615385</v>
      </c>
      <c r="E22" s="27" t="s">
        <v>92</v>
      </c>
      <c r="F22" s="24" t="s">
        <v>47</v>
      </c>
      <c r="G22" s="12">
        <v>1</v>
      </c>
      <c r="H22" s="88">
        <f>IF(B$20=0,0,G22/B$20)</f>
        <v>6.41025641025641E-3</v>
      </c>
      <c r="I22" s="58">
        <v>1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>IF(Q22=0,0,R22/Q22)</f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93</v>
      </c>
      <c r="C23" s="6">
        <f>IF(B$20=0,0,B23/B$20)</f>
        <v>0.59615384615384615</v>
      </c>
      <c r="E23" s="27" t="s">
        <v>102</v>
      </c>
      <c r="F23" s="24" t="s">
        <v>57</v>
      </c>
      <c r="G23" s="12">
        <v>1</v>
      </c>
      <c r="H23" s="88">
        <f>IF(B$20=0,0,G23/B$20)</f>
        <v>6.41025641025641E-3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>IF(Q23=0,0,R23/Q23)</f>
        <v>-26.462500000000002</v>
      </c>
      <c r="Q23" s="77">
        <v>8</v>
      </c>
      <c r="R23" s="68">
        <v>-211.70000000000002</v>
      </c>
    </row>
    <row r="24" spans="1:18" x14ac:dyDescent="0.4">
      <c r="A24" s="19" t="s">
        <v>183</v>
      </c>
      <c r="B24" s="12">
        <v>50</v>
      </c>
      <c r="C24" s="6">
        <f>IF(B$20=0,0,B24/B$20)</f>
        <v>0.32051282051282054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54</v>
      </c>
      <c r="C25" s="6">
        <f>IF(B$20=0,0,B25/B$20)</f>
        <v>0.34615384615384615</v>
      </c>
      <c r="E25" s="27" t="s">
        <v>75</v>
      </c>
      <c r="F25" s="24" t="s">
        <v>30</v>
      </c>
      <c r="G25" s="12">
        <v>0</v>
      </c>
      <c r="H25" s="88">
        <f>IF(B$20=0,0,G25/B$20)</f>
        <v>0</v>
      </c>
      <c r="I25" s="58">
        <v>5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52</v>
      </c>
      <c r="C26" s="6">
        <f>IF(B$20=0,0,B26/B$20)</f>
        <v>0.33333333333333331</v>
      </c>
      <c r="E26" s="27" t="s">
        <v>76</v>
      </c>
      <c r="F26" s="24" t="s">
        <v>31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7321.7948717948721</v>
      </c>
      <c r="C27" s="8">
        <v>1142200</v>
      </c>
      <c r="E27" s="27" t="s">
        <v>77</v>
      </c>
      <c r="F27" s="24" t="s">
        <v>32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8186.2745098039213</v>
      </c>
      <c r="C28" s="96">
        <v>835000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5688.8888888888887</v>
      </c>
      <c r="C29" s="96">
        <v>307200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-7731.4814814814818</v>
      </c>
      <c r="C30" s="96">
        <v>-417500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11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5">
        <v>7</v>
      </c>
      <c r="C33" s="136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7">
        <v>98800</v>
      </c>
      <c r="C34" s="138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14</v>
      </c>
      <c r="C37" s="98">
        <f t="shared" ref="C37:C49" si="2">IF(B$20=0,0,B37/B$20)</f>
        <v>8.9743589743589744E-2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41</v>
      </c>
      <c r="C38" s="6">
        <f t="shared" si="2"/>
        <v>0.26282051282051283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32</v>
      </c>
      <c r="C39" s="6">
        <f t="shared" si="2"/>
        <v>0.20512820512820512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23</v>
      </c>
      <c r="C40" s="6">
        <f t="shared" si="2"/>
        <v>0.14743589743589744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25</v>
      </c>
      <c r="C41" s="6">
        <f t="shared" si="2"/>
        <v>0.16025641025641027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2"/>
        <v>2.564102564102564E-2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9</v>
      </c>
      <c r="C43" s="6">
        <f t="shared" si="2"/>
        <v>5.7692307692307696E-2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2"/>
        <v>1.282051282051282E-2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2</v>
      </c>
      <c r="C45" s="6">
        <f t="shared" si="2"/>
        <v>1.282051282051282E-2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2</v>
      </c>
      <c r="C46" s="6">
        <f t="shared" si="2"/>
        <v>1.282051282051282E-2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2"/>
        <v>1.282051282051282E-2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248.19999999999993</v>
      </c>
      <c r="M51" s="117">
        <v>1578.1244171430706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231.29999999999993</v>
      </c>
      <c r="M52" s="117">
        <v>1575.3516706402122</v>
      </c>
    </row>
    <row r="53" spans="1:13" x14ac:dyDescent="0.4">
      <c r="K53" s="74">
        <v>51</v>
      </c>
      <c r="L53" s="119">
        <v>261.49999999999994</v>
      </c>
      <c r="M53" s="117">
        <v>1581.073560616371</v>
      </c>
    </row>
    <row r="54" spans="1:13" x14ac:dyDescent="0.4">
      <c r="K54" s="74">
        <v>52</v>
      </c>
      <c r="L54" s="119">
        <v>297.99999999999994</v>
      </c>
      <c r="M54" s="117">
        <v>1588.0331192526728</v>
      </c>
    </row>
    <row r="55" spans="1:13" x14ac:dyDescent="0.4">
      <c r="K55" s="74">
        <v>53</v>
      </c>
      <c r="L55" s="119">
        <v>300.39999999999992</v>
      </c>
      <c r="M55" s="117">
        <v>1588.8129205371567</v>
      </c>
    </row>
    <row r="56" spans="1:13" x14ac:dyDescent="0.4">
      <c r="K56" s="74">
        <v>54</v>
      </c>
      <c r="L56" s="119">
        <v>306.09999999999991</v>
      </c>
      <c r="M56" s="117">
        <v>1590.1820430139337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19</v>
      </c>
      <c r="C2" s="142"/>
      <c r="E2" s="26" t="s">
        <v>66</v>
      </c>
      <c r="F2" s="23" t="s">
        <v>22</v>
      </c>
      <c r="G2" s="11">
        <v>21</v>
      </c>
      <c r="H2" s="87">
        <f>IF(B$20=0,0,G2/B$20)</f>
        <v>0.61764705882352944</v>
      </c>
      <c r="I2" s="57">
        <v>12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43">
        <v>144</v>
      </c>
      <c r="C3" s="144"/>
      <c r="E3" s="27" t="s">
        <v>72</v>
      </c>
      <c r="F3" s="24" t="s">
        <v>27</v>
      </c>
      <c r="G3" s="12">
        <v>17</v>
      </c>
      <c r="H3" s="88">
        <f>IF(B$20=0,0,G3/B$20)</f>
        <v>0.5</v>
      </c>
      <c r="I3" s="58">
        <v>11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5">
        <v>-108.30000000000001</v>
      </c>
      <c r="C4" s="146"/>
      <c r="E4" s="27" t="s">
        <v>64</v>
      </c>
      <c r="F4" s="24" t="s">
        <v>20</v>
      </c>
      <c r="G4" s="12">
        <v>15</v>
      </c>
      <c r="H4" s="88">
        <f>IF(B$20=0,0,G4/B$20)</f>
        <v>0.44117647058823528</v>
      </c>
      <c r="I4" s="58">
        <v>7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33">
        <f>IF(B$2=0,0,B$4/B$2)</f>
        <v>-5.7</v>
      </c>
      <c r="C5" s="134"/>
      <c r="E5" s="27" t="s">
        <v>159</v>
      </c>
      <c r="F5" s="24" t="s">
        <v>160</v>
      </c>
      <c r="G5" s="12">
        <v>14</v>
      </c>
      <c r="H5" s="88">
        <f>IF(B$20=0,0,G5/B$20)</f>
        <v>0.41176470588235292</v>
      </c>
      <c r="I5" s="58">
        <v>6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7">
        <v>1488.9447185272431</v>
      </c>
      <c r="C6" s="138"/>
      <c r="E6" s="27" t="s">
        <v>68</v>
      </c>
      <c r="F6" s="24" t="s">
        <v>12</v>
      </c>
      <c r="G6" s="12">
        <v>11</v>
      </c>
      <c r="H6" s="88">
        <f>IF(B$20=0,0,G6/B$20)</f>
        <v>0.3235294117647059</v>
      </c>
      <c r="I6" s="58">
        <v>6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7">
        <f>IF(B$2=0,0,(B$8*1+B$9*2+B$10*3)/B$2)</f>
        <v>2.1578947368421053</v>
      </c>
      <c r="C7" s="148"/>
      <c r="E7" s="27" t="s">
        <v>89</v>
      </c>
      <c r="F7" s="24" t="s">
        <v>44</v>
      </c>
      <c r="G7" s="12">
        <v>7</v>
      </c>
      <c r="H7" s="88">
        <f>IF(B$20=0,0,G7/B$20)</f>
        <v>0.20588235294117646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5</v>
      </c>
      <c r="C8" s="6">
        <f t="shared" ref="C8:C15" si="1">IF(B$2=0,0,B8/B$2)</f>
        <v>0.26315789473684209</v>
      </c>
      <c r="E8" s="27" t="s">
        <v>65</v>
      </c>
      <c r="F8" s="24" t="s">
        <v>21</v>
      </c>
      <c r="G8" s="12">
        <v>6</v>
      </c>
      <c r="H8" s="88">
        <f>IF(B$20=0,0,G8/B$20)</f>
        <v>0.17647058823529413</v>
      </c>
      <c r="I8" s="58">
        <v>1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0.31578947368421051</v>
      </c>
      <c r="E9" s="27" t="s">
        <v>67</v>
      </c>
      <c r="F9" s="24" t="s">
        <v>23</v>
      </c>
      <c r="G9" s="12">
        <v>4</v>
      </c>
      <c r="H9" s="88">
        <f>IF(B$20=0,0,G9/B$20)</f>
        <v>0.11764705882352941</v>
      </c>
      <c r="I9" s="58">
        <v>12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0.42105263157894735</v>
      </c>
      <c r="E10" s="27" t="s">
        <v>70</v>
      </c>
      <c r="F10" s="24" t="s">
        <v>25</v>
      </c>
      <c r="G10" s="12">
        <v>4</v>
      </c>
      <c r="H10" s="88">
        <f>IF(B$20=0,0,G10/B$20)</f>
        <v>0.11764705882352941</v>
      </c>
      <c r="I10" s="58">
        <v>2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-1.414285714285713</v>
      </c>
      <c r="Q10" s="76">
        <v>7</v>
      </c>
      <c r="R10" s="67">
        <v>-9.8999999999999915</v>
      </c>
    </row>
    <row r="11" spans="1:18" x14ac:dyDescent="0.4">
      <c r="A11" s="20" t="s">
        <v>184</v>
      </c>
      <c r="B11" s="109">
        <f>IF(B8=0,0,C11/B8)</f>
        <v>45.5</v>
      </c>
      <c r="C11" s="110">
        <v>227.5</v>
      </c>
      <c r="E11" s="27" t="s">
        <v>71</v>
      </c>
      <c r="F11" s="24" t="s">
        <v>26</v>
      </c>
      <c r="G11" s="12">
        <v>3</v>
      </c>
      <c r="H11" s="88">
        <f>IF(B$20=0,0,G11/B$20)</f>
        <v>8.8235294117647065E-2</v>
      </c>
      <c r="I11" s="58">
        <v>4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86</v>
      </c>
      <c r="F12" s="24" t="s">
        <v>41</v>
      </c>
      <c r="G12" s="12">
        <v>3</v>
      </c>
      <c r="H12" s="88">
        <f>IF(B$20=0,0,G12/B$20)</f>
        <v>8.8235294117647065E-2</v>
      </c>
      <c r="I12" s="58">
        <v>2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69</v>
      </c>
      <c r="F13" s="24" t="s">
        <v>24</v>
      </c>
      <c r="G13" s="12">
        <v>2</v>
      </c>
      <c r="H13" s="88">
        <f>IF(B$20=0,0,G13/B$20)</f>
        <v>5.8823529411764705E-2</v>
      </c>
      <c r="I13" s="58">
        <v>10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0.89583333333333337</v>
      </c>
      <c r="C14" s="134"/>
      <c r="E14" s="27" t="s">
        <v>77</v>
      </c>
      <c r="F14" s="24" t="s">
        <v>32</v>
      </c>
      <c r="G14" s="12">
        <v>2</v>
      </c>
      <c r="H14" s="88">
        <f>IF(B$20=0,0,G14/B$20)</f>
        <v>5.8823529411764705E-2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0.10526315789473684</v>
      </c>
      <c r="E15" s="27" t="s">
        <v>81</v>
      </c>
      <c r="F15" s="24" t="s">
        <v>36</v>
      </c>
      <c r="G15" s="12">
        <v>2</v>
      </c>
      <c r="H15" s="88">
        <f>IF(B$20=0,0,G15/B$20)</f>
        <v>5.8823529411764705E-2</v>
      </c>
      <c r="I15" s="58">
        <v>4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34</v>
      </c>
      <c r="C16" s="10">
        <f>IF(B$3=0,0,B16/B$3)</f>
        <v>0.2361111111111111</v>
      </c>
      <c r="E16" s="27" t="s">
        <v>85</v>
      </c>
      <c r="F16" s="24" t="s">
        <v>40</v>
      </c>
      <c r="G16" s="12">
        <v>1</v>
      </c>
      <c r="H16" s="88">
        <f>IF(B$20=0,0,G16/B$20)</f>
        <v>2.9411764705882353E-2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0.10909090909090935</v>
      </c>
      <c r="Q16" s="77">
        <v>11</v>
      </c>
      <c r="R16" s="68">
        <v>1.2000000000000028</v>
      </c>
    </row>
    <row r="17" spans="1:18" x14ac:dyDescent="0.4">
      <c r="A17" s="19" t="s">
        <v>118</v>
      </c>
      <c r="B17" s="12">
        <v>25</v>
      </c>
      <c r="C17" s="6">
        <f>IF(B$3=0,0,B17/B$3)</f>
        <v>0.1736111111111111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-8.4214285714285744</v>
      </c>
      <c r="Q17" s="77">
        <v>14</v>
      </c>
      <c r="R17" s="68">
        <v>-117.90000000000003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0.47058823529411764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8</v>
      </c>
      <c r="C19" s="5">
        <f>IF(B$17=0,0,B19/B$17)</f>
        <v>0.32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34</v>
      </c>
      <c r="C20" s="5">
        <f>IF(B$3=0,0,B20/B$3)</f>
        <v>0.2361111111111111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0.2013888888888889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  <c r="K21" s="74">
        <v>19</v>
      </c>
      <c r="L21" s="119">
        <v>-108.30000000000001</v>
      </c>
      <c r="M21" s="117">
        <v>1488.9447185272431</v>
      </c>
    </row>
    <row r="22" spans="1:18" x14ac:dyDescent="0.4">
      <c r="A22" s="19" t="s">
        <v>12</v>
      </c>
      <c r="B22" s="12">
        <v>16</v>
      </c>
      <c r="C22" s="6">
        <f>IF(B$20=0,0,B22/B$20)</f>
        <v>0.47058823529411764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8</v>
      </c>
    </row>
    <row r="23" spans="1:18" x14ac:dyDescent="0.4">
      <c r="A23" s="19" t="s">
        <v>11</v>
      </c>
      <c r="B23" s="12">
        <v>18</v>
      </c>
      <c r="C23" s="6">
        <f>IF(B$20=0,0,B23/B$20)</f>
        <v>0.52941176470588236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16</v>
      </c>
      <c r="C24" s="6">
        <f>IF(B$20=0,0,B24/B$20)</f>
        <v>0.47058823529411764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8</v>
      </c>
      <c r="C25" s="6">
        <f>IF(B$20=0,0,B25/B$20)</f>
        <v>0.23529411764705882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10</v>
      </c>
      <c r="C26" s="6">
        <f>IF(B$20=0,0,B26/B$20)</f>
        <v>0.29411764705882354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7926.4705882352937</v>
      </c>
      <c r="C27" s="8">
        <v>269500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8815.3846153846152</v>
      </c>
      <c r="C28" s="96">
        <v>229200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5037.5</v>
      </c>
      <c r="C29" s="96">
        <v>40300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4</v>
      </c>
      <c r="C31" s="90">
        <v>4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8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97000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0.17647058823529413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0.17647058823529413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2</v>
      </c>
      <c r="C39" s="6">
        <f t="shared" si="3"/>
        <v>5.8823529411764705E-2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7</v>
      </c>
      <c r="C40" s="6">
        <f t="shared" si="3"/>
        <v>0.20588235294117646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3"/>
        <v>0.17647058823529413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8.8235294117647065E-2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5.8823529411764705E-2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43">
        <v>54</v>
      </c>
      <c r="C3" s="144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11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5">
        <v>-78.199999999999989</v>
      </c>
      <c r="C4" s="146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33">
        <f>IF(B$2=0,0,B$4/B$2)</f>
        <v>-13.033333333333331</v>
      </c>
      <c r="C5" s="134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7">
        <v>1340.228259602879</v>
      </c>
      <c r="C6" s="138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12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10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3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13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-4.0388888888888888</v>
      </c>
      <c r="C14" s="134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195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16</v>
      </c>
      <c r="C2" s="142"/>
      <c r="E2" s="26" t="s">
        <v>66</v>
      </c>
      <c r="F2" s="23" t="s">
        <v>22</v>
      </c>
      <c r="G2" s="11">
        <v>33</v>
      </c>
      <c r="H2" s="87">
        <f>IF(B$20=0,0,G2/B$20)</f>
        <v>0.94285714285714284</v>
      </c>
      <c r="I2" s="57">
        <v>3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-1737.5</v>
      </c>
      <c r="Q2" s="76">
        <v>16</v>
      </c>
      <c r="R2" s="63">
        <v>-27800</v>
      </c>
    </row>
    <row r="3" spans="1:18" x14ac:dyDescent="0.4">
      <c r="A3" s="19" t="s">
        <v>8</v>
      </c>
      <c r="B3" s="143">
        <v>145</v>
      </c>
      <c r="C3" s="144"/>
      <c r="E3" s="27" t="s">
        <v>159</v>
      </c>
      <c r="F3" s="24" t="s">
        <v>160</v>
      </c>
      <c r="G3" s="12">
        <v>24</v>
      </c>
      <c r="H3" s="88">
        <f>IF(B$20=0,0,G3/B$20)</f>
        <v>0.68571428571428572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3526.6666666666665</v>
      </c>
      <c r="Q3" s="77">
        <v>15</v>
      </c>
      <c r="R3" s="64">
        <v>52900</v>
      </c>
    </row>
    <row r="4" spans="1:18" x14ac:dyDescent="0.4">
      <c r="A4" s="19" t="s">
        <v>6</v>
      </c>
      <c r="B4" s="145">
        <v>-121.1</v>
      </c>
      <c r="C4" s="146"/>
      <c r="E4" s="27" t="s">
        <v>64</v>
      </c>
      <c r="F4" s="24" t="s">
        <v>20</v>
      </c>
      <c r="G4" s="12">
        <v>21</v>
      </c>
      <c r="H4" s="88">
        <f>IF(B$20=0,0,G4/B$20)</f>
        <v>0.6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-1137.5</v>
      </c>
      <c r="Q4" s="77">
        <v>16</v>
      </c>
      <c r="R4" s="64">
        <v>-18200</v>
      </c>
    </row>
    <row r="5" spans="1:18" x14ac:dyDescent="0.4">
      <c r="A5" s="19" t="s">
        <v>7</v>
      </c>
      <c r="B5" s="133">
        <f>IF(B$2=0,0,B$4/B$2)</f>
        <v>-7.5687499999999996</v>
      </c>
      <c r="C5" s="134"/>
      <c r="E5" s="27" t="s">
        <v>68</v>
      </c>
      <c r="F5" s="24" t="s">
        <v>12</v>
      </c>
      <c r="G5" s="12">
        <v>18</v>
      </c>
      <c r="H5" s="88">
        <f>IF(B$20=0,0,G5/B$20)</f>
        <v>0.51428571428571423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-3218.75</v>
      </c>
      <c r="Q5" s="77">
        <v>16</v>
      </c>
      <c r="R5" s="64">
        <v>-51500</v>
      </c>
    </row>
    <row r="6" spans="1:18" x14ac:dyDescent="0.4">
      <c r="A6" s="19" t="s">
        <v>196</v>
      </c>
      <c r="B6" s="137">
        <v>1386.1875835590063</v>
      </c>
      <c r="C6" s="138"/>
      <c r="E6" s="27" t="s">
        <v>72</v>
      </c>
      <c r="F6" s="24" t="s">
        <v>27</v>
      </c>
      <c r="G6" s="12">
        <v>15</v>
      </c>
      <c r="H6" s="88">
        <f>IF(B$20=0,0,G6/B$20)</f>
        <v>0.42857142857142855</v>
      </c>
      <c r="I6" s="58">
        <v>12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-1806.6666666666667</v>
      </c>
      <c r="Q6" s="77">
        <v>15</v>
      </c>
      <c r="R6" s="64">
        <v>-27100</v>
      </c>
    </row>
    <row r="7" spans="1:18" x14ac:dyDescent="0.4">
      <c r="A7" s="19" t="s">
        <v>1</v>
      </c>
      <c r="B7" s="147">
        <f>IF(B$2=0,0,(B$8*1+B$9*2+B$10*3)/B$2)</f>
        <v>2.0625</v>
      </c>
      <c r="C7" s="148"/>
      <c r="E7" s="27" t="s">
        <v>67</v>
      </c>
      <c r="F7" s="24" t="s">
        <v>23</v>
      </c>
      <c r="G7" s="12">
        <v>13</v>
      </c>
      <c r="H7" s="88">
        <f>IF(B$20=0,0,G7/B$20)</f>
        <v>0.37142857142857144</v>
      </c>
      <c r="I7" s="58">
        <v>2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-1957.1428571428571</v>
      </c>
      <c r="Q7" s="78">
        <v>14</v>
      </c>
      <c r="R7" s="65">
        <v>-27400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0.375</v>
      </c>
      <c r="E8" s="27" t="s">
        <v>69</v>
      </c>
      <c r="F8" s="24" t="s">
        <v>24</v>
      </c>
      <c r="G8" s="12">
        <v>10</v>
      </c>
      <c r="H8" s="88">
        <f>IF(B$20=0,0,G8/B$20)</f>
        <v>0.2857142857142857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0.1875</v>
      </c>
      <c r="E9" s="27" t="s">
        <v>65</v>
      </c>
      <c r="F9" s="24" t="s">
        <v>21</v>
      </c>
      <c r="G9" s="12">
        <v>4</v>
      </c>
      <c r="H9" s="88">
        <f>IF(B$20=0,0,G9/B$20)</f>
        <v>0.11428571428571428</v>
      </c>
      <c r="I9" s="58">
        <v>5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0.4375</v>
      </c>
      <c r="E10" s="27" t="s">
        <v>70</v>
      </c>
      <c r="F10" s="24" t="s">
        <v>25</v>
      </c>
      <c r="G10" s="12">
        <v>3</v>
      </c>
      <c r="H10" s="88">
        <f>IF(B$20=0,0,G10/B$20)</f>
        <v>8.5714285714285715E-2</v>
      </c>
      <c r="I10" s="58">
        <v>7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-14.45</v>
      </c>
      <c r="Q10" s="76">
        <v>4</v>
      </c>
      <c r="R10" s="67">
        <v>-57.8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89</v>
      </c>
      <c r="F11" s="24" t="s">
        <v>44</v>
      </c>
      <c r="G11" s="12">
        <v>2</v>
      </c>
      <c r="H11" s="88">
        <f>IF(B$20=0,0,G11/B$20)</f>
        <v>5.7142857142857141E-2</v>
      </c>
      <c r="I11" s="58">
        <v>11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-5.3</v>
      </c>
      <c r="Q11" s="77">
        <v>5</v>
      </c>
      <c r="R11" s="68">
        <v>-26.5</v>
      </c>
    </row>
    <row r="12" spans="1:18" x14ac:dyDescent="0.4">
      <c r="A12" s="20" t="s">
        <v>185</v>
      </c>
      <c r="B12" s="109">
        <f>IF(B9=0,0,C12/B9)</f>
        <v>-1.3</v>
      </c>
      <c r="C12" s="110">
        <v>-3.9</v>
      </c>
      <c r="E12" s="27" t="s">
        <v>71</v>
      </c>
      <c r="F12" s="24" t="s">
        <v>26</v>
      </c>
      <c r="G12" s="12">
        <v>1</v>
      </c>
      <c r="H12" s="88">
        <f>IF(B$20=0,0,G12/B$20)</f>
        <v>2.8571428571428571E-2</v>
      </c>
      <c r="I12" s="58">
        <v>10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-38.785714285714285</v>
      </c>
      <c r="C13" s="110">
        <v>-271.5</v>
      </c>
      <c r="E13" s="27" t="s">
        <v>75</v>
      </c>
      <c r="F13" s="24" t="s">
        <v>30</v>
      </c>
      <c r="G13" s="12">
        <v>1</v>
      </c>
      <c r="H13" s="88">
        <f>IF(B$20=0,0,G13/B$20)</f>
        <v>2.8571428571428571E-2</v>
      </c>
      <c r="I13" s="58">
        <v>1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-4.7896825396825404</v>
      </c>
      <c r="C14" s="134"/>
      <c r="E14" s="27" t="s">
        <v>78</v>
      </c>
      <c r="F14" s="24" t="s">
        <v>33</v>
      </c>
      <c r="G14" s="12">
        <v>1</v>
      </c>
      <c r="H14" s="88">
        <f>IF(B$20=0,0,G14/B$20)</f>
        <v>2.8571428571428571E-2</v>
      </c>
      <c r="I14" s="58">
        <v>6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</v>
      </c>
      <c r="C15" s="9">
        <f t="shared" si="1"/>
        <v>0.1875</v>
      </c>
      <c r="E15" s="27" t="s">
        <v>81</v>
      </c>
      <c r="F15" s="24" t="s">
        <v>36</v>
      </c>
      <c r="G15" s="12">
        <v>1</v>
      </c>
      <c r="H15" s="88">
        <f>IF(B$20=0,0,G15/B$20)</f>
        <v>2.8571428571428571E-2</v>
      </c>
      <c r="I15" s="58">
        <v>9</v>
      </c>
      <c r="K15" s="74">
        <v>13</v>
      </c>
      <c r="L15" s="119">
        <v>-75.599999999999994</v>
      </c>
      <c r="M15" s="117">
        <v>1390.8671400806311</v>
      </c>
      <c r="O15" s="73" t="s">
        <v>163</v>
      </c>
      <c r="P15" s="82">
        <f t="shared" ref="P15:P21" si="2">IF(Q15=0,0,R15/Q15)</f>
        <v>13.525000000000004</v>
      </c>
      <c r="Q15" s="76">
        <v>4</v>
      </c>
      <c r="R15" s="67">
        <v>54.100000000000016</v>
      </c>
    </row>
    <row r="16" spans="1:18" x14ac:dyDescent="0.4">
      <c r="A16" s="22" t="s">
        <v>121</v>
      </c>
      <c r="B16" s="15">
        <v>34</v>
      </c>
      <c r="C16" s="10">
        <f>IF(B$3=0,0,B16/B$3)</f>
        <v>0.23448275862068965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K16" s="74">
        <v>14</v>
      </c>
      <c r="L16" s="119">
        <v>-72.599999999999994</v>
      </c>
      <c r="M16" s="117">
        <v>1392.4879372401474</v>
      </c>
      <c r="O16" s="74" t="s">
        <v>221</v>
      </c>
      <c r="P16" s="83">
        <f t="shared" si="2"/>
        <v>3.6500000000000004</v>
      </c>
      <c r="Q16" s="77">
        <v>2</v>
      </c>
      <c r="R16" s="68">
        <v>7.3000000000000007</v>
      </c>
    </row>
    <row r="17" spans="1:18" x14ac:dyDescent="0.4">
      <c r="A17" s="19" t="s">
        <v>118</v>
      </c>
      <c r="B17" s="12">
        <v>19</v>
      </c>
      <c r="C17" s="6">
        <f>IF(B$3=0,0,B17/B$3)</f>
        <v>0.1310344827586207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K17" s="74">
        <v>15</v>
      </c>
      <c r="L17" s="119">
        <v>-123.19999999999999</v>
      </c>
      <c r="M17" s="117">
        <v>1384.5710096167065</v>
      </c>
      <c r="O17" s="74" t="s">
        <v>211</v>
      </c>
      <c r="P17" s="83">
        <f t="shared" si="2"/>
        <v>3.0750000000000011</v>
      </c>
      <c r="Q17" s="77">
        <v>4</v>
      </c>
      <c r="R17" s="68">
        <v>12.300000000000004</v>
      </c>
    </row>
    <row r="18" spans="1:18" x14ac:dyDescent="0.4">
      <c r="A18" s="18" t="s">
        <v>123</v>
      </c>
      <c r="B18" s="11">
        <f>B24</f>
        <v>21</v>
      </c>
      <c r="C18" s="5">
        <f>IF(B$16=0,0,B18/B$16)</f>
        <v>0.61764705882352944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-121.1</v>
      </c>
      <c r="M18" s="117">
        <v>1386.1875835590063</v>
      </c>
      <c r="O18" s="74" t="s">
        <v>190</v>
      </c>
      <c r="P18" s="83">
        <f t="shared" si="2"/>
        <v>-3.9500000000000011</v>
      </c>
      <c r="Q18" s="77">
        <v>4</v>
      </c>
      <c r="R18" s="68">
        <v>-15.800000000000004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0.26315789473684209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  <c r="O19" s="74" t="s">
        <v>126</v>
      </c>
      <c r="P19" s="83">
        <f t="shared" si="2"/>
        <v>-13.090909090909092</v>
      </c>
      <c r="Q19" s="77">
        <v>11</v>
      </c>
      <c r="R19" s="68">
        <v>-144</v>
      </c>
    </row>
    <row r="20" spans="1:18" x14ac:dyDescent="0.4">
      <c r="A20" s="18" t="s">
        <v>10</v>
      </c>
      <c r="B20" s="11">
        <f>B23+B22</f>
        <v>35</v>
      </c>
      <c r="C20" s="5">
        <f>IF(B$3=0,0,B20/B$3)</f>
        <v>0.2413793103448276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25</v>
      </c>
      <c r="C21" s="6">
        <f>IF(B$3=0,0,B21/B$3)</f>
        <v>0.17241379310344829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19</v>
      </c>
      <c r="C22" s="6">
        <f>IF(B$20=0,0,B22/B$20)</f>
        <v>0.54285714285714282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16</v>
      </c>
      <c r="C23" s="6">
        <f>IF(B$20=0,0,B23/B$20)</f>
        <v>0.45714285714285713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21</v>
      </c>
      <c r="C24" s="6">
        <f>IF(B$20=0,0,B24/B$20)</f>
        <v>0.6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0.14285714285714285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9</v>
      </c>
      <c r="C26" s="6">
        <f>IF(B$20=0,0,B26/B$20)</f>
        <v>0.25714285714285712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8974.2857142857138</v>
      </c>
      <c r="C27" s="8">
        <v>314100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9030</v>
      </c>
      <c r="C28" s="96">
        <v>270900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-7868</v>
      </c>
      <c r="C30" s="96">
        <v>-196700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65700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6.8965517241379309E-3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2.8571428571428571E-2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0.11428571428571428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6</v>
      </c>
      <c r="C39" s="6">
        <f t="shared" si="3"/>
        <v>0.17142857142857143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10</v>
      </c>
      <c r="C40" s="6">
        <f t="shared" si="3"/>
        <v>0.2857142857142857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3"/>
        <v>0.17142857142857143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4</v>
      </c>
      <c r="C42" s="6">
        <f t="shared" si="3"/>
        <v>0.11428571428571428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3"/>
        <v>2.8571428571428571E-2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3"/>
        <v>8.5714285714285715E-2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221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43">
        <v>18</v>
      </c>
      <c r="C3" s="144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5">
        <v>-13.5</v>
      </c>
      <c r="C4" s="146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33">
        <f>IF(B$2=0,0,B$4/B$2)</f>
        <v>-6.75</v>
      </c>
      <c r="C5" s="134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12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7">
        <v>1497.379788</v>
      </c>
      <c r="C6" s="138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-4.5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8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13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39000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259</v>
      </c>
      <c r="C1" s="140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43">
        <v>25</v>
      </c>
      <c r="C3" s="144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5">
        <v>-50</v>
      </c>
      <c r="C4" s="146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2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33">
        <f>IF(B$2=0,0,B$4/B$2)</f>
        <v>-16.666666666666668</v>
      </c>
      <c r="C5" s="134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3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7">
        <v>1493.0891304000002</v>
      </c>
      <c r="C6" s="138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3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13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-7.1999999999999993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41800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76C7-999D-471A-8448-A88E3DA4BE7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201</v>
      </c>
      <c r="C1" s="140"/>
      <c r="E1" s="104" t="s">
        <v>154</v>
      </c>
      <c r="F1" s="130" t="s">
        <v>115</v>
      </c>
      <c r="G1" s="129" t="s">
        <v>116</v>
      </c>
      <c r="H1" s="86" t="s">
        <v>117</v>
      </c>
      <c r="I1" s="13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0.77777777777777779</v>
      </c>
      <c r="I2" s="57">
        <v>7</v>
      </c>
      <c r="K2" s="73">
        <v>0</v>
      </c>
      <c r="L2" s="118">
        <v>0</v>
      </c>
      <c r="M2" s="116">
        <v>1500.437982464869</v>
      </c>
      <c r="O2" s="73" t="s">
        <v>128</v>
      </c>
      <c r="P2" s="79">
        <f t="shared" ref="P2:P7" si="0">IF(Q2=0,0,R2/Q2)</f>
        <v>-4450</v>
      </c>
      <c r="Q2" s="76">
        <v>4</v>
      </c>
      <c r="R2" s="63">
        <v>-17800</v>
      </c>
    </row>
    <row r="3" spans="1:18" x14ac:dyDescent="0.4">
      <c r="A3" s="19" t="s">
        <v>8</v>
      </c>
      <c r="B3" s="143">
        <v>36</v>
      </c>
      <c r="C3" s="144"/>
      <c r="E3" s="27" t="s">
        <v>72</v>
      </c>
      <c r="F3" s="24" t="s">
        <v>27</v>
      </c>
      <c r="G3" s="12">
        <v>5</v>
      </c>
      <c r="H3" s="88">
        <f>IF(B$20=0,0,G3/B$20)</f>
        <v>0.55555555555555558</v>
      </c>
      <c r="I3" s="58">
        <v>9</v>
      </c>
      <c r="K3" s="74">
        <v>1</v>
      </c>
      <c r="L3" s="119">
        <v>-4.5</v>
      </c>
      <c r="M3" s="117">
        <v>1500.3933545700797</v>
      </c>
      <c r="O3" s="74" t="s">
        <v>129</v>
      </c>
      <c r="P3" s="80">
        <f t="shared" si="0"/>
        <v>-3150</v>
      </c>
      <c r="Q3" s="77">
        <v>4</v>
      </c>
      <c r="R3" s="64">
        <v>-12600</v>
      </c>
    </row>
    <row r="4" spans="1:18" x14ac:dyDescent="0.4">
      <c r="A4" s="19" t="s">
        <v>6</v>
      </c>
      <c r="B4" s="145">
        <v>-77.699999999999989</v>
      </c>
      <c r="C4" s="146"/>
      <c r="E4" s="27" t="s">
        <v>64</v>
      </c>
      <c r="F4" s="24" t="s">
        <v>20</v>
      </c>
      <c r="G4" s="12">
        <v>4</v>
      </c>
      <c r="H4" s="88">
        <f>IF(B$20=0,0,G4/B$20)</f>
        <v>0.44444444444444442</v>
      </c>
      <c r="I4" s="58">
        <v>5</v>
      </c>
      <c r="K4" s="74">
        <v>2</v>
      </c>
      <c r="L4" s="119">
        <v>-3.4</v>
      </c>
      <c r="M4" s="117">
        <v>1501.3569944426592</v>
      </c>
      <c r="O4" s="74" t="s">
        <v>130</v>
      </c>
      <c r="P4" s="80">
        <f t="shared" si="0"/>
        <v>3475</v>
      </c>
      <c r="Q4" s="77">
        <v>4</v>
      </c>
      <c r="R4" s="64">
        <v>13900</v>
      </c>
    </row>
    <row r="5" spans="1:18" x14ac:dyDescent="0.4">
      <c r="A5" s="19" t="s">
        <v>7</v>
      </c>
      <c r="B5" s="133">
        <f>IF(B$2=0,0,B$4/B$2)</f>
        <v>-19.424999999999997</v>
      </c>
      <c r="C5" s="134"/>
      <c r="E5" s="27" t="s">
        <v>67</v>
      </c>
      <c r="F5" s="24" t="s">
        <v>23</v>
      </c>
      <c r="G5" s="12">
        <v>4</v>
      </c>
      <c r="H5" s="88">
        <f>IF(B$20=0,0,G5/B$20)</f>
        <v>0.44444444444444442</v>
      </c>
      <c r="I5" s="58">
        <v>1</v>
      </c>
      <c r="K5" s="74">
        <v>3</v>
      </c>
      <c r="L5" s="119">
        <v>-55.199999999999996</v>
      </c>
      <c r="M5" s="117">
        <v>1492.7928524760032</v>
      </c>
      <c r="O5" s="74" t="s">
        <v>131</v>
      </c>
      <c r="P5" s="80">
        <f t="shared" si="0"/>
        <v>-1966.6666666666667</v>
      </c>
      <c r="Q5" s="77">
        <v>3</v>
      </c>
      <c r="R5" s="64">
        <v>-5900</v>
      </c>
    </row>
    <row r="6" spans="1:18" x14ac:dyDescent="0.4">
      <c r="A6" s="19" t="s">
        <v>196</v>
      </c>
      <c r="B6" s="137">
        <v>1489.5540953611471</v>
      </c>
      <c r="C6" s="138"/>
      <c r="E6" s="27" t="s">
        <v>68</v>
      </c>
      <c r="F6" s="24" t="s">
        <v>12</v>
      </c>
      <c r="G6" s="12">
        <v>4</v>
      </c>
      <c r="H6" s="88">
        <f>IF(B$20=0,0,G6/B$20)</f>
        <v>0.44444444444444442</v>
      </c>
      <c r="I6" s="58">
        <v>4</v>
      </c>
      <c r="K6" s="74">
        <v>4</v>
      </c>
      <c r="L6" s="119">
        <v>-77.699999999999989</v>
      </c>
      <c r="M6" s="117">
        <v>1489.5540953611471</v>
      </c>
      <c r="O6" s="74" t="s">
        <v>132</v>
      </c>
      <c r="P6" s="80">
        <f t="shared" si="0"/>
        <v>-9400</v>
      </c>
      <c r="Q6" s="77">
        <v>3</v>
      </c>
      <c r="R6" s="64">
        <v>-28200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159</v>
      </c>
      <c r="F7" s="24" t="s">
        <v>160</v>
      </c>
      <c r="G7" s="12">
        <v>4</v>
      </c>
      <c r="H7" s="88">
        <f>IF(B$20=0,0,G7/B$20)</f>
        <v>0.44444444444444442</v>
      </c>
      <c r="I7" s="58">
        <v>4</v>
      </c>
      <c r="O7" s="75" t="s">
        <v>133</v>
      </c>
      <c r="P7" s="81">
        <f t="shared" si="0"/>
        <v>-2366.6666666666665</v>
      </c>
      <c r="Q7" s="78">
        <v>3</v>
      </c>
      <c r="R7" s="65">
        <v>-7100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69</v>
      </c>
      <c r="F8" s="24" t="s">
        <v>24</v>
      </c>
      <c r="G8" s="12">
        <v>1</v>
      </c>
      <c r="H8" s="88">
        <f>IF(B$20=0,0,G8/B$20)</f>
        <v>0.1111111111111111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0.5</v>
      </c>
      <c r="E9" s="27" t="s">
        <v>78</v>
      </c>
      <c r="F9" s="24" t="s">
        <v>33</v>
      </c>
      <c r="G9" s="12">
        <v>1</v>
      </c>
      <c r="H9" s="88">
        <f>IF(B$20=0,0,G9/B$20)</f>
        <v>0.1111111111111111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0.1111111111111111</v>
      </c>
      <c r="I10" s="58">
        <v>2</v>
      </c>
      <c r="O10" s="73" t="s">
        <v>151</v>
      </c>
      <c r="P10" s="82">
        <f>IF(Q10=0,0,R10/Q10)</f>
        <v>-4.5</v>
      </c>
      <c r="Q10" s="76">
        <v>1</v>
      </c>
      <c r="R10" s="67">
        <v>-4.5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83</v>
      </c>
      <c r="F11" s="24" t="s">
        <v>38</v>
      </c>
      <c r="G11" s="12">
        <v>1</v>
      </c>
      <c r="H11" s="88">
        <f>IF(B$20=0,0,G11/B$20)</f>
        <v>0.1111111111111111</v>
      </c>
      <c r="I11" s="58">
        <v>2</v>
      </c>
      <c r="O11" s="74" t="s">
        <v>152</v>
      </c>
      <c r="P11" s="83">
        <f>IF(Q11=0,0,R11/Q11)</f>
        <v>1.1000000000000001</v>
      </c>
      <c r="Q11" s="77">
        <v>1</v>
      </c>
      <c r="R11" s="68">
        <v>1.1000000000000001</v>
      </c>
    </row>
    <row r="12" spans="1:18" x14ac:dyDescent="0.4">
      <c r="A12" s="20" t="s">
        <v>185</v>
      </c>
      <c r="B12" s="109">
        <f>IF(B9=0,0,C12/B9)</f>
        <v>-1.7</v>
      </c>
      <c r="C12" s="110">
        <v>-3.4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-37.15</v>
      </c>
      <c r="Q12" s="78">
        <v>2</v>
      </c>
      <c r="R12" s="69">
        <v>-74.3</v>
      </c>
    </row>
    <row r="13" spans="1:18" x14ac:dyDescent="0.4">
      <c r="A13" s="20" t="s">
        <v>186</v>
      </c>
      <c r="B13" s="109">
        <f>IF(B10=0,0,C13/B10)</f>
        <v>-37.15</v>
      </c>
      <c r="C13" s="110">
        <v>-74.3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-12.950000000000001</v>
      </c>
      <c r="C14" s="134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0.25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163</v>
      </c>
      <c r="P15" s="82">
        <f>IF(Q15=0,0,R15/Q15)</f>
        <v>-21.074999999999999</v>
      </c>
      <c r="Q15" s="76">
        <v>4</v>
      </c>
      <c r="R15" s="67">
        <v>-84.3</v>
      </c>
    </row>
    <row r="16" spans="1:18" x14ac:dyDescent="0.4">
      <c r="A16" s="22" t="s">
        <v>121</v>
      </c>
      <c r="B16" s="15">
        <v>6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-37.200000000000003</v>
      </c>
      <c r="Q16" s="77">
        <v>4</v>
      </c>
      <c r="R16" s="68">
        <v>-148.80000000000001</v>
      </c>
    </row>
    <row r="17" spans="1:9" x14ac:dyDescent="0.4">
      <c r="A17" s="19" t="s">
        <v>118</v>
      </c>
      <c r="B17" s="12">
        <v>8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0.25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9" x14ac:dyDescent="0.4">
      <c r="A20" s="18" t="s">
        <v>10</v>
      </c>
      <c r="B20" s="11">
        <f>B23+B22</f>
        <v>9</v>
      </c>
      <c r="C20" s="5">
        <f>IF(B$3=0,0,B20/B$3)</f>
        <v>0.25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9" x14ac:dyDescent="0.4">
      <c r="A21" s="19" t="s">
        <v>13</v>
      </c>
      <c r="B21" s="12">
        <v>10</v>
      </c>
      <c r="C21" s="6">
        <f>IF(B$3=0,0,B21/B$3)</f>
        <v>0.27777777777777779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5</v>
      </c>
      <c r="C22" s="6">
        <f>IF(B$20=0,0,B22/B$20)</f>
        <v>0.55555555555555558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4</v>
      </c>
      <c r="C23" s="6">
        <f>IF(B$20=0,0,B23/B$20)</f>
        <v>0.44444444444444442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4</v>
      </c>
      <c r="C24" s="6">
        <f>IF(B$20=0,0,B24/B$20)</f>
        <v>0.44444444444444442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9" x14ac:dyDescent="0.4">
      <c r="A25" s="19" t="s">
        <v>181</v>
      </c>
      <c r="B25" s="12">
        <v>2</v>
      </c>
      <c r="C25" s="6">
        <f>IF(B$20=0,0,B25/B$20)</f>
        <v>0.22222222222222221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9" x14ac:dyDescent="0.4">
      <c r="A26" s="19" t="s">
        <v>182</v>
      </c>
      <c r="B26" s="12">
        <v>3</v>
      </c>
      <c r="C26" s="6">
        <f>IF(B$20=0,0,B26/B$20)</f>
        <v>0.33333333333333331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6744.4444444444443</v>
      </c>
      <c r="C27" s="8">
        <v>60700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9" x14ac:dyDescent="0.4">
      <c r="A28" s="20" t="s">
        <v>165</v>
      </c>
      <c r="B28" s="95">
        <f>IF($B$20-B$19=0,0,C28/($B$20-B$19))</f>
        <v>7257.1428571428569</v>
      </c>
      <c r="C28" s="96">
        <v>50800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9" x14ac:dyDescent="0.4">
      <c r="A29" s="20" t="s">
        <v>166</v>
      </c>
      <c r="B29" s="95">
        <f>IF(B$19=0,0,C29/B$19)</f>
        <v>4950</v>
      </c>
      <c r="C29" s="96">
        <v>9900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9" x14ac:dyDescent="0.4">
      <c r="A30" s="20" t="s">
        <v>164</v>
      </c>
      <c r="B30" s="95">
        <f>IF(B$21=0,0,C30/B$21)</f>
        <v>-7370</v>
      </c>
      <c r="C30" s="96">
        <v>-73700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9" x14ac:dyDescent="0.4">
      <c r="A32" s="19" t="s">
        <v>158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36100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31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32">
        <v>5</v>
      </c>
      <c r="C39" s="6">
        <f t="shared" si="2"/>
        <v>0.55555555555555558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32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32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32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32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32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32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32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32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32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16D-141D-494D-9F22-1E4550959565}">
  <sheetPr codeName="Sheet30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</v>
      </c>
      <c r="C4" s="30">
        <v>-4.5</v>
      </c>
      <c r="D4" s="35">
        <v>2</v>
      </c>
      <c r="E4" s="31">
        <v>0</v>
      </c>
      <c r="F4" s="31">
        <v>0</v>
      </c>
      <c r="G4" s="31">
        <v>0.22222222222222221</v>
      </c>
      <c r="H4" s="31">
        <v>0.22222222222222221</v>
      </c>
      <c r="I4" s="32">
        <v>10000</v>
      </c>
      <c r="J4" s="32">
        <v>-6750</v>
      </c>
      <c r="K4" s="31">
        <v>0</v>
      </c>
      <c r="L4" s="31">
        <v>0</v>
      </c>
      <c r="M4" s="31">
        <v>0.22222222222222221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-3.4</v>
      </c>
      <c r="C5" s="30">
        <v>-1.7</v>
      </c>
      <c r="D5" s="35">
        <v>2</v>
      </c>
      <c r="E5" s="31">
        <v>0</v>
      </c>
      <c r="F5" s="31">
        <v>0</v>
      </c>
      <c r="G5" s="31">
        <v>0.25</v>
      </c>
      <c r="H5" s="31">
        <v>0.3125</v>
      </c>
      <c r="I5" s="32">
        <v>10000</v>
      </c>
      <c r="J5" s="32">
        <v>-5320</v>
      </c>
      <c r="K5" s="31">
        <v>0</v>
      </c>
      <c r="L5" s="31">
        <v>0.125</v>
      </c>
      <c r="M5" s="31">
        <v>0.125</v>
      </c>
      <c r="N5" s="31">
        <v>1</v>
      </c>
      <c r="O5" s="31">
        <v>0</v>
      </c>
      <c r="P5" s="31">
        <v>0.25</v>
      </c>
    </row>
    <row r="6" spans="1:17" x14ac:dyDescent="0.4">
      <c r="A6" s="33">
        <v>3</v>
      </c>
      <c r="B6" s="30">
        <v>-55.199999999999996</v>
      </c>
      <c r="C6" s="30">
        <v>-18.399999999999999</v>
      </c>
      <c r="D6" s="35">
        <v>2.3333333333333335</v>
      </c>
      <c r="E6" s="31">
        <v>0</v>
      </c>
      <c r="F6" s="31">
        <v>0.33333333333333331</v>
      </c>
      <c r="G6" s="31">
        <v>0.22222222222222221</v>
      </c>
      <c r="H6" s="31">
        <v>0.25925925925925924</v>
      </c>
      <c r="I6" s="32">
        <v>7800</v>
      </c>
      <c r="J6" s="32">
        <v>-7385.7142857142853</v>
      </c>
      <c r="K6" s="31">
        <v>0.33333333333333331</v>
      </c>
      <c r="L6" s="31">
        <v>0.14814814814814814</v>
      </c>
      <c r="M6" s="31">
        <v>0.14814814814814814</v>
      </c>
      <c r="N6" s="31">
        <v>0.75</v>
      </c>
      <c r="O6" s="31">
        <v>0</v>
      </c>
      <c r="P6" s="31">
        <v>0.5</v>
      </c>
    </row>
    <row r="7" spans="1:17" x14ac:dyDescent="0.4">
      <c r="A7" s="33">
        <v>4</v>
      </c>
      <c r="B7" s="30">
        <v>-77.699999999999989</v>
      </c>
      <c r="C7" s="30">
        <v>-19.424999999999997</v>
      </c>
      <c r="D7" s="35">
        <v>2.5</v>
      </c>
      <c r="E7" s="31">
        <v>0</v>
      </c>
      <c r="F7" s="31">
        <v>0.5</v>
      </c>
      <c r="G7" s="31">
        <v>0.25</v>
      </c>
      <c r="H7" s="31">
        <v>0.27777777777777779</v>
      </c>
      <c r="I7" s="32">
        <v>6744.4444444444443</v>
      </c>
      <c r="J7" s="32">
        <v>-7370</v>
      </c>
      <c r="K7" s="31">
        <v>0.25</v>
      </c>
      <c r="L7" s="31">
        <v>0.16666666666666666</v>
      </c>
      <c r="M7" s="31">
        <v>0.22222222222222221</v>
      </c>
      <c r="N7" s="31">
        <v>0.66666666666666663</v>
      </c>
      <c r="O7" s="31">
        <v>0.25</v>
      </c>
      <c r="P7" s="31">
        <v>0.55555555555555558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  <row r="16" spans="1:17" x14ac:dyDescent="0.4">
      <c r="A16" s="33">
        <v>13</v>
      </c>
      <c r="B16" s="30">
        <v>-75.599999999999994</v>
      </c>
      <c r="C16" s="30">
        <v>-5.8153846153846152</v>
      </c>
      <c r="D16" s="35">
        <v>2</v>
      </c>
      <c r="E16" s="31">
        <v>0.46153846153846156</v>
      </c>
      <c r="F16" s="31">
        <v>0.46153846153846156</v>
      </c>
      <c r="G16" s="31">
        <v>0.26126126126126126</v>
      </c>
      <c r="H16" s="31">
        <v>0.17117117117117117</v>
      </c>
      <c r="I16" s="32">
        <v>8606.8965517241377</v>
      </c>
      <c r="J16" s="32">
        <v>-7568.4210526315792</v>
      </c>
      <c r="K16" s="31">
        <v>0.15384615384615385</v>
      </c>
      <c r="L16" s="31">
        <v>0.22522522522522523</v>
      </c>
      <c r="M16" s="31">
        <v>0.15315315315315314</v>
      </c>
      <c r="N16" s="31">
        <v>0.64</v>
      </c>
      <c r="O16" s="31">
        <v>0.29411764705882354</v>
      </c>
      <c r="P16" s="31">
        <v>0.55172413793103448</v>
      </c>
    </row>
    <row r="17" spans="1:16" x14ac:dyDescent="0.4">
      <c r="A17" s="33">
        <v>14</v>
      </c>
      <c r="B17" s="30">
        <v>-72.599999999999994</v>
      </c>
      <c r="C17" s="30">
        <v>-5.1857142857142851</v>
      </c>
      <c r="D17" s="35">
        <v>2</v>
      </c>
      <c r="E17" s="31">
        <v>0.42857142857142855</v>
      </c>
      <c r="F17" s="31">
        <v>0.42857142857142855</v>
      </c>
      <c r="G17" s="31">
        <v>0.256198347107438</v>
      </c>
      <c r="H17" s="31">
        <v>0.17355371900826447</v>
      </c>
      <c r="I17" s="32">
        <v>8954.8387096774186</v>
      </c>
      <c r="J17" s="32">
        <v>-7990.4761904761908</v>
      </c>
      <c r="K17" s="31">
        <v>0.14285714285714285</v>
      </c>
      <c r="L17" s="31">
        <v>0.21487603305785125</v>
      </c>
      <c r="M17" s="31">
        <v>0.14049586776859505</v>
      </c>
      <c r="N17" s="31">
        <v>0.65384615384615385</v>
      </c>
      <c r="O17" s="31">
        <v>0.29411764705882354</v>
      </c>
      <c r="P17" s="31">
        <v>0.5161290322580645</v>
      </c>
    </row>
    <row r="18" spans="1:16" x14ac:dyDescent="0.4">
      <c r="A18" s="33">
        <v>15</v>
      </c>
      <c r="B18" s="30">
        <v>-123.19999999999999</v>
      </c>
      <c r="C18" s="30">
        <v>-8.2133333333333329</v>
      </c>
      <c r="D18" s="35">
        <v>2.0666666666666669</v>
      </c>
      <c r="E18" s="31">
        <v>0.4</v>
      </c>
      <c r="F18" s="31">
        <v>0.46666666666666667</v>
      </c>
      <c r="G18" s="31">
        <v>0.23664122137404581</v>
      </c>
      <c r="H18" s="31">
        <v>0.18320610687022901</v>
      </c>
      <c r="I18" s="32">
        <v>8954.8387096774186</v>
      </c>
      <c r="J18" s="32">
        <v>-7695.833333333333</v>
      </c>
      <c r="K18" s="31">
        <v>0.2</v>
      </c>
      <c r="L18" s="31">
        <v>0.21374045801526717</v>
      </c>
      <c r="M18" s="31">
        <v>0.14503816793893129</v>
      </c>
      <c r="N18" s="31">
        <v>0.6071428571428571</v>
      </c>
      <c r="O18" s="31">
        <v>0.26315789473684209</v>
      </c>
      <c r="P18" s="31">
        <v>0.5161290322580645</v>
      </c>
    </row>
    <row r="19" spans="1:16" x14ac:dyDescent="0.4">
      <c r="A19" s="33">
        <v>16</v>
      </c>
      <c r="B19" s="30">
        <v>-121.1</v>
      </c>
      <c r="C19" s="30">
        <v>-7.5687499999999996</v>
      </c>
      <c r="D19" s="35">
        <v>2.0625</v>
      </c>
      <c r="E19" s="31">
        <v>0.375</v>
      </c>
      <c r="F19" s="31">
        <v>0.4375</v>
      </c>
      <c r="G19" s="31">
        <v>0.2413793103448276</v>
      </c>
      <c r="H19" s="31">
        <v>0.17241379310344829</v>
      </c>
      <c r="I19" s="32">
        <v>8974.2857142857138</v>
      </c>
      <c r="J19" s="32">
        <v>-7868</v>
      </c>
      <c r="K19" s="31">
        <v>0.1875</v>
      </c>
      <c r="L19" s="31">
        <v>0.23448275862068965</v>
      </c>
      <c r="M19" s="31">
        <v>0.1310344827586207</v>
      </c>
      <c r="N19" s="31">
        <v>0.61764705882352944</v>
      </c>
      <c r="O19" s="31">
        <v>0.26315789473684209</v>
      </c>
      <c r="P19" s="31">
        <v>0.54285714285714282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  <row r="22" spans="1:16" x14ac:dyDescent="0.4">
      <c r="A22" s="33">
        <v>19</v>
      </c>
      <c r="B22" s="30">
        <v>-108.30000000000001</v>
      </c>
      <c r="C22" s="30">
        <v>-5.7</v>
      </c>
      <c r="D22" s="35">
        <v>2.1578947368421053</v>
      </c>
      <c r="E22" s="31">
        <v>0.26315789473684209</v>
      </c>
      <c r="F22" s="31">
        <v>0.42105263157894735</v>
      </c>
      <c r="G22" s="31">
        <v>0.2361111111111111</v>
      </c>
      <c r="H22" s="31">
        <v>0.2013888888888889</v>
      </c>
      <c r="I22" s="32">
        <v>7926.4705882352937</v>
      </c>
      <c r="J22" s="32">
        <v>-7886.2068965517237</v>
      </c>
      <c r="K22" s="31">
        <v>0.10526315789473684</v>
      </c>
      <c r="L22" s="31">
        <v>0.2361111111111111</v>
      </c>
      <c r="M22" s="31">
        <v>0.1736111111111111</v>
      </c>
      <c r="N22" s="31">
        <v>0.47058823529411764</v>
      </c>
      <c r="O22" s="31">
        <v>0.32</v>
      </c>
      <c r="P22" s="31">
        <v>0.47058823529411764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5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  <row r="52" spans="1:16" x14ac:dyDescent="0.4">
      <c r="A52" s="33">
        <v>49</v>
      </c>
      <c r="B52" s="30">
        <v>248.19999999999993</v>
      </c>
      <c r="C52" s="30">
        <v>5.0653061224489786</v>
      </c>
      <c r="D52" s="35">
        <v>1.8367346938775511</v>
      </c>
      <c r="E52" s="31">
        <v>0.40816326530612246</v>
      </c>
      <c r="F52" s="31">
        <v>0.24489795918367346</v>
      </c>
      <c r="G52" s="31">
        <v>0.33412322274881517</v>
      </c>
      <c r="H52" s="31">
        <v>0.11611374407582939</v>
      </c>
      <c r="I52" s="32">
        <v>7300</v>
      </c>
      <c r="J52" s="32">
        <v>-7693.8775510204077</v>
      </c>
      <c r="K52" s="31">
        <v>8.1632653061224483E-2</v>
      </c>
      <c r="L52" s="31">
        <v>0.2014218009478673</v>
      </c>
      <c r="M52" s="31">
        <v>0.27488151658767773</v>
      </c>
      <c r="N52" s="31">
        <v>0.52941176470588236</v>
      </c>
      <c r="O52" s="31">
        <v>0.41379310344827586</v>
      </c>
      <c r="P52" s="31">
        <v>0.3971631205673759</v>
      </c>
    </row>
    <row r="53" spans="1:16" x14ac:dyDescent="0.4">
      <c r="A53" s="33">
        <v>50</v>
      </c>
      <c r="B53" s="30">
        <v>231.29999999999993</v>
      </c>
      <c r="C53" s="30">
        <v>4.6259999999999986</v>
      </c>
      <c r="D53" s="35">
        <v>1.84</v>
      </c>
      <c r="E53" s="31">
        <v>0.4</v>
      </c>
      <c r="F53" s="31">
        <v>0.24</v>
      </c>
      <c r="G53" s="31">
        <v>0.32943925233644861</v>
      </c>
      <c r="H53" s="31">
        <v>0.1191588785046729</v>
      </c>
      <c r="I53" s="32">
        <v>7300</v>
      </c>
      <c r="J53" s="32">
        <v>-7507.8431372549021</v>
      </c>
      <c r="K53" s="31">
        <v>0.08</v>
      </c>
      <c r="L53" s="31">
        <v>0.19859813084112149</v>
      </c>
      <c r="M53" s="31">
        <v>0.2780373831775701</v>
      </c>
      <c r="N53" s="31">
        <v>0.52941176470588236</v>
      </c>
      <c r="O53" s="31">
        <v>0.40336134453781514</v>
      </c>
      <c r="P53" s="31">
        <v>0.3971631205673759</v>
      </c>
    </row>
    <row r="54" spans="1:16" x14ac:dyDescent="0.4">
      <c r="A54" s="33">
        <v>51</v>
      </c>
      <c r="B54" s="30">
        <v>261.49999999999994</v>
      </c>
      <c r="C54" s="30">
        <v>5.1274509803921555</v>
      </c>
      <c r="D54" s="35">
        <v>1.8235294117647058</v>
      </c>
      <c r="E54" s="31">
        <v>0.41176470588235292</v>
      </c>
      <c r="F54" s="31">
        <v>0.23529411764705882</v>
      </c>
      <c r="G54" s="31">
        <v>0.33179723502304148</v>
      </c>
      <c r="H54" s="31">
        <v>0.11751152073732719</v>
      </c>
      <c r="I54" s="32">
        <v>7267.3611111111113</v>
      </c>
      <c r="J54" s="32">
        <v>-7507.8431372549021</v>
      </c>
      <c r="K54" s="31">
        <v>7.8431372549019607E-2</v>
      </c>
      <c r="L54" s="31">
        <v>0.20046082949308755</v>
      </c>
      <c r="M54" s="31">
        <v>0.27419354838709675</v>
      </c>
      <c r="N54" s="31">
        <v>0.54022988505747127</v>
      </c>
      <c r="O54" s="31">
        <v>0.40336134453781514</v>
      </c>
      <c r="P54" s="31">
        <v>0.40277777777777779</v>
      </c>
    </row>
    <row r="55" spans="1:16" x14ac:dyDescent="0.4">
      <c r="A55" s="33">
        <v>52</v>
      </c>
      <c r="B55" s="30">
        <v>297.99999999999994</v>
      </c>
      <c r="C55" s="30">
        <v>5.7307692307692299</v>
      </c>
      <c r="D55" s="35">
        <v>1.8076923076923077</v>
      </c>
      <c r="E55" s="31">
        <v>0.42307692307692307</v>
      </c>
      <c r="F55" s="31">
        <v>0.23076923076923078</v>
      </c>
      <c r="G55" s="31">
        <v>0.3355855855855856</v>
      </c>
      <c r="H55" s="31">
        <v>0.11711711711711711</v>
      </c>
      <c r="I55" s="32">
        <v>7322.1476510067114</v>
      </c>
      <c r="J55" s="32">
        <v>-7671.1538461538457</v>
      </c>
      <c r="K55" s="31">
        <v>7.6923076923076927E-2</v>
      </c>
      <c r="L55" s="31">
        <v>0.20045045045045046</v>
      </c>
      <c r="M55" s="31">
        <v>0.2747747747747748</v>
      </c>
      <c r="N55" s="31">
        <v>0.550561797752809</v>
      </c>
      <c r="O55" s="31">
        <v>0.40163934426229508</v>
      </c>
      <c r="P55" s="31">
        <v>0.40939597315436244</v>
      </c>
    </row>
    <row r="56" spans="1:16" x14ac:dyDescent="0.4">
      <c r="A56" s="33">
        <v>53</v>
      </c>
      <c r="B56" s="30">
        <v>300.39999999999992</v>
      </c>
      <c r="C56" s="30">
        <v>5.6679245283018851</v>
      </c>
      <c r="D56" s="35">
        <v>1.8113207547169812</v>
      </c>
      <c r="E56" s="31">
        <v>0.41509433962264153</v>
      </c>
      <c r="F56" s="31">
        <v>0.22641509433962265</v>
      </c>
      <c r="G56" s="31">
        <v>0.33555555555555555</v>
      </c>
      <c r="H56" s="31">
        <v>0.12</v>
      </c>
      <c r="I56" s="32">
        <v>7384.1059602649011</v>
      </c>
      <c r="J56" s="32">
        <v>-7731.4814814814818</v>
      </c>
      <c r="K56" s="31">
        <v>7.5471698113207544E-2</v>
      </c>
      <c r="L56" s="31">
        <v>0.19777777777777777</v>
      </c>
      <c r="M56" s="31">
        <v>0.27555555555555555</v>
      </c>
      <c r="N56" s="31">
        <v>0.550561797752809</v>
      </c>
      <c r="O56" s="31">
        <v>0.40322580645161288</v>
      </c>
      <c r="P56" s="31">
        <v>0.40397350993377484</v>
      </c>
    </row>
    <row r="57" spans="1:16" x14ac:dyDescent="0.4">
      <c r="A57" s="33">
        <v>54</v>
      </c>
      <c r="B57" s="30">
        <v>306.09999999999991</v>
      </c>
      <c r="C57" s="30">
        <v>5.6685185185185167</v>
      </c>
      <c r="D57" s="35">
        <v>1.8148148148148149</v>
      </c>
      <c r="E57" s="31">
        <v>0.40740740740740738</v>
      </c>
      <c r="F57" s="31">
        <v>0.22222222222222221</v>
      </c>
      <c r="G57" s="31">
        <v>0.33839479392624727</v>
      </c>
      <c r="H57" s="31">
        <v>0.11713665943600868</v>
      </c>
      <c r="I57" s="32">
        <v>7321.7948717948721</v>
      </c>
      <c r="J57" s="32">
        <v>-7731.4814814814818</v>
      </c>
      <c r="K57" s="31">
        <v>7.407407407407407E-2</v>
      </c>
      <c r="L57" s="31">
        <v>0.19956616052060738</v>
      </c>
      <c r="M57" s="31">
        <v>0.27765726681127983</v>
      </c>
      <c r="N57" s="31">
        <v>0.54347826086956519</v>
      </c>
      <c r="O57" s="31">
        <v>0.421875</v>
      </c>
      <c r="P57" s="31">
        <v>0.40384615384615385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5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  <row r="48" spans="1:16" x14ac:dyDescent="0.4">
      <c r="A48" s="33">
        <v>45</v>
      </c>
      <c r="B48" s="30">
        <v>157.69999999999999</v>
      </c>
      <c r="C48" s="30">
        <v>3.5044444444444443</v>
      </c>
      <c r="D48" s="35">
        <v>1.9111111111111112</v>
      </c>
      <c r="E48" s="31">
        <v>0.4</v>
      </c>
      <c r="F48" s="31">
        <v>0.31111111111111112</v>
      </c>
      <c r="G48" s="31">
        <v>0.30569948186528495</v>
      </c>
      <c r="H48" s="31">
        <v>0.13730569948186527</v>
      </c>
      <c r="I48" s="32">
        <v>7850</v>
      </c>
      <c r="J48" s="32">
        <v>-6656.6037735849059</v>
      </c>
      <c r="K48" s="31">
        <v>4.4444444444444446E-2</v>
      </c>
      <c r="L48" s="31">
        <v>0.21761658031088082</v>
      </c>
      <c r="M48" s="31">
        <v>0.21502590673575128</v>
      </c>
      <c r="N48" s="31">
        <v>0.59523809523809523</v>
      </c>
      <c r="O48" s="31">
        <v>0.48192771084337349</v>
      </c>
      <c r="P48" s="31">
        <v>0.43220338983050849</v>
      </c>
    </row>
    <row r="49" spans="1:16" x14ac:dyDescent="0.4">
      <c r="A49" s="33">
        <v>46</v>
      </c>
      <c r="B49" s="30">
        <v>167.6</v>
      </c>
      <c r="C49" s="30">
        <v>3.6434782608695651</v>
      </c>
      <c r="D49" s="35">
        <v>1.9130434782608696</v>
      </c>
      <c r="E49" s="31">
        <v>0.39130434782608697</v>
      </c>
      <c r="F49" s="31">
        <v>0.30434782608695654</v>
      </c>
      <c r="G49" s="31">
        <v>0.30710659898477155</v>
      </c>
      <c r="H49" s="31">
        <v>0.13451776649746192</v>
      </c>
      <c r="I49" s="32">
        <v>7761.9834710743798</v>
      </c>
      <c r="J49" s="32">
        <v>-6656.6037735849059</v>
      </c>
      <c r="K49" s="31">
        <v>4.3478260869565216E-2</v>
      </c>
      <c r="L49" s="31">
        <v>0.21319796954314721</v>
      </c>
      <c r="M49" s="31">
        <v>0.21827411167512689</v>
      </c>
      <c r="N49" s="31">
        <v>0.59523809523809523</v>
      </c>
      <c r="O49" s="31">
        <v>0.48837209302325579</v>
      </c>
      <c r="P49" s="31">
        <v>0.42148760330578511</v>
      </c>
    </row>
    <row r="50" spans="1:16" x14ac:dyDescent="0.4">
      <c r="A50" s="33">
        <v>47</v>
      </c>
      <c r="B50" s="30">
        <v>164.7</v>
      </c>
      <c r="C50" s="30">
        <v>3.5042553191489358</v>
      </c>
      <c r="D50" s="35">
        <v>1.9148936170212767</v>
      </c>
      <c r="E50" s="31">
        <v>0.38297872340425532</v>
      </c>
      <c r="F50" s="31">
        <v>0.2978723404255319</v>
      </c>
      <c r="G50" s="31">
        <v>0.30466830466830469</v>
      </c>
      <c r="H50" s="31">
        <v>0.13759213759213759</v>
      </c>
      <c r="I50" s="32">
        <v>7832.2580645161288</v>
      </c>
      <c r="J50" s="32">
        <v>-6833.9285714285716</v>
      </c>
      <c r="K50" s="31">
        <v>4.2553191489361701E-2</v>
      </c>
      <c r="L50" s="31">
        <v>0.21621621621621623</v>
      </c>
      <c r="M50" s="31">
        <v>0.22604422604422605</v>
      </c>
      <c r="N50" s="31">
        <v>0.60227272727272729</v>
      </c>
      <c r="O50" s="31">
        <v>0.45652173913043476</v>
      </c>
      <c r="P50" s="31">
        <v>0.41129032258064518</v>
      </c>
    </row>
    <row r="51" spans="1:16" x14ac:dyDescent="0.4">
      <c r="A51" s="33">
        <v>48</v>
      </c>
      <c r="B51" s="30">
        <v>140.69999999999999</v>
      </c>
      <c r="C51" s="30">
        <v>2.9312499999999999</v>
      </c>
      <c r="D51" s="35">
        <v>1.9166666666666667</v>
      </c>
      <c r="E51" s="31">
        <v>0.375</v>
      </c>
      <c r="F51" s="31">
        <v>0.29166666666666669</v>
      </c>
      <c r="G51" s="31">
        <v>0.30170316301703165</v>
      </c>
      <c r="H51" s="31">
        <v>0.13625304136253041</v>
      </c>
      <c r="I51" s="32">
        <v>7832.2580645161288</v>
      </c>
      <c r="J51" s="32">
        <v>-6833.9285714285716</v>
      </c>
      <c r="K51" s="31">
        <v>4.1666666666666664E-2</v>
      </c>
      <c r="L51" s="31">
        <v>0.21654501216545013</v>
      </c>
      <c r="M51" s="31">
        <v>0.22384428223844283</v>
      </c>
      <c r="N51" s="31">
        <v>0.5955056179775281</v>
      </c>
      <c r="O51" s="31">
        <v>0.45652173913043476</v>
      </c>
      <c r="P51" s="31">
        <v>0.41129032258064518</v>
      </c>
    </row>
    <row r="52" spans="1:16" x14ac:dyDescent="0.4">
      <c r="A52" s="33">
        <v>49</v>
      </c>
      <c r="B52" s="30">
        <v>209.29999999999998</v>
      </c>
      <c r="C52" s="30">
        <v>4.2714285714285714</v>
      </c>
      <c r="D52" s="35">
        <v>1.8979591836734695</v>
      </c>
      <c r="E52" s="31">
        <v>0.38775510204081631</v>
      </c>
      <c r="F52" s="31">
        <v>0.2857142857142857</v>
      </c>
      <c r="G52" s="31">
        <v>0.30935251798561153</v>
      </c>
      <c r="H52" s="31">
        <v>0.1342925659472422</v>
      </c>
      <c r="I52" s="32">
        <v>7959.6899224806202</v>
      </c>
      <c r="J52" s="32">
        <v>-6833.9285714285716</v>
      </c>
      <c r="K52" s="31">
        <v>4.0816326530612242E-2</v>
      </c>
      <c r="L52" s="31">
        <v>0.22302158273381295</v>
      </c>
      <c r="M52" s="31">
        <v>0.22541966426858512</v>
      </c>
      <c r="N52" s="31">
        <v>0.60215053763440862</v>
      </c>
      <c r="O52" s="31">
        <v>0.46808510638297873</v>
      </c>
      <c r="P52" s="31">
        <v>0.41085271317829458</v>
      </c>
    </row>
    <row r="53" spans="1:16" x14ac:dyDescent="0.4">
      <c r="A53" s="33">
        <v>50</v>
      </c>
      <c r="B53" s="30">
        <v>211.6</v>
      </c>
      <c r="C53" s="30">
        <v>4.2320000000000002</v>
      </c>
      <c r="D53" s="35">
        <v>1.9</v>
      </c>
      <c r="E53" s="31">
        <v>0.38</v>
      </c>
      <c r="F53" s="31">
        <v>0.28000000000000003</v>
      </c>
      <c r="G53" s="31">
        <v>0.30969267139479906</v>
      </c>
      <c r="H53" s="31">
        <v>0.13475177304964539</v>
      </c>
      <c r="I53" s="32">
        <v>7960.3053435114507</v>
      </c>
      <c r="J53" s="32">
        <v>-6854.3859649122805</v>
      </c>
      <c r="K53" s="31">
        <v>0.04</v>
      </c>
      <c r="L53" s="31">
        <v>0.22695035460992907</v>
      </c>
      <c r="M53" s="31">
        <v>0.22695035460992907</v>
      </c>
      <c r="N53" s="31">
        <v>0.59375</v>
      </c>
      <c r="O53" s="31">
        <v>0.45833333333333331</v>
      </c>
      <c r="P53" s="31">
        <v>0.40458015267175573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  <row r="35" spans="1:16" x14ac:dyDescent="0.4">
      <c r="A35" s="33">
        <v>32</v>
      </c>
      <c r="B35" s="30">
        <v>-0.400000000000027</v>
      </c>
      <c r="C35" s="30">
        <v>-1.2500000000000844E-2</v>
      </c>
      <c r="D35" s="35">
        <v>1.9375</v>
      </c>
      <c r="E35" s="31">
        <v>0.28125</v>
      </c>
      <c r="F35" s="31">
        <v>0.21875</v>
      </c>
      <c r="G35" s="31">
        <v>0.25622775800711745</v>
      </c>
      <c r="H35" s="31">
        <v>9.2526690391459068E-2</v>
      </c>
      <c r="I35" s="32">
        <v>7886.1111111111113</v>
      </c>
      <c r="J35" s="32">
        <v>-6350</v>
      </c>
      <c r="K35" s="31">
        <v>6.25E-2</v>
      </c>
      <c r="L35" s="31">
        <v>0.25622775800711745</v>
      </c>
      <c r="M35" s="31">
        <v>0.199288256227758</v>
      </c>
      <c r="N35" s="31">
        <v>0.51388888888888884</v>
      </c>
      <c r="O35" s="31">
        <v>0.375</v>
      </c>
      <c r="P35" s="31">
        <v>0.30555555555555558</v>
      </c>
    </row>
    <row r="36" spans="1:16" x14ac:dyDescent="0.4">
      <c r="A36" s="33">
        <v>33</v>
      </c>
      <c r="B36" s="30">
        <v>-0.10000000000002701</v>
      </c>
      <c r="C36" s="30">
        <v>-3.0303030303038487E-3</v>
      </c>
      <c r="D36" s="35">
        <v>1.9393939393939394</v>
      </c>
      <c r="E36" s="31">
        <v>0.27272727272727271</v>
      </c>
      <c r="F36" s="31">
        <v>0.21212121212121213</v>
      </c>
      <c r="G36" s="31">
        <v>0.25605536332179929</v>
      </c>
      <c r="H36" s="31">
        <v>9.3425605536332182E-2</v>
      </c>
      <c r="I36" s="32">
        <v>7845.9459459459458</v>
      </c>
      <c r="J36" s="32">
        <v>-6151.8518518518522</v>
      </c>
      <c r="K36" s="31">
        <v>6.0606060606060608E-2</v>
      </c>
      <c r="L36" s="31">
        <v>0.25951557093425603</v>
      </c>
      <c r="M36" s="31">
        <v>0.1972318339100346</v>
      </c>
      <c r="N36" s="31">
        <v>0.52</v>
      </c>
      <c r="O36" s="31">
        <v>0.36842105263157893</v>
      </c>
      <c r="P36" s="31">
        <v>0.3108108108108108</v>
      </c>
    </row>
    <row r="37" spans="1:16" x14ac:dyDescent="0.4">
      <c r="A37" s="33">
        <v>34</v>
      </c>
      <c r="B37" s="30">
        <v>59.89999999999997</v>
      </c>
      <c r="C37" s="30">
        <v>1.761764705882352</v>
      </c>
      <c r="D37" s="35">
        <v>1.911764705882353</v>
      </c>
      <c r="E37" s="31">
        <v>0.29411764705882354</v>
      </c>
      <c r="F37" s="31">
        <v>0.20588235294117646</v>
      </c>
      <c r="G37" s="31">
        <v>0.26351351351351349</v>
      </c>
      <c r="H37" s="31">
        <v>9.1216216216216214E-2</v>
      </c>
      <c r="I37" s="32">
        <v>7982.0512820512822</v>
      </c>
      <c r="J37" s="32">
        <v>-6151.8518518518522</v>
      </c>
      <c r="K37" s="31">
        <v>5.8823529411764705E-2</v>
      </c>
      <c r="L37" s="31">
        <v>0.26351351351351349</v>
      </c>
      <c r="M37" s="31">
        <v>0.19594594594594594</v>
      </c>
      <c r="N37" s="31">
        <v>0.51282051282051277</v>
      </c>
      <c r="O37" s="31">
        <v>0.37931034482758619</v>
      </c>
      <c r="P37" s="31">
        <v>0.32051282051282054</v>
      </c>
    </row>
    <row r="38" spans="1:16" x14ac:dyDescent="0.4">
      <c r="A38" s="33">
        <v>35</v>
      </c>
      <c r="B38" s="30">
        <v>46.099999999999966</v>
      </c>
      <c r="C38" s="30">
        <v>1.3171428571428561</v>
      </c>
      <c r="D38" s="35">
        <v>1.9142857142857144</v>
      </c>
      <c r="E38" s="31">
        <v>0.2857142857142857</v>
      </c>
      <c r="F38" s="31">
        <v>0.2</v>
      </c>
      <c r="G38" s="31">
        <v>0.25986842105263158</v>
      </c>
      <c r="H38" s="31">
        <v>9.8684210526315791E-2</v>
      </c>
      <c r="I38" s="32">
        <v>8083.5443037974683</v>
      </c>
      <c r="J38" s="32">
        <v>-6280</v>
      </c>
      <c r="K38" s="31">
        <v>5.7142857142857141E-2</v>
      </c>
      <c r="L38" s="31">
        <v>0.26644736842105265</v>
      </c>
      <c r="M38" s="31">
        <v>0.20065789473684212</v>
      </c>
      <c r="N38" s="31">
        <v>0.50617283950617287</v>
      </c>
      <c r="O38" s="31">
        <v>0.36065573770491804</v>
      </c>
      <c r="P38" s="31">
        <v>0.32911392405063289</v>
      </c>
    </row>
    <row r="39" spans="1:16" x14ac:dyDescent="0.4">
      <c r="A39" s="33">
        <v>36</v>
      </c>
      <c r="B39" s="30">
        <v>67.69999999999996</v>
      </c>
      <c r="C39" s="30">
        <v>1.8805555555555544</v>
      </c>
      <c r="D39" s="35">
        <v>1.8888888888888888</v>
      </c>
      <c r="E39" s="31">
        <v>0.30555555555555558</v>
      </c>
      <c r="F39" s="31">
        <v>0.19444444444444445</v>
      </c>
      <c r="G39" s="31">
        <v>0.26751592356687898</v>
      </c>
      <c r="H39" s="31">
        <v>0.10191082802547771</v>
      </c>
      <c r="I39" s="32">
        <v>8045.2380952380954</v>
      </c>
      <c r="J39" s="32">
        <v>-6562.5</v>
      </c>
      <c r="K39" s="31">
        <v>5.5555555555555552E-2</v>
      </c>
      <c r="L39" s="31">
        <v>0.2643312101910828</v>
      </c>
      <c r="M39" s="31">
        <v>0.20063694267515925</v>
      </c>
      <c r="N39" s="31">
        <v>0.51807228915662651</v>
      </c>
      <c r="O39" s="31">
        <v>0.36507936507936506</v>
      </c>
      <c r="P39" s="31">
        <v>0.32142857142857145</v>
      </c>
    </row>
    <row r="40" spans="1:16" x14ac:dyDescent="0.4">
      <c r="A40" s="33">
        <v>37</v>
      </c>
      <c r="B40" s="30">
        <v>58.499999999999957</v>
      </c>
      <c r="C40" s="30">
        <v>1.58108108108108</v>
      </c>
      <c r="D40" s="35">
        <v>1.8918918918918919</v>
      </c>
      <c r="E40" s="31">
        <v>0.29729729729729731</v>
      </c>
      <c r="F40" s="31">
        <v>0.1891891891891892</v>
      </c>
      <c r="G40" s="31">
        <v>0.26479750778816197</v>
      </c>
      <c r="H40" s="31">
        <v>0.1059190031152648</v>
      </c>
      <c r="I40" s="32">
        <v>8091.7647058823532</v>
      </c>
      <c r="J40" s="32">
        <v>-6517.6470588235297</v>
      </c>
      <c r="K40" s="31">
        <v>5.4054054054054057E-2</v>
      </c>
      <c r="L40" s="31">
        <v>0.26168224299065418</v>
      </c>
      <c r="M40" s="31">
        <v>0.19626168224299065</v>
      </c>
      <c r="N40" s="31">
        <v>0.51190476190476186</v>
      </c>
      <c r="O40" s="31">
        <v>0.36507936507936506</v>
      </c>
      <c r="P40" s="31">
        <v>0.31764705882352939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5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  <row r="47" spans="1:16" x14ac:dyDescent="0.4">
      <c r="A47" s="33">
        <v>44</v>
      </c>
      <c r="B47" s="30">
        <v>-134</v>
      </c>
      <c r="C47" s="30">
        <v>-3.0454545454545454</v>
      </c>
      <c r="D47" s="35">
        <v>2.0681818181818183</v>
      </c>
      <c r="E47" s="31">
        <v>0.34090909090909088</v>
      </c>
      <c r="F47" s="31">
        <v>0.40909090909090912</v>
      </c>
      <c r="G47" s="31">
        <v>0.28826530612244899</v>
      </c>
      <c r="H47" s="31">
        <v>0.1683673469387755</v>
      </c>
      <c r="I47" s="32">
        <v>7492.0353982300885</v>
      </c>
      <c r="J47" s="32">
        <v>-8572.7272727272721</v>
      </c>
      <c r="K47" s="31">
        <v>9.0909090909090912E-2</v>
      </c>
      <c r="L47" s="31">
        <v>0.25765306122448978</v>
      </c>
      <c r="M47" s="31">
        <v>0.29846938775510207</v>
      </c>
      <c r="N47" s="31">
        <v>0.43564356435643564</v>
      </c>
      <c r="O47" s="31">
        <v>0.40170940170940173</v>
      </c>
      <c r="P47" s="31">
        <v>0.46017699115044247</v>
      </c>
    </row>
    <row r="48" spans="1:16" x14ac:dyDescent="0.4">
      <c r="A48" s="33">
        <v>45</v>
      </c>
      <c r="B48" s="30">
        <v>-146.69999999999999</v>
      </c>
      <c r="C48" s="30">
        <v>-3.26</v>
      </c>
      <c r="D48" s="35">
        <v>2.088888888888889</v>
      </c>
      <c r="E48" s="31">
        <v>0.33333333333333331</v>
      </c>
      <c r="F48" s="31">
        <v>0.42222222222222222</v>
      </c>
      <c r="G48" s="31">
        <v>0.28999999999999998</v>
      </c>
      <c r="H48" s="31">
        <v>0.16500000000000001</v>
      </c>
      <c r="I48" s="32">
        <v>7512.0689655172409</v>
      </c>
      <c r="J48" s="32">
        <v>-8572.7272727272721</v>
      </c>
      <c r="K48" s="31">
        <v>8.8888888888888892E-2</v>
      </c>
      <c r="L48" s="31">
        <v>0.26250000000000001</v>
      </c>
      <c r="M48" s="31">
        <v>0.29749999999999999</v>
      </c>
      <c r="N48" s="31">
        <v>0.43809523809523809</v>
      </c>
      <c r="O48" s="31">
        <v>0.40336134453781514</v>
      </c>
      <c r="P48" s="31">
        <v>0.46551724137931033</v>
      </c>
    </row>
    <row r="49" spans="1:16" x14ac:dyDescent="0.4">
      <c r="A49" s="33">
        <v>46</v>
      </c>
      <c r="B49" s="30">
        <v>-94.6</v>
      </c>
      <c r="C49" s="30">
        <v>-2.0565217391304347</v>
      </c>
      <c r="D49" s="35">
        <v>2.0652173913043477</v>
      </c>
      <c r="E49" s="31">
        <v>0.34782608695652173</v>
      </c>
      <c r="F49" s="31">
        <v>0.41304347826086957</v>
      </c>
      <c r="G49" s="31">
        <v>0.29975429975429974</v>
      </c>
      <c r="H49" s="31">
        <v>0.16216216216216217</v>
      </c>
      <c r="I49" s="32">
        <v>7454.9180327868853</v>
      </c>
      <c r="J49" s="32">
        <v>-8572.7272727272721</v>
      </c>
      <c r="K49" s="31">
        <v>8.6956521739130432E-2</v>
      </c>
      <c r="L49" s="31">
        <v>0.26044226044226043</v>
      </c>
      <c r="M49" s="31">
        <v>0.29975429975429974</v>
      </c>
      <c r="N49" s="31">
        <v>0.44339622641509435</v>
      </c>
      <c r="O49" s="31">
        <v>0.41803278688524592</v>
      </c>
      <c r="P49" s="31">
        <v>0.46721311475409838</v>
      </c>
    </row>
    <row r="50" spans="1:16" x14ac:dyDescent="0.4">
      <c r="A50" s="33">
        <v>47</v>
      </c>
      <c r="B50" s="30">
        <v>-70.099999999999994</v>
      </c>
      <c r="C50" s="30">
        <v>-1.4914893617021276</v>
      </c>
      <c r="D50" s="35">
        <v>2.0425531914893615</v>
      </c>
      <c r="E50" s="31">
        <v>0.36170212765957449</v>
      </c>
      <c r="F50" s="31">
        <v>0.40425531914893614</v>
      </c>
      <c r="G50" s="31">
        <v>0.30048076923076922</v>
      </c>
      <c r="H50" s="31">
        <v>0.16105769230769232</v>
      </c>
      <c r="I50" s="32">
        <v>7409.6</v>
      </c>
      <c r="J50" s="32">
        <v>-8488.059701492537</v>
      </c>
      <c r="K50" s="31">
        <v>8.5106382978723402E-2</v>
      </c>
      <c r="L50" s="31">
        <v>0.25961538461538464</v>
      </c>
      <c r="M50" s="31">
        <v>0.30288461538461536</v>
      </c>
      <c r="N50" s="31">
        <v>0.44444444444444442</v>
      </c>
      <c r="O50" s="31">
        <v>0.41269841269841268</v>
      </c>
      <c r="P50" s="31">
        <v>0.46400000000000002</v>
      </c>
    </row>
    <row r="51" spans="1:16" x14ac:dyDescent="0.4">
      <c r="A51" s="33">
        <v>48</v>
      </c>
      <c r="B51" s="30">
        <v>-31.499999999999993</v>
      </c>
      <c r="C51" s="30">
        <v>-0.65624999999999989</v>
      </c>
      <c r="D51" s="35">
        <v>2.0208333333333335</v>
      </c>
      <c r="E51" s="31">
        <v>0.375</v>
      </c>
      <c r="F51" s="31">
        <v>0.39583333333333331</v>
      </c>
      <c r="G51" s="31">
        <v>0.30188679245283018</v>
      </c>
      <c r="H51" s="31">
        <v>0.15801886792452829</v>
      </c>
      <c r="I51" s="32">
        <v>7529.6875</v>
      </c>
      <c r="J51" s="32">
        <v>-8488.059701492537</v>
      </c>
      <c r="K51" s="31">
        <v>8.3333333333333329E-2</v>
      </c>
      <c r="L51" s="31">
        <v>0.2617924528301887</v>
      </c>
      <c r="M51" s="31">
        <v>0.29716981132075471</v>
      </c>
      <c r="N51" s="31">
        <v>0.45045045045045046</v>
      </c>
      <c r="O51" s="31">
        <v>0.41269841269841268</v>
      </c>
      <c r="P51" s="31">
        <v>0.46875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8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  <row r="67" spans="1:16" x14ac:dyDescent="0.4">
      <c r="A67" s="33">
        <v>64</v>
      </c>
      <c r="B67" s="30">
        <v>-129.5</v>
      </c>
      <c r="C67" s="30">
        <v>-2.0234375</v>
      </c>
      <c r="D67" s="35">
        <v>2.046875</v>
      </c>
      <c r="E67" s="31">
        <v>0.296875</v>
      </c>
      <c r="F67" s="31">
        <v>0.34375</v>
      </c>
      <c r="G67" s="31">
        <v>0.26595744680851063</v>
      </c>
      <c r="H67" s="31">
        <v>0.18971631205673758</v>
      </c>
      <c r="I67" s="32">
        <v>9320</v>
      </c>
      <c r="J67" s="32">
        <v>-7895.3271028037379</v>
      </c>
      <c r="K67" s="31">
        <v>0.125</v>
      </c>
      <c r="L67" s="31">
        <v>0.28368794326241137</v>
      </c>
      <c r="M67" s="31">
        <v>0.21808510638297873</v>
      </c>
      <c r="N67" s="31">
        <v>0.46875</v>
      </c>
      <c r="O67" s="31">
        <v>0.34146341463414637</v>
      </c>
      <c r="P67" s="31">
        <v>0.46666666666666667</v>
      </c>
    </row>
    <row r="68" spans="1:16" x14ac:dyDescent="0.4">
      <c r="A68" s="33">
        <v>65</v>
      </c>
      <c r="B68" s="30">
        <v>-92.4</v>
      </c>
      <c r="C68" s="30">
        <v>-1.4215384615384616</v>
      </c>
      <c r="D68" s="35">
        <v>2.0307692307692307</v>
      </c>
      <c r="E68" s="31">
        <v>0.30769230769230771</v>
      </c>
      <c r="F68" s="31">
        <v>0.33846153846153848</v>
      </c>
      <c r="G68" s="31">
        <v>0.2674825174825175</v>
      </c>
      <c r="H68" s="31">
        <v>0.1888111888111888</v>
      </c>
      <c r="I68" s="32">
        <v>9372.5490196078426</v>
      </c>
      <c r="J68" s="32">
        <v>-7881.4814814814818</v>
      </c>
      <c r="K68" s="31">
        <v>0.12307692307692308</v>
      </c>
      <c r="L68" s="31">
        <v>0.28496503496503495</v>
      </c>
      <c r="M68" s="31">
        <v>0.21503496503496503</v>
      </c>
      <c r="N68" s="31">
        <v>0.47239263803680981</v>
      </c>
      <c r="O68" s="31">
        <v>0.34146341463414637</v>
      </c>
      <c r="P68" s="31">
        <v>0.45751633986928103</v>
      </c>
    </row>
    <row r="69" spans="1:16" x14ac:dyDescent="0.4">
      <c r="A69" s="33">
        <v>66</v>
      </c>
      <c r="B69" s="30">
        <v>-141.4</v>
      </c>
      <c r="C69" s="30">
        <v>-2.1424242424242426</v>
      </c>
      <c r="D69" s="35">
        <v>2.0454545454545454</v>
      </c>
      <c r="E69" s="31">
        <v>0.30303030303030304</v>
      </c>
      <c r="F69" s="31">
        <v>0.34848484848484851</v>
      </c>
      <c r="G69" s="31">
        <v>0.26424870466321243</v>
      </c>
      <c r="H69" s="31">
        <v>0.18998272884283246</v>
      </c>
      <c r="I69" s="32">
        <v>9372.5490196078426</v>
      </c>
      <c r="J69" s="32">
        <v>-7920</v>
      </c>
      <c r="K69" s="31">
        <v>0.13636363636363635</v>
      </c>
      <c r="L69" s="31">
        <v>0.28497409326424872</v>
      </c>
      <c r="M69" s="31">
        <v>0.21588946459412781</v>
      </c>
      <c r="N69" s="31">
        <v>0.46666666666666667</v>
      </c>
      <c r="O69" s="31">
        <v>0.33600000000000002</v>
      </c>
      <c r="P69" s="31">
        <v>0.45751633986928103</v>
      </c>
    </row>
    <row r="70" spans="1:16" x14ac:dyDescent="0.4">
      <c r="A70" s="33">
        <v>67</v>
      </c>
      <c r="B70" s="30">
        <v>-112.7</v>
      </c>
      <c r="C70" s="30">
        <v>-1.682089552238806</v>
      </c>
      <c r="D70" s="35">
        <v>2.0298507462686568</v>
      </c>
      <c r="E70" s="31">
        <v>0.31343283582089554</v>
      </c>
      <c r="F70" s="31">
        <v>0.34328358208955223</v>
      </c>
      <c r="G70" s="31">
        <v>0.2687074829931973</v>
      </c>
      <c r="H70" s="31">
        <v>0.19217687074829931</v>
      </c>
      <c r="I70" s="32">
        <v>9386.7088607594942</v>
      </c>
      <c r="J70" s="32">
        <v>-7965.4867256637172</v>
      </c>
      <c r="K70" s="31">
        <v>0.13432835820895522</v>
      </c>
      <c r="L70" s="31">
        <v>0.2857142857142857</v>
      </c>
      <c r="M70" s="31">
        <v>0.22108843537414966</v>
      </c>
      <c r="N70" s="31">
        <v>0.47619047619047616</v>
      </c>
      <c r="O70" s="31">
        <v>0.33846153846153848</v>
      </c>
      <c r="P70" s="31">
        <v>0.44936708860759494</v>
      </c>
    </row>
    <row r="71" spans="1:16" x14ac:dyDescent="0.4">
      <c r="A71" s="33">
        <v>68</v>
      </c>
      <c r="B71" s="30">
        <v>-163.19999999999999</v>
      </c>
      <c r="C71" s="30">
        <v>-2.4</v>
      </c>
      <c r="D71" s="35">
        <v>2.0441176470588234</v>
      </c>
      <c r="E71" s="31">
        <v>0.30882352941176472</v>
      </c>
      <c r="F71" s="31">
        <v>0.35294117647058826</v>
      </c>
      <c r="G71" s="31">
        <v>0.26554621848739496</v>
      </c>
      <c r="H71" s="31">
        <v>0.19495798319327731</v>
      </c>
      <c r="I71" s="32">
        <v>9386.7088607594942</v>
      </c>
      <c r="J71" s="32">
        <v>-8031.8965517241377</v>
      </c>
      <c r="K71" s="31">
        <v>0.14705882352941177</v>
      </c>
      <c r="L71" s="31">
        <v>0.2857142857142857</v>
      </c>
      <c r="M71" s="31">
        <v>0.22184873949579831</v>
      </c>
      <c r="N71" s="31">
        <v>0.47058823529411764</v>
      </c>
      <c r="O71" s="31">
        <v>0.33333333333333331</v>
      </c>
      <c r="P71" s="31">
        <v>0.44936708860759494</v>
      </c>
    </row>
    <row r="72" spans="1:16" x14ac:dyDescent="0.4">
      <c r="A72" s="33">
        <v>69</v>
      </c>
      <c r="B72" s="30">
        <v>-122.6</v>
      </c>
      <c r="C72" s="30">
        <v>-1.7768115942028984</v>
      </c>
      <c r="D72" s="35">
        <v>2.0289855072463769</v>
      </c>
      <c r="E72" s="31">
        <v>0.3188405797101449</v>
      </c>
      <c r="F72" s="31">
        <v>0.34782608695652173</v>
      </c>
      <c r="G72" s="31">
        <v>0.26897689768976896</v>
      </c>
      <c r="H72" s="31">
        <v>0.19306930693069307</v>
      </c>
      <c r="I72" s="32">
        <v>9296.3190184049072</v>
      </c>
      <c r="J72" s="32">
        <v>-7988.0341880341884</v>
      </c>
      <c r="K72" s="31">
        <v>0.14492753623188406</v>
      </c>
      <c r="L72" s="31">
        <v>0.28712871287128711</v>
      </c>
      <c r="M72" s="31">
        <v>0.22112211221122113</v>
      </c>
      <c r="N72" s="31">
        <v>0.47126436781609193</v>
      </c>
      <c r="O72" s="31">
        <v>0.34328358208955223</v>
      </c>
      <c r="P72" s="31">
        <v>0.45398773006134968</v>
      </c>
    </row>
    <row r="73" spans="1:16" x14ac:dyDescent="0.4">
      <c r="A73" s="33">
        <v>70</v>
      </c>
      <c r="B73" s="30">
        <v>-134.79999999999998</v>
      </c>
      <c r="C73" s="30">
        <v>-1.9257142857142855</v>
      </c>
      <c r="D73" s="35">
        <v>2.0285714285714285</v>
      </c>
      <c r="E73" s="31">
        <v>0.31428571428571428</v>
      </c>
      <c r="F73" s="31">
        <v>0.34285714285714286</v>
      </c>
      <c r="G73" s="31">
        <v>0.26666666666666666</v>
      </c>
      <c r="H73" s="31">
        <v>0.19186991869918699</v>
      </c>
      <c r="I73" s="32">
        <v>9251.8292682926822</v>
      </c>
      <c r="J73" s="32">
        <v>-7953.3898305084749</v>
      </c>
      <c r="K73" s="31">
        <v>0.14285714285714285</v>
      </c>
      <c r="L73" s="31">
        <v>0.28292682926829266</v>
      </c>
      <c r="M73" s="31">
        <v>0.22601626016260162</v>
      </c>
      <c r="N73" s="31">
        <v>0.47126436781609193</v>
      </c>
      <c r="O73" s="31">
        <v>0.33812949640287771</v>
      </c>
      <c r="P73" s="31">
        <v>0.45121951219512196</v>
      </c>
    </row>
    <row r="74" spans="1:16" x14ac:dyDescent="0.4">
      <c r="A74" s="33">
        <v>71</v>
      </c>
      <c r="B74" s="30">
        <v>-102.19999999999999</v>
      </c>
      <c r="C74" s="30">
        <v>-1.4394366197183097</v>
      </c>
      <c r="D74" s="35">
        <v>2.0140845070422535</v>
      </c>
      <c r="E74" s="31">
        <v>0.323943661971831</v>
      </c>
      <c r="F74" s="31">
        <v>0.3380281690140845</v>
      </c>
      <c r="G74" s="31">
        <v>0.26762820512820512</v>
      </c>
      <c r="H74" s="31">
        <v>0.19070512820512819</v>
      </c>
      <c r="I74" s="32">
        <v>9299.4011976047896</v>
      </c>
      <c r="J74" s="32">
        <v>-7953.7815126050418</v>
      </c>
      <c r="K74" s="31">
        <v>0.14084507042253522</v>
      </c>
      <c r="L74" s="31">
        <v>0.28044871794871795</v>
      </c>
      <c r="M74" s="31">
        <v>0.22756410256410256</v>
      </c>
      <c r="N74" s="31">
        <v>0.46857142857142858</v>
      </c>
      <c r="O74" s="31">
        <v>0.34507042253521125</v>
      </c>
      <c r="P74" s="31">
        <v>0.45508982035928142</v>
      </c>
    </row>
    <row r="75" spans="1:16" x14ac:dyDescent="0.4">
      <c r="A75" s="33">
        <v>72</v>
      </c>
      <c r="B75" s="30">
        <v>-87.699999999999989</v>
      </c>
      <c r="C75" s="30">
        <v>-1.2180555555555554</v>
      </c>
      <c r="D75" s="35">
        <v>2</v>
      </c>
      <c r="E75" s="31">
        <v>0.33333333333333331</v>
      </c>
      <c r="F75" s="31">
        <v>0.33333333333333331</v>
      </c>
      <c r="G75" s="31">
        <v>0.26740506329113922</v>
      </c>
      <c r="H75" s="31">
        <v>0.18829113924050633</v>
      </c>
      <c r="I75" s="32">
        <v>9362.7218934911234</v>
      </c>
      <c r="J75" s="32">
        <v>-7953.7815126050418</v>
      </c>
      <c r="K75" s="31">
        <v>0.1388888888888889</v>
      </c>
      <c r="L75" s="31">
        <v>0.28639240506329117</v>
      </c>
      <c r="M75" s="31">
        <v>0.22468354430379747</v>
      </c>
      <c r="N75" s="31">
        <v>0.46408839779005523</v>
      </c>
      <c r="O75" s="31">
        <v>0.34507042253521125</v>
      </c>
      <c r="P75" s="31">
        <v>0.46153846153846156</v>
      </c>
    </row>
    <row r="76" spans="1:16" x14ac:dyDescent="0.4">
      <c r="A76" s="33">
        <v>73</v>
      </c>
      <c r="B76" s="30">
        <v>-121.19999999999999</v>
      </c>
      <c r="C76" s="30">
        <v>-1.6602739726027396</v>
      </c>
      <c r="D76" s="35">
        <v>2.0136986301369864</v>
      </c>
      <c r="E76" s="31">
        <v>0.32876712328767121</v>
      </c>
      <c r="F76" s="31">
        <v>0.34246575342465752</v>
      </c>
      <c r="G76" s="31">
        <v>0.265625</v>
      </c>
      <c r="H76" s="31">
        <v>0.19218750000000001</v>
      </c>
      <c r="I76" s="32">
        <v>9378.2352941176468</v>
      </c>
      <c r="J76" s="32">
        <v>-7963.4146341463411</v>
      </c>
      <c r="K76" s="31">
        <v>0.13698630136986301</v>
      </c>
      <c r="L76" s="31">
        <v>0.28437499999999999</v>
      </c>
      <c r="M76" s="31">
        <v>0.22343750000000001</v>
      </c>
      <c r="N76" s="31">
        <v>0.46703296703296704</v>
      </c>
      <c r="O76" s="31">
        <v>0.34265734265734266</v>
      </c>
      <c r="P76" s="31">
        <v>0.46470588235294119</v>
      </c>
    </row>
    <row r="77" spans="1:16" x14ac:dyDescent="0.4">
      <c r="A77" s="33">
        <v>74</v>
      </c>
      <c r="B77" s="30">
        <v>-96.299999999999983</v>
      </c>
      <c r="C77" s="30">
        <v>-1.301351351351351</v>
      </c>
      <c r="D77" s="35">
        <v>2</v>
      </c>
      <c r="E77" s="31">
        <v>0.33783783783783783</v>
      </c>
      <c r="F77" s="31">
        <v>0.33783783783783783</v>
      </c>
      <c r="G77" s="31">
        <v>0.26493108728943338</v>
      </c>
      <c r="H77" s="31">
        <v>0.19295558958652373</v>
      </c>
      <c r="I77" s="32">
        <v>9475.7225433526019</v>
      </c>
      <c r="J77" s="32">
        <v>-7925.3968253968251</v>
      </c>
      <c r="K77" s="31">
        <v>0.13513513513513514</v>
      </c>
      <c r="L77" s="31">
        <v>0.28330781010719758</v>
      </c>
      <c r="M77" s="31">
        <v>0.22511485451761101</v>
      </c>
      <c r="N77" s="31">
        <v>0.4702702702702703</v>
      </c>
      <c r="O77" s="31">
        <v>0.3401360544217687</v>
      </c>
      <c r="P77" s="31">
        <v>0.46242774566473988</v>
      </c>
    </row>
    <row r="78" spans="1:16" x14ac:dyDescent="0.4">
      <c r="A78" s="33">
        <v>75</v>
      </c>
      <c r="B78" s="30">
        <v>-101.69999999999999</v>
      </c>
      <c r="C78" s="30">
        <v>-1.3559999999999999</v>
      </c>
      <c r="D78" s="35">
        <v>2</v>
      </c>
      <c r="E78" s="31">
        <v>0.33333333333333331</v>
      </c>
      <c r="F78" s="31">
        <v>0.33333333333333331</v>
      </c>
      <c r="G78" s="31">
        <v>0.2669683257918552</v>
      </c>
      <c r="H78" s="31">
        <v>0.19306184012066366</v>
      </c>
      <c r="I78" s="32">
        <v>9425.4237288135591</v>
      </c>
      <c r="J78" s="32">
        <v>-7957.8125</v>
      </c>
      <c r="K78" s="31">
        <v>0.13333333333333333</v>
      </c>
      <c r="L78" s="31">
        <v>0.28657616892911009</v>
      </c>
      <c r="M78" s="31">
        <v>0.22322775263951736</v>
      </c>
      <c r="N78" s="31">
        <v>0.46842105263157896</v>
      </c>
      <c r="O78" s="31">
        <v>0.34459459459459457</v>
      </c>
      <c r="P78" s="31">
        <v>0.4632768361581921</v>
      </c>
    </row>
    <row r="79" spans="1:16" x14ac:dyDescent="0.4">
      <c r="A79" s="33">
        <v>76</v>
      </c>
      <c r="B79" s="30">
        <v>-119.19999999999999</v>
      </c>
      <c r="C79" s="30">
        <v>-1.5684210526315787</v>
      </c>
      <c r="D79" s="35">
        <v>2.013157894736842</v>
      </c>
      <c r="E79" s="31">
        <v>0.32894736842105265</v>
      </c>
      <c r="F79" s="31">
        <v>0.34210526315789475</v>
      </c>
      <c r="G79" s="31">
        <v>0.26587887740029542</v>
      </c>
      <c r="H79" s="31">
        <v>0.19350073855243721</v>
      </c>
      <c r="I79" s="32">
        <v>9468.3333333333339</v>
      </c>
      <c r="J79" s="32">
        <v>-7864.8854961832058</v>
      </c>
      <c r="K79" s="31">
        <v>0.13157894736842105</v>
      </c>
      <c r="L79" s="31">
        <v>0.28951255539143278</v>
      </c>
      <c r="M79" s="31">
        <v>0.22304283604135894</v>
      </c>
      <c r="N79" s="31">
        <v>0.4642857142857143</v>
      </c>
      <c r="O79" s="31">
        <v>0.3443708609271523</v>
      </c>
      <c r="P79" s="31">
        <v>0.46111111111111114</v>
      </c>
    </row>
    <row r="80" spans="1:16" x14ac:dyDescent="0.4">
      <c r="A80" s="33">
        <v>77</v>
      </c>
      <c r="B80" s="30">
        <v>-113.6</v>
      </c>
      <c r="C80" s="30">
        <v>-1.4753246753246751</v>
      </c>
      <c r="D80" s="35">
        <v>2.0129870129870131</v>
      </c>
      <c r="E80" s="31">
        <v>0.32467532467532467</v>
      </c>
      <c r="F80" s="31">
        <v>0.33766233766233766</v>
      </c>
      <c r="G80" s="31">
        <v>0.26676384839650147</v>
      </c>
      <c r="H80" s="31">
        <v>0.19387755102040816</v>
      </c>
      <c r="I80" s="32">
        <v>9438.7978142076499</v>
      </c>
      <c r="J80" s="32">
        <v>-7840.6015037593988</v>
      </c>
      <c r="K80" s="31">
        <v>0.12987012987012986</v>
      </c>
      <c r="L80" s="31">
        <v>0.29008746355685133</v>
      </c>
      <c r="M80" s="31">
        <v>0.22303206997084549</v>
      </c>
      <c r="N80" s="31">
        <v>0.46733668341708545</v>
      </c>
      <c r="O80" s="31">
        <v>0.34640522875816993</v>
      </c>
      <c r="P80" s="31">
        <v>0.45901639344262296</v>
      </c>
    </row>
    <row r="81" spans="1:16" x14ac:dyDescent="0.4">
      <c r="A81" s="33">
        <v>78</v>
      </c>
      <c r="B81" s="30">
        <v>-103.89999999999999</v>
      </c>
      <c r="C81" s="30">
        <v>-1.332051282051282</v>
      </c>
      <c r="D81" s="35">
        <v>2.0128205128205128</v>
      </c>
      <c r="E81" s="31">
        <v>0.32051282051282054</v>
      </c>
      <c r="F81" s="31">
        <v>0.33333333333333331</v>
      </c>
      <c r="G81" s="31">
        <v>0.2665706051873199</v>
      </c>
      <c r="H81" s="31">
        <v>0.1930835734870317</v>
      </c>
      <c r="I81" s="32">
        <v>9488.1081081081084</v>
      </c>
      <c r="J81" s="32">
        <v>-7841.7910447761196</v>
      </c>
      <c r="K81" s="31">
        <v>0.12820512820512819</v>
      </c>
      <c r="L81" s="31">
        <v>0.29106628242074928</v>
      </c>
      <c r="M81" s="31">
        <v>0.22190201729106629</v>
      </c>
      <c r="N81" s="31">
        <v>0.46534653465346537</v>
      </c>
      <c r="O81" s="31">
        <v>0.34415584415584416</v>
      </c>
      <c r="P81" s="31">
        <v>0.45945945945945948</v>
      </c>
    </row>
    <row r="82" spans="1:16" x14ac:dyDescent="0.4">
      <c r="A82" s="33">
        <v>79</v>
      </c>
      <c r="B82" s="30">
        <v>-111.3</v>
      </c>
      <c r="C82" s="30">
        <v>-1.4088607594936708</v>
      </c>
      <c r="D82" s="35">
        <v>2.0126582278481013</v>
      </c>
      <c r="E82" s="31">
        <v>0.31645569620253167</v>
      </c>
      <c r="F82" s="31">
        <v>0.32911392405063289</v>
      </c>
      <c r="G82" s="31">
        <v>0.265625</v>
      </c>
      <c r="H82" s="31">
        <v>0.19318181818181818</v>
      </c>
      <c r="I82" s="32">
        <v>9514.9732620320847</v>
      </c>
      <c r="J82" s="32">
        <v>-7813.9705882352937</v>
      </c>
      <c r="K82" s="31">
        <v>0.12658227848101267</v>
      </c>
      <c r="L82" s="31">
        <v>0.28693181818181818</v>
      </c>
      <c r="M82" s="31">
        <v>0.22585227272727273</v>
      </c>
      <c r="N82" s="31">
        <v>0.46534653465346537</v>
      </c>
      <c r="O82" s="31">
        <v>0.33962264150943394</v>
      </c>
      <c r="P82" s="31">
        <v>0.45989304812834225</v>
      </c>
    </row>
    <row r="83" spans="1:16" x14ac:dyDescent="0.4">
      <c r="A83" s="33">
        <v>80</v>
      </c>
      <c r="B83" s="30">
        <v>-86.9</v>
      </c>
      <c r="C83" s="30">
        <v>-1.0862500000000002</v>
      </c>
      <c r="D83" s="35">
        <v>2</v>
      </c>
      <c r="E83" s="31">
        <v>0.32500000000000001</v>
      </c>
      <c r="F83" s="31">
        <v>0.32500000000000001</v>
      </c>
      <c r="G83" s="31">
        <v>0.26619718309859153</v>
      </c>
      <c r="H83" s="31">
        <v>0.19436619718309858</v>
      </c>
      <c r="I83" s="32">
        <v>9541.269841269841</v>
      </c>
      <c r="J83" s="32">
        <v>-7777.536231884058</v>
      </c>
      <c r="K83" s="31">
        <v>0.125</v>
      </c>
      <c r="L83" s="31">
        <v>0.28591549295774649</v>
      </c>
      <c r="M83" s="31">
        <v>0.22816901408450704</v>
      </c>
      <c r="N83" s="31">
        <v>0.46798029556650245</v>
      </c>
      <c r="O83" s="31">
        <v>0.33950617283950618</v>
      </c>
      <c r="P83" s="31">
        <v>0.46031746031746029</v>
      </c>
    </row>
    <row r="84" spans="1:16" x14ac:dyDescent="0.4">
      <c r="A84" s="33">
        <v>81</v>
      </c>
      <c r="B84" s="30">
        <v>-132.9</v>
      </c>
      <c r="C84" s="30">
        <v>-1.6407407407407408</v>
      </c>
      <c r="D84" s="35">
        <v>2.0123456790123457</v>
      </c>
      <c r="E84" s="31">
        <v>0.32098765432098764</v>
      </c>
      <c r="F84" s="31">
        <v>0.33333333333333331</v>
      </c>
      <c r="G84" s="31">
        <v>0.26490984743411927</v>
      </c>
      <c r="H84" s="31">
        <v>0.19694868238557559</v>
      </c>
      <c r="I84" s="32">
        <v>9472.2513089005242</v>
      </c>
      <c r="J84" s="32">
        <v>-7730.9859154929582</v>
      </c>
      <c r="K84" s="31">
        <v>0.13580246913580246</v>
      </c>
      <c r="L84" s="31">
        <v>0.2857142857142857</v>
      </c>
      <c r="M84" s="31">
        <v>0.22607489597780861</v>
      </c>
      <c r="N84" s="31">
        <v>0.46601941747572817</v>
      </c>
      <c r="O84" s="31">
        <v>0.34355828220858897</v>
      </c>
      <c r="P84" s="31">
        <v>0.45549738219895286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2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  <row r="103" spans="1:16" x14ac:dyDescent="0.4">
      <c r="A103" s="33">
        <v>100</v>
      </c>
      <c r="B103" s="30">
        <v>196.39999999999995</v>
      </c>
      <c r="C103" s="30">
        <v>1.9639999999999995</v>
      </c>
      <c r="D103" s="35">
        <v>2</v>
      </c>
      <c r="E103" s="31">
        <v>0.34</v>
      </c>
      <c r="F103" s="31">
        <v>0.34</v>
      </c>
      <c r="G103" s="31">
        <v>0.3233890214797136</v>
      </c>
      <c r="H103" s="31">
        <v>0.17899761336515513</v>
      </c>
      <c r="I103" s="32">
        <v>8241.3284132841327</v>
      </c>
      <c r="J103" s="32">
        <v>-7228</v>
      </c>
      <c r="K103" s="31">
        <v>0.08</v>
      </c>
      <c r="L103" s="31">
        <v>0.25059665871121717</v>
      </c>
      <c r="M103" s="31">
        <v>0.21121718377088305</v>
      </c>
      <c r="N103" s="31">
        <v>0.57619047619047614</v>
      </c>
      <c r="O103" s="31">
        <v>0.4576271186440678</v>
      </c>
      <c r="P103" s="31">
        <v>0.4870848708487085</v>
      </c>
    </row>
    <row r="104" spans="1:16" x14ac:dyDescent="0.4">
      <c r="A104" s="33">
        <v>101</v>
      </c>
      <c r="B104" s="30">
        <v>158.99999999999994</v>
      </c>
      <c r="C104" s="30">
        <v>1.5742574257425737</v>
      </c>
      <c r="D104" s="35">
        <v>2.0099009900990099</v>
      </c>
      <c r="E104" s="31">
        <v>0.33663366336633666</v>
      </c>
      <c r="F104" s="31">
        <v>0.34653465346534651</v>
      </c>
      <c r="G104" s="31">
        <v>0.32269503546099293</v>
      </c>
      <c r="H104" s="31">
        <v>0.18085106382978725</v>
      </c>
      <c r="I104" s="32">
        <v>8228.5714285714294</v>
      </c>
      <c r="J104" s="32">
        <v>-7321.5686274509808</v>
      </c>
      <c r="K104" s="31">
        <v>7.9207920792079209E-2</v>
      </c>
      <c r="L104" s="31">
        <v>0.25177304964539005</v>
      </c>
      <c r="M104" s="31">
        <v>0.2115839243498818</v>
      </c>
      <c r="N104" s="31">
        <v>0.57276995305164324</v>
      </c>
      <c r="O104" s="31">
        <v>0.45251396648044695</v>
      </c>
      <c r="P104" s="31">
        <v>0.48717948717948717</v>
      </c>
    </row>
    <row r="105" spans="1:16" x14ac:dyDescent="0.4">
      <c r="A105" s="33">
        <v>102</v>
      </c>
      <c r="B105" s="30">
        <v>147.99999999999994</v>
      </c>
      <c r="C105" s="30">
        <v>1.4509803921568623</v>
      </c>
      <c r="D105" s="35">
        <v>2.0098039215686274</v>
      </c>
      <c r="E105" s="31">
        <v>0.33333333333333331</v>
      </c>
      <c r="F105" s="31">
        <v>0.34313725490196079</v>
      </c>
      <c r="G105" s="31">
        <v>0.3212192262602579</v>
      </c>
      <c r="H105" s="31">
        <v>0.17936694021101993</v>
      </c>
      <c r="I105" s="32">
        <v>8213.1386861313877</v>
      </c>
      <c r="J105" s="32">
        <v>-7321.5686274509808</v>
      </c>
      <c r="K105" s="31">
        <v>7.8431372549019607E-2</v>
      </c>
      <c r="L105" s="31">
        <v>0.25205158264947247</v>
      </c>
      <c r="M105" s="31">
        <v>0.21219226260257915</v>
      </c>
      <c r="N105" s="31">
        <v>0.5720930232558139</v>
      </c>
      <c r="O105" s="31">
        <v>0.44751381215469616</v>
      </c>
      <c r="P105" s="31">
        <v>0.48905109489051096</v>
      </c>
    </row>
    <row r="106" spans="1:16" x14ac:dyDescent="0.4">
      <c r="A106" s="33">
        <v>103</v>
      </c>
      <c r="B106" s="30">
        <v>123.79999999999994</v>
      </c>
      <c r="C106" s="30">
        <v>1.2019417475728149</v>
      </c>
      <c r="D106" s="35">
        <v>2.0194174757281553</v>
      </c>
      <c r="E106" s="31">
        <v>0.3300970873786408</v>
      </c>
      <c r="F106" s="31">
        <v>0.34951456310679613</v>
      </c>
      <c r="G106" s="31">
        <v>0.32018561484918795</v>
      </c>
      <c r="H106" s="31">
        <v>0.17981438515081208</v>
      </c>
      <c r="I106" s="32">
        <v>8200.36231884058</v>
      </c>
      <c r="J106" s="32">
        <v>-7353.5483870967746</v>
      </c>
      <c r="K106" s="31">
        <v>7.7669902912621352E-2</v>
      </c>
      <c r="L106" s="31">
        <v>0.25174013921113692</v>
      </c>
      <c r="M106" s="31">
        <v>0.21229698375870071</v>
      </c>
      <c r="N106" s="31">
        <v>0.56682027649769584</v>
      </c>
      <c r="O106" s="31">
        <v>0.44808743169398907</v>
      </c>
      <c r="P106" s="31">
        <v>0.48550724637681159</v>
      </c>
    </row>
    <row r="107" spans="1:16" x14ac:dyDescent="0.4">
      <c r="A107" s="33">
        <v>104</v>
      </c>
      <c r="B107" s="30">
        <v>173.19999999999993</v>
      </c>
      <c r="C107" s="30">
        <v>1.6653846153846148</v>
      </c>
      <c r="D107" s="35">
        <v>2.0096153846153846</v>
      </c>
      <c r="E107" s="31">
        <v>0.33653846153846156</v>
      </c>
      <c r="F107" s="31">
        <v>0.34615384615384615</v>
      </c>
      <c r="G107" s="31">
        <v>0.32336018411967782</v>
      </c>
      <c r="H107" s="31">
        <v>0.17836593785960875</v>
      </c>
      <c r="I107" s="32">
        <v>8169.7508896797153</v>
      </c>
      <c r="J107" s="32">
        <v>-7353.5483870967746</v>
      </c>
      <c r="K107" s="31">
        <v>7.6923076923076927E-2</v>
      </c>
      <c r="L107" s="31">
        <v>0.25086306098964328</v>
      </c>
      <c r="M107" s="31">
        <v>0.21288837744533948</v>
      </c>
      <c r="N107" s="31">
        <v>0.56880733944954132</v>
      </c>
      <c r="O107" s="31">
        <v>0.45405405405405408</v>
      </c>
      <c r="P107" s="31">
        <v>0.4804270462633452</v>
      </c>
    </row>
    <row r="108" spans="1:16" x14ac:dyDescent="0.4">
      <c r="A108" s="33">
        <v>105</v>
      </c>
      <c r="B108" s="30">
        <v>184.39999999999992</v>
      </c>
      <c r="C108" s="30">
        <v>1.7561904761904754</v>
      </c>
      <c r="D108" s="35">
        <v>2.0095238095238095</v>
      </c>
      <c r="E108" s="31">
        <v>0.33333333333333331</v>
      </c>
      <c r="F108" s="31">
        <v>0.34285714285714286</v>
      </c>
      <c r="G108" s="31">
        <v>0.32272727272727275</v>
      </c>
      <c r="H108" s="31">
        <v>0.17727272727272728</v>
      </c>
      <c r="I108" s="32">
        <v>8168.3098591549297</v>
      </c>
      <c r="J108" s="32">
        <v>-7314.7435897435898</v>
      </c>
      <c r="K108" s="31">
        <v>7.6190476190476197E-2</v>
      </c>
      <c r="L108" s="31">
        <v>0.24886363636363637</v>
      </c>
      <c r="M108" s="31">
        <v>0.21136363636363636</v>
      </c>
      <c r="N108" s="31">
        <v>0.57077625570776258</v>
      </c>
      <c r="O108" s="31">
        <v>0.45161290322580644</v>
      </c>
      <c r="P108" s="31">
        <v>0.47535211267605632</v>
      </c>
    </row>
    <row r="109" spans="1:16" x14ac:dyDescent="0.4">
      <c r="A109" s="33">
        <v>106</v>
      </c>
      <c r="B109" s="30">
        <v>219.09999999999991</v>
      </c>
      <c r="C109" s="30">
        <v>2.0669811320754707</v>
      </c>
      <c r="D109" s="35">
        <v>2</v>
      </c>
      <c r="E109" s="31">
        <v>0.33962264150943394</v>
      </c>
      <c r="F109" s="31">
        <v>0.33962264150943394</v>
      </c>
      <c r="G109" s="31">
        <v>0.32283464566929132</v>
      </c>
      <c r="H109" s="31">
        <v>0.17547806524184478</v>
      </c>
      <c r="I109" s="32">
        <v>8179.4425087108011</v>
      </c>
      <c r="J109" s="32">
        <v>-7314.7435897435898</v>
      </c>
      <c r="K109" s="31">
        <v>7.5471698113207544E-2</v>
      </c>
      <c r="L109" s="31">
        <v>0.24971878515185603</v>
      </c>
      <c r="M109" s="31">
        <v>0.21147356580427445</v>
      </c>
      <c r="N109" s="31">
        <v>0.57657657657657657</v>
      </c>
      <c r="O109" s="31">
        <v>0.44680851063829785</v>
      </c>
      <c r="P109" s="31">
        <v>0.47386759581881532</v>
      </c>
    </row>
    <row r="110" spans="1:16" x14ac:dyDescent="0.4">
      <c r="A110" s="33">
        <v>107</v>
      </c>
      <c r="B110" s="30">
        <v>218.2999999999999</v>
      </c>
      <c r="C110" s="30">
        <v>2.0401869158878494</v>
      </c>
      <c r="D110" s="35">
        <v>2</v>
      </c>
      <c r="E110" s="31">
        <v>0.3364485981308411</v>
      </c>
      <c r="F110" s="31">
        <v>0.3364485981308411</v>
      </c>
      <c r="G110" s="31">
        <v>0.32218506131549612</v>
      </c>
      <c r="H110" s="31">
        <v>0.17502787068004461</v>
      </c>
      <c r="I110" s="32">
        <v>8177.1626297577859</v>
      </c>
      <c r="J110" s="32">
        <v>-7301.2738853503188</v>
      </c>
      <c r="K110" s="31">
        <v>7.476635514018691E-2</v>
      </c>
      <c r="L110" s="31">
        <v>0.24860646599777034</v>
      </c>
      <c r="M110" s="31">
        <v>0.21181716833890746</v>
      </c>
      <c r="N110" s="31">
        <v>0.57399103139013452</v>
      </c>
      <c r="O110" s="31">
        <v>0.45263157894736844</v>
      </c>
      <c r="P110" s="31">
        <v>0.47058823529411764</v>
      </c>
    </row>
    <row r="111" spans="1:16" x14ac:dyDescent="0.4">
      <c r="A111" s="33">
        <v>108</v>
      </c>
      <c r="B111" s="30">
        <v>209.59999999999991</v>
      </c>
      <c r="C111" s="30">
        <v>1.94074074074074</v>
      </c>
      <c r="D111" s="35">
        <v>2</v>
      </c>
      <c r="E111" s="31">
        <v>0.33333333333333331</v>
      </c>
      <c r="F111" s="31">
        <v>0.33333333333333331</v>
      </c>
      <c r="G111" s="31">
        <v>0.32119205298013243</v>
      </c>
      <c r="H111" s="31">
        <v>0.17549668874172186</v>
      </c>
      <c r="I111" s="32">
        <v>8171.8213058419242</v>
      </c>
      <c r="J111" s="32">
        <v>-7270.4402515723268</v>
      </c>
      <c r="K111" s="31">
        <v>7.407407407407407E-2</v>
      </c>
      <c r="L111" s="31">
        <v>0.24724061810154527</v>
      </c>
      <c r="M111" s="31">
        <v>0.21302428256070641</v>
      </c>
      <c r="N111" s="31">
        <v>0.5758928571428571</v>
      </c>
      <c r="O111" s="31">
        <v>0.45077720207253885</v>
      </c>
      <c r="P111" s="31">
        <v>0.47422680412371132</v>
      </c>
    </row>
    <row r="112" spans="1:16" x14ac:dyDescent="0.4">
      <c r="A112" s="33">
        <v>109</v>
      </c>
      <c r="B112" s="30">
        <v>207.7999999999999</v>
      </c>
      <c r="C112" s="30">
        <v>1.9064220183486229</v>
      </c>
      <c r="D112" s="35">
        <v>2</v>
      </c>
      <c r="E112" s="31">
        <v>0.33027522935779818</v>
      </c>
      <c r="F112" s="31">
        <v>0.33027522935779818</v>
      </c>
      <c r="G112" s="31">
        <v>0.32056892778993434</v>
      </c>
      <c r="H112" s="31">
        <v>0.17505470459518599</v>
      </c>
      <c r="I112" s="32">
        <v>8197.9522184300349</v>
      </c>
      <c r="J112" s="32">
        <v>-7257.5</v>
      </c>
      <c r="K112" s="31">
        <v>7.3394495412844041E-2</v>
      </c>
      <c r="L112" s="31">
        <v>0.24617067833698031</v>
      </c>
      <c r="M112" s="31">
        <v>0.21115973741794311</v>
      </c>
      <c r="N112" s="31">
        <v>0.57777777777777772</v>
      </c>
      <c r="O112" s="31">
        <v>0.45077720207253885</v>
      </c>
      <c r="P112" s="31">
        <v>0.47781569965870307</v>
      </c>
    </row>
    <row r="113" spans="1:16" x14ac:dyDescent="0.4">
      <c r="A113" s="33">
        <v>110</v>
      </c>
      <c r="B113" s="30">
        <v>257.69999999999987</v>
      </c>
      <c r="C113" s="30">
        <v>2.3427272727272714</v>
      </c>
      <c r="D113" s="35">
        <v>1.990909090909091</v>
      </c>
      <c r="E113" s="31">
        <v>0.33636363636363636</v>
      </c>
      <c r="F113" s="31">
        <v>0.32727272727272727</v>
      </c>
      <c r="G113" s="31">
        <v>0.324295010845987</v>
      </c>
      <c r="H113" s="31">
        <v>0.17353579175704989</v>
      </c>
      <c r="I113" s="32">
        <v>8181.939799331104</v>
      </c>
      <c r="J113" s="32">
        <v>-7257.5</v>
      </c>
      <c r="K113" s="31">
        <v>7.2727272727272724E-2</v>
      </c>
      <c r="L113" s="31">
        <v>0.24620390455531455</v>
      </c>
      <c r="M113" s="31">
        <v>0.21149674620390455</v>
      </c>
      <c r="N113" s="31">
        <v>0.5770925110132159</v>
      </c>
      <c r="O113" s="31">
        <v>0.4564102564102564</v>
      </c>
      <c r="P113" s="31">
        <v>0.47157190635451507</v>
      </c>
    </row>
    <row r="114" spans="1:16" x14ac:dyDescent="0.4">
      <c r="A114" s="33">
        <v>111</v>
      </c>
      <c r="B114" s="30">
        <v>233.09999999999988</v>
      </c>
      <c r="C114" s="30">
        <v>2.0999999999999988</v>
      </c>
      <c r="D114" s="35">
        <v>2</v>
      </c>
      <c r="E114" s="31">
        <v>0.33333333333333331</v>
      </c>
      <c r="F114" s="31">
        <v>0.33333333333333331</v>
      </c>
      <c r="G114" s="31">
        <v>0.32403433476394849</v>
      </c>
      <c r="H114" s="31">
        <v>0.17596566523605151</v>
      </c>
      <c r="I114" s="32">
        <v>8182.1192052980132</v>
      </c>
      <c r="J114" s="32">
        <v>-7282.9268292682927</v>
      </c>
      <c r="K114" s="31">
        <v>7.2072072072072071E-2</v>
      </c>
      <c r="L114" s="31">
        <v>0.24463519313304721</v>
      </c>
      <c r="M114" s="31">
        <v>0.21244635193133046</v>
      </c>
      <c r="N114" s="31">
        <v>0.57894736842105265</v>
      </c>
      <c r="O114" s="31">
        <v>0.45454545454545453</v>
      </c>
      <c r="P114" s="31">
        <v>0.47019867549668876</v>
      </c>
    </row>
    <row r="115" spans="1:16" x14ac:dyDescent="0.4">
      <c r="A115" s="33">
        <v>112</v>
      </c>
      <c r="B115" s="30">
        <v>256.69999999999987</v>
      </c>
      <c r="C115" s="30">
        <v>2.2919642857142848</v>
      </c>
      <c r="D115" s="35">
        <v>1.9910714285714286</v>
      </c>
      <c r="E115" s="31">
        <v>0.3392857142857143</v>
      </c>
      <c r="F115" s="31">
        <v>0.33035714285714285</v>
      </c>
      <c r="G115" s="31">
        <v>0.32340425531914896</v>
      </c>
      <c r="H115" s="31">
        <v>0.17553191489361702</v>
      </c>
      <c r="I115" s="32">
        <v>8207.2368421052633</v>
      </c>
      <c r="J115" s="32">
        <v>-7262.424242424242</v>
      </c>
      <c r="K115" s="31">
        <v>7.1428571428571425E-2</v>
      </c>
      <c r="L115" s="31">
        <v>0.24361702127659574</v>
      </c>
      <c r="M115" s="31">
        <v>0.21063829787234042</v>
      </c>
      <c r="N115" s="31">
        <v>0.58078602620087338</v>
      </c>
      <c r="O115" s="31">
        <v>0.45454545454545453</v>
      </c>
      <c r="P115" s="31">
        <v>0.46710526315789475</v>
      </c>
    </row>
    <row r="116" spans="1:16" x14ac:dyDescent="0.4">
      <c r="A116" s="33">
        <v>113</v>
      </c>
      <c r="B116" s="30">
        <v>234.69999999999987</v>
      </c>
      <c r="C116" s="30">
        <v>2.0769911504424767</v>
      </c>
      <c r="D116" s="35">
        <v>2</v>
      </c>
      <c r="E116" s="31">
        <v>0.33628318584070799</v>
      </c>
      <c r="F116" s="31">
        <v>0.33628318584070799</v>
      </c>
      <c r="G116" s="31">
        <v>0.32528856243441762</v>
      </c>
      <c r="H116" s="31">
        <v>0.17628541448058763</v>
      </c>
      <c r="I116" s="32">
        <v>8141.9354838709678</v>
      </c>
      <c r="J116" s="32">
        <v>-7358.9285714285716</v>
      </c>
      <c r="K116" s="31">
        <v>7.0796460176991149E-2</v>
      </c>
      <c r="L116" s="31">
        <v>0.24239244491080797</v>
      </c>
      <c r="M116" s="31">
        <v>0.20986358866736621</v>
      </c>
      <c r="N116" s="31">
        <v>0.58441558441558439</v>
      </c>
      <c r="O116" s="31">
        <v>0.46</v>
      </c>
      <c r="P116" s="31">
        <v>0.46451612903225808</v>
      </c>
    </row>
    <row r="117" spans="1:16" x14ac:dyDescent="0.4">
      <c r="A117" s="33">
        <v>114</v>
      </c>
      <c r="B117" s="30">
        <v>186.69999999999987</v>
      </c>
      <c r="C117" s="30">
        <v>1.637719298245613</v>
      </c>
      <c r="D117" s="35">
        <v>2.0087719298245612</v>
      </c>
      <c r="E117" s="31">
        <v>0.33333333333333331</v>
      </c>
      <c r="F117" s="31">
        <v>0.34210526315789475</v>
      </c>
      <c r="G117" s="31">
        <v>0.32392894461859978</v>
      </c>
      <c r="H117" s="31">
        <v>0.17659352142110762</v>
      </c>
      <c r="I117" s="32">
        <v>8141.9354838709678</v>
      </c>
      <c r="J117" s="32">
        <v>-7386.3905325443784</v>
      </c>
      <c r="K117" s="31">
        <v>7.8947368421052627E-2</v>
      </c>
      <c r="L117" s="31">
        <v>0.24242424242424243</v>
      </c>
      <c r="M117" s="31">
        <v>0.2089864158829676</v>
      </c>
      <c r="N117" s="31">
        <v>0.5818965517241379</v>
      </c>
      <c r="O117" s="31">
        <v>0.46</v>
      </c>
      <c r="P117" s="31">
        <v>0.46451612903225808</v>
      </c>
    </row>
    <row r="118" spans="1:16" x14ac:dyDescent="0.4">
      <c r="A118" s="33">
        <v>115</v>
      </c>
      <c r="B118" s="30">
        <v>143.79999999999987</v>
      </c>
      <c r="C118" s="30">
        <v>1.2504347826086946</v>
      </c>
      <c r="D118" s="35">
        <v>2.017391304347826</v>
      </c>
      <c r="E118" s="31">
        <v>0.33043478260869563</v>
      </c>
      <c r="F118" s="31">
        <v>0.34782608695652173</v>
      </c>
      <c r="G118" s="31">
        <v>0.3215767634854772</v>
      </c>
      <c r="H118" s="31">
        <v>0.17738589211618258</v>
      </c>
      <c r="I118" s="32">
        <v>8141.9354838709678</v>
      </c>
      <c r="J118" s="32">
        <v>-7415.2046783625728</v>
      </c>
      <c r="K118" s="31">
        <v>7.8260869565217397E-2</v>
      </c>
      <c r="L118" s="31">
        <v>0.2437759336099585</v>
      </c>
      <c r="M118" s="31">
        <v>0.2074688796680498</v>
      </c>
      <c r="N118" s="31">
        <v>0.57446808510638303</v>
      </c>
      <c r="O118" s="31">
        <v>0.46</v>
      </c>
      <c r="P118" s="31">
        <v>0.46451612903225808</v>
      </c>
    </row>
    <row r="119" spans="1:16" x14ac:dyDescent="0.4">
      <c r="A119" s="33">
        <v>116</v>
      </c>
      <c r="B119" s="30">
        <v>199.79999999999987</v>
      </c>
      <c r="C119" s="30">
        <v>1.7224137931034471</v>
      </c>
      <c r="D119" s="35">
        <v>2.0086206896551726</v>
      </c>
      <c r="E119" s="31">
        <v>0.33620689655172414</v>
      </c>
      <c r="F119" s="31">
        <v>0.34482758620689657</v>
      </c>
      <c r="G119" s="31">
        <v>0.32340862422997946</v>
      </c>
      <c r="H119" s="31">
        <v>0.17556468172484599</v>
      </c>
      <c r="I119" s="32">
        <v>8164.4444444444443</v>
      </c>
      <c r="J119" s="32">
        <v>-7415.2046783625728</v>
      </c>
      <c r="K119" s="31">
        <v>7.7586206896551727E-2</v>
      </c>
      <c r="L119" s="31">
        <v>0.24640657084188911</v>
      </c>
      <c r="M119" s="31">
        <v>0.20739219712525667</v>
      </c>
      <c r="N119" s="31">
        <v>0.57499999999999996</v>
      </c>
      <c r="O119" s="31">
        <v>0.46039603960396042</v>
      </c>
      <c r="P119" s="31">
        <v>0.46349206349206351</v>
      </c>
    </row>
    <row r="120" spans="1:16" x14ac:dyDescent="0.4">
      <c r="A120" s="33">
        <v>117</v>
      </c>
      <c r="B120" s="30">
        <v>215.19999999999987</v>
      </c>
      <c r="C120" s="30">
        <v>1.8393162393162383</v>
      </c>
      <c r="D120" s="35">
        <v>2</v>
      </c>
      <c r="E120" s="31">
        <v>0.34188034188034189</v>
      </c>
      <c r="F120" s="31">
        <v>0.34188034188034189</v>
      </c>
      <c r="G120" s="31">
        <v>0.32388663967611336</v>
      </c>
      <c r="H120" s="31">
        <v>0.17408906882591094</v>
      </c>
      <c r="I120" s="32">
        <v>8156.25</v>
      </c>
      <c r="J120" s="32">
        <v>-7441.8604651162786</v>
      </c>
      <c r="K120" s="31">
        <v>7.6923076923076927E-2</v>
      </c>
      <c r="L120" s="31">
        <v>0.24595141700404857</v>
      </c>
      <c r="M120" s="31">
        <v>0.20748987854251011</v>
      </c>
      <c r="N120" s="31">
        <v>0.58024691358024694</v>
      </c>
      <c r="O120" s="31">
        <v>0.45853658536585368</v>
      </c>
      <c r="P120" s="31">
        <v>0.46562500000000001</v>
      </c>
    </row>
    <row r="121" spans="1:16" x14ac:dyDescent="0.4">
      <c r="A121" s="33">
        <v>118</v>
      </c>
      <c r="B121" s="30">
        <v>163.49999999999989</v>
      </c>
      <c r="C121" s="30">
        <v>1.385593220338982</v>
      </c>
      <c r="D121" s="35">
        <v>2.0084745762711864</v>
      </c>
      <c r="E121" s="31">
        <v>0.33898305084745761</v>
      </c>
      <c r="F121" s="31">
        <v>0.34745762711864409</v>
      </c>
      <c r="G121" s="31">
        <v>0.32293762575452717</v>
      </c>
      <c r="H121" s="31">
        <v>0.1750503018108652</v>
      </c>
      <c r="I121" s="32">
        <v>8137.071651090343</v>
      </c>
      <c r="J121" s="32">
        <v>-7538.5057471264372</v>
      </c>
      <c r="K121" s="31">
        <v>8.4745762711864403E-2</v>
      </c>
      <c r="L121" s="31">
        <v>0.24547283702213279</v>
      </c>
      <c r="M121" s="31">
        <v>0.20724346076458752</v>
      </c>
      <c r="N121" s="31">
        <v>0.57786885245901642</v>
      </c>
      <c r="O121" s="31">
        <v>0.46116504854368934</v>
      </c>
      <c r="P121" s="31">
        <v>0.46417445482866043</v>
      </c>
    </row>
    <row r="122" spans="1:16" x14ac:dyDescent="0.4">
      <c r="A122" s="33">
        <v>119</v>
      </c>
      <c r="B122" s="30">
        <v>130.99999999999989</v>
      </c>
      <c r="C122" s="30">
        <v>1.1008403361344528</v>
      </c>
      <c r="D122" s="35">
        <v>2.0168067226890756</v>
      </c>
      <c r="E122" s="31">
        <v>0.33613445378151263</v>
      </c>
      <c r="F122" s="31">
        <v>0.35294117647058826</v>
      </c>
      <c r="G122" s="31">
        <v>0.32100000000000001</v>
      </c>
      <c r="H122" s="31">
        <v>0.17599999999999999</v>
      </c>
      <c r="I122" s="32">
        <v>8137.071651090343</v>
      </c>
      <c r="J122" s="32">
        <v>-7543.75</v>
      </c>
      <c r="K122" s="31">
        <v>8.4033613445378158E-2</v>
      </c>
      <c r="L122" s="31">
        <v>0.245</v>
      </c>
      <c r="M122" s="31">
        <v>0.20599999999999999</v>
      </c>
      <c r="N122" s="31">
        <v>0.57551020408163267</v>
      </c>
      <c r="O122" s="31">
        <v>0.46116504854368934</v>
      </c>
      <c r="P122" s="31">
        <v>0.46417445482866043</v>
      </c>
    </row>
    <row r="123" spans="1:16" x14ac:dyDescent="0.4">
      <c r="A123" s="33">
        <v>120</v>
      </c>
      <c r="B123" s="30">
        <v>100.89999999999989</v>
      </c>
      <c r="C123" s="30">
        <v>0.84083333333333243</v>
      </c>
      <c r="D123" s="35">
        <v>2.0249999999999999</v>
      </c>
      <c r="E123" s="31">
        <v>0.33333333333333331</v>
      </c>
      <c r="F123" s="31">
        <v>0.35833333333333334</v>
      </c>
      <c r="G123" s="31">
        <v>0.3201189296333003</v>
      </c>
      <c r="H123" s="31">
        <v>0.17740336967294351</v>
      </c>
      <c r="I123" s="32">
        <v>8125.3869969040252</v>
      </c>
      <c r="J123" s="32">
        <v>-7568.1564245810059</v>
      </c>
      <c r="K123" s="31">
        <v>8.3333333333333329E-2</v>
      </c>
      <c r="L123" s="31">
        <v>0.24578790882061446</v>
      </c>
      <c r="M123" s="31">
        <v>0.20515361744301289</v>
      </c>
      <c r="N123" s="31">
        <v>0.57258064516129037</v>
      </c>
      <c r="O123" s="31">
        <v>0.46376811594202899</v>
      </c>
      <c r="P123" s="31">
        <v>0.46130030959752322</v>
      </c>
    </row>
    <row r="124" spans="1:16" x14ac:dyDescent="0.4">
      <c r="A124" s="33">
        <v>121</v>
      </c>
      <c r="B124" s="30">
        <v>52.599999999999895</v>
      </c>
      <c r="C124" s="30">
        <v>0.43471074380165203</v>
      </c>
      <c r="D124" s="35">
        <v>2.0330578512396693</v>
      </c>
      <c r="E124" s="31">
        <v>0.33057851239669422</v>
      </c>
      <c r="F124" s="31">
        <v>0.36363636363636365</v>
      </c>
      <c r="G124" s="31">
        <v>0.31760078662733532</v>
      </c>
      <c r="H124" s="31">
        <v>0.17699115044247787</v>
      </c>
      <c r="I124" s="32">
        <v>8125.3869969040252</v>
      </c>
      <c r="J124" s="32">
        <v>-7592.7777777777774</v>
      </c>
      <c r="K124" s="31">
        <v>9.0909090909090912E-2</v>
      </c>
      <c r="L124" s="31">
        <v>0.24582104228121926</v>
      </c>
      <c r="M124" s="31">
        <v>0.20353982300884957</v>
      </c>
      <c r="N124" s="31">
        <v>0.56799999999999995</v>
      </c>
      <c r="O124" s="31">
        <v>0.46376811594202899</v>
      </c>
      <c r="P124" s="31">
        <v>0.46130030959752322</v>
      </c>
    </row>
    <row r="125" spans="1:16" x14ac:dyDescent="0.4">
      <c r="A125" s="33">
        <v>122</v>
      </c>
      <c r="B125" s="30">
        <v>23.499999999999893</v>
      </c>
      <c r="C125" s="30">
        <v>0.19262295081967126</v>
      </c>
      <c r="D125" s="35">
        <v>2.040983606557377</v>
      </c>
      <c r="E125" s="31">
        <v>0.32786885245901637</v>
      </c>
      <c r="F125" s="31">
        <v>0.36885245901639346</v>
      </c>
      <c r="G125" s="31">
        <v>0.31548198636806229</v>
      </c>
      <c r="H125" s="31">
        <v>0.17624148003894841</v>
      </c>
      <c r="I125" s="32">
        <v>8125</v>
      </c>
      <c r="J125" s="32">
        <v>-7565.1933701657463</v>
      </c>
      <c r="K125" s="31">
        <v>9.0163934426229511E-2</v>
      </c>
      <c r="L125" s="31">
        <v>0.24732229795520935</v>
      </c>
      <c r="M125" s="31">
        <v>0.20155793573515093</v>
      </c>
      <c r="N125" s="31">
        <v>0.56299212598425197</v>
      </c>
      <c r="O125" s="31">
        <v>0.46376811594202899</v>
      </c>
      <c r="P125" s="31">
        <v>0.45987654320987653</v>
      </c>
    </row>
    <row r="126" spans="1:16" x14ac:dyDescent="0.4">
      <c r="A126" s="33">
        <v>123</v>
      </c>
      <c r="B126" s="30">
        <v>-3.3000000000001073</v>
      </c>
      <c r="C126" s="30">
        <v>-2.6829268292683801E-2</v>
      </c>
      <c r="D126" s="35">
        <v>2.0487804878048781</v>
      </c>
      <c r="E126" s="31">
        <v>0.32520325203252032</v>
      </c>
      <c r="F126" s="31">
        <v>0.37398373983739835</v>
      </c>
      <c r="G126" s="31">
        <v>0.31558567279767669</v>
      </c>
      <c r="H126" s="31">
        <v>0.17618586640851888</v>
      </c>
      <c r="I126" s="32">
        <v>8091.1042944785277</v>
      </c>
      <c r="J126" s="32">
        <v>-7611.5384615384619</v>
      </c>
      <c r="K126" s="31">
        <v>8.943089430894309E-2</v>
      </c>
      <c r="L126" s="31">
        <v>0.24878993223620524</v>
      </c>
      <c r="M126" s="31">
        <v>0.20038722168441434</v>
      </c>
      <c r="N126" s="31">
        <v>0.56420233463035019</v>
      </c>
      <c r="O126" s="31">
        <v>0.46376811594202899</v>
      </c>
      <c r="P126" s="31">
        <v>0.45705521472392641</v>
      </c>
    </row>
    <row r="127" spans="1:16" x14ac:dyDescent="0.4">
      <c r="A127" s="33">
        <v>124</v>
      </c>
      <c r="B127" s="30">
        <v>36.999999999999886</v>
      </c>
      <c r="C127" s="30">
        <v>0.29838709677419262</v>
      </c>
      <c r="D127" s="35">
        <v>2.0403225806451615</v>
      </c>
      <c r="E127" s="31">
        <v>0.33064516129032256</v>
      </c>
      <c r="F127" s="31">
        <v>0.37096774193548387</v>
      </c>
      <c r="G127" s="31">
        <v>0.31513409961685823</v>
      </c>
      <c r="H127" s="31">
        <v>0.17624521072796934</v>
      </c>
      <c r="I127" s="32">
        <v>8151.0638297872338</v>
      </c>
      <c r="J127" s="32">
        <v>-7560.869565217391</v>
      </c>
      <c r="K127" s="31">
        <v>8.8709677419354843E-2</v>
      </c>
      <c r="L127" s="31">
        <v>0.24904214559386972</v>
      </c>
      <c r="M127" s="31">
        <v>0.20019157088122605</v>
      </c>
      <c r="N127" s="31">
        <v>0.56153846153846154</v>
      </c>
      <c r="O127" s="31">
        <v>0.46411483253588515</v>
      </c>
      <c r="P127" s="31">
        <v>0.45896656534954405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5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  <row r="127" spans="1:16" x14ac:dyDescent="0.4">
      <c r="A127" s="33">
        <v>124</v>
      </c>
      <c r="B127" s="30">
        <v>3.5527136788005009E-14</v>
      </c>
      <c r="C127" s="30">
        <v>9.5503055881733897E-17</v>
      </c>
      <c r="D127" s="35">
        <v>1.9973118279569892</v>
      </c>
      <c r="E127" s="31">
        <v>0.33602150537634407</v>
      </c>
      <c r="F127" s="31">
        <v>0.33333333333333331</v>
      </c>
      <c r="G127" s="31">
        <v>0.29299562226391496</v>
      </c>
      <c r="H127" s="31">
        <v>0.16010006253908693</v>
      </c>
      <c r="I127" s="32">
        <v>8103.8420490928493</v>
      </c>
      <c r="J127" s="32">
        <v>-7604.1015625</v>
      </c>
      <c r="K127" s="31">
        <v>8.6021505376344093E-2</v>
      </c>
      <c r="L127" s="31">
        <v>0.24390243902439024</v>
      </c>
      <c r="M127" s="31">
        <v>0.22576610381488429</v>
      </c>
      <c r="N127" s="31">
        <v>0.517948717948718</v>
      </c>
      <c r="O127" s="31">
        <v>0.41135734072022162</v>
      </c>
      <c r="P127" s="31">
        <v>0.44717182497331909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1.9973333333333334</v>
      </c>
      <c r="E128" s="31">
        <v>0.33600000000000002</v>
      </c>
      <c r="F128" s="31">
        <v>0.33333333333333331</v>
      </c>
      <c r="G128" s="31">
        <v>0.29298572315332094</v>
      </c>
      <c r="H128" s="31">
        <v>0.16045934202358783</v>
      </c>
      <c r="I128" s="32">
        <v>8109.2161016949149</v>
      </c>
      <c r="J128" s="32">
        <v>-7614.506769825919</v>
      </c>
      <c r="K128" s="31">
        <v>8.533333333333333E-2</v>
      </c>
      <c r="L128" s="31">
        <v>0.24487895716945995</v>
      </c>
      <c r="M128" s="31">
        <v>0.22501551831160771</v>
      </c>
      <c r="N128" s="31">
        <v>0.51837769328263628</v>
      </c>
      <c r="O128" s="31">
        <v>0.40965517241379312</v>
      </c>
      <c r="P128" s="31">
        <v>0.44597457627118642</v>
      </c>
    </row>
    <row r="129" spans="1:16" x14ac:dyDescent="0.4">
      <c r="A129" s="33">
        <v>126</v>
      </c>
      <c r="B129" s="30">
        <v>3.5527136788005009E-14</v>
      </c>
      <c r="C129" s="30">
        <v>9.3987134359801607E-17</v>
      </c>
      <c r="D129" s="35">
        <v>1.9973544973544974</v>
      </c>
      <c r="E129" s="31">
        <v>0.33597883597883599</v>
      </c>
      <c r="F129" s="31">
        <v>0.33333333333333331</v>
      </c>
      <c r="G129" s="31">
        <v>0.29263028060437868</v>
      </c>
      <c r="H129" s="31">
        <v>0.16003700277520813</v>
      </c>
      <c r="I129" s="32">
        <v>8114.9631190727077</v>
      </c>
      <c r="J129" s="32">
        <v>-7623.6994219653179</v>
      </c>
      <c r="K129" s="31">
        <v>8.7301587301587297E-2</v>
      </c>
      <c r="L129" s="31">
        <v>0.24545174221399937</v>
      </c>
      <c r="M129" s="31">
        <v>0.22510021584952206</v>
      </c>
      <c r="N129" s="31">
        <v>0.51633165829145733</v>
      </c>
      <c r="O129" s="31">
        <v>0.40821917808219177</v>
      </c>
      <c r="P129" s="31">
        <v>0.44678609062170704</v>
      </c>
    </row>
    <row r="130" spans="1:16" x14ac:dyDescent="0.4">
      <c r="A130" s="33">
        <v>127</v>
      </c>
      <c r="B130" s="30">
        <v>3.5527136788005009E-14</v>
      </c>
      <c r="C130" s="30">
        <v>9.3247078183740181E-17</v>
      </c>
      <c r="D130" s="35">
        <v>1.9973753280839894</v>
      </c>
      <c r="E130" s="31">
        <v>0.33595800524934383</v>
      </c>
      <c r="F130" s="31">
        <v>0.33333333333333331</v>
      </c>
      <c r="G130" s="31">
        <v>0.29296636085626909</v>
      </c>
      <c r="H130" s="31">
        <v>0.16085626911314985</v>
      </c>
      <c r="I130" s="32">
        <v>8124.321503131524</v>
      </c>
      <c r="J130" s="32">
        <v>-7640.1140684410648</v>
      </c>
      <c r="K130" s="31">
        <v>8.6614173228346455E-2</v>
      </c>
      <c r="L130" s="31">
        <v>0.24495412844036699</v>
      </c>
      <c r="M130" s="31">
        <v>0.22599388379204893</v>
      </c>
      <c r="N130" s="31">
        <v>0.5168539325842697</v>
      </c>
      <c r="O130" s="31">
        <v>0.40730717185385656</v>
      </c>
      <c r="P130" s="31">
        <v>0.44467640918580376</v>
      </c>
    </row>
    <row r="131" spans="1:16" x14ac:dyDescent="0.4">
      <c r="A131" s="33">
        <v>128</v>
      </c>
      <c r="B131" s="30">
        <v>3.5527136788005009E-14</v>
      </c>
      <c r="C131" s="30">
        <v>9.2518585385429716E-17</v>
      </c>
      <c r="D131" s="35">
        <v>1.9973958333333333</v>
      </c>
      <c r="E131" s="31">
        <v>0.3359375</v>
      </c>
      <c r="F131" s="31">
        <v>0.33333333333333331</v>
      </c>
      <c r="G131" s="31">
        <v>0.29322394408994229</v>
      </c>
      <c r="H131" s="31">
        <v>0.16165299301124278</v>
      </c>
      <c r="I131" s="32">
        <v>8119.6891191709847</v>
      </c>
      <c r="J131" s="32">
        <v>-7637.9699248120305</v>
      </c>
      <c r="K131" s="31">
        <v>8.8541666666666671E-2</v>
      </c>
      <c r="L131" s="31">
        <v>0.24491036159222121</v>
      </c>
      <c r="M131" s="31">
        <v>0.22576724399878456</v>
      </c>
      <c r="N131" s="31">
        <v>0.51736972704714645</v>
      </c>
      <c r="O131" s="31">
        <v>0.40780619111709288</v>
      </c>
      <c r="P131" s="31">
        <v>0.44248704663212435</v>
      </c>
    </row>
    <row r="132" spans="1:16" x14ac:dyDescent="0.4">
      <c r="A132" s="33">
        <v>129</v>
      </c>
      <c r="B132" s="30">
        <v>4.2632564145606011E-14</v>
      </c>
      <c r="C132" s="30">
        <v>1.1016166445893026E-16</v>
      </c>
      <c r="D132" s="35">
        <v>1.9974160206718345</v>
      </c>
      <c r="E132" s="31">
        <v>0.33591731266149871</v>
      </c>
      <c r="F132" s="31">
        <v>0.33333333333333331</v>
      </c>
      <c r="G132" s="31">
        <v>0.29332129963898917</v>
      </c>
      <c r="H132" s="31">
        <v>0.16125150421179302</v>
      </c>
      <c r="I132" s="32">
        <v>8101.1282051282051</v>
      </c>
      <c r="J132" s="32">
        <v>-7635.6343283582091</v>
      </c>
      <c r="K132" s="31">
        <v>9.0439276485788117E-2</v>
      </c>
      <c r="L132" s="31">
        <v>0.24458483754512636</v>
      </c>
      <c r="M132" s="31">
        <v>0.22503008423586041</v>
      </c>
      <c r="N132" s="31">
        <v>0.5178351783517835</v>
      </c>
      <c r="O132" s="31">
        <v>0.40775401069518719</v>
      </c>
      <c r="P132" s="31">
        <v>0.44307692307692309</v>
      </c>
    </row>
    <row r="133" spans="1:16" x14ac:dyDescent="0.4">
      <c r="A133" s="33">
        <v>130</v>
      </c>
      <c r="B133" s="30">
        <v>4.6185277824406512E-14</v>
      </c>
      <c r="C133" s="30">
        <v>1.1842378929335003E-16</v>
      </c>
      <c r="D133" s="35">
        <v>1.9974358974358974</v>
      </c>
      <c r="E133" s="31">
        <v>0.33589743589743587</v>
      </c>
      <c r="F133" s="31">
        <v>0.33333333333333331</v>
      </c>
      <c r="G133" s="31">
        <v>0.29304685168606387</v>
      </c>
      <c r="H133" s="31">
        <v>0.16114592658907789</v>
      </c>
      <c r="I133" s="32">
        <v>8087.7800407331979</v>
      </c>
      <c r="J133" s="32">
        <v>-7627.0370370370374</v>
      </c>
      <c r="K133" s="31">
        <v>8.9743589743589744E-2</v>
      </c>
      <c r="L133" s="31">
        <v>0.24410623694419575</v>
      </c>
      <c r="M133" s="31">
        <v>0.22649955237242614</v>
      </c>
      <c r="N133" s="31">
        <v>0.51955990220048898</v>
      </c>
      <c r="O133" s="31">
        <v>0.40579710144927539</v>
      </c>
      <c r="P133" s="31">
        <v>0.44297352342158858</v>
      </c>
    </row>
    <row r="134" spans="1:16" x14ac:dyDescent="0.4">
      <c r="A134" s="33">
        <v>131</v>
      </c>
      <c r="B134" s="30">
        <v>4.6185277824406512E-14</v>
      </c>
      <c r="C134" s="30">
        <v>1.1751979090179773E-16</v>
      </c>
      <c r="D134" s="35">
        <v>1.9974554707379135</v>
      </c>
      <c r="E134" s="31">
        <v>0.33587786259541985</v>
      </c>
      <c r="F134" s="31">
        <v>0.33333333333333331</v>
      </c>
      <c r="G134" s="31">
        <v>0.29333333333333333</v>
      </c>
      <c r="H134" s="31">
        <v>0.16148148148148148</v>
      </c>
      <c r="I134" s="32">
        <v>8075.5555555555557</v>
      </c>
      <c r="J134" s="32">
        <v>-7616.6972477064219</v>
      </c>
      <c r="K134" s="31">
        <v>8.9058524173027995E-2</v>
      </c>
      <c r="L134" s="31">
        <v>0.24414814814814814</v>
      </c>
      <c r="M134" s="31">
        <v>0.22755555555555557</v>
      </c>
      <c r="N134" s="31">
        <v>0.52063106796116509</v>
      </c>
      <c r="O134" s="31">
        <v>0.40625</v>
      </c>
      <c r="P134" s="31">
        <v>0.44242424242424244</v>
      </c>
    </row>
    <row r="135" spans="1:16" x14ac:dyDescent="0.4">
      <c r="A135" s="33">
        <v>132</v>
      </c>
      <c r="B135" s="30">
        <v>4.9737991503207013E-14</v>
      </c>
      <c r="C135" s="30">
        <v>1.2560098864446215E-16</v>
      </c>
      <c r="D135" s="35">
        <v>1.9974747474747474</v>
      </c>
      <c r="E135" s="31">
        <v>0.33585858585858586</v>
      </c>
      <c r="F135" s="31">
        <v>0.33333333333333331</v>
      </c>
      <c r="G135" s="31">
        <v>0.29335684891240449</v>
      </c>
      <c r="H135" s="31">
        <v>0.16137566137566137</v>
      </c>
      <c r="I135" s="32">
        <v>8079.1583166332666</v>
      </c>
      <c r="J135" s="32">
        <v>-7615.3005464480875</v>
      </c>
      <c r="K135" s="31">
        <v>8.8383838383838384E-2</v>
      </c>
      <c r="L135" s="31">
        <v>0.2430922986478542</v>
      </c>
      <c r="M135" s="31">
        <v>0.22810111699000588</v>
      </c>
      <c r="N135" s="31">
        <v>0.5211608222490931</v>
      </c>
      <c r="O135" s="31">
        <v>0.40592783505154639</v>
      </c>
      <c r="P135" s="31">
        <v>0.44288577154308617</v>
      </c>
    </row>
    <row r="136" spans="1:16" x14ac:dyDescent="0.4">
      <c r="A136" s="33">
        <v>133</v>
      </c>
      <c r="B136" s="30">
        <v>5.0404125317982107E-14</v>
      </c>
      <c r="C136" s="30">
        <v>1.2632612861649651E-16</v>
      </c>
      <c r="D136" s="35">
        <v>1.9974937343358397</v>
      </c>
      <c r="E136" s="31">
        <v>0.33583959899749372</v>
      </c>
      <c r="F136" s="31">
        <v>0.33333333333333331</v>
      </c>
      <c r="G136" s="31">
        <v>0.29334500875656744</v>
      </c>
      <c r="H136" s="31">
        <v>0.16053706946876825</v>
      </c>
      <c r="I136" s="32">
        <v>8100.5970149253735</v>
      </c>
      <c r="J136" s="32">
        <v>-7610.909090909091</v>
      </c>
      <c r="K136" s="31">
        <v>8.771929824561403E-2</v>
      </c>
      <c r="L136" s="31">
        <v>0.24460011675423235</v>
      </c>
      <c r="M136" s="31">
        <v>0.22708698190309398</v>
      </c>
      <c r="N136" s="31">
        <v>0.52028639618138428</v>
      </c>
      <c r="O136" s="31">
        <v>0.40616966580976865</v>
      </c>
      <c r="P136" s="31">
        <v>0.44577114427860698</v>
      </c>
    </row>
    <row r="137" spans="1:16" x14ac:dyDescent="0.4">
      <c r="A137" s="33">
        <v>134</v>
      </c>
      <c r="B137" s="30">
        <v>4.6185277824406512E-14</v>
      </c>
      <c r="C137" s="30">
        <v>1.1488875080698137E-16</v>
      </c>
      <c r="D137" s="35">
        <v>1.9975124378109452</v>
      </c>
      <c r="E137" s="31">
        <v>0.33582089552238809</v>
      </c>
      <c r="F137" s="31">
        <v>0.33333333333333331</v>
      </c>
      <c r="G137" s="31">
        <v>0.29333333333333333</v>
      </c>
      <c r="H137" s="31">
        <v>0.16086956521739129</v>
      </c>
      <c r="I137" s="32">
        <v>8104.249011857708</v>
      </c>
      <c r="J137" s="32">
        <v>-7607.9279279279281</v>
      </c>
      <c r="K137" s="31">
        <v>8.7064676616915429E-2</v>
      </c>
      <c r="L137" s="31">
        <v>0.24492753623188407</v>
      </c>
      <c r="M137" s="31">
        <v>0.22782608695652173</v>
      </c>
      <c r="N137" s="31">
        <v>0.51834319526627215</v>
      </c>
      <c r="O137" s="31">
        <v>0.40458015267175573</v>
      </c>
      <c r="P137" s="31">
        <v>0.44466403162055335</v>
      </c>
    </row>
    <row r="138" spans="1:16" x14ac:dyDescent="0.4">
      <c r="A138" s="33">
        <v>135</v>
      </c>
      <c r="B138" s="30">
        <v>4.6185277824406512E-14</v>
      </c>
      <c r="C138" s="30">
        <v>1.1403772302322596E-16</v>
      </c>
      <c r="D138" s="35">
        <v>1.9975308641975309</v>
      </c>
      <c r="E138" s="31">
        <v>0.33580246913580247</v>
      </c>
      <c r="F138" s="31">
        <v>0.33333333333333331</v>
      </c>
      <c r="G138" s="31">
        <v>0.29367816091954024</v>
      </c>
      <c r="H138" s="31">
        <v>0.1617816091954023</v>
      </c>
      <c r="I138" s="32">
        <v>8112.8180039138942</v>
      </c>
      <c r="J138" s="32">
        <v>-7639.7868561278865</v>
      </c>
      <c r="K138" s="31">
        <v>8.6419753086419748E-2</v>
      </c>
      <c r="L138" s="31">
        <v>0.2439655172413793</v>
      </c>
      <c r="M138" s="31">
        <v>0.22729885057471264</v>
      </c>
      <c r="N138" s="31">
        <v>0.52061248527679627</v>
      </c>
      <c r="O138" s="31">
        <v>0.40455120101137798</v>
      </c>
      <c r="P138" s="31">
        <v>0.44227005870841485</v>
      </c>
    </row>
    <row r="139" spans="1:16" x14ac:dyDescent="0.4">
      <c r="A139" s="33">
        <v>136</v>
      </c>
      <c r="B139" s="30">
        <v>4.9737991503207013E-14</v>
      </c>
      <c r="C139" s="30">
        <v>1.2190684191962504E-16</v>
      </c>
      <c r="D139" s="35">
        <v>1.9975490196078431</v>
      </c>
      <c r="E139" s="31">
        <v>0.33578431372549017</v>
      </c>
      <c r="F139" s="31">
        <v>0.33333333333333331</v>
      </c>
      <c r="G139" s="31">
        <v>0.29337899543378998</v>
      </c>
      <c r="H139" s="31">
        <v>0.16210045662100456</v>
      </c>
      <c r="I139" s="32">
        <v>8113.035019455253</v>
      </c>
      <c r="J139" s="32">
        <v>-7637.5</v>
      </c>
      <c r="K139" s="31">
        <v>8.5784313725490197E-2</v>
      </c>
      <c r="L139" s="31">
        <v>0.24286529680365296</v>
      </c>
      <c r="M139" s="31">
        <v>0.22688356164383561</v>
      </c>
      <c r="N139" s="31">
        <v>0.52173913043478259</v>
      </c>
      <c r="O139" s="31">
        <v>0.40503144654088052</v>
      </c>
      <c r="P139" s="31">
        <v>0.44066147859922178</v>
      </c>
    </row>
    <row r="140" spans="1:16" x14ac:dyDescent="0.4">
      <c r="A140" s="33">
        <v>137</v>
      </c>
      <c r="B140" s="30">
        <v>4.9737991503207013E-14</v>
      </c>
      <c r="C140" s="30">
        <v>1.2101701095670806E-16</v>
      </c>
      <c r="D140" s="35">
        <v>1.997566909975669</v>
      </c>
      <c r="E140" s="31">
        <v>0.33576642335766421</v>
      </c>
      <c r="F140" s="31">
        <v>0.33333333333333331</v>
      </c>
      <c r="G140" s="31">
        <v>0.29353655094552639</v>
      </c>
      <c r="H140" s="31">
        <v>0.16285633643804684</v>
      </c>
      <c r="I140" s="32">
        <v>8121.3461538461543</v>
      </c>
      <c r="J140" s="32">
        <v>-7669.1507798960138</v>
      </c>
      <c r="K140" s="31">
        <v>8.5158150851581502E-2</v>
      </c>
      <c r="L140" s="31">
        <v>0.24273214789726222</v>
      </c>
      <c r="M140" s="31">
        <v>0.22777307366638441</v>
      </c>
      <c r="N140" s="31">
        <v>0.52441860465116275</v>
      </c>
      <c r="O140" s="31">
        <v>0.40272614622057001</v>
      </c>
      <c r="P140" s="31">
        <v>0.43846153846153846</v>
      </c>
    </row>
    <row r="141" spans="1:16" x14ac:dyDescent="0.4">
      <c r="A141" s="33">
        <v>138</v>
      </c>
      <c r="B141" s="30">
        <v>5.6843418860808015E-14</v>
      </c>
      <c r="C141" s="30">
        <v>1.3730294410823191E-16</v>
      </c>
      <c r="D141" s="35">
        <v>1.9975845410628019</v>
      </c>
      <c r="E141" s="31">
        <v>0.33574879227053139</v>
      </c>
      <c r="F141" s="31">
        <v>0.33333333333333331</v>
      </c>
      <c r="G141" s="31">
        <v>0.29367088607594938</v>
      </c>
      <c r="H141" s="31">
        <v>0.16258790436005627</v>
      </c>
      <c r="I141" s="32">
        <v>8141.954022988506</v>
      </c>
      <c r="J141" s="32">
        <v>-7676.6435986159167</v>
      </c>
      <c r="K141" s="31">
        <v>8.6956521739130432E-2</v>
      </c>
      <c r="L141" s="31">
        <v>0.24303797468354429</v>
      </c>
      <c r="M141" s="31">
        <v>0.22728551336146272</v>
      </c>
      <c r="N141" s="31">
        <v>0.52430555555555558</v>
      </c>
      <c r="O141" s="31">
        <v>0.40346534653465349</v>
      </c>
      <c r="P141" s="31">
        <v>0.43965517241379309</v>
      </c>
    </row>
    <row r="142" spans="1:16" x14ac:dyDescent="0.4">
      <c r="A142" s="33">
        <v>139</v>
      </c>
      <c r="B142" s="30">
        <v>6.3948846218409017E-14</v>
      </c>
      <c r="C142" s="30">
        <v>1.5335454728635257E-16</v>
      </c>
      <c r="D142" s="35">
        <v>1.9976019184652278</v>
      </c>
      <c r="E142" s="31">
        <v>0.33573141486810554</v>
      </c>
      <c r="F142" s="31">
        <v>0.33333333333333331</v>
      </c>
      <c r="G142" s="31">
        <v>0.29390380313199105</v>
      </c>
      <c r="H142" s="31">
        <v>0.16275167785234898</v>
      </c>
      <c r="I142" s="32">
        <v>8135.3948620361562</v>
      </c>
      <c r="J142" s="32">
        <v>-7677.6632302405496</v>
      </c>
      <c r="K142" s="31">
        <v>8.6330935251798566E-2</v>
      </c>
      <c r="L142" s="31">
        <v>0.2430089485458613</v>
      </c>
      <c r="M142" s="31">
        <v>0.22678970917225952</v>
      </c>
      <c r="N142" s="31">
        <v>0.52243958573072502</v>
      </c>
      <c r="O142" s="31">
        <v>0.40567200986436497</v>
      </c>
      <c r="P142" s="31">
        <v>0.43958135109419599</v>
      </c>
    </row>
    <row r="143" spans="1:16" x14ac:dyDescent="0.4">
      <c r="A143" s="33">
        <v>140</v>
      </c>
      <c r="B143" s="30">
        <v>6.3948846218409017E-14</v>
      </c>
      <c r="C143" s="30">
        <v>1.5225915766287861E-16</v>
      </c>
      <c r="D143" s="35">
        <v>1.9976190476190476</v>
      </c>
      <c r="E143" s="31">
        <v>0.33571428571428569</v>
      </c>
      <c r="F143" s="31">
        <v>0.33333333333333331</v>
      </c>
      <c r="G143" s="31">
        <v>0.29395452024403773</v>
      </c>
      <c r="H143" s="31">
        <v>0.16278424847476428</v>
      </c>
      <c r="I143" s="32">
        <v>8138.7735849056608</v>
      </c>
      <c r="J143" s="32">
        <v>-7675.1277683134585</v>
      </c>
      <c r="K143" s="31">
        <v>8.8095238095238101E-2</v>
      </c>
      <c r="L143" s="31">
        <v>0.24431503050471437</v>
      </c>
      <c r="M143" s="31">
        <v>0.22628951747088186</v>
      </c>
      <c r="N143" s="31">
        <v>0.52099886492622016</v>
      </c>
      <c r="O143" s="31">
        <v>0.40563725490196079</v>
      </c>
      <c r="P143" s="31">
        <v>0.43962264150943398</v>
      </c>
    </row>
    <row r="144" spans="1:16" x14ac:dyDescent="0.4">
      <c r="A144" s="33">
        <v>141</v>
      </c>
      <c r="B144" s="30">
        <v>6.3948846218409017E-14</v>
      </c>
      <c r="C144" s="30">
        <v>1.5117930548087238E-16</v>
      </c>
      <c r="D144" s="35">
        <v>1.9976359338061467</v>
      </c>
      <c r="E144" s="31">
        <v>0.33569739952718675</v>
      </c>
      <c r="F144" s="31">
        <v>0.33333333333333331</v>
      </c>
      <c r="G144" s="31">
        <v>0.29385964912280704</v>
      </c>
      <c r="H144" s="31">
        <v>0.16228070175438597</v>
      </c>
      <c r="I144" s="32">
        <v>8150.9328358208959</v>
      </c>
      <c r="J144" s="32">
        <v>-7670.6081081081084</v>
      </c>
      <c r="K144" s="31">
        <v>8.7470449172576833E-2</v>
      </c>
      <c r="L144" s="31">
        <v>0.24561403508771928</v>
      </c>
      <c r="M144" s="31">
        <v>0.22532894736842105</v>
      </c>
      <c r="N144" s="31">
        <v>0.5223214285714286</v>
      </c>
      <c r="O144" s="31">
        <v>0.4051094890510949</v>
      </c>
      <c r="P144" s="31">
        <v>0.4412313432835821</v>
      </c>
    </row>
    <row r="145" spans="1:16" x14ac:dyDescent="0.4">
      <c r="A145" s="33">
        <v>142</v>
      </c>
      <c r="B145" s="30">
        <v>4.9737991503207013E-14</v>
      </c>
      <c r="C145" s="30">
        <v>1.167558485990775E-16</v>
      </c>
      <c r="D145" s="35">
        <v>1.9976525821596245</v>
      </c>
      <c r="E145" s="31">
        <v>0.33568075117370894</v>
      </c>
      <c r="F145" s="31">
        <v>0.33333333333333331</v>
      </c>
      <c r="G145" s="31">
        <v>0.29405346426623025</v>
      </c>
      <c r="H145" s="31">
        <v>0.16257501363884341</v>
      </c>
      <c r="I145" s="32">
        <v>8158.9981447124301</v>
      </c>
      <c r="J145" s="32">
        <v>-7682.2147651006708</v>
      </c>
      <c r="K145" s="31">
        <v>8.9201877934272297E-2</v>
      </c>
      <c r="L145" s="31">
        <v>0.24577195853791597</v>
      </c>
      <c r="M145" s="31">
        <v>0.22585924713584288</v>
      </c>
      <c r="N145" s="31">
        <v>0.52275249722530526</v>
      </c>
      <c r="O145" s="31">
        <v>0.40579710144927539</v>
      </c>
      <c r="P145" s="31">
        <v>0.44063079777365494</v>
      </c>
    </row>
    <row r="146" spans="1:16" x14ac:dyDescent="0.4">
      <c r="A146" s="33">
        <v>143</v>
      </c>
      <c r="B146" s="30">
        <v>4.9737991503207013E-14</v>
      </c>
      <c r="C146" s="30">
        <v>1.1593937413334967E-16</v>
      </c>
      <c r="D146" s="35">
        <v>1.9976689976689976</v>
      </c>
      <c r="E146" s="31">
        <v>0.33566433566433568</v>
      </c>
      <c r="F146" s="31">
        <v>0.33333333333333331</v>
      </c>
      <c r="G146" s="31">
        <v>0.2939739413680782</v>
      </c>
      <c r="H146" s="31">
        <v>0.16259500542888164</v>
      </c>
      <c r="I146" s="32">
        <v>8151.9852262234535</v>
      </c>
      <c r="J146" s="32">
        <v>-7683.8063439065108</v>
      </c>
      <c r="K146" s="31">
        <v>8.8578088578088576E-2</v>
      </c>
      <c r="L146" s="31">
        <v>0.24619978284473398</v>
      </c>
      <c r="M146" s="31">
        <v>0.22529858849077089</v>
      </c>
      <c r="N146" s="31">
        <v>0.52260198456449836</v>
      </c>
      <c r="O146" s="31">
        <v>0.40481927710843374</v>
      </c>
      <c r="P146" s="31">
        <v>0.44044321329639891</v>
      </c>
    </row>
    <row r="147" spans="1:16" x14ac:dyDescent="0.4">
      <c r="A147" s="33">
        <v>144</v>
      </c>
      <c r="B147" s="30">
        <v>4.7961634663806763E-14</v>
      </c>
      <c r="C147" s="30">
        <v>1.1102230246251565E-16</v>
      </c>
      <c r="D147" s="35">
        <v>1.9976851851851851</v>
      </c>
      <c r="E147" s="31">
        <v>0.33564814814814814</v>
      </c>
      <c r="F147" s="31">
        <v>0.33333333333333331</v>
      </c>
      <c r="G147" s="31">
        <v>0.29399083804904336</v>
      </c>
      <c r="H147" s="31">
        <v>0.16302883319859876</v>
      </c>
      <c r="I147" s="32">
        <v>8140.0549954170483</v>
      </c>
      <c r="J147" s="32">
        <v>-7677.6859504132235</v>
      </c>
      <c r="K147" s="31">
        <v>8.7962962962962965E-2</v>
      </c>
      <c r="L147" s="31">
        <v>0.24656426839126919</v>
      </c>
      <c r="M147" s="31">
        <v>0.2255456750202102</v>
      </c>
      <c r="N147" s="31">
        <v>0.52240437158469943</v>
      </c>
      <c r="O147" s="31">
        <v>0.4050179211469534</v>
      </c>
      <c r="P147" s="31">
        <v>0.43904674610449129</v>
      </c>
    </row>
    <row r="148" spans="1:16" x14ac:dyDescent="0.4">
      <c r="A148" s="33">
        <v>145</v>
      </c>
      <c r="B148" s="30">
        <v>5.3290705182007514E-14</v>
      </c>
      <c r="C148" s="30">
        <v>1.2250736823450003E-16</v>
      </c>
      <c r="D148" s="35">
        <v>1.9977011494252874</v>
      </c>
      <c r="E148" s="31">
        <v>0.335632183908046</v>
      </c>
      <c r="F148" s="31">
        <v>0.33333333333333331</v>
      </c>
      <c r="G148" s="31">
        <v>0.29344042838018741</v>
      </c>
      <c r="H148" s="31">
        <v>0.16251673360107094</v>
      </c>
      <c r="I148" s="32">
        <v>8162.7737226277368</v>
      </c>
      <c r="J148" s="32">
        <v>-7685.3377265238878</v>
      </c>
      <c r="K148" s="31">
        <v>8.9655172413793102E-2</v>
      </c>
      <c r="L148" s="31">
        <v>0.24712182061579652</v>
      </c>
      <c r="M148" s="31">
        <v>0.22436412315930387</v>
      </c>
      <c r="N148" s="31">
        <v>0.52112676056338025</v>
      </c>
      <c r="O148" s="31">
        <v>0.40453460620525061</v>
      </c>
      <c r="P148" s="31">
        <v>0.43978102189781021</v>
      </c>
    </row>
    <row r="149" spans="1:16" x14ac:dyDescent="0.4">
      <c r="A149" s="33">
        <v>146</v>
      </c>
      <c r="B149" s="30">
        <v>5.5067062021407764E-14</v>
      </c>
      <c r="C149" s="30">
        <v>1.2572388589362503E-16</v>
      </c>
      <c r="D149" s="35">
        <v>1.9977168949771689</v>
      </c>
      <c r="E149" s="31">
        <v>0.33561643835616439</v>
      </c>
      <c r="F149" s="31">
        <v>0.33333333333333331</v>
      </c>
      <c r="G149" s="31">
        <v>0.29322709163346611</v>
      </c>
      <c r="H149" s="31">
        <v>0.16228419654714477</v>
      </c>
      <c r="I149" s="32">
        <v>8172.916666666667</v>
      </c>
      <c r="J149" s="32">
        <v>-7684.9427168576103</v>
      </c>
      <c r="K149" s="31">
        <v>8.9041095890410954E-2</v>
      </c>
      <c r="L149" s="31">
        <v>0.24674634794156705</v>
      </c>
      <c r="M149" s="31">
        <v>0.22470119521912352</v>
      </c>
      <c r="N149" s="31">
        <v>0.5209903121636168</v>
      </c>
      <c r="O149" s="31">
        <v>0.40307328605200948</v>
      </c>
      <c r="P149" s="31">
        <v>0.44021739130434784</v>
      </c>
    </row>
    <row r="150" spans="1:16" x14ac:dyDescent="0.4">
      <c r="A150" s="33">
        <v>147</v>
      </c>
      <c r="B150" s="30">
        <v>4.9737991503207013E-14</v>
      </c>
      <c r="C150" s="30">
        <v>1.1278456123176193E-16</v>
      </c>
      <c r="D150" s="35">
        <v>1.9977324263038549</v>
      </c>
      <c r="E150" s="31">
        <v>0.33560090702947848</v>
      </c>
      <c r="F150" s="31">
        <v>0.33333333333333331</v>
      </c>
      <c r="G150" s="31">
        <v>0.29341792228390168</v>
      </c>
      <c r="H150" s="31">
        <v>0.16283372984403913</v>
      </c>
      <c r="I150" s="32">
        <v>8176.666666666667</v>
      </c>
      <c r="J150" s="32">
        <v>-7695.9415584415583</v>
      </c>
      <c r="K150" s="31">
        <v>8.8435374149659865E-2</v>
      </c>
      <c r="L150" s="31">
        <v>0.24662965900079303</v>
      </c>
      <c r="M150" s="31">
        <v>0.22495374041765795</v>
      </c>
      <c r="N150" s="31">
        <v>0.52197213290460875</v>
      </c>
      <c r="O150" s="31">
        <v>0.40305522914218567</v>
      </c>
      <c r="P150" s="31">
        <v>0.43873873873873875</v>
      </c>
    </row>
    <row r="151" spans="1:16" x14ac:dyDescent="0.4">
      <c r="A151" s="33">
        <v>148</v>
      </c>
      <c r="B151" s="30">
        <v>4.9737991503207013E-14</v>
      </c>
      <c r="C151" s="30">
        <v>1.1202250338560137E-16</v>
      </c>
      <c r="D151" s="35">
        <v>1.9977477477477477</v>
      </c>
      <c r="E151" s="31">
        <v>0.3355855855855856</v>
      </c>
      <c r="F151" s="31">
        <v>0.33333333333333331</v>
      </c>
      <c r="G151" s="31">
        <v>0.29350104821802936</v>
      </c>
      <c r="H151" s="31">
        <v>0.16299790356394131</v>
      </c>
      <c r="I151" s="32">
        <v>8172.5</v>
      </c>
      <c r="J151" s="32">
        <v>-7670.5787781350482</v>
      </c>
      <c r="K151" s="31">
        <v>9.0090090090090086E-2</v>
      </c>
      <c r="L151" s="31">
        <v>0.24685534591194969</v>
      </c>
      <c r="M151" s="31">
        <v>0.22484276729559749</v>
      </c>
      <c r="N151" s="31">
        <v>0.52016985138004246</v>
      </c>
      <c r="O151" s="31">
        <v>0.40675990675990675</v>
      </c>
      <c r="P151" s="31">
        <v>0.43839285714285714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882</vt:i4>
      </vt:variant>
    </vt:vector>
  </HeadingPairs>
  <TitlesOfParts>
    <vt:vector size="92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いっしー</vt:lpstr>
      <vt:lpstr>いっしー2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いっしー!ツモ数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いっしー!ツモ率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いっしー!バランス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いっしー!ラス数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いっしー!ラス率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いっしー!ロン数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いっしー!ロン率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いっしー!一翻数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いっしー!一翻率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いっしー!最高点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いっしー!総局数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いっしー!対戦数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いっしー!二位数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いっしー!二位率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いっしー!副露数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いっしー!副露率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いっしー!放銃数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いっしー!放銃率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いっしー!名前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2021-01-16T11:45:17Z</dcterms:modified>
</cp:coreProperties>
</file>