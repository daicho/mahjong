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D8523D2E-4B09-4C99-86A0-0AE62E5730B5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8" i="6998" l="1"/>
  <c r="P18" i="6988"/>
  <c r="P21" i="6984" l="1"/>
  <c r="P16" i="6988"/>
  <c r="P15" i="6998" l="1"/>
  <c r="P24" i="6984"/>
  <c r="P16" i="6986" l="1"/>
  <c r="P20" i="6988"/>
  <c r="P22" i="6992"/>
  <c r="P15" i="6988"/>
  <c r="P19" i="6994" l="1"/>
  <c r="P17" i="6986"/>
  <c r="P19" i="6998" l="1"/>
  <c r="P18" i="6982"/>
  <c r="P23" i="6990" l="1"/>
  <c r="P18" i="6986"/>
  <c r="P15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3" i="6984" l="1"/>
  <c r="P20" i="6992"/>
  <c r="P15" i="6990"/>
  <c r="P16" i="6992"/>
  <c r="P23" i="6992"/>
  <c r="P18" i="6994"/>
  <c r="P17" i="6990"/>
  <c r="P20" i="6994"/>
  <c r="P22" i="6984"/>
  <c r="P15" i="6984"/>
  <c r="P18" i="6996" l="1"/>
  <c r="P16" i="6994"/>
  <c r="P17" i="6982"/>
  <c r="P20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1" i="6992"/>
  <c r="H35" i="6992"/>
  <c r="C38" i="6992"/>
  <c r="C46" i="6992"/>
  <c r="H2" i="6992"/>
  <c r="H11" i="6992"/>
  <c r="H25" i="6992"/>
  <c r="H16" i="6992"/>
  <c r="C24" i="6992"/>
  <c r="B28" i="6992"/>
  <c r="H36" i="6992"/>
  <c r="H41" i="6992"/>
  <c r="H44" i="6992"/>
  <c r="H48" i="6992"/>
  <c r="H4" i="6992"/>
  <c r="H29" i="6992"/>
  <c r="H13" i="6992"/>
  <c r="H21" i="6992"/>
  <c r="H37" i="6992"/>
  <c r="C39" i="6992"/>
  <c r="C43" i="6992"/>
  <c r="C47" i="6992"/>
  <c r="H52" i="6992"/>
  <c r="H19" i="6992"/>
  <c r="H26" i="6992"/>
  <c r="C25" i="6992"/>
  <c r="H42" i="6992"/>
  <c r="H45" i="6992"/>
  <c r="H49" i="6992"/>
  <c r="H7" i="6992"/>
  <c r="C42" i="6992"/>
  <c r="H18" i="6992"/>
  <c r="H8" i="6992"/>
  <c r="H9" i="6992"/>
  <c r="H28" i="6992"/>
  <c r="H14" i="6992"/>
  <c r="H32" i="6992"/>
  <c r="H33" i="6992"/>
  <c r="H38" i="6992"/>
  <c r="C40" i="6992"/>
  <c r="C44" i="6992"/>
  <c r="C48" i="6992"/>
  <c r="H5" i="6992"/>
  <c r="H27" i="6992"/>
  <c r="C22" i="6992"/>
  <c r="C26" i="6992"/>
  <c r="H39" i="6992"/>
  <c r="H23" i="6992"/>
  <c r="H46" i="6992"/>
  <c r="H50" i="6992"/>
  <c r="H6" i="6992"/>
  <c r="H10" i="6992"/>
  <c r="H24" i="6992"/>
  <c r="H30" i="6992"/>
  <c r="H20" i="6992"/>
  <c r="H22" i="6992"/>
  <c r="C37" i="6992"/>
  <c r="C41" i="6992"/>
  <c r="C45" i="6992"/>
  <c r="C49" i="6992"/>
  <c r="H12" i="6992"/>
  <c r="H15" i="6992"/>
  <c r="H17" i="6992"/>
  <c r="C23" i="6992"/>
  <c r="B27" i="6992"/>
  <c r="H34" i="6992"/>
  <c r="H40" i="6992"/>
  <c r="H43" i="6992"/>
  <c r="H47" i="6992"/>
  <c r="P22" i="6982" l="1"/>
  <c r="P21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1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3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C43" i="6984" l="1"/>
  <c r="B14" i="6984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2" i="6984"/>
  <c r="C22" i="6984"/>
  <c r="H2" i="6984"/>
  <c r="H21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0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3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2" i="6986"/>
  <c r="H23" i="6986"/>
  <c r="H29" i="6986"/>
  <c r="H19" i="6986"/>
  <c r="H33" i="6986"/>
  <c r="C37" i="6986"/>
  <c r="C41" i="6986"/>
  <c r="C45" i="6986"/>
  <c r="C49" i="6986"/>
  <c r="H11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5" i="6984"/>
  <c r="H37" i="6984"/>
  <c r="C40" i="6984"/>
  <c r="C44" i="6984"/>
  <c r="C48" i="6984"/>
  <c r="H38" i="6984"/>
  <c r="H42" i="6984"/>
  <c r="H46" i="6984"/>
  <c r="H50" i="6984"/>
  <c r="H18" i="6984"/>
  <c r="H17" i="6984"/>
  <c r="C23" i="6984"/>
  <c r="B27" i="6984"/>
  <c r="H33" i="6984"/>
  <c r="H39" i="6984"/>
  <c r="H43" i="6984"/>
  <c r="H47" i="6984"/>
  <c r="H51" i="6984"/>
  <c r="H20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1" i="6982"/>
  <c r="H34" i="6982"/>
  <c r="C42" i="6982"/>
  <c r="H15" i="6982"/>
  <c r="H2" i="6982"/>
  <c r="H8" i="6982"/>
  <c r="H22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2" i="6980"/>
  <c r="H25" i="6980"/>
  <c r="H48" i="6980"/>
  <c r="H26" i="6980"/>
  <c r="H43" i="6980"/>
  <c r="C47" i="6980"/>
  <c r="H49" i="6980"/>
  <c r="H23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1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<sst xmlns="http://schemas.openxmlformats.org/spreadsheetml/2006/main" count="3538" uniqueCount="276">
  <si>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</si>
  <si>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</si>
  <si>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</si>
  <si>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</si>
  <si>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</si>
  <si>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</si>
  <si>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</si>
  <si>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</si>
  <si>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</si>
  <si>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</si>
  <si>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</si>
  <si>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</si>
  <si>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</si>
  <si>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</si>
  <si>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</si>
  <si>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</si>
  <si>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</si>
  <si>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</si>
  <si>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</si>
  <si>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</si>
  <si>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</si>
  <si>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</si>
  <si>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</si>
  <si>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</si>
  <si>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</si>
  <si>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</si>
  <si>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</si>
  <si>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</si>
  <si>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</si>
  <si>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</si>
  <si>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</si>
  <si>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</si>
  <si>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</si>
  <si>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</si>
  <si>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</si>
  <si>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</si>
  <si>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</si>
  <si>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</si>
  <si>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</si>
  <si>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</si>
  <si>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</si>
  <si>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</si>
  <si>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</si>
  <si>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</si>
  <si>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</si>
  <si>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</si>
  <si>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</si>
  <si>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</si>
  <si>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</si>
  <si>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</si>
  <si>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</si>
  <si>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</si>
  <si>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</si>
  <si>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</si>
  <si>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</si>
  <si>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</si>
  <si>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</si>
  <si>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</si>
  <si>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</si>
  <si>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</si>
  <si>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</si>
  <si>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</si>
  <si>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</si>
  <si>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</si>
  <si>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</si>
  <si>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</si>
  <si>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</si>
  <si>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</si>
  <si>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</si>
  <si>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</si>
  <si>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</si>
  <si>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</si>
  <si>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</si>
  <si>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</si>
  <si>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</si>
  <si>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</si>
  <si>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</si>
  <si>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</si>
  <si>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</si>
  <si>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</si>
  <si>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</si>
  <si>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</si>
  <si>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</si>
  <si>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</si>
  <si>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</si>
  <si>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</si>
  <si>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</si>
  <si>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</si>
  <si>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</si>
  <si>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</si>
  <si>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</si>
  <si>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</si>
  <si>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</si>
  <si>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</si>
  <si>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</si>
  <si>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</si>
  <si>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</si>
  <si>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</si>
  <si>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</si>
  <si>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</si>
  <si>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</si>
  <si>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</si>
  <si>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</si>
  <si>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</si>
  <si>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</si>
  <si>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</si>
  <si>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</si>
  <si>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</si>
  <si>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</si>
  <si>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</si>
  <si>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</si>
  <si>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</si>
  <si>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</si>
  <si>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</si>
  <si>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</si>
  <si>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</si>
  <si>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</si>
  <si>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</si>
  <si>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</si>
  <si>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</si>
  <si>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</si>
  <si>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</si>
  <si>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</si>
  <si>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</si>
  <si>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</si>
  <si>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</si>
  <si>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</si>
  <si>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</si>
  <si>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</si>
  <si>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</si>
  <si>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</si>
  <si>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</si>
  <si>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</si>
  <si>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</si>
  <si>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</si>
  <si>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</si>
  <si>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</si>
  <si>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</si>
  <si>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</si>
  <si>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</si>
  <si>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</si>
  <si>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</si>
  <si>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</si>
  <si>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</si>
  <si>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</si>
  <si>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</si>
  <si>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</si>
  <si>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</si>
  <si>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</si>
  <si>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</si>
  <si>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</si>
  <si>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</si>
  <si>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</si>
  <si>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</si>
  <si>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</si>
  <si>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</si>
  <si>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</si>
  <si>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</si>
  <si>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</si>
  <si>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</si>
  <si>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</si>
  <si>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</si>
  <si>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</si>
  <si>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</si>
  <si>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</si>
  <si>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</si>
  <si>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</si>
  <si>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</si>
  <si>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</si>
  <si>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</si>
  <si>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</si>
  <si>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</si>
  <si>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</si>
  <si>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</si>
  <si>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</si>
  <si>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</si>
  <si>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</si>
  <si>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</si>
  <si>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</si>
  <si>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</si>
  <si>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</si>
  <si>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</si>
  <si>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</si>
  <si>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</si>
  <si>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</si>
  <si>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</si>
  <si>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</si>
  <si>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</si>
  <si>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</si>
  <si>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</si>
  <si>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</si>
  <si>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</si>
  <si>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</si>
  <si>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</si>
  <si>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</si>
  <si>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</si>
  <si>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</si>
  <si>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</si>
  <si>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</si>
  <si>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</si>
  <si>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</si>
  <si>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</si>
  <si>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</si>
  <si>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</si>
  <si>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</si>
  <si>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</si>
  <si>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</si>
  <si>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</si>
  <si>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</si>
  <si>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</si>
  <si>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</si>
  <si>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</si>
  <si>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</si>
  <si>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</si>
  <si>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</si>
  <si>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</si>
  <si>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</si>
  <si>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</si>
  <si>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</si>
  <si>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</si>
  <si>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</si>
  <si>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</si>
  <si>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</si>
  <si>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</si>
  <si>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</si>
  <si>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</si>
  <si>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</si>
  <si>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</si>
  <si>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</si>
  <si>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</si>
  <si>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</si>
  <si>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</si>
  <si>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</si>
  <si>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</si>
  <si>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</si>
  <si>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</si>
  <si>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</si>
  <si>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</si>
  <si>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</si>
  <si>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</si>
  <si>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</si>
  <si>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</si>
  <si>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</si>
  <si>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</si>
  <si>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</si>
  <si>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</si>
  <si>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</si>
  <si>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</si>
  <si>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</si>
  <si>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</si>
  <si>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</si>
  <si>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</si>
  <si>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</si>
  <si>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</si>
  <si>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</si>
  <si>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</si>
  <si>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</si>
  <si>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</si>
  <si>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</si>
  <si>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</si>
  <si>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</si>
  <si>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</si>
  <si>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</si>
  <si>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</si>
  <si>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</si>
  <si>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</si>
  <si>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</si>
  <si>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</si>
  <si>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</si>
  <si>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</si>
  <si>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</si>
  <si>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</si>
  <si>
    <t>2021-01-15@0.xlsm</t>
  </si>
  <si>
    <t>2021-01-16@0.xlsm</t>
  </si>
  <si>
    <t>2021-01-25@0.xlsm</t>
  </si>
  <si>
    <t>2021-01-29@0.xlsm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</si>
</sst>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全体!$K$2:$K$455</c:f>
              <c:numCache>
                <c:formatCode>General</c:formatCode>
                <c:ptCount val="4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</c:numCache>
            </c:numRef>
          </c:xVal>
          <c:yVal>
            <c:numRef>
              <c:f>全体!$L$2:$L$455</c:f>
              <c:numCache>
                <c:formatCode>\+0.0;\-0.0;\±0</c:formatCode>
                <c:ptCount val="454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  <c:pt idx="430">
                  <c:v>24.50000000000005</c:v>
                </c:pt>
                <c:pt idx="431">
                  <c:v>-5.5999999999999517</c:v>
                </c:pt>
                <c:pt idx="432">
                  <c:v>4.7961634663806763E-14</c:v>
                </c:pt>
                <c:pt idx="433">
                  <c:v>-48.299999999999947</c:v>
                </c:pt>
                <c:pt idx="434">
                  <c:v>-9.699999999999946</c:v>
                </c:pt>
                <c:pt idx="435">
                  <c:v>5.3290705182007514E-14</c:v>
                </c:pt>
                <c:pt idx="436">
                  <c:v>36.500000000000057</c:v>
                </c:pt>
                <c:pt idx="437">
                  <c:v>7.4000000000000554</c:v>
                </c:pt>
                <c:pt idx="438">
                  <c:v>5.5067062021407764E-14</c:v>
                </c:pt>
                <c:pt idx="439">
                  <c:v>-26.799999999999947</c:v>
                </c:pt>
                <c:pt idx="440">
                  <c:v>-24.399999999999949</c:v>
                </c:pt>
                <c:pt idx="441">
                  <c:v>4.9737991503207013E-14</c:v>
                </c:pt>
                <c:pt idx="442">
                  <c:v>40.300000000000047</c:v>
                </c:pt>
                <c:pt idx="443">
                  <c:v>46.00000000000005</c:v>
                </c:pt>
                <c:pt idx="444">
                  <c:v>4.9737991503207013E-14</c:v>
                </c:pt>
                <c:pt idx="445">
                  <c:v>-31.099999999999952</c:v>
                </c:pt>
                <c:pt idx="446">
                  <c:v>-30.099999999999952</c:v>
                </c:pt>
                <c:pt idx="447">
                  <c:v>4.9737991503207013E-14</c:v>
                </c:pt>
                <c:pt idx="448">
                  <c:v>50.400000000000048</c:v>
                </c:pt>
                <c:pt idx="449">
                  <c:v>31.800000000000047</c:v>
                </c:pt>
                <c:pt idx="450">
                  <c:v>4.6185277824406512E-14</c:v>
                </c:pt>
                <c:pt idx="451">
                  <c:v>30.800000000000047</c:v>
                </c:pt>
                <c:pt idx="452">
                  <c:v>33.400000000000048</c:v>
                </c:pt>
                <c:pt idx="453">
                  <c:v>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-33.333333333333336</c:v>
                </c:pt>
                <c:pt idx="1">
                  <c:v>13.605442176870747</c:v>
                </c:pt>
                <c:pt idx="2">
                  <c:v>2.2675736961451247</c:v>
                </c:pt>
                <c:pt idx="3">
                  <c:v>-4.7619047619047619</c:v>
                </c:pt>
                <c:pt idx="4">
                  <c:v>13.020833333333334</c:v>
                </c:pt>
                <c:pt idx="5">
                  <c:v>15.151515151515152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81</c:v>
                </c:pt>
                <c:pt idx="1">
                  <c:v>209</c:v>
                </c:pt>
                <c:pt idx="2">
                  <c:v>224</c:v>
                </c:pt>
                <c:pt idx="3">
                  <c:v>225</c:v>
                </c:pt>
                <c:pt idx="4">
                  <c:v>172</c:v>
                </c:pt>
                <c:pt idx="5">
                  <c:v>104</c:v>
                </c:pt>
                <c:pt idx="6">
                  <c:v>48</c:v>
                </c:pt>
                <c:pt idx="7">
                  <c:v>36</c:v>
                </c:pt>
                <c:pt idx="8">
                  <c:v>20</c:v>
                </c:pt>
                <c:pt idx="9">
                  <c:v>12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全体!$K$2:$K$455</c:f>
              <c:numCache>
                <c:formatCode>General</c:formatCode>
                <c:ptCount val="4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</c:numCache>
            </c:numRef>
          </c:xVal>
          <c:yVal>
            <c:numRef>
              <c:f>全体!$M$2:$M$455</c:f>
              <c:numCache>
                <c:formatCode>0</c:formatCode>
                <c:ptCount val="454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  <c:pt idx="430">
                  <c:v>1612.4584212304849</c:v>
                </c:pt>
                <c:pt idx="431">
                  <c:v>1607.013670703102</c:v>
                </c:pt>
                <c:pt idx="432">
                  <c:v>1608.0275886788834</c:v>
                </c:pt>
                <c:pt idx="433">
                  <c:v>1599.33342314681</c:v>
                </c:pt>
                <c:pt idx="434">
                  <c:v>1606.3334226079292</c:v>
                </c:pt>
                <c:pt idx="435">
                  <c:v>1608.0894220722816</c:v>
                </c:pt>
                <c:pt idx="436">
                  <c:v>1614.886885539848</c:v>
                </c:pt>
                <c:pt idx="437">
                  <c:v>1609.835564226609</c:v>
                </c:pt>
                <c:pt idx="438">
                  <c:v>1608.7205508412494</c:v>
                </c:pt>
                <c:pt idx="439">
                  <c:v>1604.1202275362018</c:v>
                </c:pt>
                <c:pt idx="440">
                  <c:v>1604.8035061709845</c:v>
                </c:pt>
                <c:pt idx="441">
                  <c:v>1609.4426851339585</c:v>
                </c:pt>
                <c:pt idx="442">
                  <c:v>1616.9160290231548</c:v>
                </c:pt>
                <c:pt idx="443">
                  <c:v>1618.1165328490158</c:v>
                </c:pt>
                <c:pt idx="444">
                  <c:v>1610.0038336519217</c:v>
                </c:pt>
                <c:pt idx="445">
                  <c:v>1604.6218106500103</c:v>
                </c:pt>
                <c:pt idx="446">
                  <c:v>1605.0500797861102</c:v>
                </c:pt>
                <c:pt idx="447">
                  <c:v>1610.7137793073937</c:v>
                </c:pt>
                <c:pt idx="448">
                  <c:v>1619.9974966315492</c:v>
                </c:pt>
                <c:pt idx="449">
                  <c:v>1616.8055116517598</c:v>
                </c:pt>
                <c:pt idx="450">
                  <c:v>1611.2566785818492</c:v>
                </c:pt>
                <c:pt idx="451">
                  <c:v>1616.9311385103581</c:v>
                </c:pt>
                <c:pt idx="452">
                  <c:v>1617.4955516792959</c:v>
                </c:pt>
                <c:pt idx="453">
                  <c:v>1611.5765783692202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だいち!$L$2:$L$129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  <c:pt idx="120">
                  <c:v>100.89999999999989</c:v>
                </c:pt>
                <c:pt idx="121">
                  <c:v>52.599999999999895</c:v>
                </c:pt>
                <c:pt idx="122">
                  <c:v>23.499999999999893</c:v>
                </c:pt>
                <c:pt idx="123">
                  <c:v>-3.3000000000001073</c:v>
                </c:pt>
                <c:pt idx="124">
                  <c:v>36.999999999999886</c:v>
                </c:pt>
                <c:pt idx="125">
                  <c:v>67.099999999999881</c:v>
                </c:pt>
                <c:pt idx="126">
                  <c:v>117.49999999999989</c:v>
                </c:pt>
                <c:pt idx="127">
                  <c:v>148.2999999999999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653.96825396825398</c:v>
                </c:pt>
                <c:pt idx="1">
                  <c:v>-533.33333333333337</c:v>
                </c:pt>
                <c:pt idx="2">
                  <c:v>-1682.9268292682927</c:v>
                </c:pt>
                <c:pt idx="3">
                  <c:v>1117.7966101694915</c:v>
                </c:pt>
                <c:pt idx="4">
                  <c:v>829.90654205607473</c:v>
                </c:pt>
                <c:pt idx="5">
                  <c:v>658.695652173913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20</c:v>
                </c:pt>
                <c:pt idx="1">
                  <c:v>66</c:v>
                </c:pt>
                <c:pt idx="2">
                  <c:v>65</c:v>
                </c:pt>
                <c:pt idx="3">
                  <c:v>66</c:v>
                </c:pt>
                <c:pt idx="4">
                  <c:v>56</c:v>
                </c:pt>
                <c:pt idx="5">
                  <c:v>39</c:v>
                </c:pt>
                <c:pt idx="6">
                  <c:v>11</c:v>
                </c:pt>
                <c:pt idx="7">
                  <c:v>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だいち!$M$2:$M$129</c:f>
              <c:numCache>
                <c:formatCode>0</c:formatCode>
                <c:ptCount val="128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  <c:pt idx="120">
                  <c:v>1736.0748158102795</c:v>
                </c:pt>
                <c:pt idx="121">
                  <c:v>1726.6123669154179</c:v>
                </c:pt>
                <c:pt idx="122">
                  <c:v>1720.8906927139253</c:v>
                </c:pt>
                <c:pt idx="123">
                  <c:v>1715.6173485576417</c:v>
                </c:pt>
                <c:pt idx="124">
                  <c:v>1722.4536444662958</c:v>
                </c:pt>
                <c:pt idx="125">
                  <c:v>1727.412922599498</c:v>
                </c:pt>
                <c:pt idx="126">
                  <c:v>1735.9964450639009</c:v>
                </c:pt>
                <c:pt idx="127">
                  <c:v>1740.9224663935174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  <c:pt idx="77">
                  <c:v>-113.6</c:v>
                </c:pt>
                <c:pt idx="78">
                  <c:v>-103.89999999999999</c:v>
                </c:pt>
                <c:pt idx="79">
                  <c:v>-111.3</c:v>
                </c:pt>
                <c:pt idx="80">
                  <c:v>-86.9</c:v>
                </c:pt>
                <c:pt idx="81">
                  <c:v>-132.9</c:v>
                </c:pt>
                <c:pt idx="82">
                  <c:v>-164</c:v>
                </c:pt>
                <c:pt idx="83">
                  <c:v>-182.6</c:v>
                </c:pt>
                <c:pt idx="84">
                  <c:v>-180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1172.6190476190477</c:v>
                </c:pt>
                <c:pt idx="1">
                  <c:v>-256.09756097560978</c:v>
                </c:pt>
                <c:pt idx="2">
                  <c:v>-609.7560975609756</c:v>
                </c:pt>
                <c:pt idx="3">
                  <c:v>-205.0632911392405</c:v>
                </c:pt>
                <c:pt idx="4">
                  <c:v>-216.66666666666666</c:v>
                </c:pt>
                <c:pt idx="5">
                  <c:v>-239.68253968253967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20</c:v>
                </c:pt>
                <c:pt idx="2">
                  <c:v>36</c:v>
                </c:pt>
                <c:pt idx="3">
                  <c:v>40</c:v>
                </c:pt>
                <c:pt idx="4">
                  <c:v>38</c:v>
                </c:pt>
                <c:pt idx="5">
                  <c:v>22</c:v>
                </c:pt>
                <c:pt idx="6">
                  <c:v>11</c:v>
                </c:pt>
                <c:pt idx="7">
                  <c:v>8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れんたろう!$M$2:$M$86</c:f>
              <c:numCache>
                <c:formatCode>0</c:formatCode>
                <c:ptCount val="85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  <c:pt idx="77">
                  <c:v>1628.1318400232217</c:v>
                </c:pt>
                <c:pt idx="78">
                  <c:v>1629.7570489830823</c:v>
                </c:pt>
                <c:pt idx="79">
                  <c:v>1628.5225066891837</c:v>
                </c:pt>
                <c:pt idx="80">
                  <c:v>1633.0193716490487</c:v>
                </c:pt>
                <c:pt idx="81">
                  <c:v>1624.8172554191544</c:v>
                </c:pt>
                <c:pt idx="82">
                  <c:v>1619.3463518866395</c:v>
                </c:pt>
                <c:pt idx="83">
                  <c:v>1616.1582737753197</c:v>
                </c:pt>
                <c:pt idx="84">
                  <c:v>1616.7273241326677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-427.08333333333331</c:v>
                </c:pt>
                <c:pt idx="1">
                  <c:v>-533.33333333333337</c:v>
                </c:pt>
                <c:pt idx="2">
                  <c:v>1240.4255319148936</c:v>
                </c:pt>
                <c:pt idx="3">
                  <c:v>-1121.2765957446809</c:v>
                </c:pt>
                <c:pt idx="4">
                  <c:v>-1164.4444444444443</c:v>
                </c:pt>
                <c:pt idx="5">
                  <c:v>-529.72972972972968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16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7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たかの!$M$2:$M$50</c:f>
              <c:numCache>
                <c:formatCode>0</c:formatCode>
                <c:ptCount val="4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  <c:pt idx="47">
                  <c:v>1459.7189035010927</c:v>
                </c:pt>
                <c:pt idx="48">
                  <c:v>1467.5565900800862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  <c:pt idx="51">
                  <c:v>178.2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-912</c:v>
                </c:pt>
                <c:pt idx="1">
                  <c:v>1166</c:v>
                </c:pt>
                <c:pt idx="2">
                  <c:v>2228</c:v>
                </c:pt>
                <c:pt idx="3">
                  <c:v>-382.97872340425533</c:v>
                </c:pt>
                <c:pt idx="4">
                  <c:v>257.14285714285717</c:v>
                </c:pt>
                <c:pt idx="5">
                  <c:v>1710.2564102564102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28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いちかわ!$M$2:$M$53</c:f>
              <c:numCache>
                <c:formatCode>0</c:formatCode>
                <c:ptCount val="52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  <c:pt idx="51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-303.57142857142856</c:v>
                </c:pt>
                <c:pt idx="1">
                  <c:v>394.33962264150944</c:v>
                </c:pt>
                <c:pt idx="2">
                  <c:v>1612.962962962963</c:v>
                </c:pt>
                <c:pt idx="3">
                  <c:v>2413.7254901960782</c:v>
                </c:pt>
                <c:pt idx="4">
                  <c:v>-423.40425531914894</c:v>
                </c:pt>
                <c:pt idx="5">
                  <c:v>-381.57894736842104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14</c:v>
                </c:pt>
                <c:pt idx="1">
                  <c:v>42</c:v>
                </c:pt>
                <c:pt idx="2">
                  <c:v>34</c:v>
                </c:pt>
                <c:pt idx="3">
                  <c:v>25</c:v>
                </c:pt>
                <c:pt idx="4">
                  <c:v>26</c:v>
                </c:pt>
                <c:pt idx="5">
                  <c:v>4</c:v>
                </c:pt>
                <c:pt idx="6">
                  <c:v>9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ただ!$M$2:$M$58</c:f>
              <c:numCache>
                <c:formatCode>0</c:formatCode>
                <c:ptCount val="57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  <c:pt idx="52">
                  <c:v>1588.0331192526728</c:v>
                </c:pt>
                <c:pt idx="53">
                  <c:v>1588.8129205371567</c:v>
                </c:pt>
                <c:pt idx="54">
                  <c:v>1590.1820430139337</c:v>
                </c:pt>
                <c:pt idx="55">
                  <c:v>1590.6969507558501</c:v>
                </c:pt>
                <c:pt idx="56">
                  <c:v>1585.3047690513151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-1737.5</c:v>
                </c:pt>
                <c:pt idx="1">
                  <c:v>3526.6666666666665</c:v>
                </c:pt>
                <c:pt idx="2">
                  <c:v>-1137.5</c:v>
                </c:pt>
                <c:pt idx="3">
                  <c:v>-3218.75</c:v>
                </c:pt>
                <c:pt idx="4">
                  <c:v>-1806.6666666666667</c:v>
                </c:pt>
                <c:pt idx="5">
                  <c:v>-1957.1428571428571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りくと!$M$2:$M$18</c:f>
              <c:numCache>
                <c:formatCode>0</c:formatCode>
                <c:ptCount val="1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いちかわ2!$B$3:$B$54</c:f>
              <c:numCache>
                <c:formatCode>\+0.0;\-0.0;\±0</c:formatCode>
                <c:ptCount val="5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  <c:pt idx="51">
                  <c:v>178.2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いちかわ2!$C$3:$C$54</c:f>
              <c:numCache>
                <c:formatCode>\+0.0;\-0.0;\±0</c:formatCode>
                <c:ptCount val="52"/>
                <c:pt idx="1">
                  <c:v>55.6</c:v>
                </c:pt>
                <c:pt idx="2">
                  <c:v>12.450000000000001</c:v>
                </c:pt>
                <c:pt idx="3">
                  <c:v>-6.8666666666666663</c:v>
                </c:pt>
                <c:pt idx="4">
                  <c:v>-6.25</c:v>
                </c:pt>
                <c:pt idx="5">
                  <c:v>-10.6</c:v>
                </c:pt>
                <c:pt idx="6">
                  <c:v>-5.4666666666666659</c:v>
                </c:pt>
                <c:pt idx="7">
                  <c:v>-3.1714285714285708</c:v>
                </c:pt>
                <c:pt idx="8">
                  <c:v>3.7500000000000533E-2</c:v>
                </c:pt>
                <c:pt idx="9">
                  <c:v>2.2777777777777781</c:v>
                </c:pt>
                <c:pt idx="10">
                  <c:v>0.69000000000000039</c:v>
                </c:pt>
                <c:pt idx="11">
                  <c:v>-1.7090909090909088</c:v>
                </c:pt>
                <c:pt idx="12">
                  <c:v>2.6750000000000003</c:v>
                </c:pt>
                <c:pt idx="13">
                  <c:v>5.0615384615384622</c:v>
                </c:pt>
                <c:pt idx="14">
                  <c:v>7.0928571428571434</c:v>
                </c:pt>
                <c:pt idx="15">
                  <c:v>5.0133333333333345</c:v>
                </c:pt>
                <c:pt idx="16">
                  <c:v>5.1875000000000009</c:v>
                </c:pt>
                <c:pt idx="17">
                  <c:v>4.8000000000000007</c:v>
                </c:pt>
                <c:pt idx="18">
                  <c:v>4.6222222222222227</c:v>
                </c:pt>
                <c:pt idx="19">
                  <c:v>6.6736842105263161</c:v>
                </c:pt>
                <c:pt idx="20">
                  <c:v>8.15</c:v>
                </c:pt>
                <c:pt idx="21">
                  <c:v>5.5571428571428569</c:v>
                </c:pt>
                <c:pt idx="22">
                  <c:v>6.2363636363636354</c:v>
                </c:pt>
                <c:pt idx="23">
                  <c:v>6.052173913043478</c:v>
                </c:pt>
                <c:pt idx="24">
                  <c:v>4.5333333333333323</c:v>
                </c:pt>
                <c:pt idx="25">
                  <c:v>3.6159999999999992</c:v>
                </c:pt>
                <c:pt idx="26">
                  <c:v>4.7346153846153838</c:v>
                </c:pt>
                <c:pt idx="27">
                  <c:v>4.6222222222222218</c:v>
                </c:pt>
                <c:pt idx="28">
                  <c:v>3.7999999999999994</c:v>
                </c:pt>
                <c:pt idx="29">
                  <c:v>4.4103448275862061</c:v>
                </c:pt>
                <c:pt idx="30">
                  <c:v>5.4799999999999995</c:v>
                </c:pt>
                <c:pt idx="31">
                  <c:v>3.8645161290322574</c:v>
                </c:pt>
                <c:pt idx="32">
                  <c:v>3.1562499999999996</c:v>
                </c:pt>
                <c:pt idx="33">
                  <c:v>3.1090909090909085</c:v>
                </c:pt>
                <c:pt idx="34">
                  <c:v>1.9294117647058817</c:v>
                </c:pt>
                <c:pt idx="35">
                  <c:v>1.2999999999999994</c:v>
                </c:pt>
                <c:pt idx="36">
                  <c:v>1.1305555555555551</c:v>
                </c:pt>
                <c:pt idx="37">
                  <c:v>0.4621621621621616</c:v>
                </c:pt>
                <c:pt idx="38">
                  <c:v>2.0736842105263151</c:v>
                </c:pt>
                <c:pt idx="39">
                  <c:v>2.6051282051282048</c:v>
                </c:pt>
                <c:pt idx="40">
                  <c:v>3.5199999999999996</c:v>
                </c:pt>
                <c:pt idx="41">
                  <c:v>3.014634146341463</c:v>
                </c:pt>
                <c:pt idx="42">
                  <c:v>3.0190476190476185</c:v>
                </c:pt>
                <c:pt idx="43">
                  <c:v>3.4488372093023254</c:v>
                </c:pt>
                <c:pt idx="44">
                  <c:v>3.2545454545454544</c:v>
                </c:pt>
                <c:pt idx="45">
                  <c:v>3.5044444444444443</c:v>
                </c:pt>
                <c:pt idx="46">
                  <c:v>3.6434782608695651</c:v>
                </c:pt>
                <c:pt idx="47">
                  <c:v>3.5042553191489358</c:v>
                </c:pt>
                <c:pt idx="48">
                  <c:v>2.9312499999999999</c:v>
                </c:pt>
                <c:pt idx="49">
                  <c:v>4.2714285714285714</c:v>
                </c:pt>
                <c:pt idx="50">
                  <c:v>4.2320000000000002</c:v>
                </c:pt>
                <c:pt idx="51">
                  <c:v>3.4941176470588231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97968907355563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いちかわ2!$D$3:$D$54</c:f>
              <c:numCache>
                <c:formatCode>0.00\ "位"</c:formatCode>
                <c:ptCount val="52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1.8823529411764706</c:v>
                </c:pt>
                <c:pt idx="18">
                  <c:v>1.8888888888888888</c:v>
                </c:pt>
                <c:pt idx="19">
                  <c:v>1.8421052631578947</c:v>
                </c:pt>
                <c:pt idx="20">
                  <c:v>1.8</c:v>
                </c:pt>
                <c:pt idx="21">
                  <c:v>1.8571428571428572</c:v>
                </c:pt>
                <c:pt idx="22">
                  <c:v>1.8181818181818181</c:v>
                </c:pt>
                <c:pt idx="23">
                  <c:v>1.826086956521739</c:v>
                </c:pt>
                <c:pt idx="24">
                  <c:v>1.875</c:v>
                </c:pt>
                <c:pt idx="25">
                  <c:v>1.92</c:v>
                </c:pt>
                <c:pt idx="26">
                  <c:v>1.8846153846153846</c:v>
                </c:pt>
                <c:pt idx="27">
                  <c:v>1.8888888888888888</c:v>
                </c:pt>
                <c:pt idx="28">
                  <c:v>1.9285714285714286</c:v>
                </c:pt>
                <c:pt idx="29">
                  <c:v>1.896551724137931</c:v>
                </c:pt>
                <c:pt idx="30">
                  <c:v>1.8666666666666667</c:v>
                </c:pt>
                <c:pt idx="31">
                  <c:v>1.903225806451613</c:v>
                </c:pt>
                <c:pt idx="32">
                  <c:v>1.9375</c:v>
                </c:pt>
                <c:pt idx="33">
                  <c:v>1.9393939393939394</c:v>
                </c:pt>
                <c:pt idx="34">
                  <c:v>1.9705882352941178</c:v>
                </c:pt>
                <c:pt idx="35">
                  <c:v>1.9714285714285715</c:v>
                </c:pt>
                <c:pt idx="36">
                  <c:v>1.9722222222222223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1.925</c:v>
                </c:pt>
                <c:pt idx="41">
                  <c:v>1.9512195121951219</c:v>
                </c:pt>
                <c:pt idx="42">
                  <c:v>1.9523809523809523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1.9111111111111112</c:v>
                </c:pt>
                <c:pt idx="46">
                  <c:v>1.9130434782608696</c:v>
                </c:pt>
                <c:pt idx="47">
                  <c:v>1.9148936170212767</c:v>
                </c:pt>
                <c:pt idx="48">
                  <c:v>1.9166666666666667</c:v>
                </c:pt>
                <c:pt idx="49">
                  <c:v>1.8979591836734695</c:v>
                </c:pt>
                <c:pt idx="50">
                  <c:v>1.9</c:v>
                </c:pt>
                <c:pt idx="51">
                  <c:v>1.9215686274509804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792494481236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いちかわ2!$E$3:$E$54</c:f>
              <c:numCache>
                <c:formatCode>0.0%</c:formatCode>
                <c:ptCount val="5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0.40625</c:v>
                </c:pt>
                <c:pt idx="33">
                  <c:v>0.39393939393939392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0.38095238095238093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0.4</c:v>
                </c:pt>
                <c:pt idx="46">
                  <c:v>0.39130434782608697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0.38775510204081631</c:v>
                </c:pt>
                <c:pt idx="50">
                  <c:v>0.38</c:v>
                </c:pt>
                <c:pt idx="51">
                  <c:v>0.37254901960784315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540838852097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いちかわ2!$F$3:$F$54</c:f>
              <c:numCache>
                <c:formatCode>0.0%</c:formatCode>
                <c:ptCount val="52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いちかわ2!$G$3:$G$54</c:f>
              <c:numCache>
                <c:formatCode>0.0%</c:formatCode>
                <c:ptCount val="52"/>
                <c:pt idx="1">
                  <c:v>0.5</c:v>
                </c:pt>
                <c:pt idx="2">
                  <c:v>0.3125</c:v>
                </c:pt>
                <c:pt idx="3">
                  <c:v>0.23809523809523808</c:v>
                </c:pt>
                <c:pt idx="4">
                  <c:v>0.25714285714285712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0.28301886792452829</c:v>
                </c:pt>
                <c:pt idx="8">
                  <c:v>0.29508196721311475</c:v>
                </c:pt>
                <c:pt idx="9">
                  <c:v>0.30985915492957744</c:v>
                </c:pt>
                <c:pt idx="10">
                  <c:v>0.30769230769230771</c:v>
                </c:pt>
                <c:pt idx="11">
                  <c:v>0.30588235294117649</c:v>
                </c:pt>
                <c:pt idx="12">
                  <c:v>0.31521739130434784</c:v>
                </c:pt>
                <c:pt idx="13">
                  <c:v>0.32653061224489793</c:v>
                </c:pt>
                <c:pt idx="14">
                  <c:v>0.35238095238095241</c:v>
                </c:pt>
                <c:pt idx="15">
                  <c:v>0.35652173913043478</c:v>
                </c:pt>
                <c:pt idx="16">
                  <c:v>0.34959349593495936</c:v>
                </c:pt>
                <c:pt idx="17">
                  <c:v>0.33834586466165412</c:v>
                </c:pt>
                <c:pt idx="18">
                  <c:v>0.33098591549295775</c:v>
                </c:pt>
                <c:pt idx="19">
                  <c:v>0.33774834437086093</c:v>
                </c:pt>
                <c:pt idx="20">
                  <c:v>0.34177215189873417</c:v>
                </c:pt>
                <c:pt idx="21">
                  <c:v>0.32727272727272727</c:v>
                </c:pt>
                <c:pt idx="22">
                  <c:v>0.32571428571428573</c:v>
                </c:pt>
                <c:pt idx="23">
                  <c:v>0.32402234636871508</c:v>
                </c:pt>
                <c:pt idx="24">
                  <c:v>0.31914893617021278</c:v>
                </c:pt>
                <c:pt idx="25">
                  <c:v>0.31282051282051282</c:v>
                </c:pt>
                <c:pt idx="26">
                  <c:v>0.31862745098039214</c:v>
                </c:pt>
                <c:pt idx="27">
                  <c:v>0.32863849765258218</c:v>
                </c:pt>
                <c:pt idx="28">
                  <c:v>0.32126696832579188</c:v>
                </c:pt>
                <c:pt idx="29">
                  <c:v>0.32327586206896552</c:v>
                </c:pt>
                <c:pt idx="30">
                  <c:v>0.33054393305439328</c:v>
                </c:pt>
                <c:pt idx="31">
                  <c:v>0.31872509960159362</c:v>
                </c:pt>
                <c:pt idx="32">
                  <c:v>0.31417624521072796</c:v>
                </c:pt>
                <c:pt idx="33">
                  <c:v>0.31343283582089554</c:v>
                </c:pt>
                <c:pt idx="34">
                  <c:v>0.30685920577617326</c:v>
                </c:pt>
                <c:pt idx="35">
                  <c:v>0.30555555555555558</c:v>
                </c:pt>
                <c:pt idx="36">
                  <c:v>0.30405405405405406</c:v>
                </c:pt>
                <c:pt idx="37">
                  <c:v>0.29773462783171523</c:v>
                </c:pt>
                <c:pt idx="38">
                  <c:v>0.3048780487804878</c:v>
                </c:pt>
                <c:pt idx="39">
                  <c:v>0.30473372781065089</c:v>
                </c:pt>
                <c:pt idx="40">
                  <c:v>0.30434782608695654</c:v>
                </c:pt>
                <c:pt idx="41">
                  <c:v>0.30113636363636365</c:v>
                </c:pt>
                <c:pt idx="42">
                  <c:v>0.30362116991643456</c:v>
                </c:pt>
                <c:pt idx="43">
                  <c:v>0.3024523160762943</c:v>
                </c:pt>
                <c:pt idx="44">
                  <c:v>0.30158730158730157</c:v>
                </c:pt>
                <c:pt idx="45">
                  <c:v>0.30569948186528495</c:v>
                </c:pt>
                <c:pt idx="46">
                  <c:v>0.30710659898477155</c:v>
                </c:pt>
                <c:pt idx="47">
                  <c:v>0.30466830466830469</c:v>
                </c:pt>
                <c:pt idx="48">
                  <c:v>0.30170316301703165</c:v>
                </c:pt>
                <c:pt idx="49">
                  <c:v>0.30935251798561153</c:v>
                </c:pt>
                <c:pt idx="50">
                  <c:v>0.30969267139479906</c:v>
                </c:pt>
                <c:pt idx="51">
                  <c:v>0.30697674418604654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107865744299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いちかわ2!$H$3:$H$54</c:f>
              <c:numCache>
                <c:formatCode>0.0%</c:formatCode>
                <c:ptCount val="52"/>
                <c:pt idx="1">
                  <c:v>0.1</c:v>
                </c:pt>
                <c:pt idx="2">
                  <c:v>0.125</c:v>
                </c:pt>
                <c:pt idx="3">
                  <c:v>0.19047619047619047</c:v>
                </c:pt>
                <c:pt idx="4">
                  <c:v>0.22857142857142856</c:v>
                </c:pt>
                <c:pt idx="5">
                  <c:v>0.26315789473684209</c:v>
                </c:pt>
                <c:pt idx="6">
                  <c:v>0.23404255319148937</c:v>
                </c:pt>
                <c:pt idx="7">
                  <c:v>0.20754716981132076</c:v>
                </c:pt>
                <c:pt idx="8">
                  <c:v>0.18032786885245902</c:v>
                </c:pt>
                <c:pt idx="9">
                  <c:v>0.15492957746478872</c:v>
                </c:pt>
                <c:pt idx="10">
                  <c:v>0.15384615384615385</c:v>
                </c:pt>
                <c:pt idx="11">
                  <c:v>0.15294117647058825</c:v>
                </c:pt>
                <c:pt idx="12">
                  <c:v>0.16304347826086957</c:v>
                </c:pt>
                <c:pt idx="13">
                  <c:v>0.16326530612244897</c:v>
                </c:pt>
                <c:pt idx="14">
                  <c:v>0.16190476190476191</c:v>
                </c:pt>
                <c:pt idx="15">
                  <c:v>0.16521739130434782</c:v>
                </c:pt>
                <c:pt idx="16">
                  <c:v>0.15447154471544716</c:v>
                </c:pt>
                <c:pt idx="17">
                  <c:v>0.15789473684210525</c:v>
                </c:pt>
                <c:pt idx="18">
                  <c:v>0.15492957746478872</c:v>
                </c:pt>
                <c:pt idx="19">
                  <c:v>0.15231788079470199</c:v>
                </c:pt>
                <c:pt idx="20">
                  <c:v>0.14556962025316456</c:v>
                </c:pt>
                <c:pt idx="21">
                  <c:v>0.14545454545454545</c:v>
                </c:pt>
                <c:pt idx="22">
                  <c:v>0.14285714285714285</c:v>
                </c:pt>
                <c:pt idx="23">
                  <c:v>0.13966480446927373</c:v>
                </c:pt>
                <c:pt idx="24">
                  <c:v>0.14893617021276595</c:v>
                </c:pt>
                <c:pt idx="25">
                  <c:v>0.15384615384615385</c:v>
                </c:pt>
                <c:pt idx="26">
                  <c:v>0.14705882352941177</c:v>
                </c:pt>
                <c:pt idx="27">
                  <c:v>0.14553990610328638</c:v>
                </c:pt>
                <c:pt idx="28">
                  <c:v>0.14479638009049775</c:v>
                </c:pt>
                <c:pt idx="29">
                  <c:v>0.14655172413793102</c:v>
                </c:pt>
                <c:pt idx="30">
                  <c:v>0.14225941422594143</c:v>
                </c:pt>
                <c:pt idx="31">
                  <c:v>0.1394422310756972</c:v>
                </c:pt>
                <c:pt idx="32">
                  <c:v>0.13793103448275862</c:v>
                </c:pt>
                <c:pt idx="33">
                  <c:v>0.13805970149253732</c:v>
                </c:pt>
                <c:pt idx="34">
                  <c:v>0.13357400722021662</c:v>
                </c:pt>
                <c:pt idx="35">
                  <c:v>0.13541666666666666</c:v>
                </c:pt>
                <c:pt idx="36">
                  <c:v>0.13175675675675674</c:v>
                </c:pt>
                <c:pt idx="37">
                  <c:v>0.13915857605177995</c:v>
                </c:pt>
                <c:pt idx="38">
                  <c:v>0.13719512195121952</c:v>
                </c:pt>
                <c:pt idx="39">
                  <c:v>0.13313609467455623</c:v>
                </c:pt>
                <c:pt idx="40">
                  <c:v>0.13623188405797101</c:v>
                </c:pt>
                <c:pt idx="41">
                  <c:v>0.13636363636363635</c:v>
                </c:pt>
                <c:pt idx="42">
                  <c:v>0.13370473537604458</c:v>
                </c:pt>
                <c:pt idx="43">
                  <c:v>0.13079019073569481</c:v>
                </c:pt>
                <c:pt idx="44">
                  <c:v>0.13492063492063491</c:v>
                </c:pt>
                <c:pt idx="45">
                  <c:v>0.13730569948186527</c:v>
                </c:pt>
                <c:pt idx="46">
                  <c:v>0.13451776649746192</c:v>
                </c:pt>
                <c:pt idx="47">
                  <c:v>0.13759213759213759</c:v>
                </c:pt>
                <c:pt idx="48">
                  <c:v>0.13625304136253041</c:v>
                </c:pt>
                <c:pt idx="49">
                  <c:v>0.1342925659472422</c:v>
                </c:pt>
                <c:pt idx="50">
                  <c:v>0.13475177304964539</c:v>
                </c:pt>
                <c:pt idx="51">
                  <c:v>0.1372093023255814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97642838841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いちかわ2!$I$3:$I$54</c:f>
              <c:numCache>
                <c:formatCode>0</c:formatCode>
                <c:ptCount val="52"/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8533.3333333333339</c:v>
                </c:pt>
                <c:pt idx="5">
                  <c:v>8533.3333333333339</c:v>
                </c:pt>
                <c:pt idx="6">
                  <c:v>8708.3333333333339</c:v>
                </c:pt>
                <c:pt idx="7">
                  <c:v>7480</c:v>
                </c:pt>
                <c:pt idx="8">
                  <c:v>7333.333333333333</c:v>
                </c:pt>
                <c:pt idx="9">
                  <c:v>7322.727272727273</c:v>
                </c:pt>
                <c:pt idx="10">
                  <c:v>7366.666666666667</c:v>
                </c:pt>
                <c:pt idx="11">
                  <c:v>7150</c:v>
                </c:pt>
                <c:pt idx="12">
                  <c:v>8065.5172413793107</c:v>
                </c:pt>
                <c:pt idx="13">
                  <c:v>8165.625</c:v>
                </c:pt>
                <c:pt idx="14">
                  <c:v>7913.5135135135133</c:v>
                </c:pt>
                <c:pt idx="15">
                  <c:v>7495.1219512195121</c:v>
                </c:pt>
                <c:pt idx="16">
                  <c:v>7474.4186046511632</c:v>
                </c:pt>
                <c:pt idx="17">
                  <c:v>7453.333333333333</c:v>
                </c:pt>
                <c:pt idx="18">
                  <c:v>7531.9148936170213</c:v>
                </c:pt>
                <c:pt idx="19">
                  <c:v>8115.6862745098042</c:v>
                </c:pt>
                <c:pt idx="20">
                  <c:v>8168.5185185185182</c:v>
                </c:pt>
                <c:pt idx="21">
                  <c:v>8168.5185185185182</c:v>
                </c:pt>
                <c:pt idx="22">
                  <c:v>8285.9649122807023</c:v>
                </c:pt>
                <c:pt idx="23">
                  <c:v>8281.0344827586214</c:v>
                </c:pt>
                <c:pt idx="24">
                  <c:v>8231.6666666666661</c:v>
                </c:pt>
                <c:pt idx="25">
                  <c:v>8293.442622950819</c:v>
                </c:pt>
                <c:pt idx="26">
                  <c:v>8015.3846153846152</c:v>
                </c:pt>
                <c:pt idx="27">
                  <c:v>7895.7142857142853</c:v>
                </c:pt>
                <c:pt idx="28">
                  <c:v>7802.8169014084506</c:v>
                </c:pt>
                <c:pt idx="29">
                  <c:v>7929.333333333333</c:v>
                </c:pt>
                <c:pt idx="30">
                  <c:v>7898.7341772151894</c:v>
                </c:pt>
                <c:pt idx="31">
                  <c:v>7840</c:v>
                </c:pt>
                <c:pt idx="32">
                  <c:v>7892.6829268292686</c:v>
                </c:pt>
                <c:pt idx="33">
                  <c:v>7891.666666666667</c:v>
                </c:pt>
                <c:pt idx="34">
                  <c:v>7845.8823529411766</c:v>
                </c:pt>
                <c:pt idx="35">
                  <c:v>7815.909090909091</c:v>
                </c:pt>
                <c:pt idx="36">
                  <c:v>7733.333333333333</c:v>
                </c:pt>
                <c:pt idx="37">
                  <c:v>7730.434782608696</c:v>
                </c:pt>
                <c:pt idx="38">
                  <c:v>7812</c:v>
                </c:pt>
                <c:pt idx="39">
                  <c:v>7706.7961165048546</c:v>
                </c:pt>
                <c:pt idx="40">
                  <c:v>7938.0952380952385</c:v>
                </c:pt>
                <c:pt idx="41">
                  <c:v>7935.8490566037735</c:v>
                </c:pt>
                <c:pt idx="42">
                  <c:v>7887.1559633027518</c:v>
                </c:pt>
                <c:pt idx="43">
                  <c:v>7886.4864864864867</c:v>
                </c:pt>
                <c:pt idx="44">
                  <c:v>7921.9298245614036</c:v>
                </c:pt>
                <c:pt idx="45">
                  <c:v>7850</c:v>
                </c:pt>
                <c:pt idx="46">
                  <c:v>7761.9834710743798</c:v>
                </c:pt>
                <c:pt idx="47">
                  <c:v>7832.2580645161288</c:v>
                </c:pt>
                <c:pt idx="48">
                  <c:v>7832.2580645161288</c:v>
                </c:pt>
                <c:pt idx="49">
                  <c:v>7959.6899224806202</c:v>
                </c:pt>
                <c:pt idx="50">
                  <c:v>7960.3053435114507</c:v>
                </c:pt>
                <c:pt idx="51">
                  <c:v>7929.545454545455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59.79020979020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いちかわ2!$J$3:$J$54</c:f>
              <c:numCache>
                <c:formatCode>0</c:formatCode>
                <c:ptCount val="52"/>
                <c:pt idx="1">
                  <c:v>-7700</c:v>
                </c:pt>
                <c:pt idx="2">
                  <c:v>-7700</c:v>
                </c:pt>
                <c:pt idx="3">
                  <c:v>-9850</c:v>
                </c:pt>
                <c:pt idx="4">
                  <c:v>-8887.5</c:v>
                </c:pt>
                <c:pt idx="5">
                  <c:v>-8810</c:v>
                </c:pt>
                <c:pt idx="6">
                  <c:v>-8481.818181818182</c:v>
                </c:pt>
                <c:pt idx="7">
                  <c:v>-8481.818181818182</c:v>
                </c:pt>
                <c:pt idx="8">
                  <c:v>-8481.818181818182</c:v>
                </c:pt>
                <c:pt idx="9">
                  <c:v>-8481.818181818182</c:v>
                </c:pt>
                <c:pt idx="10">
                  <c:v>-8416.6666666666661</c:v>
                </c:pt>
                <c:pt idx="11">
                  <c:v>-7953.8461538461543</c:v>
                </c:pt>
                <c:pt idx="12">
                  <c:v>-7500</c:v>
                </c:pt>
                <c:pt idx="13">
                  <c:v>-7356.25</c:v>
                </c:pt>
                <c:pt idx="14">
                  <c:v>-7394.1176470588234</c:v>
                </c:pt>
                <c:pt idx="15">
                  <c:v>-7921.0526315789475</c:v>
                </c:pt>
                <c:pt idx="16">
                  <c:v>-7921.0526315789475</c:v>
                </c:pt>
                <c:pt idx="17">
                  <c:v>-7447.6190476190477</c:v>
                </c:pt>
                <c:pt idx="18">
                  <c:v>-7154.545454545455</c:v>
                </c:pt>
                <c:pt idx="19">
                  <c:v>-7365.217391304348</c:v>
                </c:pt>
                <c:pt idx="20">
                  <c:v>-7365.217391304348</c:v>
                </c:pt>
                <c:pt idx="21">
                  <c:v>-7141.666666666667</c:v>
                </c:pt>
                <c:pt idx="22">
                  <c:v>-7012</c:v>
                </c:pt>
                <c:pt idx="23">
                  <c:v>-7012</c:v>
                </c:pt>
                <c:pt idx="24">
                  <c:v>-6732.1428571428569</c:v>
                </c:pt>
                <c:pt idx="25">
                  <c:v>-6940</c:v>
                </c:pt>
                <c:pt idx="26">
                  <c:v>-6940</c:v>
                </c:pt>
                <c:pt idx="27">
                  <c:v>-7103.2258064516127</c:v>
                </c:pt>
                <c:pt idx="28">
                  <c:v>-6971.875</c:v>
                </c:pt>
                <c:pt idx="29">
                  <c:v>-6911.7647058823532</c:v>
                </c:pt>
                <c:pt idx="30">
                  <c:v>-6911.7647058823532</c:v>
                </c:pt>
                <c:pt idx="31">
                  <c:v>-6771.4285714285716</c:v>
                </c:pt>
                <c:pt idx="32">
                  <c:v>-6805.5555555555557</c:v>
                </c:pt>
                <c:pt idx="33">
                  <c:v>-6691.8918918918916</c:v>
                </c:pt>
                <c:pt idx="34">
                  <c:v>-6691.8918918918916</c:v>
                </c:pt>
                <c:pt idx="35">
                  <c:v>-6751.2820512820517</c:v>
                </c:pt>
                <c:pt idx="36">
                  <c:v>-6751.2820512820517</c:v>
                </c:pt>
                <c:pt idx="37">
                  <c:v>-6369.7674418604647</c:v>
                </c:pt>
                <c:pt idx="38">
                  <c:v>-6708.8888888888887</c:v>
                </c:pt>
                <c:pt idx="39">
                  <c:v>-6708.8888888888887</c:v>
                </c:pt>
                <c:pt idx="40">
                  <c:v>-6636.1702127659573</c:v>
                </c:pt>
                <c:pt idx="41">
                  <c:v>-6579.166666666667</c:v>
                </c:pt>
                <c:pt idx="42">
                  <c:v>-6579.166666666667</c:v>
                </c:pt>
                <c:pt idx="43">
                  <c:v>-6579.166666666667</c:v>
                </c:pt>
                <c:pt idx="44">
                  <c:v>-6609.8039215686276</c:v>
                </c:pt>
                <c:pt idx="45">
                  <c:v>-6656.6037735849059</c:v>
                </c:pt>
                <c:pt idx="46">
                  <c:v>-6656.6037735849059</c:v>
                </c:pt>
                <c:pt idx="47">
                  <c:v>-6833.9285714285716</c:v>
                </c:pt>
                <c:pt idx="48">
                  <c:v>-6833.9285714285716</c:v>
                </c:pt>
                <c:pt idx="49">
                  <c:v>-6833.9285714285716</c:v>
                </c:pt>
                <c:pt idx="50">
                  <c:v>-6854.3859649122805</c:v>
                </c:pt>
                <c:pt idx="51">
                  <c:v>-6961.0169491525421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4.6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いちかわ2!$K$3:$K$54</c:f>
              <c:numCache>
                <c:formatCode>0.0%</c:formatCode>
                <c:ptCount val="5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4.0816326530612242E-2</c:v>
                </c:pt>
                <c:pt idx="50">
                  <c:v>0.04</c:v>
                </c:pt>
                <c:pt idx="51">
                  <c:v>3.9215686274509803E-2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830022075055188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いちかわ2!$L$3:$L$54</c:f>
              <c:numCache>
                <c:formatCode>0.0%</c:formatCode>
                <c:ptCount val="52"/>
                <c:pt idx="1">
                  <c:v>0.5</c:v>
                </c:pt>
                <c:pt idx="2">
                  <c:v>0.375</c:v>
                </c:pt>
                <c:pt idx="3">
                  <c:v>0.33333333333333331</c:v>
                </c:pt>
                <c:pt idx="4">
                  <c:v>0.31428571428571428</c:v>
                </c:pt>
                <c:pt idx="5">
                  <c:v>0.31578947368421051</c:v>
                </c:pt>
                <c:pt idx="6">
                  <c:v>0.34042553191489361</c:v>
                </c:pt>
                <c:pt idx="7">
                  <c:v>0.33962264150943394</c:v>
                </c:pt>
                <c:pt idx="8">
                  <c:v>0.31147540983606559</c:v>
                </c:pt>
                <c:pt idx="9">
                  <c:v>0.30985915492957744</c:v>
                </c:pt>
                <c:pt idx="10">
                  <c:v>0.29487179487179488</c:v>
                </c:pt>
                <c:pt idx="11">
                  <c:v>0.28235294117647058</c:v>
                </c:pt>
                <c:pt idx="12">
                  <c:v>0.2608695652173913</c:v>
                </c:pt>
                <c:pt idx="13">
                  <c:v>0.25510204081632654</c:v>
                </c:pt>
                <c:pt idx="14">
                  <c:v>0.24761904761904763</c:v>
                </c:pt>
                <c:pt idx="15">
                  <c:v>0.23478260869565218</c:v>
                </c:pt>
                <c:pt idx="16">
                  <c:v>0.22764227642276422</c:v>
                </c:pt>
                <c:pt idx="17">
                  <c:v>0.21804511278195488</c:v>
                </c:pt>
                <c:pt idx="18">
                  <c:v>0.22535211267605634</c:v>
                </c:pt>
                <c:pt idx="19">
                  <c:v>0.2185430463576159</c:v>
                </c:pt>
                <c:pt idx="20">
                  <c:v>0.22151898734177214</c:v>
                </c:pt>
                <c:pt idx="21">
                  <c:v>0.21818181818181817</c:v>
                </c:pt>
                <c:pt idx="22">
                  <c:v>0.22285714285714286</c:v>
                </c:pt>
                <c:pt idx="23">
                  <c:v>0.21787709497206703</c:v>
                </c:pt>
                <c:pt idx="24">
                  <c:v>0.21808510638297873</c:v>
                </c:pt>
                <c:pt idx="25">
                  <c:v>0.2153846153846154</c:v>
                </c:pt>
                <c:pt idx="26">
                  <c:v>0.21568627450980393</c:v>
                </c:pt>
                <c:pt idx="27">
                  <c:v>0.20657276995305165</c:v>
                </c:pt>
                <c:pt idx="28">
                  <c:v>0.20361990950226244</c:v>
                </c:pt>
                <c:pt idx="29">
                  <c:v>0.20258620689655171</c:v>
                </c:pt>
                <c:pt idx="30">
                  <c:v>0.20083682008368201</c:v>
                </c:pt>
                <c:pt idx="31">
                  <c:v>0.20717131474103587</c:v>
                </c:pt>
                <c:pt idx="32">
                  <c:v>0.20306513409961685</c:v>
                </c:pt>
                <c:pt idx="33">
                  <c:v>0.20522388059701493</c:v>
                </c:pt>
                <c:pt idx="34">
                  <c:v>0.20577617328519857</c:v>
                </c:pt>
                <c:pt idx="35">
                  <c:v>0.2048611111111111</c:v>
                </c:pt>
                <c:pt idx="36">
                  <c:v>0.20270270270270271</c:v>
                </c:pt>
                <c:pt idx="37">
                  <c:v>0.20388349514563106</c:v>
                </c:pt>
                <c:pt idx="38">
                  <c:v>0.21341463414634146</c:v>
                </c:pt>
                <c:pt idx="39">
                  <c:v>0.21597633136094674</c:v>
                </c:pt>
                <c:pt idx="40">
                  <c:v>0.2144927536231884</c:v>
                </c:pt>
                <c:pt idx="41">
                  <c:v>0.21022727272727273</c:v>
                </c:pt>
                <c:pt idx="42">
                  <c:v>0.20891364902506965</c:v>
                </c:pt>
                <c:pt idx="43">
                  <c:v>0.21253405994550409</c:v>
                </c:pt>
                <c:pt idx="44">
                  <c:v>0.21164021164021163</c:v>
                </c:pt>
                <c:pt idx="45">
                  <c:v>0.21761658031088082</c:v>
                </c:pt>
                <c:pt idx="46">
                  <c:v>0.21319796954314721</c:v>
                </c:pt>
                <c:pt idx="47">
                  <c:v>0.21621621621621623</c:v>
                </c:pt>
                <c:pt idx="48">
                  <c:v>0.21654501216545013</c:v>
                </c:pt>
                <c:pt idx="49">
                  <c:v>0.22302158273381295</c:v>
                </c:pt>
                <c:pt idx="50">
                  <c:v>0.22695035460992907</c:v>
                </c:pt>
                <c:pt idx="51">
                  <c:v>0.22790697674418606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964642582628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いちかわ2!$M$3:$M$54</c:f>
              <c:numCache>
                <c:formatCode>0.0%</c:formatCode>
                <c:ptCount val="52"/>
                <c:pt idx="1">
                  <c:v>0.3</c:v>
                </c:pt>
                <c:pt idx="2">
                  <c:v>0.1875</c:v>
                </c:pt>
                <c:pt idx="3">
                  <c:v>0.19047619047619047</c:v>
                </c:pt>
                <c:pt idx="4">
                  <c:v>0.17142857142857143</c:v>
                </c:pt>
                <c:pt idx="5">
                  <c:v>0.15789473684210525</c:v>
                </c:pt>
                <c:pt idx="6">
                  <c:v>0.19148936170212766</c:v>
                </c:pt>
                <c:pt idx="7">
                  <c:v>0.18867924528301888</c:v>
                </c:pt>
                <c:pt idx="8">
                  <c:v>0.19672131147540983</c:v>
                </c:pt>
                <c:pt idx="9">
                  <c:v>0.18309859154929578</c:v>
                </c:pt>
                <c:pt idx="10">
                  <c:v>0.20512820512820512</c:v>
                </c:pt>
                <c:pt idx="11">
                  <c:v>0.18823529411764706</c:v>
                </c:pt>
                <c:pt idx="12">
                  <c:v>0.19565217391304349</c:v>
                </c:pt>
                <c:pt idx="13">
                  <c:v>0.22448979591836735</c:v>
                </c:pt>
                <c:pt idx="14">
                  <c:v>0.25714285714285712</c:v>
                </c:pt>
                <c:pt idx="15">
                  <c:v>0.25217391304347825</c:v>
                </c:pt>
                <c:pt idx="16">
                  <c:v>0.26016260162601629</c:v>
                </c:pt>
                <c:pt idx="17">
                  <c:v>0.26315789473684209</c:v>
                </c:pt>
                <c:pt idx="18">
                  <c:v>0.25352112676056338</c:v>
                </c:pt>
                <c:pt idx="19">
                  <c:v>0.25827814569536423</c:v>
                </c:pt>
                <c:pt idx="20">
                  <c:v>0.25316455696202533</c:v>
                </c:pt>
                <c:pt idx="21">
                  <c:v>0.24242424242424243</c:v>
                </c:pt>
                <c:pt idx="22">
                  <c:v>0.22857142857142856</c:v>
                </c:pt>
                <c:pt idx="23">
                  <c:v>0.23463687150837989</c:v>
                </c:pt>
                <c:pt idx="24">
                  <c:v>0.23936170212765959</c:v>
                </c:pt>
                <c:pt idx="25">
                  <c:v>0.23589743589743589</c:v>
                </c:pt>
                <c:pt idx="26">
                  <c:v>0.24019607843137256</c:v>
                </c:pt>
                <c:pt idx="27">
                  <c:v>0.23943661971830985</c:v>
                </c:pt>
                <c:pt idx="28">
                  <c:v>0.23981900452488689</c:v>
                </c:pt>
                <c:pt idx="29">
                  <c:v>0.23706896551724138</c:v>
                </c:pt>
                <c:pt idx="30">
                  <c:v>0.24267782426778242</c:v>
                </c:pt>
                <c:pt idx="31">
                  <c:v>0.23904382470119523</c:v>
                </c:pt>
                <c:pt idx="32">
                  <c:v>0.23754789272030652</c:v>
                </c:pt>
                <c:pt idx="33">
                  <c:v>0.24253731343283583</c:v>
                </c:pt>
                <c:pt idx="34">
                  <c:v>0.23465703971119134</c:v>
                </c:pt>
                <c:pt idx="35">
                  <c:v>0.22916666666666666</c:v>
                </c:pt>
                <c:pt idx="36">
                  <c:v>0.22297297297297297</c:v>
                </c:pt>
                <c:pt idx="37">
                  <c:v>0.2168284789644013</c:v>
                </c:pt>
                <c:pt idx="38">
                  <c:v>0.21036585365853658</c:v>
                </c:pt>
                <c:pt idx="39">
                  <c:v>0.20710059171597633</c:v>
                </c:pt>
                <c:pt idx="40">
                  <c:v>0.20869565217391303</c:v>
                </c:pt>
                <c:pt idx="41">
                  <c:v>0.20738636363636365</c:v>
                </c:pt>
                <c:pt idx="42">
                  <c:v>0.20891364902506965</c:v>
                </c:pt>
                <c:pt idx="43">
                  <c:v>0.20435967302452315</c:v>
                </c:pt>
                <c:pt idx="44">
                  <c:v>0.20899470899470898</c:v>
                </c:pt>
                <c:pt idx="45">
                  <c:v>0.21502590673575128</c:v>
                </c:pt>
                <c:pt idx="46">
                  <c:v>0.21827411167512689</c:v>
                </c:pt>
                <c:pt idx="47">
                  <c:v>0.22604422604422605</c:v>
                </c:pt>
                <c:pt idx="48">
                  <c:v>0.22384428223844283</c:v>
                </c:pt>
                <c:pt idx="49">
                  <c:v>0.22541966426858512</c:v>
                </c:pt>
                <c:pt idx="50">
                  <c:v>0.22695035460992907</c:v>
                </c:pt>
                <c:pt idx="51">
                  <c:v>0.2255813953488372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3674096848578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いちかわ2!$N$3:$N$54</c:f>
              <c:numCache>
                <c:formatCode>0.0%</c:formatCode>
                <c:ptCount val="52"/>
                <c:pt idx="1">
                  <c:v>0.6</c:v>
                </c:pt>
                <c:pt idx="2">
                  <c:v>0.5</c:v>
                </c:pt>
                <c:pt idx="3">
                  <c:v>0.42857142857142855</c:v>
                </c:pt>
                <c:pt idx="4">
                  <c:v>0.54545454545454541</c:v>
                </c:pt>
                <c:pt idx="5">
                  <c:v>0.5</c:v>
                </c:pt>
                <c:pt idx="6">
                  <c:v>0.4375</c:v>
                </c:pt>
                <c:pt idx="7">
                  <c:v>0.5</c:v>
                </c:pt>
                <c:pt idx="8">
                  <c:v>0.52631578947368418</c:v>
                </c:pt>
                <c:pt idx="9">
                  <c:v>0.54545454545454541</c:v>
                </c:pt>
                <c:pt idx="10">
                  <c:v>0.56521739130434778</c:v>
                </c:pt>
                <c:pt idx="11">
                  <c:v>0.58333333333333337</c:v>
                </c:pt>
                <c:pt idx="12">
                  <c:v>0.58333333333333337</c:v>
                </c:pt>
                <c:pt idx="13">
                  <c:v>0.6</c:v>
                </c:pt>
                <c:pt idx="14">
                  <c:v>0.61538461538461542</c:v>
                </c:pt>
                <c:pt idx="15">
                  <c:v>0.59259259259259256</c:v>
                </c:pt>
                <c:pt idx="16">
                  <c:v>0.6071428571428571</c:v>
                </c:pt>
                <c:pt idx="17">
                  <c:v>0.62068965517241381</c:v>
                </c:pt>
                <c:pt idx="18">
                  <c:v>0.5625</c:v>
                </c:pt>
                <c:pt idx="19">
                  <c:v>0.54545454545454541</c:v>
                </c:pt>
                <c:pt idx="20">
                  <c:v>0.5714285714285714</c:v>
                </c:pt>
                <c:pt idx="21">
                  <c:v>0.55555555555555558</c:v>
                </c:pt>
                <c:pt idx="22">
                  <c:v>0.5641025641025641</c:v>
                </c:pt>
                <c:pt idx="23">
                  <c:v>0.5641025641025641</c:v>
                </c:pt>
                <c:pt idx="24">
                  <c:v>0.56097560975609762</c:v>
                </c:pt>
                <c:pt idx="25">
                  <c:v>0.5714285714285714</c:v>
                </c:pt>
                <c:pt idx="26">
                  <c:v>0.56818181818181823</c:v>
                </c:pt>
                <c:pt idx="27">
                  <c:v>0.56818181818181823</c:v>
                </c:pt>
                <c:pt idx="28">
                  <c:v>0.57777777777777772</c:v>
                </c:pt>
                <c:pt idx="29">
                  <c:v>0.5957446808510638</c:v>
                </c:pt>
                <c:pt idx="30">
                  <c:v>0.60416666666666663</c:v>
                </c:pt>
                <c:pt idx="31">
                  <c:v>0.57692307692307687</c:v>
                </c:pt>
                <c:pt idx="32">
                  <c:v>0.58490566037735847</c:v>
                </c:pt>
                <c:pt idx="33">
                  <c:v>0.58181818181818179</c:v>
                </c:pt>
                <c:pt idx="34">
                  <c:v>0.57894736842105265</c:v>
                </c:pt>
                <c:pt idx="35">
                  <c:v>0.55932203389830504</c:v>
                </c:pt>
                <c:pt idx="36">
                  <c:v>0.56666666666666665</c:v>
                </c:pt>
                <c:pt idx="37">
                  <c:v>0.55555555555555558</c:v>
                </c:pt>
                <c:pt idx="38">
                  <c:v>0.5714285714285714</c:v>
                </c:pt>
                <c:pt idx="39">
                  <c:v>0.57534246575342463</c:v>
                </c:pt>
                <c:pt idx="40">
                  <c:v>0.58108108108108103</c:v>
                </c:pt>
                <c:pt idx="41">
                  <c:v>0.58108108108108103</c:v>
                </c:pt>
                <c:pt idx="42">
                  <c:v>0.58666666666666667</c:v>
                </c:pt>
                <c:pt idx="43">
                  <c:v>0.58974358974358976</c:v>
                </c:pt>
                <c:pt idx="44">
                  <c:v>0.58750000000000002</c:v>
                </c:pt>
                <c:pt idx="45">
                  <c:v>0.59523809523809523</c:v>
                </c:pt>
                <c:pt idx="46">
                  <c:v>0.59523809523809523</c:v>
                </c:pt>
                <c:pt idx="47">
                  <c:v>0.60227272727272729</c:v>
                </c:pt>
                <c:pt idx="48">
                  <c:v>0.5955056179775281</c:v>
                </c:pt>
                <c:pt idx="49">
                  <c:v>0.60215053763440862</c:v>
                </c:pt>
                <c:pt idx="50">
                  <c:v>0.59375</c:v>
                </c:pt>
                <c:pt idx="51">
                  <c:v>0.59183673469387754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291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いちかわ2!$O$3:$O$54</c:f>
              <c:numCache>
                <c:formatCode>0.0%</c:formatCode>
                <c:ptCount val="52"/>
                <c:pt idx="1">
                  <c:v>0.66666666666666663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0.55555555555555558</c:v>
                </c:pt>
                <c:pt idx="7">
                  <c:v>0.6</c:v>
                </c:pt>
                <c:pt idx="8">
                  <c:v>0.58333333333333337</c:v>
                </c:pt>
                <c:pt idx="9">
                  <c:v>0.61538461538461542</c:v>
                </c:pt>
                <c:pt idx="10">
                  <c:v>0.5625</c:v>
                </c:pt>
                <c:pt idx="11">
                  <c:v>0.5625</c:v>
                </c:pt>
                <c:pt idx="12">
                  <c:v>0.55555555555555558</c:v>
                </c:pt>
                <c:pt idx="13">
                  <c:v>0.54545454545454541</c:v>
                </c:pt>
                <c:pt idx="14">
                  <c:v>0.59259259259259256</c:v>
                </c:pt>
                <c:pt idx="15">
                  <c:v>0.62068965517241381</c:v>
                </c:pt>
                <c:pt idx="16">
                  <c:v>0.59375</c:v>
                </c:pt>
                <c:pt idx="17">
                  <c:v>0.5714285714285714</c:v>
                </c:pt>
                <c:pt idx="18">
                  <c:v>0.58333333333333337</c:v>
                </c:pt>
                <c:pt idx="19">
                  <c:v>0.58974358974358976</c:v>
                </c:pt>
                <c:pt idx="20">
                  <c:v>0.57499999999999996</c:v>
                </c:pt>
                <c:pt idx="21">
                  <c:v>0.57499999999999996</c:v>
                </c:pt>
                <c:pt idx="22">
                  <c:v>0.57499999999999996</c:v>
                </c:pt>
                <c:pt idx="23">
                  <c:v>0.5714285714285714</c:v>
                </c:pt>
                <c:pt idx="24">
                  <c:v>0.53333333333333333</c:v>
                </c:pt>
                <c:pt idx="25">
                  <c:v>0.52173913043478259</c:v>
                </c:pt>
                <c:pt idx="26">
                  <c:v>0.51020408163265307</c:v>
                </c:pt>
                <c:pt idx="27">
                  <c:v>0.52941176470588236</c:v>
                </c:pt>
                <c:pt idx="28">
                  <c:v>0.50943396226415094</c:v>
                </c:pt>
                <c:pt idx="29">
                  <c:v>0.52727272727272723</c:v>
                </c:pt>
                <c:pt idx="30">
                  <c:v>0.53448275862068961</c:v>
                </c:pt>
                <c:pt idx="31">
                  <c:v>0.51666666666666672</c:v>
                </c:pt>
                <c:pt idx="32">
                  <c:v>0.5</c:v>
                </c:pt>
                <c:pt idx="33">
                  <c:v>0.49230769230769234</c:v>
                </c:pt>
                <c:pt idx="34">
                  <c:v>0.49230769230769234</c:v>
                </c:pt>
                <c:pt idx="35">
                  <c:v>0.48484848484848486</c:v>
                </c:pt>
                <c:pt idx="36">
                  <c:v>0.48484848484848486</c:v>
                </c:pt>
                <c:pt idx="37">
                  <c:v>0.47761194029850745</c:v>
                </c:pt>
                <c:pt idx="38">
                  <c:v>0.47826086956521741</c:v>
                </c:pt>
                <c:pt idx="39">
                  <c:v>0.48571428571428571</c:v>
                </c:pt>
                <c:pt idx="40">
                  <c:v>0.4861111111111111</c:v>
                </c:pt>
                <c:pt idx="41">
                  <c:v>0.49315068493150682</c:v>
                </c:pt>
                <c:pt idx="42">
                  <c:v>0.49333333333333335</c:v>
                </c:pt>
                <c:pt idx="43">
                  <c:v>0.49333333333333335</c:v>
                </c:pt>
                <c:pt idx="44">
                  <c:v>0.49367088607594939</c:v>
                </c:pt>
                <c:pt idx="45">
                  <c:v>0.48192771084337349</c:v>
                </c:pt>
                <c:pt idx="46">
                  <c:v>0.48837209302325579</c:v>
                </c:pt>
                <c:pt idx="47">
                  <c:v>0.45652173913043476</c:v>
                </c:pt>
                <c:pt idx="48">
                  <c:v>0.45652173913043476</c:v>
                </c:pt>
                <c:pt idx="49">
                  <c:v>0.46808510638297873</c:v>
                </c:pt>
                <c:pt idx="50">
                  <c:v>0.45833333333333331</c:v>
                </c:pt>
                <c:pt idx="51">
                  <c:v>0.45360824742268041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789232531500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いちかわ2!$P$3:$P$54</c:f>
              <c:numCache>
                <c:formatCode>0.0%</c:formatCode>
                <c:ptCount val="52"/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0.55555555555555558</c:v>
                </c:pt>
                <c:pt idx="5">
                  <c:v>0.55555555555555558</c:v>
                </c:pt>
                <c:pt idx="6">
                  <c:v>0.41666666666666669</c:v>
                </c:pt>
                <c:pt idx="7">
                  <c:v>0.53333333333333333</c:v>
                </c:pt>
                <c:pt idx="8">
                  <c:v>0.44444444444444442</c:v>
                </c:pt>
                <c:pt idx="9">
                  <c:v>0.40909090909090912</c:v>
                </c:pt>
                <c:pt idx="10">
                  <c:v>0.41666666666666669</c:v>
                </c:pt>
                <c:pt idx="11">
                  <c:v>0.42307692307692307</c:v>
                </c:pt>
                <c:pt idx="12">
                  <c:v>0.44827586206896552</c:v>
                </c:pt>
                <c:pt idx="13">
                  <c:v>0.46875</c:v>
                </c:pt>
                <c:pt idx="14">
                  <c:v>0.40540540540540543</c:v>
                </c:pt>
                <c:pt idx="15">
                  <c:v>0.36585365853658536</c:v>
                </c:pt>
                <c:pt idx="16">
                  <c:v>0.39534883720930231</c:v>
                </c:pt>
                <c:pt idx="17">
                  <c:v>0.37777777777777777</c:v>
                </c:pt>
                <c:pt idx="18">
                  <c:v>0.36170212765957449</c:v>
                </c:pt>
                <c:pt idx="19">
                  <c:v>0.39215686274509803</c:v>
                </c:pt>
                <c:pt idx="20">
                  <c:v>0.3888888888888889</c:v>
                </c:pt>
                <c:pt idx="21">
                  <c:v>0.3888888888888889</c:v>
                </c:pt>
                <c:pt idx="22">
                  <c:v>0.40350877192982454</c:v>
                </c:pt>
                <c:pt idx="23">
                  <c:v>0.39655172413793105</c:v>
                </c:pt>
                <c:pt idx="24">
                  <c:v>0.4</c:v>
                </c:pt>
                <c:pt idx="25">
                  <c:v>0.39344262295081966</c:v>
                </c:pt>
                <c:pt idx="26">
                  <c:v>0.4</c:v>
                </c:pt>
                <c:pt idx="27">
                  <c:v>0.38571428571428573</c:v>
                </c:pt>
                <c:pt idx="28">
                  <c:v>0.38028169014084506</c:v>
                </c:pt>
                <c:pt idx="29">
                  <c:v>0.4</c:v>
                </c:pt>
                <c:pt idx="30">
                  <c:v>0.4050632911392405</c:v>
                </c:pt>
                <c:pt idx="31">
                  <c:v>0.4</c:v>
                </c:pt>
                <c:pt idx="32">
                  <c:v>0.40243902439024393</c:v>
                </c:pt>
                <c:pt idx="33">
                  <c:v>0.40476190476190477</c:v>
                </c:pt>
                <c:pt idx="34">
                  <c:v>0.41176470588235292</c:v>
                </c:pt>
                <c:pt idx="35">
                  <c:v>0.40909090909090912</c:v>
                </c:pt>
                <c:pt idx="36">
                  <c:v>0.41111111111111109</c:v>
                </c:pt>
                <c:pt idx="37">
                  <c:v>0.41304347826086957</c:v>
                </c:pt>
                <c:pt idx="38">
                  <c:v>0.43</c:v>
                </c:pt>
                <c:pt idx="39">
                  <c:v>0.42718446601941745</c:v>
                </c:pt>
                <c:pt idx="40">
                  <c:v>0.43809523809523809</c:v>
                </c:pt>
                <c:pt idx="41">
                  <c:v>0.43396226415094341</c:v>
                </c:pt>
                <c:pt idx="42">
                  <c:v>0.44036697247706424</c:v>
                </c:pt>
                <c:pt idx="43">
                  <c:v>0.43243243243243246</c:v>
                </c:pt>
                <c:pt idx="44">
                  <c:v>0.42982456140350878</c:v>
                </c:pt>
                <c:pt idx="45">
                  <c:v>0.43220338983050849</c:v>
                </c:pt>
                <c:pt idx="46">
                  <c:v>0.42148760330578511</c:v>
                </c:pt>
                <c:pt idx="47">
                  <c:v>0.41129032258064518</c:v>
                </c:pt>
                <c:pt idx="48">
                  <c:v>0.41129032258064518</c:v>
                </c:pt>
                <c:pt idx="49">
                  <c:v>0.41085271317829458</c:v>
                </c:pt>
                <c:pt idx="50">
                  <c:v>0.40458015267175573</c:v>
                </c:pt>
                <c:pt idx="51">
                  <c:v>0.40151515151515149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440559440559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8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6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6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6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6" x14ac:dyDescent="0.4">
      <c r="A52" s="2" t="s">
        <v>269</v>
      </c>
      <c r="B52" s="3">
        <v>44188.877129629633</v>
      </c>
      <c r="C52" s="2" t="s">
        <v>127</v>
      </c>
    </row>
    <row r="53" spans="1:6" x14ac:dyDescent="0.4">
      <c r="A53" s="2" t="s">
        <v>270</v>
      </c>
      <c r="B53" s="3">
        <v>44202.692986111113</v>
      </c>
      <c r="C53" s="2" t="s">
        <v>127</v>
      </c>
    </row>
    <row r="54" spans="1:6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  <row r="55" spans="1:6" x14ac:dyDescent="0.4">
      <c r="A55" s="2" t="s">
        <v>272</v>
      </c>
      <c r="B55" s="3">
        <v>44211.712731481479</v>
      </c>
      <c r="C55" s="2" t="s">
        <v>127</v>
      </c>
      <c r="D55" s="2" t="s">
        <v>188</v>
      </c>
    </row>
    <row r="56" spans="1:6" x14ac:dyDescent="0.4">
      <c r="A56" s="2" t="s">
        <v>273</v>
      </c>
      <c r="B56" s="3">
        <v>44212.86445601852</v>
      </c>
      <c r="C56" s="2" t="s">
        <v>127</v>
      </c>
      <c r="D56" s="2" t="s">
        <v>188</v>
      </c>
      <c r="E56" s="2" t="s">
        <v>191</v>
      </c>
    </row>
    <row r="57" spans="1:6" x14ac:dyDescent="0.4">
      <c r="A57" s="2" t="s">
        <v>274</v>
      </c>
      <c r="B57" s="3">
        <v>44221.737361111111</v>
      </c>
      <c r="C57" s="2" t="s">
        <v>127</v>
      </c>
      <c r="D57" s="2" t="s">
        <v>188</v>
      </c>
    </row>
    <row r="58" spans="1:6" x14ac:dyDescent="0.4">
      <c r="A58" s="2" t="s">
        <v>275</v>
      </c>
      <c r="B58" s="3">
        <v>44225.852303240739</v>
      </c>
      <c r="C58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127</v>
      </c>
      <c r="C2" s="120">
        <v>1842.3339395535957</v>
      </c>
    </row>
    <row r="3" spans="1:3" x14ac:dyDescent="0.4">
      <c r="A3" t="s">
        <v>163</v>
      </c>
      <c r="B3" s="120">
        <v>84</v>
      </c>
      <c r="C3" s="120">
        <v>1653.1699313523677</v>
      </c>
    </row>
    <row r="4" spans="1:3" x14ac:dyDescent="0.4">
      <c r="A4" t="s">
        <v>139</v>
      </c>
      <c r="B4" s="120">
        <v>453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56</v>
      </c>
      <c r="C6" s="120">
        <v>1517.1288342047803</v>
      </c>
    </row>
    <row r="7" spans="1:3" x14ac:dyDescent="0.4">
      <c r="A7" t="s">
        <v>211</v>
      </c>
      <c r="B7" s="120">
        <v>51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48</v>
      </c>
      <c r="C10" s="120">
        <v>1433.30445236539</v>
      </c>
    </row>
    <row r="11" spans="1:3" x14ac:dyDescent="0.4">
      <c r="A11" t="s">
        <v>195</v>
      </c>
      <c r="B11" s="120">
        <v>16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0.91782365450272352</v>
      </c>
      <c r="C2" s="152"/>
      <c r="D2" s="151">
        <v>0.44481710856790452</v>
      </c>
      <c r="E2" s="152"/>
      <c r="F2" s="151">
        <v>0.57260460894882947</v>
      </c>
      <c r="G2" s="152"/>
      <c r="H2" s="153"/>
      <c r="I2" s="154"/>
      <c r="J2" s="151">
        <v>0.29358666197266164</v>
      </c>
      <c r="K2" s="152"/>
      <c r="L2" s="151">
        <v>-9.3048396896924138E-2</v>
      </c>
      <c r="M2" s="152"/>
      <c r="N2" s="151">
        <v>0.38434439769880802</v>
      </c>
      <c r="O2" s="152"/>
      <c r="P2" s="151">
        <v>0.53978469610919988</v>
      </c>
      <c r="Q2" s="152"/>
      <c r="R2" s="151">
        <v>1.7380470439514968E-2</v>
      </c>
      <c r="S2" s="152"/>
      <c r="T2" s="151">
        <v>-2.2379999890716425E-2</v>
      </c>
      <c r="U2" s="152"/>
      <c r="V2" s="151">
        <v>0.27982514101705824</v>
      </c>
      <c r="W2" s="152"/>
      <c r="X2" s="151">
        <v>0.41171228412920036</v>
      </c>
      <c r="Y2" s="152"/>
      <c r="Z2" s="151">
        <v>0.13317695177310748</v>
      </c>
      <c r="AA2" s="152"/>
      <c r="AB2" s="151">
        <v>0.23465360443372887</v>
      </c>
      <c r="AC2" s="152"/>
      <c r="AD2" s="151">
        <v>-3.4228423196302427E-2</v>
      </c>
      <c r="AE2" s="152"/>
      <c r="AF2" s="151">
        <v>0.6604971740065535</v>
      </c>
      <c r="AG2" s="152"/>
      <c r="AH2" s="151">
        <v>-0.39026871195820512</v>
      </c>
      <c r="AI2" s="152"/>
      <c r="AJ2" s="151">
        <v>0.76910175669598879</v>
      </c>
      <c r="AK2" s="152"/>
    </row>
    <row r="3" spans="1:37" x14ac:dyDescent="0.4">
      <c r="A3" s="38">
        <v>1</v>
      </c>
      <c r="B3" s="41" t="s">
        <v>139</v>
      </c>
      <c r="C3" s="113">
        <v>151</v>
      </c>
      <c r="D3" s="39" t="s">
        <v>192</v>
      </c>
      <c r="E3" s="40">
        <v>275.2999999999999</v>
      </c>
      <c r="F3" s="41" t="s">
        <v>192</v>
      </c>
      <c r="G3" s="60">
        <v>4.9160714285714269</v>
      </c>
      <c r="H3" s="41" t="s">
        <v>126</v>
      </c>
      <c r="I3" s="45">
        <v>1740.9224663935174</v>
      </c>
      <c r="J3" s="41" t="s">
        <v>192</v>
      </c>
      <c r="K3" s="42">
        <v>1.8392857142857142</v>
      </c>
      <c r="L3" s="41" t="s">
        <v>192</v>
      </c>
      <c r="M3" s="43">
        <v>0.39285714285714285</v>
      </c>
      <c r="N3" s="41" t="s">
        <v>190</v>
      </c>
      <c r="O3" s="43">
        <v>0.1891891891891892</v>
      </c>
      <c r="P3" s="41" t="s">
        <v>192</v>
      </c>
      <c r="Q3" s="44">
        <v>0.33540372670807456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0.28133333333333332</v>
      </c>
      <c r="AB3" s="41" t="s">
        <v>189</v>
      </c>
      <c r="AC3" s="44">
        <v>0.29716981132075471</v>
      </c>
      <c r="AD3" s="41" t="s">
        <v>201</v>
      </c>
      <c r="AE3" s="44">
        <v>0.66666666666666663</v>
      </c>
      <c r="AF3" s="41" t="s">
        <v>126</v>
      </c>
      <c r="AG3" s="44">
        <v>0.4697674418604651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127</v>
      </c>
      <c r="D4" s="47" t="s">
        <v>211</v>
      </c>
      <c r="E4" s="48">
        <v>178.2</v>
      </c>
      <c r="F4" s="49" t="s">
        <v>211</v>
      </c>
      <c r="G4" s="61">
        <v>3.4941176470588231</v>
      </c>
      <c r="H4" s="49" t="s">
        <v>163</v>
      </c>
      <c r="I4" s="53">
        <v>1616.7273241326677</v>
      </c>
      <c r="J4" s="49" t="s">
        <v>190</v>
      </c>
      <c r="K4" s="50">
        <v>1.8918918918918919</v>
      </c>
      <c r="L4" s="49" t="s">
        <v>189</v>
      </c>
      <c r="M4" s="51">
        <v>0.375</v>
      </c>
      <c r="N4" s="49" t="s">
        <v>192</v>
      </c>
      <c r="O4" s="51">
        <v>0.23214285714285715</v>
      </c>
      <c r="P4" s="49" t="s">
        <v>126</v>
      </c>
      <c r="Q4" s="52">
        <v>0.3168685927306617</v>
      </c>
      <c r="R4" s="49" t="s">
        <v>192</v>
      </c>
      <c r="S4" s="52">
        <v>0.12215320910973085</v>
      </c>
      <c r="T4" s="49" t="s">
        <v>163</v>
      </c>
      <c r="U4" s="53">
        <v>9402.5380710659902</v>
      </c>
      <c r="V4" s="49" t="s">
        <v>211</v>
      </c>
      <c r="W4" s="53">
        <v>-6961.0169491525421</v>
      </c>
      <c r="X4" s="49" t="s">
        <v>221</v>
      </c>
      <c r="Y4" s="51">
        <v>0</v>
      </c>
      <c r="Z4" s="49" t="s">
        <v>189</v>
      </c>
      <c r="AA4" s="52">
        <v>0.2617924528301887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0.45360824742268041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84</v>
      </c>
      <c r="D5" s="47" t="s">
        <v>126</v>
      </c>
      <c r="E5" s="48">
        <v>148.2999999999999</v>
      </c>
      <c r="F5" s="49" t="s">
        <v>190</v>
      </c>
      <c r="G5" s="61">
        <v>1.58108108108108</v>
      </c>
      <c r="H5" s="49" t="s">
        <v>139</v>
      </c>
      <c r="I5" s="53">
        <v>1611.5765783692202</v>
      </c>
      <c r="J5" s="49" t="s">
        <v>211</v>
      </c>
      <c r="K5" s="50">
        <v>1.9215686274509804</v>
      </c>
      <c r="L5" s="49" t="s">
        <v>195</v>
      </c>
      <c r="M5" s="51">
        <v>0.375</v>
      </c>
      <c r="N5" s="49" t="s">
        <v>211</v>
      </c>
      <c r="O5" s="51">
        <v>0.29411764705882354</v>
      </c>
      <c r="P5" s="49" t="s">
        <v>211</v>
      </c>
      <c r="Q5" s="52">
        <v>0.30697674418604654</v>
      </c>
      <c r="R5" s="49" t="s">
        <v>211</v>
      </c>
      <c r="S5" s="52">
        <v>0.1372093023255814</v>
      </c>
      <c r="T5" s="49" t="s">
        <v>195</v>
      </c>
      <c r="U5" s="53">
        <v>8974.2857142857138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190</v>
      </c>
      <c r="AA5" s="52">
        <v>0.26168224299065418</v>
      </c>
      <c r="AB5" s="49" t="s">
        <v>192</v>
      </c>
      <c r="AC5" s="52">
        <v>0.2691511387163561</v>
      </c>
      <c r="AD5" s="49" t="s">
        <v>195</v>
      </c>
      <c r="AE5" s="52">
        <v>0.61764705882352944</v>
      </c>
      <c r="AF5" s="49" t="s">
        <v>192</v>
      </c>
      <c r="AG5" s="52">
        <v>0.43076923076923079</v>
      </c>
      <c r="AH5" s="49" t="s">
        <v>195</v>
      </c>
      <c r="AI5" s="52">
        <v>0.54285714285714282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56</v>
      </c>
      <c r="D6" s="47" t="s">
        <v>190</v>
      </c>
      <c r="E6" s="48">
        <v>58.499999999999957</v>
      </c>
      <c r="F6" s="49" t="s">
        <v>126</v>
      </c>
      <c r="G6" s="61">
        <v>1.1677165354330701</v>
      </c>
      <c r="H6" s="49" t="s">
        <v>192</v>
      </c>
      <c r="I6" s="53">
        <v>1585.3047690513151</v>
      </c>
      <c r="J6" s="49" t="s">
        <v>139</v>
      </c>
      <c r="K6" s="50">
        <v>1.9977924944812362</v>
      </c>
      <c r="L6" s="49" t="s">
        <v>211</v>
      </c>
      <c r="M6" s="51">
        <v>0.37254901960784315</v>
      </c>
      <c r="N6" s="49" t="s">
        <v>163</v>
      </c>
      <c r="O6" s="51">
        <v>0.33333333333333331</v>
      </c>
      <c r="P6" s="49" t="s">
        <v>189</v>
      </c>
      <c r="Q6" s="52">
        <v>0.30188679245283018</v>
      </c>
      <c r="R6" s="49" t="s">
        <v>189</v>
      </c>
      <c r="S6" s="52">
        <v>0.15801886792452829</v>
      </c>
      <c r="T6" s="49" t="s">
        <v>126</v>
      </c>
      <c r="U6" s="53">
        <v>8165</v>
      </c>
      <c r="V6" s="49" t="s">
        <v>126</v>
      </c>
      <c r="W6" s="53">
        <v>-7541.0810810810808</v>
      </c>
      <c r="X6" s="49" t="s">
        <v>211</v>
      </c>
      <c r="Y6" s="51">
        <v>3.9215686274509803E-2</v>
      </c>
      <c r="Z6" s="49" t="s">
        <v>126</v>
      </c>
      <c r="AA6" s="52">
        <v>0.24790307548928239</v>
      </c>
      <c r="AB6" s="49" t="s">
        <v>211</v>
      </c>
      <c r="AC6" s="52">
        <v>0.2255813953488372</v>
      </c>
      <c r="AD6" s="49" t="s">
        <v>211</v>
      </c>
      <c r="AE6" s="52">
        <v>0.59183673469387754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51</v>
      </c>
      <c r="D7" s="47" t="s">
        <v>139</v>
      </c>
      <c r="E7" s="48">
        <v>4.9737991503207013E-14</v>
      </c>
      <c r="F7" s="49" t="s">
        <v>139</v>
      </c>
      <c r="G7" s="61">
        <v>1.0979689073555633E-16</v>
      </c>
      <c r="H7" s="49" t="s">
        <v>190</v>
      </c>
      <c r="I7" s="53">
        <v>1552.235570864417</v>
      </c>
      <c r="J7" s="49" t="s">
        <v>126</v>
      </c>
      <c r="K7" s="50">
        <v>2.015748031496063</v>
      </c>
      <c r="L7" s="49" t="s">
        <v>126</v>
      </c>
      <c r="M7" s="51">
        <v>0.34645669291338582</v>
      </c>
      <c r="N7" s="49" t="s">
        <v>139</v>
      </c>
      <c r="O7" s="51">
        <v>0.33333333333333331</v>
      </c>
      <c r="P7" s="49" t="s">
        <v>139</v>
      </c>
      <c r="Q7" s="52">
        <v>0.29310786574429926</v>
      </c>
      <c r="R7" s="49" t="s">
        <v>139</v>
      </c>
      <c r="S7" s="52">
        <v>0.16397642838841917</v>
      </c>
      <c r="T7" s="49" t="s">
        <v>139</v>
      </c>
      <c r="U7" s="53">
        <v>8159.7902097902097</v>
      </c>
      <c r="V7" s="49" t="s">
        <v>139</v>
      </c>
      <c r="W7" s="53">
        <v>-7674.6875</v>
      </c>
      <c r="X7" s="49" t="s">
        <v>190</v>
      </c>
      <c r="Y7" s="51">
        <v>5.4054054054054057E-2</v>
      </c>
      <c r="Z7" s="49" t="s">
        <v>139</v>
      </c>
      <c r="AA7" s="52">
        <v>0.24596464258262873</v>
      </c>
      <c r="AB7" s="49" t="s">
        <v>163</v>
      </c>
      <c r="AC7" s="52">
        <v>0.22533333333333333</v>
      </c>
      <c r="AD7" s="49" t="s">
        <v>126</v>
      </c>
      <c r="AE7" s="52">
        <v>0.56390977443609025</v>
      </c>
      <c r="AF7" s="49" t="s">
        <v>189</v>
      </c>
      <c r="AG7" s="52">
        <v>0.41269841269841268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48</v>
      </c>
      <c r="D8" s="47" t="s">
        <v>221</v>
      </c>
      <c r="E8" s="48">
        <v>-13.5</v>
      </c>
      <c r="F8" s="49" t="s">
        <v>189</v>
      </c>
      <c r="G8" s="61">
        <v>-0.65624999999999989</v>
      </c>
      <c r="H8" s="49" t="s">
        <v>211</v>
      </c>
      <c r="I8" s="53">
        <v>1541.223654027415</v>
      </c>
      <c r="J8" s="49" t="s">
        <v>189</v>
      </c>
      <c r="K8" s="50">
        <v>2.0208333333333335</v>
      </c>
      <c r="L8" s="49" t="s">
        <v>139</v>
      </c>
      <c r="M8" s="51">
        <v>0.33554083885209712</v>
      </c>
      <c r="N8" s="49" t="s">
        <v>126</v>
      </c>
      <c r="O8" s="51">
        <v>0.36220472440944884</v>
      </c>
      <c r="P8" s="49" t="s">
        <v>190</v>
      </c>
      <c r="Q8" s="52">
        <v>0.26479750778816197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163</v>
      </c>
      <c r="W8" s="53">
        <v>-7679.605263157895</v>
      </c>
      <c r="X8" s="49" t="s">
        <v>192</v>
      </c>
      <c r="Y8" s="51">
        <v>7.1428571428571425E-2</v>
      </c>
      <c r="Z8" s="49" t="s">
        <v>259</v>
      </c>
      <c r="AA8" s="52">
        <v>0.24</v>
      </c>
      <c r="AB8" s="49" t="s">
        <v>139</v>
      </c>
      <c r="AC8" s="52">
        <v>0.22367409684857803</v>
      </c>
      <c r="AD8" s="49" t="s">
        <v>192</v>
      </c>
      <c r="AE8" s="52">
        <v>0.53608247422680411</v>
      </c>
      <c r="AF8" s="49" t="s">
        <v>139</v>
      </c>
      <c r="AG8" s="52">
        <v>0.40778923253150057</v>
      </c>
      <c r="AH8" s="49" t="s">
        <v>189</v>
      </c>
      <c r="AI8" s="52">
        <v>0.46875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189</v>
      </c>
      <c r="E9" s="48">
        <v>-31.499999999999993</v>
      </c>
      <c r="F9" s="49" t="s">
        <v>163</v>
      </c>
      <c r="G9" s="61">
        <v>-2.1428571428571428</v>
      </c>
      <c r="H9" s="49" t="s">
        <v>221</v>
      </c>
      <c r="I9" s="53">
        <v>1497.379788</v>
      </c>
      <c r="J9" s="49" t="s">
        <v>163</v>
      </c>
      <c r="K9" s="50">
        <v>2.0238095238095237</v>
      </c>
      <c r="L9" s="49" t="s">
        <v>163</v>
      </c>
      <c r="M9" s="51">
        <v>0.30952380952380953</v>
      </c>
      <c r="N9" s="49" t="s">
        <v>189</v>
      </c>
      <c r="O9" s="51">
        <v>0.39583333333333331</v>
      </c>
      <c r="P9" s="49" t="s">
        <v>163</v>
      </c>
      <c r="Q9" s="52">
        <v>0.26266666666666666</v>
      </c>
      <c r="R9" s="49" t="s">
        <v>126</v>
      </c>
      <c r="S9" s="52">
        <v>0.17241379310344829</v>
      </c>
      <c r="T9" s="49" t="s">
        <v>211</v>
      </c>
      <c r="U9" s="53">
        <v>7929.545454545455</v>
      </c>
      <c r="V9" s="49" t="s">
        <v>195</v>
      </c>
      <c r="W9" s="53">
        <v>-7868</v>
      </c>
      <c r="X9" s="49" t="s">
        <v>189</v>
      </c>
      <c r="Y9" s="51">
        <v>8.3333333333333329E-2</v>
      </c>
      <c r="Z9" s="49" t="s">
        <v>216</v>
      </c>
      <c r="AA9" s="52">
        <v>0.2361111111111111</v>
      </c>
      <c r="AB9" s="49" t="s">
        <v>193</v>
      </c>
      <c r="AC9" s="52">
        <v>0.22222222222222221</v>
      </c>
      <c r="AD9" s="49" t="s">
        <v>139</v>
      </c>
      <c r="AE9" s="52">
        <v>0.5229166666666667</v>
      </c>
      <c r="AF9" s="49" t="s">
        <v>221</v>
      </c>
      <c r="AG9" s="52">
        <v>0.4</v>
      </c>
      <c r="AH9" s="49" t="s">
        <v>126</v>
      </c>
      <c r="AI9" s="52">
        <v>0.45294117647058824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216</v>
      </c>
      <c r="C10" s="114">
        <v>19</v>
      </c>
      <c r="D10" s="47" t="s">
        <v>259</v>
      </c>
      <c r="E10" s="48">
        <v>-50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195</v>
      </c>
      <c r="K10" s="50">
        <v>2.0625</v>
      </c>
      <c r="L10" s="49" t="s">
        <v>190</v>
      </c>
      <c r="M10" s="51">
        <v>0.29729729729729731</v>
      </c>
      <c r="N10" s="49" t="s">
        <v>216</v>
      </c>
      <c r="O10" s="51">
        <v>0.42105263157894735</v>
      </c>
      <c r="P10" s="49" t="s">
        <v>201</v>
      </c>
      <c r="Q10" s="52">
        <v>0.25</v>
      </c>
      <c r="R10" s="49" t="s">
        <v>195</v>
      </c>
      <c r="S10" s="52">
        <v>0.17241379310344829</v>
      </c>
      <c r="T10" s="49" t="s">
        <v>216</v>
      </c>
      <c r="U10" s="53">
        <v>7926.4705882352937</v>
      </c>
      <c r="V10" s="49" t="s">
        <v>192</v>
      </c>
      <c r="W10" s="53">
        <v>-7877.9661016949149</v>
      </c>
      <c r="X10" s="49" t="s">
        <v>126</v>
      </c>
      <c r="Y10" s="51">
        <v>8.6614173228346455E-2</v>
      </c>
      <c r="Z10" s="49" t="s">
        <v>195</v>
      </c>
      <c r="AA10" s="52">
        <v>0.23448275862068965</v>
      </c>
      <c r="AB10" s="49" t="s">
        <v>201</v>
      </c>
      <c r="AC10" s="52">
        <v>0.22222222222222221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163</v>
      </c>
      <c r="AI10" s="52">
        <v>0.45177664974619292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195</v>
      </c>
      <c r="C11" s="114">
        <v>16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0.4375</v>
      </c>
      <c r="P11" s="49" t="s">
        <v>195</v>
      </c>
      <c r="Q11" s="52">
        <v>0.2413793103448276</v>
      </c>
      <c r="R11" s="49" t="s">
        <v>259</v>
      </c>
      <c r="S11" s="52">
        <v>0.2</v>
      </c>
      <c r="T11" s="49" t="s">
        <v>193</v>
      </c>
      <c r="U11" s="53">
        <v>7866.666666666667</v>
      </c>
      <c r="V11" s="49" t="s">
        <v>216</v>
      </c>
      <c r="W11" s="53">
        <v>-7886.2068965517237</v>
      </c>
      <c r="X11" s="49" t="s">
        <v>139</v>
      </c>
      <c r="Y11" s="51">
        <v>8.8300220750551883E-2</v>
      </c>
      <c r="Z11" s="49" t="s">
        <v>211</v>
      </c>
      <c r="AA11" s="52">
        <v>0.22790697674418606</v>
      </c>
      <c r="AB11" s="49" t="s">
        <v>126</v>
      </c>
      <c r="AC11" s="52">
        <v>0.20037278657968313</v>
      </c>
      <c r="AD11" s="49" t="s">
        <v>163</v>
      </c>
      <c r="AE11" s="52">
        <v>0.47867298578199052</v>
      </c>
      <c r="AF11" s="49" t="s">
        <v>163</v>
      </c>
      <c r="AG11" s="52">
        <v>0.33727810650887574</v>
      </c>
      <c r="AH11" s="49" t="s">
        <v>139</v>
      </c>
      <c r="AI11" s="52">
        <v>0.43444055944055943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195</v>
      </c>
      <c r="G12" s="61">
        <v>-7.5687499999999996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216</v>
      </c>
      <c r="S12" s="52">
        <v>0.2013888888888889</v>
      </c>
      <c r="T12" s="49" t="s">
        <v>189</v>
      </c>
      <c r="U12" s="53">
        <v>7529.6875</v>
      </c>
      <c r="V12" s="49" t="s">
        <v>189</v>
      </c>
      <c r="W12" s="53">
        <v>-8488.059701492537</v>
      </c>
      <c r="X12" s="49" t="s">
        <v>216</v>
      </c>
      <c r="Y12" s="51">
        <v>0.10526315789473684</v>
      </c>
      <c r="Z12" s="49" t="s">
        <v>221</v>
      </c>
      <c r="AA12" s="52">
        <v>0.22222222222222221</v>
      </c>
      <c r="AB12" s="49" t="s">
        <v>190</v>
      </c>
      <c r="AC12" s="52">
        <v>0.19626168224299065</v>
      </c>
      <c r="AD12" s="49" t="s">
        <v>216</v>
      </c>
      <c r="AE12" s="52">
        <v>0.47058823529411764</v>
      </c>
      <c r="AF12" s="49" t="s">
        <v>216</v>
      </c>
      <c r="AG12" s="52">
        <v>0.32</v>
      </c>
      <c r="AH12" s="49" t="s">
        <v>211</v>
      </c>
      <c r="AI12" s="52">
        <v>0.40151515151515149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216</v>
      </c>
      <c r="E13" s="48">
        <v>-108.30000000000001</v>
      </c>
      <c r="F13" s="49" t="s">
        <v>193</v>
      </c>
      <c r="G13" s="61">
        <v>-13.033333333333331</v>
      </c>
      <c r="H13" s="49" t="s">
        <v>189</v>
      </c>
      <c r="I13" s="53">
        <v>1467.5565900800862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216</v>
      </c>
      <c r="Q13" s="52">
        <v>0.2361111111111111</v>
      </c>
      <c r="R13" s="49" t="s">
        <v>163</v>
      </c>
      <c r="S13" s="52">
        <v>0.20266666666666666</v>
      </c>
      <c r="T13" s="49" t="s">
        <v>192</v>
      </c>
      <c r="U13" s="53">
        <v>7298.7654320987658</v>
      </c>
      <c r="V13" s="49" t="s">
        <v>193</v>
      </c>
      <c r="W13" s="53">
        <v>-8875</v>
      </c>
      <c r="X13" s="49" t="s">
        <v>163</v>
      </c>
      <c r="Y13" s="51">
        <v>0.13095238095238096</v>
      </c>
      <c r="Z13" s="49" t="s">
        <v>192</v>
      </c>
      <c r="AA13" s="52">
        <v>0.20082815734989648</v>
      </c>
      <c r="AB13" s="49" t="s">
        <v>216</v>
      </c>
      <c r="AC13" s="52">
        <v>0.1736111111111111</v>
      </c>
      <c r="AD13" s="49" t="s">
        <v>189</v>
      </c>
      <c r="AE13" s="52">
        <v>0.45045045045045046</v>
      </c>
      <c r="AF13" s="49" t="s">
        <v>195</v>
      </c>
      <c r="AG13" s="52">
        <v>0.26315789473684209</v>
      </c>
      <c r="AH13" s="49" t="s">
        <v>192</v>
      </c>
      <c r="AI13" s="52">
        <v>0.39506172839506171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195</v>
      </c>
      <c r="E14" s="48">
        <v>-121.1</v>
      </c>
      <c r="F14" s="49" t="s">
        <v>259</v>
      </c>
      <c r="G14" s="61">
        <v>-16.666666666666668</v>
      </c>
      <c r="H14" s="49" t="s">
        <v>195</v>
      </c>
      <c r="I14" s="53">
        <v>1386.1875835590063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0.1875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163</v>
      </c>
      <c r="E15" s="48">
        <v>-180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0.1310344827586207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5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453</v>
      </c>
      <c r="C2" s="142"/>
      <c r="E2" s="26" t="s">
        <v>66</v>
      </c>
      <c r="F2" s="23" t="s">
        <v>22</v>
      </c>
      <c r="G2" s="11">
        <v>894</v>
      </c>
      <c r="H2" s="87">
        <f>IF(B$20=0,0,G2/B$20)</f>
        <v>0.78146853146853146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-33.333333333333336</v>
      </c>
      <c r="Q2" s="76">
        <v>450</v>
      </c>
      <c r="R2" s="63">
        <v>-15000</v>
      </c>
    </row>
    <row r="3" spans="1:18" x14ac:dyDescent="0.4">
      <c r="A3" s="19" t="s">
        <v>8</v>
      </c>
      <c r="B3" s="143">
        <v>3903</v>
      </c>
      <c r="C3" s="144"/>
      <c r="E3" s="27" t="s">
        <v>72</v>
      </c>
      <c r="F3" s="24" t="s">
        <v>27</v>
      </c>
      <c r="G3" s="12">
        <v>681</v>
      </c>
      <c r="H3" s="88">
        <f>IF(B$20=0,0,G3/B$20)</f>
        <v>0.59527972027972031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13.605442176870747</v>
      </c>
      <c r="Q3" s="77">
        <v>441</v>
      </c>
      <c r="R3" s="64">
        <v>6000</v>
      </c>
    </row>
    <row r="4" spans="1:18" x14ac:dyDescent="0.4">
      <c r="A4" s="19" t="s">
        <v>6</v>
      </c>
      <c r="B4" s="145">
        <v>4.9737991503207013E-14</v>
      </c>
      <c r="C4" s="146"/>
      <c r="E4" s="27" t="s">
        <v>64</v>
      </c>
      <c r="F4" s="24" t="s">
        <v>20</v>
      </c>
      <c r="G4" s="12">
        <v>486</v>
      </c>
      <c r="H4" s="88">
        <f>IF(B$20=0,0,G4/B$20)</f>
        <v>0.42482517482517484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2.2675736961451247</v>
      </c>
      <c r="Q4" s="77">
        <v>441</v>
      </c>
      <c r="R4" s="64">
        <v>1000</v>
      </c>
    </row>
    <row r="5" spans="1:18" x14ac:dyDescent="0.4">
      <c r="A5" s="19" t="s">
        <v>7</v>
      </c>
      <c r="B5" s="133">
        <f>IF(B$2=0,0,B$4/B$2)</f>
        <v>1.0979689073555633E-16</v>
      </c>
      <c r="C5" s="134"/>
      <c r="E5" s="27" t="s">
        <v>159</v>
      </c>
      <c r="F5" s="24" t="s">
        <v>160</v>
      </c>
      <c r="G5" s="12">
        <v>465</v>
      </c>
      <c r="H5" s="88">
        <f>IF(B$20=0,0,G5/B$20)</f>
        <v>0.40646853146853146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-4.7619047619047619</v>
      </c>
      <c r="Q5" s="77">
        <v>420</v>
      </c>
      <c r="R5" s="64">
        <v>-2000</v>
      </c>
    </row>
    <row r="6" spans="1:18" x14ac:dyDescent="0.4">
      <c r="A6" s="19" t="s">
        <v>196</v>
      </c>
      <c r="B6" s="137">
        <v>1611.5765783692202</v>
      </c>
      <c r="C6" s="138"/>
      <c r="E6" s="27" t="s">
        <v>68</v>
      </c>
      <c r="F6" s="24" t="s">
        <v>12</v>
      </c>
      <c r="G6" s="12">
        <v>340</v>
      </c>
      <c r="H6" s="88">
        <f>IF(B$20=0,0,G6/B$20)</f>
        <v>0.29720279720279719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13.020833333333334</v>
      </c>
      <c r="Q6" s="77">
        <v>384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1.9977924944812362</v>
      </c>
      <c r="C7" s="148"/>
      <c r="E7" s="27" t="s">
        <v>67</v>
      </c>
      <c r="F7" s="24" t="s">
        <v>23</v>
      </c>
      <c r="G7" s="12">
        <v>259</v>
      </c>
      <c r="H7" s="88">
        <f>IF(B$20=0,0,G7/B$20)</f>
        <v>0.22639860139860141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15.151515151515152</v>
      </c>
      <c r="Q7" s="78">
        <v>330</v>
      </c>
      <c r="R7" s="65">
        <v>5000</v>
      </c>
    </row>
    <row r="8" spans="1:18" x14ac:dyDescent="0.4">
      <c r="A8" s="19" t="s">
        <v>2</v>
      </c>
      <c r="B8" s="12">
        <v>152</v>
      </c>
      <c r="C8" s="6">
        <f t="shared" ref="C8:C15" si="1">IF(B$2=0,0,B8/B$2)</f>
        <v>0.33554083885209712</v>
      </c>
      <c r="E8" s="27" t="s">
        <v>89</v>
      </c>
      <c r="F8" s="24" t="s">
        <v>44</v>
      </c>
      <c r="G8" s="12">
        <v>157</v>
      </c>
      <c r="H8" s="88">
        <f>IF(B$20=0,0,G8/B$20)</f>
        <v>0.13723776223776224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150</v>
      </c>
      <c r="C9" s="6">
        <f t="shared" si="1"/>
        <v>0.33112582781456956</v>
      </c>
      <c r="E9" s="27" t="s">
        <v>69</v>
      </c>
      <c r="F9" s="24" t="s">
        <v>24</v>
      </c>
      <c r="G9" s="12">
        <v>153</v>
      </c>
      <c r="H9" s="88">
        <f>IF(B$20=0,0,G9/B$20)</f>
        <v>0.13374125874125875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151</v>
      </c>
      <c r="C10" s="7">
        <f t="shared" si="1"/>
        <v>0.33333333333333331</v>
      </c>
      <c r="E10" s="27" t="s">
        <v>70</v>
      </c>
      <c r="F10" s="24" t="s">
        <v>25</v>
      </c>
      <c r="G10" s="12">
        <v>111</v>
      </c>
      <c r="H10" s="88">
        <f>IF(B$20=0,0,G10/B$20)</f>
        <v>9.7027972027972031E-2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3.6390728476821184</v>
      </c>
      <c r="Q10" s="76">
        <v>151</v>
      </c>
      <c r="R10" s="67">
        <v>549.49999999999989</v>
      </c>
    </row>
    <row r="11" spans="1:18" x14ac:dyDescent="0.4">
      <c r="A11" s="20" t="s">
        <v>184</v>
      </c>
      <c r="B11" s="109">
        <f>IF(B8=0,0,C11/B8)</f>
        <v>34.698684210526309</v>
      </c>
      <c r="C11" s="110">
        <v>5274.1999999999989</v>
      </c>
      <c r="E11" s="27" t="s">
        <v>65</v>
      </c>
      <c r="F11" s="24" t="s">
        <v>21</v>
      </c>
      <c r="G11" s="12">
        <v>109</v>
      </c>
      <c r="H11" s="88">
        <f>IF(B$20=0,0,G11/B$20)</f>
        <v>9.5279720279720273E-2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-4.1523178807947021</v>
      </c>
      <c r="Q11" s="77">
        <v>151</v>
      </c>
      <c r="R11" s="68">
        <v>-627</v>
      </c>
    </row>
    <row r="12" spans="1:18" x14ac:dyDescent="0.4">
      <c r="A12" s="20" t="s">
        <v>185</v>
      </c>
      <c r="B12" s="109">
        <f>IF(B9=0,0,C12/B9)</f>
        <v>-1.0840000000000001</v>
      </c>
      <c r="C12" s="110">
        <v>-162.60000000000002</v>
      </c>
      <c r="E12" s="27" t="s">
        <v>71</v>
      </c>
      <c r="F12" s="24" t="s">
        <v>26</v>
      </c>
      <c r="G12" s="12">
        <v>72</v>
      </c>
      <c r="H12" s="88">
        <f>IF(B$20=0,0,G12/B$20)</f>
        <v>6.2937062937062943E-2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0.51324503311258296</v>
      </c>
      <c r="Q12" s="78">
        <v>151</v>
      </c>
      <c r="R12" s="69">
        <v>77.500000000000028</v>
      </c>
    </row>
    <row r="13" spans="1:18" x14ac:dyDescent="0.4">
      <c r="A13" s="20" t="s">
        <v>186</v>
      </c>
      <c r="B13" s="109">
        <f>IF(B10=0,0,C13/B10)</f>
        <v>-33.851655629139074</v>
      </c>
      <c r="C13" s="110">
        <v>-5111.6000000000004</v>
      </c>
      <c r="E13" s="27" t="s">
        <v>86</v>
      </c>
      <c r="F13" s="24" t="s">
        <v>41</v>
      </c>
      <c r="G13" s="12">
        <v>66</v>
      </c>
      <c r="H13" s="88">
        <f>IF(B$20=0,0,G13/B$20)</f>
        <v>5.7692307692307696E-2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-7.8990472870922687E-2</v>
      </c>
      <c r="C14" s="134"/>
      <c r="E14" s="27" t="s">
        <v>83</v>
      </c>
      <c r="F14" s="24" t="s">
        <v>38</v>
      </c>
      <c r="G14" s="12">
        <v>49</v>
      </c>
      <c r="H14" s="88">
        <f>IF(B$20=0,0,G14/B$20)</f>
        <v>4.2832167832167832E-2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40</v>
      </c>
      <c r="C15" s="9">
        <f t="shared" si="1"/>
        <v>8.8300220750551883E-2</v>
      </c>
      <c r="E15" s="27" t="s">
        <v>81</v>
      </c>
      <c r="F15" s="24" t="s">
        <v>36</v>
      </c>
      <c r="G15" s="12">
        <v>33</v>
      </c>
      <c r="H15" s="88">
        <f>IF(B$20=0,0,G15/B$20)</f>
        <v>2.8846153846153848E-2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960</v>
      </c>
      <c r="C16" s="10">
        <f>IF(B$3=0,0,B16/B$3)</f>
        <v>0.24596464258262873</v>
      </c>
      <c r="E16" s="27" t="s">
        <v>78</v>
      </c>
      <c r="F16" s="24" t="s">
        <v>33</v>
      </c>
      <c r="G16" s="12">
        <v>32</v>
      </c>
      <c r="H16" s="88">
        <f>IF(B$20=0,0,G16/B$20)</f>
        <v>2.7972027972027972E-2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873</v>
      </c>
      <c r="C17" s="6">
        <f>IF(B$3=0,0,B17/B$3)</f>
        <v>0.22367409684857803</v>
      </c>
      <c r="E17" s="27" t="s">
        <v>91</v>
      </c>
      <c r="F17" s="24" t="s">
        <v>46</v>
      </c>
      <c r="G17" s="12">
        <v>23</v>
      </c>
      <c r="H17" s="88">
        <f>IF(B$20=0,0,G17/B$20)</f>
        <v>2.0104895104895104E-2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502</v>
      </c>
      <c r="C18" s="5">
        <f>IF(B$16=0,0,B18/B$16)</f>
        <v>0.5229166666666667</v>
      </c>
      <c r="E18" s="27" t="s">
        <v>155</v>
      </c>
      <c r="F18" s="24" t="s">
        <v>156</v>
      </c>
      <c r="G18" s="12">
        <v>20</v>
      </c>
      <c r="H18" s="88">
        <f>IF(B$20=0,0,G18/B$20)</f>
        <v>1.7482517482517484E-2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11.353125</v>
      </c>
      <c r="Q18" s="77">
        <v>32</v>
      </c>
      <c r="R18" s="68">
        <v>363.3</v>
      </c>
    </row>
    <row r="19" spans="1:18" x14ac:dyDescent="0.4">
      <c r="A19" s="18" t="s">
        <v>124</v>
      </c>
      <c r="B19" s="11">
        <f>B25</f>
        <v>356</v>
      </c>
      <c r="C19" s="5">
        <f>IF(B$17=0,0,B19/B$17)</f>
        <v>0.40778923253150057</v>
      </c>
      <c r="E19" s="27" t="s">
        <v>79</v>
      </c>
      <c r="F19" s="24" t="s">
        <v>34</v>
      </c>
      <c r="G19" s="12">
        <v>15</v>
      </c>
      <c r="H19" s="88">
        <f>IF(B$20=0,0,G19/B$20)</f>
        <v>1.3111888111888112E-2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1144</v>
      </c>
      <c r="C20" s="5">
        <f>IF(B$3=0,0,B20/B$3)</f>
        <v>0.29310786574429926</v>
      </c>
      <c r="E20" s="27" t="s">
        <v>73</v>
      </c>
      <c r="F20" s="24" t="s">
        <v>28</v>
      </c>
      <c r="G20" s="12">
        <v>9</v>
      </c>
      <c r="H20" s="88">
        <f>IF(B$20=0,0,G20/B$20)</f>
        <v>7.8671328671328679E-3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640</v>
      </c>
      <c r="C21" s="6">
        <f>IF(B$3=0,0,B21/B$3)</f>
        <v>0.16397642838841917</v>
      </c>
      <c r="E21" s="27" t="s">
        <v>85</v>
      </c>
      <c r="F21" s="24" t="s">
        <v>40</v>
      </c>
      <c r="G21" s="12">
        <v>6</v>
      </c>
      <c r="H21" s="88">
        <f>IF(B$20=0,0,G21/B$20)</f>
        <v>5.244755244755245E-3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3.2142857142857149</v>
      </c>
      <c r="Q21" s="77">
        <v>168</v>
      </c>
      <c r="R21" s="68">
        <v>540.00000000000011</v>
      </c>
    </row>
    <row r="22" spans="1:18" x14ac:dyDescent="0.4">
      <c r="A22" s="19" t="s">
        <v>12</v>
      </c>
      <c r="B22" s="12">
        <v>497</v>
      </c>
      <c r="C22" s="6">
        <f>IF(B$20=0,0,B22/B$20)</f>
        <v>0.43444055944055943</v>
      </c>
      <c r="E22" s="27" t="s">
        <v>75</v>
      </c>
      <c r="F22" s="24" t="s">
        <v>30</v>
      </c>
      <c r="G22" s="12">
        <v>4</v>
      </c>
      <c r="H22" s="88">
        <f>IF(B$20=0,0,G22/B$20)</f>
        <v>3.4965034965034965E-3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0.984375</v>
      </c>
      <c r="Q22" s="77">
        <v>96</v>
      </c>
      <c r="R22" s="68">
        <v>94.5</v>
      </c>
    </row>
    <row r="23" spans="1:18" x14ac:dyDescent="0.4">
      <c r="A23" s="19" t="s">
        <v>11</v>
      </c>
      <c r="B23" s="12">
        <v>647</v>
      </c>
      <c r="C23" s="6">
        <f>IF(B$20=0,0,B23/B$20)</f>
        <v>0.56555944055944052</v>
      </c>
      <c r="E23" s="27" t="s">
        <v>77</v>
      </c>
      <c r="F23" s="24" t="s">
        <v>32</v>
      </c>
      <c r="G23" s="12">
        <v>4</v>
      </c>
      <c r="H23" s="88">
        <f>IF(B$20=0,0,G23/B$20)</f>
        <v>3.4965034965034965E-3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-1.751574803149605</v>
      </c>
      <c r="Q23" s="77">
        <v>254</v>
      </c>
      <c r="R23" s="68">
        <v>-444.89999999999969</v>
      </c>
    </row>
    <row r="24" spans="1:18" x14ac:dyDescent="0.4">
      <c r="A24" s="19" t="s">
        <v>183</v>
      </c>
      <c r="B24" s="12">
        <v>502</v>
      </c>
      <c r="C24" s="6">
        <f>IF(B$20=0,0,B24/B$20)</f>
        <v>0.4388111888111888</v>
      </c>
      <c r="E24" s="27" t="s">
        <v>88</v>
      </c>
      <c r="F24" s="24" t="s">
        <v>43</v>
      </c>
      <c r="G24" s="12">
        <v>4</v>
      </c>
      <c r="H24" s="88">
        <f>IF(B$20=0,0,G24/B$20)</f>
        <v>3.4965034965034965E-3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-2.3716216216216215</v>
      </c>
      <c r="Q24" s="77">
        <v>74</v>
      </c>
      <c r="R24" s="68">
        <v>-175.5</v>
      </c>
    </row>
    <row r="25" spans="1:18" x14ac:dyDescent="0.4">
      <c r="A25" s="19" t="s">
        <v>181</v>
      </c>
      <c r="B25" s="12">
        <v>356</v>
      </c>
      <c r="C25" s="6">
        <f>IF(B$20=0,0,B25/B$20)</f>
        <v>0.3111888111888112</v>
      </c>
      <c r="E25" s="27" t="s">
        <v>90</v>
      </c>
      <c r="F25" s="24" t="s">
        <v>45</v>
      </c>
      <c r="G25" s="12">
        <v>3</v>
      </c>
      <c r="H25" s="88">
        <f>IF(B$20=0,0,G25/B$20)</f>
        <v>2.6223776223776225E-3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-5.2411764705882344</v>
      </c>
      <c r="Q25" s="77">
        <v>102</v>
      </c>
      <c r="R25" s="68">
        <v>-534.59999999999991</v>
      </c>
    </row>
    <row r="26" spans="1:18" x14ac:dyDescent="0.4">
      <c r="A26" s="19" t="s">
        <v>182</v>
      </c>
      <c r="B26" s="12">
        <v>286</v>
      </c>
      <c r="C26" s="6">
        <f>IF(B$20=0,0,B26/B$20)</f>
        <v>0.25</v>
      </c>
      <c r="E26" s="27" t="s">
        <v>92</v>
      </c>
      <c r="F26" s="24" t="s">
        <v>47</v>
      </c>
      <c r="G26" s="12">
        <v>3</v>
      </c>
      <c r="H26" s="88">
        <f>IF(B$20=0,0,G26/B$20)</f>
        <v>2.6223776223776225E-3</v>
      </c>
      <c r="I26" s="58">
        <v>4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-7.3741071428571496</v>
      </c>
      <c r="Q26" s="77">
        <v>112</v>
      </c>
      <c r="R26" s="68">
        <v>-825.90000000000077</v>
      </c>
    </row>
    <row r="27" spans="1:18" x14ac:dyDescent="0.4">
      <c r="A27" s="19" t="s">
        <v>5</v>
      </c>
      <c r="B27" s="16">
        <f>IF(B$20=0,0,C27/B$20)</f>
        <v>8159.7902097902097</v>
      </c>
      <c r="C27" s="8">
        <v>9334800</v>
      </c>
      <c r="E27" s="27" t="s">
        <v>93</v>
      </c>
      <c r="F27" s="24" t="s">
        <v>48</v>
      </c>
      <c r="G27" s="12">
        <v>2</v>
      </c>
      <c r="H27" s="88">
        <f>IF(B$20=0,0,G27/B$20)</f>
        <v>1.7482517482517483E-3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8746.4467005076149</v>
      </c>
      <c r="C28" s="96">
        <v>6892200</v>
      </c>
      <c r="E28" s="27" t="s">
        <v>80</v>
      </c>
      <c r="F28" s="24" t="s">
        <v>35</v>
      </c>
      <c r="G28" s="12">
        <v>1</v>
      </c>
      <c r="H28" s="88">
        <f>IF(B$20=0,0,G28/B$20)</f>
        <v>8.7412587412587413E-4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6861.2359550561796</v>
      </c>
      <c r="C29" s="96">
        <v>2442600</v>
      </c>
      <c r="E29" s="27" t="s">
        <v>84</v>
      </c>
      <c r="F29" s="24" t="s">
        <v>39</v>
      </c>
      <c r="G29" s="12">
        <v>1</v>
      </c>
      <c r="H29" s="88">
        <f>IF(B$20=0,0,G29/B$20)</f>
        <v>8.7412587412587413E-4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-7674.6875</v>
      </c>
      <c r="C30" s="96">
        <v>-4911800</v>
      </c>
      <c r="E30" s="27" t="s">
        <v>102</v>
      </c>
      <c r="F30" s="24" t="s">
        <v>57</v>
      </c>
      <c r="G30" s="12">
        <v>1</v>
      </c>
      <c r="H30" s="88">
        <f>IF(B$20=0,0,G30/B$20)</f>
        <v>8.7412587412587413E-4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8.7412587412587413E-4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3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1.7934921854983346E-3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81</v>
      </c>
      <c r="C37" s="98">
        <f t="shared" ref="C37:C49" si="2">IF(B$20=0,0,B37/B$20)</f>
        <v>7.0804195804195807E-2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209</v>
      </c>
      <c r="C38" s="6">
        <f t="shared" si="2"/>
        <v>0.18269230769230768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224</v>
      </c>
      <c r="C39" s="6">
        <f t="shared" si="2"/>
        <v>0.19580419580419581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225</v>
      </c>
      <c r="C40" s="6">
        <f t="shared" si="2"/>
        <v>0.19667832167832167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172</v>
      </c>
      <c r="C41" s="6">
        <f t="shared" si="2"/>
        <v>0.15034965034965034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104</v>
      </c>
      <c r="C42" s="6">
        <f t="shared" si="2"/>
        <v>9.0909090909090912E-2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48</v>
      </c>
      <c r="C43" s="6">
        <f t="shared" si="2"/>
        <v>4.195804195804196E-2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36</v>
      </c>
      <c r="C44" s="6">
        <f t="shared" si="2"/>
        <v>3.1468531468531472E-2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20</v>
      </c>
      <c r="C45" s="6">
        <f t="shared" si="2"/>
        <v>1.7482517482517484E-2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12</v>
      </c>
      <c r="C46" s="6">
        <f t="shared" si="2"/>
        <v>1.048951048951049E-2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4</v>
      </c>
      <c r="C47" s="6">
        <f t="shared" si="2"/>
        <v>3.4965034965034965E-3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8.7412587412587413E-4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6.993006993006993E-3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  <row r="432" spans="11:13" x14ac:dyDescent="0.4">
      <c r="K432" s="74">
        <v>430</v>
      </c>
      <c r="L432" s="119">
        <v>24.50000000000005</v>
      </c>
      <c r="M432" s="117">
        <v>1612.4584212304849</v>
      </c>
    </row>
    <row r="433" spans="11:13" x14ac:dyDescent="0.4">
      <c r="K433" s="74">
        <v>431</v>
      </c>
      <c r="L433" s="119">
        <v>-5.5999999999999517</v>
      </c>
      <c r="M433" s="117">
        <v>1607.013670703102</v>
      </c>
    </row>
    <row r="434" spans="11:13" x14ac:dyDescent="0.4">
      <c r="K434" s="74">
        <v>432</v>
      </c>
      <c r="L434" s="119">
        <v>4.7961634663806763E-14</v>
      </c>
      <c r="M434" s="117">
        <v>1608.0275886788834</v>
      </c>
    </row>
    <row r="435" spans="11:13" x14ac:dyDescent="0.4">
      <c r="K435" s="74">
        <v>433</v>
      </c>
      <c r="L435" s="119">
        <v>-48.299999999999947</v>
      </c>
      <c r="M435" s="117">
        <v>1599.33342314681</v>
      </c>
    </row>
    <row r="436" spans="11:13" x14ac:dyDescent="0.4">
      <c r="K436" s="74">
        <v>434</v>
      </c>
      <c r="L436" s="119">
        <v>-9.699999999999946</v>
      </c>
      <c r="M436" s="117">
        <v>1606.3334226079292</v>
      </c>
    </row>
    <row r="437" spans="11:13" x14ac:dyDescent="0.4">
      <c r="K437" s="74">
        <v>435</v>
      </c>
      <c r="L437" s="119">
        <v>5.3290705182007514E-14</v>
      </c>
      <c r="M437" s="117">
        <v>1608.0894220722816</v>
      </c>
    </row>
    <row r="438" spans="11:13" x14ac:dyDescent="0.4">
      <c r="K438" s="74">
        <v>436</v>
      </c>
      <c r="L438" s="119">
        <v>36.500000000000057</v>
      </c>
      <c r="M438" s="117">
        <v>1614.886885539848</v>
      </c>
    </row>
    <row r="439" spans="11:13" x14ac:dyDescent="0.4">
      <c r="K439" s="74">
        <v>437</v>
      </c>
      <c r="L439" s="119">
        <v>7.4000000000000554</v>
      </c>
      <c r="M439" s="117">
        <v>1609.835564226609</v>
      </c>
    </row>
    <row r="440" spans="11:13" x14ac:dyDescent="0.4">
      <c r="K440" s="74">
        <v>438</v>
      </c>
      <c r="L440" s="119">
        <v>5.5067062021407764E-14</v>
      </c>
      <c r="M440" s="117">
        <v>1608.7205508412494</v>
      </c>
    </row>
    <row r="441" spans="11:13" x14ac:dyDescent="0.4">
      <c r="K441" s="74">
        <v>439</v>
      </c>
      <c r="L441" s="119">
        <v>-26.799999999999947</v>
      </c>
      <c r="M441" s="117">
        <v>1604.1202275362018</v>
      </c>
    </row>
    <row r="442" spans="11:13" x14ac:dyDescent="0.4">
      <c r="K442" s="74">
        <v>440</v>
      </c>
      <c r="L442" s="119">
        <v>-24.399999999999949</v>
      </c>
      <c r="M442" s="117">
        <v>1604.8035061709845</v>
      </c>
    </row>
    <row r="443" spans="11:13" x14ac:dyDescent="0.4">
      <c r="K443" s="74">
        <v>441</v>
      </c>
      <c r="L443" s="119">
        <v>4.9737991503207013E-14</v>
      </c>
      <c r="M443" s="117">
        <v>1609.4426851339585</v>
      </c>
    </row>
    <row r="444" spans="11:13" x14ac:dyDescent="0.4">
      <c r="K444" s="74">
        <v>442</v>
      </c>
      <c r="L444" s="119">
        <v>40.300000000000047</v>
      </c>
      <c r="M444" s="117">
        <v>1616.9160290231548</v>
      </c>
    </row>
    <row r="445" spans="11:13" x14ac:dyDescent="0.4">
      <c r="K445" s="74">
        <v>443</v>
      </c>
      <c r="L445" s="119">
        <v>46.00000000000005</v>
      </c>
      <c r="M445" s="117">
        <v>1618.1165328490158</v>
      </c>
    </row>
    <row r="446" spans="11:13" x14ac:dyDescent="0.4">
      <c r="K446" s="74">
        <v>444</v>
      </c>
      <c r="L446" s="119">
        <v>4.9737991503207013E-14</v>
      </c>
      <c r="M446" s="117">
        <v>1610.0038336519217</v>
      </c>
    </row>
    <row r="447" spans="11:13" x14ac:dyDescent="0.4">
      <c r="K447" s="74">
        <v>445</v>
      </c>
      <c r="L447" s="119">
        <v>-31.099999999999952</v>
      </c>
      <c r="M447" s="117">
        <v>1604.6218106500103</v>
      </c>
    </row>
    <row r="448" spans="11:13" x14ac:dyDescent="0.4">
      <c r="K448" s="74">
        <v>446</v>
      </c>
      <c r="L448" s="119">
        <v>-30.099999999999952</v>
      </c>
      <c r="M448" s="117">
        <v>1605.0500797861102</v>
      </c>
    </row>
    <row r="449" spans="11:13" x14ac:dyDescent="0.4">
      <c r="K449" s="74">
        <v>447</v>
      </c>
      <c r="L449" s="119">
        <v>4.9737991503207013E-14</v>
      </c>
      <c r="M449" s="117">
        <v>1610.7137793073937</v>
      </c>
    </row>
    <row r="450" spans="11:13" x14ac:dyDescent="0.4">
      <c r="K450" s="74">
        <v>448</v>
      </c>
      <c r="L450" s="119">
        <v>50.400000000000048</v>
      </c>
      <c r="M450" s="117">
        <v>1619.9974966315492</v>
      </c>
    </row>
    <row r="451" spans="11:13" x14ac:dyDescent="0.4">
      <c r="K451" s="74">
        <v>449</v>
      </c>
      <c r="L451" s="119">
        <v>31.800000000000047</v>
      </c>
      <c r="M451" s="117">
        <v>1616.8055116517598</v>
      </c>
    </row>
    <row r="452" spans="11:13" x14ac:dyDescent="0.4">
      <c r="K452" s="74">
        <v>450</v>
      </c>
      <c r="L452" s="119">
        <v>4.6185277824406512E-14</v>
      </c>
      <c r="M452" s="117">
        <v>1611.2566785818492</v>
      </c>
    </row>
    <row r="453" spans="11:13" x14ac:dyDescent="0.4">
      <c r="K453" s="74">
        <v>451</v>
      </c>
      <c r="L453" s="119">
        <v>30.800000000000047</v>
      </c>
      <c r="M453" s="117">
        <v>1616.9311385103581</v>
      </c>
    </row>
    <row r="454" spans="11:13" x14ac:dyDescent="0.4">
      <c r="K454" s="74">
        <v>452</v>
      </c>
      <c r="L454" s="119">
        <v>33.400000000000048</v>
      </c>
      <c r="M454" s="117">
        <v>1617.4955516792959</v>
      </c>
    </row>
    <row r="455" spans="11:13" x14ac:dyDescent="0.4">
      <c r="K455" s="74">
        <v>453</v>
      </c>
      <c r="L455" s="119">
        <v>4.9737991503207013E-14</v>
      </c>
      <c r="M455" s="117">
        <v>1611.5765783692202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2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127</v>
      </c>
      <c r="C2" s="142"/>
      <c r="E2" s="26" t="s">
        <v>66</v>
      </c>
      <c r="F2" s="23" t="s">
        <v>22</v>
      </c>
      <c r="G2" s="11">
        <v>259</v>
      </c>
      <c r="H2" s="87">
        <f>IF(B$20=0,0,G2/B$20)</f>
        <v>0.7617647058823529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653.96825396825398</v>
      </c>
      <c r="Q2" s="76">
        <v>126</v>
      </c>
      <c r="R2" s="63">
        <v>82400</v>
      </c>
    </row>
    <row r="3" spans="1:18" x14ac:dyDescent="0.4">
      <c r="A3" s="19" t="s">
        <v>8</v>
      </c>
      <c r="B3" s="143">
        <v>1073</v>
      </c>
      <c r="C3" s="144"/>
      <c r="E3" s="27" t="s">
        <v>72</v>
      </c>
      <c r="F3" s="24" t="s">
        <v>27</v>
      </c>
      <c r="G3" s="12">
        <v>185</v>
      </c>
      <c r="H3" s="88">
        <f>IF(B$20=0,0,G3/B$20)</f>
        <v>0.54411764705882348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-533.33333333333337</v>
      </c>
      <c r="Q3" s="77">
        <v>123</v>
      </c>
      <c r="R3" s="64">
        <v>-65600</v>
      </c>
    </row>
    <row r="4" spans="1:18" x14ac:dyDescent="0.4">
      <c r="A4" s="19" t="s">
        <v>6</v>
      </c>
      <c r="B4" s="145">
        <v>148.2999999999999</v>
      </c>
      <c r="C4" s="146"/>
      <c r="E4" s="27" t="s">
        <v>64</v>
      </c>
      <c r="F4" s="24" t="s">
        <v>20</v>
      </c>
      <c r="G4" s="12">
        <v>141</v>
      </c>
      <c r="H4" s="88">
        <f>IF(B$20=0,0,G4/B$20)</f>
        <v>0.4147058823529412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-1682.9268292682927</v>
      </c>
      <c r="Q4" s="77">
        <v>123</v>
      </c>
      <c r="R4" s="64">
        <v>-207000</v>
      </c>
    </row>
    <row r="5" spans="1:18" x14ac:dyDescent="0.4">
      <c r="A5" s="19" t="s">
        <v>7</v>
      </c>
      <c r="B5" s="133">
        <f>IF(B$2=0,0,B$4/B$2)</f>
        <v>1.1677165354330701</v>
      </c>
      <c r="C5" s="134"/>
      <c r="E5" s="27" t="s">
        <v>159</v>
      </c>
      <c r="F5" s="24" t="s">
        <v>160</v>
      </c>
      <c r="G5" s="12">
        <v>132</v>
      </c>
      <c r="H5" s="88">
        <f>IF(B$20=0,0,G5/B$20)</f>
        <v>0.38823529411764707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1117.7966101694915</v>
      </c>
      <c r="Q5" s="77">
        <v>118</v>
      </c>
      <c r="R5" s="64">
        <v>131900</v>
      </c>
    </row>
    <row r="6" spans="1:18" x14ac:dyDescent="0.4">
      <c r="A6" s="19" t="s">
        <v>196</v>
      </c>
      <c r="B6" s="137">
        <v>1740.9224663935174</v>
      </c>
      <c r="C6" s="138"/>
      <c r="E6" s="27" t="s">
        <v>68</v>
      </c>
      <c r="F6" s="24" t="s">
        <v>12</v>
      </c>
      <c r="G6" s="12">
        <v>106</v>
      </c>
      <c r="H6" s="88">
        <f>IF(B$20=0,0,G6/B$20)</f>
        <v>0.31176470588235294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829.90654205607473</v>
      </c>
      <c r="Q6" s="77">
        <v>107</v>
      </c>
      <c r="R6" s="64">
        <v>88800</v>
      </c>
    </row>
    <row r="7" spans="1:18" x14ac:dyDescent="0.4">
      <c r="A7" s="19" t="s">
        <v>1</v>
      </c>
      <c r="B7" s="147">
        <f>IF(B$2=0,0,(B$8*1+B$9*2+B$10*3)/B$2)</f>
        <v>2.015748031496063</v>
      </c>
      <c r="C7" s="148"/>
      <c r="E7" s="27" t="s">
        <v>67</v>
      </c>
      <c r="F7" s="24" t="s">
        <v>23</v>
      </c>
      <c r="G7" s="12">
        <v>70</v>
      </c>
      <c r="H7" s="88">
        <f>IF(B$20=0,0,G7/B$20)</f>
        <v>0.20588235294117646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658.695652173913</v>
      </c>
      <c r="Q7" s="78">
        <v>92</v>
      </c>
      <c r="R7" s="65">
        <v>60600</v>
      </c>
    </row>
    <row r="8" spans="1:18" x14ac:dyDescent="0.4">
      <c r="A8" s="19" t="s">
        <v>2</v>
      </c>
      <c r="B8" s="12">
        <v>44</v>
      </c>
      <c r="C8" s="6">
        <f t="shared" ref="C8:C15" si="1">IF(B$2=0,0,B8/B$2)</f>
        <v>0.34645669291338582</v>
      </c>
      <c r="E8" s="27" t="s">
        <v>69</v>
      </c>
      <c r="F8" s="24" t="s">
        <v>24</v>
      </c>
      <c r="G8" s="12">
        <v>56</v>
      </c>
      <c r="H8" s="88">
        <f>IF(B$20=0,0,G8/B$20)</f>
        <v>0.16470588235294117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0.29133858267716534</v>
      </c>
      <c r="E9" s="27" t="s">
        <v>70</v>
      </c>
      <c r="F9" s="24" t="s">
        <v>25</v>
      </c>
      <c r="G9" s="12">
        <v>44</v>
      </c>
      <c r="H9" s="88">
        <f>IF(B$20=0,0,G9/B$20)</f>
        <v>0.12941176470588237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46</v>
      </c>
      <c r="C10" s="7">
        <f t="shared" si="1"/>
        <v>0.36220472440944884</v>
      </c>
      <c r="E10" s="27" t="s">
        <v>89</v>
      </c>
      <c r="F10" s="24" t="s">
        <v>44</v>
      </c>
      <c r="G10" s="12">
        <v>43</v>
      </c>
      <c r="H10" s="88">
        <f>IF(B$20=0,0,G10/B$20)</f>
        <v>0.12647058823529411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7.3586956521739122</v>
      </c>
      <c r="Q10" s="76">
        <v>46</v>
      </c>
      <c r="R10" s="67">
        <v>338.49999999999994</v>
      </c>
    </row>
    <row r="11" spans="1:18" x14ac:dyDescent="0.4">
      <c r="A11" s="20" t="s">
        <v>184</v>
      </c>
      <c r="B11" s="109">
        <f>IF(B8=0,0,C11/B8)</f>
        <v>37.720454545454551</v>
      </c>
      <c r="C11" s="110">
        <v>1659.7000000000003</v>
      </c>
      <c r="E11" s="27" t="s">
        <v>65</v>
      </c>
      <c r="F11" s="24" t="s">
        <v>21</v>
      </c>
      <c r="G11" s="12">
        <v>31</v>
      </c>
      <c r="H11" s="88">
        <f>IF(B$20=0,0,G11/B$20)</f>
        <v>9.1176470588235289E-2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-7.3906976744186066</v>
      </c>
      <c r="Q11" s="77">
        <v>43</v>
      </c>
      <c r="R11" s="68">
        <v>-317.80000000000007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24</v>
      </c>
      <c r="H12" s="88">
        <f>IF(B$20=0,0,G12/B$20)</f>
        <v>7.0588235294117646E-2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3.3578947368421059</v>
      </c>
      <c r="Q12" s="78">
        <v>38</v>
      </c>
      <c r="R12" s="69">
        <v>127.60000000000002</v>
      </c>
    </row>
    <row r="13" spans="1:18" x14ac:dyDescent="0.4">
      <c r="A13" s="20" t="s">
        <v>186</v>
      </c>
      <c r="B13" s="109">
        <f>IF(B10=0,0,C13/B10)</f>
        <v>-31.586956521739129</v>
      </c>
      <c r="C13" s="110">
        <v>-1453</v>
      </c>
      <c r="E13" s="27" t="s">
        <v>83</v>
      </c>
      <c r="F13" s="24" t="s">
        <v>38</v>
      </c>
      <c r="G13" s="12">
        <v>15</v>
      </c>
      <c r="H13" s="88">
        <f>IF(B$20=0,0,G13/B$20)</f>
        <v>4.4117647058823532E-2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1.5183732151123468</v>
      </c>
      <c r="C14" s="134"/>
      <c r="E14" s="27" t="s">
        <v>71</v>
      </c>
      <c r="F14" s="24" t="s">
        <v>26</v>
      </c>
      <c r="G14" s="12">
        <v>14</v>
      </c>
      <c r="H14" s="88">
        <f>IF(B$20=0,0,G14/B$20)</f>
        <v>4.1176470588235294E-2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8.6614173228346455E-2</v>
      </c>
      <c r="E15" s="27" t="s">
        <v>155</v>
      </c>
      <c r="F15" s="24" t="s">
        <v>156</v>
      </c>
      <c r="G15" s="12">
        <v>12</v>
      </c>
      <c r="H15" s="88">
        <f>IF(B$20=0,0,G15/B$20)</f>
        <v>3.5294117647058823E-2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266</v>
      </c>
      <c r="C16" s="10">
        <f>IF(B$3=0,0,B16/B$3)</f>
        <v>0.24790307548928239</v>
      </c>
      <c r="E16" s="27" t="s">
        <v>78</v>
      </c>
      <c r="F16" s="24" t="s">
        <v>33</v>
      </c>
      <c r="G16" s="12">
        <v>9</v>
      </c>
      <c r="H16" s="88">
        <f>IF(B$20=0,0,G16/B$20)</f>
        <v>2.6470588235294117E-2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215</v>
      </c>
      <c r="C17" s="6">
        <f>IF(B$3=0,0,B17/B$3)</f>
        <v>0.20037278657968313</v>
      </c>
      <c r="E17" s="27" t="s">
        <v>91</v>
      </c>
      <c r="F17" s="24" t="s">
        <v>46</v>
      </c>
      <c r="G17" s="12">
        <v>9</v>
      </c>
      <c r="H17" s="88">
        <f>IF(B$20=0,0,G17/B$20)</f>
        <v>2.6470588235294117E-2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150</v>
      </c>
      <c r="C18" s="5">
        <f>IF(B$16=0,0,B18/B$16)</f>
        <v>0.56390977443609025</v>
      </c>
      <c r="E18" s="27" t="s">
        <v>79</v>
      </c>
      <c r="F18" s="24" t="s">
        <v>34</v>
      </c>
      <c r="G18" s="12">
        <v>5</v>
      </c>
      <c r="H18" s="88">
        <f>IF(B$20=0,0,G18/B$20)</f>
        <v>1.4705882352941176E-2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13.090909090909093</v>
      </c>
      <c r="Q18" s="77">
        <v>11</v>
      </c>
      <c r="R18" s="68">
        <v>144.00000000000003</v>
      </c>
    </row>
    <row r="19" spans="1:18" x14ac:dyDescent="0.4">
      <c r="A19" s="18" t="s">
        <v>124</v>
      </c>
      <c r="B19" s="11">
        <f>B25</f>
        <v>101</v>
      </c>
      <c r="C19" s="5">
        <f>IF(B$17=0,0,B19/B$17)</f>
        <v>0.4697674418604651</v>
      </c>
      <c r="E19" s="27" t="s">
        <v>81</v>
      </c>
      <c r="F19" s="24" t="s">
        <v>36</v>
      </c>
      <c r="G19" s="12">
        <v>5</v>
      </c>
      <c r="H19" s="88">
        <f>IF(B$20=0,0,G19/B$20)</f>
        <v>1.4705882352941176E-2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6.1958333333333337</v>
      </c>
      <c r="Q19" s="77">
        <v>72</v>
      </c>
      <c r="R19" s="68">
        <v>446.1</v>
      </c>
    </row>
    <row r="20" spans="1:18" x14ac:dyDescent="0.4">
      <c r="A20" s="18" t="s">
        <v>10</v>
      </c>
      <c r="B20" s="11">
        <f>B23+B22</f>
        <v>340</v>
      </c>
      <c r="C20" s="5">
        <f>IF(B$3=0,0,B20/B$3)</f>
        <v>0.3168685927306617</v>
      </c>
      <c r="E20" s="27" t="s">
        <v>73</v>
      </c>
      <c r="F20" s="24" t="s">
        <v>28</v>
      </c>
      <c r="G20" s="12">
        <v>3</v>
      </c>
      <c r="H20" s="88">
        <f>IF(B$20=0,0,G20/B$20)</f>
        <v>8.8235294117647058E-3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-0.10909090909091064</v>
      </c>
      <c r="Q20" s="77">
        <v>11</v>
      </c>
      <c r="R20" s="68">
        <v>-1.2000000000000171</v>
      </c>
    </row>
    <row r="21" spans="1:18" x14ac:dyDescent="0.4">
      <c r="A21" s="19" t="s">
        <v>13</v>
      </c>
      <c r="B21" s="12">
        <v>185</v>
      </c>
      <c r="C21" s="6">
        <f>IF(B$3=0,0,B21/B$3)</f>
        <v>0.17241379310344829</v>
      </c>
      <c r="E21" s="27" t="s">
        <v>85</v>
      </c>
      <c r="F21" s="24" t="s">
        <v>40</v>
      </c>
      <c r="G21" s="12">
        <v>3</v>
      </c>
      <c r="H21" s="88">
        <f>IF(B$20=0,0,G21/B$20)</f>
        <v>8.8235294117647058E-3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190</v>
      </c>
      <c r="P21" s="83">
        <f>IF(Q21=0,0,R21/Q21)</f>
        <v>-0.82903225806451564</v>
      </c>
      <c r="Q21" s="77">
        <v>31</v>
      </c>
      <c r="R21" s="68">
        <v>-25.699999999999985</v>
      </c>
    </row>
    <row r="22" spans="1:18" x14ac:dyDescent="0.4">
      <c r="A22" s="19" t="s">
        <v>12</v>
      </c>
      <c r="B22" s="12">
        <v>154</v>
      </c>
      <c r="C22" s="6">
        <f>IF(B$20=0,0,B22/B$20)</f>
        <v>0.45294117647058824</v>
      </c>
      <c r="E22" s="27" t="s">
        <v>75</v>
      </c>
      <c r="F22" s="24" t="s">
        <v>30</v>
      </c>
      <c r="G22" s="12">
        <v>2</v>
      </c>
      <c r="H22" s="88">
        <f>IF(B$20=0,0,G22/B$20)</f>
        <v>5.8823529411764705E-3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211</v>
      </c>
      <c r="P22" s="83">
        <f>IF(Q22=0,0,R22/Q22)</f>
        <v>-3.0419354838709682</v>
      </c>
      <c r="Q22" s="77">
        <v>31</v>
      </c>
      <c r="R22" s="68">
        <v>-94.300000000000011</v>
      </c>
    </row>
    <row r="23" spans="1:18" x14ac:dyDescent="0.4">
      <c r="A23" s="19" t="s">
        <v>11</v>
      </c>
      <c r="B23" s="12">
        <v>186</v>
      </c>
      <c r="C23" s="6">
        <f>IF(B$20=0,0,B23/B$20)</f>
        <v>0.54705882352941182</v>
      </c>
      <c r="E23" s="27" t="s">
        <v>80</v>
      </c>
      <c r="F23" s="24" t="s">
        <v>35</v>
      </c>
      <c r="G23" s="12">
        <v>1</v>
      </c>
      <c r="H23" s="88">
        <f>IF(B$20=0,0,G23/B$20)</f>
        <v>2.9411764705882353E-3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189</v>
      </c>
      <c r="P23" s="83">
        <f>IF(Q23=0,0,R23/Q23)</f>
        <v>-3.4119047619047622</v>
      </c>
      <c r="Q23" s="77">
        <v>42</v>
      </c>
      <c r="R23" s="68">
        <v>-143.30000000000001</v>
      </c>
    </row>
    <row r="24" spans="1:18" x14ac:dyDescent="0.4">
      <c r="A24" s="19" t="s">
        <v>183</v>
      </c>
      <c r="B24" s="12">
        <v>150</v>
      </c>
      <c r="C24" s="6">
        <f>IF(B$20=0,0,B24/B$20)</f>
        <v>0.44117647058823528</v>
      </c>
      <c r="E24" s="27" t="s">
        <v>84</v>
      </c>
      <c r="F24" s="24" t="s">
        <v>39</v>
      </c>
      <c r="G24" s="12">
        <v>1</v>
      </c>
      <c r="H24" s="88">
        <f>IF(B$20=0,0,G24/B$20)</f>
        <v>2.9411764705882353E-3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-4.1562499999999991</v>
      </c>
      <c r="Q24" s="77">
        <v>48</v>
      </c>
      <c r="R24" s="68">
        <v>-199.49999999999997</v>
      </c>
    </row>
    <row r="25" spans="1:18" x14ac:dyDescent="0.4">
      <c r="A25" s="19" t="s">
        <v>181</v>
      </c>
      <c r="B25" s="12">
        <v>101</v>
      </c>
      <c r="C25" s="6">
        <f>IF(B$20=0,0,B25/B$20)</f>
        <v>0.29705882352941176</v>
      </c>
      <c r="E25" s="27" t="s">
        <v>88</v>
      </c>
      <c r="F25" s="24" t="s">
        <v>43</v>
      </c>
      <c r="G25" s="12">
        <v>1</v>
      </c>
      <c r="H25" s="88">
        <f>IF(B$20=0,0,G25/B$20)</f>
        <v>2.9411764705882353E-3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89</v>
      </c>
      <c r="C26" s="6">
        <f>IF(B$20=0,0,B26/B$20)</f>
        <v>0.26176470588235295</v>
      </c>
      <c r="E26" s="27" t="s">
        <v>90</v>
      </c>
      <c r="F26" s="24" t="s">
        <v>45</v>
      </c>
      <c r="G26" s="12">
        <v>1</v>
      </c>
      <c r="H26" s="88">
        <f>IF(B$20=0,0,G26/B$20)</f>
        <v>2.9411764705882353E-3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8165</v>
      </c>
      <c r="C27" s="8">
        <v>2776100</v>
      </c>
      <c r="E27" s="27" t="s">
        <v>92</v>
      </c>
      <c r="F27" s="24" t="s">
        <v>47</v>
      </c>
      <c r="G27" s="12">
        <v>1</v>
      </c>
      <c r="H27" s="88">
        <f>IF(B$20=0,0,G27/B$20)</f>
        <v>2.9411764705882353E-3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8402.5104602510455</v>
      </c>
      <c r="C28" s="96">
        <v>2008200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7602.970297029703</v>
      </c>
      <c r="C29" s="96">
        <v>767900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-7541.0810810810808</v>
      </c>
      <c r="C30" s="96">
        <v>-1395100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2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27</v>
      </c>
      <c r="C32" s="90">
        <v>27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9.3196644920782849E-4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20</v>
      </c>
      <c r="C37" s="98">
        <f t="shared" ref="C37:C49" si="2">IF(B$20=0,0,B37/B$20)</f>
        <v>5.8823529411764705E-2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66</v>
      </c>
      <c r="C38" s="6">
        <f t="shared" si="2"/>
        <v>0.19411764705882353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65</v>
      </c>
      <c r="C39" s="6">
        <f t="shared" si="2"/>
        <v>0.19117647058823528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66</v>
      </c>
      <c r="C40" s="6">
        <f t="shared" si="2"/>
        <v>0.19411764705882353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56</v>
      </c>
      <c r="C41" s="6">
        <f t="shared" si="2"/>
        <v>0.16470588235294117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39</v>
      </c>
      <c r="C42" s="6">
        <f t="shared" si="2"/>
        <v>0.11470588235294117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11</v>
      </c>
      <c r="C43" s="6">
        <f t="shared" si="2"/>
        <v>3.2352941176470591E-2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7</v>
      </c>
      <c r="C44" s="6">
        <f t="shared" si="2"/>
        <v>2.0588235294117647E-2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1.4705882352941176E-2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5.8823529411764705E-3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2.9411764705882353E-3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2.9411764705882353E-3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2.9411764705882353E-3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  <row r="122" spans="11:13" x14ac:dyDescent="0.4">
      <c r="K122" s="74">
        <v>120</v>
      </c>
      <c r="L122" s="119">
        <v>100.89999999999989</v>
      </c>
      <c r="M122" s="117">
        <v>1736.0748158102795</v>
      </c>
    </row>
    <row r="123" spans="11:13" x14ac:dyDescent="0.4">
      <c r="K123" s="74">
        <v>121</v>
      </c>
      <c r="L123" s="119">
        <v>52.599999999999895</v>
      </c>
      <c r="M123" s="117">
        <v>1726.6123669154179</v>
      </c>
    </row>
    <row r="124" spans="11:13" x14ac:dyDescent="0.4">
      <c r="K124" s="74">
        <v>122</v>
      </c>
      <c r="L124" s="119">
        <v>23.499999999999893</v>
      </c>
      <c r="M124" s="117">
        <v>1720.8906927139253</v>
      </c>
    </row>
    <row r="125" spans="11:13" x14ac:dyDescent="0.4">
      <c r="K125" s="74">
        <v>123</v>
      </c>
      <c r="L125" s="119">
        <v>-3.3000000000001073</v>
      </c>
      <c r="M125" s="117">
        <v>1715.6173485576417</v>
      </c>
    </row>
    <row r="126" spans="11:13" x14ac:dyDescent="0.4">
      <c r="K126" s="74">
        <v>124</v>
      </c>
      <c r="L126" s="119">
        <v>36.999999999999886</v>
      </c>
      <c r="M126" s="117">
        <v>1722.4536444662958</v>
      </c>
    </row>
    <row r="127" spans="11:13" x14ac:dyDescent="0.4">
      <c r="K127" s="74">
        <v>125</v>
      </c>
      <c r="L127" s="119">
        <v>67.099999999999881</v>
      </c>
      <c r="M127" s="117">
        <v>1727.412922599498</v>
      </c>
    </row>
    <row r="128" spans="11:13" x14ac:dyDescent="0.4">
      <c r="K128" s="74">
        <v>126</v>
      </c>
      <c r="L128" s="119">
        <v>117.49999999999989</v>
      </c>
      <c r="M128" s="117">
        <v>1735.9964450639009</v>
      </c>
    </row>
    <row r="129" spans="11:13" x14ac:dyDescent="0.4">
      <c r="K129" s="74">
        <v>127</v>
      </c>
      <c r="L129" s="119">
        <v>148.2999999999999</v>
      </c>
      <c r="M129" s="117">
        <v>1740.9224663935174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8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84</v>
      </c>
      <c r="C2" s="142"/>
      <c r="E2" s="26" t="s">
        <v>66</v>
      </c>
      <c r="F2" s="23" t="s">
        <v>22</v>
      </c>
      <c r="G2" s="11">
        <v>193</v>
      </c>
      <c r="H2" s="87">
        <f>IF(B$20=0,0,G2/B$20)</f>
        <v>0.97969543147208127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1172.6190476190477</v>
      </c>
      <c r="Q2" s="76">
        <v>84</v>
      </c>
      <c r="R2" s="63">
        <v>98500</v>
      </c>
    </row>
    <row r="3" spans="1:18" x14ac:dyDescent="0.4">
      <c r="A3" s="19" t="s">
        <v>8</v>
      </c>
      <c r="B3" s="143">
        <v>750</v>
      </c>
      <c r="C3" s="144"/>
      <c r="E3" s="27" t="s">
        <v>72</v>
      </c>
      <c r="F3" s="24" t="s">
        <v>27</v>
      </c>
      <c r="G3" s="12">
        <v>128</v>
      </c>
      <c r="H3" s="88">
        <f>IF(B$20=0,0,G3/B$20)</f>
        <v>0.64974619289340096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-256.09756097560978</v>
      </c>
      <c r="Q3" s="77">
        <v>82</v>
      </c>
      <c r="R3" s="64">
        <v>-21000</v>
      </c>
    </row>
    <row r="4" spans="1:18" x14ac:dyDescent="0.4">
      <c r="A4" s="19" t="s">
        <v>6</v>
      </c>
      <c r="B4" s="145">
        <v>-180</v>
      </c>
      <c r="C4" s="146"/>
      <c r="E4" s="27" t="s">
        <v>64</v>
      </c>
      <c r="F4" s="24" t="s">
        <v>20</v>
      </c>
      <c r="G4" s="12">
        <v>95</v>
      </c>
      <c r="H4" s="88">
        <f>IF(B$20=0,0,G4/B$20)</f>
        <v>0.48223350253807107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-609.7560975609756</v>
      </c>
      <c r="Q4" s="77">
        <v>82</v>
      </c>
      <c r="R4" s="64">
        <v>-50000</v>
      </c>
    </row>
    <row r="5" spans="1:18" x14ac:dyDescent="0.4">
      <c r="A5" s="19" t="s">
        <v>7</v>
      </c>
      <c r="B5" s="133">
        <f>IF(B$2=0,0,B$4/B$2)</f>
        <v>-2.1428571428571428</v>
      </c>
      <c r="C5" s="134"/>
      <c r="E5" s="27" t="s">
        <v>159</v>
      </c>
      <c r="F5" s="24" t="s">
        <v>160</v>
      </c>
      <c r="G5" s="12">
        <v>77</v>
      </c>
      <c r="H5" s="88">
        <f>IF(B$20=0,0,G5/B$20)</f>
        <v>0.39086294416243655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-205.0632911392405</v>
      </c>
      <c r="Q5" s="77">
        <v>79</v>
      </c>
      <c r="R5" s="64">
        <v>-16200</v>
      </c>
    </row>
    <row r="6" spans="1:18" x14ac:dyDescent="0.4">
      <c r="A6" s="19" t="s">
        <v>196</v>
      </c>
      <c r="B6" s="137">
        <v>1616.7273241326677</v>
      </c>
      <c r="C6" s="138"/>
      <c r="E6" s="27" t="s">
        <v>68</v>
      </c>
      <c r="F6" s="24" t="s">
        <v>12</v>
      </c>
      <c r="G6" s="12">
        <v>66</v>
      </c>
      <c r="H6" s="88">
        <f>IF(B$20=0,0,G6/B$20)</f>
        <v>0.3350253807106599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-216.66666666666666</v>
      </c>
      <c r="Q6" s="77">
        <v>72</v>
      </c>
      <c r="R6" s="64">
        <v>-15600</v>
      </c>
    </row>
    <row r="7" spans="1:18" x14ac:dyDescent="0.4">
      <c r="A7" s="19" t="s">
        <v>1</v>
      </c>
      <c r="B7" s="147">
        <f>IF(B$2=0,0,(B$8*1+B$9*2+B$10*3)/B$2)</f>
        <v>2.0238095238095237</v>
      </c>
      <c r="C7" s="148"/>
      <c r="E7" s="27" t="s">
        <v>67</v>
      </c>
      <c r="F7" s="24" t="s">
        <v>23</v>
      </c>
      <c r="G7" s="12">
        <v>60</v>
      </c>
      <c r="H7" s="88">
        <f>IF(B$20=0,0,G7/B$20)</f>
        <v>0.30456852791878175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-239.68253968253967</v>
      </c>
      <c r="Q7" s="78">
        <v>63</v>
      </c>
      <c r="R7" s="65">
        <v>-15100</v>
      </c>
    </row>
    <row r="8" spans="1:18" x14ac:dyDescent="0.4">
      <c r="A8" s="19" t="s">
        <v>2</v>
      </c>
      <c r="B8" s="12">
        <v>26</v>
      </c>
      <c r="C8" s="6">
        <f t="shared" ref="C8:C15" si="1">IF(B$2=0,0,B8/B$2)</f>
        <v>0.30952380952380953</v>
      </c>
      <c r="E8" s="27" t="s">
        <v>89</v>
      </c>
      <c r="F8" s="24" t="s">
        <v>44</v>
      </c>
      <c r="G8" s="12">
        <v>31</v>
      </c>
      <c r="H8" s="88">
        <f>IF(B$20=0,0,G8/B$20)</f>
        <v>0.15736040609137056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30</v>
      </c>
      <c r="C9" s="6">
        <f t="shared" si="1"/>
        <v>0.35714285714285715</v>
      </c>
      <c r="E9" s="27" t="s">
        <v>69</v>
      </c>
      <c r="F9" s="24" t="s">
        <v>24</v>
      </c>
      <c r="G9" s="12">
        <v>25</v>
      </c>
      <c r="H9" s="88">
        <f>IF(B$20=0,0,G9/B$20)</f>
        <v>0.12690355329949238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28</v>
      </c>
      <c r="C10" s="7">
        <f t="shared" si="1"/>
        <v>0.33333333333333331</v>
      </c>
      <c r="E10" s="27" t="s">
        <v>65</v>
      </c>
      <c r="F10" s="24" t="s">
        <v>21</v>
      </c>
      <c r="G10" s="12">
        <v>23</v>
      </c>
      <c r="H10" s="88">
        <f>IF(B$20=0,0,G10/B$20)</f>
        <v>0.116751269035533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-2.4375</v>
      </c>
      <c r="Q10" s="76">
        <v>32</v>
      </c>
      <c r="R10" s="67">
        <v>-78</v>
      </c>
    </row>
    <row r="11" spans="1:18" x14ac:dyDescent="0.4">
      <c r="A11" s="20" t="s">
        <v>184</v>
      </c>
      <c r="B11" s="109">
        <f>IF(B8=0,0,C11/B8)</f>
        <v>33.019230769230766</v>
      </c>
      <c r="C11" s="110">
        <v>858.5</v>
      </c>
      <c r="E11" s="27" t="s">
        <v>70</v>
      </c>
      <c r="F11" s="24" t="s">
        <v>25</v>
      </c>
      <c r="G11" s="12">
        <v>17</v>
      </c>
      <c r="H11" s="88">
        <f>IF(B$20=0,0,G11/B$20)</f>
        <v>8.6294416243654817E-2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-0.44166666666666748</v>
      </c>
      <c r="Q11" s="77">
        <v>24</v>
      </c>
      <c r="R11" s="68">
        <v>-10.600000000000019</v>
      </c>
    </row>
    <row r="12" spans="1:18" x14ac:dyDescent="0.4">
      <c r="A12" s="20" t="s">
        <v>185</v>
      </c>
      <c r="B12" s="109">
        <f>IF(B9=0,0,C12/B9)</f>
        <v>0.59333333333333349</v>
      </c>
      <c r="C12" s="110">
        <v>17.800000000000004</v>
      </c>
      <c r="E12" s="27" t="s">
        <v>71</v>
      </c>
      <c r="F12" s="24" t="s">
        <v>26</v>
      </c>
      <c r="G12" s="12">
        <v>15</v>
      </c>
      <c r="H12" s="88">
        <f>IF(B$20=0,0,G12/B$20)</f>
        <v>7.6142131979695438E-2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-3.2642857142857147</v>
      </c>
      <c r="Q12" s="78">
        <v>28</v>
      </c>
      <c r="R12" s="69">
        <v>-91.4</v>
      </c>
    </row>
    <row r="13" spans="1:18" x14ac:dyDescent="0.4">
      <c r="A13" s="20" t="s">
        <v>186</v>
      </c>
      <c r="B13" s="109">
        <f>IF(B10=0,0,C13/B10)</f>
        <v>-37.725000000000009</v>
      </c>
      <c r="C13" s="110">
        <v>-1056.3000000000002</v>
      </c>
      <c r="E13" s="27" t="s">
        <v>86</v>
      </c>
      <c r="F13" s="24" t="s">
        <v>41</v>
      </c>
      <c r="G13" s="12">
        <v>12</v>
      </c>
      <c r="H13" s="88">
        <f>IF(B$20=0,0,G13/B$20)</f>
        <v>6.0913705583756347E-2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-1.3708119658119695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3.0456852791878174E-2</v>
      </c>
      <c r="I14" s="58">
        <v>10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0.13095238095238096</v>
      </c>
      <c r="E15" s="27" t="s">
        <v>91</v>
      </c>
      <c r="F15" s="24" t="s">
        <v>46</v>
      </c>
      <c r="G15" s="12">
        <v>6</v>
      </c>
      <c r="H15" s="88">
        <f>IF(B$20=0,0,G15/B$20)</f>
        <v>3.0456852791878174E-2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211</v>
      </c>
      <c r="C16" s="10">
        <f>IF(B$3=0,0,B16/B$3)</f>
        <v>0.28133333333333332</v>
      </c>
      <c r="E16" s="27" t="s">
        <v>155</v>
      </c>
      <c r="F16" s="24" t="s">
        <v>156</v>
      </c>
      <c r="G16" s="12">
        <v>6</v>
      </c>
      <c r="H16" s="88">
        <f>IF(B$20=0,0,G16/B$20)</f>
        <v>3.0456852791878174E-2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169</v>
      </c>
      <c r="C17" s="6">
        <f>IF(B$3=0,0,B17/B$3)</f>
        <v>0.22533333333333333</v>
      </c>
      <c r="E17" s="27" t="s">
        <v>81</v>
      </c>
      <c r="F17" s="24" t="s">
        <v>36</v>
      </c>
      <c r="G17" s="12">
        <v>5</v>
      </c>
      <c r="H17" s="88">
        <f>IF(B$20=0,0,G17/B$20)</f>
        <v>2.5380710659898477E-2</v>
      </c>
      <c r="I17" s="58">
        <v>10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101</v>
      </c>
      <c r="C18" s="5">
        <f>IF(B$16=0,0,B18/B$16)</f>
        <v>0.47867298578199052</v>
      </c>
      <c r="E18" s="27" t="s">
        <v>78</v>
      </c>
      <c r="F18" s="24" t="s">
        <v>33</v>
      </c>
      <c r="G18" s="12">
        <v>4</v>
      </c>
      <c r="H18" s="88">
        <f>IF(B$20=0,0,G18/B$20)</f>
        <v>2.030456852791878E-2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8.1149999999999984</v>
      </c>
      <c r="Q18" s="77">
        <v>20</v>
      </c>
      <c r="R18" s="68">
        <v>162.29999999999998</v>
      </c>
    </row>
    <row r="19" spans="1:18" x14ac:dyDescent="0.4">
      <c r="A19" s="18" t="s">
        <v>124</v>
      </c>
      <c r="B19" s="11">
        <f>B25</f>
        <v>57</v>
      </c>
      <c r="C19" s="5">
        <f>IF(B$17=0,0,B19/B$17)</f>
        <v>0.33727810650887574</v>
      </c>
      <c r="E19" s="27" t="s">
        <v>73</v>
      </c>
      <c r="F19" s="24" t="s">
        <v>28</v>
      </c>
      <c r="G19" s="12">
        <v>3</v>
      </c>
      <c r="H19" s="88">
        <f>IF(B$20=0,0,G19/B$20)</f>
        <v>1.5228426395939087E-2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197</v>
      </c>
      <c r="C20" s="5">
        <f>IF(B$3=0,0,B20/B$3)</f>
        <v>0.26266666666666666</v>
      </c>
      <c r="E20" s="27" t="s">
        <v>85</v>
      </c>
      <c r="F20" s="24" t="s">
        <v>40</v>
      </c>
      <c r="G20" s="12">
        <v>2</v>
      </c>
      <c r="H20" s="88">
        <f>IF(B$20=0,0,G20/B$20)</f>
        <v>1.015228426395939E-2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-6.195833333333332</v>
      </c>
      <c r="Q20" s="77">
        <v>72</v>
      </c>
      <c r="R20" s="68">
        <v>-446.09999999999991</v>
      </c>
    </row>
    <row r="21" spans="1:18" x14ac:dyDescent="0.4">
      <c r="A21" s="19" t="s">
        <v>13</v>
      </c>
      <c r="B21" s="12">
        <v>152</v>
      </c>
      <c r="C21" s="6">
        <f>IF(B$3=0,0,B21/B$3)</f>
        <v>0.20266666666666666</v>
      </c>
      <c r="E21" s="27" t="s">
        <v>77</v>
      </c>
      <c r="F21" s="24" t="s">
        <v>32</v>
      </c>
      <c r="G21" s="12">
        <v>1</v>
      </c>
      <c r="H21" s="88">
        <f>IF(B$20=0,0,G21/B$20)</f>
        <v>5.076142131979695E-3</v>
      </c>
      <c r="I21" s="58">
        <v>3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89</v>
      </c>
      <c r="C22" s="6">
        <f>IF(B$20=0,0,B22/B$20)</f>
        <v>0.45177664974619292</v>
      </c>
      <c r="E22" s="27" t="s">
        <v>79</v>
      </c>
      <c r="F22" s="24" t="s">
        <v>34</v>
      </c>
      <c r="G22" s="12">
        <v>1</v>
      </c>
      <c r="H22" s="88">
        <f>IF(B$20=0,0,G22/B$20)</f>
        <v>5.076142131979695E-3</v>
      </c>
      <c r="I22" s="58">
        <v>7</v>
      </c>
      <c r="K22" s="74">
        <v>20</v>
      </c>
      <c r="L22" s="119">
        <v>-101.2</v>
      </c>
      <c r="M22" s="117">
        <v>1634.1175651983078</v>
      </c>
      <c r="O22" s="74" t="s">
        <v>211</v>
      </c>
      <c r="P22" s="83">
        <f>IF(Q22=0,0,R22/Q22)</f>
        <v>-9.0636363636363644</v>
      </c>
      <c r="Q22" s="77">
        <v>22</v>
      </c>
      <c r="R22" s="68">
        <v>-199.40000000000003</v>
      </c>
    </row>
    <row r="23" spans="1:18" x14ac:dyDescent="0.4">
      <c r="A23" s="19" t="s">
        <v>11</v>
      </c>
      <c r="B23" s="12">
        <v>108</v>
      </c>
      <c r="C23" s="6">
        <f>IF(B$20=0,0,B23/B$20)</f>
        <v>0.54822335025380708</v>
      </c>
      <c r="E23" s="27" t="s">
        <v>88</v>
      </c>
      <c r="F23" s="24" t="s">
        <v>43</v>
      </c>
      <c r="G23" s="12">
        <v>1</v>
      </c>
      <c r="H23" s="88">
        <f>IF(B$20=0,0,G23/B$20)</f>
        <v>5.076142131979695E-3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192</v>
      </c>
      <c r="P23" s="83">
        <f>IF(Q23=0,0,R23/Q23)</f>
        <v>-12.989473684210527</v>
      </c>
      <c r="Q23" s="77">
        <v>19</v>
      </c>
      <c r="R23" s="68">
        <v>-246.8</v>
      </c>
    </row>
    <row r="24" spans="1:18" x14ac:dyDescent="0.4">
      <c r="A24" s="19" t="s">
        <v>183</v>
      </c>
      <c r="B24" s="12">
        <v>101</v>
      </c>
      <c r="C24" s="6">
        <f>IF(B$20=0,0,B24/B$20)</f>
        <v>0.51269035532994922</v>
      </c>
      <c r="E24" s="27" t="s">
        <v>92</v>
      </c>
      <c r="F24" s="24" t="s">
        <v>47</v>
      </c>
      <c r="G24" s="12">
        <v>1</v>
      </c>
      <c r="H24" s="88">
        <f>IF(B$20=0,0,G24/B$20)</f>
        <v>5.076142131979695E-3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-13.525000000000002</v>
      </c>
      <c r="Q24" s="77">
        <v>4</v>
      </c>
      <c r="R24" s="68">
        <v>-54.100000000000009</v>
      </c>
    </row>
    <row r="25" spans="1:18" x14ac:dyDescent="0.4">
      <c r="A25" s="19" t="s">
        <v>181</v>
      </c>
      <c r="B25" s="12">
        <v>57</v>
      </c>
      <c r="C25" s="6">
        <f>IF(B$20=0,0,B25/B$20)</f>
        <v>0.28934010152284262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39</v>
      </c>
      <c r="C26" s="6">
        <f>IF(B$20=0,0,B26/B$20)</f>
        <v>0.19796954314720813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9402.5380710659902</v>
      </c>
      <c r="C27" s="8">
        <v>1852300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10215</v>
      </c>
      <c r="C28" s="96">
        <v>1430100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7407.0175438596489</v>
      </c>
      <c r="C29" s="96">
        <v>422200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-7679.605263157895</v>
      </c>
      <c r="C30" s="96">
        <v>-1167300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1.3333333333333333E-3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5.0761421319796954E-2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20</v>
      </c>
      <c r="C38" s="6">
        <f t="shared" si="2"/>
        <v>0.10152284263959391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36</v>
      </c>
      <c r="C39" s="6">
        <f t="shared" si="2"/>
        <v>0.18274111675126903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40</v>
      </c>
      <c r="C40" s="6">
        <f t="shared" si="2"/>
        <v>0.20304568527918782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38</v>
      </c>
      <c r="C41" s="6">
        <f t="shared" si="2"/>
        <v>0.19289340101522842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22</v>
      </c>
      <c r="C42" s="6">
        <f t="shared" si="2"/>
        <v>0.1116751269035533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11</v>
      </c>
      <c r="C43" s="6">
        <f t="shared" si="2"/>
        <v>5.5837563451776651E-2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2"/>
        <v>4.060913705583756E-2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7</v>
      </c>
      <c r="C45" s="6">
        <f t="shared" si="2"/>
        <v>3.553299492385787E-2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1.015228426395939E-2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2"/>
        <v>5.076142131979695E-3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1.015228426395939E-2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  <row r="79" spans="11:13" x14ac:dyDescent="0.4">
      <c r="K79" s="74">
        <v>77</v>
      </c>
      <c r="L79" s="119">
        <v>-113.6</v>
      </c>
      <c r="M79" s="117">
        <v>1628.1318400232217</v>
      </c>
    </row>
    <row r="80" spans="11:13" x14ac:dyDescent="0.4">
      <c r="K80" s="74">
        <v>78</v>
      </c>
      <c r="L80" s="119">
        <v>-103.89999999999999</v>
      </c>
      <c r="M80" s="117">
        <v>1629.7570489830823</v>
      </c>
    </row>
    <row r="81" spans="11:13" x14ac:dyDescent="0.4">
      <c r="K81" s="74">
        <v>79</v>
      </c>
      <c r="L81" s="119">
        <v>-111.3</v>
      </c>
      <c r="M81" s="117">
        <v>1628.5225066891837</v>
      </c>
    </row>
    <row r="82" spans="11:13" x14ac:dyDescent="0.4">
      <c r="K82" s="74">
        <v>80</v>
      </c>
      <c r="L82" s="119">
        <v>-86.9</v>
      </c>
      <c r="M82" s="117">
        <v>1633.0193716490487</v>
      </c>
    </row>
    <row r="83" spans="11:13" x14ac:dyDescent="0.4">
      <c r="K83" s="74">
        <v>81</v>
      </c>
      <c r="L83" s="119">
        <v>-132.9</v>
      </c>
      <c r="M83" s="117">
        <v>1624.8172554191544</v>
      </c>
    </row>
    <row r="84" spans="11:13" x14ac:dyDescent="0.4">
      <c r="K84" s="74">
        <v>82</v>
      </c>
      <c r="L84" s="119">
        <v>-164</v>
      </c>
      <c r="M84" s="117">
        <v>1619.3463518866395</v>
      </c>
    </row>
    <row r="85" spans="11:13" x14ac:dyDescent="0.4">
      <c r="K85" s="74">
        <v>83</v>
      </c>
      <c r="L85" s="119">
        <v>-182.6</v>
      </c>
      <c r="M85" s="117">
        <v>1616.1582737753197</v>
      </c>
    </row>
    <row r="86" spans="11:13" x14ac:dyDescent="0.4">
      <c r="K86" s="74">
        <v>84</v>
      </c>
      <c r="L86" s="119">
        <v>-180</v>
      </c>
      <c r="M86" s="117">
        <v>1616.7273241326677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72</v>
      </c>
      <c r="F2" s="23" t="s">
        <v>27</v>
      </c>
      <c r="G2" s="11">
        <v>90</v>
      </c>
      <c r="H2" s="87">
        <f>IF(B$20=0,0,G2/B$20)</f>
        <v>0.703125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-427.08333333333331</v>
      </c>
      <c r="Q2" s="76">
        <v>48</v>
      </c>
      <c r="R2" s="63">
        <v>-20500</v>
      </c>
    </row>
    <row r="3" spans="1:18" x14ac:dyDescent="0.4">
      <c r="A3" s="19" t="s">
        <v>8</v>
      </c>
      <c r="B3" s="143">
        <v>424</v>
      </c>
      <c r="C3" s="144"/>
      <c r="E3" s="27" t="s">
        <v>66</v>
      </c>
      <c r="F3" s="24" t="s">
        <v>22</v>
      </c>
      <c r="G3" s="12">
        <v>79</v>
      </c>
      <c r="H3" s="88">
        <f>IF(B$20=0,0,G3/B$20)</f>
        <v>0.6171875</v>
      </c>
      <c r="I3" s="58">
        <v>13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-533.33333333333337</v>
      </c>
      <c r="Q3" s="77">
        <v>48</v>
      </c>
      <c r="R3" s="64">
        <v>-25600</v>
      </c>
    </row>
    <row r="4" spans="1:18" x14ac:dyDescent="0.4">
      <c r="A4" s="19" t="s">
        <v>6</v>
      </c>
      <c r="B4" s="145">
        <v>-31.499999999999993</v>
      </c>
      <c r="C4" s="146"/>
      <c r="E4" s="27" t="s">
        <v>64</v>
      </c>
      <c r="F4" s="24" t="s">
        <v>20</v>
      </c>
      <c r="G4" s="12">
        <v>50</v>
      </c>
      <c r="H4" s="88">
        <f>IF(B$20=0,0,G4/B$20)</f>
        <v>0.390625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1240.4255319148936</v>
      </c>
      <c r="Q4" s="77">
        <v>47</v>
      </c>
      <c r="R4" s="64">
        <v>58300</v>
      </c>
    </row>
    <row r="5" spans="1:18" x14ac:dyDescent="0.4">
      <c r="A5" s="19" t="s">
        <v>7</v>
      </c>
      <c r="B5" s="133">
        <f>IF(B$2=0,0,B$4/B$2)</f>
        <v>-0.65624999999999989</v>
      </c>
      <c r="C5" s="134"/>
      <c r="E5" s="27" t="s">
        <v>159</v>
      </c>
      <c r="F5" s="24" t="s">
        <v>160</v>
      </c>
      <c r="G5" s="12">
        <v>48</v>
      </c>
      <c r="H5" s="88">
        <f>IF(B$20=0,0,G5/B$20)</f>
        <v>0.375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-1121.2765957446809</v>
      </c>
      <c r="Q5" s="77">
        <v>47</v>
      </c>
      <c r="R5" s="64">
        <v>-52700</v>
      </c>
    </row>
    <row r="6" spans="1:18" x14ac:dyDescent="0.4">
      <c r="A6" s="19" t="s">
        <v>196</v>
      </c>
      <c r="B6" s="137">
        <v>1467.5565900800862</v>
      </c>
      <c r="C6" s="138"/>
      <c r="E6" s="27" t="s">
        <v>68</v>
      </c>
      <c r="F6" s="24" t="s">
        <v>12</v>
      </c>
      <c r="G6" s="12">
        <v>35</v>
      </c>
      <c r="H6" s="88">
        <f>IF(B$20=0,0,G6/B$20)</f>
        <v>0.2734375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-1164.4444444444443</v>
      </c>
      <c r="Q6" s="77">
        <v>45</v>
      </c>
      <c r="R6" s="64">
        <v>-52400</v>
      </c>
    </row>
    <row r="7" spans="1:18" x14ac:dyDescent="0.4">
      <c r="A7" s="19" t="s">
        <v>1</v>
      </c>
      <c r="B7" s="147">
        <f>IF(B$2=0,0,(B$8*1+B$9*2+B$10*3)/B$2)</f>
        <v>2.0208333333333335</v>
      </c>
      <c r="C7" s="148"/>
      <c r="E7" s="27" t="s">
        <v>67</v>
      </c>
      <c r="F7" s="24" t="s">
        <v>23</v>
      </c>
      <c r="G7" s="12">
        <v>30</v>
      </c>
      <c r="H7" s="88">
        <f>IF(B$20=0,0,G7/B$20)</f>
        <v>0.234375</v>
      </c>
      <c r="I7" s="58">
        <v>7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-529.72972972972968</v>
      </c>
      <c r="Q7" s="78">
        <v>37</v>
      </c>
      <c r="R7" s="65">
        <v>-19600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13</v>
      </c>
      <c r="H8" s="88">
        <f>IF(B$20=0,0,G8/B$20)</f>
        <v>0.1015625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0.22916666666666666</v>
      </c>
      <c r="E9" s="27" t="s">
        <v>70</v>
      </c>
      <c r="F9" s="24" t="s">
        <v>25</v>
      </c>
      <c r="G9" s="12">
        <v>12</v>
      </c>
      <c r="H9" s="88">
        <f>IF(B$20=0,0,G9/B$20)</f>
        <v>9.375E-2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0.39583333333333331</v>
      </c>
      <c r="E10" s="27" t="s">
        <v>69</v>
      </c>
      <c r="F10" s="24" t="s">
        <v>24</v>
      </c>
      <c r="G10" s="12">
        <v>11</v>
      </c>
      <c r="H10" s="88">
        <f>IF(B$20=0,0,G10/B$20)</f>
        <v>8.59375E-2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6.9000000000000012</v>
      </c>
      <c r="Q10" s="76">
        <v>12</v>
      </c>
      <c r="R10" s="67">
        <v>82.800000000000011</v>
      </c>
    </row>
    <row r="11" spans="1:18" x14ac:dyDescent="0.4">
      <c r="A11" s="20" t="s">
        <v>184</v>
      </c>
      <c r="B11" s="109">
        <f>IF(B8=0,0,C11/B8)</f>
        <v>30.577777777777783</v>
      </c>
      <c r="C11" s="110">
        <v>550.40000000000009</v>
      </c>
      <c r="E11" s="27" t="s">
        <v>65</v>
      </c>
      <c r="F11" s="24" t="s">
        <v>21</v>
      </c>
      <c r="G11" s="12">
        <v>10</v>
      </c>
      <c r="H11" s="88">
        <f>IF(B$20=0,0,G11/B$20)</f>
        <v>7.8125E-2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-5.1055555555555561</v>
      </c>
      <c r="Q11" s="77">
        <v>18</v>
      </c>
      <c r="R11" s="68">
        <v>-91.9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71</v>
      </c>
      <c r="F12" s="24" t="s">
        <v>26</v>
      </c>
      <c r="G12" s="12">
        <v>8</v>
      </c>
      <c r="H12" s="88">
        <f>IF(B$20=0,0,G12/B$20)</f>
        <v>6.25E-2</v>
      </c>
      <c r="I12" s="58">
        <v>8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-1.2444444444444451</v>
      </c>
      <c r="Q12" s="78">
        <v>18</v>
      </c>
      <c r="R12" s="69">
        <v>-22.400000000000013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83</v>
      </c>
      <c r="F13" s="24" t="s">
        <v>38</v>
      </c>
      <c r="G13" s="12">
        <v>8</v>
      </c>
      <c r="H13" s="88">
        <f>IF(B$20=0,0,G13/B$20)</f>
        <v>6.25E-2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0.67409179514442974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3.90625E-2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78</v>
      </c>
      <c r="F15" s="24" t="s">
        <v>33</v>
      </c>
      <c r="G15" s="12">
        <v>4</v>
      </c>
      <c r="H15" s="88">
        <f>IF(B$20=0,0,G15/B$20)</f>
        <v>3.125E-2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111</v>
      </c>
      <c r="C16" s="10">
        <f>IF(B$3=0,0,B16/B$3)</f>
        <v>0.2617924528301887</v>
      </c>
      <c r="E16" s="27" t="s">
        <v>79</v>
      </c>
      <c r="F16" s="24" t="s">
        <v>34</v>
      </c>
      <c r="G16" s="12">
        <v>3</v>
      </c>
      <c r="H16" s="88">
        <f>IF(B$20=0,0,G16/B$20)</f>
        <v>2.34375E-2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 t="shared" si="2"/>
        <v>39.524999999999999</v>
      </c>
      <c r="Q16" s="77">
        <v>4</v>
      </c>
      <c r="R16" s="68">
        <v>158.1</v>
      </c>
    </row>
    <row r="17" spans="1:18" x14ac:dyDescent="0.4">
      <c r="A17" s="19" t="s">
        <v>118</v>
      </c>
      <c r="B17" s="12">
        <v>126</v>
      </c>
      <c r="C17" s="6">
        <f>IF(B$3=0,0,B17/B$3)</f>
        <v>0.29716981132075471</v>
      </c>
      <c r="E17" s="27" t="s">
        <v>86</v>
      </c>
      <c r="F17" s="24" t="s">
        <v>41</v>
      </c>
      <c r="G17" s="12">
        <v>3</v>
      </c>
      <c r="H17" s="88">
        <f>IF(B$20=0,0,G17/B$20)</f>
        <v>2.34375E-2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216</v>
      </c>
      <c r="P17" s="83">
        <f t="shared" si="2"/>
        <v>35.5</v>
      </c>
      <c r="Q17" s="77">
        <v>1</v>
      </c>
      <c r="R17" s="68">
        <v>35.5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0.45045045045045046</v>
      </c>
      <c r="E18" s="27" t="s">
        <v>91</v>
      </c>
      <c r="F18" s="24" t="s">
        <v>46</v>
      </c>
      <c r="G18" s="12">
        <v>2</v>
      </c>
      <c r="H18" s="88">
        <f>IF(B$20=0,0,G18/B$20)</f>
        <v>1.5625E-2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52</v>
      </c>
      <c r="C19" s="5">
        <f>IF(B$17=0,0,B19/B$17)</f>
        <v>0.41269841269841268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3.4119047619047622</v>
      </c>
      <c r="Q19" s="77">
        <v>42</v>
      </c>
      <c r="R19" s="68">
        <v>143.30000000000001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0.30188679245283018</v>
      </c>
      <c r="E20" s="27" t="s">
        <v>93</v>
      </c>
      <c r="F20" s="24" t="s">
        <v>48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-8.1149999999999967</v>
      </c>
      <c r="Q20" s="77">
        <v>20</v>
      </c>
      <c r="R20" s="68">
        <v>-162.29999999999993</v>
      </c>
    </row>
    <row r="21" spans="1:18" x14ac:dyDescent="0.4">
      <c r="A21" s="19" t="s">
        <v>13</v>
      </c>
      <c r="B21" s="12">
        <v>67</v>
      </c>
      <c r="C21" s="6">
        <f>IF(B$3=0,0,B21/B$3)</f>
        <v>0.15801886792452829</v>
      </c>
      <c r="E21" s="27" t="s">
        <v>106</v>
      </c>
      <c r="F21" s="24" t="s">
        <v>113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60</v>
      </c>
      <c r="C22" s="6">
        <f>IF(B$20=0,0,B22/B$20)</f>
        <v>0.46875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68</v>
      </c>
      <c r="C23" s="6">
        <f>IF(B$20=0,0,B23/B$20)</f>
        <v>0.53125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50</v>
      </c>
      <c r="C24" s="6">
        <f>IF(B$20=0,0,B24/B$20)</f>
        <v>0.390625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52</v>
      </c>
      <c r="C25" s="6">
        <f>IF(B$20=0,0,B25/B$20)</f>
        <v>0.40625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26</v>
      </c>
      <c r="C26" s="6">
        <f>IF(B$20=0,0,B26/B$20)</f>
        <v>0.203125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7529.6875</v>
      </c>
      <c r="C27" s="8">
        <v>963800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9067.105263157895</v>
      </c>
      <c r="C28" s="96">
        <v>689100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5282.6923076923076</v>
      </c>
      <c r="C29" s="96">
        <v>274700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-8488.059701492537</v>
      </c>
      <c r="C30" s="96">
        <v>-568700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12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2.3584905660377358E-3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16</v>
      </c>
      <c r="C37" s="98">
        <f t="shared" ref="C37:C49" si="3">IF(B$20=0,0,B37/B$20)</f>
        <v>0.125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0.2109375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28</v>
      </c>
      <c r="C39" s="6">
        <f t="shared" si="3"/>
        <v>0.21875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27</v>
      </c>
      <c r="C40" s="6">
        <f t="shared" si="3"/>
        <v>0.2109375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7</v>
      </c>
      <c r="C41" s="6">
        <f t="shared" si="3"/>
        <v>5.46875E-2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3.90625E-2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6</v>
      </c>
      <c r="C43" s="6">
        <f t="shared" si="3"/>
        <v>4.6875E-2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3.125E-2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3.125E-2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13" x14ac:dyDescent="0.4">
      <c r="A49" s="21" t="s">
        <v>179</v>
      </c>
      <c r="B49" s="97">
        <v>2</v>
      </c>
      <c r="C49" s="9">
        <f t="shared" si="3"/>
        <v>1.5625E-2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-70.099999999999994</v>
      </c>
      <c r="M49" s="117">
        <v>1459.7189035010927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-31.499999999999993</v>
      </c>
      <c r="M50" s="117">
        <v>1467.5565900800862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4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1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0.66666666666666663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-912</v>
      </c>
      <c r="Q2" s="76">
        <v>50</v>
      </c>
      <c r="R2" s="63">
        <v>-45600</v>
      </c>
    </row>
    <row r="3" spans="1:18" x14ac:dyDescent="0.4">
      <c r="A3" s="19" t="s">
        <v>8</v>
      </c>
      <c r="B3" s="143">
        <v>430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0.59090909090909094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1166</v>
      </c>
      <c r="Q3" s="77">
        <v>50</v>
      </c>
      <c r="R3" s="64">
        <v>58300</v>
      </c>
    </row>
    <row r="4" spans="1:18" x14ac:dyDescent="0.4">
      <c r="A4" s="19" t="s">
        <v>6</v>
      </c>
      <c r="B4" s="145">
        <v>178.2</v>
      </c>
      <c r="C4" s="146"/>
      <c r="E4" s="27" t="s">
        <v>64</v>
      </c>
      <c r="F4" s="24" t="s">
        <v>20</v>
      </c>
      <c r="G4" s="12">
        <v>59</v>
      </c>
      <c r="H4" s="88">
        <f>IF(B$20=0,0,G4/B$20)</f>
        <v>0.44696969696969696</v>
      </c>
      <c r="I4" s="58">
        <v>5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2228</v>
      </c>
      <c r="Q4" s="77">
        <v>50</v>
      </c>
      <c r="R4" s="64">
        <v>111400</v>
      </c>
    </row>
    <row r="5" spans="1:18" x14ac:dyDescent="0.4">
      <c r="A5" s="19" t="s">
        <v>7</v>
      </c>
      <c r="B5" s="133">
        <f>IF(B$2=0,0,B$4/B$2)</f>
        <v>3.4941176470588231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0.33333333333333331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-382.97872340425533</v>
      </c>
      <c r="Q5" s="77">
        <v>47</v>
      </c>
      <c r="R5" s="64">
        <v>-18000</v>
      </c>
    </row>
    <row r="6" spans="1:18" x14ac:dyDescent="0.4">
      <c r="A6" s="19" t="s">
        <v>196</v>
      </c>
      <c r="B6" s="137">
        <v>1541.223654027415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0.28030303030303028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257.14285714285717</v>
      </c>
      <c r="Q6" s="77">
        <v>42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1.9215686274509804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0.24242424242424243</v>
      </c>
      <c r="I7" s="58">
        <v>12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1710.2564102564102</v>
      </c>
      <c r="Q7" s="78">
        <v>39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0.37254901960784315</v>
      </c>
      <c r="E8" s="27" t="s">
        <v>89</v>
      </c>
      <c r="F8" s="24" t="s">
        <v>44</v>
      </c>
      <c r="G8" s="12">
        <v>26</v>
      </c>
      <c r="H8" s="88">
        <f>IF(B$20=0,0,G8/B$20)</f>
        <v>0.19696969696969696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0.33333333333333331</v>
      </c>
      <c r="E9" s="27" t="s">
        <v>69</v>
      </c>
      <c r="F9" s="24" t="s">
        <v>24</v>
      </c>
      <c r="G9" s="12">
        <v>20</v>
      </c>
      <c r="H9" s="88">
        <f>IF(B$20=0,0,G9/B$20)</f>
        <v>0.15151515151515152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0.29411764705882354</v>
      </c>
      <c r="E10" s="27" t="s">
        <v>65</v>
      </c>
      <c r="F10" s="24" t="s">
        <v>21</v>
      </c>
      <c r="G10" s="12">
        <v>11</v>
      </c>
      <c r="H10" s="88">
        <f>IF(B$20=0,0,G10/B$20)</f>
        <v>8.3333333333333329E-2</v>
      </c>
      <c r="I10" s="58">
        <v>8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71</v>
      </c>
      <c r="F11" s="24" t="s">
        <v>26</v>
      </c>
      <c r="G11" s="12">
        <v>10</v>
      </c>
      <c r="H11" s="88">
        <f>IF(B$20=0,0,G11/B$20)</f>
        <v>7.575757575757576E-2</v>
      </c>
      <c r="I11" s="58">
        <v>6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86</v>
      </c>
      <c r="F12" s="24" t="s">
        <v>41</v>
      </c>
      <c r="G12" s="12">
        <v>10</v>
      </c>
      <c r="H12" s="88">
        <f>IF(B$20=0,0,G12/B$20)</f>
        <v>7.575757575757576E-2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7.2777777777777777</v>
      </c>
      <c r="Q12" s="78">
        <v>18</v>
      </c>
      <c r="R12" s="69">
        <v>131</v>
      </c>
    </row>
    <row r="13" spans="1:18" x14ac:dyDescent="0.4">
      <c r="A13" s="20" t="s">
        <v>186</v>
      </c>
      <c r="B13" s="109">
        <f>IF(B10=0,0,C13/B10)</f>
        <v>-28.773333333333333</v>
      </c>
      <c r="C13" s="110">
        <v>-431.6</v>
      </c>
      <c r="E13" s="27" t="s">
        <v>83</v>
      </c>
      <c r="F13" s="24" t="s">
        <v>38</v>
      </c>
      <c r="G13" s="12">
        <v>7</v>
      </c>
      <c r="H13" s="88">
        <f>IF(B$20=0,0,G13/B$20)</f>
        <v>5.3030303030303032E-2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1.0375782593739256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3.787878787878788E-2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3.9215686274509803E-2</v>
      </c>
      <c r="E15" s="27" t="s">
        <v>78</v>
      </c>
      <c r="F15" s="24" t="s">
        <v>33</v>
      </c>
      <c r="G15" s="12">
        <v>5</v>
      </c>
      <c r="H15" s="88">
        <f>IF(B$20=0,0,G15/B$20)</f>
        <v>3.787878787878788E-2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98</v>
      </c>
      <c r="C16" s="10">
        <f>IF(B$3=0,0,B16/B$3)</f>
        <v>0.22790697674418606</v>
      </c>
      <c r="E16" s="27" t="s">
        <v>81</v>
      </c>
      <c r="F16" s="24" t="s">
        <v>36</v>
      </c>
      <c r="G16" s="12">
        <v>5</v>
      </c>
      <c r="H16" s="88">
        <f>IF(B$20=0,0,G16/B$20)</f>
        <v>3.787878787878788E-2</v>
      </c>
      <c r="I16" s="58">
        <v>6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>IF(Q16=0,0,R16/Q16)</f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97</v>
      </c>
      <c r="C17" s="6">
        <f>IF(B$3=0,0,B17/B$3)</f>
        <v>0.2255813953488372</v>
      </c>
      <c r="E17" s="27" t="s">
        <v>91</v>
      </c>
      <c r="F17" s="24" t="s">
        <v>46</v>
      </c>
      <c r="G17" s="12">
        <v>5</v>
      </c>
      <c r="H17" s="88">
        <f>IF(B$20=0,0,G17/B$20)</f>
        <v>3.787878787878788E-2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>IF(Q17=0,0,R17/Q17)</f>
        <v>9.0636363636363662</v>
      </c>
      <c r="Q17" s="77">
        <v>22</v>
      </c>
      <c r="R17" s="68">
        <v>199.40000000000006</v>
      </c>
    </row>
    <row r="18" spans="1:18" x14ac:dyDescent="0.4">
      <c r="A18" s="18" t="s">
        <v>123</v>
      </c>
      <c r="B18" s="11">
        <f>B24</f>
        <v>58</v>
      </c>
      <c r="C18" s="5">
        <f>IF(B$16=0,0,B18/B$16)</f>
        <v>0.59183673469387754</v>
      </c>
      <c r="E18" s="27" t="s">
        <v>73</v>
      </c>
      <c r="F18" s="24" t="s">
        <v>28</v>
      </c>
      <c r="G18" s="12">
        <v>2</v>
      </c>
      <c r="H18" s="88">
        <f>IF(B$20=0,0,G18/B$20)</f>
        <v>1.5151515151515152E-2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>IF(Q18=0,0,R18/Q18)</f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0.45360824742268041</v>
      </c>
      <c r="E19" s="27" t="s">
        <v>75</v>
      </c>
      <c r="F19" s="24" t="s">
        <v>30</v>
      </c>
      <c r="G19" s="12">
        <v>1</v>
      </c>
      <c r="H19" s="88">
        <f>IF(B$20=0,0,G19/B$20)</f>
        <v>7.575757575757576E-3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>IF(Q19=0,0,R19/Q19)</f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132</v>
      </c>
      <c r="C20" s="5">
        <f>IF(B$3=0,0,B20/B$3)</f>
        <v>0.30697674418604654</v>
      </c>
      <c r="E20" s="27" t="s">
        <v>79</v>
      </c>
      <c r="F20" s="24" t="s">
        <v>34</v>
      </c>
      <c r="G20" s="12">
        <v>1</v>
      </c>
      <c r="H20" s="88">
        <f>IF(B$20=0,0,G20/B$20)</f>
        <v>7.575757575757576E-3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3.0419354838709678</v>
      </c>
      <c r="Q20" s="77">
        <v>31</v>
      </c>
      <c r="R20" s="68">
        <v>94.3</v>
      </c>
    </row>
    <row r="21" spans="1:18" x14ac:dyDescent="0.4">
      <c r="A21" s="19" t="s">
        <v>13</v>
      </c>
      <c r="B21" s="12">
        <v>59</v>
      </c>
      <c r="C21" s="6">
        <f>IF(B$3=0,0,B21/B$3)</f>
        <v>0.1372093023255814</v>
      </c>
      <c r="E21" s="27" t="s">
        <v>93</v>
      </c>
      <c r="F21" s="24" t="s">
        <v>48</v>
      </c>
      <c r="G21" s="12">
        <v>1</v>
      </c>
      <c r="H21" s="88">
        <f>IF(B$20=0,0,G21/B$20)</f>
        <v>7.575757575757576E-3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>IF(Q21=0,0,R21/Q21)</f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0.40151515151515149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>IF(Q22=0,0,R22/Q22)</f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79</v>
      </c>
      <c r="C23" s="6">
        <f>IF(B$20=0,0,B23/B$20)</f>
        <v>0.59848484848484851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>IF(Q23=0,0,R23/Q23)</f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58</v>
      </c>
      <c r="C24" s="6">
        <f>IF(B$20=0,0,B24/B$20)</f>
        <v>0.43939393939393939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0.33333333333333331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0.22727272727272727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7929.545454545455</v>
      </c>
      <c r="C27" s="8">
        <v>1046700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8413.636363636364</v>
      </c>
      <c r="C28" s="96">
        <v>740400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-6961.0169491525421</v>
      </c>
      <c r="C30" s="96">
        <v>-410700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6.9767441860465115E-3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6.0606060606060608E-2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2"/>
        <v>0.20454545454545456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28</v>
      </c>
      <c r="C39" s="6">
        <f t="shared" si="2"/>
        <v>0.21212121212121213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2"/>
        <v>0.14393939393939395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2"/>
        <v>0.15151515151515152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2"/>
        <v>0.11363636363636363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2"/>
        <v>3.787878787878788E-2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2"/>
        <v>3.0303030303030304E-2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2"/>
        <v>7.575757575757576E-3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2"/>
        <v>1.5151515151515152E-2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2"/>
        <v>1.5151515151515152E-2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2"/>
        <v>7.575757575757576E-3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  <row r="53" spans="1:13" x14ac:dyDescent="0.4">
      <c r="K53" s="74">
        <v>51</v>
      </c>
      <c r="L53" s="119">
        <v>178.2</v>
      </c>
      <c r="M53" s="117">
        <v>1541.223654027415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56</v>
      </c>
      <c r="C2" s="142"/>
      <c r="E2" s="26" t="s">
        <v>66</v>
      </c>
      <c r="F2" s="23" t="s">
        <v>22</v>
      </c>
      <c r="G2" s="11">
        <v>124</v>
      </c>
      <c r="H2" s="87">
        <f>IF(B$20=0,0,G2/B$20)</f>
        <v>0.76543209876543206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-303.57142857142856</v>
      </c>
      <c r="Q2" s="76">
        <v>56</v>
      </c>
      <c r="R2" s="63">
        <v>-17000</v>
      </c>
    </row>
    <row r="3" spans="1:18" x14ac:dyDescent="0.4">
      <c r="A3" s="19" t="s">
        <v>8</v>
      </c>
      <c r="B3" s="143">
        <v>483</v>
      </c>
      <c r="C3" s="144"/>
      <c r="E3" s="27" t="s">
        <v>72</v>
      </c>
      <c r="F3" s="24" t="s">
        <v>27</v>
      </c>
      <c r="G3" s="12">
        <v>100</v>
      </c>
      <c r="H3" s="88">
        <f>IF(B$20=0,0,G3/B$20)</f>
        <v>0.61728395061728392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394.33962264150944</v>
      </c>
      <c r="Q3" s="77">
        <v>53</v>
      </c>
      <c r="R3" s="64">
        <v>20900</v>
      </c>
    </row>
    <row r="4" spans="1:18" x14ac:dyDescent="0.4">
      <c r="A4" s="19" t="s">
        <v>6</v>
      </c>
      <c r="B4" s="145">
        <v>275.2999999999999</v>
      </c>
      <c r="C4" s="146"/>
      <c r="E4" s="27" t="s">
        <v>159</v>
      </c>
      <c r="F4" s="24" t="s">
        <v>160</v>
      </c>
      <c r="G4" s="12">
        <v>77</v>
      </c>
      <c r="H4" s="88">
        <f>IF(B$20=0,0,G4/B$20)</f>
        <v>0.47530864197530864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1612.962962962963</v>
      </c>
      <c r="Q4" s="77">
        <v>54</v>
      </c>
      <c r="R4" s="64">
        <v>87100</v>
      </c>
    </row>
    <row r="5" spans="1:18" x14ac:dyDescent="0.4">
      <c r="A5" s="19" t="s">
        <v>7</v>
      </c>
      <c r="B5" s="133">
        <f>IF(B$2=0,0,B$4/B$2)</f>
        <v>4.9160714285714269</v>
      </c>
      <c r="C5" s="134"/>
      <c r="E5" s="27" t="s">
        <v>64</v>
      </c>
      <c r="F5" s="24" t="s">
        <v>20</v>
      </c>
      <c r="G5" s="12">
        <v>52</v>
      </c>
      <c r="H5" s="88">
        <f>IF(B$20=0,0,G5/B$20)</f>
        <v>0.32098765432098764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2413.7254901960782</v>
      </c>
      <c r="Q5" s="77">
        <v>51</v>
      </c>
      <c r="R5" s="64">
        <v>123100</v>
      </c>
    </row>
    <row r="6" spans="1:18" x14ac:dyDescent="0.4">
      <c r="A6" s="19" t="s">
        <v>196</v>
      </c>
      <c r="B6" s="137">
        <v>1585.3047690513151</v>
      </c>
      <c r="C6" s="138"/>
      <c r="E6" s="27" t="s">
        <v>68</v>
      </c>
      <c r="F6" s="24" t="s">
        <v>12</v>
      </c>
      <c r="G6" s="12">
        <v>39</v>
      </c>
      <c r="H6" s="88">
        <f>IF(B$20=0,0,G6/B$20)</f>
        <v>0.24074074074074073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-423.40425531914894</v>
      </c>
      <c r="Q6" s="77">
        <v>47</v>
      </c>
      <c r="R6" s="64">
        <v>-19900</v>
      </c>
    </row>
    <row r="7" spans="1:18" x14ac:dyDescent="0.4">
      <c r="A7" s="19" t="s">
        <v>1</v>
      </c>
      <c r="B7" s="147">
        <f>IF(B$2=0,0,(B$8*1+B$9*2+B$10*3)/B$2)</f>
        <v>1.8392857142857142</v>
      </c>
      <c r="C7" s="148"/>
      <c r="E7" s="27" t="s">
        <v>89</v>
      </c>
      <c r="F7" s="24" t="s">
        <v>44</v>
      </c>
      <c r="G7" s="12">
        <v>21</v>
      </c>
      <c r="H7" s="88">
        <f>IF(B$20=0,0,G7/B$20)</f>
        <v>0.12962962962962962</v>
      </c>
      <c r="I7" s="58">
        <v>7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-381.57894736842104</v>
      </c>
      <c r="Q7" s="78">
        <v>38</v>
      </c>
      <c r="R7" s="65">
        <v>-14500</v>
      </c>
    </row>
    <row r="8" spans="1:18" x14ac:dyDescent="0.4">
      <c r="A8" s="19" t="s">
        <v>2</v>
      </c>
      <c r="B8" s="12">
        <v>22</v>
      </c>
      <c r="C8" s="6">
        <f t="shared" ref="C8:C15" si="1">IF(B$2=0,0,B8/B$2)</f>
        <v>0.39285714285714285</v>
      </c>
      <c r="E8" s="27" t="s">
        <v>67</v>
      </c>
      <c r="F8" s="24" t="s">
        <v>23</v>
      </c>
      <c r="G8" s="12">
        <v>20</v>
      </c>
      <c r="H8" s="88">
        <f>IF(B$20=0,0,G8/B$20)</f>
        <v>0.12345679012345678</v>
      </c>
      <c r="I8" s="58">
        <v>11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21</v>
      </c>
      <c r="C9" s="6">
        <f t="shared" si="1"/>
        <v>0.375</v>
      </c>
      <c r="E9" s="27" t="s">
        <v>70</v>
      </c>
      <c r="F9" s="24" t="s">
        <v>25</v>
      </c>
      <c r="G9" s="12">
        <v>20</v>
      </c>
      <c r="H9" s="88">
        <f>IF(B$20=0,0,G9/B$20)</f>
        <v>0.12345679012345678</v>
      </c>
      <c r="I9" s="58">
        <v>2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0.23214285714285715</v>
      </c>
      <c r="E10" s="27" t="s">
        <v>71</v>
      </c>
      <c r="F10" s="24" t="s">
        <v>26</v>
      </c>
      <c r="G10" s="12">
        <v>16</v>
      </c>
      <c r="H10" s="88">
        <f>IF(B$20=0,0,G10/B$20)</f>
        <v>9.8765432098765427E-2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14.775</v>
      </c>
      <c r="Q10" s="76">
        <v>20</v>
      </c>
      <c r="R10" s="67">
        <v>295.5</v>
      </c>
    </row>
    <row r="11" spans="1:18" x14ac:dyDescent="0.4">
      <c r="A11" s="20" t="s">
        <v>184</v>
      </c>
      <c r="B11" s="109">
        <f>IF(B8=0,0,C11/B8)</f>
        <v>35.940909090909095</v>
      </c>
      <c r="C11" s="110">
        <v>790.7</v>
      </c>
      <c r="E11" s="27" t="s">
        <v>69</v>
      </c>
      <c r="F11" s="24" t="s">
        <v>24</v>
      </c>
      <c r="G11" s="12">
        <v>14</v>
      </c>
      <c r="H11" s="88">
        <f>IF(B$20=0,0,G11/B$20)</f>
        <v>8.6419753086419748E-2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-0.21052631578947345</v>
      </c>
      <c r="Q11" s="77">
        <v>19</v>
      </c>
      <c r="R11" s="68">
        <v>-3.9999999999999956</v>
      </c>
    </row>
    <row r="12" spans="1:18" x14ac:dyDescent="0.4">
      <c r="A12" s="20" t="s">
        <v>185</v>
      </c>
      <c r="B12" s="109">
        <f>IF(B9=0,0,C12/B9)</f>
        <v>-3.4571428571428564</v>
      </c>
      <c r="C12" s="110">
        <v>-72.59999999999998</v>
      </c>
      <c r="E12" s="27" t="s">
        <v>65</v>
      </c>
      <c r="F12" s="24" t="s">
        <v>21</v>
      </c>
      <c r="G12" s="12">
        <v>7</v>
      </c>
      <c r="H12" s="88">
        <f>IF(B$20=0,0,G12/B$20)</f>
        <v>4.3209876543209874E-2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-0.95294117647058862</v>
      </c>
      <c r="Q12" s="78">
        <v>17</v>
      </c>
      <c r="R12" s="69">
        <v>-16.200000000000006</v>
      </c>
    </row>
    <row r="13" spans="1:18" x14ac:dyDescent="0.4">
      <c r="A13" s="20" t="s">
        <v>186</v>
      </c>
      <c r="B13" s="109">
        <f>IF(B10=0,0,C13/B10)</f>
        <v>-34.061538461538461</v>
      </c>
      <c r="C13" s="110">
        <v>-442.8</v>
      </c>
      <c r="E13" s="27" t="s">
        <v>86</v>
      </c>
      <c r="F13" s="24" t="s">
        <v>41</v>
      </c>
      <c r="G13" s="12">
        <v>6</v>
      </c>
      <c r="H13" s="88">
        <f>IF(B$20=0,0,G13/B$20)</f>
        <v>3.7037037037037035E-2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-0.52592407592407397</v>
      </c>
      <c r="C14" s="134"/>
      <c r="E14" s="27" t="s">
        <v>83</v>
      </c>
      <c r="F14" s="24" t="s">
        <v>38</v>
      </c>
      <c r="G14" s="12">
        <v>5</v>
      </c>
      <c r="H14" s="88">
        <f>IF(B$20=0,0,G14/B$20)</f>
        <v>3.0864197530864196E-2</v>
      </c>
      <c r="I14" s="58">
        <v>9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7.1428571428571425E-2</v>
      </c>
      <c r="E15" s="27" t="s">
        <v>78</v>
      </c>
      <c r="F15" s="24" t="s">
        <v>33</v>
      </c>
      <c r="G15" s="12">
        <v>4</v>
      </c>
      <c r="H15" s="88">
        <f>IF(B$20=0,0,G15/B$20)</f>
        <v>2.4691358024691357E-2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97</v>
      </c>
      <c r="C16" s="10">
        <f>IF(B$3=0,0,B16/B$3)</f>
        <v>0.20082815734989648</v>
      </c>
      <c r="E16" s="27" t="s">
        <v>79</v>
      </c>
      <c r="F16" s="24" t="s">
        <v>34</v>
      </c>
      <c r="G16" s="12">
        <v>3</v>
      </c>
      <c r="H16" s="88">
        <f>IF(B$20=0,0,G16/B$20)</f>
        <v>1.8518518518518517E-2</v>
      </c>
      <c r="I16" s="58">
        <v>3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130</v>
      </c>
      <c r="C17" s="6">
        <f>IF(B$3=0,0,B17/B$3)</f>
        <v>0.2691511387163561</v>
      </c>
      <c r="E17" s="27" t="s">
        <v>81</v>
      </c>
      <c r="F17" s="24" t="s">
        <v>36</v>
      </c>
      <c r="G17" s="12">
        <v>3</v>
      </c>
      <c r="H17" s="88">
        <f>IF(B$20=0,0,G17/B$20)</f>
        <v>1.8518518518518517E-2</v>
      </c>
      <c r="I17" s="58">
        <v>11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52</v>
      </c>
      <c r="C18" s="5">
        <f>IF(B$16=0,0,B18/B$16)</f>
        <v>0.53608247422680411</v>
      </c>
      <c r="E18" s="27" t="s">
        <v>155</v>
      </c>
      <c r="F18" s="24" t="s">
        <v>156</v>
      </c>
      <c r="G18" s="12">
        <v>2</v>
      </c>
      <c r="H18" s="88">
        <f>IF(B$20=0,0,G18/B$20)</f>
        <v>1.2345679012345678E-2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56</v>
      </c>
      <c r="C19" s="5">
        <f>IF(B$17=0,0,B19/B$17)</f>
        <v>0.43076923076923079</v>
      </c>
      <c r="E19" s="27" t="s">
        <v>73</v>
      </c>
      <c r="F19" s="24" t="s">
        <v>28</v>
      </c>
      <c r="G19" s="12">
        <v>1</v>
      </c>
      <c r="H19" s="88">
        <f>IF(B$20=0,0,G19/B$20)</f>
        <v>6.1728395061728392E-3</v>
      </c>
      <c r="I19" s="58">
        <v>5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162</v>
      </c>
      <c r="C20" s="5">
        <f>IF(B$3=0,0,B20/B$3)</f>
        <v>0.33540372670807456</v>
      </c>
      <c r="E20" s="27" t="s">
        <v>88</v>
      </c>
      <c r="F20" s="24" t="s">
        <v>43</v>
      </c>
      <c r="G20" s="12">
        <v>1</v>
      </c>
      <c r="H20" s="88">
        <f>IF(B$20=0,0,G20/B$20)</f>
        <v>6.1728395061728392E-3</v>
      </c>
      <c r="I20" s="58">
        <v>2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12.989473684210525</v>
      </c>
      <c r="Q20" s="77">
        <v>19</v>
      </c>
      <c r="R20" s="68">
        <v>246.79999999999998</v>
      </c>
    </row>
    <row r="21" spans="1:18" x14ac:dyDescent="0.4">
      <c r="A21" s="19" t="s">
        <v>13</v>
      </c>
      <c r="B21" s="12">
        <v>59</v>
      </c>
      <c r="C21" s="6">
        <f>IF(B$3=0,0,B21/B$3)</f>
        <v>0.12215320910973085</v>
      </c>
      <c r="E21" s="27" t="s">
        <v>90</v>
      </c>
      <c r="F21" s="24" t="s">
        <v>45</v>
      </c>
      <c r="G21" s="12">
        <v>1</v>
      </c>
      <c r="H21" s="88">
        <f>IF(B$20=0,0,G21/B$20)</f>
        <v>6.1728395061728392E-3</v>
      </c>
      <c r="I21" s="58">
        <v>2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4.1562499999999973</v>
      </c>
      <c r="Q21" s="77">
        <v>48</v>
      </c>
      <c r="R21" s="68">
        <v>199.49999999999986</v>
      </c>
    </row>
    <row r="22" spans="1:18" x14ac:dyDescent="0.4">
      <c r="A22" s="19" t="s">
        <v>12</v>
      </c>
      <c r="B22" s="12">
        <v>64</v>
      </c>
      <c r="C22" s="6">
        <f>IF(B$20=0,0,B22/B$20)</f>
        <v>0.39506172839506171</v>
      </c>
      <c r="E22" s="27" t="s">
        <v>92</v>
      </c>
      <c r="F22" s="24" t="s">
        <v>47</v>
      </c>
      <c r="G22" s="12">
        <v>1</v>
      </c>
      <c r="H22" s="88">
        <f>IF(B$20=0,0,G22/B$20)</f>
        <v>6.1728395061728392E-3</v>
      </c>
      <c r="I22" s="58">
        <v>1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98</v>
      </c>
      <c r="C23" s="6">
        <f>IF(B$20=0,0,B23/B$20)</f>
        <v>0.60493827160493829</v>
      </c>
      <c r="E23" s="27" t="s">
        <v>102</v>
      </c>
      <c r="F23" s="24" t="s">
        <v>57</v>
      </c>
      <c r="G23" s="12">
        <v>1</v>
      </c>
      <c r="H23" s="88">
        <f>IF(B$20=0,0,G23/B$20)</f>
        <v>6.1728395061728392E-3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52</v>
      </c>
      <c r="C24" s="6">
        <f>IF(B$20=0,0,B24/B$20)</f>
        <v>0.32098765432098764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56</v>
      </c>
      <c r="C25" s="6">
        <f>IF(B$20=0,0,B25/B$20)</f>
        <v>0.34567901234567899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54</v>
      </c>
      <c r="C26" s="6">
        <f>IF(B$20=0,0,B26/B$20)</f>
        <v>0.33333333333333331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7298.7654320987658</v>
      </c>
      <c r="C27" s="8">
        <v>1182400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8162.2641509433961</v>
      </c>
      <c r="C28" s="96">
        <v>865200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5664.2857142857147</v>
      </c>
      <c r="C29" s="96">
        <v>317200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-7877.9661016949149</v>
      </c>
      <c r="C30" s="96">
        <v>-464800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6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8.6419753086419748E-2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42</v>
      </c>
      <c r="C38" s="6">
        <f t="shared" si="3"/>
        <v>0.25925925925925924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34</v>
      </c>
      <c r="C39" s="6">
        <f t="shared" si="3"/>
        <v>0.20987654320987653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25</v>
      </c>
      <c r="C40" s="6">
        <f t="shared" si="3"/>
        <v>0.15432098765432098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26</v>
      </c>
      <c r="C41" s="6">
        <f t="shared" si="3"/>
        <v>0.16049382716049382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2.4691358024691357E-2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9</v>
      </c>
      <c r="C43" s="6">
        <f t="shared" si="3"/>
        <v>5.5555555555555552E-2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1.2345679012345678E-2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1.2345679012345678E-2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2</v>
      </c>
      <c r="C46" s="6">
        <f t="shared" si="3"/>
        <v>1.2345679012345678E-2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1.2345679012345678E-2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  <row r="54" spans="1:13" x14ac:dyDescent="0.4">
      <c r="K54" s="74">
        <v>52</v>
      </c>
      <c r="L54" s="119">
        <v>297.99999999999994</v>
      </c>
      <c r="M54" s="117">
        <v>1588.0331192526728</v>
      </c>
    </row>
    <row r="55" spans="1:13" x14ac:dyDescent="0.4">
      <c r="K55" s="74">
        <v>53</v>
      </c>
      <c r="L55" s="119">
        <v>300.39999999999992</v>
      </c>
      <c r="M55" s="117">
        <v>1588.8129205371567</v>
      </c>
    </row>
    <row r="56" spans="1:13" x14ac:dyDescent="0.4">
      <c r="K56" s="74">
        <v>54</v>
      </c>
      <c r="L56" s="119">
        <v>306.09999999999991</v>
      </c>
      <c r="M56" s="117">
        <v>1590.1820430139337</v>
      </c>
    </row>
    <row r="57" spans="1:13" x14ac:dyDescent="0.4">
      <c r="K57" s="74">
        <v>55</v>
      </c>
      <c r="L57" s="119">
        <v>307.09999999999991</v>
      </c>
      <c r="M57" s="117">
        <v>1590.6969507558501</v>
      </c>
    </row>
    <row r="58" spans="1:13" x14ac:dyDescent="0.4">
      <c r="K58" s="74">
        <v>56</v>
      </c>
      <c r="L58" s="119">
        <v>275.2999999999999</v>
      </c>
      <c r="M58" s="117">
        <v>1585.3047690513151</v>
      </c>
    </row>
  </sheetData>
  <sortState xmlns:xlrd2="http://schemas.microsoft.com/office/spreadsheetml/2017/richdata2" ref="E2:I59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10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16</v>
      </c>
      <c r="C2" s="142"/>
      <c r="E2" s="26" t="s">
        <v>66</v>
      </c>
      <c r="F2" s="23" t="s">
        <v>22</v>
      </c>
      <c r="G2" s="11">
        <v>33</v>
      </c>
      <c r="H2" s="87">
        <f>IF(B$20=0,0,G2/B$20)</f>
        <v>0.94285714285714284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-1737.5</v>
      </c>
      <c r="Q2" s="76">
        <v>16</v>
      </c>
      <c r="R2" s="63">
        <v>-27800</v>
      </c>
    </row>
    <row r="3" spans="1:18" x14ac:dyDescent="0.4">
      <c r="A3" s="19" t="s">
        <v>8</v>
      </c>
      <c r="B3" s="143">
        <v>145</v>
      </c>
      <c r="C3" s="144"/>
      <c r="E3" s="27" t="s">
        <v>159</v>
      </c>
      <c r="F3" s="24" t="s">
        <v>160</v>
      </c>
      <c r="G3" s="12">
        <v>24</v>
      </c>
      <c r="H3" s="88">
        <f>IF(B$20=0,0,G3/B$20)</f>
        <v>0.68571428571428572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3526.6666666666665</v>
      </c>
      <c r="Q3" s="77">
        <v>15</v>
      </c>
      <c r="R3" s="64">
        <v>52900</v>
      </c>
    </row>
    <row r="4" spans="1:18" x14ac:dyDescent="0.4">
      <c r="A4" s="19" t="s">
        <v>6</v>
      </c>
      <c r="B4" s="145">
        <v>-121.1</v>
      </c>
      <c r="C4" s="146"/>
      <c r="E4" s="27" t="s">
        <v>64</v>
      </c>
      <c r="F4" s="24" t="s">
        <v>20</v>
      </c>
      <c r="G4" s="12">
        <v>21</v>
      </c>
      <c r="H4" s="88">
        <f>IF(B$20=0,0,G4/B$20)</f>
        <v>0.6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-1137.5</v>
      </c>
      <c r="Q4" s="77">
        <v>16</v>
      </c>
      <c r="R4" s="64">
        <v>-18200</v>
      </c>
    </row>
    <row r="5" spans="1:18" x14ac:dyDescent="0.4">
      <c r="A5" s="19" t="s">
        <v>7</v>
      </c>
      <c r="B5" s="133">
        <f>IF(B$2=0,0,B$4/B$2)</f>
        <v>-7.5687499999999996</v>
      </c>
      <c r="C5" s="134"/>
      <c r="E5" s="27" t="s">
        <v>68</v>
      </c>
      <c r="F5" s="24" t="s">
        <v>12</v>
      </c>
      <c r="G5" s="12">
        <v>18</v>
      </c>
      <c r="H5" s="88">
        <f>IF(B$20=0,0,G5/B$20)</f>
        <v>0.51428571428571423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-3218.75</v>
      </c>
      <c r="Q5" s="77">
        <v>16</v>
      </c>
      <c r="R5" s="64">
        <v>-51500</v>
      </c>
    </row>
    <row r="6" spans="1:18" x14ac:dyDescent="0.4">
      <c r="A6" s="19" t="s">
        <v>196</v>
      </c>
      <c r="B6" s="137">
        <v>1386.1875835590063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0.42857142857142855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-1806.6666666666667</v>
      </c>
      <c r="Q6" s="77">
        <v>15</v>
      </c>
      <c r="R6" s="64">
        <v>-27100</v>
      </c>
    </row>
    <row r="7" spans="1:18" x14ac:dyDescent="0.4">
      <c r="A7" s="19" t="s">
        <v>1</v>
      </c>
      <c r="B7" s="147">
        <f>IF(B$2=0,0,(B$8*1+B$9*2+B$10*3)/B$2)</f>
        <v>2.0625</v>
      </c>
      <c r="C7" s="148"/>
      <c r="E7" s="27" t="s">
        <v>67</v>
      </c>
      <c r="F7" s="24" t="s">
        <v>23</v>
      </c>
      <c r="G7" s="12">
        <v>13</v>
      </c>
      <c r="H7" s="88">
        <f>IF(B$20=0,0,G7/B$20)</f>
        <v>0.37142857142857144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-1957.1428571428571</v>
      </c>
      <c r="Q7" s="78">
        <v>14</v>
      </c>
      <c r="R7" s="65">
        <v>-27400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0.375</v>
      </c>
      <c r="E8" s="27" t="s">
        <v>69</v>
      </c>
      <c r="F8" s="24" t="s">
        <v>24</v>
      </c>
      <c r="G8" s="12">
        <v>10</v>
      </c>
      <c r="H8" s="88">
        <f>IF(B$20=0,0,G8/B$20)</f>
        <v>0.2857142857142857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0.1875</v>
      </c>
      <c r="E9" s="27" t="s">
        <v>65</v>
      </c>
      <c r="F9" s="24" t="s">
        <v>21</v>
      </c>
      <c r="G9" s="12">
        <v>4</v>
      </c>
      <c r="H9" s="88">
        <f>IF(B$20=0,0,G9/B$20)</f>
        <v>0.11428571428571428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0.4375</v>
      </c>
      <c r="E10" s="27" t="s">
        <v>70</v>
      </c>
      <c r="F10" s="24" t="s">
        <v>25</v>
      </c>
      <c r="G10" s="12">
        <v>3</v>
      </c>
      <c r="H10" s="88">
        <f>IF(B$20=0,0,G10/B$20)</f>
        <v>8.5714285714285715E-2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-14.45</v>
      </c>
      <c r="Q10" s="76">
        <v>4</v>
      </c>
      <c r="R10" s="67">
        <v>-57.8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5.7142857142857141E-2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-1.3</v>
      </c>
      <c r="C12" s="110">
        <v>-3.9</v>
      </c>
      <c r="E12" s="27" t="s">
        <v>71</v>
      </c>
      <c r="F12" s="24" t="s">
        <v>26</v>
      </c>
      <c r="G12" s="12">
        <v>1</v>
      </c>
      <c r="H12" s="88">
        <f>IF(B$20=0,0,G12/B$20)</f>
        <v>2.8571428571428571E-2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-38.785714285714285</v>
      </c>
      <c r="C13" s="110">
        <v>-271.5</v>
      </c>
      <c r="E13" s="27" t="s">
        <v>75</v>
      </c>
      <c r="F13" s="24" t="s">
        <v>30</v>
      </c>
      <c r="G13" s="12">
        <v>1</v>
      </c>
      <c r="H13" s="88">
        <f>IF(B$20=0,0,G13/B$20)</f>
        <v>2.8571428571428571E-2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-4.7896825396825404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2.8571428571428571E-2</v>
      </c>
      <c r="I14" s="58">
        <v>6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0.1875</v>
      </c>
      <c r="E15" s="27" t="s">
        <v>81</v>
      </c>
      <c r="F15" s="24" t="s">
        <v>36</v>
      </c>
      <c r="G15" s="12">
        <v>1</v>
      </c>
      <c r="H15" s="88">
        <f>IF(B$20=0,0,G15/B$20)</f>
        <v>2.8571428571428571E-2</v>
      </c>
      <c r="I15" s="58">
        <v>9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 t="shared" ref="P15:P21" si="2">IF(Q15=0,0,R15/Q15)</f>
        <v>13.525000000000004</v>
      </c>
      <c r="Q15" s="76">
        <v>4</v>
      </c>
      <c r="R15" s="67">
        <v>54.100000000000016</v>
      </c>
    </row>
    <row r="16" spans="1:18" x14ac:dyDescent="0.4">
      <c r="A16" s="22" t="s">
        <v>121</v>
      </c>
      <c r="B16" s="15">
        <v>34</v>
      </c>
      <c r="C16" s="10">
        <f>IF(B$3=0,0,B16/B$3)</f>
        <v>0.23448275862068965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 t="shared" si="2"/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19</v>
      </c>
      <c r="C17" s="6">
        <f>IF(B$3=0,0,B17/B$3)</f>
        <v>0.1310344827586207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 t="shared" si="2"/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21</v>
      </c>
      <c r="C18" s="5">
        <f>IF(B$16=0,0,B18/B$16)</f>
        <v>0.61764705882352944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190</v>
      </c>
      <c r="P18" s="83">
        <f t="shared" si="2"/>
        <v>-3.9500000000000011</v>
      </c>
      <c r="Q18" s="77">
        <v>4</v>
      </c>
      <c r="R18" s="68">
        <v>-15.800000000000004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0.26315789473684209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126</v>
      </c>
      <c r="P19" s="83">
        <f t="shared" si="2"/>
        <v>-13.090909090909092</v>
      </c>
      <c r="Q19" s="77">
        <v>11</v>
      </c>
      <c r="R19" s="68">
        <v>-144</v>
      </c>
    </row>
    <row r="20" spans="1:18" x14ac:dyDescent="0.4">
      <c r="A20" s="18" t="s">
        <v>10</v>
      </c>
      <c r="B20" s="11">
        <f>B23+B22</f>
        <v>35</v>
      </c>
      <c r="C20" s="5">
        <f>IF(B$3=0,0,B20/B$3)</f>
        <v>0.2413793103448276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25</v>
      </c>
      <c r="C21" s="6">
        <f>IF(B$3=0,0,B21/B$3)</f>
        <v>0.17241379310344829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19</v>
      </c>
      <c r="C22" s="6">
        <f>IF(B$20=0,0,B22/B$20)</f>
        <v>0.54285714285714282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16</v>
      </c>
      <c r="C23" s="6">
        <f>IF(B$20=0,0,B23/B$20)</f>
        <v>0.45714285714285713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21</v>
      </c>
      <c r="C24" s="6">
        <f>IF(B$20=0,0,B24/B$20)</f>
        <v>0.6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0.14285714285714285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0.25714285714285712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8974.2857142857138</v>
      </c>
      <c r="C27" s="8">
        <v>314100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9030</v>
      </c>
      <c r="C28" s="96">
        <v>270900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-7868</v>
      </c>
      <c r="C30" s="96">
        <v>-196700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6.8965517241379309E-3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2.8571428571428571E-2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0.11428571428571428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3"/>
        <v>0.17142857142857143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10</v>
      </c>
      <c r="C40" s="6">
        <f t="shared" si="3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0.17142857142857143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0.11428571428571428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2.8571428571428571E-2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8.5714285714285715E-2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6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  <row r="55" spans="1:16" x14ac:dyDescent="0.4">
      <c r="A55" s="33">
        <v>52</v>
      </c>
      <c r="B55" s="30">
        <v>297.99999999999994</v>
      </c>
      <c r="C55" s="30">
        <v>5.7307692307692299</v>
      </c>
      <c r="D55" s="35">
        <v>1.8076923076923077</v>
      </c>
      <c r="E55" s="31">
        <v>0.42307692307692307</v>
      </c>
      <c r="F55" s="31">
        <v>0.23076923076923078</v>
      </c>
      <c r="G55" s="31">
        <v>0.3355855855855856</v>
      </c>
      <c r="H55" s="31">
        <v>0.11711711711711711</v>
      </c>
      <c r="I55" s="32">
        <v>7322.1476510067114</v>
      </c>
      <c r="J55" s="32">
        <v>-7671.1538461538457</v>
      </c>
      <c r="K55" s="31">
        <v>7.6923076923076927E-2</v>
      </c>
      <c r="L55" s="31">
        <v>0.20045045045045046</v>
      </c>
      <c r="M55" s="31">
        <v>0.2747747747747748</v>
      </c>
      <c r="N55" s="31">
        <v>0.550561797752809</v>
      </c>
      <c r="O55" s="31">
        <v>0.40163934426229508</v>
      </c>
      <c r="P55" s="31">
        <v>0.40939597315436244</v>
      </c>
    </row>
    <row r="56" spans="1:16" x14ac:dyDescent="0.4">
      <c r="A56" s="33">
        <v>53</v>
      </c>
      <c r="B56" s="30">
        <v>300.39999999999992</v>
      </c>
      <c r="C56" s="30">
        <v>5.6679245283018851</v>
      </c>
      <c r="D56" s="35">
        <v>1.8113207547169812</v>
      </c>
      <c r="E56" s="31">
        <v>0.41509433962264153</v>
      </c>
      <c r="F56" s="31">
        <v>0.22641509433962265</v>
      </c>
      <c r="G56" s="31">
        <v>0.33555555555555555</v>
      </c>
      <c r="H56" s="31">
        <v>0.12</v>
      </c>
      <c r="I56" s="32">
        <v>7384.1059602649011</v>
      </c>
      <c r="J56" s="32">
        <v>-7731.4814814814818</v>
      </c>
      <c r="K56" s="31">
        <v>7.5471698113207544E-2</v>
      </c>
      <c r="L56" s="31">
        <v>0.19777777777777777</v>
      </c>
      <c r="M56" s="31">
        <v>0.27555555555555555</v>
      </c>
      <c r="N56" s="31">
        <v>0.550561797752809</v>
      </c>
      <c r="O56" s="31">
        <v>0.40322580645161288</v>
      </c>
      <c r="P56" s="31">
        <v>0.40397350993377484</v>
      </c>
    </row>
    <row r="57" spans="1:16" x14ac:dyDescent="0.4">
      <c r="A57" s="33">
        <v>54</v>
      </c>
      <c r="B57" s="30">
        <v>306.09999999999991</v>
      </c>
      <c r="C57" s="30">
        <v>5.6685185185185167</v>
      </c>
      <c r="D57" s="35">
        <v>1.8148148148148149</v>
      </c>
      <c r="E57" s="31">
        <v>0.40740740740740738</v>
      </c>
      <c r="F57" s="31">
        <v>0.22222222222222221</v>
      </c>
      <c r="G57" s="31">
        <v>0.33839479392624727</v>
      </c>
      <c r="H57" s="31">
        <v>0.11713665943600868</v>
      </c>
      <c r="I57" s="32">
        <v>7321.7948717948721</v>
      </c>
      <c r="J57" s="32">
        <v>-7731.4814814814818</v>
      </c>
      <c r="K57" s="31">
        <v>7.407407407407407E-2</v>
      </c>
      <c r="L57" s="31">
        <v>0.19956616052060738</v>
      </c>
      <c r="M57" s="31">
        <v>0.27765726681127983</v>
      </c>
      <c r="N57" s="31">
        <v>0.54347826086956519</v>
      </c>
      <c r="O57" s="31">
        <v>0.421875</v>
      </c>
      <c r="P57" s="31">
        <v>0.40384615384615385</v>
      </c>
    </row>
    <row r="58" spans="1:16" x14ac:dyDescent="0.4">
      <c r="A58" s="33">
        <v>55</v>
      </c>
      <c r="B58" s="30">
        <v>307.09999999999991</v>
      </c>
      <c r="C58" s="30">
        <v>5.5836363636363622</v>
      </c>
      <c r="D58" s="35">
        <v>1.8181818181818181</v>
      </c>
      <c r="E58" s="31">
        <v>0.4</v>
      </c>
      <c r="F58" s="31">
        <v>0.21818181818181817</v>
      </c>
      <c r="G58" s="31">
        <v>0.33832976445396146</v>
      </c>
      <c r="H58" s="31">
        <v>0.11563169164882227</v>
      </c>
      <c r="I58" s="32">
        <v>7292.4050632911394</v>
      </c>
      <c r="J58" s="32">
        <v>-7731.4814814814818</v>
      </c>
      <c r="K58" s="31">
        <v>7.2727272727272724E-2</v>
      </c>
      <c r="L58" s="31">
        <v>0.19914346895074947</v>
      </c>
      <c r="M58" s="31">
        <v>0.27837259100642398</v>
      </c>
      <c r="N58" s="31">
        <v>0.5376344086021505</v>
      </c>
      <c r="O58" s="31">
        <v>0.43076923076923079</v>
      </c>
      <c r="P58" s="31">
        <v>0.39873417721518989</v>
      </c>
    </row>
    <row r="59" spans="1:16" x14ac:dyDescent="0.4">
      <c r="A59" s="33">
        <v>56</v>
      </c>
      <c r="B59" s="30">
        <v>275.2999999999999</v>
      </c>
      <c r="C59" s="30">
        <v>4.9160714285714269</v>
      </c>
      <c r="D59" s="35">
        <v>1.8392857142857142</v>
      </c>
      <c r="E59" s="31">
        <v>0.39285714285714285</v>
      </c>
      <c r="F59" s="31">
        <v>0.23214285714285715</v>
      </c>
      <c r="G59" s="31">
        <v>0.33540372670807456</v>
      </c>
      <c r="H59" s="31">
        <v>0.12215320910973085</v>
      </c>
      <c r="I59" s="32">
        <v>7298.7654320987658</v>
      </c>
      <c r="J59" s="32">
        <v>-7877.9661016949149</v>
      </c>
      <c r="K59" s="31">
        <v>7.1428571428571425E-2</v>
      </c>
      <c r="L59" s="31">
        <v>0.20082815734989648</v>
      </c>
      <c r="M59" s="31">
        <v>0.2691511387163561</v>
      </c>
      <c r="N59" s="31">
        <v>0.53608247422680411</v>
      </c>
      <c r="O59" s="31">
        <v>0.43076923076923079</v>
      </c>
      <c r="P59" s="31">
        <v>0.39506172839506171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  <row r="54" spans="1:16" x14ac:dyDescent="0.4">
      <c r="A54" s="33">
        <v>51</v>
      </c>
      <c r="B54" s="30">
        <v>178.2</v>
      </c>
      <c r="C54" s="30">
        <v>3.4941176470588231</v>
      </c>
      <c r="D54" s="35">
        <v>1.9215686274509804</v>
      </c>
      <c r="E54" s="31">
        <v>0.37254901960784315</v>
      </c>
      <c r="F54" s="31">
        <v>0.29411764705882354</v>
      </c>
      <c r="G54" s="31">
        <v>0.30697674418604654</v>
      </c>
      <c r="H54" s="31">
        <v>0.1372093023255814</v>
      </c>
      <c r="I54" s="32">
        <v>7929.545454545455</v>
      </c>
      <c r="J54" s="32">
        <v>-6961.0169491525421</v>
      </c>
      <c r="K54" s="31">
        <v>3.9215686274509803E-2</v>
      </c>
      <c r="L54" s="31">
        <v>0.22790697674418606</v>
      </c>
      <c r="M54" s="31">
        <v>0.2255813953488372</v>
      </c>
      <c r="N54" s="31">
        <v>0.59183673469387754</v>
      </c>
      <c r="O54" s="31">
        <v>0.45360824742268041</v>
      </c>
      <c r="P54" s="31">
        <v>0.40151515151515149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  <row r="50" spans="1:16" x14ac:dyDescent="0.4">
      <c r="A50" s="33">
        <v>47</v>
      </c>
      <c r="B50" s="30">
        <v>-70.099999999999994</v>
      </c>
      <c r="C50" s="30">
        <v>-1.4914893617021276</v>
      </c>
      <c r="D50" s="35">
        <v>2.0425531914893615</v>
      </c>
      <c r="E50" s="31">
        <v>0.36170212765957449</v>
      </c>
      <c r="F50" s="31">
        <v>0.40425531914893614</v>
      </c>
      <c r="G50" s="31">
        <v>0.30048076923076922</v>
      </c>
      <c r="H50" s="31">
        <v>0.16105769230769232</v>
      </c>
      <c r="I50" s="32">
        <v>7409.6</v>
      </c>
      <c r="J50" s="32">
        <v>-8488.059701492537</v>
      </c>
      <c r="K50" s="31">
        <v>8.5106382978723402E-2</v>
      </c>
      <c r="L50" s="31">
        <v>0.25961538461538464</v>
      </c>
      <c r="M50" s="31">
        <v>0.30288461538461536</v>
      </c>
      <c r="N50" s="31">
        <v>0.44444444444444442</v>
      </c>
      <c r="O50" s="31">
        <v>0.41269841269841268</v>
      </c>
      <c r="P50" s="31">
        <v>0.46400000000000002</v>
      </c>
    </row>
    <row r="51" spans="1:16" x14ac:dyDescent="0.4">
      <c r="A51" s="33">
        <v>48</v>
      </c>
      <c r="B51" s="30">
        <v>-31.499999999999993</v>
      </c>
      <c r="C51" s="30">
        <v>-0.65624999999999989</v>
      </c>
      <c r="D51" s="35">
        <v>2.0208333333333335</v>
      </c>
      <c r="E51" s="31">
        <v>0.375</v>
      </c>
      <c r="F51" s="31">
        <v>0.39583333333333331</v>
      </c>
      <c r="G51" s="31">
        <v>0.30188679245283018</v>
      </c>
      <c r="H51" s="31">
        <v>0.15801886792452829</v>
      </c>
      <c r="I51" s="32">
        <v>7529.6875</v>
      </c>
      <c r="J51" s="32">
        <v>-8488.059701492537</v>
      </c>
      <c r="K51" s="31">
        <v>8.3333333333333329E-2</v>
      </c>
      <c r="L51" s="31">
        <v>0.2617924528301887</v>
      </c>
      <c r="M51" s="31">
        <v>0.29716981132075471</v>
      </c>
      <c r="N51" s="31">
        <v>0.45045045045045046</v>
      </c>
      <c r="O51" s="31">
        <v>0.41269841269841268</v>
      </c>
      <c r="P51" s="31">
        <v>0.46875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8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  <row r="80" spans="1:16" x14ac:dyDescent="0.4">
      <c r="A80" s="33">
        <v>77</v>
      </c>
      <c r="B80" s="30">
        <v>-113.6</v>
      </c>
      <c r="C80" s="30">
        <v>-1.4753246753246751</v>
      </c>
      <c r="D80" s="35">
        <v>2.0129870129870131</v>
      </c>
      <c r="E80" s="31">
        <v>0.32467532467532467</v>
      </c>
      <c r="F80" s="31">
        <v>0.33766233766233766</v>
      </c>
      <c r="G80" s="31">
        <v>0.26676384839650147</v>
      </c>
      <c r="H80" s="31">
        <v>0.19387755102040816</v>
      </c>
      <c r="I80" s="32">
        <v>9438.7978142076499</v>
      </c>
      <c r="J80" s="32">
        <v>-7840.6015037593988</v>
      </c>
      <c r="K80" s="31">
        <v>0.12987012987012986</v>
      </c>
      <c r="L80" s="31">
        <v>0.29008746355685133</v>
      </c>
      <c r="M80" s="31">
        <v>0.22303206997084549</v>
      </c>
      <c r="N80" s="31">
        <v>0.46733668341708545</v>
      </c>
      <c r="O80" s="31">
        <v>0.34640522875816993</v>
      </c>
      <c r="P80" s="31">
        <v>0.45901639344262296</v>
      </c>
    </row>
    <row r="81" spans="1:16" x14ac:dyDescent="0.4">
      <c r="A81" s="33">
        <v>78</v>
      </c>
      <c r="B81" s="30">
        <v>-103.89999999999999</v>
      </c>
      <c r="C81" s="30">
        <v>-1.332051282051282</v>
      </c>
      <c r="D81" s="35">
        <v>2.0128205128205128</v>
      </c>
      <c r="E81" s="31">
        <v>0.32051282051282054</v>
      </c>
      <c r="F81" s="31">
        <v>0.33333333333333331</v>
      </c>
      <c r="G81" s="31">
        <v>0.2665706051873199</v>
      </c>
      <c r="H81" s="31">
        <v>0.1930835734870317</v>
      </c>
      <c r="I81" s="32">
        <v>9488.1081081081084</v>
      </c>
      <c r="J81" s="32">
        <v>-7841.7910447761196</v>
      </c>
      <c r="K81" s="31">
        <v>0.12820512820512819</v>
      </c>
      <c r="L81" s="31">
        <v>0.29106628242074928</v>
      </c>
      <c r="M81" s="31">
        <v>0.22190201729106629</v>
      </c>
      <c r="N81" s="31">
        <v>0.46534653465346537</v>
      </c>
      <c r="O81" s="31">
        <v>0.34415584415584416</v>
      </c>
      <c r="P81" s="31">
        <v>0.45945945945945948</v>
      </c>
    </row>
    <row r="82" spans="1:16" x14ac:dyDescent="0.4">
      <c r="A82" s="33">
        <v>79</v>
      </c>
      <c r="B82" s="30">
        <v>-111.3</v>
      </c>
      <c r="C82" s="30">
        <v>-1.4088607594936708</v>
      </c>
      <c r="D82" s="35">
        <v>2.0126582278481013</v>
      </c>
      <c r="E82" s="31">
        <v>0.31645569620253167</v>
      </c>
      <c r="F82" s="31">
        <v>0.32911392405063289</v>
      </c>
      <c r="G82" s="31">
        <v>0.265625</v>
      </c>
      <c r="H82" s="31">
        <v>0.19318181818181818</v>
      </c>
      <c r="I82" s="32">
        <v>9514.9732620320847</v>
      </c>
      <c r="J82" s="32">
        <v>-7813.9705882352937</v>
      </c>
      <c r="K82" s="31">
        <v>0.12658227848101267</v>
      </c>
      <c r="L82" s="31">
        <v>0.28693181818181818</v>
      </c>
      <c r="M82" s="31">
        <v>0.22585227272727273</v>
      </c>
      <c r="N82" s="31">
        <v>0.46534653465346537</v>
      </c>
      <c r="O82" s="31">
        <v>0.33962264150943394</v>
      </c>
      <c r="P82" s="31">
        <v>0.45989304812834225</v>
      </c>
    </row>
    <row r="83" spans="1:16" x14ac:dyDescent="0.4">
      <c r="A83" s="33">
        <v>80</v>
      </c>
      <c r="B83" s="30">
        <v>-86.9</v>
      </c>
      <c r="C83" s="30">
        <v>-1.0862500000000002</v>
      </c>
      <c r="D83" s="35">
        <v>2</v>
      </c>
      <c r="E83" s="31">
        <v>0.32500000000000001</v>
      </c>
      <c r="F83" s="31">
        <v>0.32500000000000001</v>
      </c>
      <c r="G83" s="31">
        <v>0.26619718309859153</v>
      </c>
      <c r="H83" s="31">
        <v>0.19436619718309858</v>
      </c>
      <c r="I83" s="32">
        <v>9541.269841269841</v>
      </c>
      <c r="J83" s="32">
        <v>-7777.536231884058</v>
      </c>
      <c r="K83" s="31">
        <v>0.125</v>
      </c>
      <c r="L83" s="31">
        <v>0.28591549295774649</v>
      </c>
      <c r="M83" s="31">
        <v>0.22816901408450704</v>
      </c>
      <c r="N83" s="31">
        <v>0.46798029556650245</v>
      </c>
      <c r="O83" s="31">
        <v>0.33950617283950618</v>
      </c>
      <c r="P83" s="31">
        <v>0.46031746031746029</v>
      </c>
    </row>
    <row r="84" spans="1:16" x14ac:dyDescent="0.4">
      <c r="A84" s="33">
        <v>81</v>
      </c>
      <c r="B84" s="30">
        <v>-132.9</v>
      </c>
      <c r="C84" s="30">
        <v>-1.6407407407407408</v>
      </c>
      <c r="D84" s="35">
        <v>2.0123456790123457</v>
      </c>
      <c r="E84" s="31">
        <v>0.32098765432098764</v>
      </c>
      <c r="F84" s="31">
        <v>0.33333333333333331</v>
      </c>
      <c r="G84" s="31">
        <v>0.26490984743411927</v>
      </c>
      <c r="H84" s="31">
        <v>0.19694868238557559</v>
      </c>
      <c r="I84" s="32">
        <v>9472.2513089005242</v>
      </c>
      <c r="J84" s="32">
        <v>-7730.9859154929582</v>
      </c>
      <c r="K84" s="31">
        <v>0.13580246913580246</v>
      </c>
      <c r="L84" s="31">
        <v>0.2857142857142857</v>
      </c>
      <c r="M84" s="31">
        <v>0.22607489597780861</v>
      </c>
      <c r="N84" s="31">
        <v>0.46601941747572817</v>
      </c>
      <c r="O84" s="31">
        <v>0.34355828220858897</v>
      </c>
      <c r="P84" s="31">
        <v>0.45549738219895286</v>
      </c>
    </row>
    <row r="85" spans="1:16" x14ac:dyDescent="0.4">
      <c r="A85" s="33">
        <v>82</v>
      </c>
      <c r="B85" s="30">
        <v>-164</v>
      </c>
      <c r="C85" s="30">
        <v>-2</v>
      </c>
      <c r="D85" s="35">
        <v>2.024390243902439</v>
      </c>
      <c r="E85" s="31">
        <v>0.31707317073170732</v>
      </c>
      <c r="F85" s="31">
        <v>0.34146341463414637</v>
      </c>
      <c r="G85" s="31">
        <v>0.26409903713892707</v>
      </c>
      <c r="H85" s="31">
        <v>0.19944979367262725</v>
      </c>
      <c r="I85" s="32">
        <v>9443.2291666666661</v>
      </c>
      <c r="J85" s="32">
        <v>-7695.1724137931033</v>
      </c>
      <c r="K85" s="31">
        <v>0.13414634146341464</v>
      </c>
      <c r="L85" s="31">
        <v>0.28335625859697389</v>
      </c>
      <c r="M85" s="31">
        <v>0.22696011004126548</v>
      </c>
      <c r="N85" s="31">
        <v>0.46601941747572817</v>
      </c>
      <c r="O85" s="31">
        <v>0.34545454545454546</v>
      </c>
      <c r="P85" s="31">
        <v>0.453125</v>
      </c>
    </row>
    <row r="86" spans="1:16" x14ac:dyDescent="0.4">
      <c r="A86" s="33">
        <v>83</v>
      </c>
      <c r="B86" s="30">
        <v>-182.6</v>
      </c>
      <c r="C86" s="30">
        <v>-2.1999999999999997</v>
      </c>
      <c r="D86" s="35">
        <v>2.0240963855421685</v>
      </c>
      <c r="E86" s="31">
        <v>0.31325301204819278</v>
      </c>
      <c r="F86" s="31">
        <v>0.33734939759036142</v>
      </c>
      <c r="G86" s="31">
        <v>0.26244952893674295</v>
      </c>
      <c r="H86" s="31">
        <v>0.20053835800807537</v>
      </c>
      <c r="I86" s="32">
        <v>9418.461538461539</v>
      </c>
      <c r="J86" s="32">
        <v>-7719.4630872483222</v>
      </c>
      <c r="K86" s="31">
        <v>0.13253012048192772</v>
      </c>
      <c r="L86" s="31">
        <v>0.28129205921938089</v>
      </c>
      <c r="M86" s="31">
        <v>0.2234185733512786</v>
      </c>
      <c r="N86" s="31">
        <v>0.47368421052631576</v>
      </c>
      <c r="O86" s="31">
        <v>0.34337349397590361</v>
      </c>
      <c r="P86" s="31">
        <v>0.45128205128205129</v>
      </c>
    </row>
    <row r="87" spans="1:16" x14ac:dyDescent="0.4">
      <c r="A87" s="33">
        <v>84</v>
      </c>
      <c r="B87" s="30">
        <v>-180</v>
      </c>
      <c r="C87" s="30">
        <v>-2.1428571428571428</v>
      </c>
      <c r="D87" s="35">
        <v>2.0238095238095237</v>
      </c>
      <c r="E87" s="31">
        <v>0.30952380952380953</v>
      </c>
      <c r="F87" s="31">
        <v>0.33333333333333331</v>
      </c>
      <c r="G87" s="31">
        <v>0.26266666666666666</v>
      </c>
      <c r="H87" s="31">
        <v>0.20266666666666666</v>
      </c>
      <c r="I87" s="32">
        <v>9402.5380710659902</v>
      </c>
      <c r="J87" s="32">
        <v>-7679.605263157895</v>
      </c>
      <c r="K87" s="31">
        <v>0.13095238095238096</v>
      </c>
      <c r="L87" s="31">
        <v>0.28133333333333332</v>
      </c>
      <c r="M87" s="31">
        <v>0.22533333333333333</v>
      </c>
      <c r="N87" s="31">
        <v>0.47867298578199052</v>
      </c>
      <c r="O87" s="31">
        <v>0.33727810650887574</v>
      </c>
      <c r="P87" s="31">
        <v>0.45177664974619292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3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  <row r="123" spans="1:16" x14ac:dyDescent="0.4">
      <c r="A123" s="33">
        <v>120</v>
      </c>
      <c r="B123" s="30">
        <v>100.89999999999989</v>
      </c>
      <c r="C123" s="30">
        <v>0.84083333333333243</v>
      </c>
      <c r="D123" s="35">
        <v>2.0249999999999999</v>
      </c>
      <c r="E123" s="31">
        <v>0.33333333333333331</v>
      </c>
      <c r="F123" s="31">
        <v>0.35833333333333334</v>
      </c>
      <c r="G123" s="31">
        <v>0.3201189296333003</v>
      </c>
      <c r="H123" s="31">
        <v>0.17740336967294351</v>
      </c>
      <c r="I123" s="32">
        <v>8125.3869969040252</v>
      </c>
      <c r="J123" s="32">
        <v>-7568.1564245810059</v>
      </c>
      <c r="K123" s="31">
        <v>8.3333333333333329E-2</v>
      </c>
      <c r="L123" s="31">
        <v>0.24578790882061446</v>
      </c>
      <c r="M123" s="31">
        <v>0.20515361744301289</v>
      </c>
      <c r="N123" s="31">
        <v>0.57258064516129037</v>
      </c>
      <c r="O123" s="31">
        <v>0.46376811594202899</v>
      </c>
      <c r="P123" s="31">
        <v>0.46130030959752322</v>
      </c>
    </row>
    <row r="124" spans="1:16" x14ac:dyDescent="0.4">
      <c r="A124" s="33">
        <v>121</v>
      </c>
      <c r="B124" s="30">
        <v>52.599999999999895</v>
      </c>
      <c r="C124" s="30">
        <v>0.43471074380165203</v>
      </c>
      <c r="D124" s="35">
        <v>2.0330578512396693</v>
      </c>
      <c r="E124" s="31">
        <v>0.33057851239669422</v>
      </c>
      <c r="F124" s="31">
        <v>0.36363636363636365</v>
      </c>
      <c r="G124" s="31">
        <v>0.31760078662733532</v>
      </c>
      <c r="H124" s="31">
        <v>0.17699115044247787</v>
      </c>
      <c r="I124" s="32">
        <v>8125.3869969040252</v>
      </c>
      <c r="J124" s="32">
        <v>-7592.7777777777774</v>
      </c>
      <c r="K124" s="31">
        <v>9.0909090909090912E-2</v>
      </c>
      <c r="L124" s="31">
        <v>0.24582104228121926</v>
      </c>
      <c r="M124" s="31">
        <v>0.20353982300884957</v>
      </c>
      <c r="N124" s="31">
        <v>0.56799999999999995</v>
      </c>
      <c r="O124" s="31">
        <v>0.46376811594202899</v>
      </c>
      <c r="P124" s="31">
        <v>0.46130030959752322</v>
      </c>
    </row>
    <row r="125" spans="1:16" x14ac:dyDescent="0.4">
      <c r="A125" s="33">
        <v>122</v>
      </c>
      <c r="B125" s="30">
        <v>23.499999999999893</v>
      </c>
      <c r="C125" s="30">
        <v>0.19262295081967126</v>
      </c>
      <c r="D125" s="35">
        <v>2.040983606557377</v>
      </c>
      <c r="E125" s="31">
        <v>0.32786885245901637</v>
      </c>
      <c r="F125" s="31">
        <v>0.36885245901639346</v>
      </c>
      <c r="G125" s="31">
        <v>0.31548198636806229</v>
      </c>
      <c r="H125" s="31">
        <v>0.17624148003894841</v>
      </c>
      <c r="I125" s="32">
        <v>8125</v>
      </c>
      <c r="J125" s="32">
        <v>-7565.1933701657463</v>
      </c>
      <c r="K125" s="31">
        <v>9.0163934426229511E-2</v>
      </c>
      <c r="L125" s="31">
        <v>0.24732229795520935</v>
      </c>
      <c r="M125" s="31">
        <v>0.20155793573515093</v>
      </c>
      <c r="N125" s="31">
        <v>0.56299212598425197</v>
      </c>
      <c r="O125" s="31">
        <v>0.46376811594202899</v>
      </c>
      <c r="P125" s="31">
        <v>0.45987654320987653</v>
      </c>
    </row>
    <row r="126" spans="1:16" x14ac:dyDescent="0.4">
      <c r="A126" s="33">
        <v>123</v>
      </c>
      <c r="B126" s="30">
        <v>-3.3000000000001073</v>
      </c>
      <c r="C126" s="30">
        <v>-2.6829268292683801E-2</v>
      </c>
      <c r="D126" s="35">
        <v>2.0487804878048781</v>
      </c>
      <c r="E126" s="31">
        <v>0.32520325203252032</v>
      </c>
      <c r="F126" s="31">
        <v>0.37398373983739835</v>
      </c>
      <c r="G126" s="31">
        <v>0.31558567279767669</v>
      </c>
      <c r="H126" s="31">
        <v>0.17618586640851888</v>
      </c>
      <c r="I126" s="32">
        <v>8091.1042944785277</v>
      </c>
      <c r="J126" s="32">
        <v>-7611.5384615384619</v>
      </c>
      <c r="K126" s="31">
        <v>8.943089430894309E-2</v>
      </c>
      <c r="L126" s="31">
        <v>0.24878993223620524</v>
      </c>
      <c r="M126" s="31">
        <v>0.20038722168441434</v>
      </c>
      <c r="N126" s="31">
        <v>0.56420233463035019</v>
      </c>
      <c r="O126" s="31">
        <v>0.46376811594202899</v>
      </c>
      <c r="P126" s="31">
        <v>0.45705521472392641</v>
      </c>
    </row>
    <row r="127" spans="1:16" x14ac:dyDescent="0.4">
      <c r="A127" s="33">
        <v>124</v>
      </c>
      <c r="B127" s="30">
        <v>36.999999999999886</v>
      </c>
      <c r="C127" s="30">
        <v>0.29838709677419262</v>
      </c>
      <c r="D127" s="35">
        <v>2.0403225806451615</v>
      </c>
      <c r="E127" s="31">
        <v>0.33064516129032256</v>
      </c>
      <c r="F127" s="31">
        <v>0.37096774193548387</v>
      </c>
      <c r="G127" s="31">
        <v>0.31513409961685823</v>
      </c>
      <c r="H127" s="31">
        <v>0.17624521072796934</v>
      </c>
      <c r="I127" s="32">
        <v>8151.0638297872338</v>
      </c>
      <c r="J127" s="32">
        <v>-7560.869565217391</v>
      </c>
      <c r="K127" s="31">
        <v>8.8709677419354843E-2</v>
      </c>
      <c r="L127" s="31">
        <v>0.24904214559386972</v>
      </c>
      <c r="M127" s="31">
        <v>0.20019157088122605</v>
      </c>
      <c r="N127" s="31">
        <v>0.56153846153846154</v>
      </c>
      <c r="O127" s="31">
        <v>0.46411483253588515</v>
      </c>
      <c r="P127" s="31">
        <v>0.45896656534954405</v>
      </c>
    </row>
    <row r="128" spans="1:16" x14ac:dyDescent="0.4">
      <c r="A128" s="33">
        <v>125</v>
      </c>
      <c r="B128" s="30">
        <v>67.099999999999881</v>
      </c>
      <c r="C128" s="30">
        <v>0.53679999999999906</v>
      </c>
      <c r="D128" s="35">
        <v>2.032</v>
      </c>
      <c r="E128" s="31">
        <v>0.33600000000000002</v>
      </c>
      <c r="F128" s="31">
        <v>0.36799999999999999</v>
      </c>
      <c r="G128" s="31">
        <v>0.31523809523809526</v>
      </c>
      <c r="H128" s="31">
        <v>0.1761904761904762</v>
      </c>
      <c r="I128" s="32">
        <v>8162.2356495468275</v>
      </c>
      <c r="J128" s="32">
        <v>-7541.0810810810808</v>
      </c>
      <c r="K128" s="31">
        <v>8.7999999999999995E-2</v>
      </c>
      <c r="L128" s="31">
        <v>0.24857142857142858</v>
      </c>
      <c r="M128" s="31">
        <v>0.20095238095238097</v>
      </c>
      <c r="N128" s="31">
        <v>0.56321839080459768</v>
      </c>
      <c r="O128" s="31">
        <v>0.46445497630331756</v>
      </c>
      <c r="P128" s="31">
        <v>0.45921450151057402</v>
      </c>
    </row>
    <row r="129" spans="1:16" x14ac:dyDescent="0.4">
      <c r="A129" s="33">
        <v>126</v>
      </c>
      <c r="B129" s="30">
        <v>117.49999999999989</v>
      </c>
      <c r="C129" s="30">
        <v>0.93253968253968167</v>
      </c>
      <c r="D129" s="35">
        <v>2.0238095238095237</v>
      </c>
      <c r="E129" s="31">
        <v>0.34126984126984128</v>
      </c>
      <c r="F129" s="31">
        <v>0.36507936507936506</v>
      </c>
      <c r="G129" s="31">
        <v>0.31613508442776733</v>
      </c>
      <c r="H129" s="31">
        <v>0.17354596622889307</v>
      </c>
      <c r="I129" s="32">
        <v>8162.9080118694365</v>
      </c>
      <c r="J129" s="32">
        <v>-7541.0810810810808</v>
      </c>
      <c r="K129" s="31">
        <v>8.7301587301587297E-2</v>
      </c>
      <c r="L129" s="31">
        <v>0.24765478424015008</v>
      </c>
      <c r="M129" s="31">
        <v>0.19981238273921201</v>
      </c>
      <c r="N129" s="31">
        <v>0.56439393939393945</v>
      </c>
      <c r="O129" s="31">
        <v>0.46478873239436619</v>
      </c>
      <c r="P129" s="31">
        <v>0.45697329376854601</v>
      </c>
    </row>
    <row r="130" spans="1:16" x14ac:dyDescent="0.4">
      <c r="A130" s="33">
        <v>127</v>
      </c>
      <c r="B130" s="30">
        <v>148.2999999999999</v>
      </c>
      <c r="C130" s="30">
        <v>1.1677165354330701</v>
      </c>
      <c r="D130" s="35">
        <v>2.015748031496063</v>
      </c>
      <c r="E130" s="31">
        <v>0.34645669291338582</v>
      </c>
      <c r="F130" s="31">
        <v>0.36220472440944884</v>
      </c>
      <c r="G130" s="31">
        <v>0.3168685927306617</v>
      </c>
      <c r="H130" s="31">
        <v>0.17241379310344829</v>
      </c>
      <c r="I130" s="32">
        <v>8165</v>
      </c>
      <c r="J130" s="32">
        <v>-7541.0810810810808</v>
      </c>
      <c r="K130" s="31">
        <v>8.6614173228346455E-2</v>
      </c>
      <c r="L130" s="31">
        <v>0.24790307548928239</v>
      </c>
      <c r="M130" s="31">
        <v>0.20037278657968313</v>
      </c>
      <c r="N130" s="31">
        <v>0.56390977443609025</v>
      </c>
      <c r="O130" s="31">
        <v>0.4697674418604651</v>
      </c>
      <c r="P130" s="31">
        <v>0.45294117647058824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  <row r="147" spans="1:16" x14ac:dyDescent="0.4">
      <c r="A147" s="33">
        <v>144</v>
      </c>
      <c r="B147" s="30">
        <v>4.7961634663806763E-14</v>
      </c>
      <c r="C147" s="30">
        <v>1.1102230246251565E-16</v>
      </c>
      <c r="D147" s="35">
        <v>1.9976851851851851</v>
      </c>
      <c r="E147" s="31">
        <v>0.33564814814814814</v>
      </c>
      <c r="F147" s="31">
        <v>0.33333333333333331</v>
      </c>
      <c r="G147" s="31">
        <v>0.29399083804904336</v>
      </c>
      <c r="H147" s="31">
        <v>0.16302883319859876</v>
      </c>
      <c r="I147" s="32">
        <v>8140.0549954170483</v>
      </c>
      <c r="J147" s="32">
        <v>-7677.6859504132235</v>
      </c>
      <c r="K147" s="31">
        <v>8.7962962962962965E-2</v>
      </c>
      <c r="L147" s="31">
        <v>0.24656426839126919</v>
      </c>
      <c r="M147" s="31">
        <v>0.2255456750202102</v>
      </c>
      <c r="N147" s="31">
        <v>0.52240437158469943</v>
      </c>
      <c r="O147" s="31">
        <v>0.4050179211469534</v>
      </c>
      <c r="P147" s="31">
        <v>0.43904674610449129</v>
      </c>
    </row>
    <row r="148" spans="1:16" x14ac:dyDescent="0.4">
      <c r="A148" s="33">
        <v>145</v>
      </c>
      <c r="B148" s="30">
        <v>5.3290705182007514E-14</v>
      </c>
      <c r="C148" s="30">
        <v>1.2250736823450003E-16</v>
      </c>
      <c r="D148" s="35">
        <v>1.9977011494252874</v>
      </c>
      <c r="E148" s="31">
        <v>0.335632183908046</v>
      </c>
      <c r="F148" s="31">
        <v>0.33333333333333331</v>
      </c>
      <c r="G148" s="31">
        <v>0.29344042838018741</v>
      </c>
      <c r="H148" s="31">
        <v>0.16251673360107094</v>
      </c>
      <c r="I148" s="32">
        <v>8162.7737226277368</v>
      </c>
      <c r="J148" s="32">
        <v>-7685.3377265238878</v>
      </c>
      <c r="K148" s="31">
        <v>8.9655172413793102E-2</v>
      </c>
      <c r="L148" s="31">
        <v>0.24712182061579652</v>
      </c>
      <c r="M148" s="31">
        <v>0.22436412315930387</v>
      </c>
      <c r="N148" s="31">
        <v>0.52112676056338025</v>
      </c>
      <c r="O148" s="31">
        <v>0.40453460620525061</v>
      </c>
      <c r="P148" s="31">
        <v>0.43978102189781021</v>
      </c>
    </row>
    <row r="149" spans="1:16" x14ac:dyDescent="0.4">
      <c r="A149" s="33">
        <v>146</v>
      </c>
      <c r="B149" s="30">
        <v>5.5067062021407764E-14</v>
      </c>
      <c r="C149" s="30">
        <v>1.2572388589362503E-16</v>
      </c>
      <c r="D149" s="35">
        <v>1.9977168949771689</v>
      </c>
      <c r="E149" s="31">
        <v>0.33561643835616439</v>
      </c>
      <c r="F149" s="31">
        <v>0.33333333333333331</v>
      </c>
      <c r="G149" s="31">
        <v>0.29322709163346611</v>
      </c>
      <c r="H149" s="31">
        <v>0.16228419654714477</v>
      </c>
      <c r="I149" s="32">
        <v>8172.916666666667</v>
      </c>
      <c r="J149" s="32">
        <v>-7684.9427168576103</v>
      </c>
      <c r="K149" s="31">
        <v>8.9041095890410954E-2</v>
      </c>
      <c r="L149" s="31">
        <v>0.24674634794156705</v>
      </c>
      <c r="M149" s="31">
        <v>0.22470119521912352</v>
      </c>
      <c r="N149" s="31">
        <v>0.5209903121636168</v>
      </c>
      <c r="O149" s="31">
        <v>0.40307328605200948</v>
      </c>
      <c r="P149" s="31">
        <v>0.44021739130434784</v>
      </c>
    </row>
    <row r="150" spans="1:16" x14ac:dyDescent="0.4">
      <c r="A150" s="33">
        <v>147</v>
      </c>
      <c r="B150" s="30">
        <v>4.9737991503207013E-14</v>
      </c>
      <c r="C150" s="30">
        <v>1.1278456123176193E-16</v>
      </c>
      <c r="D150" s="35">
        <v>1.9977324263038549</v>
      </c>
      <c r="E150" s="31">
        <v>0.33560090702947848</v>
      </c>
      <c r="F150" s="31">
        <v>0.33333333333333331</v>
      </c>
      <c r="G150" s="31">
        <v>0.29341792228390168</v>
      </c>
      <c r="H150" s="31">
        <v>0.16283372984403913</v>
      </c>
      <c r="I150" s="32">
        <v>8176.666666666667</v>
      </c>
      <c r="J150" s="32">
        <v>-7695.9415584415583</v>
      </c>
      <c r="K150" s="31">
        <v>8.8435374149659865E-2</v>
      </c>
      <c r="L150" s="31">
        <v>0.24662965900079303</v>
      </c>
      <c r="M150" s="31">
        <v>0.22495374041765795</v>
      </c>
      <c r="N150" s="31">
        <v>0.52197213290460875</v>
      </c>
      <c r="O150" s="31">
        <v>0.40305522914218567</v>
      </c>
      <c r="P150" s="31">
        <v>0.43873873873873875</v>
      </c>
    </row>
    <row r="151" spans="1:16" x14ac:dyDescent="0.4">
      <c r="A151" s="33">
        <v>148</v>
      </c>
      <c r="B151" s="30">
        <v>4.9737991503207013E-14</v>
      </c>
      <c r="C151" s="30">
        <v>1.1202250338560137E-16</v>
      </c>
      <c r="D151" s="35">
        <v>1.9977477477477477</v>
      </c>
      <c r="E151" s="31">
        <v>0.3355855855855856</v>
      </c>
      <c r="F151" s="31">
        <v>0.33333333333333331</v>
      </c>
      <c r="G151" s="31">
        <v>0.29350104821802936</v>
      </c>
      <c r="H151" s="31">
        <v>0.16299790356394131</v>
      </c>
      <c r="I151" s="32">
        <v>8172.5</v>
      </c>
      <c r="J151" s="32">
        <v>-7670.5787781350482</v>
      </c>
      <c r="K151" s="31">
        <v>9.0090090090090086E-2</v>
      </c>
      <c r="L151" s="31">
        <v>0.24685534591194969</v>
      </c>
      <c r="M151" s="31">
        <v>0.22484276729559749</v>
      </c>
      <c r="N151" s="31">
        <v>0.52016985138004246</v>
      </c>
      <c r="O151" s="31">
        <v>0.40675990675990675</v>
      </c>
      <c r="P151" s="31">
        <v>0.43839285714285714</v>
      </c>
    </row>
    <row r="152" spans="1:16" x14ac:dyDescent="0.4">
      <c r="A152" s="33">
        <v>149</v>
      </c>
      <c r="B152" s="30">
        <v>4.9737991503207013E-14</v>
      </c>
      <c r="C152" s="30">
        <v>1.1127067450381882E-16</v>
      </c>
      <c r="D152" s="35">
        <v>1.9977628635346756</v>
      </c>
      <c r="E152" s="31">
        <v>0.33557046979865773</v>
      </c>
      <c r="F152" s="31">
        <v>0.33333333333333331</v>
      </c>
      <c r="G152" s="31">
        <v>0.29342723004694837</v>
      </c>
      <c r="H152" s="31">
        <v>0.16327595200834638</v>
      </c>
      <c r="I152" s="32">
        <v>8166.3111111111111</v>
      </c>
      <c r="J152" s="32">
        <v>-7656.5495207667727</v>
      </c>
      <c r="K152" s="31">
        <v>8.9485458612975396E-2</v>
      </c>
      <c r="L152" s="31">
        <v>0.24621804903495045</v>
      </c>
      <c r="M152" s="31">
        <v>0.22535211267605634</v>
      </c>
      <c r="N152" s="31">
        <v>0.5201271186440678</v>
      </c>
      <c r="O152" s="31">
        <v>0.40856481481481483</v>
      </c>
      <c r="P152" s="31">
        <v>0.43733333333333335</v>
      </c>
    </row>
    <row r="153" spans="1:16" x14ac:dyDescent="0.4">
      <c r="A153" s="33">
        <v>150</v>
      </c>
      <c r="B153" s="30">
        <v>4.6185277824406512E-14</v>
      </c>
      <c r="C153" s="30">
        <v>1.0263395072090336E-16</v>
      </c>
      <c r="D153" s="35">
        <v>1.9977777777777779</v>
      </c>
      <c r="E153" s="31">
        <v>0.33555555555555555</v>
      </c>
      <c r="F153" s="31">
        <v>0.33333333333333331</v>
      </c>
      <c r="G153" s="31">
        <v>0.29314786192684184</v>
      </c>
      <c r="H153" s="31">
        <v>0.16357547655847501</v>
      </c>
      <c r="I153" s="32">
        <v>8163.4446397188049</v>
      </c>
      <c r="J153" s="32">
        <v>-7676.6929133858266</v>
      </c>
      <c r="K153" s="31">
        <v>8.8888888888888892E-2</v>
      </c>
      <c r="L153" s="31">
        <v>0.24574961360123648</v>
      </c>
      <c r="M153" s="31">
        <v>0.223338485316847</v>
      </c>
      <c r="N153" s="31">
        <v>0.5220125786163522</v>
      </c>
      <c r="O153" s="31">
        <v>0.40830449826989618</v>
      </c>
      <c r="P153" s="31">
        <v>0.43585237258347981</v>
      </c>
    </row>
    <row r="154" spans="1:16" x14ac:dyDescent="0.4">
      <c r="A154" s="33">
        <v>151</v>
      </c>
      <c r="B154" s="30">
        <v>4.9737991503207013E-14</v>
      </c>
      <c r="C154" s="30">
        <v>1.0979689073555633E-16</v>
      </c>
      <c r="D154" s="35">
        <v>1.9977924944812362</v>
      </c>
      <c r="E154" s="31">
        <v>0.33554083885209712</v>
      </c>
      <c r="F154" s="31">
        <v>0.33333333333333331</v>
      </c>
      <c r="G154" s="31">
        <v>0.29310786574429926</v>
      </c>
      <c r="H154" s="31">
        <v>0.16397642838841917</v>
      </c>
      <c r="I154" s="32">
        <v>8159.7902097902097</v>
      </c>
      <c r="J154" s="32">
        <v>-7674.6875</v>
      </c>
      <c r="K154" s="31">
        <v>8.8300220750551883E-2</v>
      </c>
      <c r="L154" s="31">
        <v>0.24596464258262873</v>
      </c>
      <c r="M154" s="31">
        <v>0.22367409684857803</v>
      </c>
      <c r="N154" s="31">
        <v>0.5229166666666667</v>
      </c>
      <c r="O154" s="31">
        <v>0.40778923253150057</v>
      </c>
      <c r="P154" s="31">
        <v>0.43444055944055943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2021-01-29T11:27:58Z</dcterms:modified>
</cp:coreProperties>
</file>