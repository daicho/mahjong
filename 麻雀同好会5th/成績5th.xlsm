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143C63A-72A2-4617-B4C6-865D30314098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6" i="6854"/>
  <c r="P16" i="6866" l="1"/>
  <c r="P15" i="6850"/>
  <c r="P21" i="6858" l="1"/>
  <c r="P19" i="6854"/>
  <c r="P15" i="6860" l="1"/>
  <c r="P18" i="6860"/>
  <c r="P17" i="6866"/>
  <c r="P17" i="6868"/>
  <c r="P17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9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7" i="6852" l="1"/>
  <c r="P19" i="6860"/>
  <c r="P16" i="6858"/>
  <c r="P16" i="6860"/>
  <c r="P22" i="6860"/>
  <c r="P18" i="6862"/>
  <c r="P19" i="6858"/>
  <c r="P20" i="6862"/>
  <c r="P16" i="6852"/>
  <c r="P15" i="6852"/>
  <c r="P17" i="6864" l="1"/>
  <c r="P16" i="6862"/>
  <c r="P16" i="6850"/>
  <c r="P19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8" i="6858"/>
  <c r="P16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9" i="6862"/>
  <c r="H19" i="6862"/>
  <c r="H10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7" i="6860"/>
  <c r="C35" i="6860"/>
  <c r="B30" i="6860"/>
  <c r="C24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39" i="6860" l="1"/>
  <c r="H46" i="6860"/>
  <c r="B14" i="6860"/>
  <c r="H23" i="6860"/>
  <c r="H11" i="6860"/>
  <c r="C19" i="6860"/>
  <c r="H6" i="6860"/>
  <c r="H14" i="6860"/>
  <c r="C47" i="6860"/>
  <c r="H12" i="6860"/>
  <c r="H42" i="6860"/>
  <c r="C40" i="6860"/>
  <c r="H15" i="6860"/>
  <c r="H49" i="6860"/>
  <c r="C45" i="6860"/>
  <c r="C48" i="6860"/>
  <c r="C20" i="6860"/>
  <c r="H2" i="6860"/>
  <c r="H28" i="6860"/>
  <c r="H37" i="6860"/>
  <c r="H21" i="6860"/>
  <c r="H19" i="6860"/>
  <c r="H25" i="6860"/>
  <c r="H16" i="6860"/>
  <c r="B28" i="6860"/>
  <c r="H38" i="6860"/>
  <c r="H44" i="6860"/>
  <c r="C49" i="6860"/>
  <c r="C25" i="6860"/>
  <c r="H31" i="6860"/>
  <c r="H10" i="6860"/>
  <c r="H17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3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20" i="6850" l="1"/>
  <c r="P18" i="6850"/>
  <c r="P20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20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4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5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5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19" i="6852"/>
  <c r="C35" i="6852"/>
  <c r="B30" i="6852"/>
  <c r="C21" i="6852"/>
  <c r="B20" i="6852"/>
  <c r="H15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1" i="6850"/>
  <c r="P17" i="6850"/>
  <c r="C35" i="6850"/>
  <c r="B30" i="6850"/>
  <c r="C21" i="6850"/>
  <c r="B20" i="6850"/>
  <c r="H14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18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6" i="6854"/>
  <c r="H12" i="6854"/>
  <c r="C20" i="6854"/>
  <c r="H15" i="6854"/>
  <c r="H16" i="6854"/>
  <c r="H37" i="6854"/>
  <c r="C41" i="6854"/>
  <c r="H46" i="6854"/>
  <c r="H52" i="6854"/>
  <c r="H26" i="6854"/>
  <c r="C25" i="6854"/>
  <c r="C37" i="6854"/>
  <c r="H42" i="6854"/>
  <c r="H47" i="6854"/>
  <c r="H19" i="6854"/>
  <c r="H22" i="6854"/>
  <c r="H29" i="6854"/>
  <c r="H31" i="6854"/>
  <c r="H38" i="6854"/>
  <c r="H43" i="6854"/>
  <c r="C47" i="6854"/>
  <c r="C24" i="6854"/>
  <c r="H41" i="6854"/>
  <c r="H21" i="6854"/>
  <c r="H7" i="6854"/>
  <c r="C26" i="6854"/>
  <c r="C43" i="6854"/>
  <c r="H4" i="6854"/>
  <c r="H23" i="6854"/>
  <c r="C22" i="6854"/>
  <c r="H18" i="6854"/>
  <c r="H34" i="6854"/>
  <c r="C39" i="6854"/>
  <c r="H44" i="6854"/>
  <c r="C48" i="6854"/>
  <c r="H2" i="6854"/>
  <c r="H36" i="6854"/>
  <c r="C45" i="6854"/>
  <c r="H3" i="6854"/>
  <c r="H13" i="6854"/>
  <c r="H9" i="6854"/>
  <c r="H25" i="6854"/>
  <c r="H14" i="6854"/>
  <c r="H32" i="6854"/>
  <c r="H39" i="6854"/>
  <c r="H48" i="6854"/>
  <c r="H5" i="6854"/>
  <c r="H11" i="6854"/>
  <c r="H20" i="6854"/>
  <c r="H27" i="6854"/>
  <c r="B27" i="6854"/>
  <c r="H35" i="6854"/>
  <c r="H40" i="6854"/>
  <c r="C44" i="6854"/>
  <c r="H49" i="6854"/>
  <c r="H10" i="6854"/>
  <c r="H24" i="6854"/>
  <c r="H17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7" i="6852"/>
  <c r="H42" i="6852"/>
  <c r="H48" i="6852"/>
  <c r="H18" i="6852"/>
  <c r="H14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6" i="6852"/>
  <c r="H25" i="6852"/>
  <c r="C22" i="6852"/>
  <c r="H20" i="6852"/>
  <c r="H35" i="6852"/>
  <c r="C39" i="6852"/>
  <c r="C44" i="6852"/>
  <c r="C49" i="6852"/>
  <c r="C24" i="6852"/>
  <c r="H31" i="6852"/>
  <c r="H27" i="6852"/>
  <c r="H40" i="6852"/>
  <c r="H5" i="6852"/>
  <c r="H28" i="6852"/>
  <c r="B27" i="6852"/>
  <c r="H36" i="6852"/>
  <c r="H41" i="6852"/>
  <c r="H46" i="6852"/>
  <c r="H4" i="6852"/>
  <c r="H3" i="6852"/>
  <c r="C41" i="6852"/>
  <c r="H2" i="6852"/>
  <c r="H13" i="6852"/>
  <c r="H45" i="6852"/>
  <c r="H6" i="6852"/>
  <c r="H17" i="6852"/>
  <c r="H22" i="6852"/>
  <c r="H10" i="6852"/>
  <c r="H11" i="6852"/>
  <c r="C23" i="6852"/>
  <c r="B28" i="6852"/>
  <c r="C40" i="6852"/>
  <c r="C45" i="6852"/>
  <c r="H52" i="6852"/>
  <c r="H43" i="6852"/>
  <c r="H47" i="6852"/>
  <c r="H51" i="6852"/>
  <c r="H19" i="6852"/>
  <c r="H8" i="6852"/>
  <c r="H34" i="6852"/>
  <c r="C38" i="6852"/>
  <c r="C42" i="6852"/>
  <c r="C46" i="6852"/>
  <c r="C19" i="6848"/>
  <c r="H15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3" i="6850"/>
  <c r="C45" i="6850"/>
  <c r="H28" i="6850"/>
  <c r="H24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2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1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5" i="6848"/>
  <c r="B28" i="6848"/>
  <c r="H36" i="6848"/>
  <c r="H41" i="6848"/>
  <c r="H44" i="6848"/>
  <c r="H48" i="6848"/>
  <c r="H5" i="6848"/>
  <c r="H30" i="6848"/>
  <c r="H13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4" i="6848"/>
  <c r="H32" i="6848"/>
  <c r="H17" i="6848"/>
  <c r="H38" i="6848"/>
  <c r="C40" i="6848"/>
  <c r="C44" i="6848"/>
  <c r="C48" i="6848"/>
  <c r="H4" i="6848"/>
  <c r="H23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4" i="6848"/>
  <c r="C37" i="6848"/>
  <c r="C41" i="6848"/>
  <c r="C45" i="6848"/>
  <c r="C49" i="6848"/>
  <c r="H11" i="6848"/>
  <c r="H16" i="6848"/>
  <c r="H15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<sst xmlns="http://schemas.openxmlformats.org/spreadsheetml/2006/main" count="2928" uniqueCount="238">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</sst>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全体!$L$2:$L$182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-50</c:v>
                </c:pt>
                <c:pt idx="1">
                  <c:v>51.724137931034484</c:v>
                </c:pt>
                <c:pt idx="2">
                  <c:v>-28.248587570621471</c:v>
                </c:pt>
                <c:pt idx="3">
                  <c:v>30.864197530864196</c:v>
                </c:pt>
                <c:pt idx="4">
                  <c:v>-20.833333333333332</c:v>
                </c:pt>
                <c:pt idx="5">
                  <c:v>24.390243902439025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37</c:v>
                </c:pt>
                <c:pt idx="1">
                  <c:v>95</c:v>
                </c:pt>
                <c:pt idx="2">
                  <c:v>87</c:v>
                </c:pt>
                <c:pt idx="3">
                  <c:v>74</c:v>
                </c:pt>
                <c:pt idx="4">
                  <c:v>57</c:v>
                </c:pt>
                <c:pt idx="5">
                  <c:v>40</c:v>
                </c:pt>
                <c:pt idx="6">
                  <c:v>25</c:v>
                </c:pt>
                <c:pt idx="7">
                  <c:v>13</c:v>
                </c:pt>
                <c:pt idx="8">
                  <c:v>10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全体!$M$2:$M$182</c:f>
              <c:numCache>
                <c:formatCode>0</c:formatCode>
                <c:ptCount val="18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だいち!$L$2:$L$50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1514.5833333333333</c:v>
                </c:pt>
                <c:pt idx="1">
                  <c:v>-1308.695652173913</c:v>
                </c:pt>
                <c:pt idx="2">
                  <c:v>-240.42553191489361</c:v>
                </c:pt>
                <c:pt idx="3">
                  <c:v>1270.4545454545455</c:v>
                </c:pt>
                <c:pt idx="4">
                  <c:v>756.41025641025647</c:v>
                </c:pt>
                <c:pt idx="5">
                  <c:v>-956.25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16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だいち!$M$2:$M$50</c:f>
              <c:numCache>
                <c:formatCode>0</c:formatCode>
                <c:ptCount val="4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れんたろう!$L$2:$L$21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2342.1052631578946</c:v>
                </c:pt>
                <c:pt idx="1">
                  <c:v>-1666.6666666666667</c:v>
                </c:pt>
                <c:pt idx="2">
                  <c:v>-1755.5555555555557</c:v>
                </c:pt>
                <c:pt idx="3">
                  <c:v>1017.6470588235294</c:v>
                </c:pt>
                <c:pt idx="4">
                  <c:v>-2700</c:v>
                </c:pt>
                <c:pt idx="5">
                  <c:v>-118.18181818181819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れんたろう!$M$2:$M$21</c:f>
              <c:numCache>
                <c:formatCode>0</c:formatCode>
                <c:ptCount val="2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-1414.2857142857142</c:v>
                </c:pt>
                <c:pt idx="1">
                  <c:v>923.80952380952385</c:v>
                </c:pt>
                <c:pt idx="2">
                  <c:v>1314.2857142857142</c:v>
                </c:pt>
                <c:pt idx="3">
                  <c:v>923.80952380952385</c:v>
                </c:pt>
                <c:pt idx="4">
                  <c:v>-2428.5714285714284</c:v>
                </c:pt>
                <c:pt idx="5">
                  <c:v>1587.5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7</c:v>
                </c:pt>
                <c:pt idx="3">
                  <c:v>11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たかの!$M$2:$M$23</c:f>
              <c:numCache>
                <c:formatCode>0</c:formatCode>
                <c:ptCount val="22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-862.5</c:v>
                </c:pt>
                <c:pt idx="1">
                  <c:v>833.33333333333337</c:v>
                </c:pt>
                <c:pt idx="2">
                  <c:v>2129.1666666666665</c:v>
                </c:pt>
                <c:pt idx="3">
                  <c:v>-442.85714285714283</c:v>
                </c:pt>
                <c:pt idx="4">
                  <c:v>2564.705882352941</c:v>
                </c:pt>
                <c:pt idx="5">
                  <c:v>1005.8823529411765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10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いちかわ!$M$2:$M$26</c:f>
              <c:numCache>
                <c:formatCode>0</c:formatCode>
                <c:ptCount val="2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420</c:v>
                </c:pt>
                <c:pt idx="1">
                  <c:v>1910.7142857142858</c:v>
                </c:pt>
                <c:pt idx="2">
                  <c:v>455.17241379310343</c:v>
                </c:pt>
                <c:pt idx="3">
                  <c:v>-634.61538461538464</c:v>
                </c:pt>
                <c:pt idx="4">
                  <c:v>1891.6666666666667</c:v>
                </c:pt>
                <c:pt idx="5">
                  <c:v>-90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</c:v>
                </c:pt>
                <c:pt idx="1">
                  <c:v>21</c:v>
                </c:pt>
                <c:pt idx="2">
                  <c:v>20</c:v>
                </c:pt>
                <c:pt idx="3">
                  <c:v>15</c:v>
                </c:pt>
                <c:pt idx="4">
                  <c:v>11</c:v>
                </c:pt>
                <c:pt idx="5">
                  <c:v>2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ただ!$M$2:$M$32</c:f>
              <c:numCache>
                <c:formatCode>0</c:formatCode>
                <c:ptCount val="31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-1568.75</c:v>
                </c:pt>
                <c:pt idx="1">
                  <c:v>-1600</c:v>
                </c:pt>
                <c:pt idx="2">
                  <c:v>-4525</c:v>
                </c:pt>
                <c:pt idx="3">
                  <c:v>-406.66666666666669</c:v>
                </c:pt>
                <c:pt idx="4">
                  <c:v>-283.33333333333331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たか!$M$2:$M$18</c:f>
              <c:numCache>
                <c:formatCode>0</c:formatCode>
                <c:ptCount val="17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たかの2!$B$3:$B$24</c:f>
              <c:numCache>
                <c:formatCode>\+0.0;\-0.0;\±0</c:formatCode>
                <c:ptCount val="22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たかの2!$C$3:$C$24</c:f>
              <c:numCache>
                <c:formatCode>\+0.0;\-0.0;\±0</c:formatCode>
                <c:ptCount val="22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894919286223335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たかの2!$D$3:$D$24</c:f>
              <c:numCache>
                <c:formatCode>0.00\ "位"</c:formatCode>
                <c:ptCount val="22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4444444444444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たかの2!$E$3:$E$24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88888888888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たかの2!$F$3:$F$24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たかの2!$G$3:$G$24</c:f>
              <c:numCache>
                <c:formatCode>0.0%</c:formatCode>
                <c:ptCount val="22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476759628154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たかの2!$H$3:$H$24</c:f>
              <c:numCache>
                <c:formatCode>0.0%</c:formatCode>
                <c:ptCount val="22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たかの2!$I$3:$I$24</c:f>
              <c:numCache>
                <c:formatCode>0</c:formatCode>
                <c:ptCount val="22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80.8035714285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たかの2!$J$3:$J$24</c:f>
              <c:numCache>
                <c:formatCode>0</c:formatCode>
                <c:ptCount val="22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94.82071713147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たかの2!$K$3:$K$24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33333333333332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たかの2!$L$3:$L$24</c:f>
              <c:numCache>
                <c:formatCode>0.0%</c:formatCode>
                <c:ptCount val="22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3718459495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たかの2!$M$3:$M$24</c:f>
              <c:numCache>
                <c:formatCode>0.0%</c:formatCode>
                <c:ptCount val="22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3970783532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たかの2!$N$3:$N$24</c:f>
              <c:numCache>
                <c:formatCode>0.0%</c:formatCode>
                <c:ptCount val="22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6574585635359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たかの2!$O$3:$O$24</c:f>
              <c:numCache>
                <c:formatCode>0.0%</c:formatCode>
                <c:ptCount val="22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4126074498567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たかの2!$P$3:$P$24</c:f>
              <c:numCache>
                <c:formatCode>0.0%</c:formatCode>
                <c:ptCount val="22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6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6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6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6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48</v>
      </c>
      <c r="C2" s="120">
        <v>1842.3339395535957</v>
      </c>
    </row>
    <row r="3" spans="1:3" x14ac:dyDescent="0.45">
      <c r="A3" t="s">
        <v>163</v>
      </c>
      <c r="B3" s="120">
        <v>19</v>
      </c>
      <c r="C3" s="120">
        <v>1653.1699313523677</v>
      </c>
    </row>
    <row r="4" spans="1:3" x14ac:dyDescent="0.45">
      <c r="A4" t="s">
        <v>139</v>
      </c>
      <c r="B4" s="120">
        <v>180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30</v>
      </c>
      <c r="C6" s="120">
        <v>1517.1288342047803</v>
      </c>
    </row>
    <row r="7" spans="1:3" x14ac:dyDescent="0.45">
      <c r="A7" t="s">
        <v>211</v>
      </c>
      <c r="B7" s="120">
        <v>24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21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16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0.81664875071518106</v>
      </c>
      <c r="C2" s="144"/>
      <c r="D2" s="143">
        <v>0.35047922837308748</v>
      </c>
      <c r="E2" s="144"/>
      <c r="F2" s="143">
        <v>0.24021531056863288</v>
      </c>
      <c r="G2" s="144"/>
      <c r="H2" s="145"/>
      <c r="I2" s="146"/>
      <c r="J2" s="143">
        <v>1.3590303557489504E-2</v>
      </c>
      <c r="K2" s="144"/>
      <c r="L2" s="143">
        <v>-7.2355393507161237E-3</v>
      </c>
      <c r="M2" s="144"/>
      <c r="N2" s="143">
        <v>3.810169581756357E-2</v>
      </c>
      <c r="O2" s="144"/>
      <c r="P2" s="143">
        <v>0.369871581086548</v>
      </c>
      <c r="Q2" s="144"/>
      <c r="R2" s="143">
        <v>-0.15930546665678258</v>
      </c>
      <c r="S2" s="144"/>
      <c r="T2" s="143">
        <v>0.68888109727230751</v>
      </c>
      <c r="U2" s="144"/>
      <c r="V2" s="143">
        <v>-2.2046242966368392E-2</v>
      </c>
      <c r="W2" s="144"/>
      <c r="X2" s="143">
        <v>-3.7758298976989943E-2</v>
      </c>
      <c r="Y2" s="144"/>
      <c r="Z2" s="143">
        <v>0.12937400320421805</v>
      </c>
      <c r="AA2" s="144"/>
      <c r="AB2" s="143">
        <v>-0.21423305075840557</v>
      </c>
      <c r="AC2" s="144"/>
      <c r="AD2" s="143">
        <v>0.66405202618321135</v>
      </c>
      <c r="AE2" s="144"/>
      <c r="AF2" s="143">
        <v>0.10641172124581849</v>
      </c>
      <c r="AG2" s="144"/>
      <c r="AH2" s="143">
        <v>0.15446945910124354</v>
      </c>
      <c r="AI2" s="144"/>
      <c r="AJ2" s="143">
        <v>0.85792965812548272</v>
      </c>
      <c r="AK2" s="144"/>
    </row>
    <row r="3" spans="1:37" x14ac:dyDescent="0.45">
      <c r="A3" s="38">
        <v>1</v>
      </c>
      <c r="B3" s="41" t="s">
        <v>139</v>
      </c>
      <c r="C3" s="113">
        <v>60</v>
      </c>
      <c r="D3" s="39" t="s">
        <v>192</v>
      </c>
      <c r="E3" s="40">
        <v>252.59999999999997</v>
      </c>
      <c r="F3" s="41" t="s">
        <v>192</v>
      </c>
      <c r="G3" s="60">
        <v>8.4199999999999982</v>
      </c>
      <c r="H3" s="41" t="s">
        <v>126</v>
      </c>
      <c r="I3" s="45">
        <v>1807.4495237278811</v>
      </c>
      <c r="J3" s="41" t="s">
        <v>192</v>
      </c>
      <c r="K3" s="42">
        <v>1.7333333333333334</v>
      </c>
      <c r="L3" s="41" t="s">
        <v>192</v>
      </c>
      <c r="M3" s="43">
        <v>0.5</v>
      </c>
      <c r="N3" s="41" t="s">
        <v>192</v>
      </c>
      <c r="O3" s="43">
        <v>0.23333333333333334</v>
      </c>
      <c r="P3" s="41" t="s">
        <v>192</v>
      </c>
      <c r="Q3" s="44">
        <v>0.35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0.30366492146596857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48</v>
      </c>
      <c r="D4" s="47" t="s">
        <v>126</v>
      </c>
      <c r="E4" s="48">
        <v>153.59999999999997</v>
      </c>
      <c r="F4" s="49" t="s">
        <v>211</v>
      </c>
      <c r="G4" s="61">
        <v>4.5333333333333323</v>
      </c>
      <c r="H4" s="49" t="s">
        <v>163</v>
      </c>
      <c r="I4" s="53">
        <v>1626.518677261879</v>
      </c>
      <c r="J4" s="49" t="s">
        <v>211</v>
      </c>
      <c r="K4" s="50">
        <v>1.875</v>
      </c>
      <c r="L4" s="49" t="s">
        <v>211</v>
      </c>
      <c r="M4" s="51">
        <v>0.41666666666666669</v>
      </c>
      <c r="N4" s="49" t="s">
        <v>189</v>
      </c>
      <c r="O4" s="51">
        <v>0.2857142857142857</v>
      </c>
      <c r="P4" s="49" t="s">
        <v>211</v>
      </c>
      <c r="Q4" s="52">
        <v>0.31914893617021278</v>
      </c>
      <c r="R4" s="49" t="s">
        <v>192</v>
      </c>
      <c r="S4" s="52">
        <v>0.14615384615384616</v>
      </c>
      <c r="T4" s="49" t="s">
        <v>163</v>
      </c>
      <c r="U4" s="53">
        <v>8782.2222222222226</v>
      </c>
      <c r="V4" s="49" t="s">
        <v>126</v>
      </c>
      <c r="W4" s="53">
        <v>-6440</v>
      </c>
      <c r="X4" s="49" t="s">
        <v>193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0.58415841584158412</v>
      </c>
      <c r="AF4" s="49" t="s">
        <v>211</v>
      </c>
      <c r="AG4" s="52">
        <v>0.53333333333333333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30</v>
      </c>
      <c r="D5" s="47" t="s">
        <v>211</v>
      </c>
      <c r="E5" s="48">
        <v>108.79999999999998</v>
      </c>
      <c r="F5" s="49" t="s">
        <v>126</v>
      </c>
      <c r="G5" s="61">
        <v>3.1999999999999993</v>
      </c>
      <c r="H5" s="49" t="s">
        <v>139</v>
      </c>
      <c r="I5" s="53">
        <v>1599.3460552949084</v>
      </c>
      <c r="J5" s="49" t="s">
        <v>189</v>
      </c>
      <c r="K5" s="50">
        <v>1.9047619047619047</v>
      </c>
      <c r="L5" s="49" t="s">
        <v>189</v>
      </c>
      <c r="M5" s="51">
        <v>0.38095238095238093</v>
      </c>
      <c r="N5" s="49" t="s">
        <v>126</v>
      </c>
      <c r="O5" s="51">
        <v>0.29166666666666669</v>
      </c>
      <c r="P5" s="49" t="s">
        <v>126</v>
      </c>
      <c r="Q5" s="52">
        <v>0.31738035264483627</v>
      </c>
      <c r="R5" s="49" t="s">
        <v>211</v>
      </c>
      <c r="S5" s="52">
        <v>0.14893617021276595</v>
      </c>
      <c r="T5" s="49" t="s">
        <v>126</v>
      </c>
      <c r="U5" s="53">
        <v>8609.5238095238092</v>
      </c>
      <c r="V5" s="49" t="s">
        <v>211</v>
      </c>
      <c r="W5" s="53">
        <v>-6732.1428571428569</v>
      </c>
      <c r="X5" s="49" t="s">
        <v>221</v>
      </c>
      <c r="Y5" s="51">
        <v>0</v>
      </c>
      <c r="Z5" s="49" t="s">
        <v>126</v>
      </c>
      <c r="AA5" s="52">
        <v>0.25440806045340053</v>
      </c>
      <c r="AB5" s="49" t="s">
        <v>221</v>
      </c>
      <c r="AC5" s="52">
        <v>0.27777777777777779</v>
      </c>
      <c r="AD5" s="49" t="s">
        <v>211</v>
      </c>
      <c r="AE5" s="52">
        <v>0.56097560975609762</v>
      </c>
      <c r="AF5" s="49" t="s">
        <v>192</v>
      </c>
      <c r="AG5" s="52">
        <v>0.49206349206349204</v>
      </c>
      <c r="AH5" s="49" t="s">
        <v>189</v>
      </c>
      <c r="AI5" s="52">
        <v>0.5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24</v>
      </c>
      <c r="D6" s="47" t="s">
        <v>189</v>
      </c>
      <c r="E6" s="48">
        <v>15.099999999999994</v>
      </c>
      <c r="F6" s="49" t="s">
        <v>189</v>
      </c>
      <c r="G6" s="61">
        <v>0.71904761904761882</v>
      </c>
      <c r="H6" s="49" t="s">
        <v>192</v>
      </c>
      <c r="I6" s="53">
        <v>1574.2506528365298</v>
      </c>
      <c r="J6" s="49" t="s">
        <v>139</v>
      </c>
      <c r="K6" s="50">
        <v>1.9944444444444445</v>
      </c>
      <c r="L6" s="49" t="s">
        <v>139</v>
      </c>
      <c r="M6" s="51">
        <v>0.33888888888888891</v>
      </c>
      <c r="N6" s="49" t="s">
        <v>211</v>
      </c>
      <c r="O6" s="51">
        <v>0.29166666666666669</v>
      </c>
      <c r="P6" s="49" t="s">
        <v>139</v>
      </c>
      <c r="Q6" s="52">
        <v>0.29747675962815406</v>
      </c>
      <c r="R6" s="49" t="s">
        <v>189</v>
      </c>
      <c r="S6" s="52">
        <v>0.16230366492146597</v>
      </c>
      <c r="T6" s="49" t="s">
        <v>195</v>
      </c>
      <c r="U6" s="53">
        <v>8272.7272727272721</v>
      </c>
      <c r="V6" s="49" t="s">
        <v>189</v>
      </c>
      <c r="W6" s="53">
        <v>-7290.322580645161</v>
      </c>
      <c r="X6" s="49" t="s">
        <v>126</v>
      </c>
      <c r="Y6" s="51">
        <v>4.1666666666666664E-2</v>
      </c>
      <c r="Z6" s="49" t="s">
        <v>189</v>
      </c>
      <c r="AA6" s="52">
        <v>0.2513089005235602</v>
      </c>
      <c r="AB6" s="49" t="s">
        <v>192</v>
      </c>
      <c r="AC6" s="52">
        <v>0.24230769230769231</v>
      </c>
      <c r="AD6" s="49" t="s">
        <v>190</v>
      </c>
      <c r="AE6" s="52">
        <v>0.52380952380952384</v>
      </c>
      <c r="AF6" s="49" t="s">
        <v>126</v>
      </c>
      <c r="AG6" s="52">
        <v>0.449438202247191</v>
      </c>
      <c r="AH6" s="49" t="s">
        <v>163</v>
      </c>
      <c r="AI6" s="52">
        <v>0.46666666666666667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21</v>
      </c>
      <c r="D7" s="47" t="s">
        <v>139</v>
      </c>
      <c r="E7" s="48">
        <v>1.4210854715202004E-14</v>
      </c>
      <c r="F7" s="49" t="s">
        <v>139</v>
      </c>
      <c r="G7" s="61">
        <v>7.8949192862233357E-17</v>
      </c>
      <c r="H7" s="49" t="s">
        <v>211</v>
      </c>
      <c r="I7" s="53">
        <v>1519.7959242754243</v>
      </c>
      <c r="J7" s="49" t="s">
        <v>126</v>
      </c>
      <c r="K7" s="50">
        <v>2</v>
      </c>
      <c r="L7" s="49" t="s">
        <v>195</v>
      </c>
      <c r="M7" s="51">
        <v>0.33333333333333331</v>
      </c>
      <c r="N7" s="49" t="s">
        <v>190</v>
      </c>
      <c r="O7" s="51">
        <v>0.3</v>
      </c>
      <c r="P7" s="49" t="s">
        <v>189</v>
      </c>
      <c r="Q7" s="52">
        <v>0.29319371727748689</v>
      </c>
      <c r="R7" s="49" t="s">
        <v>139</v>
      </c>
      <c r="S7" s="52">
        <v>0.16666666666666666</v>
      </c>
      <c r="T7" s="49" t="s">
        <v>211</v>
      </c>
      <c r="U7" s="53">
        <v>8231.6666666666661</v>
      </c>
      <c r="V7" s="49" t="s">
        <v>139</v>
      </c>
      <c r="W7" s="53">
        <v>-7294.8207171314743</v>
      </c>
      <c r="X7" s="49" t="s">
        <v>189</v>
      </c>
      <c r="Y7" s="51">
        <v>4.7619047619047616E-2</v>
      </c>
      <c r="Z7" s="49" t="s">
        <v>139</v>
      </c>
      <c r="AA7" s="52">
        <v>0.2403718459495352</v>
      </c>
      <c r="AB7" s="49" t="s">
        <v>211</v>
      </c>
      <c r="AC7" s="52">
        <v>0.23936170212765959</v>
      </c>
      <c r="AD7" s="49" t="s">
        <v>192</v>
      </c>
      <c r="AE7" s="52">
        <v>0.51666666666666672</v>
      </c>
      <c r="AF7" s="49" t="s">
        <v>139</v>
      </c>
      <c r="AG7" s="52">
        <v>0.44412607449856734</v>
      </c>
      <c r="AH7" s="49" t="s">
        <v>126</v>
      </c>
      <c r="AI7" s="52">
        <v>0.44444444444444442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19</v>
      </c>
      <c r="D8" s="47" t="s">
        <v>221</v>
      </c>
      <c r="E8" s="48">
        <v>-13.5</v>
      </c>
      <c r="F8" s="49" t="s">
        <v>190</v>
      </c>
      <c r="G8" s="61">
        <v>-5.5</v>
      </c>
      <c r="H8" s="49" t="s">
        <v>190</v>
      </c>
      <c r="I8" s="53">
        <v>1519.2183815819624</v>
      </c>
      <c r="J8" s="49" t="s">
        <v>163</v>
      </c>
      <c r="K8" s="50">
        <v>2.1578947368421053</v>
      </c>
      <c r="L8" s="49" t="s">
        <v>163</v>
      </c>
      <c r="M8" s="51">
        <v>0.31578947368421051</v>
      </c>
      <c r="N8" s="49" t="s">
        <v>139</v>
      </c>
      <c r="O8" s="51">
        <v>0.33333333333333331</v>
      </c>
      <c r="P8" s="49" t="s">
        <v>163</v>
      </c>
      <c r="Q8" s="52">
        <v>0.26946107784431139</v>
      </c>
      <c r="R8" s="49" t="s">
        <v>221</v>
      </c>
      <c r="S8" s="52">
        <v>0.16666666666666666</v>
      </c>
      <c r="T8" s="49" t="s">
        <v>193</v>
      </c>
      <c r="U8" s="53">
        <v>8212.5</v>
      </c>
      <c r="V8" s="49" t="s">
        <v>192</v>
      </c>
      <c r="W8" s="53">
        <v>-7542.105263157895</v>
      </c>
      <c r="X8" s="49" t="s">
        <v>192</v>
      </c>
      <c r="Y8" s="51">
        <v>6.6666666666666666E-2</v>
      </c>
      <c r="Z8" s="49" t="s">
        <v>216</v>
      </c>
      <c r="AA8" s="52">
        <v>0.23387096774193547</v>
      </c>
      <c r="AB8" s="49" t="s">
        <v>139</v>
      </c>
      <c r="AC8" s="52">
        <v>0.23173970783532535</v>
      </c>
      <c r="AD8" s="49" t="s">
        <v>139</v>
      </c>
      <c r="AE8" s="52">
        <v>0.51657458563535907</v>
      </c>
      <c r="AF8" s="49" t="s">
        <v>190</v>
      </c>
      <c r="AG8" s="52">
        <v>0.4375</v>
      </c>
      <c r="AH8" s="49" t="s">
        <v>139</v>
      </c>
      <c r="AI8" s="52">
        <v>0.4375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16</v>
      </c>
      <c r="D9" s="47" t="s">
        <v>193</v>
      </c>
      <c r="E9" s="48">
        <v>-51.699999999999996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216</v>
      </c>
      <c r="K9" s="50">
        <v>2.1875</v>
      </c>
      <c r="L9" s="49" t="s">
        <v>126</v>
      </c>
      <c r="M9" s="51">
        <v>0.29166666666666669</v>
      </c>
      <c r="N9" s="49" t="s">
        <v>216</v>
      </c>
      <c r="O9" s="51">
        <v>0.4375</v>
      </c>
      <c r="P9" s="49" t="s">
        <v>190</v>
      </c>
      <c r="Q9" s="52">
        <v>0.24675324675324675</v>
      </c>
      <c r="R9" s="49" t="s">
        <v>126</v>
      </c>
      <c r="S9" s="52">
        <v>0.17632241813602015</v>
      </c>
      <c r="T9" s="49" t="s">
        <v>139</v>
      </c>
      <c r="U9" s="53">
        <v>8080.8035714285716</v>
      </c>
      <c r="V9" s="49" t="s">
        <v>195</v>
      </c>
      <c r="W9" s="53">
        <v>-7666.666666666667</v>
      </c>
      <c r="X9" s="49" t="s">
        <v>211</v>
      </c>
      <c r="Y9" s="51">
        <v>8.3333333333333329E-2</v>
      </c>
      <c r="Z9" s="49" t="s">
        <v>163</v>
      </c>
      <c r="AA9" s="52">
        <v>0.23353293413173654</v>
      </c>
      <c r="AB9" s="49" t="s">
        <v>126</v>
      </c>
      <c r="AC9" s="52">
        <v>0.22418136020151133</v>
      </c>
      <c r="AD9" s="49" t="s">
        <v>163</v>
      </c>
      <c r="AE9" s="52">
        <v>0.48717948717948717</v>
      </c>
      <c r="AF9" s="49" t="s">
        <v>189</v>
      </c>
      <c r="AG9" s="52">
        <v>0.43103448275862066</v>
      </c>
      <c r="AH9" s="49" t="s">
        <v>216</v>
      </c>
      <c r="AI9" s="52">
        <v>0.42857142857142855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163</v>
      </c>
      <c r="G10" s="61">
        <v>-7.5473684210526315</v>
      </c>
      <c r="H10" s="49" t="s">
        <v>216</v>
      </c>
      <c r="I10" s="53">
        <v>1480.2801364124439</v>
      </c>
      <c r="J10" s="49" t="s">
        <v>190</v>
      </c>
      <c r="K10" s="50">
        <v>2.2000000000000002</v>
      </c>
      <c r="L10" s="49" t="s">
        <v>216</v>
      </c>
      <c r="M10" s="51">
        <v>0.25</v>
      </c>
      <c r="N10" s="49" t="s">
        <v>163</v>
      </c>
      <c r="O10" s="51">
        <v>0.47368421052631576</v>
      </c>
      <c r="P10" s="49" t="s">
        <v>193</v>
      </c>
      <c r="Q10" s="52">
        <v>0.22857142857142856</v>
      </c>
      <c r="R10" s="49" t="s">
        <v>195</v>
      </c>
      <c r="S10" s="52">
        <v>0.18367346938775511</v>
      </c>
      <c r="T10" s="49" t="s">
        <v>192</v>
      </c>
      <c r="U10" s="53">
        <v>7987.9120879120883</v>
      </c>
      <c r="V10" s="49" t="s">
        <v>216</v>
      </c>
      <c r="W10" s="53">
        <v>-7988.8888888888887</v>
      </c>
      <c r="X10" s="49" t="s">
        <v>139</v>
      </c>
      <c r="Y10" s="51">
        <v>8.3333333333333329E-2</v>
      </c>
      <c r="Z10" s="49" t="s">
        <v>192</v>
      </c>
      <c r="AA10" s="52">
        <v>0.23076923076923078</v>
      </c>
      <c r="AB10" s="49" t="s">
        <v>163</v>
      </c>
      <c r="AC10" s="52">
        <v>0.22155688622754491</v>
      </c>
      <c r="AD10" s="49" t="s">
        <v>216</v>
      </c>
      <c r="AE10" s="52">
        <v>0.48275862068965519</v>
      </c>
      <c r="AF10" s="49" t="s">
        <v>193</v>
      </c>
      <c r="AG10" s="52">
        <v>0.4</v>
      </c>
      <c r="AH10" s="49" t="s">
        <v>192</v>
      </c>
      <c r="AI10" s="52">
        <v>0.4175824175824176</v>
      </c>
      <c r="AJ10" s="49" t="s">
        <v>189</v>
      </c>
      <c r="AK10" s="56">
        <v>64100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195</v>
      </c>
      <c r="E11" s="48">
        <v>-118.3</v>
      </c>
      <c r="F11" s="49" t="s">
        <v>216</v>
      </c>
      <c r="G11" s="61">
        <v>-9.2624999999999993</v>
      </c>
      <c r="H11" s="49" t="s">
        <v>189</v>
      </c>
      <c r="I11" s="53">
        <v>1453.7114659751883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0.22580645161290322</v>
      </c>
      <c r="R11" s="49" t="s">
        <v>163</v>
      </c>
      <c r="S11" s="52">
        <v>0.19161676646706588</v>
      </c>
      <c r="T11" s="49" t="s">
        <v>216</v>
      </c>
      <c r="U11" s="53">
        <v>7367.8571428571431</v>
      </c>
      <c r="V11" s="49" t="s">
        <v>163</v>
      </c>
      <c r="W11" s="53">
        <v>-8484.375</v>
      </c>
      <c r="X11" s="49" t="s">
        <v>216</v>
      </c>
      <c r="Y11" s="51">
        <v>0.125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189</v>
      </c>
      <c r="AE11" s="52">
        <v>0.41666666666666669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-143.4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195</v>
      </c>
      <c r="Q12" s="52">
        <v>0.22448979591836735</v>
      </c>
      <c r="R12" s="49" t="s">
        <v>216</v>
      </c>
      <c r="S12" s="52">
        <v>0.21774193548387097</v>
      </c>
      <c r="T12" s="49" t="s">
        <v>189</v>
      </c>
      <c r="U12" s="53">
        <v>6966.0714285714284</v>
      </c>
      <c r="V12" s="49" t="s">
        <v>193</v>
      </c>
      <c r="W12" s="53">
        <v>-9387.5</v>
      </c>
      <c r="X12" s="49" t="s">
        <v>163</v>
      </c>
      <c r="Y12" s="51">
        <v>0.21052631578947367</v>
      </c>
      <c r="Z12" s="49" t="s">
        <v>211</v>
      </c>
      <c r="AA12" s="52">
        <v>0.21808510638297873</v>
      </c>
      <c r="AB12" s="49" t="s">
        <v>216</v>
      </c>
      <c r="AC12" s="52">
        <v>0.18548387096774194</v>
      </c>
      <c r="AD12" s="49" t="s">
        <v>221</v>
      </c>
      <c r="AE12" s="52">
        <v>0.25</v>
      </c>
      <c r="AF12" s="49" t="s">
        <v>163</v>
      </c>
      <c r="AG12" s="52">
        <v>0.35135135135135137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-148.19999999999999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8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180</v>
      </c>
      <c r="C2" s="134"/>
      <c r="E2" s="26" t="s">
        <v>66</v>
      </c>
      <c r="F2" s="23" t="s">
        <v>22</v>
      </c>
      <c r="G2" s="11">
        <v>346</v>
      </c>
      <c r="H2" s="87">
        <f>IF(B$20=0,0,G2/B$20)</f>
        <v>0.7723214285714286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-50</v>
      </c>
      <c r="Q2" s="76">
        <v>180</v>
      </c>
      <c r="R2" s="63">
        <v>-9000</v>
      </c>
    </row>
    <row r="3" spans="1:18" x14ac:dyDescent="0.45">
      <c r="A3" s="19" t="s">
        <v>8</v>
      </c>
      <c r="B3" s="135">
        <v>1506</v>
      </c>
      <c r="C3" s="136"/>
      <c r="E3" s="27" t="s">
        <v>72</v>
      </c>
      <c r="F3" s="24" t="s">
        <v>27</v>
      </c>
      <c r="G3" s="12">
        <v>279</v>
      </c>
      <c r="H3" s="88">
        <f>IF(B$20=0,0,G3/B$20)</f>
        <v>0.6227678571428571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51.724137931034484</v>
      </c>
      <c r="Q3" s="77">
        <v>174</v>
      </c>
      <c r="R3" s="64">
        <v>9000</v>
      </c>
    </row>
    <row r="4" spans="1:18" x14ac:dyDescent="0.45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175</v>
      </c>
      <c r="H4" s="88">
        <f>IF(B$20=0,0,G4/B$20)</f>
        <v>0.390625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-28.248587570621471</v>
      </c>
      <c r="Q4" s="77">
        <v>177</v>
      </c>
      <c r="R4" s="64">
        <v>-5000</v>
      </c>
    </row>
    <row r="5" spans="1:18" x14ac:dyDescent="0.45">
      <c r="A5" s="19" t="s">
        <v>7</v>
      </c>
      <c r="B5" s="125">
        <f>IF(B$2=0,0,B$4/B$2)</f>
        <v>7.8949192862233357E-17</v>
      </c>
      <c r="C5" s="126"/>
      <c r="E5" s="27" t="s">
        <v>159</v>
      </c>
      <c r="F5" s="24" t="s">
        <v>160</v>
      </c>
      <c r="G5" s="12">
        <v>167</v>
      </c>
      <c r="H5" s="88">
        <f>IF(B$20=0,0,G5/B$20)</f>
        <v>0.37276785714285715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30.864197530864196</v>
      </c>
      <c r="Q5" s="77">
        <v>162</v>
      </c>
      <c r="R5" s="64">
        <v>5000</v>
      </c>
    </row>
    <row r="6" spans="1:18" x14ac:dyDescent="0.45">
      <c r="A6" s="19" t="s">
        <v>196</v>
      </c>
      <c r="B6" s="129">
        <v>1599.3460552949084</v>
      </c>
      <c r="C6" s="130"/>
      <c r="E6" s="27" t="s">
        <v>68</v>
      </c>
      <c r="F6" s="24" t="s">
        <v>12</v>
      </c>
      <c r="G6" s="12">
        <v>134</v>
      </c>
      <c r="H6" s="88">
        <f>IF(B$20=0,0,G6/B$20)</f>
        <v>0.29910714285714285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-20.833333333333332</v>
      </c>
      <c r="Q6" s="77">
        <v>144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1.9944444444444445</v>
      </c>
      <c r="C7" s="140"/>
      <c r="E7" s="27" t="s">
        <v>67</v>
      </c>
      <c r="F7" s="24" t="s">
        <v>23</v>
      </c>
      <c r="G7" s="12">
        <v>92</v>
      </c>
      <c r="H7" s="88">
        <f>IF(B$20=0,0,G7/B$20)</f>
        <v>0.20535714285714285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24.390243902439025</v>
      </c>
      <c r="Q7" s="78">
        <v>123</v>
      </c>
      <c r="R7" s="65">
        <v>3000</v>
      </c>
    </row>
    <row r="8" spans="1:18" x14ac:dyDescent="0.45">
      <c r="A8" s="19" t="s">
        <v>2</v>
      </c>
      <c r="B8" s="12">
        <v>61</v>
      </c>
      <c r="C8" s="6">
        <f t="shared" ref="C8:C15" si="1">IF(B$2=0,0,B8/B$2)</f>
        <v>0.33888888888888891</v>
      </c>
      <c r="E8" s="27" t="s">
        <v>89</v>
      </c>
      <c r="F8" s="24" t="s">
        <v>44</v>
      </c>
      <c r="G8" s="12">
        <v>66</v>
      </c>
      <c r="H8" s="88">
        <f>IF(B$20=0,0,G8/B$20)</f>
        <v>0.14732142857142858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59</v>
      </c>
      <c r="C9" s="6">
        <f t="shared" si="1"/>
        <v>0.32777777777777778</v>
      </c>
      <c r="E9" s="27" t="s">
        <v>69</v>
      </c>
      <c r="F9" s="24" t="s">
        <v>24</v>
      </c>
      <c r="G9" s="12">
        <v>54</v>
      </c>
      <c r="H9" s="88">
        <f>IF(B$20=0,0,G9/B$20)</f>
        <v>0.12053571428571429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60</v>
      </c>
      <c r="C10" s="7">
        <f t="shared" si="1"/>
        <v>0.33333333333333331</v>
      </c>
      <c r="E10" s="27" t="s">
        <v>70</v>
      </c>
      <c r="F10" s="24" t="s">
        <v>25</v>
      </c>
      <c r="G10" s="12">
        <v>48</v>
      </c>
      <c r="H10" s="88">
        <f>IF(B$20=0,0,G10/B$20)</f>
        <v>0.10714285714285714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2.8650000000000007</v>
      </c>
      <c r="Q10" s="76">
        <v>60</v>
      </c>
      <c r="R10" s="67">
        <v>171.90000000000003</v>
      </c>
    </row>
    <row r="11" spans="1:18" x14ac:dyDescent="0.45">
      <c r="A11" s="20" t="s">
        <v>184</v>
      </c>
      <c r="B11" s="109">
        <f>IF(B8=0,0,C11/B8)</f>
        <v>34.631147540983605</v>
      </c>
      <c r="C11" s="110">
        <v>2112.5</v>
      </c>
      <c r="E11" s="27" t="s">
        <v>65</v>
      </c>
      <c r="F11" s="24" t="s">
        <v>21</v>
      </c>
      <c r="G11" s="12">
        <v>33</v>
      </c>
      <c r="H11" s="88">
        <f>IF(B$20=0,0,G11/B$20)</f>
        <v>7.3660714285714288E-2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-5.2683333333333318</v>
      </c>
      <c r="Q11" s="77">
        <v>60</v>
      </c>
      <c r="R11" s="68">
        <v>-316.09999999999991</v>
      </c>
    </row>
    <row r="12" spans="1:18" x14ac:dyDescent="0.45">
      <c r="A12" s="20" t="s">
        <v>185</v>
      </c>
      <c r="B12" s="109">
        <f>IF(B9=0,0,C12/B9)</f>
        <v>-0.7254237288135591</v>
      </c>
      <c r="C12" s="110">
        <v>-42.79999999999999</v>
      </c>
      <c r="E12" s="27" t="s">
        <v>71</v>
      </c>
      <c r="F12" s="24" t="s">
        <v>26</v>
      </c>
      <c r="G12" s="12">
        <v>26</v>
      </c>
      <c r="H12" s="88">
        <f>IF(B$20=0,0,G12/B$20)</f>
        <v>5.8035714285714288E-2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2.4033333333333342</v>
      </c>
      <c r="Q12" s="78">
        <v>60</v>
      </c>
      <c r="R12" s="69">
        <v>144.20000000000005</v>
      </c>
    </row>
    <row r="13" spans="1:18" x14ac:dyDescent="0.45">
      <c r="A13" s="20" t="s">
        <v>186</v>
      </c>
      <c r="B13" s="109">
        <f>IF(B10=0,0,C13/B10)</f>
        <v>-34.494999999999997</v>
      </c>
      <c r="C13" s="110">
        <v>-2069.6999999999998</v>
      </c>
      <c r="E13" s="27" t="s">
        <v>86</v>
      </c>
      <c r="F13" s="24" t="s">
        <v>41</v>
      </c>
      <c r="G13" s="12">
        <v>23</v>
      </c>
      <c r="H13" s="88">
        <f>IF(B$20=0,0,G13/B$20)</f>
        <v>5.1339285714285712E-2</v>
      </c>
      <c r="I13" s="58">
        <v>4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-0.19642539594331745</v>
      </c>
      <c r="C14" s="126"/>
      <c r="E14" s="27" t="s">
        <v>83</v>
      </c>
      <c r="F14" s="24" t="s">
        <v>38</v>
      </c>
      <c r="G14" s="12">
        <v>17</v>
      </c>
      <c r="H14" s="88">
        <f>IF(B$20=0,0,G14/B$20)</f>
        <v>3.7946428571428568E-2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15</v>
      </c>
      <c r="C15" s="9">
        <f t="shared" si="1"/>
        <v>8.3333333333333329E-2</v>
      </c>
      <c r="E15" s="27" t="s">
        <v>81</v>
      </c>
      <c r="F15" s="24" t="s">
        <v>36</v>
      </c>
      <c r="G15" s="12">
        <v>15</v>
      </c>
      <c r="H15" s="88">
        <f>IF(B$20=0,0,G15/B$20)</f>
        <v>3.3482142857142856E-2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362</v>
      </c>
      <c r="C16" s="10">
        <f>IF(B$3=0,0,B16/B$3)</f>
        <v>0.2403718459495352</v>
      </c>
      <c r="E16" s="27" t="s">
        <v>78</v>
      </c>
      <c r="F16" s="24" t="s">
        <v>33</v>
      </c>
      <c r="G16" s="12">
        <v>13</v>
      </c>
      <c r="H16" s="88">
        <f>IF(B$20=0,0,G16/B$20)</f>
        <v>2.9017857142857144E-2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349</v>
      </c>
      <c r="C17" s="6">
        <f>IF(B$3=0,0,B17/B$3)</f>
        <v>0.23173970783532535</v>
      </c>
      <c r="E17" s="27" t="s">
        <v>91</v>
      </c>
      <c r="F17" s="24" t="s">
        <v>46</v>
      </c>
      <c r="G17" s="12">
        <v>11</v>
      </c>
      <c r="H17" s="88">
        <f>IF(B$20=0,0,G17/B$20)</f>
        <v>2.4553571428571428E-2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13.893750000000002</v>
      </c>
      <c r="Q17" s="77">
        <v>32</v>
      </c>
      <c r="R17" s="68">
        <v>444.60000000000008</v>
      </c>
    </row>
    <row r="18" spans="1:18" x14ac:dyDescent="0.45">
      <c r="A18" s="18" t="s">
        <v>123</v>
      </c>
      <c r="B18" s="11">
        <f>B24</f>
        <v>187</v>
      </c>
      <c r="C18" s="5">
        <f>IF(B$16=0,0,B18/B$16)</f>
        <v>0.51657458563535907</v>
      </c>
      <c r="E18" s="27" t="s">
        <v>155</v>
      </c>
      <c r="F18" s="24" t="s">
        <v>156</v>
      </c>
      <c r="G18" s="12">
        <v>9</v>
      </c>
      <c r="H18" s="88">
        <f>IF(B$20=0,0,G18/B$20)</f>
        <v>2.0089285714285716E-2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11.321052631578951</v>
      </c>
      <c r="Q18" s="77">
        <v>38</v>
      </c>
      <c r="R18" s="68">
        <v>430.20000000000016</v>
      </c>
    </row>
    <row r="19" spans="1:18" x14ac:dyDescent="0.45">
      <c r="A19" s="18" t="s">
        <v>124</v>
      </c>
      <c r="B19" s="11">
        <f>B25</f>
        <v>155</v>
      </c>
      <c r="C19" s="5">
        <f>IF(B$17=0,0,B19/B$17)</f>
        <v>0.44412607449856734</v>
      </c>
      <c r="E19" s="27" t="s">
        <v>79</v>
      </c>
      <c r="F19" s="24" t="s">
        <v>34</v>
      </c>
      <c r="G19" s="12">
        <v>7</v>
      </c>
      <c r="H19" s="88">
        <f>IF(B$20=0,0,G19/B$20)</f>
        <v>1.5625E-2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448</v>
      </c>
      <c r="C20" s="5">
        <f>IF(B$3=0,0,B20/B$3)</f>
        <v>0.29747675962815406</v>
      </c>
      <c r="E20" s="27" t="s">
        <v>73</v>
      </c>
      <c r="F20" s="24" t="s">
        <v>28</v>
      </c>
      <c r="G20" s="12">
        <v>4</v>
      </c>
      <c r="H20" s="88">
        <f>IF(B$20=0,0,G20/B$20)</f>
        <v>8.9285714285714281E-3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8.2500000000000036</v>
      </c>
      <c r="Q20" s="77">
        <v>20</v>
      </c>
      <c r="R20" s="68">
        <v>165.00000000000009</v>
      </c>
    </row>
    <row r="21" spans="1:18" x14ac:dyDescent="0.45">
      <c r="A21" s="19" t="s">
        <v>13</v>
      </c>
      <c r="B21" s="12">
        <v>251</v>
      </c>
      <c r="C21" s="6">
        <f>IF(B$3=0,0,B21/B$3)</f>
        <v>0.16666666666666666</v>
      </c>
      <c r="E21" s="27" t="s">
        <v>85</v>
      </c>
      <c r="F21" s="24" t="s">
        <v>40</v>
      </c>
      <c r="G21" s="12">
        <v>3</v>
      </c>
      <c r="H21" s="88">
        <f>IF(B$20=0,0,G21/B$20)</f>
        <v>6.6964285714285711E-3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-1.0785714285714267</v>
      </c>
      <c r="Q21" s="77">
        <v>42</v>
      </c>
      <c r="R21" s="68">
        <v>-45.299999999999926</v>
      </c>
    </row>
    <row r="22" spans="1:18" x14ac:dyDescent="0.45">
      <c r="A22" s="19" t="s">
        <v>12</v>
      </c>
      <c r="B22" s="12">
        <v>196</v>
      </c>
      <c r="C22" s="6">
        <f>IF(B$20=0,0,B22/B$20)</f>
        <v>0.4375</v>
      </c>
      <c r="E22" s="27" t="s">
        <v>88</v>
      </c>
      <c r="F22" s="24" t="s">
        <v>43</v>
      </c>
      <c r="G22" s="12">
        <v>3</v>
      </c>
      <c r="H22" s="88">
        <f>IF(B$20=0,0,G22/B$20)</f>
        <v>6.6964285714285711E-3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-4.7999999999999963</v>
      </c>
      <c r="Q22" s="77">
        <v>96</v>
      </c>
      <c r="R22" s="68">
        <v>-460.79999999999961</v>
      </c>
    </row>
    <row r="23" spans="1:18" x14ac:dyDescent="0.45">
      <c r="A23" s="19" t="s">
        <v>11</v>
      </c>
      <c r="B23" s="12">
        <v>252</v>
      </c>
      <c r="C23" s="6">
        <f>IF(B$20=0,0,B23/B$20)</f>
        <v>0.5625</v>
      </c>
      <c r="E23" s="27" t="s">
        <v>77</v>
      </c>
      <c r="F23" s="24" t="s">
        <v>32</v>
      </c>
      <c r="G23" s="12">
        <v>2</v>
      </c>
      <c r="H23" s="88">
        <f>IF(B$20=0,0,G23/B$20)</f>
        <v>4.464285714285714E-3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-6.8000000000000007</v>
      </c>
      <c r="Q23" s="77">
        <v>48</v>
      </c>
      <c r="R23" s="68">
        <v>-326.40000000000003</v>
      </c>
    </row>
    <row r="24" spans="1:18" x14ac:dyDescent="0.45">
      <c r="A24" s="19" t="s">
        <v>183</v>
      </c>
      <c r="B24" s="12">
        <v>187</v>
      </c>
      <c r="C24" s="6">
        <f>IF(B$20=0,0,B24/B$20)</f>
        <v>0.4174107142857143</v>
      </c>
      <c r="E24" s="27" t="s">
        <v>92</v>
      </c>
      <c r="F24" s="24" t="s">
        <v>47</v>
      </c>
      <c r="G24" s="12">
        <v>2</v>
      </c>
      <c r="H24" s="88">
        <f>IF(B$20=0,0,G24/B$20)</f>
        <v>4.464285714285714E-3</v>
      </c>
      <c r="I24" s="58">
        <v>3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-12.63</v>
      </c>
      <c r="Q24" s="77">
        <v>60</v>
      </c>
      <c r="R24" s="68">
        <v>-757.80000000000007</v>
      </c>
    </row>
    <row r="25" spans="1:18" x14ac:dyDescent="0.45">
      <c r="A25" s="19" t="s">
        <v>181</v>
      </c>
      <c r="B25" s="12">
        <v>155</v>
      </c>
      <c r="C25" s="6">
        <f>IF(B$20=0,0,B25/B$20)</f>
        <v>0.34598214285714285</v>
      </c>
      <c r="E25" s="27" t="s">
        <v>75</v>
      </c>
      <c r="F25" s="24" t="s">
        <v>30</v>
      </c>
      <c r="G25" s="12">
        <v>1</v>
      </c>
      <c r="H25" s="88">
        <f>IF(B$20=0,0,G25/B$20)</f>
        <v>2.232142857142857E-3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106</v>
      </c>
      <c r="C26" s="6">
        <f>IF(B$20=0,0,B26/B$20)</f>
        <v>0.23660714285714285</v>
      </c>
      <c r="E26" s="27" t="s">
        <v>102</v>
      </c>
      <c r="F26" s="24" t="s">
        <v>57</v>
      </c>
      <c r="G26" s="12">
        <v>1</v>
      </c>
      <c r="H26" s="88">
        <f>IF(B$20=0,0,G26/B$20)</f>
        <v>2.232142857142857E-3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8080.8035714285716</v>
      </c>
      <c r="C27" s="8">
        <v>3620200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8795.904436860068</v>
      </c>
      <c r="C28" s="96">
        <v>2577200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6729.0322580645161</v>
      </c>
      <c r="C29" s="96">
        <v>1043000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-7294.8207171314743</v>
      </c>
      <c r="C30" s="96">
        <v>-1831000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3.3200531208499337E-3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37</v>
      </c>
      <c r="C37" s="98">
        <f t="shared" ref="C37:C49" si="2">IF(B$20=0,0,B37/B$20)</f>
        <v>8.2589285714285712E-2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95</v>
      </c>
      <c r="C38" s="6">
        <f t="shared" si="2"/>
        <v>0.21205357142857142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87</v>
      </c>
      <c r="C39" s="6">
        <f t="shared" si="2"/>
        <v>0.19419642857142858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74</v>
      </c>
      <c r="C40" s="6">
        <f t="shared" si="2"/>
        <v>0.16517857142857142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57</v>
      </c>
      <c r="C41" s="6">
        <f t="shared" si="2"/>
        <v>0.12723214285714285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40</v>
      </c>
      <c r="C42" s="6">
        <f t="shared" si="2"/>
        <v>8.9285714285714288E-2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25</v>
      </c>
      <c r="C43" s="6">
        <f t="shared" si="2"/>
        <v>5.5803571428571432E-2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13</v>
      </c>
      <c r="C44" s="6">
        <f t="shared" si="2"/>
        <v>2.9017857142857144E-2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10</v>
      </c>
      <c r="C45" s="6">
        <f t="shared" si="2"/>
        <v>2.2321428571428572E-2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1.1160714285714286E-2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4.464285714285714E-3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3</v>
      </c>
      <c r="C49" s="9">
        <f t="shared" si="2"/>
        <v>6.6964285714285711E-3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48</v>
      </c>
      <c r="C2" s="134"/>
      <c r="E2" s="26" t="s">
        <v>66</v>
      </c>
      <c r="F2" s="23" t="s">
        <v>22</v>
      </c>
      <c r="G2" s="11">
        <v>94</v>
      </c>
      <c r="H2" s="87">
        <f>IF(B$20=0,0,G2/B$20)</f>
        <v>0.74603174603174605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1514.5833333333333</v>
      </c>
      <c r="Q2" s="76">
        <v>48</v>
      </c>
      <c r="R2" s="63">
        <v>72700</v>
      </c>
    </row>
    <row r="3" spans="1:18" x14ac:dyDescent="0.45">
      <c r="A3" s="19" t="s">
        <v>8</v>
      </c>
      <c r="B3" s="135">
        <v>397</v>
      </c>
      <c r="C3" s="136"/>
      <c r="E3" s="27" t="s">
        <v>72</v>
      </c>
      <c r="F3" s="24" t="s">
        <v>27</v>
      </c>
      <c r="G3" s="12">
        <v>82</v>
      </c>
      <c r="H3" s="88">
        <f>IF(B$20=0,0,G3/B$20)</f>
        <v>0.65079365079365081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-1308.695652173913</v>
      </c>
      <c r="Q3" s="77">
        <v>46</v>
      </c>
      <c r="R3" s="64">
        <v>-60200</v>
      </c>
    </row>
    <row r="4" spans="1:18" x14ac:dyDescent="0.45">
      <c r="A4" s="19" t="s">
        <v>6</v>
      </c>
      <c r="B4" s="137">
        <v>153.59999999999997</v>
      </c>
      <c r="C4" s="138"/>
      <c r="E4" s="27" t="s">
        <v>64</v>
      </c>
      <c r="F4" s="24" t="s">
        <v>20</v>
      </c>
      <c r="G4" s="12">
        <v>53</v>
      </c>
      <c r="H4" s="88">
        <f>IF(B$20=0,0,G4/B$20)</f>
        <v>0.42063492063492064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-240.42553191489361</v>
      </c>
      <c r="Q4" s="77">
        <v>47</v>
      </c>
      <c r="R4" s="64">
        <v>-11300</v>
      </c>
    </row>
    <row r="5" spans="1:18" x14ac:dyDescent="0.45">
      <c r="A5" s="19" t="s">
        <v>7</v>
      </c>
      <c r="B5" s="125">
        <f>IF(B$2=0,0,B$4/B$2)</f>
        <v>3.1999999999999993</v>
      </c>
      <c r="C5" s="126"/>
      <c r="E5" s="27" t="s">
        <v>159</v>
      </c>
      <c r="F5" s="24" t="s">
        <v>160</v>
      </c>
      <c r="G5" s="12">
        <v>46</v>
      </c>
      <c r="H5" s="88">
        <f>IF(B$20=0,0,G5/B$20)</f>
        <v>0.36507936507936506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1270.4545454545455</v>
      </c>
      <c r="Q5" s="77">
        <v>44</v>
      </c>
      <c r="R5" s="64">
        <v>55900</v>
      </c>
    </row>
    <row r="6" spans="1:18" x14ac:dyDescent="0.45">
      <c r="A6" s="19" t="s">
        <v>196</v>
      </c>
      <c r="B6" s="129">
        <v>1807.4495237278811</v>
      </c>
      <c r="C6" s="130"/>
      <c r="E6" s="27" t="s">
        <v>68</v>
      </c>
      <c r="F6" s="24" t="s">
        <v>12</v>
      </c>
      <c r="G6" s="12">
        <v>38</v>
      </c>
      <c r="H6" s="88">
        <f>IF(B$20=0,0,G6/B$20)</f>
        <v>0.30158730158730157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756.41025641025647</v>
      </c>
      <c r="Q6" s="77">
        <v>39</v>
      </c>
      <c r="R6" s="64">
        <v>29500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25</v>
      </c>
      <c r="H7" s="88">
        <f>IF(B$20=0,0,G7/B$20)</f>
        <v>0.1984126984126984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-956.25</v>
      </c>
      <c r="Q7" s="78">
        <v>32</v>
      </c>
      <c r="R7" s="65">
        <v>-30600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0.29166666666666669</v>
      </c>
      <c r="E8" s="27" t="s">
        <v>69</v>
      </c>
      <c r="F8" s="24" t="s">
        <v>24</v>
      </c>
      <c r="G8" s="12">
        <v>23</v>
      </c>
      <c r="H8" s="88">
        <f>IF(B$20=0,0,G8/B$20)</f>
        <v>0.18253968253968253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20</v>
      </c>
      <c r="C9" s="6">
        <f t="shared" si="1"/>
        <v>0.41666666666666669</v>
      </c>
      <c r="E9" s="27" t="s">
        <v>70</v>
      </c>
      <c r="F9" s="24" t="s">
        <v>25</v>
      </c>
      <c r="G9" s="12">
        <v>20</v>
      </c>
      <c r="H9" s="88">
        <f>IF(B$20=0,0,G9/B$20)</f>
        <v>0.15873015873015872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14</v>
      </c>
      <c r="C10" s="7">
        <f t="shared" si="1"/>
        <v>0.29166666666666669</v>
      </c>
      <c r="E10" s="27" t="s">
        <v>89</v>
      </c>
      <c r="F10" s="24" t="s">
        <v>44</v>
      </c>
      <c r="G10" s="12">
        <v>19</v>
      </c>
      <c r="H10" s="88">
        <f>IF(B$20=0,0,G10/B$20)</f>
        <v>0.15079365079365079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10.962499999999999</v>
      </c>
      <c r="Q10" s="76">
        <v>16</v>
      </c>
      <c r="R10" s="67">
        <v>175.39999999999998</v>
      </c>
    </row>
    <row r="11" spans="1:18" x14ac:dyDescent="0.45">
      <c r="A11" s="20" t="s">
        <v>184</v>
      </c>
      <c r="B11" s="109">
        <f>IF(B8=0,0,C11/B8)</f>
        <v>40.65</v>
      </c>
      <c r="C11" s="110">
        <v>569.1</v>
      </c>
      <c r="E11" s="27" t="s">
        <v>65</v>
      </c>
      <c r="F11" s="24" t="s">
        <v>21</v>
      </c>
      <c r="G11" s="12">
        <v>12</v>
      </c>
      <c r="H11" s="88">
        <f>IF(B$20=0,0,G11/B$20)</f>
        <v>9.5238095238095233E-2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-4.427777777777778</v>
      </c>
      <c r="Q11" s="77">
        <v>18</v>
      </c>
      <c r="R11" s="68">
        <v>-79.7</v>
      </c>
    </row>
    <row r="12" spans="1:18" x14ac:dyDescent="0.45">
      <c r="A12" s="20" t="s">
        <v>185</v>
      </c>
      <c r="B12" s="109">
        <f>IF(B9=0,0,C12/B9)</f>
        <v>-2.1999999999999997</v>
      </c>
      <c r="C12" s="110">
        <v>-43.999999999999993</v>
      </c>
      <c r="E12" s="27" t="s">
        <v>83</v>
      </c>
      <c r="F12" s="24" t="s">
        <v>38</v>
      </c>
      <c r="G12" s="12">
        <v>6</v>
      </c>
      <c r="H12" s="88">
        <f>IF(B$20=0,0,G12/B$20)</f>
        <v>4.7619047619047616E-2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4.1357142857142861</v>
      </c>
      <c r="Q12" s="78">
        <v>14</v>
      </c>
      <c r="R12" s="69">
        <v>57.900000000000006</v>
      </c>
    </row>
    <row r="13" spans="1:18" x14ac:dyDescent="0.45">
      <c r="A13" s="20" t="s">
        <v>186</v>
      </c>
      <c r="B13" s="109">
        <f>IF(B10=0,0,C13/B10)</f>
        <v>-26.535714285714285</v>
      </c>
      <c r="C13" s="110">
        <v>-371.5</v>
      </c>
      <c r="E13" s="27" t="s">
        <v>86</v>
      </c>
      <c r="F13" s="24" t="s">
        <v>41</v>
      </c>
      <c r="G13" s="12">
        <v>6</v>
      </c>
      <c r="H13" s="88">
        <f>IF(B$20=0,0,G13/B$20)</f>
        <v>4.7619047619047616E-2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3.9714285714285702</v>
      </c>
      <c r="C14" s="126"/>
      <c r="E14" s="27" t="s">
        <v>155</v>
      </c>
      <c r="F14" s="24" t="s">
        <v>156</v>
      </c>
      <c r="G14" s="12">
        <v>6</v>
      </c>
      <c r="H14" s="88">
        <f>IF(B$20=0,0,G14/B$20)</f>
        <v>4.7619047619047616E-2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4.1666666666666664E-2</v>
      </c>
      <c r="E15" s="27" t="s">
        <v>71</v>
      </c>
      <c r="F15" s="24" t="s">
        <v>26</v>
      </c>
      <c r="G15" s="12">
        <v>5</v>
      </c>
      <c r="H15" s="88">
        <f>IF(B$20=0,0,G15/B$20)</f>
        <v>3.968253968253968E-2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101</v>
      </c>
      <c r="C16" s="10">
        <f>IF(B$3=0,0,B16/B$3)</f>
        <v>0.25440806045340053</v>
      </c>
      <c r="E16" s="27" t="s">
        <v>81</v>
      </c>
      <c r="F16" s="24" t="s">
        <v>36</v>
      </c>
      <c r="G16" s="12">
        <v>4</v>
      </c>
      <c r="H16" s="88">
        <f>IF(B$20=0,0,G16/B$20)</f>
        <v>3.1746031746031744E-2</v>
      </c>
      <c r="I16" s="58">
        <v>7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89</v>
      </c>
      <c r="C17" s="6">
        <f>IF(B$3=0,0,B17/B$3)</f>
        <v>0.22418136020151133</v>
      </c>
      <c r="E17" s="27" t="s">
        <v>91</v>
      </c>
      <c r="F17" s="24" t="s">
        <v>46</v>
      </c>
      <c r="G17" s="12">
        <v>4</v>
      </c>
      <c r="H17" s="88">
        <f>IF(B$20=0,0,G17/B$20)</f>
        <v>3.1746031746031744E-2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17.673333333333336</v>
      </c>
      <c r="Q17" s="77">
        <v>15</v>
      </c>
      <c r="R17" s="68">
        <v>265.10000000000002</v>
      </c>
    </row>
    <row r="18" spans="1:18" x14ac:dyDescent="0.45">
      <c r="A18" s="18" t="s">
        <v>123</v>
      </c>
      <c r="B18" s="11">
        <f>B24</f>
        <v>59</v>
      </c>
      <c r="C18" s="5">
        <f>IF(B$16=0,0,B18/B$16)</f>
        <v>0.58415841584158412</v>
      </c>
      <c r="E18" s="27" t="s">
        <v>78</v>
      </c>
      <c r="F18" s="24" t="s">
        <v>33</v>
      </c>
      <c r="G18" s="12">
        <v>3</v>
      </c>
      <c r="H18" s="88">
        <f>IF(B$20=0,0,G18/B$20)</f>
        <v>2.3809523809523808E-2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40</v>
      </c>
      <c r="C19" s="5">
        <f>IF(B$17=0,0,B19/B$17)</f>
        <v>0.449438202247191</v>
      </c>
      <c r="E19" s="27" t="s">
        <v>73</v>
      </c>
      <c r="F19" s="24" t="s">
        <v>28</v>
      </c>
      <c r="G19" s="12">
        <v>1</v>
      </c>
      <c r="H19" s="88">
        <f>IF(B$20=0,0,G19/B$20)</f>
        <v>7.9365079365079361E-3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216</v>
      </c>
      <c r="P19" s="83">
        <f>IF(Q19=0,0,R19/Q19)</f>
        <v>11.879999999999999</v>
      </c>
      <c r="Q19" s="77">
        <v>10</v>
      </c>
      <c r="R19" s="68">
        <v>118.79999999999998</v>
      </c>
    </row>
    <row r="20" spans="1:18" x14ac:dyDescent="0.45">
      <c r="A20" s="18" t="s">
        <v>10</v>
      </c>
      <c r="B20" s="11">
        <f>B23+B22</f>
        <v>126</v>
      </c>
      <c r="C20" s="5">
        <f>IF(B$3=0,0,B20/B$3)</f>
        <v>0.31738035264483627</v>
      </c>
      <c r="E20" s="27" t="s">
        <v>79</v>
      </c>
      <c r="F20" s="24" t="s">
        <v>34</v>
      </c>
      <c r="G20" s="12">
        <v>1</v>
      </c>
      <c r="H20" s="88">
        <f>IF(B$20=0,0,G20/B$20)</f>
        <v>7.9365079365079361E-3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4.7666666666666666</v>
      </c>
      <c r="Q20" s="77">
        <v>15</v>
      </c>
      <c r="R20" s="68">
        <v>71.5</v>
      </c>
    </row>
    <row r="21" spans="1:18" x14ac:dyDescent="0.45">
      <c r="A21" s="19" t="s">
        <v>13</v>
      </c>
      <c r="B21" s="12">
        <v>70</v>
      </c>
      <c r="C21" s="6">
        <f>IF(B$3=0,0,B21/B$3)</f>
        <v>0.17632241813602015</v>
      </c>
      <c r="E21" s="27" t="s">
        <v>85</v>
      </c>
      <c r="F21" s="24" t="s">
        <v>40</v>
      </c>
      <c r="G21" s="12">
        <v>1</v>
      </c>
      <c r="H21" s="88">
        <f>IF(B$20=0,0,G21/B$20)</f>
        <v>7.9365079365079361E-3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-2.1666666666666665</v>
      </c>
      <c r="Q21" s="77">
        <v>18</v>
      </c>
      <c r="R21" s="68">
        <v>-39</v>
      </c>
    </row>
    <row r="22" spans="1:18" x14ac:dyDescent="0.45">
      <c r="A22" s="19" t="s">
        <v>12</v>
      </c>
      <c r="B22" s="12">
        <v>56</v>
      </c>
      <c r="C22" s="6">
        <f>IF(B$20=0,0,B22/B$20)</f>
        <v>0.44444444444444442</v>
      </c>
      <c r="E22" s="27" t="s">
        <v>92</v>
      </c>
      <c r="F22" s="24" t="s">
        <v>47</v>
      </c>
      <c r="G22" s="12">
        <v>1</v>
      </c>
      <c r="H22" s="88">
        <f>IF(B$20=0,0,G22/B$20)</f>
        <v>7.9365079365079361E-3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-10.25416666666667</v>
      </c>
      <c r="Q22" s="77">
        <v>24</v>
      </c>
      <c r="R22" s="68">
        <v>-246.10000000000008</v>
      </c>
    </row>
    <row r="23" spans="1:18" x14ac:dyDescent="0.45">
      <c r="A23" s="19" t="s">
        <v>11</v>
      </c>
      <c r="B23" s="12">
        <v>70</v>
      </c>
      <c r="C23" s="6">
        <f>IF(B$20=0,0,B23/B$20)</f>
        <v>0.55555555555555558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59</v>
      </c>
      <c r="C24" s="6">
        <f>IF(B$20=0,0,B24/B$20)</f>
        <v>0.46825396825396826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40</v>
      </c>
      <c r="C25" s="6">
        <f>IF(B$20=0,0,B25/B$20)</f>
        <v>0.31746031746031744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27</v>
      </c>
      <c r="C26" s="6">
        <f>IF(B$20=0,0,B26/B$20)</f>
        <v>0.21428571428571427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8609.5238095238092</v>
      </c>
      <c r="C27" s="8">
        <v>1084800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9122.0930232558148</v>
      </c>
      <c r="C28" s="96">
        <v>784500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7507.5</v>
      </c>
      <c r="C29" s="96">
        <v>300300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-6440</v>
      </c>
      <c r="C30" s="96">
        <v>-450800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2.5188916876574307E-3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6</v>
      </c>
      <c r="C37" s="98">
        <f t="shared" ref="C37:C49" si="2">IF(B$20=0,0,B37/B$20)</f>
        <v>4.7619047619047616E-2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21</v>
      </c>
      <c r="C38" s="6">
        <f t="shared" si="2"/>
        <v>0.16666666666666666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31</v>
      </c>
      <c r="C39" s="6">
        <f t="shared" si="2"/>
        <v>0.24603174603174602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17</v>
      </c>
      <c r="C40" s="6">
        <f t="shared" si="2"/>
        <v>0.13492063492063491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20</v>
      </c>
      <c r="C41" s="6">
        <f t="shared" si="2"/>
        <v>0.15873015873015872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16</v>
      </c>
      <c r="C42" s="6">
        <f t="shared" si="2"/>
        <v>0.12698412698412698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7</v>
      </c>
      <c r="C43" s="6">
        <f t="shared" si="2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7.9365079365079361E-3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3.1746031746031744E-2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7.9365079365079361E-3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7.9365079365079361E-3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7.9365079365079361E-3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42</v>
      </c>
      <c r="H2" s="87">
        <f>IF(B$20=0,0,G2/B$20)</f>
        <v>0.93333333333333335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2342.1052631578946</v>
      </c>
      <c r="Q2" s="76">
        <v>19</v>
      </c>
      <c r="R2" s="63">
        <v>44500</v>
      </c>
    </row>
    <row r="3" spans="1:18" x14ac:dyDescent="0.45">
      <c r="A3" s="19" t="s">
        <v>8</v>
      </c>
      <c r="B3" s="135">
        <v>167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0.51111111111111107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-1666.6666666666667</v>
      </c>
      <c r="Q3" s="77">
        <v>18</v>
      </c>
      <c r="R3" s="64">
        <v>-30000</v>
      </c>
    </row>
    <row r="4" spans="1:18" x14ac:dyDescent="0.45">
      <c r="A4" s="19" t="s">
        <v>6</v>
      </c>
      <c r="B4" s="137">
        <v>-143.4</v>
      </c>
      <c r="C4" s="138"/>
      <c r="E4" s="27" t="s">
        <v>159</v>
      </c>
      <c r="F4" s="24" t="s">
        <v>160</v>
      </c>
      <c r="G4" s="12">
        <v>20</v>
      </c>
      <c r="H4" s="88">
        <f>IF(B$20=0,0,G4/B$20)</f>
        <v>0.44444444444444442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-1755.5555555555557</v>
      </c>
      <c r="Q4" s="77">
        <v>18</v>
      </c>
      <c r="R4" s="64">
        <v>-31600</v>
      </c>
    </row>
    <row r="5" spans="1:18" x14ac:dyDescent="0.45">
      <c r="A5" s="19" t="s">
        <v>7</v>
      </c>
      <c r="B5" s="125">
        <f>IF(B$2=0,0,B$4/B$2)</f>
        <v>-7.5473684210526315</v>
      </c>
      <c r="C5" s="126"/>
      <c r="E5" s="27" t="s">
        <v>64</v>
      </c>
      <c r="F5" s="24" t="s">
        <v>20</v>
      </c>
      <c r="G5" s="12">
        <v>17</v>
      </c>
      <c r="H5" s="88">
        <f>IF(B$20=0,0,G5/B$20)</f>
        <v>0.37777777777777777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1017.6470588235294</v>
      </c>
      <c r="Q5" s="77">
        <v>17</v>
      </c>
      <c r="R5" s="64">
        <v>17300</v>
      </c>
    </row>
    <row r="6" spans="1:18" x14ac:dyDescent="0.45">
      <c r="A6" s="19" t="s">
        <v>196</v>
      </c>
      <c r="B6" s="129">
        <v>1626.518677261879</v>
      </c>
      <c r="C6" s="130"/>
      <c r="E6" s="27" t="s">
        <v>68</v>
      </c>
      <c r="F6" s="24" t="s">
        <v>12</v>
      </c>
      <c r="G6" s="12">
        <v>16</v>
      </c>
      <c r="H6" s="88">
        <f>IF(B$20=0,0,G6/B$20)</f>
        <v>0.35555555555555557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-2700</v>
      </c>
      <c r="Q6" s="77">
        <v>14</v>
      </c>
      <c r="R6" s="64">
        <v>-37800</v>
      </c>
    </row>
    <row r="7" spans="1:18" x14ac:dyDescent="0.45">
      <c r="A7" s="19" t="s">
        <v>1</v>
      </c>
      <c r="B7" s="139">
        <f>IF(B$2=0,0,(B$8*1+B$9*2+B$10*3)/B$2)</f>
        <v>2.1578947368421053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0.17777777777777778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-118.18181818181819</v>
      </c>
      <c r="Q7" s="78">
        <v>11</v>
      </c>
      <c r="R7" s="65">
        <v>-1300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0.31578947368421051</v>
      </c>
      <c r="E8" s="27" t="s">
        <v>89</v>
      </c>
      <c r="F8" s="24" t="s">
        <v>44</v>
      </c>
      <c r="G8" s="12">
        <v>8</v>
      </c>
      <c r="H8" s="88">
        <f>IF(B$20=0,0,G8/B$20)</f>
        <v>0.17777777777777778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0.21052631578947367</v>
      </c>
      <c r="E9" s="27" t="s">
        <v>69</v>
      </c>
      <c r="F9" s="24" t="s">
        <v>24</v>
      </c>
      <c r="G9" s="12">
        <v>5</v>
      </c>
      <c r="H9" s="88">
        <f>IF(B$20=0,0,G9/B$20)</f>
        <v>0.1111111111111111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0.47368421052631576</v>
      </c>
      <c r="E10" s="27" t="s">
        <v>78</v>
      </c>
      <c r="F10" s="24" t="s">
        <v>33</v>
      </c>
      <c r="G10" s="12">
        <v>3</v>
      </c>
      <c r="H10" s="88">
        <f>IF(B$20=0,0,G10/B$20)</f>
        <v>6.6666666666666666E-2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-7.45</v>
      </c>
      <c r="Q10" s="76">
        <v>8</v>
      </c>
      <c r="R10" s="67">
        <v>-59.6</v>
      </c>
    </row>
    <row r="11" spans="1:18" x14ac:dyDescent="0.45">
      <c r="A11" s="20" t="s">
        <v>184</v>
      </c>
      <c r="B11" s="109">
        <f>IF(B8=0,0,C11/B8)</f>
        <v>37.533333333333331</v>
      </c>
      <c r="C11" s="110">
        <v>225.2</v>
      </c>
      <c r="E11" s="27" t="s">
        <v>81</v>
      </c>
      <c r="F11" s="24" t="s">
        <v>36</v>
      </c>
      <c r="G11" s="12">
        <v>3</v>
      </c>
      <c r="H11" s="88">
        <f>IF(B$20=0,0,G11/B$20)</f>
        <v>6.6666666666666666E-2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-13.71666666666667</v>
      </c>
      <c r="Q11" s="77">
        <v>6</v>
      </c>
      <c r="R11" s="68">
        <v>-82.300000000000026</v>
      </c>
    </row>
    <row r="12" spans="1:18" x14ac:dyDescent="0.45">
      <c r="A12" s="20" t="s">
        <v>185</v>
      </c>
      <c r="B12" s="109">
        <f>IF(B9=0,0,C12/B9)</f>
        <v>4.7</v>
      </c>
      <c r="C12" s="110">
        <v>18.8</v>
      </c>
      <c r="E12" s="27" t="s">
        <v>65</v>
      </c>
      <c r="F12" s="24" t="s">
        <v>21</v>
      </c>
      <c r="G12" s="12">
        <v>2</v>
      </c>
      <c r="H12" s="88">
        <f>IF(B$20=0,0,G12/B$20)</f>
        <v>4.4444444444444446E-2</v>
      </c>
      <c r="I12" s="58">
        <v>9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-43.044444444444444</v>
      </c>
      <c r="C13" s="110">
        <v>-387.4</v>
      </c>
      <c r="E13" s="27" t="s">
        <v>83</v>
      </c>
      <c r="F13" s="24" t="s">
        <v>38</v>
      </c>
      <c r="G13" s="12">
        <v>2</v>
      </c>
      <c r="H13" s="88">
        <f>IF(B$20=0,0,G13/B$20)</f>
        <v>4.4444444444444446E-2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-0.27037037037036998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4.4444444444444446E-2</v>
      </c>
      <c r="I14" s="58">
        <v>6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0.21052631578947367</v>
      </c>
      <c r="E15" s="27" t="s">
        <v>155</v>
      </c>
      <c r="F15" s="24" t="s">
        <v>156</v>
      </c>
      <c r="G15" s="12">
        <v>2</v>
      </c>
      <c r="H15" s="88">
        <f>IF(B$20=0,0,G15/B$20)</f>
        <v>4.4444444444444446E-2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39</v>
      </c>
      <c r="C16" s="10">
        <f>IF(B$3=0,0,B16/B$3)</f>
        <v>0.23353293413173654</v>
      </c>
      <c r="E16" s="27" t="s">
        <v>70</v>
      </c>
      <c r="F16" s="24" t="s">
        <v>25</v>
      </c>
      <c r="G16" s="12">
        <v>1</v>
      </c>
      <c r="H16" s="88">
        <f>IF(B$20=0,0,G16/B$20)</f>
        <v>2.2222222222222223E-2</v>
      </c>
      <c r="I16" s="58">
        <v>8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-9.35</v>
      </c>
      <c r="Q16" s="77">
        <v>6</v>
      </c>
      <c r="R16" s="68">
        <v>-56.1</v>
      </c>
    </row>
    <row r="17" spans="1:18" x14ac:dyDescent="0.45">
      <c r="A17" s="19" t="s">
        <v>118</v>
      </c>
      <c r="B17" s="12">
        <v>37</v>
      </c>
      <c r="C17" s="6">
        <f>IF(B$3=0,0,B17/B$3)</f>
        <v>0.22155688622754491</v>
      </c>
      <c r="E17" s="27" t="s">
        <v>71</v>
      </c>
      <c r="F17" s="24" t="s">
        <v>26</v>
      </c>
      <c r="G17" s="12">
        <v>1</v>
      </c>
      <c r="H17" s="88">
        <f>IF(B$20=0,0,G17/B$20)</f>
        <v>2.2222222222222223E-2</v>
      </c>
      <c r="I17" s="58">
        <v>7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-14.78571428571429</v>
      </c>
      <c r="Q17" s="77">
        <v>7</v>
      </c>
      <c r="R17" s="68">
        <v>-103.50000000000003</v>
      </c>
    </row>
    <row r="18" spans="1:18" x14ac:dyDescent="0.45">
      <c r="A18" s="18" t="s">
        <v>123</v>
      </c>
      <c r="B18" s="11">
        <f>B24</f>
        <v>19</v>
      </c>
      <c r="C18" s="5">
        <f>IF(B$16=0,0,B18/B$16)</f>
        <v>0.48717948717948717</v>
      </c>
      <c r="E18" s="27" t="s">
        <v>79</v>
      </c>
      <c r="F18" s="24" t="s">
        <v>34</v>
      </c>
      <c r="G18" s="12">
        <v>1</v>
      </c>
      <c r="H18" s="88">
        <f>IF(B$20=0,0,G18/B$20)</f>
        <v>2.2222222222222223E-2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-17.673333333333339</v>
      </c>
      <c r="Q18" s="77">
        <v>15</v>
      </c>
      <c r="R18" s="68">
        <v>-265.10000000000008</v>
      </c>
    </row>
    <row r="19" spans="1:18" x14ac:dyDescent="0.45">
      <c r="A19" s="18" t="s">
        <v>124</v>
      </c>
      <c r="B19" s="11">
        <f>B25</f>
        <v>13</v>
      </c>
      <c r="C19" s="5">
        <f>IF(B$17=0,0,B19/B$17)</f>
        <v>0.35135135135135137</v>
      </c>
      <c r="E19" s="27" t="s">
        <v>85</v>
      </c>
      <c r="F19" s="24" t="s">
        <v>40</v>
      </c>
      <c r="G19" s="12">
        <v>1</v>
      </c>
      <c r="H19" s="88">
        <f>IF(B$20=0,0,G19/B$20)</f>
        <v>2.2222222222222223E-2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-40.980000000000004</v>
      </c>
      <c r="Q19" s="77">
        <v>5</v>
      </c>
      <c r="R19" s="68">
        <v>-204.9</v>
      </c>
    </row>
    <row r="20" spans="1:18" x14ac:dyDescent="0.45">
      <c r="A20" s="18" t="s">
        <v>10</v>
      </c>
      <c r="B20" s="11">
        <f>B23+B22</f>
        <v>45</v>
      </c>
      <c r="C20" s="5">
        <f>IF(B$3=0,0,B20/B$3)</f>
        <v>0.26946107784431139</v>
      </c>
      <c r="E20" s="27" t="s">
        <v>88</v>
      </c>
      <c r="F20" s="24" t="s">
        <v>43</v>
      </c>
      <c r="G20" s="12">
        <v>1</v>
      </c>
      <c r="H20" s="88">
        <f>IF(B$20=0,0,G20/B$20)</f>
        <v>2.2222222222222223E-2</v>
      </c>
      <c r="I20" s="58">
        <v>1</v>
      </c>
      <c r="K20" s="74">
        <v>18</v>
      </c>
      <c r="L20" s="119">
        <v>-91.000000000000014</v>
      </c>
      <c r="M20" s="117">
        <v>1635.974524408329</v>
      </c>
    </row>
    <row r="21" spans="1:18" x14ac:dyDescent="0.45">
      <c r="A21" s="19" t="s">
        <v>13</v>
      </c>
      <c r="B21" s="12">
        <v>32</v>
      </c>
      <c r="C21" s="6">
        <f>IF(B$3=0,0,B21/B$3)</f>
        <v>0.19161676646706588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-143.4</v>
      </c>
      <c r="M21" s="117">
        <v>1626.518677261879</v>
      </c>
    </row>
    <row r="22" spans="1:18" x14ac:dyDescent="0.45">
      <c r="A22" s="19" t="s">
        <v>12</v>
      </c>
      <c r="B22" s="12">
        <v>21</v>
      </c>
      <c r="C22" s="6">
        <f>IF(B$20=0,0,B22/B$20)</f>
        <v>0.46666666666666667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24</v>
      </c>
      <c r="C23" s="6">
        <f>IF(B$20=0,0,B23/B$20)</f>
        <v>0.53333333333333333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19</v>
      </c>
      <c r="C24" s="6">
        <f>IF(B$20=0,0,B24/B$20)</f>
        <v>0.42222222222222222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13</v>
      </c>
      <c r="C25" s="6">
        <f>IF(B$20=0,0,B25/B$20)</f>
        <v>0.28888888888888886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13</v>
      </c>
      <c r="C26" s="6">
        <f>IF(B$20=0,0,B26/B$20)</f>
        <v>0.28888888888888886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8782.2222222222226</v>
      </c>
      <c r="C27" s="8">
        <v>395200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8840.625</v>
      </c>
      <c r="C28" s="96">
        <v>282900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8638.461538461539</v>
      </c>
      <c r="C29" s="96">
        <v>112300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-8484.375</v>
      </c>
      <c r="C30" s="96">
        <v>-271500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5.9880239520958087E-3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8.8888888888888892E-2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0.1111111111111111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2"/>
        <v>0.15555555555555556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0.24444444444444444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6</v>
      </c>
      <c r="C42" s="6">
        <f t="shared" si="2"/>
        <v>0.13333333333333333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4.4444444444444446E-2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2.2222222222222223E-2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</v>
      </c>
      <c r="C2" s="134"/>
      <c r="E2" s="26" t="s">
        <v>72</v>
      </c>
      <c r="F2" s="23" t="s">
        <v>27</v>
      </c>
      <c r="G2" s="11">
        <v>44</v>
      </c>
      <c r="H2" s="87">
        <f>IF(B$20=0,0,G2/B$20)</f>
        <v>0.7857142857142857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-1414.2857142857142</v>
      </c>
      <c r="Q2" s="76">
        <v>21</v>
      </c>
      <c r="R2" s="63">
        <v>-29700</v>
      </c>
    </row>
    <row r="3" spans="1:18" x14ac:dyDescent="0.45">
      <c r="A3" s="19" t="s">
        <v>8</v>
      </c>
      <c r="B3" s="135">
        <v>191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0.6607142857142857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923.80952380952385</v>
      </c>
      <c r="Q3" s="77">
        <v>21</v>
      </c>
      <c r="R3" s="64">
        <v>19400</v>
      </c>
    </row>
    <row r="4" spans="1:18" x14ac:dyDescent="0.45">
      <c r="A4" s="19" t="s">
        <v>6</v>
      </c>
      <c r="B4" s="137">
        <v>15.099999999999994</v>
      </c>
      <c r="C4" s="138"/>
      <c r="E4" s="27" t="s">
        <v>64</v>
      </c>
      <c r="F4" s="24" t="s">
        <v>20</v>
      </c>
      <c r="G4" s="12">
        <v>19</v>
      </c>
      <c r="H4" s="88">
        <f>IF(B$20=0,0,G4/B$20)</f>
        <v>0.3392857142857143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1314.2857142857142</v>
      </c>
      <c r="Q4" s="77">
        <v>21</v>
      </c>
      <c r="R4" s="64">
        <v>27600</v>
      </c>
    </row>
    <row r="5" spans="1:18" x14ac:dyDescent="0.45">
      <c r="A5" s="19" t="s">
        <v>7</v>
      </c>
      <c r="B5" s="125">
        <f>IF(B$2=0,0,B$4/B$2)</f>
        <v>0.71904761904761882</v>
      </c>
      <c r="C5" s="126"/>
      <c r="E5" s="27" t="s">
        <v>68</v>
      </c>
      <c r="F5" s="24" t="s">
        <v>12</v>
      </c>
      <c r="G5" s="12">
        <v>18</v>
      </c>
      <c r="H5" s="88">
        <f>IF(B$20=0,0,G5/B$20)</f>
        <v>0.32142857142857145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923.80952380952385</v>
      </c>
      <c r="Q5" s="77">
        <v>21</v>
      </c>
      <c r="R5" s="64">
        <v>19400</v>
      </c>
    </row>
    <row r="6" spans="1:18" x14ac:dyDescent="0.45">
      <c r="A6" s="19" t="s">
        <v>196</v>
      </c>
      <c r="B6" s="129">
        <v>1453.7114659751883</v>
      </c>
      <c r="C6" s="130"/>
      <c r="E6" s="27" t="s">
        <v>159</v>
      </c>
      <c r="F6" s="24" t="s">
        <v>160</v>
      </c>
      <c r="G6" s="12">
        <v>16</v>
      </c>
      <c r="H6" s="88">
        <f>IF(B$20=0,0,G6/B$20)</f>
        <v>0.2857142857142857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-2428.5714285714284</v>
      </c>
      <c r="Q6" s="77">
        <v>21</v>
      </c>
      <c r="R6" s="64">
        <v>-51000</v>
      </c>
    </row>
    <row r="7" spans="1:18" x14ac:dyDescent="0.45">
      <c r="A7" s="19" t="s">
        <v>1</v>
      </c>
      <c r="B7" s="139">
        <f>IF(B$2=0,0,(B$8*1+B$9*2+B$10*3)/B$2)</f>
        <v>1.9047619047619047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0.25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1587.5</v>
      </c>
      <c r="Q7" s="78">
        <v>16</v>
      </c>
      <c r="R7" s="65">
        <v>25400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0.38095238095238093</v>
      </c>
      <c r="E8" s="27" t="s">
        <v>89</v>
      </c>
      <c r="F8" s="24" t="s">
        <v>44</v>
      </c>
      <c r="G8" s="12">
        <v>7</v>
      </c>
      <c r="H8" s="88">
        <f>IF(B$20=0,0,G8/B$20)</f>
        <v>0.125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0.33333333333333331</v>
      </c>
      <c r="E9" s="27" t="s">
        <v>70</v>
      </c>
      <c r="F9" s="24" t="s">
        <v>25</v>
      </c>
      <c r="G9" s="12">
        <v>6</v>
      </c>
      <c r="H9" s="88">
        <f>IF(B$20=0,0,G9/B$20)</f>
        <v>0.10714285714285714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0.2857142857142857</v>
      </c>
      <c r="E10" s="27" t="s">
        <v>65</v>
      </c>
      <c r="F10" s="24" t="s">
        <v>21</v>
      </c>
      <c r="G10" s="12">
        <v>4</v>
      </c>
      <c r="H10" s="88">
        <f>IF(B$20=0,0,G10/B$20)</f>
        <v>7.1428571428571425E-2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21.862500000000001</v>
      </c>
      <c r="C11" s="110">
        <v>174.9</v>
      </c>
      <c r="E11" s="27" t="s">
        <v>71</v>
      </c>
      <c r="F11" s="24" t="s">
        <v>26</v>
      </c>
      <c r="G11" s="12">
        <v>4</v>
      </c>
      <c r="H11" s="88">
        <f>IF(B$20=0,0,G11/B$20)</f>
        <v>7.1428571428571425E-2</v>
      </c>
      <c r="I11" s="58">
        <v>3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4.6428571428571432</v>
      </c>
      <c r="Q11" s="77">
        <v>7</v>
      </c>
      <c r="R11" s="68">
        <v>32.5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69</v>
      </c>
      <c r="F12" s="24" t="s">
        <v>24</v>
      </c>
      <c r="G12" s="12">
        <v>3</v>
      </c>
      <c r="H12" s="88">
        <f>IF(B$20=0,0,G12/B$20)</f>
        <v>5.3571428571428568E-2</v>
      </c>
      <c r="I12" s="58">
        <v>9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-3.9625000000000021</v>
      </c>
      <c r="Q12" s="78">
        <v>8</v>
      </c>
      <c r="R12" s="69">
        <v>-31.700000000000017</v>
      </c>
    </row>
    <row r="13" spans="1:18" x14ac:dyDescent="0.45">
      <c r="A13" s="20" t="s">
        <v>186</v>
      </c>
      <c r="B13" s="109">
        <f>IF(B10=0,0,C13/B10)</f>
        <v>-34.716666666666661</v>
      </c>
      <c r="C13" s="110">
        <v>-208.29999999999998</v>
      </c>
      <c r="E13" s="27" t="s">
        <v>79</v>
      </c>
      <c r="F13" s="24" t="s">
        <v>34</v>
      </c>
      <c r="G13" s="12">
        <v>2</v>
      </c>
      <c r="H13" s="88">
        <f>IF(B$20=0,0,G13/B$20)</f>
        <v>3.5714285714285712E-2</v>
      </c>
      <c r="I13" s="58">
        <v>2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-1.9751984126984112</v>
      </c>
      <c r="C14" s="126"/>
      <c r="E14" s="27" t="s">
        <v>83</v>
      </c>
      <c r="F14" s="24" t="s">
        <v>38</v>
      </c>
      <c r="G14" s="12">
        <v>2</v>
      </c>
      <c r="H14" s="88">
        <f>IF(B$20=0,0,G14/B$20)</f>
        <v>3.5714285714285712E-2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4.7619047619047616E-2</v>
      </c>
      <c r="E15" s="27" t="s">
        <v>86</v>
      </c>
      <c r="F15" s="24" t="s">
        <v>41</v>
      </c>
      <c r="G15" s="12">
        <v>2</v>
      </c>
      <c r="H15" s="88">
        <f>IF(B$20=0,0,G15/B$20)</f>
        <v>3.5714285714285712E-2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163</v>
      </c>
      <c r="P15" s="82">
        <f>IF(Q15=0,0,R15/Q15)</f>
        <v>40.980000000000004</v>
      </c>
      <c r="Q15" s="76">
        <v>5</v>
      </c>
      <c r="R15" s="67">
        <v>204.90000000000003</v>
      </c>
    </row>
    <row r="16" spans="1:18" x14ac:dyDescent="0.45">
      <c r="A16" s="22" t="s">
        <v>121</v>
      </c>
      <c r="B16" s="15">
        <v>48</v>
      </c>
      <c r="C16" s="10">
        <f>IF(B$3=0,0,B16/B$3)</f>
        <v>0.2513089005235602</v>
      </c>
      <c r="E16" s="27" t="s">
        <v>91</v>
      </c>
      <c r="F16" s="24" t="s">
        <v>46</v>
      </c>
      <c r="G16" s="12">
        <v>2</v>
      </c>
      <c r="H16" s="88">
        <f>IF(B$20=0,0,G16/B$20)</f>
        <v>3.5714285714285712E-2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58</v>
      </c>
      <c r="C17" s="6">
        <f>IF(B$3=0,0,B17/B$3)</f>
        <v>0.30366492146596857</v>
      </c>
      <c r="E17" s="27" t="s">
        <v>81</v>
      </c>
      <c r="F17" s="24" t="s">
        <v>36</v>
      </c>
      <c r="G17" s="12">
        <v>1</v>
      </c>
      <c r="H17" s="88">
        <f>IF(B$20=0,0,G17/B$20)</f>
        <v>1.7857142857142856E-2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20</v>
      </c>
      <c r="C18" s="5">
        <f>IF(B$16=0,0,B18/B$16)</f>
        <v>0.41666666666666669</v>
      </c>
      <c r="E18" s="27" t="s">
        <v>88</v>
      </c>
      <c r="F18" s="24" t="s">
        <v>43</v>
      </c>
      <c r="G18" s="12">
        <v>1</v>
      </c>
      <c r="H18" s="88">
        <f>IF(B$20=0,0,G18/B$20)</f>
        <v>1.7857142857142856E-2</v>
      </c>
      <c r="I18" s="58">
        <v>2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2.1666666666666656</v>
      </c>
      <c r="Q18" s="77">
        <v>18</v>
      </c>
      <c r="R18" s="68">
        <v>38.999999999999979</v>
      </c>
    </row>
    <row r="19" spans="1:18" x14ac:dyDescent="0.45">
      <c r="A19" s="18" t="s">
        <v>124</v>
      </c>
      <c r="B19" s="11">
        <f>B25</f>
        <v>25</v>
      </c>
      <c r="C19" s="5">
        <f>IF(B$17=0,0,B19/B$17)</f>
        <v>0.43103448275862066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56</v>
      </c>
      <c r="C20" s="5">
        <f>IF(B$3=0,0,B20/B$3)</f>
        <v>0.29319371727748689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-24.309090909090912</v>
      </c>
      <c r="Q20" s="77">
        <v>11</v>
      </c>
      <c r="R20" s="68">
        <v>-267.40000000000003</v>
      </c>
    </row>
    <row r="21" spans="1:18" x14ac:dyDescent="0.45">
      <c r="A21" s="19" t="s">
        <v>13</v>
      </c>
      <c r="B21" s="12">
        <v>31</v>
      </c>
      <c r="C21" s="6">
        <f>IF(B$3=0,0,B21/B$3)</f>
        <v>0.16230366492146597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28</v>
      </c>
      <c r="C22" s="6">
        <f>IF(B$20=0,0,B22/B$20)</f>
        <v>0.5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28</v>
      </c>
      <c r="C23" s="6">
        <f>IF(B$20=0,0,B23/B$20)</f>
        <v>0.5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20</v>
      </c>
      <c r="C24" s="6">
        <f>IF(B$20=0,0,B24/B$20)</f>
        <v>0.35714285714285715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7</v>
      </c>
    </row>
    <row r="25" spans="1:18" x14ac:dyDescent="0.45">
      <c r="A25" s="19" t="s">
        <v>181</v>
      </c>
      <c r="B25" s="12">
        <v>25</v>
      </c>
      <c r="C25" s="6">
        <f>IF(B$20=0,0,B25/B$20)</f>
        <v>0.44642857142857145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11</v>
      </c>
      <c r="C26" s="6">
        <f>IF(B$20=0,0,B26/B$20)</f>
        <v>0.19642857142857142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6966.0714285714284</v>
      </c>
      <c r="C27" s="8">
        <v>390100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8029.0322580645161</v>
      </c>
      <c r="C28" s="96">
        <v>248900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5648</v>
      </c>
      <c r="C29" s="96">
        <v>141200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-7290.322580645161</v>
      </c>
      <c r="C30" s="96">
        <v>-226000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64100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5.235602094240838E-3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7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2"/>
        <v>0.32142857142857145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0.19642857142857142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3.5714285714285712E-2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3.5714285714285712E-2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3.5714285714285712E-2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1.7857142857142856E-2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7.1428571428571425E-2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3.5714285714285712E-2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8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6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50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-862.5</v>
      </c>
      <c r="Q2" s="76">
        <v>24</v>
      </c>
      <c r="R2" s="63">
        <v>-20700</v>
      </c>
    </row>
    <row r="3" spans="1:18" x14ac:dyDescent="0.45">
      <c r="A3" s="19" t="s">
        <v>8</v>
      </c>
      <c r="B3" s="135">
        <v>188</v>
      </c>
      <c r="C3" s="136"/>
      <c r="E3" s="27" t="s">
        <v>72</v>
      </c>
      <c r="F3" s="24" t="s">
        <v>27</v>
      </c>
      <c r="G3" s="12">
        <v>38</v>
      </c>
      <c r="H3" s="88">
        <f>IF(B$20=0,0,G3/B$20)</f>
        <v>0.6333333333333333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833.33333333333337</v>
      </c>
      <c r="Q3" s="77">
        <v>24</v>
      </c>
      <c r="R3" s="64">
        <v>20000</v>
      </c>
    </row>
    <row r="4" spans="1:18" x14ac:dyDescent="0.45">
      <c r="A4" s="19" t="s">
        <v>6</v>
      </c>
      <c r="B4" s="137">
        <v>108.79999999999998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0.38333333333333336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2129.1666666666665</v>
      </c>
      <c r="Q4" s="77">
        <v>24</v>
      </c>
      <c r="R4" s="64">
        <v>51100</v>
      </c>
    </row>
    <row r="5" spans="1:18" x14ac:dyDescent="0.45">
      <c r="A5" s="19" t="s">
        <v>7</v>
      </c>
      <c r="B5" s="125">
        <f>IF(B$2=0,0,B$4/B$2)</f>
        <v>4.5333333333333323</v>
      </c>
      <c r="C5" s="126"/>
      <c r="E5" s="27" t="s">
        <v>67</v>
      </c>
      <c r="F5" s="24" t="s">
        <v>23</v>
      </c>
      <c r="G5" s="12">
        <v>16</v>
      </c>
      <c r="H5" s="88">
        <f>IF(B$20=0,0,G5/B$20)</f>
        <v>0.26666666666666666</v>
      </c>
      <c r="I5" s="58">
        <v>2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-442.85714285714283</v>
      </c>
      <c r="Q5" s="77">
        <v>21</v>
      </c>
      <c r="R5" s="64">
        <v>-9300</v>
      </c>
    </row>
    <row r="6" spans="1:18" x14ac:dyDescent="0.45">
      <c r="A6" s="19" t="s">
        <v>196</v>
      </c>
      <c r="B6" s="129">
        <v>1519.7959242754243</v>
      </c>
      <c r="C6" s="130"/>
      <c r="E6" s="27" t="s">
        <v>159</v>
      </c>
      <c r="F6" s="24" t="s">
        <v>160</v>
      </c>
      <c r="G6" s="12">
        <v>14</v>
      </c>
      <c r="H6" s="88">
        <f>IF(B$20=0,0,G6/B$20)</f>
        <v>0.23333333333333334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2564.705882352941</v>
      </c>
      <c r="Q6" s="77">
        <v>17</v>
      </c>
      <c r="R6" s="64">
        <v>43600</v>
      </c>
    </row>
    <row r="7" spans="1:18" x14ac:dyDescent="0.45">
      <c r="A7" s="19" t="s">
        <v>1</v>
      </c>
      <c r="B7" s="139">
        <f>IF(B$2=0,0,(B$8*1+B$9*2+B$10*3)/B$2)</f>
        <v>1.875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0.21666666666666667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1005.8823529411765</v>
      </c>
      <c r="Q7" s="78">
        <v>17</v>
      </c>
      <c r="R7" s="65">
        <v>17100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10</v>
      </c>
      <c r="H8" s="88">
        <f>IF(B$20=0,0,G8/B$20)</f>
        <v>0.16666666666666666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0.29166666666666669</v>
      </c>
      <c r="E9" s="27" t="s">
        <v>69</v>
      </c>
      <c r="F9" s="24" t="s">
        <v>24</v>
      </c>
      <c r="G9" s="12">
        <v>8</v>
      </c>
      <c r="H9" s="88">
        <f>IF(B$20=0,0,G9/B$20)</f>
        <v>0.13333333333333333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0.29166666666666669</v>
      </c>
      <c r="E10" s="27" t="s">
        <v>71</v>
      </c>
      <c r="F10" s="24" t="s">
        <v>26</v>
      </c>
      <c r="G10" s="12">
        <v>6</v>
      </c>
      <c r="H10" s="88">
        <f>IF(B$20=0,0,G10/B$20)</f>
        <v>0.1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-1.8200000000000003</v>
      </c>
      <c r="Q10" s="76">
        <v>5</v>
      </c>
      <c r="R10" s="67">
        <v>-9.1000000000000014</v>
      </c>
    </row>
    <row r="11" spans="1:18" x14ac:dyDescent="0.45">
      <c r="A11" s="20" t="s">
        <v>184</v>
      </c>
      <c r="B11" s="109">
        <f>IF(B8=0,0,C11/B8)</f>
        <v>32.450000000000003</v>
      </c>
      <c r="C11" s="110">
        <v>324.5</v>
      </c>
      <c r="E11" s="27" t="s">
        <v>86</v>
      </c>
      <c r="F11" s="24" t="s">
        <v>41</v>
      </c>
      <c r="G11" s="12">
        <v>6</v>
      </c>
      <c r="H11" s="88">
        <f>IF(B$20=0,0,G11/B$20)</f>
        <v>0.1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8.3333333333333329E-2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10.018181818181818</v>
      </c>
      <c r="Q12" s="78">
        <v>11</v>
      </c>
      <c r="R12" s="69">
        <v>110.2</v>
      </c>
    </row>
    <row r="13" spans="1:18" x14ac:dyDescent="0.45">
      <c r="A13" s="20" t="s">
        <v>186</v>
      </c>
      <c r="B13" s="109">
        <f>IF(B10=0,0,C13/B10)</f>
        <v>-31.457142857142859</v>
      </c>
      <c r="C13" s="110">
        <v>-220.20000000000002</v>
      </c>
      <c r="E13" s="27" t="s">
        <v>65</v>
      </c>
      <c r="F13" s="24" t="s">
        <v>21</v>
      </c>
      <c r="G13" s="12">
        <v>3</v>
      </c>
      <c r="H13" s="88">
        <f>IF(B$20=0,0,G13/B$20)</f>
        <v>0.05</v>
      </c>
      <c r="I13" s="58">
        <v>8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0.54523809523809652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0.05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8.3333333333333329E-2</v>
      </c>
      <c r="E15" s="27" t="s">
        <v>83</v>
      </c>
      <c r="F15" s="24" t="s">
        <v>38</v>
      </c>
      <c r="G15" s="12">
        <v>3</v>
      </c>
      <c r="H15" s="88">
        <f>IF(B$20=0,0,G15/B$20)</f>
        <v>0.05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41</v>
      </c>
      <c r="C16" s="10">
        <f>IF(B$3=0,0,B16/B$3)</f>
        <v>0.21808510638297873</v>
      </c>
      <c r="E16" s="27" t="s">
        <v>70</v>
      </c>
      <c r="F16" s="24" t="s">
        <v>25</v>
      </c>
      <c r="G16" s="12">
        <v>2</v>
      </c>
      <c r="H16" s="88">
        <f>IF(B$20=0,0,G16/B$20)</f>
        <v>3.3333333333333333E-2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45</v>
      </c>
      <c r="C17" s="6">
        <f>IF(B$3=0,0,B17/B$3)</f>
        <v>0.23936170212765959</v>
      </c>
      <c r="E17" s="27" t="s">
        <v>73</v>
      </c>
      <c r="F17" s="24" t="s">
        <v>28</v>
      </c>
      <c r="G17" s="12">
        <v>2</v>
      </c>
      <c r="H17" s="88">
        <f>IF(B$20=0,0,G17/B$20)</f>
        <v>3.3333333333333333E-2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0.56097560975609762</v>
      </c>
      <c r="E18" s="27" t="s">
        <v>78</v>
      </c>
      <c r="F18" s="24" t="s">
        <v>33</v>
      </c>
      <c r="G18" s="12">
        <v>2</v>
      </c>
      <c r="H18" s="88">
        <f>IF(B$20=0,0,G18/B$20)</f>
        <v>3.3333333333333333E-2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15.227272727272727</v>
      </c>
      <c r="Q18" s="77">
        <v>11</v>
      </c>
      <c r="R18" s="68">
        <v>167.5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0.53333333333333333</v>
      </c>
      <c r="E19" s="27" t="s">
        <v>75</v>
      </c>
      <c r="F19" s="24" t="s">
        <v>30</v>
      </c>
      <c r="G19" s="12">
        <v>1</v>
      </c>
      <c r="H19" s="88">
        <f>IF(B$20=0,0,G19/B$20)</f>
        <v>1.6666666666666666E-2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163</v>
      </c>
      <c r="P19" s="83">
        <f t="shared" si="2"/>
        <v>9.35</v>
      </c>
      <c r="Q19" s="77">
        <v>6</v>
      </c>
      <c r="R19" s="68">
        <v>56.1</v>
      </c>
    </row>
    <row r="20" spans="1:18" x14ac:dyDescent="0.45">
      <c r="A20" s="18" t="s">
        <v>10</v>
      </c>
      <c r="B20" s="11">
        <f>B23+B22</f>
        <v>60</v>
      </c>
      <c r="C20" s="5">
        <f>IF(B$3=0,0,B20/B$3)</f>
        <v>0.31914893617021278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28</v>
      </c>
      <c r="C21" s="6">
        <f>IF(B$3=0,0,B21/B$3)</f>
        <v>0.14893617021276595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24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36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23</v>
      </c>
      <c r="C24" s="6">
        <f>IF(B$20=0,0,B24/B$20)</f>
        <v>0.38333333333333336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24</v>
      </c>
      <c r="C25" s="6">
        <f>IF(B$20=0,0,B25/B$20)</f>
        <v>0.4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13</v>
      </c>
      <c r="C26" s="6">
        <f>IF(B$20=0,0,B26/B$20)</f>
        <v>0.21666666666666667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8231.6666666666661</v>
      </c>
      <c r="C27" s="8">
        <v>493900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8786.1111111111113</v>
      </c>
      <c r="C28" s="96">
        <v>316300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7400</v>
      </c>
      <c r="C29" s="96">
        <v>177600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-6732.1428571428569</v>
      </c>
      <c r="C30" s="96">
        <v>-188500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5.3191489361702126E-3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14</v>
      </c>
      <c r="C38" s="6">
        <f t="shared" si="3"/>
        <v>0.23333333333333334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3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6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8.3333333333333329E-2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1.6666666666666666E-2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1.6666666666666666E-2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73</v>
      </c>
      <c r="H2" s="87">
        <f>IF(B$20=0,0,G2/B$20)</f>
        <v>0.80219780219780223</v>
      </c>
      <c r="I2" s="57">
        <v>4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420</v>
      </c>
      <c r="Q2" s="76">
        <v>30</v>
      </c>
      <c r="R2" s="63">
        <v>12600</v>
      </c>
    </row>
    <row r="3" spans="1:18" x14ac:dyDescent="0.45">
      <c r="A3" s="19" t="s">
        <v>8</v>
      </c>
      <c r="B3" s="135">
        <v>260</v>
      </c>
      <c r="C3" s="136"/>
      <c r="E3" s="27" t="s">
        <v>72</v>
      </c>
      <c r="F3" s="24" t="s">
        <v>27</v>
      </c>
      <c r="G3" s="12">
        <v>54</v>
      </c>
      <c r="H3" s="88">
        <f>IF(B$20=0,0,G3/B$20)</f>
        <v>0.59340659340659341</v>
      </c>
      <c r="I3" s="58">
        <v>7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1910.7142857142858</v>
      </c>
      <c r="Q3" s="77">
        <v>28</v>
      </c>
      <c r="R3" s="64">
        <v>53500</v>
      </c>
    </row>
    <row r="4" spans="1:18" x14ac:dyDescent="0.45">
      <c r="A4" s="19" t="s">
        <v>6</v>
      </c>
      <c r="B4" s="137">
        <v>252.59999999999997</v>
      </c>
      <c r="C4" s="138"/>
      <c r="E4" s="27" t="s">
        <v>159</v>
      </c>
      <c r="F4" s="24" t="s">
        <v>160</v>
      </c>
      <c r="G4" s="12">
        <v>44</v>
      </c>
      <c r="H4" s="88">
        <f>IF(B$20=0,0,G4/B$20)</f>
        <v>0.48351648351648352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455.17241379310343</v>
      </c>
      <c r="Q4" s="77">
        <v>29</v>
      </c>
      <c r="R4" s="64">
        <v>13200</v>
      </c>
    </row>
    <row r="5" spans="1:18" x14ac:dyDescent="0.45">
      <c r="A5" s="19" t="s">
        <v>7</v>
      </c>
      <c r="B5" s="125">
        <f>IF(B$2=0,0,B$4/B$2)</f>
        <v>8.4199999999999982</v>
      </c>
      <c r="C5" s="126"/>
      <c r="E5" s="27" t="s">
        <v>64</v>
      </c>
      <c r="F5" s="24" t="s">
        <v>20</v>
      </c>
      <c r="G5" s="12">
        <v>30</v>
      </c>
      <c r="H5" s="88">
        <f>IF(B$20=0,0,G5/B$20)</f>
        <v>0.32967032967032966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-634.61538461538464</v>
      </c>
      <c r="Q5" s="77">
        <v>26</v>
      </c>
      <c r="R5" s="64">
        <v>-16500</v>
      </c>
    </row>
    <row r="6" spans="1:18" x14ac:dyDescent="0.45">
      <c r="A6" s="19" t="s">
        <v>196</v>
      </c>
      <c r="B6" s="129">
        <v>1574.2506528365298</v>
      </c>
      <c r="C6" s="130"/>
      <c r="E6" s="27" t="s">
        <v>68</v>
      </c>
      <c r="F6" s="24" t="s">
        <v>12</v>
      </c>
      <c r="G6" s="12">
        <v>26</v>
      </c>
      <c r="H6" s="88">
        <f>IF(B$20=0,0,G6/B$20)</f>
        <v>0.2857142857142857</v>
      </c>
      <c r="I6" s="58">
        <v>7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1891.6666666666667</v>
      </c>
      <c r="Q6" s="77">
        <v>24</v>
      </c>
      <c r="R6" s="64">
        <v>45400</v>
      </c>
    </row>
    <row r="7" spans="1:18" x14ac:dyDescent="0.45">
      <c r="A7" s="19" t="s">
        <v>1</v>
      </c>
      <c r="B7" s="139">
        <f>IF(B$2=0,0,(B$8*1+B$9*2+B$10*3)/B$2)</f>
        <v>1.7333333333333334</v>
      </c>
      <c r="C7" s="140"/>
      <c r="E7" s="27" t="s">
        <v>70</v>
      </c>
      <c r="F7" s="24" t="s">
        <v>25</v>
      </c>
      <c r="G7" s="12">
        <v>14</v>
      </c>
      <c r="H7" s="88">
        <f>IF(B$20=0,0,G7/B$20)</f>
        <v>0.15384615384615385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-90</v>
      </c>
      <c r="Q7" s="78">
        <v>20</v>
      </c>
      <c r="R7" s="65">
        <v>-1800</v>
      </c>
    </row>
    <row r="8" spans="1:18" x14ac:dyDescent="0.45">
      <c r="A8" s="19" t="s">
        <v>2</v>
      </c>
      <c r="B8" s="12">
        <v>15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13</v>
      </c>
      <c r="H8" s="88">
        <f>IF(B$20=0,0,G8/B$20)</f>
        <v>0.14285714285714285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0.26666666666666666</v>
      </c>
      <c r="E9" s="27" t="s">
        <v>89</v>
      </c>
      <c r="F9" s="24" t="s">
        <v>44</v>
      </c>
      <c r="G9" s="12">
        <v>10</v>
      </c>
      <c r="H9" s="88">
        <f>IF(B$20=0,0,G9/B$20)</f>
        <v>0.10989010989010989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0.23333333333333334</v>
      </c>
      <c r="E10" s="27" t="s">
        <v>69</v>
      </c>
      <c r="F10" s="24" t="s">
        <v>24</v>
      </c>
      <c r="G10" s="12">
        <v>8</v>
      </c>
      <c r="H10" s="88">
        <f>IF(B$20=0,0,G10/B$20)</f>
        <v>8.7912087912087919E-2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16.421428571428571</v>
      </c>
      <c r="Q10" s="76">
        <v>14</v>
      </c>
      <c r="R10" s="67">
        <v>229.89999999999998</v>
      </c>
    </row>
    <row r="11" spans="1:18" x14ac:dyDescent="0.45">
      <c r="A11" s="20" t="s">
        <v>184</v>
      </c>
      <c r="B11" s="109">
        <f>IF(B8=0,0,C11/B8)</f>
        <v>36.4</v>
      </c>
      <c r="C11" s="110">
        <v>546</v>
      </c>
      <c r="E11" s="27" t="s">
        <v>71</v>
      </c>
      <c r="F11" s="24" t="s">
        <v>26</v>
      </c>
      <c r="G11" s="12">
        <v>8</v>
      </c>
      <c r="H11" s="88">
        <f>IF(B$20=0,0,G11/B$20)</f>
        <v>8.7912087912087919E-2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-3.9454545454545453</v>
      </c>
      <c r="Q11" s="77">
        <v>11</v>
      </c>
      <c r="R11" s="68">
        <v>-43.4</v>
      </c>
    </row>
    <row r="12" spans="1:18" x14ac:dyDescent="0.45">
      <c r="A12" s="20" t="s">
        <v>185</v>
      </c>
      <c r="B12" s="109">
        <f>IF(B9=0,0,C12/B9)</f>
        <v>-5.6875</v>
      </c>
      <c r="C12" s="110">
        <v>-45.5</v>
      </c>
      <c r="E12" s="27" t="s">
        <v>78</v>
      </c>
      <c r="F12" s="24" t="s">
        <v>33</v>
      </c>
      <c r="G12" s="12">
        <v>4</v>
      </c>
      <c r="H12" s="88">
        <f>IF(B$20=0,0,G12/B$20)</f>
        <v>4.3956043956043959E-2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13.219999999999999</v>
      </c>
      <c r="Q12" s="78">
        <v>5</v>
      </c>
      <c r="R12" s="69">
        <v>66.099999999999994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86</v>
      </c>
      <c r="F13" s="24" t="s">
        <v>41</v>
      </c>
      <c r="G13" s="12">
        <v>3</v>
      </c>
      <c r="H13" s="88">
        <f>IF(B$20=0,0,G13/B$20)</f>
        <v>3.2967032967032968E-2</v>
      </c>
      <c r="I13" s="58">
        <v>8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-1.5672619047619065</v>
      </c>
      <c r="C14" s="126"/>
      <c r="E14" s="27" t="s">
        <v>65</v>
      </c>
      <c r="F14" s="24" t="s">
        <v>21</v>
      </c>
      <c r="G14" s="12">
        <v>2</v>
      </c>
      <c r="H14" s="88">
        <f>IF(B$20=0,0,G14/B$20)</f>
        <v>2.197802197802198E-2</v>
      </c>
      <c r="I14" s="58">
        <v>10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6.6666666666666666E-2</v>
      </c>
      <c r="E15" s="27" t="s">
        <v>79</v>
      </c>
      <c r="F15" s="24" t="s">
        <v>34</v>
      </c>
      <c r="G15" s="12">
        <v>2</v>
      </c>
      <c r="H15" s="88">
        <f>IF(B$20=0,0,G15/B$20)</f>
        <v>2.197802197802198E-2</v>
      </c>
      <c r="I15" s="58">
        <v>4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60</v>
      </c>
      <c r="C16" s="10">
        <f>IF(B$3=0,0,B16/B$3)</f>
        <v>0.23076923076923078</v>
      </c>
      <c r="E16" s="27" t="s">
        <v>83</v>
      </c>
      <c r="F16" s="24" t="s">
        <v>38</v>
      </c>
      <c r="G16" s="12">
        <v>2</v>
      </c>
      <c r="H16" s="88">
        <f>IF(B$20=0,0,G16/B$20)</f>
        <v>2.197802197802198E-2</v>
      </c>
      <c r="I16" s="58">
        <v>8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63</v>
      </c>
      <c r="C17" s="6">
        <f>IF(B$3=0,0,B17/B$3)</f>
        <v>0.24230769230769231</v>
      </c>
      <c r="E17" s="27" t="s">
        <v>73</v>
      </c>
      <c r="F17" s="24" t="s">
        <v>28</v>
      </c>
      <c r="G17" s="12">
        <v>1</v>
      </c>
      <c r="H17" s="88">
        <f>IF(B$20=0,0,G17/B$20)</f>
        <v>1.098901098901099E-2</v>
      </c>
      <c r="I17" s="58">
        <v>2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24.309090909090909</v>
      </c>
      <c r="Q17" s="77">
        <v>11</v>
      </c>
      <c r="R17" s="68">
        <v>267.39999999999998</v>
      </c>
    </row>
    <row r="18" spans="1:18" x14ac:dyDescent="0.45">
      <c r="A18" s="18" t="s">
        <v>123</v>
      </c>
      <c r="B18" s="11">
        <f>B24</f>
        <v>31</v>
      </c>
      <c r="C18" s="5">
        <f>IF(B$16=0,0,B18/B$16)</f>
        <v>0.51666666666666672</v>
      </c>
      <c r="E18" s="27" t="s">
        <v>81</v>
      </c>
      <c r="F18" s="24" t="s">
        <v>36</v>
      </c>
      <c r="G18" s="12">
        <v>1</v>
      </c>
      <c r="H18" s="88">
        <f>IF(B$20=0,0,G18/B$20)</f>
        <v>1.098901098901099E-2</v>
      </c>
      <c r="I18" s="58">
        <v>9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0.49206349206349204</v>
      </c>
      <c r="E19" s="27" t="s">
        <v>88</v>
      </c>
      <c r="F19" s="24" t="s">
        <v>43</v>
      </c>
      <c r="G19" s="12">
        <v>1</v>
      </c>
      <c r="H19" s="88">
        <f>IF(B$20=0,0,G19/B$20)</f>
        <v>1.098901098901099E-2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91</v>
      </c>
      <c r="C20" s="5">
        <f>IF(B$3=0,0,B20/B$3)</f>
        <v>0.35</v>
      </c>
      <c r="E20" s="27" t="s">
        <v>92</v>
      </c>
      <c r="F20" s="24" t="s">
        <v>47</v>
      </c>
      <c r="G20" s="12">
        <v>1</v>
      </c>
      <c r="H20" s="88">
        <f>IF(B$20=0,0,G20/B$20)</f>
        <v>1.098901098901099E-2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10.254166666666666</v>
      </c>
      <c r="Q20" s="77">
        <v>24</v>
      </c>
      <c r="R20" s="68">
        <v>246.1</v>
      </c>
    </row>
    <row r="21" spans="1:18" x14ac:dyDescent="0.45">
      <c r="A21" s="19" t="s">
        <v>13</v>
      </c>
      <c r="B21" s="12">
        <v>38</v>
      </c>
      <c r="C21" s="6">
        <f>IF(B$3=0,0,B21/B$3)</f>
        <v>0.14615384615384616</v>
      </c>
      <c r="E21" s="27" t="s">
        <v>102</v>
      </c>
      <c r="F21" s="24" t="s">
        <v>57</v>
      </c>
      <c r="G21" s="12">
        <v>1</v>
      </c>
      <c r="H21" s="88">
        <f>IF(B$20=0,0,G21/B$20)</f>
        <v>1.098901098901099E-2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38</v>
      </c>
      <c r="C22" s="6">
        <f>IF(B$20=0,0,B22/B$20)</f>
        <v>0.4175824175824176</v>
      </c>
      <c r="E22" s="27" t="s">
        <v>155</v>
      </c>
      <c r="F22" s="24" t="s">
        <v>156</v>
      </c>
      <c r="G22" s="12">
        <v>1</v>
      </c>
      <c r="H22" s="88">
        <f>IF(B$20=0,0,G22/B$20)</f>
        <v>1.098901098901099E-2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53</v>
      </c>
      <c r="C23" s="6">
        <f>IF(B$20=0,0,B23/B$20)</f>
        <v>0.58241758241758246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31</v>
      </c>
      <c r="C24" s="6">
        <f>IF(B$20=0,0,B24/B$20)</f>
        <v>0.34065934065934067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31</v>
      </c>
      <c r="C25" s="6">
        <f>IF(B$20=0,0,B25/B$20)</f>
        <v>0.34065934065934067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29</v>
      </c>
      <c r="C26" s="6">
        <f>IF(B$20=0,0,B26/B$20)</f>
        <v>0.31868131868131866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7987.9120879120883</v>
      </c>
      <c r="C27" s="8">
        <v>726900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9453.3333333333339</v>
      </c>
      <c r="C28" s="96">
        <v>567200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5151.6129032258068</v>
      </c>
      <c r="C29" s="96">
        <v>159700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-7542.105263157895</v>
      </c>
      <c r="C30" s="96">
        <v>-286600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9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</row>
    <row r="34" spans="1:9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9</v>
      </c>
      <c r="C37" s="98">
        <f t="shared" ref="C37:C49" si="2">IF(B$20=0,0,B37/B$20)</f>
        <v>9.8901098901098897E-2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2"/>
        <v>0.23076923076923078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20</v>
      </c>
      <c r="C39" s="6">
        <f t="shared" si="2"/>
        <v>0.21978021978021978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15</v>
      </c>
      <c r="C40" s="6">
        <f t="shared" si="2"/>
        <v>0.16483516483516483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0.12087912087912088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2.197802197802198E-2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7</v>
      </c>
      <c r="C43" s="6">
        <f t="shared" si="2"/>
        <v>7.6923076923076927E-2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2.197802197802198E-2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1.098901098901099E-2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1.098901098901099E-2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2.197802197802198E-2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0.5357142857142857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-1568.75</v>
      </c>
      <c r="Q2" s="76">
        <v>16</v>
      </c>
      <c r="R2" s="63">
        <v>-25100</v>
      </c>
    </row>
    <row r="3" spans="1:18" x14ac:dyDescent="0.45">
      <c r="A3" s="19" t="s">
        <v>8</v>
      </c>
      <c r="B3" s="135">
        <v>124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-1600</v>
      </c>
      <c r="Q3" s="77">
        <v>16</v>
      </c>
      <c r="R3" s="64">
        <v>-25600</v>
      </c>
    </row>
    <row r="4" spans="1:18" x14ac:dyDescent="0.45">
      <c r="A4" s="19" t="s">
        <v>6</v>
      </c>
      <c r="B4" s="137">
        <v>-148.19999999999999</v>
      </c>
      <c r="C4" s="138"/>
      <c r="E4" s="27" t="s">
        <v>64</v>
      </c>
      <c r="F4" s="24" t="s">
        <v>20</v>
      </c>
      <c r="G4" s="12">
        <v>12</v>
      </c>
      <c r="H4" s="88">
        <f>IF(B$20=0,0,G4/B$20)</f>
        <v>0.42857142857142855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-4525</v>
      </c>
      <c r="Q4" s="77">
        <v>16</v>
      </c>
      <c r="R4" s="64">
        <v>-72400</v>
      </c>
    </row>
    <row r="5" spans="1:18" x14ac:dyDescent="0.45">
      <c r="A5" s="19" t="s">
        <v>7</v>
      </c>
      <c r="B5" s="125">
        <f>IF(B$2=0,0,B$4/B$2)</f>
        <v>-9.2624999999999993</v>
      </c>
      <c r="C5" s="126"/>
      <c r="E5" s="27" t="s">
        <v>159</v>
      </c>
      <c r="F5" s="24" t="s">
        <v>160</v>
      </c>
      <c r="G5" s="12">
        <v>11</v>
      </c>
      <c r="H5" s="88">
        <f>IF(B$20=0,0,G5/B$20)</f>
        <v>0.39285714285714285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-406.66666666666669</v>
      </c>
      <c r="Q5" s="77">
        <v>15</v>
      </c>
      <c r="R5" s="64">
        <v>-6100</v>
      </c>
    </row>
    <row r="6" spans="1:18" x14ac:dyDescent="0.45">
      <c r="A6" s="19" t="s">
        <v>196</v>
      </c>
      <c r="B6" s="129">
        <v>1480.2801364124439</v>
      </c>
      <c r="C6" s="130"/>
      <c r="E6" s="27" t="s">
        <v>68</v>
      </c>
      <c r="F6" s="24" t="s">
        <v>12</v>
      </c>
      <c r="G6" s="12">
        <v>8</v>
      </c>
      <c r="H6" s="88">
        <f>IF(B$20=0,0,G6/B$20)</f>
        <v>0.2857142857142857</v>
      </c>
      <c r="I6" s="58">
        <v>7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-283.33333333333331</v>
      </c>
      <c r="Q6" s="77">
        <v>12</v>
      </c>
      <c r="R6" s="64">
        <v>-3400</v>
      </c>
    </row>
    <row r="7" spans="1:18" x14ac:dyDescent="0.45">
      <c r="A7" s="19" t="s">
        <v>1</v>
      </c>
      <c r="B7" s="139">
        <f>IF(B$2=0,0,(B$8*1+B$9*2+B$10*3)/B$2)</f>
        <v>2.1875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0.21428571428571427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4</v>
      </c>
      <c r="H8" s="88">
        <f>IF(B$20=0,0,G8/B$20)</f>
        <v>0.14285714285714285</v>
      </c>
      <c r="I8" s="58">
        <v>3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0.3125</v>
      </c>
      <c r="E9" s="27" t="s">
        <v>70</v>
      </c>
      <c r="F9" s="24" t="s">
        <v>25</v>
      </c>
      <c r="G9" s="12">
        <v>4</v>
      </c>
      <c r="H9" s="88">
        <f>IF(B$20=0,0,G9/B$20)</f>
        <v>0.14285714285714285</v>
      </c>
      <c r="I9" s="58">
        <v>3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0.4375</v>
      </c>
      <c r="E10" s="27" t="s">
        <v>67</v>
      </c>
      <c r="F10" s="24" t="s">
        <v>23</v>
      </c>
      <c r="G10" s="12">
        <v>3</v>
      </c>
      <c r="H10" s="88">
        <f>IF(B$20=0,0,G10/B$20)</f>
        <v>0.10714285714285714</v>
      </c>
      <c r="I10" s="58">
        <v>10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0.10714285714285714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-25.1</v>
      </c>
      <c r="Q11" s="77">
        <v>4</v>
      </c>
      <c r="R11" s="68">
        <v>-100.4</v>
      </c>
    </row>
    <row r="12" spans="1:18" x14ac:dyDescent="0.45">
      <c r="A12" s="20" t="s">
        <v>185</v>
      </c>
      <c r="B12" s="109">
        <f>IF(B9=0,0,C12/B9)</f>
        <v>-3.66</v>
      </c>
      <c r="C12" s="110">
        <v>-18.3</v>
      </c>
      <c r="E12" s="27" t="s">
        <v>69</v>
      </c>
      <c r="F12" s="24" t="s">
        <v>24</v>
      </c>
      <c r="G12" s="12">
        <v>2</v>
      </c>
      <c r="H12" s="88">
        <f>IF(B$20=0,0,G12/B$20)</f>
        <v>7.1428571428571425E-2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-40.771428571428565</v>
      </c>
      <c r="C13" s="110">
        <v>-285.39999999999998</v>
      </c>
      <c r="E13" s="27" t="s">
        <v>71</v>
      </c>
      <c r="F13" s="24" t="s">
        <v>26</v>
      </c>
      <c r="G13" s="12">
        <v>2</v>
      </c>
      <c r="H13" s="88">
        <f>IF(B$20=0,0,G13/B$20)</f>
        <v>7.1428571428571425E-2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-1.852142857142854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7.1428571428571425E-2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0.125</v>
      </c>
      <c r="E15" s="27" t="s">
        <v>81</v>
      </c>
      <c r="F15" s="24" t="s">
        <v>36</v>
      </c>
      <c r="G15" s="12">
        <v>1</v>
      </c>
      <c r="H15" s="88">
        <f>IF(B$20=0,0,G15/B$20)</f>
        <v>3.5714285714285712E-2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29</v>
      </c>
      <c r="C16" s="10">
        <f>IF(B$3=0,0,B16/B$3)</f>
        <v>0.23387096774193547</v>
      </c>
      <c r="E16" s="27" t="s">
        <v>85</v>
      </c>
      <c r="F16" s="24" t="s">
        <v>40</v>
      </c>
      <c r="G16" s="12">
        <v>1</v>
      </c>
      <c r="H16" s="88">
        <f>IF(B$20=0,0,G16/B$20)</f>
        <v>3.5714285714285712E-2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23</v>
      </c>
      <c r="C17" s="6">
        <f>IF(B$3=0,0,B17/B$3)</f>
        <v>0.18548387096774194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-15.227272727272727</v>
      </c>
      <c r="Q17" s="77">
        <v>11</v>
      </c>
      <c r="R17" s="68">
        <v>-167.5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0.48275862068965519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28</v>
      </c>
      <c r="C20" s="5">
        <f>IF(B$3=0,0,B20/B$3)</f>
        <v>0.22580645161290322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27</v>
      </c>
      <c r="C21" s="6">
        <f>IF(B$3=0,0,B21/B$3)</f>
        <v>0.21774193548387097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12</v>
      </c>
      <c r="C22" s="6">
        <f>IF(B$20=0,0,B22/B$20)</f>
        <v>0.42857142857142855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0.5714285714285714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7</v>
      </c>
      <c r="C26" s="6">
        <f>IF(B$20=0,0,B26/B$20)</f>
        <v>0.25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7367.8571428571431</v>
      </c>
      <c r="C27" s="8">
        <v>206300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8190.4761904761908</v>
      </c>
      <c r="C28" s="96">
        <v>172000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-7988.8888888888887</v>
      </c>
      <c r="C30" s="96">
        <v>-215700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3">IF(B$20=0,0,B37/B$20)</f>
        <v>0.17857142857142858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0.21428571428571427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3.5714285714285712E-2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0.21428571428571427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3"/>
        <v>0.14285714285714285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0.10714285714285714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7.1428571428571425E-2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3.5714285714285712E-2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10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10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5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6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2020-10-28T08:51:45Z</dcterms:modified>
</cp:coreProperties>
</file>