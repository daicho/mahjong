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2A82F5F1-29CC-4AA1-84A0-B227E53A555F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7" i="6990"/>
  <c r="P20" i="6994"/>
  <c r="P23" i="6984"/>
  <c r="P15" i="6984"/>
  <c r="P18" i="6996" l="1"/>
  <c r="P16" i="6994"/>
  <c r="P17" i="6982"/>
  <c r="P20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9" i="6992"/>
  <c r="H25" i="6992"/>
  <c r="C25" i="6992"/>
  <c r="H42" i="6992"/>
  <c r="H45" i="6992"/>
  <c r="H49" i="6992"/>
  <c r="H9" i="6992"/>
  <c r="C42" i="6992"/>
  <c r="H18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2" i="6992"/>
  <c r="H46" i="6992"/>
  <c r="H50" i="6992"/>
  <c r="H6" i="6992"/>
  <c r="H10" i="6992"/>
  <c r="H23" i="6992"/>
  <c r="H29" i="6992"/>
  <c r="H20" i="6992"/>
  <c r="H21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3" i="6982" l="1"/>
  <c r="P21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1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2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2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2" i="6980"/>
  <c r="P21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C43" i="6984" l="1"/>
  <c r="B14" i="6984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0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3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2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5" i="6984"/>
  <c r="H37" i="6984"/>
  <c r="C40" i="6984"/>
  <c r="C44" i="6984"/>
  <c r="C48" i="6984"/>
  <c r="H38" i="6984"/>
  <c r="H42" i="6984"/>
  <c r="H46" i="6984"/>
  <c r="H50" i="6984"/>
  <c r="H18" i="6984"/>
  <c r="H17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<sst xmlns="http://schemas.openxmlformats.org/spreadsheetml/2006/main" count="3529" uniqueCount="273">
  <si>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</si>
  <si>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</si>
  <si>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</si>
  <si>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</si>
  <si>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</si>
  <si>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</si>
  <si>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</si>
  <si>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</si>
  <si>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</si>
  <si>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</si>
  <si>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</si>
  <si>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</si>
  <si>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</si>
  <si>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</si>
  <si>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</si>
  <si>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</si>
  <si>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</si>
  <si>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</si>
  <si>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</si>
  <si>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</si>
  <si>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</si>
  <si>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</si>
  <si>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</si>
  <si>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</si>
  <si>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</si>
  <si>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</si>
  <si>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</si>
  <si>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</si>
  <si>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</si>
  <si>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</si>
  <si>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</si>
  <si>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</si>
  <si>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</si>
  <si>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</si>
  <si>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</si>
  <si>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</si>
  <si>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</si>
  <si>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</si>
  <si>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</si>
  <si>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</si>
  <si>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</si>
  <si>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</si>
  <si>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</si>
  <si>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</si>
  <si>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</si>
  <si>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</si>
  <si>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</si>
  <si>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</si>
  <si>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</si>
  <si>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</si>
  <si>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</si>
  <si>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</si>
  <si>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</si>
  <si>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</si>
  <si>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</si>
  <si>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</si>
  <si>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</si>
  <si>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</si>
  <si>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</si>
  <si>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</si>
  <si>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</si>
  <si>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</si>
  <si>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</si>
  <si>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</si>
  <si>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</si>
  <si>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</si>
  <si>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</si>
  <si>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</si>
  <si>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</si>
  <si>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</si>
  <si>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</si>
  <si>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</si>
  <si>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</si>
  <si>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</si>
  <si>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</si>
  <si>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</si>
  <si>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</si>
  <si>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</si>
  <si>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</si>
  <si>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</si>
  <si>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</si>
  <si>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</si>
  <si>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</si>
  <si>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</si>
  <si>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</si>
  <si>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</si>
  <si>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</si>
  <si>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</si>
  <si>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</si>
  <si>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</si>
  <si>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</si>
  <si>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</si>
  <si>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</si>
  <si>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</si>
  <si>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</si>
  <si>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</si>
  <si>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</si>
  <si>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</si>
  <si>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</si>
  <si>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</si>
  <si>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</si>
  <si>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</si>
  <si>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</si>
  <si>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</si>
  <si>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</si>
  <si>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</si>
  <si>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</si>
  <si>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</si>
  <si>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</si>
  <si>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</si>
  <si>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</si>
  <si>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</si>
  <si>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</si>
  <si>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</si>
  <si>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</si>
  <si>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</si>
  <si>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</si>
  <si>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</si>
  <si>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</si>
  <si>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</si>
  <si>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</si>
  <si>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</si>
  <si>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</si>
  <si>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</si>
  <si>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</si>
  <si>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</si>
  <si>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</si>
  <si>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</si>
  <si>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</si>
  <si>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</si>
  <si>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</si>
  <si>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</si>
  <si>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</si>
  <si>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</si>
  <si>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</si>
  <si>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</si>
  <si>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</si>
  <si>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</si>
  <si>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</si>
  <si>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</si>
  <si>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</si>
  <si>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</si>
  <si>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</si>
  <si>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</si>
  <si>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</si>
  <si>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</si>
  <si>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</si>
  <si>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</si>
  <si>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</si>
  <si>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</si>
  <si>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</si>
  <si>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</si>
  <si>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</si>
  <si>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</si>
  <si>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</si>
  <si>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</si>
  <si>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</si>
  <si>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</si>
  <si>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</si>
  <si>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</si>
  <si>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</si>
  <si>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</si>
  <si>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</si>
  <si>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</si>
  <si>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</si>
  <si>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</si>
  <si>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</si>
  <si>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</si>
  <si>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</si>
  <si>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</si>
  <si>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</si>
  <si>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</si>
  <si>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</si>
  <si>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</si>
  <si>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</si>
  <si>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</si>
  <si>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</si>
  <si>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</si>
  <si>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</si>
  <si>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</si>
  <si>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</si>
  <si>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</si>
  <si>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</si>
  <si>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</si>
  <si>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</si>
  <si>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</si>
  <si>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</si>
  <si>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</si>
  <si>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</si>
  <si>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</si>
  <si>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</si>
  <si>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</si>
  <si>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</si>
  <si>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</si>
  <si>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</si>
  <si>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</si>
  <si>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</si>
  <si>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</si>
  <si>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</si>
  <si>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</si>
  <si>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</si>
  <si>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</si>
  <si>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</si>
  <si>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</si>
  <si>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</si>
  <si>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</si>
  <si>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</si>
  <si>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</si>
  <si>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</si>
  <si>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</si>
  <si>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</si>
  <si>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</si>
  <si>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</si>
  <si>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</si>
  <si>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</si>
  <si>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</si>
  <si>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</si>
  <si>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</si>
  <si>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</si>
  <si>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</si>
  <si>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</si>
  <si>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</si>
  <si>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</si>
  <si>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</si>
  <si>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</si>
  <si>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</si>
  <si>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</si>
  <si>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</si>
  <si>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</si>
  <si>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</si>
  <si>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</si>
  <si>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</si>
  <si>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</si>
  <si>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</si>
  <si>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</si>
  <si>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</si>
  <si>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</si>
  <si>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</si>
  <si>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</si>
  <si>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</si>
  <si>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</si>
  <si>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</si>
  <si>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</si>
  <si>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</si>
  <si>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</si>
  <si>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</si>
  <si>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</si>
  <si>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</si>
  <si>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</si>
  <si>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</si>
  <si>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</si>
  <si>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</si>
  <si>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</si>
  <si>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</si>
  <si>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</si>
  <si>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</si>
  <si>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</si>
  <si>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</si>
  <si>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</si>
  <si>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</si>
  <si>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</si>
  <si>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</si>
  <si>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</si>
  <si>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</si>
  <si>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</si>
  <si>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</si>
  <si>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</si>
  <si>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</si>
  <si>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</si>
  <si>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</si>
  <si>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</si>
  <si>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</si>
  <si>
    <t>2021-01-15@0.xlsm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</si>
</sst>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全体!$K$2:$K$437</c:f>
              <c:numCache>
                <c:formatCode>General</c:formatCode>
                <c:ptCount val="4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</c:numCache>
            </c:numRef>
          </c:xVal>
          <c:yVal>
            <c:numRef>
              <c:f>全体!$L$2:$L$437</c:f>
              <c:numCache>
                <c:formatCode>\+0.0;\-0.0;\±0</c:formatCode>
                <c:ptCount val="43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  <c:pt idx="430">
                  <c:v>24.50000000000005</c:v>
                </c:pt>
                <c:pt idx="431">
                  <c:v>-5.5999999999999517</c:v>
                </c:pt>
                <c:pt idx="432">
                  <c:v>4.7961634663806763E-14</c:v>
                </c:pt>
                <c:pt idx="433">
                  <c:v>-48.299999999999947</c:v>
                </c:pt>
                <c:pt idx="434">
                  <c:v>-9.699999999999946</c:v>
                </c:pt>
                <c:pt idx="435">
                  <c:v>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-34.722222222222221</c:v>
                </c:pt>
                <c:pt idx="1">
                  <c:v>14.184397163120567</c:v>
                </c:pt>
                <c:pt idx="2">
                  <c:v>2.3640661938534278</c:v>
                </c:pt>
                <c:pt idx="3">
                  <c:v>-4.9751243781094523</c:v>
                </c:pt>
                <c:pt idx="4">
                  <c:v>13.66120218579235</c:v>
                </c:pt>
                <c:pt idx="5">
                  <c:v>16.025641025641026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80</c:v>
                </c:pt>
                <c:pt idx="1">
                  <c:v>200</c:v>
                </c:pt>
                <c:pt idx="2">
                  <c:v>216</c:v>
                </c:pt>
                <c:pt idx="3">
                  <c:v>214</c:v>
                </c:pt>
                <c:pt idx="4">
                  <c:v>159</c:v>
                </c:pt>
                <c:pt idx="5">
                  <c:v>103</c:v>
                </c:pt>
                <c:pt idx="6">
                  <c:v>47</c:v>
                </c:pt>
                <c:pt idx="7">
                  <c:v>35</c:v>
                </c:pt>
                <c:pt idx="8">
                  <c:v>18</c:v>
                </c:pt>
                <c:pt idx="9">
                  <c:v>11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全体!$K$2:$K$437</c:f>
              <c:numCache>
                <c:formatCode>General</c:formatCode>
                <c:ptCount val="4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</c:numCache>
            </c:numRef>
          </c:xVal>
          <c:yVal>
            <c:numRef>
              <c:f>全体!$M$2:$M$437</c:f>
              <c:numCache>
                <c:formatCode>0</c:formatCode>
                <c:ptCount val="43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  <c:pt idx="430">
                  <c:v>1612.4584212304849</c:v>
                </c:pt>
                <c:pt idx="431">
                  <c:v>1607.013670703102</c:v>
                </c:pt>
                <c:pt idx="432">
                  <c:v>1608.0275886788834</c:v>
                </c:pt>
                <c:pt idx="433">
                  <c:v>1599.33342314681</c:v>
                </c:pt>
                <c:pt idx="434">
                  <c:v>1606.3334226079292</c:v>
                </c:pt>
                <c:pt idx="435">
                  <c:v>1608.0894220722816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  <c:pt idx="120">
                  <c:v>100.89999999999989</c:v>
                </c:pt>
                <c:pt idx="121">
                  <c:v>52.599999999999895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477.5</c:v>
                </c:pt>
                <c:pt idx="1">
                  <c:v>-552.991452991453</c:v>
                </c:pt>
                <c:pt idx="2">
                  <c:v>-1634.1880341880342</c:v>
                </c:pt>
                <c:pt idx="3">
                  <c:v>1147.3214285714287</c:v>
                </c:pt>
                <c:pt idx="4">
                  <c:v>660.39603960396039</c:v>
                </c:pt>
                <c:pt idx="5">
                  <c:v>218.6046511627907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64</c:v>
                </c:pt>
                <c:pt idx="2">
                  <c:v>63</c:v>
                </c:pt>
                <c:pt idx="3">
                  <c:v>63</c:v>
                </c:pt>
                <c:pt idx="4">
                  <c:v>49</c:v>
                </c:pt>
                <c:pt idx="5">
                  <c:v>38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だいち!$M$2:$M$123</c:f>
              <c:numCache>
                <c:formatCode>0</c:formatCode>
                <c:ptCount val="122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  <c:pt idx="120">
                  <c:v>1736.0748158102795</c:v>
                </c:pt>
                <c:pt idx="121">
                  <c:v>1726.6123669154179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れんたろう!$L$2:$L$80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  <c:pt idx="77">
                  <c:v>-113.6</c:v>
                </c:pt>
                <c:pt idx="78">
                  <c:v>-103.89999999999999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1384.6153846153845</c:v>
                </c:pt>
                <c:pt idx="1">
                  <c:v>-436.84210526315792</c:v>
                </c:pt>
                <c:pt idx="2">
                  <c:v>-405.26315789473682</c:v>
                </c:pt>
                <c:pt idx="3">
                  <c:v>119.17808219178082</c:v>
                </c:pt>
                <c:pt idx="4">
                  <c:v>-304.54545454545456</c:v>
                </c:pt>
                <c:pt idx="5">
                  <c:v>247.36842105263159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19</c:v>
                </c:pt>
                <c:pt idx="2">
                  <c:v>33</c:v>
                </c:pt>
                <c:pt idx="3">
                  <c:v>36</c:v>
                </c:pt>
                <c:pt idx="4">
                  <c:v>36</c:v>
                </c:pt>
                <c:pt idx="5">
                  <c:v>22</c:v>
                </c:pt>
                <c:pt idx="6">
                  <c:v>11</c:v>
                </c:pt>
                <c:pt idx="7">
                  <c:v>8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れんたろう!$M$2:$M$80</c:f>
              <c:numCache>
                <c:formatCode>0</c:formatCode>
                <c:ptCount val="79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  <c:pt idx="77">
                  <c:v>1628.1318400232217</c:v>
                </c:pt>
                <c:pt idx="78">
                  <c:v>1629.7570489830823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-427.08333333333331</c:v>
                </c:pt>
                <c:pt idx="1">
                  <c:v>-533.33333333333337</c:v>
                </c:pt>
                <c:pt idx="2">
                  <c:v>1240.4255319148936</c:v>
                </c:pt>
                <c:pt idx="3">
                  <c:v>-1121.2765957446809</c:v>
                </c:pt>
                <c:pt idx="4">
                  <c:v>-1164.4444444444443</c:v>
                </c:pt>
                <c:pt idx="5">
                  <c:v>-529.72972972972968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7</c:v>
                </c:pt>
                <c:pt idx="5">
                  <c:v>5</c:v>
                </c:pt>
                <c:pt idx="6">
                  <c:v>6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たかの!$M$2:$M$50</c:f>
              <c:numCache>
                <c:formatCode>0</c:formatCode>
                <c:ptCount val="49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  <c:pt idx="47">
                  <c:v>1459.7189035010927</c:v>
                </c:pt>
                <c:pt idx="48">
                  <c:v>1467.5565900800862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-767.34693877551024</c:v>
                </c:pt>
                <c:pt idx="1">
                  <c:v>1110.204081632653</c:v>
                </c:pt>
                <c:pt idx="2">
                  <c:v>2391.8367346938776</c:v>
                </c:pt>
                <c:pt idx="3">
                  <c:v>-97.826086956521735</c:v>
                </c:pt>
                <c:pt idx="4">
                  <c:v>263.41463414634148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27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いちかわ!$M$2:$M$52</c:f>
              <c:numCache>
                <c:formatCode>0</c:formatCode>
                <c:ptCount val="51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-184.31372549019608</c:v>
                </c:pt>
                <c:pt idx="1">
                  <c:v>752.08333333333337</c:v>
                </c:pt>
                <c:pt idx="2">
                  <c:v>944.89795918367349</c:v>
                </c:pt>
                <c:pt idx="3">
                  <c:v>1915.2173913043478</c:v>
                </c:pt>
                <c:pt idx="4">
                  <c:v>159.52380952380952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36</c:v>
                </c:pt>
                <c:pt idx="2">
                  <c:v>32</c:v>
                </c:pt>
                <c:pt idx="3">
                  <c:v>21</c:v>
                </c:pt>
                <c:pt idx="4">
                  <c:v>22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ただ!$M$2:$M$53</c:f>
              <c:numCache>
                <c:formatCode>0</c:formatCode>
                <c:ptCount val="5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たかの2!$B$3:$B$51</c:f>
              <c:numCache>
                <c:formatCode>\+0.0;\-0.0;\±0</c:formatCode>
                <c:ptCount val="49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  <c:pt idx="47">
                  <c:v>-70.099999999999994</c:v>
                </c:pt>
                <c:pt idx="48">
                  <c:v>-31.499999999999993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29070518200751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たかの2!$C$3:$C$51</c:f>
              <c:numCache>
                <c:formatCode>\+0.0;\-0.0;\±0</c:formatCode>
                <c:ptCount val="49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  <c:pt idx="38">
                  <c:v>0.55789473684210533</c:v>
                </c:pt>
                <c:pt idx="39">
                  <c:v>1.3794871794871797</c:v>
                </c:pt>
                <c:pt idx="40">
                  <c:v>0.64250000000000007</c:v>
                </c:pt>
                <c:pt idx="41">
                  <c:v>-0.34878048780487797</c:v>
                </c:pt>
                <c:pt idx="42">
                  <c:v>-1.538095238095238</c:v>
                </c:pt>
                <c:pt idx="43">
                  <c:v>-2.5604651162790697</c:v>
                </c:pt>
                <c:pt idx="44">
                  <c:v>-3.0454545454545454</c:v>
                </c:pt>
                <c:pt idx="45">
                  <c:v>-3.26</c:v>
                </c:pt>
                <c:pt idx="46">
                  <c:v>-2.0565217391304347</c:v>
                </c:pt>
                <c:pt idx="47">
                  <c:v>-1.4914893617021276</c:v>
                </c:pt>
                <c:pt idx="48">
                  <c:v>-0.65624999999999989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250736823450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たかの2!$D$3:$D$51</c:f>
              <c:numCache>
                <c:formatCode>0.00\ "位"</c:formatCode>
                <c:ptCount val="49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1.9750000000000001</c:v>
                </c:pt>
                <c:pt idx="41">
                  <c:v>2</c:v>
                </c:pt>
                <c:pt idx="42">
                  <c:v>2.0238095238095237</c:v>
                </c:pt>
                <c:pt idx="43">
                  <c:v>2.0465116279069768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2.0425531914893615</c:v>
                </c:pt>
                <c:pt idx="48">
                  <c:v>2.0208333333333335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701149425287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たかの2!$E$3:$E$51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0.375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0.33333333333333331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6321839080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たかの2!$F$3:$F$51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0.42222222222222222</c:v>
                </c:pt>
                <c:pt idx="46">
                  <c:v>0.41304347826086957</c:v>
                </c:pt>
                <c:pt idx="47">
                  <c:v>0.40425531914893614</c:v>
                </c:pt>
                <c:pt idx="48">
                  <c:v>0.39583333333333331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たかの2!$G$3:$G$51</c:f>
              <c:numCache>
                <c:formatCode>0.0%</c:formatCode>
                <c:ptCount val="49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0.30571428571428572</c:v>
                </c:pt>
                <c:pt idx="41">
                  <c:v>0.29945054945054944</c:v>
                </c:pt>
                <c:pt idx="42">
                  <c:v>0.29301075268817206</c:v>
                </c:pt>
                <c:pt idx="43">
                  <c:v>0.28720626631853785</c:v>
                </c:pt>
                <c:pt idx="44">
                  <c:v>0.28826530612244899</c:v>
                </c:pt>
                <c:pt idx="45">
                  <c:v>0.28999999999999998</c:v>
                </c:pt>
                <c:pt idx="46">
                  <c:v>0.29975429975429974</c:v>
                </c:pt>
                <c:pt idx="47">
                  <c:v>0.30048076923076922</c:v>
                </c:pt>
                <c:pt idx="48">
                  <c:v>0.30188679245283018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40428380187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たかの2!$H$3:$H$51</c:f>
              <c:numCache>
                <c:formatCode>0.0%</c:formatCode>
                <c:ptCount val="49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  <c:pt idx="38">
                  <c:v>0.18042813455657492</c:v>
                </c:pt>
                <c:pt idx="39">
                  <c:v>0.17352941176470588</c:v>
                </c:pt>
                <c:pt idx="40">
                  <c:v>0.17428571428571429</c:v>
                </c:pt>
                <c:pt idx="41">
                  <c:v>0.17307692307692307</c:v>
                </c:pt>
                <c:pt idx="42">
                  <c:v>0.17204301075268819</c:v>
                </c:pt>
                <c:pt idx="43">
                  <c:v>0.16971279373368145</c:v>
                </c:pt>
                <c:pt idx="44">
                  <c:v>0.1683673469387755</c:v>
                </c:pt>
                <c:pt idx="45">
                  <c:v>0.16500000000000001</c:v>
                </c:pt>
                <c:pt idx="46">
                  <c:v>0.16216216216216217</c:v>
                </c:pt>
                <c:pt idx="47">
                  <c:v>0.16105769230769232</c:v>
                </c:pt>
                <c:pt idx="48">
                  <c:v>0.15801886792452829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516733601070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たかの2!$I$3:$I$51</c:f>
              <c:numCache>
                <c:formatCode>0</c:formatCode>
                <c:ptCount val="49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  <c:pt idx="38">
                  <c:v>7673.4693877551017</c:v>
                </c:pt>
                <c:pt idx="39">
                  <c:v>7652.4271844660198</c:v>
                </c:pt>
                <c:pt idx="40">
                  <c:v>7552.336448598131</c:v>
                </c:pt>
                <c:pt idx="41">
                  <c:v>7549.54128440367</c:v>
                </c:pt>
                <c:pt idx="42">
                  <c:v>7549.54128440367</c:v>
                </c:pt>
                <c:pt idx="43">
                  <c:v>7535.454545454545</c:v>
                </c:pt>
                <c:pt idx="44">
                  <c:v>7492.0353982300885</c:v>
                </c:pt>
                <c:pt idx="45">
                  <c:v>7512.0689655172409</c:v>
                </c:pt>
                <c:pt idx="46">
                  <c:v>7454.9180327868853</c:v>
                </c:pt>
                <c:pt idx="47">
                  <c:v>7409.6</c:v>
                </c:pt>
                <c:pt idx="48">
                  <c:v>7529.6875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62.77372262773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たかの2!$J$3:$J$51</c:f>
              <c:numCache>
                <c:formatCode>0</c:formatCode>
                <c:ptCount val="49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  <c:pt idx="38">
                  <c:v>-7798.3050847457625</c:v>
                </c:pt>
                <c:pt idx="39">
                  <c:v>-7798.3050847457625</c:v>
                </c:pt>
                <c:pt idx="40">
                  <c:v>-8100</c:v>
                </c:pt>
                <c:pt idx="41">
                  <c:v>-8092.063492063492</c:v>
                </c:pt>
                <c:pt idx="42">
                  <c:v>-8153.125</c:v>
                </c:pt>
                <c:pt idx="43">
                  <c:v>-8520</c:v>
                </c:pt>
                <c:pt idx="44">
                  <c:v>-8572.7272727272721</c:v>
                </c:pt>
                <c:pt idx="45">
                  <c:v>-8572.7272727272721</c:v>
                </c:pt>
                <c:pt idx="46">
                  <c:v>-8572.7272727272721</c:v>
                </c:pt>
                <c:pt idx="47">
                  <c:v>-8488.059701492537</c:v>
                </c:pt>
                <c:pt idx="48">
                  <c:v>-8488.059701492537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85.33772652388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たかの2!$K$3:$K$51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7.1428571428571425E-2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65517241379310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たかの2!$L$3:$L$51</c:f>
              <c:numCache>
                <c:formatCode>0.0%</c:formatCode>
                <c:ptCount val="49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  <c:pt idx="38">
                  <c:v>0.26605504587155965</c:v>
                </c:pt>
                <c:pt idx="39">
                  <c:v>0.26470588235294118</c:v>
                </c:pt>
                <c:pt idx="40">
                  <c:v>0.26</c:v>
                </c:pt>
                <c:pt idx="41">
                  <c:v>0.26098901098901101</c:v>
                </c:pt>
                <c:pt idx="42">
                  <c:v>0.260752688172043</c:v>
                </c:pt>
                <c:pt idx="43">
                  <c:v>0.26109660574412535</c:v>
                </c:pt>
                <c:pt idx="44">
                  <c:v>0.25765306122448978</c:v>
                </c:pt>
                <c:pt idx="45">
                  <c:v>0.26250000000000001</c:v>
                </c:pt>
                <c:pt idx="46">
                  <c:v>0.26044226044226043</c:v>
                </c:pt>
                <c:pt idx="47">
                  <c:v>0.25961538461538464</c:v>
                </c:pt>
                <c:pt idx="48">
                  <c:v>0.2617924528301887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12182061579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たかの2!$M$3:$M$51</c:f>
              <c:numCache>
                <c:formatCode>0.0%</c:formatCode>
                <c:ptCount val="49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0.30857142857142855</c:v>
                </c:pt>
                <c:pt idx="41">
                  <c:v>0.30769230769230771</c:v>
                </c:pt>
                <c:pt idx="42">
                  <c:v>0.30376344086021506</c:v>
                </c:pt>
                <c:pt idx="43">
                  <c:v>0.30026109660574413</c:v>
                </c:pt>
                <c:pt idx="44">
                  <c:v>0.29846938775510207</c:v>
                </c:pt>
                <c:pt idx="45">
                  <c:v>0.29749999999999999</c:v>
                </c:pt>
                <c:pt idx="46">
                  <c:v>0.29975429975429974</c:v>
                </c:pt>
                <c:pt idx="47">
                  <c:v>0.30288461538461536</c:v>
                </c:pt>
                <c:pt idx="48">
                  <c:v>0.29716981132075471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4364123159303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たかの2!$N$3:$N$51</c:f>
              <c:numCache>
                <c:formatCode>0.0%</c:formatCode>
                <c:ptCount val="49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  <c:pt idx="38">
                  <c:v>0.47126436781609193</c:v>
                </c:pt>
                <c:pt idx="39">
                  <c:v>0.46666666666666667</c:v>
                </c:pt>
                <c:pt idx="40">
                  <c:v>0.46153846153846156</c:v>
                </c:pt>
                <c:pt idx="41">
                  <c:v>0.45263157894736844</c:v>
                </c:pt>
                <c:pt idx="42">
                  <c:v>0.44329896907216493</c:v>
                </c:pt>
                <c:pt idx="43">
                  <c:v>0.43</c:v>
                </c:pt>
                <c:pt idx="44">
                  <c:v>0.43564356435643564</c:v>
                </c:pt>
                <c:pt idx="45">
                  <c:v>0.43809523809523809</c:v>
                </c:pt>
                <c:pt idx="46">
                  <c:v>0.44339622641509435</c:v>
                </c:pt>
                <c:pt idx="47">
                  <c:v>0.44444444444444442</c:v>
                </c:pt>
                <c:pt idx="48">
                  <c:v>0.45045045045045046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1126760563380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たかの2!$O$3:$O$51</c:f>
              <c:numCache>
                <c:formatCode>0.0%</c:formatCode>
                <c:ptCount val="49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  <c:pt idx="38">
                  <c:v>0.40816326530612246</c:v>
                </c:pt>
                <c:pt idx="39">
                  <c:v>0.40776699029126212</c:v>
                </c:pt>
                <c:pt idx="40">
                  <c:v>0.41666666666666669</c:v>
                </c:pt>
                <c:pt idx="41">
                  <c:v>0.4107142857142857</c:v>
                </c:pt>
                <c:pt idx="42">
                  <c:v>0.40707964601769914</c:v>
                </c:pt>
                <c:pt idx="43">
                  <c:v>0.40869565217391307</c:v>
                </c:pt>
                <c:pt idx="44">
                  <c:v>0.40170940170940173</c:v>
                </c:pt>
                <c:pt idx="45">
                  <c:v>0.40336134453781514</c:v>
                </c:pt>
                <c:pt idx="46">
                  <c:v>0.41803278688524592</c:v>
                </c:pt>
                <c:pt idx="47">
                  <c:v>0.41269841269841268</c:v>
                </c:pt>
                <c:pt idx="48">
                  <c:v>0.41269841269841268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534606205250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たかの2!$P$3:$P$51</c:f>
              <c:numCache>
                <c:formatCode>0.0%</c:formatCode>
                <c:ptCount val="49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  <c:pt idx="38">
                  <c:v>0.48979591836734693</c:v>
                </c:pt>
                <c:pt idx="39">
                  <c:v>0.46601941747572817</c:v>
                </c:pt>
                <c:pt idx="40">
                  <c:v>0.46728971962616822</c:v>
                </c:pt>
                <c:pt idx="41">
                  <c:v>0.46788990825688076</c:v>
                </c:pt>
                <c:pt idx="42">
                  <c:v>0.46788990825688076</c:v>
                </c:pt>
                <c:pt idx="43">
                  <c:v>0.47272727272727272</c:v>
                </c:pt>
                <c:pt idx="44">
                  <c:v>0.46017699115044247</c:v>
                </c:pt>
                <c:pt idx="45">
                  <c:v>0.46551724137931033</c:v>
                </c:pt>
                <c:pt idx="46">
                  <c:v>0.46721311475409838</c:v>
                </c:pt>
                <c:pt idx="47">
                  <c:v>0.46400000000000002</c:v>
                </c:pt>
                <c:pt idx="48">
                  <c:v>0.46875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9781021897810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5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6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6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6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6" x14ac:dyDescent="0.4">
      <c r="A52" s="2" t="s">
        <v>269</v>
      </c>
      <c r="B52" s="3">
        <v>44188.877129629633</v>
      </c>
      <c r="C52" s="2" t="s">
        <v>127</v>
      </c>
    </row>
    <row r="53" spans="1:6" x14ac:dyDescent="0.4">
      <c r="A53" s="2" t="s">
        <v>270</v>
      </c>
      <c r="B53" s="3">
        <v>44202.692986111113</v>
      </c>
      <c r="C53" s="2" t="s">
        <v>127</v>
      </c>
    </row>
    <row r="54" spans="1:6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  <row r="55" spans="1:6" x14ac:dyDescent="0.4">
      <c r="A55" s="2" t="s">
        <v>272</v>
      </c>
      <c r="B55" s="3">
        <v>44211.712731481479</v>
      </c>
      <c r="C55" s="2" t="s">
        <v>127</v>
      </c>
      <c r="D55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121</v>
      </c>
      <c r="C2" s="120">
        <v>1842.3339395535957</v>
      </c>
    </row>
    <row r="3" spans="1:3" x14ac:dyDescent="0.4">
      <c r="A3" t="s">
        <v>163</v>
      </c>
      <c r="B3" s="120">
        <v>78</v>
      </c>
      <c r="C3" s="120">
        <v>1653.1699313523677</v>
      </c>
    </row>
    <row r="4" spans="1:3" x14ac:dyDescent="0.4">
      <c r="A4" t="s">
        <v>139</v>
      </c>
      <c r="B4" s="120">
        <v>435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51</v>
      </c>
      <c r="C6" s="120">
        <v>1517.1288342047803</v>
      </c>
    </row>
    <row r="7" spans="1:3" x14ac:dyDescent="0.4">
      <c r="A7" t="s">
        <v>211</v>
      </c>
      <c r="B7" s="120">
        <v>50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48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0.90786705528276879</v>
      </c>
      <c r="C2" s="150"/>
      <c r="D2" s="149">
        <v>0.35623163475156228</v>
      </c>
      <c r="E2" s="150"/>
      <c r="F2" s="149">
        <v>0.54335458483855947</v>
      </c>
      <c r="G2" s="150"/>
      <c r="H2" s="155"/>
      <c r="I2" s="156"/>
      <c r="J2" s="149">
        <v>0.25825729007789761</v>
      </c>
      <c r="K2" s="150"/>
      <c r="L2" s="149">
        <v>-0.13973159722649361</v>
      </c>
      <c r="M2" s="150"/>
      <c r="N2" s="149">
        <v>0.38836872094133917</v>
      </c>
      <c r="O2" s="150"/>
      <c r="P2" s="149">
        <v>0.54314013601338396</v>
      </c>
      <c r="Q2" s="150"/>
      <c r="R2" s="149">
        <v>6.5929943056082319E-3</v>
      </c>
      <c r="S2" s="150"/>
      <c r="T2" s="149">
        <v>1.0597989664829527E-2</v>
      </c>
      <c r="U2" s="150"/>
      <c r="V2" s="149">
        <v>0.26387304888203222</v>
      </c>
      <c r="W2" s="150"/>
      <c r="X2" s="149">
        <v>0.39576204605775395</v>
      </c>
      <c r="Y2" s="150"/>
      <c r="Z2" s="149">
        <v>0.17194029844380324</v>
      </c>
      <c r="AA2" s="150"/>
      <c r="AB2" s="149">
        <v>0.25371723283355163</v>
      </c>
      <c r="AC2" s="150"/>
      <c r="AD2" s="149">
        <v>-5.6978288938717252E-2</v>
      </c>
      <c r="AE2" s="150"/>
      <c r="AF2" s="149">
        <v>0.64371715732547907</v>
      </c>
      <c r="AG2" s="150"/>
      <c r="AH2" s="149">
        <v>-0.35325022015538493</v>
      </c>
      <c r="AI2" s="150"/>
      <c r="AJ2" s="149">
        <v>0.77077166412108722</v>
      </c>
      <c r="AK2" s="150"/>
    </row>
    <row r="3" spans="1:37" x14ac:dyDescent="0.4">
      <c r="A3" s="38">
        <v>1</v>
      </c>
      <c r="B3" s="41" t="s">
        <v>139</v>
      </c>
      <c r="C3" s="113">
        <v>145</v>
      </c>
      <c r="D3" s="39" t="s">
        <v>192</v>
      </c>
      <c r="E3" s="40">
        <v>261.49999999999994</v>
      </c>
      <c r="F3" s="41" t="s">
        <v>192</v>
      </c>
      <c r="G3" s="60">
        <v>5.1274509803921555</v>
      </c>
      <c r="H3" s="41" t="s">
        <v>126</v>
      </c>
      <c r="I3" s="45">
        <v>1726.6123669154179</v>
      </c>
      <c r="J3" s="41" t="s">
        <v>192</v>
      </c>
      <c r="K3" s="42">
        <v>1.8235294117647058</v>
      </c>
      <c r="L3" s="41" t="s">
        <v>192</v>
      </c>
      <c r="M3" s="43">
        <v>0.41176470588235292</v>
      </c>
      <c r="N3" s="41" t="s">
        <v>190</v>
      </c>
      <c r="O3" s="43">
        <v>0.1891891891891892</v>
      </c>
      <c r="P3" s="41" t="s">
        <v>192</v>
      </c>
      <c r="Q3" s="44">
        <v>0.33179723502304148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0.29106628242074928</v>
      </c>
      <c r="AB3" s="41" t="s">
        <v>189</v>
      </c>
      <c r="AC3" s="44">
        <v>0.29716981132075471</v>
      </c>
      <c r="AD3" s="41" t="s">
        <v>201</v>
      </c>
      <c r="AE3" s="44">
        <v>0.66666666666666663</v>
      </c>
      <c r="AF3" s="41" t="s">
        <v>126</v>
      </c>
      <c r="AG3" s="44">
        <v>0.46376811594202899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121</v>
      </c>
      <c r="D4" s="47" t="s">
        <v>211</v>
      </c>
      <c r="E4" s="48">
        <v>211.6</v>
      </c>
      <c r="F4" s="49" t="s">
        <v>211</v>
      </c>
      <c r="G4" s="61">
        <v>4.2320000000000002</v>
      </c>
      <c r="H4" s="49" t="s">
        <v>163</v>
      </c>
      <c r="I4" s="53">
        <v>1629.7570489830823</v>
      </c>
      <c r="J4" s="49" t="s">
        <v>190</v>
      </c>
      <c r="K4" s="50">
        <v>1.8918918918918919</v>
      </c>
      <c r="L4" s="49" t="s">
        <v>211</v>
      </c>
      <c r="M4" s="51">
        <v>0.38</v>
      </c>
      <c r="N4" s="49" t="s">
        <v>192</v>
      </c>
      <c r="O4" s="51">
        <v>0.23529411764705882</v>
      </c>
      <c r="P4" s="49" t="s">
        <v>126</v>
      </c>
      <c r="Q4" s="52">
        <v>0.31760078662733532</v>
      </c>
      <c r="R4" s="49" t="s">
        <v>192</v>
      </c>
      <c r="S4" s="52">
        <v>0.11751152073732719</v>
      </c>
      <c r="T4" s="49" t="s">
        <v>163</v>
      </c>
      <c r="U4" s="53">
        <v>9488.1081081081084</v>
      </c>
      <c r="V4" s="49" t="s">
        <v>211</v>
      </c>
      <c r="W4" s="53">
        <v>-6854.3859649122805</v>
      </c>
      <c r="X4" s="49" t="s">
        <v>221</v>
      </c>
      <c r="Y4" s="51">
        <v>0</v>
      </c>
      <c r="Z4" s="49" t="s">
        <v>189</v>
      </c>
      <c r="AA4" s="52">
        <v>0.2617924528301887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0.45833333333333331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78</v>
      </c>
      <c r="D5" s="47" t="s">
        <v>190</v>
      </c>
      <c r="E5" s="48">
        <v>58.499999999999957</v>
      </c>
      <c r="F5" s="49" t="s">
        <v>190</v>
      </c>
      <c r="G5" s="61">
        <v>1.58108108108108</v>
      </c>
      <c r="H5" s="49" t="s">
        <v>139</v>
      </c>
      <c r="I5" s="53">
        <v>1608.0894220722816</v>
      </c>
      <c r="J5" s="49" t="s">
        <v>211</v>
      </c>
      <c r="K5" s="50">
        <v>1.9</v>
      </c>
      <c r="L5" s="49" t="s">
        <v>189</v>
      </c>
      <c r="M5" s="51">
        <v>0.375</v>
      </c>
      <c r="N5" s="49" t="s">
        <v>211</v>
      </c>
      <c r="O5" s="51">
        <v>0.28000000000000003</v>
      </c>
      <c r="P5" s="49" t="s">
        <v>211</v>
      </c>
      <c r="Q5" s="52">
        <v>0.30969267139479906</v>
      </c>
      <c r="R5" s="49" t="s">
        <v>211</v>
      </c>
      <c r="S5" s="52">
        <v>0.13475177304964539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190</v>
      </c>
      <c r="AA5" s="52">
        <v>0.26168224299065418</v>
      </c>
      <c r="AB5" s="49" t="s">
        <v>192</v>
      </c>
      <c r="AC5" s="52">
        <v>0.27419354838709675</v>
      </c>
      <c r="AD5" s="49" t="s">
        <v>195</v>
      </c>
      <c r="AE5" s="52">
        <v>0.61764705882352944</v>
      </c>
      <c r="AF5" s="49" t="s">
        <v>193</v>
      </c>
      <c r="AG5" s="52">
        <v>0.41666666666666669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51</v>
      </c>
      <c r="D6" s="47" t="s">
        <v>126</v>
      </c>
      <c r="E6" s="48">
        <v>52.599999999999895</v>
      </c>
      <c r="F6" s="49" t="s">
        <v>126</v>
      </c>
      <c r="G6" s="61">
        <v>0.43471074380165203</v>
      </c>
      <c r="H6" s="49" t="s">
        <v>192</v>
      </c>
      <c r="I6" s="53">
        <v>1581.073560616371</v>
      </c>
      <c r="J6" s="49" t="s">
        <v>139</v>
      </c>
      <c r="K6" s="50">
        <v>1.9977011494252874</v>
      </c>
      <c r="L6" s="49" t="s">
        <v>195</v>
      </c>
      <c r="M6" s="51">
        <v>0.375</v>
      </c>
      <c r="N6" s="49" t="s">
        <v>163</v>
      </c>
      <c r="O6" s="51">
        <v>0.33333333333333331</v>
      </c>
      <c r="P6" s="49" t="s">
        <v>189</v>
      </c>
      <c r="Q6" s="52">
        <v>0.30188679245283018</v>
      </c>
      <c r="R6" s="49" t="s">
        <v>189</v>
      </c>
      <c r="S6" s="52">
        <v>0.15801886792452829</v>
      </c>
      <c r="T6" s="49" t="s">
        <v>139</v>
      </c>
      <c r="U6" s="53">
        <v>8162.7737226277368</v>
      </c>
      <c r="V6" s="49" t="s">
        <v>192</v>
      </c>
      <c r="W6" s="53">
        <v>-7507.8431372549021</v>
      </c>
      <c r="X6" s="49" t="s">
        <v>211</v>
      </c>
      <c r="Y6" s="51">
        <v>0.04</v>
      </c>
      <c r="Z6" s="49" t="s">
        <v>139</v>
      </c>
      <c r="AA6" s="52">
        <v>0.24712182061579652</v>
      </c>
      <c r="AB6" s="49" t="s">
        <v>211</v>
      </c>
      <c r="AC6" s="52">
        <v>0.22695035460992907</v>
      </c>
      <c r="AD6" s="49" t="s">
        <v>211</v>
      </c>
      <c r="AE6" s="52">
        <v>0.59375</v>
      </c>
      <c r="AF6" s="49" t="s">
        <v>189</v>
      </c>
      <c r="AG6" s="52">
        <v>0.41269841269841268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50</v>
      </c>
      <c r="D7" s="47" t="s">
        <v>139</v>
      </c>
      <c r="E7" s="48">
        <v>5.3290705182007514E-14</v>
      </c>
      <c r="F7" s="49" t="s">
        <v>139</v>
      </c>
      <c r="G7" s="61">
        <v>1.2250736823450003E-16</v>
      </c>
      <c r="H7" s="49" t="s">
        <v>190</v>
      </c>
      <c r="I7" s="53">
        <v>1552.235570864417</v>
      </c>
      <c r="J7" s="49" t="s">
        <v>163</v>
      </c>
      <c r="K7" s="50">
        <v>2.0128205128205128</v>
      </c>
      <c r="L7" s="49" t="s">
        <v>139</v>
      </c>
      <c r="M7" s="51">
        <v>0.335632183908046</v>
      </c>
      <c r="N7" s="49" t="s">
        <v>139</v>
      </c>
      <c r="O7" s="51">
        <v>0.33333333333333331</v>
      </c>
      <c r="P7" s="49" t="s">
        <v>139</v>
      </c>
      <c r="Q7" s="52">
        <v>0.29344042838018741</v>
      </c>
      <c r="R7" s="49" t="s">
        <v>139</v>
      </c>
      <c r="S7" s="52">
        <v>0.16251673360107094</v>
      </c>
      <c r="T7" s="49" t="s">
        <v>126</v>
      </c>
      <c r="U7" s="53">
        <v>8125.3869969040252</v>
      </c>
      <c r="V7" s="49" t="s">
        <v>126</v>
      </c>
      <c r="W7" s="53">
        <v>-7592.7777777777774</v>
      </c>
      <c r="X7" s="49" t="s">
        <v>190</v>
      </c>
      <c r="Y7" s="51">
        <v>5.4054054054054057E-2</v>
      </c>
      <c r="Z7" s="49" t="s">
        <v>126</v>
      </c>
      <c r="AA7" s="52">
        <v>0.24582104228121926</v>
      </c>
      <c r="AB7" s="49" t="s">
        <v>139</v>
      </c>
      <c r="AC7" s="52">
        <v>0.22436412315930387</v>
      </c>
      <c r="AD7" s="49" t="s">
        <v>126</v>
      </c>
      <c r="AE7" s="52">
        <v>0.56799999999999995</v>
      </c>
      <c r="AF7" s="49" t="s">
        <v>139</v>
      </c>
      <c r="AG7" s="52">
        <v>0.40453460620525061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48</v>
      </c>
      <c r="D8" s="47" t="s">
        <v>221</v>
      </c>
      <c r="E8" s="48">
        <v>-13.5</v>
      </c>
      <c r="F8" s="49" t="s">
        <v>189</v>
      </c>
      <c r="G8" s="61">
        <v>-0.65624999999999989</v>
      </c>
      <c r="H8" s="49" t="s">
        <v>211</v>
      </c>
      <c r="I8" s="53">
        <v>1546.7179617982042</v>
      </c>
      <c r="J8" s="49" t="s">
        <v>189</v>
      </c>
      <c r="K8" s="50">
        <v>2.0208333333333335</v>
      </c>
      <c r="L8" s="49" t="s">
        <v>126</v>
      </c>
      <c r="M8" s="51">
        <v>0.33057851239669422</v>
      </c>
      <c r="N8" s="49" t="s">
        <v>126</v>
      </c>
      <c r="O8" s="51">
        <v>0.36363636363636365</v>
      </c>
      <c r="P8" s="49" t="s">
        <v>163</v>
      </c>
      <c r="Q8" s="52">
        <v>0.2665706051873199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139</v>
      </c>
      <c r="W8" s="53">
        <v>-7685.3377265238878</v>
      </c>
      <c r="X8" s="49" t="s">
        <v>192</v>
      </c>
      <c r="Y8" s="51">
        <v>7.8431372549019607E-2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0.54022988505747127</v>
      </c>
      <c r="AF8" s="49" t="s">
        <v>192</v>
      </c>
      <c r="AG8" s="52">
        <v>0.40336134453781514</v>
      </c>
      <c r="AH8" s="49" t="s">
        <v>189</v>
      </c>
      <c r="AI8" s="52">
        <v>0.46875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189</v>
      </c>
      <c r="E9" s="48">
        <v>-31.499999999999993</v>
      </c>
      <c r="F9" s="49" t="s">
        <v>163</v>
      </c>
      <c r="G9" s="61">
        <v>-1.332051282051282</v>
      </c>
      <c r="H9" s="49" t="s">
        <v>221</v>
      </c>
      <c r="I9" s="53">
        <v>1497.379788</v>
      </c>
      <c r="J9" s="49" t="s">
        <v>126</v>
      </c>
      <c r="K9" s="50">
        <v>2.0330578512396693</v>
      </c>
      <c r="L9" s="49" t="s">
        <v>163</v>
      </c>
      <c r="M9" s="51">
        <v>0.32051282051282054</v>
      </c>
      <c r="N9" s="49" t="s">
        <v>189</v>
      </c>
      <c r="O9" s="51">
        <v>0.39583333333333331</v>
      </c>
      <c r="P9" s="49" t="s">
        <v>190</v>
      </c>
      <c r="Q9" s="52">
        <v>0.26479750778816197</v>
      </c>
      <c r="R9" s="49" t="s">
        <v>195</v>
      </c>
      <c r="S9" s="52">
        <v>0.17241379310344829</v>
      </c>
      <c r="T9" s="49" t="s">
        <v>211</v>
      </c>
      <c r="U9" s="53">
        <v>7960.3053435114507</v>
      </c>
      <c r="V9" s="49" t="s">
        <v>163</v>
      </c>
      <c r="W9" s="53">
        <v>-7841.7910447761196</v>
      </c>
      <c r="X9" s="49" t="s">
        <v>189</v>
      </c>
      <c r="Y9" s="51">
        <v>8.3333333333333329E-2</v>
      </c>
      <c r="Z9" s="49" t="s">
        <v>216</v>
      </c>
      <c r="AA9" s="52">
        <v>0.2361111111111111</v>
      </c>
      <c r="AB9" s="49" t="s">
        <v>201</v>
      </c>
      <c r="AC9" s="52">
        <v>0.22222222222222221</v>
      </c>
      <c r="AD9" s="49" t="s">
        <v>139</v>
      </c>
      <c r="AE9" s="52">
        <v>0.52112676056338025</v>
      </c>
      <c r="AF9" s="49" t="s">
        <v>221</v>
      </c>
      <c r="AG9" s="52">
        <v>0.4</v>
      </c>
      <c r="AH9" s="49" t="s">
        <v>126</v>
      </c>
      <c r="AI9" s="52">
        <v>0.46130030959752322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259</v>
      </c>
      <c r="E10" s="48">
        <v>-50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195</v>
      </c>
      <c r="K10" s="50">
        <v>2.0625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126</v>
      </c>
      <c r="S10" s="52">
        <v>0.17699115044247787</v>
      </c>
      <c r="T10" s="49" t="s">
        <v>216</v>
      </c>
      <c r="U10" s="53">
        <v>7926.4705882352937</v>
      </c>
      <c r="V10" s="49" t="s">
        <v>195</v>
      </c>
      <c r="W10" s="53">
        <v>-7868</v>
      </c>
      <c r="X10" s="49" t="s">
        <v>139</v>
      </c>
      <c r="Y10" s="51">
        <v>8.9655172413793102E-2</v>
      </c>
      <c r="Z10" s="49" t="s">
        <v>195</v>
      </c>
      <c r="AA10" s="52">
        <v>0.23448275862068965</v>
      </c>
      <c r="AB10" s="49" t="s">
        <v>163</v>
      </c>
      <c r="AC10" s="52">
        <v>0.22190201729106629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0.45945945945945948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163</v>
      </c>
      <c r="S11" s="52">
        <v>0.1930835734870317</v>
      </c>
      <c r="T11" s="49" t="s">
        <v>193</v>
      </c>
      <c r="U11" s="53">
        <v>7866.666666666667</v>
      </c>
      <c r="V11" s="49" t="s">
        <v>216</v>
      </c>
      <c r="W11" s="53">
        <v>-7886.2068965517237</v>
      </c>
      <c r="X11" s="49" t="s">
        <v>126</v>
      </c>
      <c r="Y11" s="51">
        <v>9.0909090909090912E-2</v>
      </c>
      <c r="Z11" s="49" t="s">
        <v>211</v>
      </c>
      <c r="AA11" s="52">
        <v>0.22695035460992907</v>
      </c>
      <c r="AB11" s="49" t="s">
        <v>126</v>
      </c>
      <c r="AC11" s="52">
        <v>0.20353982300884957</v>
      </c>
      <c r="AD11" s="49" t="s">
        <v>216</v>
      </c>
      <c r="AE11" s="52">
        <v>0.47058823529411764</v>
      </c>
      <c r="AF11" s="49" t="s">
        <v>163</v>
      </c>
      <c r="AG11" s="52">
        <v>0.34415584415584416</v>
      </c>
      <c r="AH11" s="49" t="s">
        <v>139</v>
      </c>
      <c r="AI11" s="52">
        <v>0.43978102189781021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7529.6875</v>
      </c>
      <c r="V12" s="49" t="s">
        <v>189</v>
      </c>
      <c r="W12" s="53">
        <v>-8488.059701492537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163</v>
      </c>
      <c r="AE12" s="52">
        <v>0.46534653465346537</v>
      </c>
      <c r="AF12" s="49" t="s">
        <v>216</v>
      </c>
      <c r="AG12" s="52">
        <v>0.32</v>
      </c>
      <c r="AH12" s="49" t="s">
        <v>211</v>
      </c>
      <c r="AI12" s="52">
        <v>0.40458015267175573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163</v>
      </c>
      <c r="E13" s="48">
        <v>-103.89999999999999</v>
      </c>
      <c r="F13" s="49" t="s">
        <v>193</v>
      </c>
      <c r="G13" s="61">
        <v>-13.033333333333331</v>
      </c>
      <c r="H13" s="49" t="s">
        <v>189</v>
      </c>
      <c r="I13" s="53">
        <v>1467.5565900800862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7267.3611111111113</v>
      </c>
      <c r="V13" s="49" t="s">
        <v>193</v>
      </c>
      <c r="W13" s="53">
        <v>-8875</v>
      </c>
      <c r="X13" s="49" t="s">
        <v>163</v>
      </c>
      <c r="Y13" s="51">
        <v>0.12820512820512819</v>
      </c>
      <c r="Z13" s="49" t="s">
        <v>192</v>
      </c>
      <c r="AA13" s="52">
        <v>0.20046082949308755</v>
      </c>
      <c r="AB13" s="49" t="s">
        <v>216</v>
      </c>
      <c r="AC13" s="52">
        <v>0.1736111111111111</v>
      </c>
      <c r="AD13" s="49" t="s">
        <v>189</v>
      </c>
      <c r="AE13" s="52">
        <v>0.45045045045045046</v>
      </c>
      <c r="AF13" s="49" t="s">
        <v>195</v>
      </c>
      <c r="AG13" s="52">
        <v>0.26315789473684209</v>
      </c>
      <c r="AH13" s="49" t="s">
        <v>192</v>
      </c>
      <c r="AI13" s="52">
        <v>0.40277777777777779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216</v>
      </c>
      <c r="E14" s="48">
        <v>-108.30000000000001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195</v>
      </c>
      <c r="E15" s="48">
        <v>-121.1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3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435</v>
      </c>
      <c r="C2" s="142"/>
      <c r="E2" s="26" t="s">
        <v>66</v>
      </c>
      <c r="F2" s="23" t="s">
        <v>22</v>
      </c>
      <c r="G2" s="11">
        <v>848</v>
      </c>
      <c r="H2" s="87">
        <f>IF(B$20=0,0,G2/B$20)</f>
        <v>0.77372262773722633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-34.722222222222221</v>
      </c>
      <c r="Q2" s="76">
        <v>432</v>
      </c>
      <c r="R2" s="63">
        <v>-15000</v>
      </c>
    </row>
    <row r="3" spans="1:18" x14ac:dyDescent="0.4">
      <c r="A3" s="19" t="s">
        <v>8</v>
      </c>
      <c r="B3" s="143">
        <v>3735</v>
      </c>
      <c r="C3" s="144"/>
      <c r="E3" s="27" t="s">
        <v>72</v>
      </c>
      <c r="F3" s="24" t="s">
        <v>27</v>
      </c>
      <c r="G3" s="12">
        <v>651</v>
      </c>
      <c r="H3" s="88">
        <f>IF(B$20=0,0,G3/B$20)</f>
        <v>0.59397810218978098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14.184397163120567</v>
      </c>
      <c r="Q3" s="77">
        <v>423</v>
      </c>
      <c r="R3" s="64">
        <v>6000</v>
      </c>
    </row>
    <row r="4" spans="1:18" x14ac:dyDescent="0.4">
      <c r="A4" s="19" t="s">
        <v>6</v>
      </c>
      <c r="B4" s="145">
        <v>5.3290705182007514E-14</v>
      </c>
      <c r="C4" s="146"/>
      <c r="E4" s="27" t="s">
        <v>64</v>
      </c>
      <c r="F4" s="24" t="s">
        <v>20</v>
      </c>
      <c r="G4" s="12">
        <v>464</v>
      </c>
      <c r="H4" s="88">
        <f>IF(B$20=0,0,G4/B$20)</f>
        <v>0.42335766423357662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2.3640661938534278</v>
      </c>
      <c r="Q4" s="77">
        <v>423</v>
      </c>
      <c r="R4" s="64">
        <v>1000</v>
      </c>
    </row>
    <row r="5" spans="1:18" x14ac:dyDescent="0.4">
      <c r="A5" s="19" t="s">
        <v>7</v>
      </c>
      <c r="B5" s="133">
        <f>IF(B$2=0,0,B$4/B$2)</f>
        <v>1.2250736823450003E-16</v>
      </c>
      <c r="C5" s="134"/>
      <c r="E5" s="27" t="s">
        <v>159</v>
      </c>
      <c r="F5" s="24" t="s">
        <v>160</v>
      </c>
      <c r="G5" s="12">
        <v>447</v>
      </c>
      <c r="H5" s="88">
        <f>IF(B$20=0,0,G5/B$20)</f>
        <v>0.40784671532846717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-4.9751243781094523</v>
      </c>
      <c r="Q5" s="77">
        <v>402</v>
      </c>
      <c r="R5" s="64">
        <v>-2000</v>
      </c>
    </row>
    <row r="6" spans="1:18" x14ac:dyDescent="0.4">
      <c r="A6" s="19" t="s">
        <v>196</v>
      </c>
      <c r="B6" s="137">
        <v>1608.0894220722816</v>
      </c>
      <c r="C6" s="138"/>
      <c r="E6" s="27" t="s">
        <v>68</v>
      </c>
      <c r="F6" s="24" t="s">
        <v>12</v>
      </c>
      <c r="G6" s="12">
        <v>330</v>
      </c>
      <c r="H6" s="88">
        <f>IF(B$20=0,0,G6/B$20)</f>
        <v>0.3010948905109489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13.66120218579235</v>
      </c>
      <c r="Q6" s="77">
        <v>366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1.9977011494252874</v>
      </c>
      <c r="C7" s="148"/>
      <c r="E7" s="27" t="s">
        <v>67</v>
      </c>
      <c r="F7" s="24" t="s">
        <v>23</v>
      </c>
      <c r="G7" s="12">
        <v>251</v>
      </c>
      <c r="H7" s="88">
        <f>IF(B$20=0,0,G7/B$20)</f>
        <v>0.229014598540146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16.025641025641026</v>
      </c>
      <c r="Q7" s="78">
        <v>312</v>
      </c>
      <c r="R7" s="65">
        <v>5000</v>
      </c>
    </row>
    <row r="8" spans="1:18" x14ac:dyDescent="0.4">
      <c r="A8" s="19" t="s">
        <v>2</v>
      </c>
      <c r="B8" s="12">
        <v>146</v>
      </c>
      <c r="C8" s="6">
        <f t="shared" ref="C8:C15" si="1">IF(B$2=0,0,B8/B$2)</f>
        <v>0.335632183908046</v>
      </c>
      <c r="E8" s="27" t="s">
        <v>89</v>
      </c>
      <c r="F8" s="24" t="s">
        <v>44</v>
      </c>
      <c r="G8" s="12">
        <v>149</v>
      </c>
      <c r="H8" s="88">
        <f>IF(B$20=0,0,G8/B$20)</f>
        <v>0.13594890510948904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144</v>
      </c>
      <c r="C9" s="6">
        <f t="shared" si="1"/>
        <v>0.33103448275862069</v>
      </c>
      <c r="E9" s="27" t="s">
        <v>69</v>
      </c>
      <c r="F9" s="24" t="s">
        <v>24</v>
      </c>
      <c r="G9" s="12">
        <v>146</v>
      </c>
      <c r="H9" s="88">
        <f>IF(B$20=0,0,G9/B$20)</f>
        <v>0.13321167883211679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145</v>
      </c>
      <c r="C10" s="7">
        <f t="shared" si="1"/>
        <v>0.33333333333333331</v>
      </c>
      <c r="E10" s="27" t="s">
        <v>70</v>
      </c>
      <c r="F10" s="24" t="s">
        <v>25</v>
      </c>
      <c r="G10" s="12">
        <v>108</v>
      </c>
      <c r="H10" s="88">
        <f>IF(B$20=0,0,G10/B$20)</f>
        <v>9.8540145985401464E-2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3.0993103448275861</v>
      </c>
      <c r="Q10" s="76">
        <v>145</v>
      </c>
      <c r="R10" s="67">
        <v>449.4</v>
      </c>
    </row>
    <row r="11" spans="1:18" x14ac:dyDescent="0.4">
      <c r="A11" s="20" t="s">
        <v>184</v>
      </c>
      <c r="B11" s="109">
        <f>IF(B8=0,0,C11/B8)</f>
        <v>34.66917808219177</v>
      </c>
      <c r="C11" s="110">
        <v>5061.6999999999989</v>
      </c>
      <c r="E11" s="27" t="s">
        <v>65</v>
      </c>
      <c r="F11" s="24" t="s">
        <v>21</v>
      </c>
      <c r="G11" s="12">
        <v>102</v>
      </c>
      <c r="H11" s="88">
        <f>IF(B$20=0,0,G11/B$20)</f>
        <v>9.3065693430656932E-2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-4.0758620689655176</v>
      </c>
      <c r="Q11" s="77">
        <v>145</v>
      </c>
      <c r="R11" s="68">
        <v>-591</v>
      </c>
    </row>
    <row r="12" spans="1:18" x14ac:dyDescent="0.4">
      <c r="A12" s="20" t="s">
        <v>185</v>
      </c>
      <c r="B12" s="109">
        <f>IF(B9=0,0,C12/B9)</f>
        <v>-1.0298611111111111</v>
      </c>
      <c r="C12" s="110">
        <v>-148.30000000000001</v>
      </c>
      <c r="E12" s="27" t="s">
        <v>71</v>
      </c>
      <c r="F12" s="24" t="s">
        <v>26</v>
      </c>
      <c r="G12" s="12">
        <v>69</v>
      </c>
      <c r="H12" s="88">
        <f>IF(B$20=0,0,G12/B$20)</f>
        <v>6.295620437956205E-2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0.97655172413793123</v>
      </c>
      <c r="Q12" s="78">
        <v>145</v>
      </c>
      <c r="R12" s="69">
        <v>141.60000000000002</v>
      </c>
    </row>
    <row r="13" spans="1:18" x14ac:dyDescent="0.4">
      <c r="A13" s="20" t="s">
        <v>186</v>
      </c>
      <c r="B13" s="109">
        <f>IF(B10=0,0,C13/B10)</f>
        <v>-33.885517241379311</v>
      </c>
      <c r="C13" s="110">
        <v>-4913.3999999999996</v>
      </c>
      <c r="E13" s="27" t="s">
        <v>86</v>
      </c>
      <c r="F13" s="24" t="s">
        <v>41</v>
      </c>
      <c r="G13" s="12">
        <v>63</v>
      </c>
      <c r="H13" s="88">
        <f>IF(B$20=0,0,G13/B$20)</f>
        <v>5.7481751824817517E-2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-8.2066756766216997E-2</v>
      </c>
      <c r="C14" s="134"/>
      <c r="E14" s="27" t="s">
        <v>83</v>
      </c>
      <c r="F14" s="24" t="s">
        <v>38</v>
      </c>
      <c r="G14" s="12">
        <v>46</v>
      </c>
      <c r="H14" s="88">
        <f>IF(B$20=0,0,G14/B$20)</f>
        <v>4.1970802919708027E-2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39</v>
      </c>
      <c r="C15" s="9">
        <f t="shared" si="1"/>
        <v>8.9655172413793102E-2</v>
      </c>
      <c r="E15" s="27" t="s">
        <v>81</v>
      </c>
      <c r="F15" s="24" t="s">
        <v>36</v>
      </c>
      <c r="G15" s="12">
        <v>33</v>
      </c>
      <c r="H15" s="88">
        <f>IF(B$20=0,0,G15/B$20)</f>
        <v>3.0109489051094892E-2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923</v>
      </c>
      <c r="C16" s="10">
        <f>IF(B$3=0,0,B16/B$3)</f>
        <v>0.24712182061579652</v>
      </c>
      <c r="E16" s="27" t="s">
        <v>78</v>
      </c>
      <c r="F16" s="24" t="s">
        <v>33</v>
      </c>
      <c r="G16" s="12">
        <v>31</v>
      </c>
      <c r="H16" s="88">
        <f>IF(B$20=0,0,G16/B$20)</f>
        <v>2.8284671532846715E-2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838</v>
      </c>
      <c r="C17" s="6">
        <f>IF(B$3=0,0,B17/B$3)</f>
        <v>0.22436412315930387</v>
      </c>
      <c r="E17" s="27" t="s">
        <v>91</v>
      </c>
      <c r="F17" s="24" t="s">
        <v>46</v>
      </c>
      <c r="G17" s="12">
        <v>22</v>
      </c>
      <c r="H17" s="88">
        <f>IF(B$20=0,0,G17/B$20)</f>
        <v>2.0072992700729927E-2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481</v>
      </c>
      <c r="C18" s="5">
        <f>IF(B$16=0,0,B18/B$16)</f>
        <v>0.52112676056338025</v>
      </c>
      <c r="E18" s="27" t="s">
        <v>155</v>
      </c>
      <c r="F18" s="24" t="s">
        <v>156</v>
      </c>
      <c r="G18" s="12">
        <v>20</v>
      </c>
      <c r="H18" s="88">
        <f>IF(B$20=0,0,G18/B$20)</f>
        <v>1.824817518248175E-2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339</v>
      </c>
      <c r="C19" s="5">
        <f>IF(B$17=0,0,B19/B$17)</f>
        <v>0.40453460620525061</v>
      </c>
      <c r="E19" s="27" t="s">
        <v>79</v>
      </c>
      <c r="F19" s="24" t="s">
        <v>34</v>
      </c>
      <c r="G19" s="12">
        <v>15</v>
      </c>
      <c r="H19" s="88">
        <f>IF(B$20=0,0,G19/B$20)</f>
        <v>1.3686131386861315E-2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1096</v>
      </c>
      <c r="C20" s="5">
        <f>IF(B$3=0,0,B20/B$3)</f>
        <v>0.29344042838018741</v>
      </c>
      <c r="E20" s="27" t="s">
        <v>73</v>
      </c>
      <c r="F20" s="24" t="s">
        <v>28</v>
      </c>
      <c r="G20" s="12">
        <v>9</v>
      </c>
      <c r="H20" s="88">
        <f>IF(B$20=0,0,G20/B$20)</f>
        <v>8.2116788321167887E-3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607</v>
      </c>
      <c r="C21" s="6">
        <f>IF(B$3=0,0,B21/B$3)</f>
        <v>0.16251673360107094</v>
      </c>
      <c r="E21" s="27" t="s">
        <v>75</v>
      </c>
      <c r="F21" s="24" t="s">
        <v>30</v>
      </c>
      <c r="G21" s="12">
        <v>4</v>
      </c>
      <c r="H21" s="88">
        <f>IF(B$20=0,0,G21/B$20)</f>
        <v>3.6496350364963502E-3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163</v>
      </c>
      <c r="P21" s="83">
        <f>IF(Q21=0,0,R21/Q21)</f>
        <v>1.9980769230769233</v>
      </c>
      <c r="Q21" s="77">
        <v>156</v>
      </c>
      <c r="R21" s="68">
        <v>311.70000000000005</v>
      </c>
    </row>
    <row r="22" spans="1:18" x14ac:dyDescent="0.4">
      <c r="A22" s="19" t="s">
        <v>12</v>
      </c>
      <c r="B22" s="12">
        <v>482</v>
      </c>
      <c r="C22" s="6">
        <f>IF(B$20=0,0,B22/B$20)</f>
        <v>0.43978102189781021</v>
      </c>
      <c r="E22" s="27" t="s">
        <v>77</v>
      </c>
      <c r="F22" s="24" t="s">
        <v>32</v>
      </c>
      <c r="G22" s="12">
        <v>4</v>
      </c>
      <c r="H22" s="88">
        <f>IF(B$20=0,0,G22/B$20)</f>
        <v>3.6496350364963502E-3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0.984375</v>
      </c>
      <c r="Q22" s="77">
        <v>96</v>
      </c>
      <c r="R22" s="68">
        <v>94.5</v>
      </c>
    </row>
    <row r="23" spans="1:18" x14ac:dyDescent="0.4">
      <c r="A23" s="19" t="s">
        <v>11</v>
      </c>
      <c r="B23" s="12">
        <v>614</v>
      </c>
      <c r="C23" s="6">
        <f>IF(B$20=0,0,B23/B$20)</f>
        <v>0.56021897810218979</v>
      </c>
      <c r="E23" s="27" t="s">
        <v>85</v>
      </c>
      <c r="F23" s="24" t="s">
        <v>40</v>
      </c>
      <c r="G23" s="12">
        <v>4</v>
      </c>
      <c r="H23" s="88">
        <f>IF(B$20=0,0,G23/B$20)</f>
        <v>3.6496350364963502E-3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-0.65206611570247819</v>
      </c>
      <c r="Q23" s="77">
        <v>242</v>
      </c>
      <c r="R23" s="68">
        <v>-157.79999999999973</v>
      </c>
    </row>
    <row r="24" spans="1:18" x14ac:dyDescent="0.4">
      <c r="A24" s="19" t="s">
        <v>183</v>
      </c>
      <c r="B24" s="12">
        <v>481</v>
      </c>
      <c r="C24" s="6">
        <f>IF(B$20=0,0,B24/B$20)</f>
        <v>0.43886861313868614</v>
      </c>
      <c r="E24" s="27" t="s">
        <v>88</v>
      </c>
      <c r="F24" s="24" t="s">
        <v>43</v>
      </c>
      <c r="G24" s="12">
        <v>4</v>
      </c>
      <c r="H24" s="88">
        <f>IF(B$20=0,0,G24/B$20)</f>
        <v>3.6496350364963502E-3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339</v>
      </c>
      <c r="C25" s="6">
        <f>IF(B$20=0,0,B25/B$20)</f>
        <v>0.30930656934306572</v>
      </c>
      <c r="E25" s="27" t="s">
        <v>92</v>
      </c>
      <c r="F25" s="24" t="s">
        <v>47</v>
      </c>
      <c r="G25" s="12">
        <v>3</v>
      </c>
      <c r="H25" s="88">
        <f>IF(B$20=0,0,G25/B$20)</f>
        <v>2.7372262773722629E-3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-6.3479999999999981</v>
      </c>
      <c r="Q25" s="77">
        <v>100</v>
      </c>
      <c r="R25" s="68">
        <v>-634.79999999999984</v>
      </c>
    </row>
    <row r="26" spans="1:18" x14ac:dyDescent="0.4">
      <c r="A26" s="19" t="s">
        <v>182</v>
      </c>
      <c r="B26" s="12">
        <v>276</v>
      </c>
      <c r="C26" s="6">
        <f>IF(B$20=0,0,B26/B$20)</f>
        <v>0.2518248175182482</v>
      </c>
      <c r="E26" s="27" t="s">
        <v>90</v>
      </c>
      <c r="F26" s="24" t="s">
        <v>45</v>
      </c>
      <c r="G26" s="12">
        <v>2</v>
      </c>
      <c r="H26" s="88">
        <f>IF(B$20=0,0,G26/B$20)</f>
        <v>1.8248175182481751E-3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-7.6911764705882408</v>
      </c>
      <c r="Q26" s="77">
        <v>102</v>
      </c>
      <c r="R26" s="68">
        <v>-784.50000000000057</v>
      </c>
    </row>
    <row r="27" spans="1:18" x14ac:dyDescent="0.4">
      <c r="A27" s="19" t="s">
        <v>5</v>
      </c>
      <c r="B27" s="16">
        <f>IF(B$20=0,0,C27/B$20)</f>
        <v>8162.7737226277368</v>
      </c>
      <c r="C27" s="8">
        <v>8946400</v>
      </c>
      <c r="E27" s="27" t="s">
        <v>93</v>
      </c>
      <c r="F27" s="24" t="s">
        <v>48</v>
      </c>
      <c r="G27" s="12">
        <v>2</v>
      </c>
      <c r="H27" s="88">
        <f>IF(B$20=0,0,G27/B$20)</f>
        <v>1.8248175182481751E-3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8770.1453104359316</v>
      </c>
      <c r="C28" s="96">
        <v>6639000</v>
      </c>
      <c r="E28" s="27" t="s">
        <v>80</v>
      </c>
      <c r="F28" s="24" t="s">
        <v>35</v>
      </c>
      <c r="G28" s="12">
        <v>1</v>
      </c>
      <c r="H28" s="88">
        <f>IF(B$20=0,0,G28/B$20)</f>
        <v>9.1240875912408756E-4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6806.4896755162245</v>
      </c>
      <c r="C29" s="96">
        <v>2307400</v>
      </c>
      <c r="E29" s="27" t="s">
        <v>84</v>
      </c>
      <c r="F29" s="24" t="s">
        <v>39</v>
      </c>
      <c r="G29" s="12">
        <v>1</v>
      </c>
      <c r="H29" s="88">
        <f>IF(B$20=0,0,G29/B$20)</f>
        <v>9.1240875912408756E-4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-7685.3377265238878</v>
      </c>
      <c r="C30" s="96">
        <v>-4665000</v>
      </c>
      <c r="E30" s="27" t="s">
        <v>102</v>
      </c>
      <c r="F30" s="24" t="s">
        <v>57</v>
      </c>
      <c r="G30" s="12">
        <v>1</v>
      </c>
      <c r="H30" s="88">
        <f>IF(B$20=0,0,G30/B$20)</f>
        <v>9.1240875912408756E-4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9.1240875912408756E-4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4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1.8741633199464524E-3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80</v>
      </c>
      <c r="C37" s="98">
        <f t="shared" ref="C37:C49" si="2">IF(B$20=0,0,B37/B$20)</f>
        <v>7.2992700729927001E-2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200</v>
      </c>
      <c r="C38" s="6">
        <f t="shared" si="2"/>
        <v>0.18248175182481752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216</v>
      </c>
      <c r="C39" s="6">
        <f t="shared" si="2"/>
        <v>0.19708029197080293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214</v>
      </c>
      <c r="C40" s="6">
        <f t="shared" si="2"/>
        <v>0.19525547445255476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159</v>
      </c>
      <c r="C41" s="6">
        <f t="shared" si="2"/>
        <v>0.14507299270072993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103</v>
      </c>
      <c r="C42" s="6">
        <f t="shared" si="2"/>
        <v>9.3978102189781018E-2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47</v>
      </c>
      <c r="C43" s="6">
        <f t="shared" si="2"/>
        <v>4.288321167883212E-2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35</v>
      </c>
      <c r="C44" s="6">
        <f t="shared" si="2"/>
        <v>3.1934306569343068E-2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18</v>
      </c>
      <c r="C45" s="6">
        <f t="shared" si="2"/>
        <v>1.6423357664233577E-2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1.0036496350364963E-2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4</v>
      </c>
      <c r="C47" s="6">
        <f t="shared" si="2"/>
        <v>3.6496350364963502E-3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9.1240875912408756E-4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7.2992700729927005E-3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  <row r="432" spans="11:13" x14ac:dyDescent="0.4">
      <c r="K432" s="74">
        <v>430</v>
      </c>
      <c r="L432" s="119">
        <v>24.50000000000005</v>
      </c>
      <c r="M432" s="117">
        <v>1612.4584212304849</v>
      </c>
    </row>
    <row r="433" spans="11:13" x14ac:dyDescent="0.4">
      <c r="K433" s="74">
        <v>431</v>
      </c>
      <c r="L433" s="119">
        <v>-5.5999999999999517</v>
      </c>
      <c r="M433" s="117">
        <v>1607.013670703102</v>
      </c>
    </row>
    <row r="434" spans="11:13" x14ac:dyDescent="0.4">
      <c r="K434" s="74">
        <v>432</v>
      </c>
      <c r="L434" s="119">
        <v>4.7961634663806763E-14</v>
      </c>
      <c r="M434" s="117">
        <v>1608.0275886788834</v>
      </c>
    </row>
    <row r="435" spans="11:13" x14ac:dyDescent="0.4">
      <c r="K435" s="74">
        <v>433</v>
      </c>
      <c r="L435" s="119">
        <v>-48.299999999999947</v>
      </c>
      <c r="M435" s="117">
        <v>1599.33342314681</v>
      </c>
    </row>
    <row r="436" spans="11:13" x14ac:dyDescent="0.4">
      <c r="K436" s="74">
        <v>434</v>
      </c>
      <c r="L436" s="119">
        <v>-9.699999999999946</v>
      </c>
      <c r="M436" s="117">
        <v>1606.3334226079292</v>
      </c>
    </row>
    <row r="437" spans="11:13" x14ac:dyDescent="0.4">
      <c r="K437" s="74">
        <v>435</v>
      </c>
      <c r="L437" s="119">
        <v>5.3290705182007514E-14</v>
      </c>
      <c r="M437" s="117">
        <v>1608.0894220722816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121</v>
      </c>
      <c r="C2" s="142"/>
      <c r="E2" s="26" t="s">
        <v>66</v>
      </c>
      <c r="F2" s="23" t="s">
        <v>22</v>
      </c>
      <c r="G2" s="11">
        <v>245</v>
      </c>
      <c r="H2" s="87">
        <f>IF(B$20=0,0,G2/B$20)</f>
        <v>0.75851393188854488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477.5</v>
      </c>
      <c r="Q2" s="76">
        <v>120</v>
      </c>
      <c r="R2" s="63">
        <v>57300</v>
      </c>
    </row>
    <row r="3" spans="1:18" x14ac:dyDescent="0.4">
      <c r="A3" s="19" t="s">
        <v>8</v>
      </c>
      <c r="B3" s="143">
        <v>1017</v>
      </c>
      <c r="C3" s="144"/>
      <c r="E3" s="27" t="s">
        <v>72</v>
      </c>
      <c r="F3" s="24" t="s">
        <v>27</v>
      </c>
      <c r="G3" s="12">
        <v>175</v>
      </c>
      <c r="H3" s="88">
        <f>IF(B$20=0,0,G3/B$20)</f>
        <v>0.54179566563467496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-552.991452991453</v>
      </c>
      <c r="Q3" s="77">
        <v>117</v>
      </c>
      <c r="R3" s="64">
        <v>-64700</v>
      </c>
    </row>
    <row r="4" spans="1:18" x14ac:dyDescent="0.4">
      <c r="A4" s="19" t="s">
        <v>6</v>
      </c>
      <c r="B4" s="145">
        <v>52.599999999999895</v>
      </c>
      <c r="C4" s="146"/>
      <c r="E4" s="27" t="s">
        <v>64</v>
      </c>
      <c r="F4" s="24" t="s">
        <v>20</v>
      </c>
      <c r="G4" s="12">
        <v>133</v>
      </c>
      <c r="H4" s="88">
        <f>IF(B$20=0,0,G4/B$20)</f>
        <v>0.41176470588235292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-1634.1880341880342</v>
      </c>
      <c r="Q4" s="77">
        <v>117</v>
      </c>
      <c r="R4" s="64">
        <v>-191200</v>
      </c>
    </row>
    <row r="5" spans="1:18" x14ac:dyDescent="0.4">
      <c r="A5" s="19" t="s">
        <v>7</v>
      </c>
      <c r="B5" s="133">
        <f>IF(B$2=0,0,B$4/B$2)</f>
        <v>0.43471074380165203</v>
      </c>
      <c r="C5" s="134"/>
      <c r="E5" s="27" t="s">
        <v>159</v>
      </c>
      <c r="F5" s="24" t="s">
        <v>160</v>
      </c>
      <c r="G5" s="12">
        <v>124</v>
      </c>
      <c r="H5" s="88">
        <f>IF(B$20=0,0,G5/B$20)</f>
        <v>0.38390092879256965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1147.3214285714287</v>
      </c>
      <c r="Q5" s="77">
        <v>112</v>
      </c>
      <c r="R5" s="64">
        <v>128500</v>
      </c>
    </row>
    <row r="6" spans="1:18" x14ac:dyDescent="0.4">
      <c r="A6" s="19" t="s">
        <v>196</v>
      </c>
      <c r="B6" s="137">
        <v>1726.6123669154179</v>
      </c>
      <c r="C6" s="138"/>
      <c r="E6" s="27" t="s">
        <v>68</v>
      </c>
      <c r="F6" s="24" t="s">
        <v>12</v>
      </c>
      <c r="G6" s="12">
        <v>102</v>
      </c>
      <c r="H6" s="88">
        <f>IF(B$20=0,0,G6/B$20)</f>
        <v>0.31578947368421051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660.39603960396039</v>
      </c>
      <c r="Q6" s="77">
        <v>101</v>
      </c>
      <c r="R6" s="64">
        <v>66700</v>
      </c>
    </row>
    <row r="7" spans="1:18" x14ac:dyDescent="0.4">
      <c r="A7" s="19" t="s">
        <v>1</v>
      </c>
      <c r="B7" s="147">
        <f>IF(B$2=0,0,(B$8*1+B$9*2+B$10*3)/B$2)</f>
        <v>2.0330578512396693</v>
      </c>
      <c r="C7" s="148"/>
      <c r="E7" s="27" t="s">
        <v>67</v>
      </c>
      <c r="F7" s="24" t="s">
        <v>23</v>
      </c>
      <c r="G7" s="12">
        <v>67</v>
      </c>
      <c r="H7" s="88">
        <f>IF(B$20=0,0,G7/B$20)</f>
        <v>0.20743034055727555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218.6046511627907</v>
      </c>
      <c r="Q7" s="78">
        <v>86</v>
      </c>
      <c r="R7" s="65">
        <v>18800</v>
      </c>
    </row>
    <row r="8" spans="1:18" x14ac:dyDescent="0.4">
      <c r="A8" s="19" t="s">
        <v>2</v>
      </c>
      <c r="B8" s="12">
        <v>40</v>
      </c>
      <c r="C8" s="6">
        <f t="shared" ref="C8:C15" si="1">IF(B$2=0,0,B8/B$2)</f>
        <v>0.33057851239669422</v>
      </c>
      <c r="E8" s="27" t="s">
        <v>69</v>
      </c>
      <c r="F8" s="24" t="s">
        <v>24</v>
      </c>
      <c r="G8" s="12">
        <v>53</v>
      </c>
      <c r="H8" s="88">
        <f>IF(B$20=0,0,G8/B$20)</f>
        <v>0.16408668730650156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0.30578512396694213</v>
      </c>
      <c r="E9" s="27" t="s">
        <v>70</v>
      </c>
      <c r="F9" s="24" t="s">
        <v>25</v>
      </c>
      <c r="G9" s="12">
        <v>44</v>
      </c>
      <c r="H9" s="88">
        <f>IF(B$20=0,0,G9/B$20)</f>
        <v>0.13622291021671826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44</v>
      </c>
      <c r="C10" s="7">
        <f t="shared" si="1"/>
        <v>0.36363636363636365</v>
      </c>
      <c r="E10" s="27" t="s">
        <v>89</v>
      </c>
      <c r="F10" s="24" t="s">
        <v>44</v>
      </c>
      <c r="G10" s="12">
        <v>41</v>
      </c>
      <c r="H10" s="88">
        <f>IF(B$20=0,0,G10/B$20)</f>
        <v>0.12693498452012383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5.8047619047619037</v>
      </c>
      <c r="Q10" s="76">
        <v>42</v>
      </c>
      <c r="R10" s="67">
        <v>243.79999999999995</v>
      </c>
    </row>
    <row r="11" spans="1:18" x14ac:dyDescent="0.4">
      <c r="A11" s="20" t="s">
        <v>184</v>
      </c>
      <c r="B11" s="109">
        <f>IF(B8=0,0,C11/B8)</f>
        <v>37.702500000000008</v>
      </c>
      <c r="C11" s="110">
        <v>1508.1000000000004</v>
      </c>
      <c r="E11" s="27" t="s">
        <v>65</v>
      </c>
      <c r="F11" s="24" t="s">
        <v>21</v>
      </c>
      <c r="G11" s="12">
        <v>27</v>
      </c>
      <c r="H11" s="88">
        <f>IF(B$20=0,0,G11/B$20)</f>
        <v>8.3591331269349839E-2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-6.8738095238095251</v>
      </c>
      <c r="Q11" s="77">
        <v>42</v>
      </c>
      <c r="R11" s="68">
        <v>-288.70000000000005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23</v>
      </c>
      <c r="H12" s="88">
        <f>IF(B$20=0,0,G12/B$20)</f>
        <v>7.1207430340557279E-2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2.635135135135136</v>
      </c>
      <c r="Q12" s="78">
        <v>37</v>
      </c>
      <c r="R12" s="69">
        <v>97.500000000000028</v>
      </c>
    </row>
    <row r="13" spans="1:18" x14ac:dyDescent="0.4">
      <c r="A13" s="20" t="s">
        <v>186</v>
      </c>
      <c r="B13" s="109">
        <f>IF(B10=0,0,C13/B10)</f>
        <v>-31.752272727272729</v>
      </c>
      <c r="C13" s="110">
        <v>-1397.1000000000001</v>
      </c>
      <c r="E13" s="27" t="s">
        <v>83</v>
      </c>
      <c r="F13" s="24" t="s">
        <v>38</v>
      </c>
      <c r="G13" s="12">
        <v>14</v>
      </c>
      <c r="H13" s="88">
        <f>IF(B$20=0,0,G13/B$20)</f>
        <v>4.3343653250773995E-2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1.4572829647829657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4.0247678018575851E-2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</v>
      </c>
      <c r="C15" s="9">
        <f t="shared" si="1"/>
        <v>9.0909090909090912E-2</v>
      </c>
      <c r="E15" s="27" t="s">
        <v>155</v>
      </c>
      <c r="F15" s="24" t="s">
        <v>156</v>
      </c>
      <c r="G15" s="12">
        <v>12</v>
      </c>
      <c r="H15" s="88">
        <f>IF(B$20=0,0,G15/B$20)</f>
        <v>3.7151702786377708E-2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250</v>
      </c>
      <c r="C16" s="10">
        <f>IF(B$3=0,0,B16/B$3)</f>
        <v>0.24582104228121926</v>
      </c>
      <c r="E16" s="27" t="s">
        <v>78</v>
      </c>
      <c r="F16" s="24" t="s">
        <v>33</v>
      </c>
      <c r="G16" s="12">
        <v>8</v>
      </c>
      <c r="H16" s="88">
        <f>IF(B$20=0,0,G16/B$20)</f>
        <v>2.4767801857585141E-2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207</v>
      </c>
      <c r="C17" s="6">
        <f>IF(B$3=0,0,B17/B$3)</f>
        <v>0.20353982300884957</v>
      </c>
      <c r="E17" s="27" t="s">
        <v>91</v>
      </c>
      <c r="F17" s="24" t="s">
        <v>46</v>
      </c>
      <c r="G17" s="12">
        <v>8</v>
      </c>
      <c r="H17" s="88">
        <f>IF(B$20=0,0,G17/B$20)</f>
        <v>2.4767801857585141E-2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142</v>
      </c>
      <c r="C18" s="5">
        <f>IF(B$16=0,0,B18/B$16)</f>
        <v>0.56799999999999995</v>
      </c>
      <c r="E18" s="27" t="s">
        <v>79</v>
      </c>
      <c r="F18" s="24" t="s">
        <v>34</v>
      </c>
      <c r="G18" s="12">
        <v>5</v>
      </c>
      <c r="H18" s="88">
        <f>IF(B$20=0,0,G18/B$20)</f>
        <v>1.5479876160990712E-2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96</v>
      </c>
      <c r="C19" s="5">
        <f>IF(B$17=0,0,B19/B$17)</f>
        <v>0.46376811594202899</v>
      </c>
      <c r="E19" s="27" t="s">
        <v>81</v>
      </c>
      <c r="F19" s="24" t="s">
        <v>36</v>
      </c>
      <c r="G19" s="12">
        <v>5</v>
      </c>
      <c r="H19" s="88">
        <f>IF(B$20=0,0,G19/B$20)</f>
        <v>1.5479876160990712E-2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4.1560606060606062</v>
      </c>
      <c r="Q19" s="77">
        <v>66</v>
      </c>
      <c r="R19" s="68">
        <v>274.3</v>
      </c>
    </row>
    <row r="20" spans="1:18" x14ac:dyDescent="0.4">
      <c r="A20" s="18" t="s">
        <v>10</v>
      </c>
      <c r="B20" s="11">
        <f>B23+B22</f>
        <v>323</v>
      </c>
      <c r="C20" s="5">
        <f>IF(B$3=0,0,B20/B$3)</f>
        <v>0.31760078662733532</v>
      </c>
      <c r="E20" s="27" t="s">
        <v>73</v>
      </c>
      <c r="F20" s="24" t="s">
        <v>28</v>
      </c>
      <c r="G20" s="12">
        <v>3</v>
      </c>
      <c r="H20" s="88">
        <f>IF(B$20=0,0,G20/B$20)</f>
        <v>9.2879256965944269E-3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216</v>
      </c>
      <c r="P20" s="83">
        <f>IF(Q20=0,0,R20/Q20)</f>
        <v>-0.10909090909091064</v>
      </c>
      <c r="Q20" s="77">
        <v>11</v>
      </c>
      <c r="R20" s="68">
        <v>-1.2000000000000171</v>
      </c>
    </row>
    <row r="21" spans="1:18" x14ac:dyDescent="0.4">
      <c r="A21" s="19" t="s">
        <v>13</v>
      </c>
      <c r="B21" s="12">
        <v>180</v>
      </c>
      <c r="C21" s="6">
        <f>IF(B$3=0,0,B21/B$3)</f>
        <v>0.17699115044247787</v>
      </c>
      <c r="E21" s="27" t="s">
        <v>75</v>
      </c>
      <c r="F21" s="24" t="s">
        <v>30</v>
      </c>
      <c r="G21" s="12">
        <v>2</v>
      </c>
      <c r="H21" s="88">
        <f>IF(B$20=0,0,G21/B$20)</f>
        <v>6.1919504643962852E-3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190</v>
      </c>
      <c r="P21" s="83">
        <f>IF(Q21=0,0,R21/Q21)</f>
        <v>-0.82903225806451564</v>
      </c>
      <c r="Q21" s="77">
        <v>31</v>
      </c>
      <c r="R21" s="68">
        <v>-25.699999999999985</v>
      </c>
    </row>
    <row r="22" spans="1:18" x14ac:dyDescent="0.4">
      <c r="A22" s="19" t="s">
        <v>12</v>
      </c>
      <c r="B22" s="12">
        <v>149</v>
      </c>
      <c r="C22" s="6">
        <f>IF(B$20=0,0,B22/B$20)</f>
        <v>0.46130030959752322</v>
      </c>
      <c r="E22" s="27" t="s">
        <v>85</v>
      </c>
      <c r="F22" s="24" t="s">
        <v>40</v>
      </c>
      <c r="G22" s="12">
        <v>2</v>
      </c>
      <c r="H22" s="88">
        <f>IF(B$20=0,0,G22/B$20)</f>
        <v>6.1919504643962852E-3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189</v>
      </c>
      <c r="P22" s="83">
        <f>IF(Q22=0,0,R22/Q22)</f>
        <v>-3.4119047619047622</v>
      </c>
      <c r="Q22" s="77">
        <v>42</v>
      </c>
      <c r="R22" s="68">
        <v>-143.30000000000001</v>
      </c>
    </row>
    <row r="23" spans="1:18" x14ac:dyDescent="0.4">
      <c r="A23" s="19" t="s">
        <v>11</v>
      </c>
      <c r="B23" s="12">
        <v>174</v>
      </c>
      <c r="C23" s="6">
        <f>IF(B$20=0,0,B23/B$20)</f>
        <v>0.53869969040247678</v>
      </c>
      <c r="E23" s="27" t="s">
        <v>80</v>
      </c>
      <c r="F23" s="24" t="s">
        <v>35</v>
      </c>
      <c r="G23" s="12">
        <v>1</v>
      </c>
      <c r="H23" s="88">
        <f>IF(B$20=0,0,G23/B$20)</f>
        <v>3.0959752321981426E-3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-5.2833333333333332</v>
      </c>
      <c r="Q23" s="77">
        <v>30</v>
      </c>
      <c r="R23" s="68">
        <v>-158.5</v>
      </c>
    </row>
    <row r="24" spans="1:18" x14ac:dyDescent="0.4">
      <c r="A24" s="19" t="s">
        <v>183</v>
      </c>
      <c r="B24" s="12">
        <v>142</v>
      </c>
      <c r="C24" s="6">
        <f>IF(B$20=0,0,B24/B$20)</f>
        <v>0.43962848297213625</v>
      </c>
      <c r="E24" s="27" t="s">
        <v>84</v>
      </c>
      <c r="F24" s="24" t="s">
        <v>39</v>
      </c>
      <c r="G24" s="12">
        <v>1</v>
      </c>
      <c r="H24" s="88">
        <f>IF(B$20=0,0,G24/B$20)</f>
        <v>3.0959752321981426E-3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-5.8279069767441873</v>
      </c>
      <c r="Q24" s="77">
        <v>43</v>
      </c>
      <c r="R24" s="68">
        <v>-250.60000000000005</v>
      </c>
    </row>
    <row r="25" spans="1:18" x14ac:dyDescent="0.4">
      <c r="A25" s="19" t="s">
        <v>181</v>
      </c>
      <c r="B25" s="12">
        <v>96</v>
      </c>
      <c r="C25" s="6">
        <f>IF(B$20=0,0,B25/B$20)</f>
        <v>0.29721362229102166</v>
      </c>
      <c r="E25" s="27" t="s">
        <v>88</v>
      </c>
      <c r="F25" s="24" t="s">
        <v>43</v>
      </c>
      <c r="G25" s="12">
        <v>1</v>
      </c>
      <c r="H25" s="88">
        <f>IF(B$20=0,0,G25/B$20)</f>
        <v>3.0959752321981426E-3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85</v>
      </c>
      <c r="C26" s="6">
        <f>IF(B$20=0,0,B26/B$20)</f>
        <v>0.26315789473684209</v>
      </c>
      <c r="E26" s="27" t="s">
        <v>90</v>
      </c>
      <c r="F26" s="24" t="s">
        <v>45</v>
      </c>
      <c r="G26" s="12">
        <v>1</v>
      </c>
      <c r="H26" s="88">
        <f>IF(B$20=0,0,G26/B$20)</f>
        <v>3.0959752321981426E-3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8125.3869969040252</v>
      </c>
      <c r="C27" s="8">
        <v>2624500</v>
      </c>
      <c r="E27" s="27" t="s">
        <v>92</v>
      </c>
      <c r="F27" s="24" t="s">
        <v>47</v>
      </c>
      <c r="G27" s="12">
        <v>1</v>
      </c>
      <c r="H27" s="88">
        <f>IF(B$20=0,0,G27/B$20)</f>
        <v>3.0959752321981426E-3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8430.8370044052863</v>
      </c>
      <c r="C28" s="96">
        <v>1913800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7403.125</v>
      </c>
      <c r="C29" s="96">
        <v>710700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-7592.7777777777774</v>
      </c>
      <c r="C30" s="96">
        <v>-1366700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7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9.8328416912487715E-4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5.8823529411764705E-2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64</v>
      </c>
      <c r="C38" s="6">
        <f t="shared" si="2"/>
        <v>0.19814241486068113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0.19504643962848298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63</v>
      </c>
      <c r="C40" s="6">
        <f t="shared" si="2"/>
        <v>0.19504643962848298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49</v>
      </c>
      <c r="C41" s="6">
        <f t="shared" si="2"/>
        <v>0.15170278637770898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38</v>
      </c>
      <c r="C42" s="6">
        <f t="shared" si="2"/>
        <v>0.11764705882352941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3.4055727554179564E-2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1.8575851393188854E-2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1.5479876160990712E-2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6.1919504643962852E-3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3.0959752321981426E-3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3.0959752321981426E-3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3.0959752321981426E-3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  <row r="122" spans="11:13" x14ac:dyDescent="0.4">
      <c r="K122" s="74">
        <v>120</v>
      </c>
      <c r="L122" s="119">
        <v>100.89999999999989</v>
      </c>
      <c r="M122" s="117">
        <v>1736.0748158102795</v>
      </c>
    </row>
    <row r="123" spans="11:13" x14ac:dyDescent="0.4">
      <c r="K123" s="74">
        <v>121</v>
      </c>
      <c r="L123" s="119">
        <v>52.599999999999895</v>
      </c>
      <c r="M123" s="117">
        <v>1726.6123669154179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8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78</v>
      </c>
      <c r="C2" s="142"/>
      <c r="E2" s="26" t="s">
        <v>66</v>
      </c>
      <c r="F2" s="23" t="s">
        <v>22</v>
      </c>
      <c r="G2" s="11">
        <v>178</v>
      </c>
      <c r="H2" s="87">
        <f>IF(B$20=0,0,G2/B$20)</f>
        <v>0.96216216216216222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1384.6153846153845</v>
      </c>
      <c r="Q2" s="76">
        <v>78</v>
      </c>
      <c r="R2" s="63">
        <v>108000</v>
      </c>
    </row>
    <row r="3" spans="1:18" x14ac:dyDescent="0.4">
      <c r="A3" s="19" t="s">
        <v>8</v>
      </c>
      <c r="B3" s="143">
        <v>694</v>
      </c>
      <c r="C3" s="144"/>
      <c r="E3" s="27" t="s">
        <v>72</v>
      </c>
      <c r="F3" s="24" t="s">
        <v>27</v>
      </c>
      <c r="G3" s="12">
        <v>119</v>
      </c>
      <c r="H3" s="88">
        <f>IF(B$20=0,0,G3/B$20)</f>
        <v>0.64324324324324322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-436.84210526315792</v>
      </c>
      <c r="Q3" s="77">
        <v>76</v>
      </c>
      <c r="R3" s="64">
        <v>-33200</v>
      </c>
    </row>
    <row r="4" spans="1:18" x14ac:dyDescent="0.4">
      <c r="A4" s="19" t="s">
        <v>6</v>
      </c>
      <c r="B4" s="145">
        <v>-103.89999999999999</v>
      </c>
      <c r="C4" s="146"/>
      <c r="E4" s="27" t="s">
        <v>64</v>
      </c>
      <c r="F4" s="24" t="s">
        <v>20</v>
      </c>
      <c r="G4" s="12">
        <v>88</v>
      </c>
      <c r="H4" s="88">
        <f>IF(B$20=0,0,G4/B$20)</f>
        <v>0.4756756756756757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-405.26315789473682</v>
      </c>
      <c r="Q4" s="77">
        <v>76</v>
      </c>
      <c r="R4" s="64">
        <v>-30800</v>
      </c>
    </row>
    <row r="5" spans="1:18" x14ac:dyDescent="0.4">
      <c r="A5" s="19" t="s">
        <v>7</v>
      </c>
      <c r="B5" s="133">
        <f>IF(B$2=0,0,B$4/B$2)</f>
        <v>-1.332051282051282</v>
      </c>
      <c r="C5" s="134"/>
      <c r="E5" s="27" t="s">
        <v>159</v>
      </c>
      <c r="F5" s="24" t="s">
        <v>160</v>
      </c>
      <c r="G5" s="12">
        <v>75</v>
      </c>
      <c r="H5" s="88">
        <f>IF(B$20=0,0,G5/B$20)</f>
        <v>0.40540540540540543</v>
      </c>
      <c r="I5" s="58">
        <v>8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119.17808219178082</v>
      </c>
      <c r="Q5" s="77">
        <v>73</v>
      </c>
      <c r="R5" s="64">
        <v>8700</v>
      </c>
    </row>
    <row r="6" spans="1:18" x14ac:dyDescent="0.4">
      <c r="A6" s="19" t="s">
        <v>196</v>
      </c>
      <c r="B6" s="137">
        <v>1629.7570489830823</v>
      </c>
      <c r="C6" s="138"/>
      <c r="E6" s="27" t="s">
        <v>68</v>
      </c>
      <c r="F6" s="24" t="s">
        <v>12</v>
      </c>
      <c r="G6" s="12">
        <v>63</v>
      </c>
      <c r="H6" s="88">
        <f>IF(B$20=0,0,G6/B$20)</f>
        <v>0.34054054054054056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-304.54545454545456</v>
      </c>
      <c r="Q6" s="77">
        <v>66</v>
      </c>
      <c r="R6" s="64">
        <v>-20100</v>
      </c>
    </row>
    <row r="7" spans="1:18" x14ac:dyDescent="0.4">
      <c r="A7" s="19" t="s">
        <v>1</v>
      </c>
      <c r="B7" s="147">
        <f>IF(B$2=0,0,(B$8*1+B$9*2+B$10*3)/B$2)</f>
        <v>2.0128205128205128</v>
      </c>
      <c r="C7" s="148"/>
      <c r="E7" s="27" t="s">
        <v>67</v>
      </c>
      <c r="F7" s="24" t="s">
        <v>23</v>
      </c>
      <c r="G7" s="12">
        <v>56</v>
      </c>
      <c r="H7" s="88">
        <f>IF(B$20=0,0,G7/B$20)</f>
        <v>0.30270270270270272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247.36842105263159</v>
      </c>
      <c r="Q7" s="78">
        <v>57</v>
      </c>
      <c r="R7" s="65">
        <v>14100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0.32051282051282054</v>
      </c>
      <c r="E8" s="27" t="s">
        <v>89</v>
      </c>
      <c r="F8" s="24" t="s">
        <v>44</v>
      </c>
      <c r="G8" s="12">
        <v>28</v>
      </c>
      <c r="H8" s="88">
        <f>IF(B$20=0,0,G8/B$20)</f>
        <v>0.15135135135135136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27</v>
      </c>
      <c r="C9" s="6">
        <f t="shared" si="1"/>
        <v>0.34615384615384615</v>
      </c>
      <c r="E9" s="27" t="s">
        <v>69</v>
      </c>
      <c r="F9" s="24" t="s">
        <v>24</v>
      </c>
      <c r="G9" s="12">
        <v>23</v>
      </c>
      <c r="H9" s="88">
        <f>IF(B$20=0,0,G9/B$20)</f>
        <v>0.12432432432432433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26</v>
      </c>
      <c r="C10" s="7">
        <f t="shared" si="1"/>
        <v>0.33333333333333331</v>
      </c>
      <c r="E10" s="27" t="s">
        <v>65</v>
      </c>
      <c r="F10" s="24" t="s">
        <v>21</v>
      </c>
      <c r="G10" s="12">
        <v>22</v>
      </c>
      <c r="H10" s="88">
        <f>IF(B$20=0,0,G10/B$20)</f>
        <v>0.11891891891891893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33.364000000000004</v>
      </c>
      <c r="C11" s="110">
        <v>834.1</v>
      </c>
      <c r="E11" s="27" t="s">
        <v>70</v>
      </c>
      <c r="F11" s="24" t="s">
        <v>25</v>
      </c>
      <c r="G11" s="12">
        <v>16</v>
      </c>
      <c r="H11" s="88">
        <f>IF(B$20=0,0,G11/B$20)</f>
        <v>8.6486486486486491E-2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0.24545454545454468</v>
      </c>
      <c r="Q11" s="77">
        <v>22</v>
      </c>
      <c r="R11" s="68">
        <v>5.3999999999999826</v>
      </c>
    </row>
    <row r="12" spans="1:18" x14ac:dyDescent="0.4">
      <c r="A12" s="20" t="s">
        <v>185</v>
      </c>
      <c r="B12" s="109">
        <f>IF(B9=0,0,C12/B9)</f>
        <v>1.5259259259259261</v>
      </c>
      <c r="C12" s="110">
        <v>41.2</v>
      </c>
      <c r="E12" s="27" t="s">
        <v>71</v>
      </c>
      <c r="F12" s="24" t="s">
        <v>26</v>
      </c>
      <c r="G12" s="12">
        <v>15</v>
      </c>
      <c r="H12" s="88">
        <f>IF(B$20=0,0,G12/B$20)</f>
        <v>8.1081081081081086E-2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-2.4959999999999996</v>
      </c>
      <c r="Q12" s="78">
        <v>25</v>
      </c>
      <c r="R12" s="69">
        <v>-62.399999999999991</v>
      </c>
    </row>
    <row r="13" spans="1:18" x14ac:dyDescent="0.4">
      <c r="A13" s="20" t="s">
        <v>186</v>
      </c>
      <c r="B13" s="109">
        <f>IF(B10=0,0,C13/B10)</f>
        <v>-37.66153846153847</v>
      </c>
      <c r="C13" s="110">
        <v>-979.20000000000016</v>
      </c>
      <c r="E13" s="27" t="s">
        <v>86</v>
      </c>
      <c r="F13" s="24" t="s">
        <v>41</v>
      </c>
      <c r="G13" s="12">
        <v>11</v>
      </c>
      <c r="H13" s="88">
        <f>IF(B$20=0,0,G13/B$20)</f>
        <v>5.9459459459459463E-2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-0.92387084520418006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3.2432432432432434E-2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0.12820512820512819</v>
      </c>
      <c r="E15" s="27" t="s">
        <v>91</v>
      </c>
      <c r="F15" s="24" t="s">
        <v>46</v>
      </c>
      <c r="G15" s="12">
        <v>6</v>
      </c>
      <c r="H15" s="88">
        <f>IF(B$20=0,0,G15/B$20)</f>
        <v>3.2432432432432434E-2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202</v>
      </c>
      <c r="C16" s="10">
        <f>IF(B$3=0,0,B16/B$3)</f>
        <v>0.29106628242074928</v>
      </c>
      <c r="E16" s="27" t="s">
        <v>155</v>
      </c>
      <c r="F16" s="24" t="s">
        <v>156</v>
      </c>
      <c r="G16" s="12">
        <v>6</v>
      </c>
      <c r="H16" s="88">
        <f>IF(B$20=0,0,G16/B$20)</f>
        <v>3.2432432432432434E-2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>IF(Q16=0,0,R16/Q16)</f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154</v>
      </c>
      <c r="C17" s="6">
        <f>IF(B$3=0,0,B17/B$3)</f>
        <v>0.22190201729106629</v>
      </c>
      <c r="E17" s="27" t="s">
        <v>81</v>
      </c>
      <c r="F17" s="24" t="s">
        <v>36</v>
      </c>
      <c r="G17" s="12">
        <v>5</v>
      </c>
      <c r="H17" s="88">
        <f>IF(B$20=0,0,G17/B$20)</f>
        <v>2.7027027027027029E-2</v>
      </c>
      <c r="I17" s="58">
        <v>10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>IF(Q17=0,0,R17/Q17)</f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94</v>
      </c>
      <c r="C18" s="5">
        <f>IF(B$16=0,0,B18/B$16)</f>
        <v>0.46534653465346537</v>
      </c>
      <c r="E18" s="27" t="s">
        <v>78</v>
      </c>
      <c r="F18" s="24" t="s">
        <v>33</v>
      </c>
      <c r="G18" s="12">
        <v>4</v>
      </c>
      <c r="H18" s="88">
        <f>IF(B$20=0,0,G18/B$20)</f>
        <v>2.1621621621621623E-2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>IF(Q18=0,0,R18/Q18)</f>
        <v>8.1149999999999984</v>
      </c>
      <c r="Q18" s="77">
        <v>20</v>
      </c>
      <c r="R18" s="68">
        <v>162.29999999999998</v>
      </c>
    </row>
    <row r="19" spans="1:18" x14ac:dyDescent="0.4">
      <c r="A19" s="18" t="s">
        <v>124</v>
      </c>
      <c r="B19" s="11">
        <f>B25</f>
        <v>53</v>
      </c>
      <c r="C19" s="5">
        <f>IF(B$17=0,0,B19/B$17)</f>
        <v>0.34415584415584416</v>
      </c>
      <c r="E19" s="27" t="s">
        <v>73</v>
      </c>
      <c r="F19" s="24" t="s">
        <v>28</v>
      </c>
      <c r="G19" s="12">
        <v>3</v>
      </c>
      <c r="H19" s="88">
        <f>IF(B$20=0,0,G19/B$20)</f>
        <v>1.6216216216216217E-2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>IF(Q19=0,0,R19/Q19)</f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185</v>
      </c>
      <c r="C20" s="5">
        <f>IF(B$3=0,0,B20/B$3)</f>
        <v>0.2665706051873199</v>
      </c>
      <c r="E20" s="27" t="s">
        <v>77</v>
      </c>
      <c r="F20" s="24" t="s">
        <v>32</v>
      </c>
      <c r="G20" s="12">
        <v>1</v>
      </c>
      <c r="H20" s="88">
        <f>IF(B$20=0,0,G20/B$20)</f>
        <v>5.4054054054054057E-3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>IF(Q20=0,0,R20/Q20)</f>
        <v>-4.1560606060606045</v>
      </c>
      <c r="Q20" s="77">
        <v>66</v>
      </c>
      <c r="R20" s="68">
        <v>-274.2999999999999</v>
      </c>
    </row>
    <row r="21" spans="1:18" x14ac:dyDescent="0.4">
      <c r="A21" s="19" t="s">
        <v>13</v>
      </c>
      <c r="B21" s="12">
        <v>134</v>
      </c>
      <c r="C21" s="6">
        <f>IF(B$3=0,0,B21/B$3)</f>
        <v>0.1930835734870317</v>
      </c>
      <c r="E21" s="27" t="s">
        <v>79</v>
      </c>
      <c r="F21" s="24" t="s">
        <v>34</v>
      </c>
      <c r="G21" s="12">
        <v>1</v>
      </c>
      <c r="H21" s="88">
        <f>IF(B$20=0,0,G21/B$20)</f>
        <v>5.4054054054054057E-3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>IF(Q21=0,0,R21/Q21)</f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85</v>
      </c>
      <c r="C22" s="6">
        <f>IF(B$20=0,0,B22/B$20)</f>
        <v>0.45945945945945948</v>
      </c>
      <c r="E22" s="27" t="s">
        <v>85</v>
      </c>
      <c r="F22" s="24" t="s">
        <v>40</v>
      </c>
      <c r="G22" s="12">
        <v>1</v>
      </c>
      <c r="H22" s="88">
        <f>IF(B$20=0,0,G22/B$20)</f>
        <v>5.4054054054054057E-3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>IF(Q22=0,0,R22/Q22)</f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100</v>
      </c>
      <c r="C23" s="6">
        <f>IF(B$20=0,0,B23/B$20)</f>
        <v>0.54054054054054057</v>
      </c>
      <c r="E23" s="27" t="s">
        <v>88</v>
      </c>
      <c r="F23" s="24" t="s">
        <v>43</v>
      </c>
      <c r="G23" s="12">
        <v>1</v>
      </c>
      <c r="H23" s="88">
        <f>IF(B$20=0,0,G23/B$20)</f>
        <v>5.4054054054054057E-3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>IF(Q23=0,0,R23/Q23)</f>
        <v>-11.209523809523811</v>
      </c>
      <c r="Q23" s="77">
        <v>21</v>
      </c>
      <c r="R23" s="68">
        <v>-235.40000000000003</v>
      </c>
    </row>
    <row r="24" spans="1:18" x14ac:dyDescent="0.4">
      <c r="A24" s="19" t="s">
        <v>183</v>
      </c>
      <c r="B24" s="12">
        <v>94</v>
      </c>
      <c r="C24" s="6">
        <f>IF(B$20=0,0,B24/B$20)</f>
        <v>0.50810810810810814</v>
      </c>
      <c r="E24" s="27" t="s">
        <v>92</v>
      </c>
      <c r="F24" s="24" t="s">
        <v>47</v>
      </c>
      <c r="G24" s="12">
        <v>1</v>
      </c>
      <c r="H24" s="88">
        <f>IF(B$20=0,0,G24/B$20)</f>
        <v>5.4054054054054057E-3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>IF(Q24=0,0,R24/Q24)</f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53</v>
      </c>
      <c r="C25" s="6">
        <f>IF(B$20=0,0,B25/B$20)</f>
        <v>0.2864864864864865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38</v>
      </c>
      <c r="C26" s="6">
        <f>IF(B$20=0,0,B26/B$20)</f>
        <v>0.20540540540540542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9488.1081081081084</v>
      </c>
      <c r="C27" s="8">
        <v>1755300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10325.757575757576</v>
      </c>
      <c r="C28" s="96">
        <v>1363000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7401.8867924528304</v>
      </c>
      <c r="C29" s="96">
        <v>392300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-7841.7910447761196</v>
      </c>
      <c r="C30" s="96">
        <v>-1050800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1.440922190201729E-3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2">IF(B$20=0,0,B37/B$20)</f>
        <v>5.4054054054054057E-2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19</v>
      </c>
      <c r="C38" s="6">
        <f t="shared" si="2"/>
        <v>0.10270270270270271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2"/>
        <v>0.17837837837837839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36</v>
      </c>
      <c r="C40" s="6">
        <f t="shared" si="2"/>
        <v>0.19459459459459461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36</v>
      </c>
      <c r="C41" s="6">
        <f t="shared" si="2"/>
        <v>0.19459459459459461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22</v>
      </c>
      <c r="C42" s="6">
        <f t="shared" si="2"/>
        <v>0.11891891891891893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11</v>
      </c>
      <c r="C43" s="6">
        <f t="shared" si="2"/>
        <v>5.9459459459459463E-2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2"/>
        <v>4.3243243243243246E-2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5</v>
      </c>
      <c r="C45" s="6">
        <f t="shared" si="2"/>
        <v>2.7027027027027029E-2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2"/>
        <v>1.0810810810810811E-2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2"/>
        <v>5.4054054054054057E-3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2"/>
        <v>1.0810810810810811E-2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  <row r="79" spans="11:13" x14ac:dyDescent="0.4">
      <c r="K79" s="74">
        <v>77</v>
      </c>
      <c r="L79" s="119">
        <v>-113.6</v>
      </c>
      <c r="M79" s="117">
        <v>1628.1318400232217</v>
      </c>
    </row>
    <row r="80" spans="11:13" x14ac:dyDescent="0.4">
      <c r="K80" s="74">
        <v>78</v>
      </c>
      <c r="L80" s="119">
        <v>-103.89999999999999</v>
      </c>
      <c r="M80" s="117">
        <v>1629.7570489830823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48</v>
      </c>
      <c r="C2" s="142"/>
      <c r="E2" s="26" t="s">
        <v>72</v>
      </c>
      <c r="F2" s="23" t="s">
        <v>27</v>
      </c>
      <c r="G2" s="11">
        <v>90</v>
      </c>
      <c r="H2" s="87">
        <f>IF(B$20=0,0,G2/B$20)</f>
        <v>0.703125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-427.08333333333331</v>
      </c>
      <c r="Q2" s="76">
        <v>48</v>
      </c>
      <c r="R2" s="63">
        <v>-20500</v>
      </c>
    </row>
    <row r="3" spans="1:18" x14ac:dyDescent="0.4">
      <c r="A3" s="19" t="s">
        <v>8</v>
      </c>
      <c r="B3" s="143">
        <v>424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0.6171875</v>
      </c>
      <c r="I3" s="58">
        <v>13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-533.33333333333337</v>
      </c>
      <c r="Q3" s="77">
        <v>48</v>
      </c>
      <c r="R3" s="64">
        <v>-25600</v>
      </c>
    </row>
    <row r="4" spans="1:18" x14ac:dyDescent="0.4">
      <c r="A4" s="19" t="s">
        <v>6</v>
      </c>
      <c r="B4" s="145">
        <v>-31.499999999999993</v>
      </c>
      <c r="C4" s="146"/>
      <c r="E4" s="27" t="s">
        <v>64</v>
      </c>
      <c r="F4" s="24" t="s">
        <v>20</v>
      </c>
      <c r="G4" s="12">
        <v>50</v>
      </c>
      <c r="H4" s="88">
        <f>IF(B$20=0,0,G4/B$20)</f>
        <v>0.390625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1240.4255319148936</v>
      </c>
      <c r="Q4" s="77">
        <v>47</v>
      </c>
      <c r="R4" s="64">
        <v>58300</v>
      </c>
    </row>
    <row r="5" spans="1:18" x14ac:dyDescent="0.4">
      <c r="A5" s="19" t="s">
        <v>7</v>
      </c>
      <c r="B5" s="133">
        <f>IF(B$2=0,0,B$4/B$2)</f>
        <v>-0.65624999999999989</v>
      </c>
      <c r="C5" s="134"/>
      <c r="E5" s="27" t="s">
        <v>159</v>
      </c>
      <c r="F5" s="24" t="s">
        <v>160</v>
      </c>
      <c r="G5" s="12">
        <v>48</v>
      </c>
      <c r="H5" s="88">
        <f>IF(B$20=0,0,G5/B$20)</f>
        <v>0.375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-1121.2765957446809</v>
      </c>
      <c r="Q5" s="77">
        <v>47</v>
      </c>
      <c r="R5" s="64">
        <v>-52700</v>
      </c>
    </row>
    <row r="6" spans="1:18" x14ac:dyDescent="0.4">
      <c r="A6" s="19" t="s">
        <v>196</v>
      </c>
      <c r="B6" s="137">
        <v>1467.5565900800862</v>
      </c>
      <c r="C6" s="138"/>
      <c r="E6" s="27" t="s">
        <v>68</v>
      </c>
      <c r="F6" s="24" t="s">
        <v>12</v>
      </c>
      <c r="G6" s="12">
        <v>35</v>
      </c>
      <c r="H6" s="88">
        <f>IF(B$20=0,0,G6/B$20)</f>
        <v>0.2734375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-1164.4444444444443</v>
      </c>
      <c r="Q6" s="77">
        <v>45</v>
      </c>
      <c r="R6" s="64">
        <v>-52400</v>
      </c>
    </row>
    <row r="7" spans="1:18" x14ac:dyDescent="0.4">
      <c r="A7" s="19" t="s">
        <v>1</v>
      </c>
      <c r="B7" s="147">
        <f>IF(B$2=0,0,(B$8*1+B$9*2+B$10*3)/B$2)</f>
        <v>2.0208333333333335</v>
      </c>
      <c r="C7" s="148"/>
      <c r="E7" s="27" t="s">
        <v>67</v>
      </c>
      <c r="F7" s="24" t="s">
        <v>23</v>
      </c>
      <c r="G7" s="12">
        <v>30</v>
      </c>
      <c r="H7" s="88">
        <f>IF(B$20=0,0,G7/B$20)</f>
        <v>0.234375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-529.72972972972968</v>
      </c>
      <c r="Q7" s="78">
        <v>37</v>
      </c>
      <c r="R7" s="65">
        <v>-19600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13</v>
      </c>
      <c r="H8" s="88">
        <f>IF(B$20=0,0,G8/B$20)</f>
        <v>0.1015625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0.22916666666666666</v>
      </c>
      <c r="E9" s="27" t="s">
        <v>70</v>
      </c>
      <c r="F9" s="24" t="s">
        <v>25</v>
      </c>
      <c r="G9" s="12">
        <v>12</v>
      </c>
      <c r="H9" s="88">
        <f>IF(B$20=0,0,G9/B$20)</f>
        <v>9.375E-2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0.39583333333333331</v>
      </c>
      <c r="E10" s="27" t="s">
        <v>69</v>
      </c>
      <c r="F10" s="24" t="s">
        <v>24</v>
      </c>
      <c r="G10" s="12">
        <v>11</v>
      </c>
      <c r="H10" s="88">
        <f>IF(B$20=0,0,G10/B$20)</f>
        <v>8.59375E-2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6.9000000000000012</v>
      </c>
      <c r="Q10" s="76">
        <v>12</v>
      </c>
      <c r="R10" s="67">
        <v>82.800000000000011</v>
      </c>
    </row>
    <row r="11" spans="1:18" x14ac:dyDescent="0.4">
      <c r="A11" s="20" t="s">
        <v>184</v>
      </c>
      <c r="B11" s="109">
        <f>IF(B8=0,0,C11/B8)</f>
        <v>30.577777777777783</v>
      </c>
      <c r="C11" s="110">
        <v>550.40000000000009</v>
      </c>
      <c r="E11" s="27" t="s">
        <v>65</v>
      </c>
      <c r="F11" s="24" t="s">
        <v>21</v>
      </c>
      <c r="G11" s="12">
        <v>10</v>
      </c>
      <c r="H11" s="88">
        <f>IF(B$20=0,0,G11/B$20)</f>
        <v>7.8125E-2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-5.1055555555555561</v>
      </c>
      <c r="Q11" s="77">
        <v>18</v>
      </c>
      <c r="R11" s="68">
        <v>-91.9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71</v>
      </c>
      <c r="F12" s="24" t="s">
        <v>26</v>
      </c>
      <c r="G12" s="12">
        <v>8</v>
      </c>
      <c r="H12" s="88">
        <f>IF(B$20=0,0,G12/B$20)</f>
        <v>6.25E-2</v>
      </c>
      <c r="I12" s="58">
        <v>8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83</v>
      </c>
      <c r="F13" s="24" t="s">
        <v>38</v>
      </c>
      <c r="G13" s="12">
        <v>8</v>
      </c>
      <c r="H13" s="88">
        <f>IF(B$20=0,0,G13/B$20)</f>
        <v>6.25E-2</v>
      </c>
      <c r="I13" s="58">
        <v>4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0.67409179514442974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3.90625E-2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8.3333333333333329E-2</v>
      </c>
      <c r="E15" s="27" t="s">
        <v>78</v>
      </c>
      <c r="F15" s="24" t="s">
        <v>33</v>
      </c>
      <c r="G15" s="12">
        <v>4</v>
      </c>
      <c r="H15" s="88">
        <f>IF(B$20=0,0,G15/B$20)</f>
        <v>3.125E-2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111</v>
      </c>
      <c r="C16" s="10">
        <f>IF(B$3=0,0,B16/B$3)</f>
        <v>0.2617924528301887</v>
      </c>
      <c r="E16" s="27" t="s">
        <v>79</v>
      </c>
      <c r="F16" s="24" t="s">
        <v>34</v>
      </c>
      <c r="G16" s="12">
        <v>3</v>
      </c>
      <c r="H16" s="88">
        <f>IF(B$20=0,0,G16/B$20)</f>
        <v>2.34375E-2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>IF(Q16=0,0,R16/Q16)</f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126</v>
      </c>
      <c r="C17" s="6">
        <f>IF(B$3=0,0,B17/B$3)</f>
        <v>0.29716981132075471</v>
      </c>
      <c r="E17" s="27" t="s">
        <v>86</v>
      </c>
      <c r="F17" s="24" t="s">
        <v>41</v>
      </c>
      <c r="G17" s="12">
        <v>3</v>
      </c>
      <c r="H17" s="88">
        <f>IF(B$20=0,0,G17/B$20)</f>
        <v>2.34375E-2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>IF(Q17=0,0,R17/Q17)</f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0.45045045045045046</v>
      </c>
      <c r="E18" s="27" t="s">
        <v>91</v>
      </c>
      <c r="F18" s="24" t="s">
        <v>46</v>
      </c>
      <c r="G18" s="12">
        <v>2</v>
      </c>
      <c r="H18" s="88">
        <f>IF(B$20=0,0,G18/B$20)</f>
        <v>1.5625E-2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>IF(Q18=0,0,R18/Q18)</f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0.41269841269841268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>IF(Q19=0,0,R19/Q19)</f>
        <v>3.4119047619047622</v>
      </c>
      <c r="Q19" s="77">
        <v>42</v>
      </c>
      <c r="R19" s="68">
        <v>143.30000000000001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0.30188679245283018</v>
      </c>
      <c r="E20" s="27" t="s">
        <v>93</v>
      </c>
      <c r="F20" s="24" t="s">
        <v>48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>IF(Q20=0,0,R20/Q20)</f>
        <v>-8.1149999999999967</v>
      </c>
      <c r="Q20" s="77">
        <v>20</v>
      </c>
      <c r="R20" s="68">
        <v>-162.29999999999993</v>
      </c>
    </row>
    <row r="21" spans="1:18" x14ac:dyDescent="0.4">
      <c r="A21" s="19" t="s">
        <v>13</v>
      </c>
      <c r="B21" s="12">
        <v>67</v>
      </c>
      <c r="C21" s="6">
        <f>IF(B$3=0,0,B21/B$3)</f>
        <v>0.15801886792452829</v>
      </c>
      <c r="E21" s="27" t="s">
        <v>106</v>
      </c>
      <c r="F21" s="24" t="s">
        <v>113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60</v>
      </c>
      <c r="C22" s="6">
        <f>IF(B$20=0,0,B22/B$20)</f>
        <v>0.46875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68</v>
      </c>
      <c r="C23" s="6">
        <f>IF(B$20=0,0,B23/B$20)</f>
        <v>0.53125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50</v>
      </c>
      <c r="C24" s="6">
        <f>IF(B$20=0,0,B24/B$20)</f>
        <v>0.390625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52</v>
      </c>
      <c r="C25" s="6">
        <f>IF(B$20=0,0,B25/B$20)</f>
        <v>0.40625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26</v>
      </c>
      <c r="C26" s="6">
        <f>IF(B$20=0,0,B26/B$20)</f>
        <v>0.203125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7529.6875</v>
      </c>
      <c r="C27" s="8">
        <v>963800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9067.105263157895</v>
      </c>
      <c r="C28" s="96">
        <v>689100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5282.6923076923076</v>
      </c>
      <c r="C29" s="96">
        <v>274700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-8488.059701492537</v>
      </c>
      <c r="C30" s="96">
        <v>-568700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2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2.3584905660377358E-3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16</v>
      </c>
      <c r="C37" s="98">
        <f t="shared" ref="C37:C49" si="2">IF(B$20=0,0,B37/B$20)</f>
        <v>0.125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2"/>
        <v>0.2109375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2"/>
        <v>0.21875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27</v>
      </c>
      <c r="C40" s="6">
        <f t="shared" si="2"/>
        <v>0.2109375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2"/>
        <v>5.46875E-2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2"/>
        <v>3.90625E-2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6</v>
      </c>
      <c r="C43" s="6">
        <f t="shared" si="2"/>
        <v>4.6875E-2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2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2"/>
        <v>3.125E-2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2"/>
        <v>3.125E-2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13" x14ac:dyDescent="0.4">
      <c r="A49" s="21" t="s">
        <v>179</v>
      </c>
      <c r="B49" s="97">
        <v>2</v>
      </c>
      <c r="C49" s="9">
        <f t="shared" si="2"/>
        <v>1.5625E-2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-70.099999999999994</v>
      </c>
      <c r="M49" s="117">
        <v>1459.7189035010927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-31.499999999999993</v>
      </c>
      <c r="M50" s="117">
        <v>1467.5565900800862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1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50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0.6717557251908397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-767.34693877551024</v>
      </c>
      <c r="Q2" s="76">
        <v>49</v>
      </c>
      <c r="R2" s="63">
        <v>-37600</v>
      </c>
    </row>
    <row r="3" spans="1:18" x14ac:dyDescent="0.4">
      <c r="A3" s="19" t="s">
        <v>8</v>
      </c>
      <c r="B3" s="143">
        <v>423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0.59541984732824427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1110.204081632653</v>
      </c>
      <c r="Q3" s="77">
        <v>49</v>
      </c>
      <c r="R3" s="64">
        <v>54400</v>
      </c>
    </row>
    <row r="4" spans="1:18" x14ac:dyDescent="0.4">
      <c r="A4" s="19" t="s">
        <v>6</v>
      </c>
      <c r="B4" s="145">
        <v>211.6</v>
      </c>
      <c r="C4" s="146"/>
      <c r="E4" s="27" t="s">
        <v>64</v>
      </c>
      <c r="F4" s="24" t="s">
        <v>20</v>
      </c>
      <c r="G4" s="12">
        <v>58</v>
      </c>
      <c r="H4" s="88">
        <f>IF(B$20=0,0,G4/B$20)</f>
        <v>0.44274809160305345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2391.8367346938776</v>
      </c>
      <c r="Q4" s="77">
        <v>49</v>
      </c>
      <c r="R4" s="64">
        <v>117200</v>
      </c>
    </row>
    <row r="5" spans="1:18" x14ac:dyDescent="0.4">
      <c r="A5" s="19" t="s">
        <v>7</v>
      </c>
      <c r="B5" s="133">
        <f>IF(B$2=0,0,B$4/B$2)</f>
        <v>4.2320000000000002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0.33587786259541985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-97.826086956521735</v>
      </c>
      <c r="Q5" s="77">
        <v>46</v>
      </c>
      <c r="R5" s="64">
        <v>-4500</v>
      </c>
    </row>
    <row r="6" spans="1:18" x14ac:dyDescent="0.4">
      <c r="A6" s="19" t="s">
        <v>196</v>
      </c>
      <c r="B6" s="137">
        <v>1546.7179617982042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0.28244274809160308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263.41463414634148</v>
      </c>
      <c r="Q6" s="77">
        <v>41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0.24427480916030533</v>
      </c>
      <c r="I7" s="58">
        <v>13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0.38</v>
      </c>
      <c r="E8" s="27" t="s">
        <v>89</v>
      </c>
      <c r="F8" s="24" t="s">
        <v>44</v>
      </c>
      <c r="G8" s="12">
        <v>26</v>
      </c>
      <c r="H8" s="88">
        <f>IF(B$20=0,0,G8/B$20)</f>
        <v>0.19847328244274809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</v>
      </c>
      <c r="E9" s="27" t="s">
        <v>69</v>
      </c>
      <c r="F9" s="24" t="s">
        <v>24</v>
      </c>
      <c r="G9" s="12">
        <v>19</v>
      </c>
      <c r="H9" s="88">
        <f>IF(B$20=0,0,G9/B$20)</f>
        <v>0.14503816793893129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0.28000000000000003</v>
      </c>
      <c r="E10" s="27" t="s">
        <v>65</v>
      </c>
      <c r="F10" s="24" t="s">
        <v>21</v>
      </c>
      <c r="G10" s="12">
        <v>11</v>
      </c>
      <c r="H10" s="88">
        <f>IF(B$20=0,0,G10/B$20)</f>
        <v>8.3969465648854963E-2</v>
      </c>
      <c r="I10" s="58">
        <v>7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86</v>
      </c>
      <c r="F11" s="24" t="s">
        <v>41</v>
      </c>
      <c r="G11" s="12">
        <v>10</v>
      </c>
      <c r="H11" s="88">
        <f>IF(B$20=0,0,G11/B$20)</f>
        <v>7.6335877862595422E-2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71</v>
      </c>
      <c r="F12" s="24" t="s">
        <v>26</v>
      </c>
      <c r="G12" s="12">
        <v>9</v>
      </c>
      <c r="H12" s="88">
        <f>IF(B$20=0,0,G12/B$20)</f>
        <v>6.8702290076335881E-2</v>
      </c>
      <c r="I12" s="58">
        <v>6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7</v>
      </c>
      <c r="H13" s="88">
        <f>IF(B$20=0,0,G13/B$20)</f>
        <v>5.3435114503816793E-2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1.1477369895326544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3.8167938931297711E-2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0.04</v>
      </c>
      <c r="E15" s="27" t="s">
        <v>78</v>
      </c>
      <c r="F15" s="24" t="s">
        <v>33</v>
      </c>
      <c r="G15" s="12">
        <v>5</v>
      </c>
      <c r="H15" s="88">
        <f>IF(B$20=0,0,G15/B$20)</f>
        <v>3.8167938931297711E-2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 t="shared" ref="P15:P23" si="2"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96</v>
      </c>
      <c r="C16" s="10">
        <f>IF(B$3=0,0,B16/B$3)</f>
        <v>0.22695035460992907</v>
      </c>
      <c r="E16" s="27" t="s">
        <v>81</v>
      </c>
      <c r="F16" s="24" t="s">
        <v>36</v>
      </c>
      <c r="G16" s="12">
        <v>5</v>
      </c>
      <c r="H16" s="88">
        <f>IF(B$20=0,0,G16/B$20)</f>
        <v>3.8167938931297711E-2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 t="shared" si="2"/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96</v>
      </c>
      <c r="C17" s="6">
        <f>IF(B$3=0,0,B17/B$3)</f>
        <v>0.22695035460992907</v>
      </c>
      <c r="E17" s="27" t="s">
        <v>91</v>
      </c>
      <c r="F17" s="24" t="s">
        <v>46</v>
      </c>
      <c r="G17" s="12">
        <v>5</v>
      </c>
      <c r="H17" s="88">
        <f>IF(B$20=0,0,G17/B$20)</f>
        <v>3.8167938931297711E-2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 t="shared" si="2"/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57</v>
      </c>
      <c r="C18" s="5">
        <f>IF(B$16=0,0,B18/B$16)</f>
        <v>0.59375</v>
      </c>
      <c r="E18" s="27" t="s">
        <v>73</v>
      </c>
      <c r="F18" s="24" t="s">
        <v>28</v>
      </c>
      <c r="G18" s="12">
        <v>2</v>
      </c>
      <c r="H18" s="88">
        <f>IF(B$20=0,0,G18/B$20)</f>
        <v>1.5267175572519083E-2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 t="shared" si="2"/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0.45833333333333331</v>
      </c>
      <c r="E19" s="27" t="s">
        <v>75</v>
      </c>
      <c r="F19" s="24" t="s">
        <v>30</v>
      </c>
      <c r="G19" s="12">
        <v>1</v>
      </c>
      <c r="H19" s="88">
        <f>IF(B$20=0,0,G19/B$20)</f>
        <v>7.6335877862595417E-3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 t="shared" si="2"/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131</v>
      </c>
      <c r="C20" s="5">
        <f>IF(B$3=0,0,B20/B$3)</f>
        <v>0.30969267139479906</v>
      </c>
      <c r="E20" s="27" t="s">
        <v>79</v>
      </c>
      <c r="F20" s="24" t="s">
        <v>34</v>
      </c>
      <c r="G20" s="12">
        <v>1</v>
      </c>
      <c r="H20" s="88">
        <f>IF(B$20=0,0,G20/B$20)</f>
        <v>7.6335877862595417E-3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 t="shared" si="2"/>
        <v>5.2833333333333332</v>
      </c>
      <c r="Q20" s="77">
        <v>30</v>
      </c>
      <c r="R20" s="68">
        <v>158.5</v>
      </c>
    </row>
    <row r="21" spans="1:18" x14ac:dyDescent="0.4">
      <c r="A21" s="19" t="s">
        <v>13</v>
      </c>
      <c r="B21" s="12">
        <v>57</v>
      </c>
      <c r="C21" s="6">
        <f>IF(B$3=0,0,B21/B$3)</f>
        <v>0.13475177304964539</v>
      </c>
      <c r="E21" s="27" t="s">
        <v>93</v>
      </c>
      <c r="F21" s="24" t="s">
        <v>48</v>
      </c>
      <c r="G21" s="12">
        <v>1</v>
      </c>
      <c r="H21" s="88">
        <f>IF(B$20=0,0,G21/B$20)</f>
        <v>7.6335877862595417E-3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 t="shared" si="2"/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0.40458015267175573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 t="shared" si="2"/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78</v>
      </c>
      <c r="C23" s="6">
        <f>IF(B$20=0,0,B23/B$20)</f>
        <v>0.59541984732824427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 t="shared" si="2"/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57</v>
      </c>
      <c r="C24" s="6">
        <f>IF(B$20=0,0,B24/B$20)</f>
        <v>0.4351145038167939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0.33587786259541985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0.22900763358778625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7960.3053435114507</v>
      </c>
      <c r="C27" s="8">
        <v>1042800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8465.5172413793098</v>
      </c>
      <c r="C28" s="96">
        <v>736500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-6854.3859649122805</v>
      </c>
      <c r="C30" s="96">
        <v>-390700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7.0921985815602835E-3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3">IF(B$20=0,0,B37/B$20)</f>
        <v>6.1068702290076333E-2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3"/>
        <v>0.20610687022900764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27</v>
      </c>
      <c r="C39" s="6">
        <f t="shared" si="3"/>
        <v>0.20610687022900764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3"/>
        <v>0.14503816793893129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3"/>
        <v>0.15267175572519084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3"/>
        <v>0.11450381679389313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3"/>
        <v>3.8167938931297711E-2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3"/>
        <v>3.0534351145038167E-2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3"/>
        <v>7.6335877862595417E-3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3"/>
        <v>1.5267175572519083E-2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3"/>
        <v>1.5267175572519083E-2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3"/>
        <v>7.6335877862595417E-3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107</v>
      </c>
      <c r="H2" s="87">
        <f>IF(B$20=0,0,G2/B$20)</f>
        <v>0.74305555555555558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-184.31372549019608</v>
      </c>
      <c r="Q2" s="76">
        <v>51</v>
      </c>
      <c r="R2" s="63">
        <v>-9400</v>
      </c>
    </row>
    <row r="3" spans="1:18" x14ac:dyDescent="0.4">
      <c r="A3" s="19" t="s">
        <v>8</v>
      </c>
      <c r="B3" s="143">
        <v>434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0.61805555555555558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752.08333333333337</v>
      </c>
      <c r="Q3" s="77">
        <v>48</v>
      </c>
      <c r="R3" s="64">
        <v>36100</v>
      </c>
    </row>
    <row r="4" spans="1:18" x14ac:dyDescent="0.4">
      <c r="A4" s="19" t="s">
        <v>6</v>
      </c>
      <c r="B4" s="145">
        <v>261.49999999999994</v>
      </c>
      <c r="C4" s="146"/>
      <c r="E4" s="27" t="s">
        <v>159</v>
      </c>
      <c r="F4" s="24" t="s">
        <v>160</v>
      </c>
      <c r="G4" s="12">
        <v>69</v>
      </c>
      <c r="H4" s="88">
        <f>IF(B$20=0,0,G4/B$20)</f>
        <v>0.47916666666666669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944.89795918367349</v>
      </c>
      <c r="Q4" s="77">
        <v>49</v>
      </c>
      <c r="R4" s="64">
        <v>46300</v>
      </c>
    </row>
    <row r="5" spans="1:18" x14ac:dyDescent="0.4">
      <c r="A5" s="19" t="s">
        <v>7</v>
      </c>
      <c r="B5" s="133">
        <f>IF(B$2=0,0,B$4/B$2)</f>
        <v>5.1274509803921555</v>
      </c>
      <c r="C5" s="134"/>
      <c r="E5" s="27" t="s">
        <v>64</v>
      </c>
      <c r="F5" s="24" t="s">
        <v>20</v>
      </c>
      <c r="G5" s="12">
        <v>46</v>
      </c>
      <c r="H5" s="88">
        <f>IF(B$20=0,0,G5/B$20)</f>
        <v>0.31944444444444442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1915.2173913043478</v>
      </c>
      <c r="Q5" s="77">
        <v>46</v>
      </c>
      <c r="R5" s="64">
        <v>88100</v>
      </c>
    </row>
    <row r="6" spans="1:18" x14ac:dyDescent="0.4">
      <c r="A6" s="19" t="s">
        <v>196</v>
      </c>
      <c r="B6" s="137">
        <v>1581.073560616371</v>
      </c>
      <c r="C6" s="138"/>
      <c r="E6" s="27" t="s">
        <v>68</v>
      </c>
      <c r="F6" s="24" t="s">
        <v>12</v>
      </c>
      <c r="G6" s="12">
        <v>36</v>
      </c>
      <c r="H6" s="88">
        <f>IF(B$20=0,0,G6/B$20)</f>
        <v>0.25</v>
      </c>
      <c r="I6" s="58">
        <v>10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159.52380952380952</v>
      </c>
      <c r="Q6" s="77">
        <v>42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1.8235294117647058</v>
      </c>
      <c r="C7" s="148"/>
      <c r="E7" s="27" t="s">
        <v>67</v>
      </c>
      <c r="F7" s="24" t="s">
        <v>23</v>
      </c>
      <c r="G7" s="12">
        <v>19</v>
      </c>
      <c r="H7" s="88">
        <f>IF(B$20=0,0,G7/B$20)</f>
        <v>0.13194444444444445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21</v>
      </c>
      <c r="C8" s="6">
        <f t="shared" ref="C8:C15" si="1">IF(B$2=0,0,B8/B$2)</f>
        <v>0.41176470588235292</v>
      </c>
      <c r="E8" s="27" t="s">
        <v>70</v>
      </c>
      <c r="F8" s="24" t="s">
        <v>25</v>
      </c>
      <c r="G8" s="12">
        <v>18</v>
      </c>
      <c r="H8" s="88">
        <f>IF(B$20=0,0,G8/B$20)</f>
        <v>0.125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0.35294117647058826</v>
      </c>
      <c r="E9" s="27" t="s">
        <v>89</v>
      </c>
      <c r="F9" s="24" t="s">
        <v>44</v>
      </c>
      <c r="G9" s="12">
        <v>18</v>
      </c>
      <c r="H9" s="88">
        <f>IF(B$20=0,0,G9/B$20)</f>
        <v>0.125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0.23529411764705882</v>
      </c>
      <c r="E10" s="27" t="s">
        <v>71</v>
      </c>
      <c r="F10" s="24" t="s">
        <v>26</v>
      </c>
      <c r="G10" s="12">
        <v>15</v>
      </c>
      <c r="H10" s="88">
        <f>IF(B$20=0,0,G10/B$20)</f>
        <v>0.10416666666666667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35.914285714285718</v>
      </c>
      <c r="C11" s="110">
        <v>754.2</v>
      </c>
      <c r="E11" s="27" t="s">
        <v>69</v>
      </c>
      <c r="F11" s="24" t="s">
        <v>24</v>
      </c>
      <c r="G11" s="12">
        <v>13</v>
      </c>
      <c r="H11" s="88">
        <f>IF(B$20=0,0,G11/B$20)</f>
        <v>9.0277777777777776E-2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-4.5388888888888879</v>
      </c>
      <c r="C12" s="110">
        <v>-81.699999999999989</v>
      </c>
      <c r="E12" s="27" t="s">
        <v>65</v>
      </c>
      <c r="F12" s="24" t="s">
        <v>21</v>
      </c>
      <c r="G12" s="12">
        <v>5</v>
      </c>
      <c r="H12" s="88">
        <f>IF(B$20=0,0,G12/B$20)</f>
        <v>3.4722222222222224E-2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0.97499999999999964</v>
      </c>
      <c r="Q12" s="78">
        <v>16</v>
      </c>
      <c r="R12" s="69">
        <v>15.599999999999994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3.4722222222222224E-2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-0.95820105820105661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2.7777777777777776E-2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79</v>
      </c>
      <c r="F15" s="24" t="s">
        <v>34</v>
      </c>
      <c r="G15" s="12">
        <v>3</v>
      </c>
      <c r="H15" s="88">
        <f>IF(B$20=0,0,G15/B$20)</f>
        <v>2.0833333333333332E-2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3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87</v>
      </c>
      <c r="C16" s="10">
        <f>IF(B$3=0,0,B16/B$3)</f>
        <v>0.20046082949308755</v>
      </c>
      <c r="E16" s="27" t="s">
        <v>81</v>
      </c>
      <c r="F16" s="24" t="s">
        <v>36</v>
      </c>
      <c r="G16" s="12">
        <v>3</v>
      </c>
      <c r="H16" s="88">
        <f>IF(B$20=0,0,G16/B$20)</f>
        <v>2.0833333333333332E-2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119</v>
      </c>
      <c r="C17" s="6">
        <f>IF(B$3=0,0,B17/B$3)</f>
        <v>0.27419354838709675</v>
      </c>
      <c r="E17" s="27" t="s">
        <v>83</v>
      </c>
      <c r="F17" s="24" t="s">
        <v>38</v>
      </c>
      <c r="G17" s="12">
        <v>3</v>
      </c>
      <c r="H17" s="88">
        <f>IF(B$20=0,0,G17/B$20)</f>
        <v>2.0833333333333332E-2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 t="shared" si="2"/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0.54022988505747127</v>
      </c>
      <c r="E18" s="27" t="s">
        <v>155</v>
      </c>
      <c r="F18" s="24" t="s">
        <v>156</v>
      </c>
      <c r="G18" s="12">
        <v>2</v>
      </c>
      <c r="H18" s="88">
        <f>IF(B$20=0,0,G18/B$20)</f>
        <v>1.3888888888888888E-2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 t="shared" si="2"/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0.40336134453781514</v>
      </c>
      <c r="E19" s="27" t="s">
        <v>73</v>
      </c>
      <c r="F19" s="24" t="s">
        <v>28</v>
      </c>
      <c r="G19" s="12">
        <v>1</v>
      </c>
      <c r="H19" s="88">
        <f>IF(B$20=0,0,G19/B$20)</f>
        <v>6.9444444444444441E-3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 t="shared" si="2"/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144</v>
      </c>
      <c r="C20" s="5">
        <f>IF(B$3=0,0,B20/B$3)</f>
        <v>0.33179723502304148</v>
      </c>
      <c r="E20" s="27" t="s">
        <v>88</v>
      </c>
      <c r="F20" s="24" t="s">
        <v>43</v>
      </c>
      <c r="G20" s="12">
        <v>1</v>
      </c>
      <c r="H20" s="88">
        <f>IF(B$20=0,0,G20/B$20)</f>
        <v>6.9444444444444441E-3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 t="shared" si="2"/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51</v>
      </c>
      <c r="C21" s="6">
        <f>IF(B$3=0,0,B21/B$3)</f>
        <v>0.11751152073732719</v>
      </c>
      <c r="E21" s="27" t="s">
        <v>92</v>
      </c>
      <c r="F21" s="24" t="s">
        <v>47</v>
      </c>
      <c r="G21" s="12">
        <v>1</v>
      </c>
      <c r="H21" s="88">
        <f>IF(B$20=0,0,G21/B$20)</f>
        <v>6.9444444444444441E-3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 t="shared" si="2"/>
        <v>5.8279069767441838</v>
      </c>
      <c r="Q21" s="77">
        <v>43</v>
      </c>
      <c r="R21" s="68">
        <v>250.59999999999991</v>
      </c>
    </row>
    <row r="22" spans="1:18" x14ac:dyDescent="0.4">
      <c r="A22" s="19" t="s">
        <v>12</v>
      </c>
      <c r="B22" s="12">
        <v>58</v>
      </c>
      <c r="C22" s="6">
        <f>IF(B$20=0,0,B22/B$20)</f>
        <v>0.40277777777777779</v>
      </c>
      <c r="E22" s="27" t="s">
        <v>102</v>
      </c>
      <c r="F22" s="24" t="s">
        <v>57</v>
      </c>
      <c r="G22" s="12">
        <v>1</v>
      </c>
      <c r="H22" s="88">
        <f>IF(B$20=0,0,G22/B$20)</f>
        <v>6.9444444444444441E-3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 t="shared" si="2"/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86</v>
      </c>
      <c r="C23" s="6">
        <f>IF(B$20=0,0,B23/B$20)</f>
        <v>0.59722222222222221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 t="shared" si="2"/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47</v>
      </c>
      <c r="C24" s="6">
        <f>IF(B$20=0,0,B24/B$20)</f>
        <v>0.3263888888888889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0.33333333333333331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49</v>
      </c>
      <c r="C26" s="6">
        <f>IF(B$20=0,0,B26/B$20)</f>
        <v>0.34027777777777779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7267.3611111111113</v>
      </c>
      <c r="C27" s="8">
        <v>1046500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8097.916666666667</v>
      </c>
      <c r="C28" s="96">
        <v>777400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-7507.8431372549021</v>
      </c>
      <c r="C30" s="96">
        <v>-382900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9.7222222222222224E-2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3"/>
        <v>0.25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3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21</v>
      </c>
      <c r="C40" s="6">
        <f t="shared" si="3"/>
        <v>0.14583333333333334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22</v>
      </c>
      <c r="C41" s="6">
        <f t="shared" si="3"/>
        <v>0.15277777777777779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1.3888888888888888E-2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3"/>
        <v>1.3888888888888888E-2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6.9444444444444441E-3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3"/>
        <v>1.3888888888888888E-2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</sheetData>
  <sortState xmlns:xlrd2="http://schemas.microsoft.com/office/spreadsheetml/2017/richdata2" ref="E2:I5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6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 t="shared" si="2"/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 t="shared" si="2"/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3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5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  <row r="50" spans="1:16" x14ac:dyDescent="0.4">
      <c r="A50" s="33">
        <v>47</v>
      </c>
      <c r="B50" s="30">
        <v>-70.099999999999994</v>
      </c>
      <c r="C50" s="30">
        <v>-1.4914893617021276</v>
      </c>
      <c r="D50" s="35">
        <v>2.0425531914893615</v>
      </c>
      <c r="E50" s="31">
        <v>0.36170212765957449</v>
      </c>
      <c r="F50" s="31">
        <v>0.40425531914893614</v>
      </c>
      <c r="G50" s="31">
        <v>0.30048076923076922</v>
      </c>
      <c r="H50" s="31">
        <v>0.16105769230769232</v>
      </c>
      <c r="I50" s="32">
        <v>7409.6</v>
      </c>
      <c r="J50" s="32">
        <v>-8488.059701492537</v>
      </c>
      <c r="K50" s="31">
        <v>8.5106382978723402E-2</v>
      </c>
      <c r="L50" s="31">
        <v>0.25961538461538464</v>
      </c>
      <c r="M50" s="31">
        <v>0.30288461538461536</v>
      </c>
      <c r="N50" s="31">
        <v>0.44444444444444442</v>
      </c>
      <c r="O50" s="31">
        <v>0.41269841269841268</v>
      </c>
      <c r="P50" s="31">
        <v>0.46400000000000002</v>
      </c>
    </row>
    <row r="51" spans="1:16" x14ac:dyDescent="0.4">
      <c r="A51" s="33">
        <v>48</v>
      </c>
      <c r="B51" s="30">
        <v>-31.499999999999993</v>
      </c>
      <c r="C51" s="30">
        <v>-0.65624999999999989</v>
      </c>
      <c r="D51" s="35">
        <v>2.0208333333333335</v>
      </c>
      <c r="E51" s="31">
        <v>0.375</v>
      </c>
      <c r="F51" s="31">
        <v>0.39583333333333331</v>
      </c>
      <c r="G51" s="31">
        <v>0.30188679245283018</v>
      </c>
      <c r="H51" s="31">
        <v>0.15801886792452829</v>
      </c>
      <c r="I51" s="32">
        <v>7529.6875</v>
      </c>
      <c r="J51" s="32">
        <v>-8488.059701492537</v>
      </c>
      <c r="K51" s="31">
        <v>8.3333333333333329E-2</v>
      </c>
      <c r="L51" s="31">
        <v>0.2617924528301887</v>
      </c>
      <c r="M51" s="31">
        <v>0.29716981132075471</v>
      </c>
      <c r="N51" s="31">
        <v>0.45045045045045046</v>
      </c>
      <c r="O51" s="31">
        <v>0.41269841269841268</v>
      </c>
      <c r="P51" s="31">
        <v>0.46875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8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  <row r="80" spans="1:16" x14ac:dyDescent="0.4">
      <c r="A80" s="33">
        <v>77</v>
      </c>
      <c r="B80" s="30">
        <v>-113.6</v>
      </c>
      <c r="C80" s="30">
        <v>-1.4753246753246751</v>
      </c>
      <c r="D80" s="35">
        <v>2.0129870129870131</v>
      </c>
      <c r="E80" s="31">
        <v>0.32467532467532467</v>
      </c>
      <c r="F80" s="31">
        <v>0.33766233766233766</v>
      </c>
      <c r="G80" s="31">
        <v>0.26676384839650147</v>
      </c>
      <c r="H80" s="31">
        <v>0.19387755102040816</v>
      </c>
      <c r="I80" s="32">
        <v>9438.7978142076499</v>
      </c>
      <c r="J80" s="32">
        <v>-7840.6015037593988</v>
      </c>
      <c r="K80" s="31">
        <v>0.12987012987012986</v>
      </c>
      <c r="L80" s="31">
        <v>0.29008746355685133</v>
      </c>
      <c r="M80" s="31">
        <v>0.22303206997084549</v>
      </c>
      <c r="N80" s="31">
        <v>0.46733668341708545</v>
      </c>
      <c r="O80" s="31">
        <v>0.34640522875816993</v>
      </c>
      <c r="P80" s="31">
        <v>0.45901639344262296</v>
      </c>
    </row>
    <row r="81" spans="1:16" x14ac:dyDescent="0.4">
      <c r="A81" s="33">
        <v>78</v>
      </c>
      <c r="B81" s="30">
        <v>-103.89999999999999</v>
      </c>
      <c r="C81" s="30">
        <v>-1.332051282051282</v>
      </c>
      <c r="D81" s="35">
        <v>2.0128205128205128</v>
      </c>
      <c r="E81" s="31">
        <v>0.32051282051282054</v>
      </c>
      <c r="F81" s="31">
        <v>0.33333333333333331</v>
      </c>
      <c r="G81" s="31">
        <v>0.2665706051873199</v>
      </c>
      <c r="H81" s="31">
        <v>0.1930835734870317</v>
      </c>
      <c r="I81" s="32">
        <v>9488.1081081081084</v>
      </c>
      <c r="J81" s="32">
        <v>-7841.7910447761196</v>
      </c>
      <c r="K81" s="31">
        <v>0.12820512820512819</v>
      </c>
      <c r="L81" s="31">
        <v>0.29106628242074928</v>
      </c>
      <c r="M81" s="31">
        <v>0.22190201729106629</v>
      </c>
      <c r="N81" s="31">
        <v>0.46534653465346537</v>
      </c>
      <c r="O81" s="31">
        <v>0.34415584415584416</v>
      </c>
      <c r="P81" s="31">
        <v>0.45945945945945948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  <row r="123" spans="1:16" x14ac:dyDescent="0.4">
      <c r="A123" s="33">
        <v>120</v>
      </c>
      <c r="B123" s="30">
        <v>100.89999999999989</v>
      </c>
      <c r="C123" s="30">
        <v>0.84083333333333243</v>
      </c>
      <c r="D123" s="35">
        <v>2.0249999999999999</v>
      </c>
      <c r="E123" s="31">
        <v>0.33333333333333331</v>
      </c>
      <c r="F123" s="31">
        <v>0.35833333333333334</v>
      </c>
      <c r="G123" s="31">
        <v>0.3201189296333003</v>
      </c>
      <c r="H123" s="31">
        <v>0.17740336967294351</v>
      </c>
      <c r="I123" s="32">
        <v>8125.3869969040252</v>
      </c>
      <c r="J123" s="32">
        <v>-7568.1564245810059</v>
      </c>
      <c r="K123" s="31">
        <v>8.3333333333333329E-2</v>
      </c>
      <c r="L123" s="31">
        <v>0.24578790882061446</v>
      </c>
      <c r="M123" s="31">
        <v>0.20515361744301289</v>
      </c>
      <c r="N123" s="31">
        <v>0.57258064516129037</v>
      </c>
      <c r="O123" s="31">
        <v>0.46376811594202899</v>
      </c>
      <c r="P123" s="31">
        <v>0.46130030959752322</v>
      </c>
    </row>
    <row r="124" spans="1:16" x14ac:dyDescent="0.4">
      <c r="A124" s="33">
        <v>121</v>
      </c>
      <c r="B124" s="30">
        <v>52.599999999999895</v>
      </c>
      <c r="C124" s="30">
        <v>0.43471074380165203</v>
      </c>
      <c r="D124" s="35">
        <v>2.0330578512396693</v>
      </c>
      <c r="E124" s="31">
        <v>0.33057851239669422</v>
      </c>
      <c r="F124" s="31">
        <v>0.36363636363636365</v>
      </c>
      <c r="G124" s="31">
        <v>0.31760078662733532</v>
      </c>
      <c r="H124" s="31">
        <v>0.17699115044247787</v>
      </c>
      <c r="I124" s="32">
        <v>8125.3869969040252</v>
      </c>
      <c r="J124" s="32">
        <v>-7592.7777777777774</v>
      </c>
      <c r="K124" s="31">
        <v>9.0909090909090912E-2</v>
      </c>
      <c r="L124" s="31">
        <v>0.24582104228121926</v>
      </c>
      <c r="M124" s="31">
        <v>0.20353982300884957</v>
      </c>
      <c r="N124" s="31">
        <v>0.56799999999999995</v>
      </c>
      <c r="O124" s="31">
        <v>0.46376811594202899</v>
      </c>
      <c r="P124" s="31">
        <v>0.46130030959752322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  <row r="147" spans="1:16" x14ac:dyDescent="0.4">
      <c r="A147" s="33">
        <v>144</v>
      </c>
      <c r="B147" s="30">
        <v>4.7961634663806763E-14</v>
      </c>
      <c r="C147" s="30">
        <v>1.1102230246251565E-16</v>
      </c>
      <c r="D147" s="35">
        <v>1.9976851851851851</v>
      </c>
      <c r="E147" s="31">
        <v>0.33564814814814814</v>
      </c>
      <c r="F147" s="31">
        <v>0.33333333333333331</v>
      </c>
      <c r="G147" s="31">
        <v>0.29399083804904336</v>
      </c>
      <c r="H147" s="31">
        <v>0.16302883319859876</v>
      </c>
      <c r="I147" s="32">
        <v>8140.0549954170483</v>
      </c>
      <c r="J147" s="32">
        <v>-7677.6859504132235</v>
      </c>
      <c r="K147" s="31">
        <v>8.7962962962962965E-2</v>
      </c>
      <c r="L147" s="31">
        <v>0.24656426839126919</v>
      </c>
      <c r="M147" s="31">
        <v>0.2255456750202102</v>
      </c>
      <c r="N147" s="31">
        <v>0.52240437158469943</v>
      </c>
      <c r="O147" s="31">
        <v>0.4050179211469534</v>
      </c>
      <c r="P147" s="31">
        <v>0.43904674610449129</v>
      </c>
    </row>
    <row r="148" spans="1:16" x14ac:dyDescent="0.4">
      <c r="A148" s="33">
        <v>145</v>
      </c>
      <c r="B148" s="30">
        <v>5.3290705182007514E-14</v>
      </c>
      <c r="C148" s="30">
        <v>1.2250736823450003E-16</v>
      </c>
      <c r="D148" s="35">
        <v>1.9977011494252874</v>
      </c>
      <c r="E148" s="31">
        <v>0.335632183908046</v>
      </c>
      <c r="F148" s="31">
        <v>0.33333333333333331</v>
      </c>
      <c r="G148" s="31">
        <v>0.29344042838018741</v>
      </c>
      <c r="H148" s="31">
        <v>0.16251673360107094</v>
      </c>
      <c r="I148" s="32">
        <v>8162.7737226277368</v>
      </c>
      <c r="J148" s="32">
        <v>-7685.3377265238878</v>
      </c>
      <c r="K148" s="31">
        <v>8.9655172413793102E-2</v>
      </c>
      <c r="L148" s="31">
        <v>0.24712182061579652</v>
      </c>
      <c r="M148" s="31">
        <v>0.22436412315930387</v>
      </c>
      <c r="N148" s="31">
        <v>0.52112676056338025</v>
      </c>
      <c r="O148" s="31">
        <v>0.40453460620525061</v>
      </c>
      <c r="P148" s="31">
        <v>0.43978102189781021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2021-01-15T09:39:23Z</dcterms:modified>
</cp:coreProperties>
</file>