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17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8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9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0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1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2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3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4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6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7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8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9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39DD88A2-F5F1-48F9-B8E4-761668722C2E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やなぎ2" sheetId="7003" state="hidden" r:id="rId18"/>
    <sheet name="わさび2" sheetId="7001" state="hidden" r:id="rId19"/>
    <sheet name="りくと2" sheetId="6999" state="hidden" r:id="rId20"/>
    <sheet name="のり2" sheetId="6997" state="hidden" r:id="rId21"/>
    <sheet name="たか2" sheetId="6995" state="hidden" r:id="rId22"/>
    <sheet name="ただ2" sheetId="6993" state="hidden" r:id="rId23"/>
    <sheet name="いちかわ2" sheetId="6991" state="hidden" r:id="rId24"/>
    <sheet name="まっつん2" sheetId="6989" state="hidden" r:id="rId25"/>
    <sheet name="たかの2" sheetId="6987" state="hidden" r:id="rId26"/>
    <sheet name="れんたろう2" sheetId="6985" state="hidden" r:id="rId27"/>
    <sheet name="だいち2" sheetId="6983" state="hidden" r:id="rId28"/>
    <sheet name="全体2" sheetId="6981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992" l="1"/>
  <c r="P16" i="7002"/>
  <c r="P15" i="6982" l="1"/>
  <c r="P18" i="6984"/>
  <c r="P15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6" i="6984"/>
  <c r="P21" i="6998" l="1"/>
  <c r="P15" i="6986"/>
  <c r="P16" i="6998" l="1"/>
  <c r="P19" i="6988"/>
  <c r="P20" i="6984" l="1"/>
  <c r="P16" i="6988"/>
  <c r="P15" i="6998" l="1"/>
  <c r="P23" i="6984"/>
  <c r="P17" i="6986" l="1"/>
  <c r="P20" i="6988"/>
  <c r="P22" i="6992"/>
  <c r="P15" i="6988"/>
  <c r="P19" i="6994" l="1"/>
  <c r="P16" i="6986"/>
  <c r="P17" i="6998" l="1"/>
  <c r="P23" i="6982"/>
  <c r="P23" i="6990" l="1"/>
  <c r="P18" i="6986"/>
  <c r="P15" i="6992" l="1"/>
  <c r="P19" i="6992"/>
  <c r="P20" i="6998"/>
  <c r="P17" i="7000"/>
  <c r="P17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9" i="6980"/>
  <c r="P19" i="6998"/>
  <c r="P18" i="6998"/>
  <c r="C41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8" i="6980"/>
  <c r="C23" i="6998" l="1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5" i="6998"/>
  <c r="H17" i="6998"/>
  <c r="H13" i="6998"/>
  <c r="C24" i="6998"/>
  <c r="H38" i="6998"/>
  <c r="C43" i="6998"/>
  <c r="C49" i="6998"/>
  <c r="H26" i="6998"/>
  <c r="H39" i="6998"/>
  <c r="H44" i="6998"/>
  <c r="H50" i="6998"/>
  <c r="H12" i="6998"/>
  <c r="C20" i="6998"/>
  <c r="C25" i="6998"/>
  <c r="H32" i="6998"/>
  <c r="C39" i="6998"/>
  <c r="H45" i="6998"/>
  <c r="H3" i="6998"/>
  <c r="H31" i="6998"/>
  <c r="H6" i="6998"/>
  <c r="H2" i="6998"/>
  <c r="H8" i="6998"/>
  <c r="H11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4" i="6998"/>
  <c r="H33" i="6998"/>
  <c r="C38" i="6998"/>
  <c r="C42" i="6998"/>
  <c r="C46" i="6998"/>
  <c r="P21" i="6984" l="1"/>
  <c r="P20" i="6992"/>
  <c r="P15" i="6990"/>
  <c r="P16" i="6992"/>
  <c r="P23" i="6992"/>
  <c r="P18" i="6994"/>
  <c r="P18" i="6990"/>
  <c r="P20" i="6994"/>
  <c r="P22" i="6984"/>
  <c r="P15" i="6984"/>
  <c r="P18" i="6996" l="1"/>
  <c r="P16" i="6994"/>
  <c r="P16" i="6982"/>
  <c r="P17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6" i="6990"/>
  <c r="P16" i="6980"/>
  <c r="P17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2" i="6982"/>
  <c r="P25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8" i="6992"/>
  <c r="H7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21" i="6982" l="1"/>
  <c r="P19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2" i="6980"/>
  <c r="P18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4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4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2" i="6990"/>
  <c r="C25" i="6990"/>
  <c r="H40" i="6990"/>
  <c r="H44" i="6990"/>
  <c r="H48" i="6990"/>
  <c r="H33" i="6990"/>
  <c r="C42" i="6990"/>
  <c r="H51" i="6990"/>
  <c r="H2" i="6990"/>
  <c r="H7" i="6990"/>
  <c r="H14" i="6990"/>
  <c r="H25" i="6990"/>
  <c r="H13" i="6990"/>
  <c r="H29" i="6990"/>
  <c r="H16" i="6990"/>
  <c r="H36" i="6990"/>
  <c r="C40" i="6990"/>
  <c r="C44" i="6990"/>
  <c r="C48" i="6990"/>
  <c r="H4" i="6990"/>
  <c r="H23" i="6990"/>
  <c r="C22" i="6990"/>
  <c r="C26" i="6990"/>
  <c r="H37" i="6990"/>
  <c r="H41" i="6990"/>
  <c r="H45" i="6990"/>
  <c r="H49" i="6990"/>
  <c r="H6" i="6990"/>
  <c r="H10" i="6990"/>
  <c r="H21" i="6990"/>
  <c r="H27" i="6990"/>
  <c r="H30" i="6990"/>
  <c r="H32" i="6990"/>
  <c r="C37" i="6990"/>
  <c r="C41" i="6990"/>
  <c r="C45" i="6990"/>
  <c r="C49" i="6990"/>
  <c r="H11" i="6990"/>
  <c r="H17" i="6990"/>
  <c r="H15" i="6990"/>
  <c r="C23" i="6990"/>
  <c r="B27" i="6990"/>
  <c r="H20" i="6990"/>
  <c r="H38" i="6990"/>
  <c r="H42" i="6990"/>
  <c r="H46" i="6990"/>
  <c r="C20" i="6988"/>
  <c r="H3" i="6988"/>
  <c r="H27" i="6988"/>
  <c r="H33" i="6988"/>
  <c r="C42" i="6988"/>
  <c r="H51" i="6988"/>
  <c r="H2" i="6988"/>
  <c r="H9" i="6988"/>
  <c r="H21" i="6988"/>
  <c r="H15" i="6988"/>
  <c r="C24" i="6988"/>
  <c r="B28" i="6988"/>
  <c r="H34" i="6988"/>
  <c r="H39" i="6988"/>
  <c r="H43" i="6988"/>
  <c r="H47" i="6988"/>
  <c r="H5" i="6988"/>
  <c r="H25" i="6988"/>
  <c r="H12" i="6988"/>
  <c r="H30" i="6988"/>
  <c r="H35" i="6988"/>
  <c r="C39" i="6988"/>
  <c r="C43" i="6988"/>
  <c r="C47" i="6988"/>
  <c r="H52" i="6988"/>
  <c r="H19" i="6988"/>
  <c r="H22" i="6988"/>
  <c r="C25" i="6988"/>
  <c r="H40" i="6988"/>
  <c r="H44" i="6988"/>
  <c r="H48" i="6988"/>
  <c r="H10" i="6988"/>
  <c r="C38" i="6988"/>
  <c r="C46" i="6988"/>
  <c r="H6" i="6988"/>
  <c r="H11" i="6988"/>
  <c r="H24" i="6988"/>
  <c r="H13" i="6988"/>
  <c r="H28" i="6988"/>
  <c r="H18" i="6988"/>
  <c r="H36" i="6988"/>
  <c r="C40" i="6988"/>
  <c r="C44" i="6988"/>
  <c r="C48" i="6988"/>
  <c r="H4" i="6988"/>
  <c r="H23" i="6988"/>
  <c r="C22" i="6988"/>
  <c r="C26" i="6988"/>
  <c r="H37" i="6988"/>
  <c r="H41" i="6988"/>
  <c r="H45" i="6988"/>
  <c r="H49" i="6988"/>
  <c r="H7" i="6988"/>
  <c r="H14" i="6988"/>
  <c r="H20" i="6988"/>
  <c r="H26" i="6988"/>
  <c r="H29" i="6988"/>
  <c r="H31" i="6988"/>
  <c r="C37" i="6988"/>
  <c r="C41" i="6988"/>
  <c r="C45" i="6988"/>
  <c r="C49" i="6988"/>
  <c r="H8" i="6988"/>
  <c r="H17" i="6988"/>
  <c r="H16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19" i="6984"/>
  <c r="P17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20" i="6982"/>
  <c r="P18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0" i="6980"/>
  <c r="P21" i="6980"/>
  <c r="C35" i="6980"/>
  <c r="B30" i="6980"/>
  <c r="C21" i="6980"/>
  <c r="B20" i="6980"/>
  <c r="H17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10" i="6984"/>
  <c r="C19" i="6984"/>
  <c r="H9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8" i="6984"/>
  <c r="H7" i="6984"/>
  <c r="H20" i="6984"/>
  <c r="C22" i="6984"/>
  <c r="H2" i="6984"/>
  <c r="H19" i="6984"/>
  <c r="H4" i="6984"/>
  <c r="H30" i="6984"/>
  <c r="C41" i="6984"/>
  <c r="C19" i="6986"/>
  <c r="C20" i="6986"/>
  <c r="H2" i="6986"/>
  <c r="H30" i="6986"/>
  <c r="H9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8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2" i="6984"/>
  <c r="C39" i="6984"/>
  <c r="C49" i="6984"/>
  <c r="H41" i="6984"/>
  <c r="H52" i="6984"/>
  <c r="H28" i="6984"/>
  <c r="H14" i="6984"/>
  <c r="H31" i="6984"/>
  <c r="H23" i="6984"/>
  <c r="H37" i="6984"/>
  <c r="C40" i="6984"/>
  <c r="C44" i="6984"/>
  <c r="C48" i="6984"/>
  <c r="H38" i="6984"/>
  <c r="H42" i="6984"/>
  <c r="H46" i="6984"/>
  <c r="H50" i="6984"/>
  <c r="H17" i="6984"/>
  <c r="H15" i="6984"/>
  <c r="C23" i="6984"/>
  <c r="B27" i="6984"/>
  <c r="H33" i="6984"/>
  <c r="H39" i="6984"/>
  <c r="H43" i="6984"/>
  <c r="H47" i="6984"/>
  <c r="H51" i="6984"/>
  <c r="H21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4" i="6982"/>
  <c r="H34" i="6982"/>
  <c r="C42" i="6982"/>
  <c r="H14" i="6982"/>
  <c r="H2" i="6982"/>
  <c r="H8" i="6982"/>
  <c r="H21" i="6982"/>
  <c r="H20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19" i="6982"/>
  <c r="H29" i="6982"/>
  <c r="C25" i="6982"/>
  <c r="H41" i="6982"/>
  <c r="H45" i="6982"/>
  <c r="H49" i="6982"/>
  <c r="H10" i="6982"/>
  <c r="C38" i="6982"/>
  <c r="C46" i="6982"/>
  <c r="H7" i="6982"/>
  <c r="H9" i="6982"/>
  <c r="H22" i="6982"/>
  <c r="H13" i="6982"/>
  <c r="H32" i="6982"/>
  <c r="H16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5" i="6982"/>
  <c r="H28" i="6982"/>
  <c r="H23" i="6982"/>
  <c r="H25" i="6982"/>
  <c r="H27" i="6982"/>
  <c r="C37" i="6982"/>
  <c r="C41" i="6982"/>
  <c r="C45" i="6982"/>
  <c r="C49" i="6982"/>
  <c r="H11" i="6982"/>
  <c r="H17" i="6982"/>
  <c r="H18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8" i="6980"/>
  <c r="C39" i="6980"/>
  <c r="C45" i="6980"/>
  <c r="H33" i="6980"/>
  <c r="H9" i="6980"/>
  <c r="H2" i="6980"/>
  <c r="H10" i="6980"/>
  <c r="H46" i="6980"/>
  <c r="H7" i="6980"/>
  <c r="H13" i="6980"/>
  <c r="H22" i="6980"/>
  <c r="H29" i="6980"/>
  <c r="H48" i="6980"/>
  <c r="H25" i="6980"/>
  <c r="H43" i="6980"/>
  <c r="C47" i="6980"/>
  <c r="H49" i="6980"/>
  <c r="H23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1" i="6980"/>
  <c r="H3" i="6980"/>
  <c r="H19" i="6980"/>
  <c r="B28" i="6980"/>
  <c r="H40" i="6980"/>
  <c r="C43" i="6980"/>
  <c r="H52" i="6980"/>
  <c r="H27" i="6980"/>
  <c r="H14" i="6980"/>
  <c r="H35" i="6980"/>
  <c r="H18" i="6980"/>
  <c r="H39" i="6980"/>
  <c r="C40" i="6980"/>
  <c r="C44" i="6980"/>
  <c r="C48" i="6980"/>
  <c r="H31" i="6980"/>
  <c r="H50" i="6980"/>
  <c r="H16" i="6980"/>
  <c r="H15" i="6980"/>
  <c r="C23" i="6980"/>
  <c r="B27" i="6980"/>
  <c r="H26" i="6980"/>
  <c r="H41" i="6980"/>
  <c r="H44" i="6980"/>
  <c r="H47" i="6980"/>
  <c r="H51" i="6980"/>
  <c r="H24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<sst xmlns="http://schemas.openxmlformats.org/spreadsheetml/2006/main" count="3261" uniqueCount="263">
  <si>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</si>
  <si>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</si>
  <si>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</si>
  <si>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</si>
  <si>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</si>
  <si>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</si>
  <si>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</si>
  <si>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</si>
  <si>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</si>
  <si>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</si>
  <si>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</si>
  <si>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</si>
  <si>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</si>
  <si>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</si>
  <si>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</si>
  <si>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</si>
  <si>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</si>
  <si>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</si>
  <si>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</si>
  <si>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</si>
  <si>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</si>
  <si>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</si>
  <si>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</si>
  <si>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</si>
  <si>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</si>
  <si>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</si>
  <si>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</si>
  <si>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</si>
  <si>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</si>
  <si>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</si>
  <si>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</si>
  <si>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</si>
  <si>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</si>
  <si>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</si>
  <si>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</si>
  <si>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</si>
  <si>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</si>
  <si>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</si>
  <si>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</si>
  <si>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</si>
  <si>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</si>
  <si>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</si>
  <si>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</si>
  <si>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</si>
  <si>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</si>
  <si>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</si>
  <si>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</si>
  <si>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</si>
  <si>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</si>
  <si>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</si>
  <si>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</si>
  <si>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</si>
  <si>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</si>
  <si>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</si>
  <si>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</si>
  <si>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</si>
  <si>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</si>
  <si>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</si>
  <si>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</si>
  <si>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</si>
  <si>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</si>
  <si>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</si>
  <si>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</si>
  <si>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</si>
  <si>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</si>
  <si>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</si>
  <si>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</si>
  <si>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</si>
  <si>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</si>
  <si>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</si>
  <si>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</si>
  <si>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</si>
  <si>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</si>
  <si>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</si>
  <si>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</si>
  <si>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</si>
  <si>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</si>
  <si>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</si>
  <si>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</si>
  <si>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</si>
  <si>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</si>
  <si>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</si>
  <si>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</si>
  <si>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</si>
  <si>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</si>
  <si>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</si>
  <si>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</si>
  <si>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</si>
  <si>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</si>
  <si>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</si>
  <si>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</si>
  <si>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</si>
  <si>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</si>
  <si>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</si>
  <si>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</si>
  <si>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</si>
  <si>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</si>
  <si>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</si>
  <si>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</si>
  <si>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</si>
  <si>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</si>
  <si>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</si>
  <si>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</si>
  <si>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</si>
  <si>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</si>
  <si>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</si>
  <si>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</si>
  <si>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</si>
  <si>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</si>
  <si>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</si>
  <si>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</si>
  <si>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</si>
  <si>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</si>
  <si>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</si>
  <si>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</si>
  <si>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</si>
  <si>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</si>
  <si>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</si>
  <si>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</si>
  <si>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</si>
  <si>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</si>
  <si>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</si>
  <si>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</si>
  <si>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</si>
  <si>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</si>
  <si>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</si>
  <si>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</si>
  <si>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</si>
  <si>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</si>
  <si>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</si>
  <si>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</si>
  <si>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</si>
  <si>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</si>
  <si>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</si>
  <si>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</si>
  <si>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</si>
  <si>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</si>
  <si>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</si>
  <si>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</si>
  <si>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</si>
  <si>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</si>
  <si>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</si>
  <si>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</si>
  <si>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</si>
  <si>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</si>
  <si>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</si>
  <si>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</si>
  <si>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</si>
  <si>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</si>
  <si>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</si>
  <si>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</si>
  <si>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</si>
  <si>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</si>
  <si>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</si>
  <si>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</si>
  <si>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</si>
  <si>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</si>
  <si>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</si>
  <si>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</si>
  <si>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</si>
  <si>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</si>
  <si>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</si>
  <si>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</si>
  <si>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</si>
  <si>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</si>
  <si>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</si>
  <si>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</si>
  <si>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</si>
  <si>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</si>
  <si>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</si>
  <si>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</si>
  <si>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</si>
  <si>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</si>
  <si>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</si>
  <si>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</si>
  <si>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</si>
  <si>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</si>
  <si>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</si>
  <si>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</si>
  <si>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</si>
  <si>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</si>
  <si>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</si>
  <si>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</si>
  <si>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</si>
  <si>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</si>
  <si>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</si>
  <si>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</si>
  <si>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</si>
  <si>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</si>
  <si>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</si>
  <si>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</si>
  <si>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</si>
  <si>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</si>
  <si>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</si>
  <si>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</si>
  <si>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</si>
  <si>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</si>
  <si>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</si>
  <si>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</si>
  <si>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</si>
  <si>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</si>
  <si>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</si>
  <si>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</si>
  <si>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</si>
  <si>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</si>
  <si>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</si>
  <si>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</si>
  <si>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</si>
  <si>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</si>
  <si>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</si>
  <si>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</si>
  <si>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</si>
  <si>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</si>
  <si>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</si>
  <si>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</si>
  <si>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</si>
  <si>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</si>
  <si>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</si>
  <si>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</si>
  <si>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</si>
  <si>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</si>
  <si>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</si>
  <si>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</si>
  <si>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</si>
  <si>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</si>
  <si>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</si>
  <si>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</si>
  <si>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</si>
  <si>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</si>
  <si>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</si>
  <si>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</si>
  <si>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</si>
  <si>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</si>
  <si>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</si>
  <si>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</si>
  <si>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</si>
  <si>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</si>
  <si>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</si>
  <si>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</si>
  <si>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</si>
  <si>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</si>
  <si>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</si>
  <si>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</si>
  <si>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</si>
  <si>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</si>
  <si>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</si>
  <si>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</si>
  <si>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</si>
  <si>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</si>
  <si>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</si>
  <si>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</si>
  <si>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</si>
  <si>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</si>
  <si>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</si>
  <si>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</si>
  <si>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</si>
  <si>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</si>
  <si>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</si>
  <si>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</si>
  <si>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</si>
  <si>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やなぎ</t>
    <phoneticPr fontId="1"/>
  </si>
  <si>
    <t>2020-12-01@0.xlsm</t>
  </si>
  <si>
    <t>2020-12-03@0.xlsm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</si>
</sst>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全体!$K$2:$K$371</c:f>
              <c:numCache>
                <c:formatCode>General</c:formatCode>
                <c:ptCount val="3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</c:numCache>
            </c:numRef>
          </c:xVal>
          <c:yVal>
            <c:numRef>
              <c:f>全体!$L$2:$L$371</c:f>
              <c:numCache>
                <c:formatCode>\+0.0;\-0.0;\±0</c:formatCode>
                <c:ptCount val="370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-40.650406504065039</c:v>
                </c:pt>
                <c:pt idx="1">
                  <c:v>22.222222222222221</c:v>
                </c:pt>
                <c:pt idx="2">
                  <c:v>0</c:v>
                </c:pt>
                <c:pt idx="3">
                  <c:v>-5.8479532163742691</c:v>
                </c:pt>
                <c:pt idx="4">
                  <c:v>15.873015873015873</c:v>
                </c:pt>
                <c:pt idx="5">
                  <c:v>14.814814814814815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71</c:v>
                </c:pt>
                <c:pt idx="1">
                  <c:v>175</c:v>
                </c:pt>
                <c:pt idx="2">
                  <c:v>183</c:v>
                </c:pt>
                <c:pt idx="3">
                  <c:v>182</c:v>
                </c:pt>
                <c:pt idx="4">
                  <c:v>132</c:v>
                </c:pt>
                <c:pt idx="5">
                  <c:v>84</c:v>
                </c:pt>
                <c:pt idx="6">
                  <c:v>38</c:v>
                </c:pt>
                <c:pt idx="7">
                  <c:v>28</c:v>
                </c:pt>
                <c:pt idx="8">
                  <c:v>16</c:v>
                </c:pt>
                <c:pt idx="9">
                  <c:v>10</c:v>
                </c:pt>
                <c:pt idx="10">
                  <c:v>2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全体!$K$2:$K$371</c:f>
              <c:numCache>
                <c:formatCode>General</c:formatCode>
                <c:ptCount val="3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</c:numCache>
            </c:numRef>
          </c:xVal>
          <c:yVal>
            <c:numRef>
              <c:f>全体!$M$2:$M$371</c:f>
              <c:numCache>
                <c:formatCode>0</c:formatCode>
                <c:ptCount val="370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だいち!$L$2:$L$101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785.85858585858591</c:v>
                </c:pt>
                <c:pt idx="1">
                  <c:v>-998.95833333333337</c:v>
                </c:pt>
                <c:pt idx="2">
                  <c:v>-765.625</c:v>
                </c:pt>
                <c:pt idx="3">
                  <c:v>1398.9130434782608</c:v>
                </c:pt>
                <c:pt idx="4">
                  <c:v>240.47619047619048</c:v>
                </c:pt>
                <c:pt idx="5">
                  <c:v>-194.44444444444446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15</c:v>
                </c:pt>
                <c:pt idx="1">
                  <c:v>51</c:v>
                </c:pt>
                <c:pt idx="2">
                  <c:v>56</c:v>
                </c:pt>
                <c:pt idx="3">
                  <c:v>48</c:v>
                </c:pt>
                <c:pt idx="4">
                  <c:v>41</c:v>
                </c:pt>
                <c:pt idx="5">
                  <c:v>32</c:v>
                </c:pt>
                <c:pt idx="6">
                  <c:v>9</c:v>
                </c:pt>
                <c:pt idx="7">
                  <c:v>5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だいち!$M$2:$M$101</c:f>
              <c:numCache>
                <c:formatCode>0</c:formatCode>
                <c:ptCount val="100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れんたろう!$L$2:$L$65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1300</c:v>
                </c:pt>
                <c:pt idx="1">
                  <c:v>270.49180327868851</c:v>
                </c:pt>
                <c:pt idx="2">
                  <c:v>-229.50819672131146</c:v>
                </c:pt>
                <c:pt idx="3">
                  <c:v>-796.61016949152543</c:v>
                </c:pt>
                <c:pt idx="4">
                  <c:v>-496.2962962962963</c:v>
                </c:pt>
                <c:pt idx="5">
                  <c:v>348.88888888888891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30</c:v>
                </c:pt>
                <c:pt idx="3">
                  <c:v>32</c:v>
                </c:pt>
                <c:pt idx="4">
                  <c:v>31</c:v>
                </c:pt>
                <c:pt idx="5">
                  <c:v>16</c:v>
                </c:pt>
                <c:pt idx="6">
                  <c:v>7</c:v>
                </c:pt>
                <c:pt idx="7">
                  <c:v>6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れんたろう!$M$2:$M$65</c:f>
              <c:numCache>
                <c:formatCode>0</c:formatCode>
                <c:ptCount val="64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-548.83720930232562</c:v>
                </c:pt>
                <c:pt idx="1">
                  <c:v>-927.90697674418607</c:v>
                </c:pt>
                <c:pt idx="2">
                  <c:v>314.28571428571428</c:v>
                </c:pt>
                <c:pt idx="3">
                  <c:v>-764.28571428571433</c:v>
                </c:pt>
                <c:pt idx="4">
                  <c:v>-1129.2682926829268</c:v>
                </c:pt>
                <c:pt idx="5">
                  <c:v>-414.70588235294116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14</c:v>
                </c:pt>
                <c:pt idx="1">
                  <c:v>27</c:v>
                </c:pt>
                <c:pt idx="2">
                  <c:v>22</c:v>
                </c:pt>
                <c:pt idx="3">
                  <c:v>20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たかの!$M$2:$M$45</c:f>
              <c:numCache>
                <c:formatCode>0</c:formatCode>
                <c:ptCount val="44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990.32258064516134</c:v>
                </c:pt>
                <c:pt idx="1">
                  <c:v>958.06451612903231</c:v>
                </c:pt>
                <c:pt idx="2">
                  <c:v>-66.666666666666671</c:v>
                </c:pt>
                <c:pt idx="3">
                  <c:v>-3134.6153846153848</c:v>
                </c:pt>
                <c:pt idx="4">
                  <c:v>2804.1666666666665</c:v>
                </c:pt>
                <c:pt idx="5">
                  <c:v>-755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17</c:v>
                </c:pt>
                <c:pt idx="3">
                  <c:v>20</c:v>
                </c:pt>
                <c:pt idx="4">
                  <c:v>8</c:v>
                </c:pt>
                <c:pt idx="5">
                  <c:v>5</c:v>
                </c:pt>
                <c:pt idx="6">
                  <c:v>2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まっつん!$M$2:$M$33</c:f>
              <c:numCache>
                <c:formatCode>0</c:formatCode>
                <c:ptCount val="32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いちかわ!$L$2:$L$46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-554.5454545454545</c:v>
                </c:pt>
                <c:pt idx="1">
                  <c:v>686.36363636363637</c:v>
                </c:pt>
                <c:pt idx="2">
                  <c:v>1643.1818181818182</c:v>
                </c:pt>
                <c:pt idx="3">
                  <c:v>39.024390243902438</c:v>
                </c:pt>
                <c:pt idx="4">
                  <c:v>89.189189189189193</c:v>
                </c:pt>
                <c:pt idx="5">
                  <c:v>1474.2857142857142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21</c:v>
                </c:pt>
                <c:pt idx="3">
                  <c:v>19</c:v>
                </c:pt>
                <c:pt idx="4">
                  <c:v>15</c:v>
                </c:pt>
                <c:pt idx="5">
                  <c:v>12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いちかわ!$M$2:$M$46</c:f>
              <c:numCache>
                <c:formatCode>0</c:formatCode>
                <c:ptCount val="4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ただ!$L$2:$L$50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-181.25</c:v>
                </c:pt>
                <c:pt idx="1">
                  <c:v>691.11111111111109</c:v>
                </c:pt>
                <c:pt idx="2">
                  <c:v>793.47826086956525</c:v>
                </c:pt>
                <c:pt idx="3">
                  <c:v>2274.4186046511627</c:v>
                </c:pt>
                <c:pt idx="4">
                  <c:v>280</c:v>
                </c:pt>
                <c:pt idx="5">
                  <c:v>-18.75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36</c:v>
                </c:pt>
                <c:pt idx="2">
                  <c:v>30</c:v>
                </c:pt>
                <c:pt idx="3">
                  <c:v>20</c:v>
                </c:pt>
                <c:pt idx="4">
                  <c:v>21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ただ!$M$2:$M$50</c:f>
              <c:numCache>
                <c:formatCode>0</c:formatCode>
                <c:ptCount val="49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まっつん2!$B$3:$B$34</c:f>
              <c:numCache>
                <c:formatCode>\+0.0;\-0.0;\±0</c:formatCode>
                <c:ptCount val="32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まっつん2!$C$3:$C$34</c:f>
              <c:numCache>
                <c:formatCode>\+0.0;\-0.0;\±0</c:formatCode>
                <c:ptCount val="32"/>
                <c:pt idx="1">
                  <c:v>-33.6</c:v>
                </c:pt>
                <c:pt idx="2">
                  <c:v>-18.45</c:v>
                </c:pt>
                <c:pt idx="3">
                  <c:v>-13.466666666666667</c:v>
                </c:pt>
                <c:pt idx="4">
                  <c:v>-9.1999999999999993</c:v>
                </c:pt>
                <c:pt idx="5">
                  <c:v>-14.780000000000001</c:v>
                </c:pt>
                <c:pt idx="6">
                  <c:v>-14.25</c:v>
                </c:pt>
                <c:pt idx="7">
                  <c:v>-11.114285714285714</c:v>
                </c:pt>
                <c:pt idx="8">
                  <c:v>-2.8499999999999996</c:v>
                </c:pt>
                <c:pt idx="9">
                  <c:v>-3.2888888888888888</c:v>
                </c:pt>
                <c:pt idx="10">
                  <c:v>-5.5</c:v>
                </c:pt>
                <c:pt idx="11">
                  <c:v>-9.9</c:v>
                </c:pt>
                <c:pt idx="12">
                  <c:v>-7.6750000000000007</c:v>
                </c:pt>
                <c:pt idx="13">
                  <c:v>-7.1923076923076934</c:v>
                </c:pt>
                <c:pt idx="14">
                  <c:v>-5.6571428571428584</c:v>
                </c:pt>
                <c:pt idx="15">
                  <c:v>-2.9466666666666677</c:v>
                </c:pt>
                <c:pt idx="16">
                  <c:v>-3.1125000000000012</c:v>
                </c:pt>
                <c:pt idx="17">
                  <c:v>-2.8117647058823541</c:v>
                </c:pt>
                <c:pt idx="18">
                  <c:v>-1.2277777777777787</c:v>
                </c:pt>
                <c:pt idx="19">
                  <c:v>-0.50526315789473786</c:v>
                </c:pt>
                <c:pt idx="20">
                  <c:v>-0.97000000000000097</c:v>
                </c:pt>
                <c:pt idx="21">
                  <c:v>1.4999999999999989</c:v>
                </c:pt>
                <c:pt idx="22">
                  <c:v>1.5136363636363626</c:v>
                </c:pt>
                <c:pt idx="23">
                  <c:v>1.2086956521739121</c:v>
                </c:pt>
                <c:pt idx="24">
                  <c:v>1.0458333333333323</c:v>
                </c:pt>
                <c:pt idx="25">
                  <c:v>-1.076000000000001</c:v>
                </c:pt>
                <c:pt idx="26">
                  <c:v>-1.1923076923076932</c:v>
                </c:pt>
                <c:pt idx="27">
                  <c:v>-1.4259259259259267</c:v>
                </c:pt>
                <c:pt idx="28">
                  <c:v>-2.4035714285714294</c:v>
                </c:pt>
                <c:pt idx="29">
                  <c:v>-1.2172413793103458</c:v>
                </c:pt>
                <c:pt idx="30">
                  <c:v>-0.31000000000000083</c:v>
                </c:pt>
                <c:pt idx="31">
                  <c:v>0.74193548387096686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627950349052848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まっつん2!$D$3:$D$34</c:f>
              <c:numCache>
                <c:formatCode>0.00\ "位"</c:formatCode>
                <c:ptCount val="32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2.4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2.1111111111111112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1.9444444444444444</c:v>
                </c:pt>
                <c:pt idx="19">
                  <c:v>1.9473684210526316</c:v>
                </c:pt>
                <c:pt idx="20">
                  <c:v>1.95</c:v>
                </c:pt>
                <c:pt idx="21">
                  <c:v>1.9047619047619047</c:v>
                </c:pt>
                <c:pt idx="22">
                  <c:v>1.9090909090909092</c:v>
                </c:pt>
                <c:pt idx="23">
                  <c:v>1.9130434782608696</c:v>
                </c:pt>
                <c:pt idx="24">
                  <c:v>1.9166666666666667</c:v>
                </c:pt>
                <c:pt idx="25">
                  <c:v>1.96</c:v>
                </c:pt>
                <c:pt idx="26">
                  <c:v>1.9615384615384615</c:v>
                </c:pt>
                <c:pt idx="27">
                  <c:v>1.962962962962963</c:v>
                </c:pt>
                <c:pt idx="28">
                  <c:v>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2899728997291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まっつん2!$E$3:$E$34</c:f>
              <c:numCache>
                <c:formatCode>0.0%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0.24</c:v>
                </c:pt>
                <c:pt idx="26">
                  <c:v>0.23076923076923078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0.2413793103448276</c:v>
                </c:pt>
                <c:pt idx="30">
                  <c:v>0.26666666666666666</c:v>
                </c:pt>
                <c:pt idx="31">
                  <c:v>0.29032258064516131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043360433604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まっつん2!$F$3:$F$34</c:f>
              <c:numCache>
                <c:formatCode>0.0%</c:formatCode>
                <c:ptCount val="3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0.21428571428571427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まっつん2!$G$3:$G$34</c:f>
              <c:numCache>
                <c:formatCode>0.0%</c:formatCode>
                <c:ptCount val="32"/>
                <c:pt idx="1">
                  <c:v>0.1</c:v>
                </c:pt>
                <c:pt idx="2">
                  <c:v>0.1875</c:v>
                </c:pt>
                <c:pt idx="3">
                  <c:v>0.14285714285714285</c:v>
                </c:pt>
                <c:pt idx="4">
                  <c:v>0.18518518518518517</c:v>
                </c:pt>
                <c:pt idx="5">
                  <c:v>0.17499999999999999</c:v>
                </c:pt>
                <c:pt idx="6">
                  <c:v>0.22</c:v>
                </c:pt>
                <c:pt idx="7">
                  <c:v>0.21052631578947367</c:v>
                </c:pt>
                <c:pt idx="8">
                  <c:v>0.24590163934426229</c:v>
                </c:pt>
                <c:pt idx="9">
                  <c:v>0.25352112676056338</c:v>
                </c:pt>
                <c:pt idx="10">
                  <c:v>0.24675324675324675</c:v>
                </c:pt>
                <c:pt idx="11">
                  <c:v>0.22093023255813954</c:v>
                </c:pt>
                <c:pt idx="12">
                  <c:v>0.23404255319148937</c:v>
                </c:pt>
                <c:pt idx="13">
                  <c:v>0.22641509433962265</c:v>
                </c:pt>
                <c:pt idx="14">
                  <c:v>0.23008849557522124</c:v>
                </c:pt>
                <c:pt idx="15">
                  <c:v>0.24166666666666667</c:v>
                </c:pt>
                <c:pt idx="16">
                  <c:v>0.23255813953488372</c:v>
                </c:pt>
                <c:pt idx="17">
                  <c:v>0.22794117647058823</c:v>
                </c:pt>
                <c:pt idx="18">
                  <c:v>0.24657534246575341</c:v>
                </c:pt>
                <c:pt idx="19">
                  <c:v>0.24516129032258063</c:v>
                </c:pt>
                <c:pt idx="20">
                  <c:v>0.24242424242424243</c:v>
                </c:pt>
                <c:pt idx="21">
                  <c:v>0.26136363636363635</c:v>
                </c:pt>
                <c:pt idx="22">
                  <c:v>0.26630434782608697</c:v>
                </c:pt>
                <c:pt idx="23">
                  <c:v>0.26063829787234044</c:v>
                </c:pt>
                <c:pt idx="24">
                  <c:v>0.26633165829145727</c:v>
                </c:pt>
                <c:pt idx="25">
                  <c:v>0.25728155339805825</c:v>
                </c:pt>
                <c:pt idx="26">
                  <c:v>0.24888888888888888</c:v>
                </c:pt>
                <c:pt idx="27">
                  <c:v>0.24786324786324787</c:v>
                </c:pt>
                <c:pt idx="28">
                  <c:v>0.23770491803278687</c:v>
                </c:pt>
                <c:pt idx="29">
                  <c:v>0.24</c:v>
                </c:pt>
                <c:pt idx="30">
                  <c:v>0.25190839694656486</c:v>
                </c:pt>
                <c:pt idx="31">
                  <c:v>0.26007326007326009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05671077504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まっつん2!$H$3:$H$34</c:f>
              <c:numCache>
                <c:formatCode>0.0%</c:formatCode>
                <c:ptCount val="32"/>
                <c:pt idx="1">
                  <c:v>0.1</c:v>
                </c:pt>
                <c:pt idx="2">
                  <c:v>6.25E-2</c:v>
                </c:pt>
                <c:pt idx="3">
                  <c:v>4.7619047619047616E-2</c:v>
                </c:pt>
                <c:pt idx="4">
                  <c:v>3.7037037037037035E-2</c:v>
                </c:pt>
                <c:pt idx="5">
                  <c:v>0.1</c:v>
                </c:pt>
                <c:pt idx="6">
                  <c:v>0.1</c:v>
                </c:pt>
                <c:pt idx="7">
                  <c:v>8.771929824561403E-2</c:v>
                </c:pt>
                <c:pt idx="8">
                  <c:v>8.1967213114754092E-2</c:v>
                </c:pt>
                <c:pt idx="9">
                  <c:v>7.0422535211267609E-2</c:v>
                </c:pt>
                <c:pt idx="10">
                  <c:v>6.4935064935064929E-2</c:v>
                </c:pt>
                <c:pt idx="11">
                  <c:v>9.3023255813953487E-2</c:v>
                </c:pt>
                <c:pt idx="12">
                  <c:v>9.5744680851063829E-2</c:v>
                </c:pt>
                <c:pt idx="13">
                  <c:v>0.10377358490566038</c:v>
                </c:pt>
                <c:pt idx="14">
                  <c:v>9.7345132743362831E-2</c:v>
                </c:pt>
                <c:pt idx="15">
                  <c:v>0.1</c:v>
                </c:pt>
                <c:pt idx="16">
                  <c:v>0.10852713178294573</c:v>
                </c:pt>
                <c:pt idx="17">
                  <c:v>0.10294117647058823</c:v>
                </c:pt>
                <c:pt idx="18">
                  <c:v>0.10273972602739725</c:v>
                </c:pt>
                <c:pt idx="19">
                  <c:v>9.6774193548387094E-2</c:v>
                </c:pt>
                <c:pt idx="20">
                  <c:v>0.10303030303030303</c:v>
                </c:pt>
                <c:pt idx="21">
                  <c:v>0.10227272727272728</c:v>
                </c:pt>
                <c:pt idx="22">
                  <c:v>0.10326086956521739</c:v>
                </c:pt>
                <c:pt idx="23">
                  <c:v>0.10106382978723404</c:v>
                </c:pt>
                <c:pt idx="24">
                  <c:v>0.10552763819095477</c:v>
                </c:pt>
                <c:pt idx="25">
                  <c:v>0.10679611650485436</c:v>
                </c:pt>
                <c:pt idx="26">
                  <c:v>0.10666666666666667</c:v>
                </c:pt>
                <c:pt idx="27">
                  <c:v>0.10683760683760683</c:v>
                </c:pt>
                <c:pt idx="28">
                  <c:v>0.10245901639344263</c:v>
                </c:pt>
                <c:pt idx="29">
                  <c:v>0.1</c:v>
                </c:pt>
                <c:pt idx="30">
                  <c:v>9.5419847328244281E-2</c:v>
                </c:pt>
                <c:pt idx="31">
                  <c:v>9.1575091575091569E-2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735349716446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まっつん2!$I$3:$I$34</c:f>
              <c:numCache>
                <c:formatCode>0</c:formatCode>
                <c:ptCount val="32"/>
                <c:pt idx="1">
                  <c:v>7700</c:v>
                </c:pt>
                <c:pt idx="2">
                  <c:v>5800</c:v>
                </c:pt>
                <c:pt idx="3">
                  <c:v>5800</c:v>
                </c:pt>
                <c:pt idx="4">
                  <c:v>6300</c:v>
                </c:pt>
                <c:pt idx="5">
                  <c:v>6057.1428571428569</c:v>
                </c:pt>
                <c:pt idx="6">
                  <c:v>5072.727272727273</c:v>
                </c:pt>
                <c:pt idx="7">
                  <c:v>5316.666666666667</c:v>
                </c:pt>
                <c:pt idx="8">
                  <c:v>7453.333333333333</c:v>
                </c:pt>
                <c:pt idx="9">
                  <c:v>6666.666666666667</c:v>
                </c:pt>
                <c:pt idx="10">
                  <c:v>6452.6315789473683</c:v>
                </c:pt>
                <c:pt idx="11">
                  <c:v>6452.6315789473683</c:v>
                </c:pt>
                <c:pt idx="12">
                  <c:v>6600</c:v>
                </c:pt>
                <c:pt idx="13">
                  <c:v>7050</c:v>
                </c:pt>
                <c:pt idx="14">
                  <c:v>7003.8461538461543</c:v>
                </c:pt>
                <c:pt idx="15">
                  <c:v>7451.7241379310344</c:v>
                </c:pt>
                <c:pt idx="16">
                  <c:v>7376.666666666667</c:v>
                </c:pt>
                <c:pt idx="17">
                  <c:v>7654.8387096774195</c:v>
                </c:pt>
                <c:pt idx="18">
                  <c:v>7791.666666666667</c:v>
                </c:pt>
                <c:pt idx="19">
                  <c:v>8118.4210526315792</c:v>
                </c:pt>
                <c:pt idx="20">
                  <c:v>8145</c:v>
                </c:pt>
                <c:pt idx="21">
                  <c:v>8193.4782608695659</c:v>
                </c:pt>
                <c:pt idx="22">
                  <c:v>7989.7959183673465</c:v>
                </c:pt>
                <c:pt idx="23">
                  <c:v>7989.7959183673465</c:v>
                </c:pt>
                <c:pt idx="24">
                  <c:v>7824.5283018867922</c:v>
                </c:pt>
                <c:pt idx="25">
                  <c:v>7824.5283018867922</c:v>
                </c:pt>
                <c:pt idx="26">
                  <c:v>8112.5</c:v>
                </c:pt>
                <c:pt idx="27">
                  <c:v>8075.8620689655172</c:v>
                </c:pt>
                <c:pt idx="28">
                  <c:v>8075.8620689655172</c:v>
                </c:pt>
                <c:pt idx="29">
                  <c:v>8273.3333333333339</c:v>
                </c:pt>
                <c:pt idx="30">
                  <c:v>8203.0303030303039</c:v>
                </c:pt>
                <c:pt idx="31">
                  <c:v>7960.5633802816901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16.02150537634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まっつん2!$J$3:$J$34</c:f>
              <c:numCache>
                <c:formatCode>0</c:formatCode>
                <c:ptCount val="32"/>
                <c:pt idx="1">
                  <c:v>-3900</c:v>
                </c:pt>
                <c:pt idx="2">
                  <c:v>-3900</c:v>
                </c:pt>
                <c:pt idx="3">
                  <c:v>-3900</c:v>
                </c:pt>
                <c:pt idx="4">
                  <c:v>-3900</c:v>
                </c:pt>
                <c:pt idx="5">
                  <c:v>-3975</c:v>
                </c:pt>
                <c:pt idx="6">
                  <c:v>-3380</c:v>
                </c:pt>
                <c:pt idx="7">
                  <c:v>-3380</c:v>
                </c:pt>
                <c:pt idx="8">
                  <c:v>-3380</c:v>
                </c:pt>
                <c:pt idx="9">
                  <c:v>-3380</c:v>
                </c:pt>
                <c:pt idx="10">
                  <c:v>-3380</c:v>
                </c:pt>
                <c:pt idx="11">
                  <c:v>-4812.5</c:v>
                </c:pt>
                <c:pt idx="12">
                  <c:v>-5611.1111111111113</c:v>
                </c:pt>
                <c:pt idx="13">
                  <c:v>-5827.272727272727</c:v>
                </c:pt>
                <c:pt idx="14">
                  <c:v>-5827.272727272727</c:v>
                </c:pt>
                <c:pt idx="15">
                  <c:v>-6008.333333333333</c:v>
                </c:pt>
                <c:pt idx="16">
                  <c:v>-5385.7142857142853</c:v>
                </c:pt>
                <c:pt idx="17">
                  <c:v>-5385.7142857142853</c:v>
                </c:pt>
                <c:pt idx="18">
                  <c:v>-5560</c:v>
                </c:pt>
                <c:pt idx="19">
                  <c:v>-5560</c:v>
                </c:pt>
                <c:pt idx="20">
                  <c:v>-5211.7647058823532</c:v>
                </c:pt>
                <c:pt idx="21">
                  <c:v>-5350</c:v>
                </c:pt>
                <c:pt idx="22">
                  <c:v>-5489.4736842105267</c:v>
                </c:pt>
                <c:pt idx="23">
                  <c:v>-5489.4736842105267</c:v>
                </c:pt>
                <c:pt idx="24">
                  <c:v>-5661.9047619047615</c:v>
                </c:pt>
                <c:pt idx="25">
                  <c:v>-6495.454545454545</c:v>
                </c:pt>
                <c:pt idx="26">
                  <c:v>-6279.166666666667</c:v>
                </c:pt>
                <c:pt idx="27">
                  <c:v>-6124</c:v>
                </c:pt>
                <c:pt idx="28">
                  <c:v>-6124</c:v>
                </c:pt>
                <c:pt idx="29">
                  <c:v>-6124</c:v>
                </c:pt>
                <c:pt idx="30">
                  <c:v>-6124</c:v>
                </c:pt>
                <c:pt idx="31">
                  <c:v>-6124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19.13214990138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まっつん2!$K$3:$K$34</c:f>
              <c:numCache>
                <c:formatCode>0.0%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672086720867208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まっつん2!$L$3:$L$34</c:f>
              <c:numCache>
                <c:formatCode>0.0%</c:formatCode>
                <c:ptCount val="32"/>
                <c:pt idx="1">
                  <c:v>0.1</c:v>
                </c:pt>
                <c:pt idx="2">
                  <c:v>0.125</c:v>
                </c:pt>
                <c:pt idx="3">
                  <c:v>9.5238095238095233E-2</c:v>
                </c:pt>
                <c:pt idx="4">
                  <c:v>0.1111111111111111</c:v>
                </c:pt>
                <c:pt idx="5">
                  <c:v>0.125</c:v>
                </c:pt>
                <c:pt idx="6">
                  <c:v>0.22</c:v>
                </c:pt>
                <c:pt idx="7">
                  <c:v>0.22807017543859648</c:v>
                </c:pt>
                <c:pt idx="8">
                  <c:v>0.24590163934426229</c:v>
                </c:pt>
                <c:pt idx="9">
                  <c:v>0.26760563380281688</c:v>
                </c:pt>
                <c:pt idx="10">
                  <c:v>0.27272727272727271</c:v>
                </c:pt>
                <c:pt idx="11">
                  <c:v>0.2441860465116279</c:v>
                </c:pt>
                <c:pt idx="12">
                  <c:v>0.24468085106382978</c:v>
                </c:pt>
                <c:pt idx="13">
                  <c:v>0.22641509433962265</c:v>
                </c:pt>
                <c:pt idx="14">
                  <c:v>0.23893805309734514</c:v>
                </c:pt>
                <c:pt idx="15">
                  <c:v>0.24166666666666667</c:v>
                </c:pt>
                <c:pt idx="16">
                  <c:v>0.23255813953488372</c:v>
                </c:pt>
                <c:pt idx="17">
                  <c:v>0.22058823529411764</c:v>
                </c:pt>
                <c:pt idx="18">
                  <c:v>0.23287671232876711</c:v>
                </c:pt>
                <c:pt idx="19">
                  <c:v>0.23225806451612904</c:v>
                </c:pt>
                <c:pt idx="20">
                  <c:v>0.23030303030303031</c:v>
                </c:pt>
                <c:pt idx="21">
                  <c:v>0.23295454545454544</c:v>
                </c:pt>
                <c:pt idx="22">
                  <c:v>0.2391304347826087</c:v>
                </c:pt>
                <c:pt idx="23">
                  <c:v>0.23404255319148937</c:v>
                </c:pt>
                <c:pt idx="24">
                  <c:v>0.23618090452261306</c:v>
                </c:pt>
                <c:pt idx="25">
                  <c:v>0.22815533980582525</c:v>
                </c:pt>
                <c:pt idx="26">
                  <c:v>0.23555555555555555</c:v>
                </c:pt>
                <c:pt idx="27">
                  <c:v>0.23076923076923078</c:v>
                </c:pt>
                <c:pt idx="28">
                  <c:v>0.22950819672131148</c:v>
                </c:pt>
                <c:pt idx="29">
                  <c:v>0.22800000000000001</c:v>
                </c:pt>
                <c:pt idx="30">
                  <c:v>0.24045801526717558</c:v>
                </c:pt>
                <c:pt idx="31">
                  <c:v>0.25274725274725274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3226212980466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まっつん2!$M$3:$M$34</c:f>
              <c:numCache>
                <c:formatCode>0.0%</c:formatCode>
                <c:ptCount val="32"/>
                <c:pt idx="1">
                  <c:v>0.2</c:v>
                </c:pt>
                <c:pt idx="2">
                  <c:v>0.1875</c:v>
                </c:pt>
                <c:pt idx="3">
                  <c:v>0.23809523809523808</c:v>
                </c:pt>
                <c:pt idx="4">
                  <c:v>0.25925925925925924</c:v>
                </c:pt>
                <c:pt idx="5">
                  <c:v>0.22500000000000001</c:v>
                </c:pt>
                <c:pt idx="6">
                  <c:v>0.22</c:v>
                </c:pt>
                <c:pt idx="7">
                  <c:v>0.21052631578947367</c:v>
                </c:pt>
                <c:pt idx="8">
                  <c:v>0.21311475409836064</c:v>
                </c:pt>
                <c:pt idx="9">
                  <c:v>0.19718309859154928</c:v>
                </c:pt>
                <c:pt idx="10">
                  <c:v>0.20779220779220781</c:v>
                </c:pt>
                <c:pt idx="11">
                  <c:v>0.19767441860465115</c:v>
                </c:pt>
                <c:pt idx="12">
                  <c:v>0.19148936170212766</c:v>
                </c:pt>
                <c:pt idx="13">
                  <c:v>0.18867924528301888</c:v>
                </c:pt>
                <c:pt idx="14">
                  <c:v>0.18584070796460178</c:v>
                </c:pt>
                <c:pt idx="15">
                  <c:v>0.18333333333333332</c:v>
                </c:pt>
                <c:pt idx="16">
                  <c:v>0.19379844961240311</c:v>
                </c:pt>
                <c:pt idx="17">
                  <c:v>0.20588235294117646</c:v>
                </c:pt>
                <c:pt idx="18">
                  <c:v>0.19178082191780821</c:v>
                </c:pt>
                <c:pt idx="19">
                  <c:v>0.2</c:v>
                </c:pt>
                <c:pt idx="20">
                  <c:v>0.19393939393939394</c:v>
                </c:pt>
                <c:pt idx="21">
                  <c:v>0.21022727272727273</c:v>
                </c:pt>
                <c:pt idx="22">
                  <c:v>0.20652173913043478</c:v>
                </c:pt>
                <c:pt idx="23">
                  <c:v>0.20744680851063829</c:v>
                </c:pt>
                <c:pt idx="24">
                  <c:v>0.21105527638190955</c:v>
                </c:pt>
                <c:pt idx="25">
                  <c:v>0.21844660194174756</c:v>
                </c:pt>
                <c:pt idx="26">
                  <c:v>0.21333333333333335</c:v>
                </c:pt>
                <c:pt idx="27">
                  <c:v>0.20512820512820512</c:v>
                </c:pt>
                <c:pt idx="28">
                  <c:v>0.20491803278688525</c:v>
                </c:pt>
                <c:pt idx="29">
                  <c:v>0.20799999999999999</c:v>
                </c:pt>
                <c:pt idx="30">
                  <c:v>0.20992366412213739</c:v>
                </c:pt>
                <c:pt idx="31">
                  <c:v>0.20512820512820512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621298046628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まっつん2!$N$3:$N$34</c:f>
              <c:numCache>
                <c:formatCode>0.0%</c:formatCode>
                <c:ptCount val="32"/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0.66666666666666663</c:v>
                </c:pt>
                <c:pt idx="5">
                  <c:v>0.4</c:v>
                </c:pt>
                <c:pt idx="6">
                  <c:v>0.45454545454545453</c:v>
                </c:pt>
                <c:pt idx="7">
                  <c:v>0.46153846153846156</c:v>
                </c:pt>
                <c:pt idx="8">
                  <c:v>0.53333333333333333</c:v>
                </c:pt>
                <c:pt idx="9">
                  <c:v>0.52631578947368418</c:v>
                </c:pt>
                <c:pt idx="10">
                  <c:v>0.52380952380952384</c:v>
                </c:pt>
                <c:pt idx="11">
                  <c:v>0.52380952380952384</c:v>
                </c:pt>
                <c:pt idx="12">
                  <c:v>0.56521739130434778</c:v>
                </c:pt>
                <c:pt idx="13">
                  <c:v>0.54166666666666663</c:v>
                </c:pt>
                <c:pt idx="14">
                  <c:v>0.51851851851851849</c:v>
                </c:pt>
                <c:pt idx="15">
                  <c:v>0.55172413793103448</c:v>
                </c:pt>
                <c:pt idx="16">
                  <c:v>0.56666666666666665</c:v>
                </c:pt>
                <c:pt idx="17">
                  <c:v>0.56666666666666665</c:v>
                </c:pt>
                <c:pt idx="18">
                  <c:v>0.61764705882352944</c:v>
                </c:pt>
                <c:pt idx="19">
                  <c:v>0.58333333333333337</c:v>
                </c:pt>
                <c:pt idx="20">
                  <c:v>0.55263157894736847</c:v>
                </c:pt>
                <c:pt idx="21">
                  <c:v>0.56097560975609762</c:v>
                </c:pt>
                <c:pt idx="22">
                  <c:v>0.56818181818181823</c:v>
                </c:pt>
                <c:pt idx="23">
                  <c:v>0.56818181818181823</c:v>
                </c:pt>
                <c:pt idx="24">
                  <c:v>0.57446808510638303</c:v>
                </c:pt>
                <c:pt idx="25">
                  <c:v>0.57446808510638303</c:v>
                </c:pt>
                <c:pt idx="26">
                  <c:v>0.52830188679245282</c:v>
                </c:pt>
                <c:pt idx="27">
                  <c:v>0.51851851851851849</c:v>
                </c:pt>
                <c:pt idx="28">
                  <c:v>0.5</c:v>
                </c:pt>
                <c:pt idx="29">
                  <c:v>0.50877192982456143</c:v>
                </c:pt>
                <c:pt idx="30">
                  <c:v>0.50793650793650791</c:v>
                </c:pt>
                <c:pt idx="31">
                  <c:v>0.52173913043478259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6839378238341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まっつん2!$O$3:$O$34</c:f>
              <c:numCache>
                <c:formatCode>0.0%</c:formatCode>
                <c:ptCount val="32"/>
                <c:pt idx="1">
                  <c:v>0.5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0.41666666666666669</c:v>
                </c:pt>
                <c:pt idx="8">
                  <c:v>0.46153846153846156</c:v>
                </c:pt>
                <c:pt idx="9">
                  <c:v>0.5</c:v>
                </c:pt>
                <c:pt idx="10">
                  <c:v>0.4375</c:v>
                </c:pt>
                <c:pt idx="11">
                  <c:v>0.41176470588235292</c:v>
                </c:pt>
                <c:pt idx="12">
                  <c:v>0.44444444444444442</c:v>
                </c:pt>
                <c:pt idx="13">
                  <c:v>0.45</c:v>
                </c:pt>
                <c:pt idx="14">
                  <c:v>0.47619047619047616</c:v>
                </c:pt>
                <c:pt idx="15">
                  <c:v>0.5</c:v>
                </c:pt>
                <c:pt idx="16">
                  <c:v>0.44</c:v>
                </c:pt>
                <c:pt idx="17">
                  <c:v>0.39285714285714285</c:v>
                </c:pt>
                <c:pt idx="18">
                  <c:v>0.39285714285714285</c:v>
                </c:pt>
                <c:pt idx="19">
                  <c:v>0.38709677419354838</c:v>
                </c:pt>
                <c:pt idx="20">
                  <c:v>0.40625</c:v>
                </c:pt>
                <c:pt idx="21">
                  <c:v>0.43243243243243246</c:v>
                </c:pt>
                <c:pt idx="22">
                  <c:v>0.42105263157894735</c:v>
                </c:pt>
                <c:pt idx="23">
                  <c:v>0.41025641025641024</c:v>
                </c:pt>
                <c:pt idx="24">
                  <c:v>0.40476190476190477</c:v>
                </c:pt>
                <c:pt idx="25">
                  <c:v>0.37777777777777777</c:v>
                </c:pt>
                <c:pt idx="26">
                  <c:v>0.375</c:v>
                </c:pt>
                <c:pt idx="27">
                  <c:v>0.375</c:v>
                </c:pt>
                <c:pt idx="28">
                  <c:v>0.36</c:v>
                </c:pt>
                <c:pt idx="29">
                  <c:v>0.34615384615384615</c:v>
                </c:pt>
                <c:pt idx="30">
                  <c:v>0.36363636363636365</c:v>
                </c:pt>
                <c:pt idx="3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2256267409470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まっつん2!$P$3:$P$34</c:f>
              <c:numCache>
                <c:formatCode>0.0%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9.0909090909090912E-2</c:v>
                </c:pt>
                <c:pt idx="7">
                  <c:v>8.3333333333333329E-2</c:v>
                </c:pt>
                <c:pt idx="8">
                  <c:v>0.13333333333333333</c:v>
                </c:pt>
                <c:pt idx="9">
                  <c:v>0.16666666666666666</c:v>
                </c:pt>
                <c:pt idx="10">
                  <c:v>0.15789473684210525</c:v>
                </c:pt>
                <c:pt idx="11">
                  <c:v>0.15789473684210525</c:v>
                </c:pt>
                <c:pt idx="12">
                  <c:v>0.13636363636363635</c:v>
                </c:pt>
                <c:pt idx="13">
                  <c:v>0.125</c:v>
                </c:pt>
                <c:pt idx="14">
                  <c:v>0.11538461538461539</c:v>
                </c:pt>
                <c:pt idx="15">
                  <c:v>0.13793103448275862</c:v>
                </c:pt>
                <c:pt idx="16">
                  <c:v>0.13333333333333333</c:v>
                </c:pt>
                <c:pt idx="17">
                  <c:v>0.12903225806451613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0.2391304347826087</c:v>
                </c:pt>
                <c:pt idx="22">
                  <c:v>0.24489795918367346</c:v>
                </c:pt>
                <c:pt idx="23">
                  <c:v>0.24489795918367346</c:v>
                </c:pt>
                <c:pt idx="24">
                  <c:v>0.30188679245283018</c:v>
                </c:pt>
                <c:pt idx="25">
                  <c:v>0.30188679245283018</c:v>
                </c:pt>
                <c:pt idx="26">
                  <c:v>0.30357142857142855</c:v>
                </c:pt>
                <c:pt idx="27">
                  <c:v>0.32758620689655171</c:v>
                </c:pt>
                <c:pt idx="28">
                  <c:v>0.32758620689655171</c:v>
                </c:pt>
                <c:pt idx="29">
                  <c:v>0.33333333333333331</c:v>
                </c:pt>
                <c:pt idx="30">
                  <c:v>0.31818181818181818</c:v>
                </c:pt>
                <c:pt idx="31">
                  <c:v>0.30985915492957744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8387096774193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45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261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262</v>
      </c>
      <c r="B45" s="3">
        <v>44168.706261574072</v>
      </c>
      <c r="C45" s="2" t="s">
        <v>127</v>
      </c>
      <c r="D45" s="2" t="s">
        <v>188</v>
      </c>
      <c r="E45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260</v>
      </c>
    </row>
    <row r="2" spans="1:3" x14ac:dyDescent="0.4">
      <c r="A2" t="s">
        <v>126</v>
      </c>
      <c r="B2" s="120">
        <v>99</v>
      </c>
      <c r="C2" s="120">
        <v>1842.3339395535957</v>
      </c>
    </row>
    <row r="3" spans="1:3" x14ac:dyDescent="0.4">
      <c r="A3" t="s">
        <v>163</v>
      </c>
      <c r="B3" s="120">
        <v>63</v>
      </c>
      <c r="C3" s="120">
        <v>1653.1699313523677</v>
      </c>
    </row>
    <row r="4" spans="1:3" x14ac:dyDescent="0.4">
      <c r="A4" t="s">
        <v>139</v>
      </c>
      <c r="B4" s="120">
        <v>369</v>
      </c>
      <c r="C4" s="120">
        <v>1594.5463045050694</v>
      </c>
    </row>
    <row r="5" spans="1:3" x14ac:dyDescent="0.4">
      <c r="A5" t="s">
        <v>190</v>
      </c>
      <c r="B5" s="120">
        <v>31</v>
      </c>
      <c r="C5" s="120">
        <v>1524.3778689305989</v>
      </c>
    </row>
    <row r="6" spans="1:3" x14ac:dyDescent="0.4">
      <c r="A6" t="s">
        <v>192</v>
      </c>
      <c r="B6" s="120">
        <v>48</v>
      </c>
      <c r="C6" s="120">
        <v>1517.1288342047803</v>
      </c>
    </row>
    <row r="7" spans="1:3" x14ac:dyDescent="0.4">
      <c r="A7" t="s">
        <v>211</v>
      </c>
      <c r="B7" s="120">
        <v>44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43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/>
      <c r="C1" s="136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0</v>
      </c>
      <c r="C2" s="138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9">
        <v>0</v>
      </c>
      <c r="C3" s="140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1">
        <v>0</v>
      </c>
      <c r="C4" s="142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9">
        <f>IF(B$2=0,0,B$4/B$2)</f>
        <v>0</v>
      </c>
      <c r="C5" s="130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3">
        <v>1500</v>
      </c>
      <c r="C6" s="134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3">
        <f>IF(B$2=0,0,(B$8*1+B$9*2+B$10*3)/B$2)</f>
        <v>0</v>
      </c>
      <c r="C7" s="144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0</v>
      </c>
      <c r="C14" s="130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1">
        <v>0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3">
        <v>-1000000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4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1" t="s">
        <v>9</v>
      </c>
      <c r="C1" s="152"/>
      <c r="D1" s="145" t="s">
        <v>6</v>
      </c>
      <c r="E1" s="146"/>
      <c r="F1" s="145" t="s">
        <v>7</v>
      </c>
      <c r="G1" s="146"/>
      <c r="H1" s="151" t="s">
        <v>196</v>
      </c>
      <c r="I1" s="152"/>
      <c r="J1" s="145" t="s">
        <v>15</v>
      </c>
      <c r="K1" s="146"/>
      <c r="L1" s="145" t="s">
        <v>14</v>
      </c>
      <c r="M1" s="146"/>
      <c r="N1" s="145" t="s">
        <v>149</v>
      </c>
      <c r="O1" s="146"/>
      <c r="P1" s="145" t="s">
        <v>143</v>
      </c>
      <c r="Q1" s="146"/>
      <c r="R1" s="145" t="s">
        <v>144</v>
      </c>
      <c r="S1" s="146"/>
      <c r="T1" s="145" t="s">
        <v>5</v>
      </c>
      <c r="U1" s="146"/>
      <c r="V1" s="145" t="s">
        <v>16</v>
      </c>
      <c r="W1" s="146"/>
      <c r="X1" s="145" t="s">
        <v>17</v>
      </c>
      <c r="Y1" s="146"/>
      <c r="Z1" s="145" t="s">
        <v>122</v>
      </c>
      <c r="AA1" s="146"/>
      <c r="AB1" s="145" t="s">
        <v>119</v>
      </c>
      <c r="AC1" s="146"/>
      <c r="AD1" s="145" t="s">
        <v>125</v>
      </c>
      <c r="AE1" s="146"/>
      <c r="AF1" s="145" t="s">
        <v>145</v>
      </c>
      <c r="AG1" s="146"/>
      <c r="AH1" s="145" t="s">
        <v>138</v>
      </c>
      <c r="AI1" s="146"/>
      <c r="AJ1" s="145" t="s">
        <v>180</v>
      </c>
      <c r="AK1" s="146"/>
    </row>
    <row r="2" spans="1:37" x14ac:dyDescent="0.4">
      <c r="A2" s="36" t="s">
        <v>208</v>
      </c>
      <c r="B2" s="147">
        <v>0.92690467112652442</v>
      </c>
      <c r="C2" s="148"/>
      <c r="D2" s="147">
        <v>0.49421862520010418</v>
      </c>
      <c r="E2" s="148"/>
      <c r="F2" s="147">
        <v>0.46749924265903309</v>
      </c>
      <c r="G2" s="148"/>
      <c r="H2" s="149"/>
      <c r="I2" s="150"/>
      <c r="J2" s="147">
        <v>6.869455439823105E-2</v>
      </c>
      <c r="K2" s="148"/>
      <c r="L2" s="147">
        <v>-0.27486572003895476</v>
      </c>
      <c r="M2" s="148"/>
      <c r="N2" s="147">
        <v>0.36378776820539827</v>
      </c>
      <c r="O2" s="148"/>
      <c r="P2" s="147">
        <v>0.43699591289745465</v>
      </c>
      <c r="Q2" s="148"/>
      <c r="R2" s="147">
        <v>-8.1655919401307647E-3</v>
      </c>
      <c r="S2" s="148"/>
      <c r="T2" s="147">
        <v>0.26615078071546533</v>
      </c>
      <c r="U2" s="148"/>
      <c r="V2" s="147">
        <v>0.21352748969027591</v>
      </c>
      <c r="W2" s="148"/>
      <c r="X2" s="147">
        <v>0.38535012427798065</v>
      </c>
      <c r="Y2" s="148"/>
      <c r="Z2" s="147">
        <v>0.27875451674187202</v>
      </c>
      <c r="AA2" s="148"/>
      <c r="AB2" s="147">
        <v>0.1904427351141236</v>
      </c>
      <c r="AC2" s="148"/>
      <c r="AD2" s="147">
        <v>-7.5336855325518301E-2</v>
      </c>
      <c r="AE2" s="148"/>
      <c r="AF2" s="147">
        <v>0.40100454986728939</v>
      </c>
      <c r="AG2" s="148"/>
      <c r="AH2" s="147">
        <v>-0.12938470534167468</v>
      </c>
      <c r="AI2" s="148"/>
      <c r="AJ2" s="147">
        <v>0.81743533297143867</v>
      </c>
      <c r="AK2" s="148"/>
    </row>
    <row r="3" spans="1:37" x14ac:dyDescent="0.4">
      <c r="A3" s="38">
        <v>1</v>
      </c>
      <c r="B3" s="41" t="s">
        <v>139</v>
      </c>
      <c r="C3" s="113">
        <v>123</v>
      </c>
      <c r="D3" s="39" t="s">
        <v>192</v>
      </c>
      <c r="E3" s="40">
        <v>261.89999999999992</v>
      </c>
      <c r="F3" s="41" t="s">
        <v>192</v>
      </c>
      <c r="G3" s="60">
        <v>5.456249999999998</v>
      </c>
      <c r="H3" s="41" t="s">
        <v>126</v>
      </c>
      <c r="I3" s="45">
        <v>1767.3229259448885</v>
      </c>
      <c r="J3" s="41" t="s">
        <v>192</v>
      </c>
      <c r="K3" s="42">
        <v>1.8125</v>
      </c>
      <c r="L3" s="41" t="s">
        <v>195</v>
      </c>
      <c r="M3" s="43">
        <v>0.5</v>
      </c>
      <c r="N3" s="41" t="s">
        <v>190</v>
      </c>
      <c r="O3" s="43">
        <v>0.19354838709677419</v>
      </c>
      <c r="P3" s="41" t="s">
        <v>192</v>
      </c>
      <c r="Q3" s="44">
        <v>0.33574879227053139</v>
      </c>
      <c r="R3" s="41" t="s">
        <v>190</v>
      </c>
      <c r="S3" s="44">
        <v>9.1575091575091569E-2</v>
      </c>
      <c r="T3" s="41" t="s">
        <v>221</v>
      </c>
      <c r="U3" s="45">
        <v>10925</v>
      </c>
      <c r="V3" s="41" t="s">
        <v>190</v>
      </c>
      <c r="W3" s="45">
        <v>-6124</v>
      </c>
      <c r="X3" s="41" t="s">
        <v>193</v>
      </c>
      <c r="Y3" s="43">
        <v>0</v>
      </c>
      <c r="Z3" s="41" t="s">
        <v>163</v>
      </c>
      <c r="AA3" s="44">
        <v>0.28237410071942448</v>
      </c>
      <c r="AB3" s="41" t="s">
        <v>189</v>
      </c>
      <c r="AC3" s="44">
        <v>0.30026109660574413</v>
      </c>
      <c r="AD3" s="41" t="s">
        <v>195</v>
      </c>
      <c r="AE3" s="44">
        <v>0.69565217391304346</v>
      </c>
      <c r="AF3" s="41" t="s">
        <v>211</v>
      </c>
      <c r="AG3" s="44">
        <v>0.49367088607594939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99</v>
      </c>
      <c r="D4" s="47" t="s">
        <v>126</v>
      </c>
      <c r="E4" s="48">
        <v>172.49999999999994</v>
      </c>
      <c r="F4" s="49" t="s">
        <v>211</v>
      </c>
      <c r="G4" s="61">
        <v>3.2545454545454544</v>
      </c>
      <c r="H4" s="49" t="s">
        <v>163</v>
      </c>
      <c r="I4" s="53">
        <v>1625.5494430892031</v>
      </c>
      <c r="J4" s="49" t="s">
        <v>190</v>
      </c>
      <c r="K4" s="50">
        <v>1.903225806451613</v>
      </c>
      <c r="L4" s="49" t="s">
        <v>192</v>
      </c>
      <c r="M4" s="51">
        <v>0.41666666666666669</v>
      </c>
      <c r="N4" s="49" t="s">
        <v>192</v>
      </c>
      <c r="O4" s="51">
        <v>0.22916666666666666</v>
      </c>
      <c r="P4" s="49" t="s">
        <v>126</v>
      </c>
      <c r="Q4" s="52">
        <v>0.3216867469879518</v>
      </c>
      <c r="R4" s="49" t="s">
        <v>192</v>
      </c>
      <c r="S4" s="52">
        <v>0.11352657004830918</v>
      </c>
      <c r="T4" s="49" t="s">
        <v>163</v>
      </c>
      <c r="U4" s="53">
        <v>9338.5135135135133</v>
      </c>
      <c r="V4" s="49" t="s">
        <v>211</v>
      </c>
      <c r="W4" s="53">
        <v>-6609.8039215686276</v>
      </c>
      <c r="X4" s="49" t="s">
        <v>221</v>
      </c>
      <c r="Y4" s="51">
        <v>0</v>
      </c>
      <c r="Z4" s="49" t="s">
        <v>189</v>
      </c>
      <c r="AA4" s="52">
        <v>0.26109660574412535</v>
      </c>
      <c r="AB4" s="49" t="s">
        <v>221</v>
      </c>
      <c r="AC4" s="52">
        <v>0.27777777777777779</v>
      </c>
      <c r="AD4" s="49" t="s">
        <v>259</v>
      </c>
      <c r="AE4" s="52">
        <v>0.66666666666666663</v>
      </c>
      <c r="AF4" s="49" t="s">
        <v>126</v>
      </c>
      <c r="AG4" s="52">
        <v>0.45714285714285713</v>
      </c>
      <c r="AH4" s="49" t="s">
        <v>195</v>
      </c>
      <c r="AI4" s="52">
        <v>0.55172413793103448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63</v>
      </c>
      <c r="D5" s="47" t="s">
        <v>211</v>
      </c>
      <c r="E5" s="48">
        <v>143.19999999999999</v>
      </c>
      <c r="F5" s="49" t="s">
        <v>126</v>
      </c>
      <c r="G5" s="61">
        <v>1.7424242424242418</v>
      </c>
      <c r="H5" s="49" t="s">
        <v>139</v>
      </c>
      <c r="I5" s="53">
        <v>1604.773299502044</v>
      </c>
      <c r="J5" s="49" t="s">
        <v>195</v>
      </c>
      <c r="K5" s="50">
        <v>1.9166666666666667</v>
      </c>
      <c r="L5" s="49" t="s">
        <v>211</v>
      </c>
      <c r="M5" s="51">
        <v>0.38636363636363635</v>
      </c>
      <c r="N5" s="49" t="s">
        <v>211</v>
      </c>
      <c r="O5" s="51">
        <v>0.31818181818181818</v>
      </c>
      <c r="P5" s="49" t="s">
        <v>211</v>
      </c>
      <c r="Q5" s="52">
        <v>0.30158730158730157</v>
      </c>
      <c r="R5" s="49" t="s">
        <v>211</v>
      </c>
      <c r="S5" s="52">
        <v>0.13492063492063491</v>
      </c>
      <c r="T5" s="49" t="s">
        <v>195</v>
      </c>
      <c r="U5" s="53">
        <v>8606.8965517241377</v>
      </c>
      <c r="V5" s="49" t="s">
        <v>126</v>
      </c>
      <c r="W5" s="53">
        <v>-7281.7567567567567</v>
      </c>
      <c r="X5" s="49" t="s">
        <v>259</v>
      </c>
      <c r="Y5" s="51">
        <v>0</v>
      </c>
      <c r="Z5" s="49" t="s">
        <v>190</v>
      </c>
      <c r="AA5" s="52">
        <v>0.25274725274725274</v>
      </c>
      <c r="AB5" s="49" t="s">
        <v>192</v>
      </c>
      <c r="AC5" s="52">
        <v>0.27294685990338163</v>
      </c>
      <c r="AD5" s="49" t="s">
        <v>211</v>
      </c>
      <c r="AE5" s="52">
        <v>0.58750000000000002</v>
      </c>
      <c r="AF5" s="49" t="s">
        <v>193</v>
      </c>
      <c r="AG5" s="52">
        <v>0.41666666666666669</v>
      </c>
      <c r="AH5" s="49" t="s">
        <v>259</v>
      </c>
      <c r="AI5" s="52">
        <v>0.5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48</v>
      </c>
      <c r="D6" s="47" t="s">
        <v>190</v>
      </c>
      <c r="E6" s="48">
        <v>22.999999999999972</v>
      </c>
      <c r="F6" s="49" t="s">
        <v>190</v>
      </c>
      <c r="G6" s="61">
        <v>0.74193548387096686</v>
      </c>
      <c r="H6" s="49" t="s">
        <v>192</v>
      </c>
      <c r="I6" s="53">
        <v>1580.3102788159663</v>
      </c>
      <c r="J6" s="49" t="s">
        <v>211</v>
      </c>
      <c r="K6" s="50">
        <v>1.9318181818181819</v>
      </c>
      <c r="L6" s="49" t="s">
        <v>189</v>
      </c>
      <c r="M6" s="51">
        <v>0.34883720930232559</v>
      </c>
      <c r="N6" s="49" t="s">
        <v>139</v>
      </c>
      <c r="O6" s="51">
        <v>0.33333333333333331</v>
      </c>
      <c r="P6" s="49" t="s">
        <v>139</v>
      </c>
      <c r="Q6" s="52">
        <v>0.29300567107750475</v>
      </c>
      <c r="R6" s="49" t="s">
        <v>139</v>
      </c>
      <c r="S6" s="52">
        <v>0.15973534971644612</v>
      </c>
      <c r="T6" s="49" t="s">
        <v>126</v>
      </c>
      <c r="U6" s="53">
        <v>8264.0449438202249</v>
      </c>
      <c r="V6" s="49" t="s">
        <v>139</v>
      </c>
      <c r="W6" s="53">
        <v>-7619.1321499013802</v>
      </c>
      <c r="X6" s="49" t="s">
        <v>211</v>
      </c>
      <c r="Y6" s="51">
        <v>4.5454545454545456E-2</v>
      </c>
      <c r="Z6" s="49" t="s">
        <v>126</v>
      </c>
      <c r="AA6" s="52">
        <v>0.25060240963855424</v>
      </c>
      <c r="AB6" s="49" t="s">
        <v>139</v>
      </c>
      <c r="AC6" s="52">
        <v>0.2262129804662886</v>
      </c>
      <c r="AD6" s="49" t="s">
        <v>126</v>
      </c>
      <c r="AE6" s="52">
        <v>0.57211538461538458</v>
      </c>
      <c r="AF6" s="49" t="s">
        <v>192</v>
      </c>
      <c r="AG6" s="52">
        <v>0.41592920353982299</v>
      </c>
      <c r="AH6" s="49" t="s">
        <v>126</v>
      </c>
      <c r="AI6" s="52">
        <v>0.48689138576779029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211</v>
      </c>
      <c r="C7" s="114">
        <v>44</v>
      </c>
      <c r="D7" s="47" t="s">
        <v>139</v>
      </c>
      <c r="E7" s="48">
        <v>3.5527136788005009E-14</v>
      </c>
      <c r="F7" s="49" t="s">
        <v>139</v>
      </c>
      <c r="G7" s="61">
        <v>9.6279503490528487E-17</v>
      </c>
      <c r="H7" s="49" t="s">
        <v>190</v>
      </c>
      <c r="I7" s="53">
        <v>1543.5389471200435</v>
      </c>
      <c r="J7" s="49" t="s">
        <v>139</v>
      </c>
      <c r="K7" s="50">
        <v>1.9972899728997291</v>
      </c>
      <c r="L7" s="49" t="s">
        <v>139</v>
      </c>
      <c r="M7" s="51">
        <v>0.33604336043360433</v>
      </c>
      <c r="N7" s="49" t="s">
        <v>126</v>
      </c>
      <c r="O7" s="51">
        <v>0.34343434343434343</v>
      </c>
      <c r="P7" s="49" t="s">
        <v>189</v>
      </c>
      <c r="Q7" s="52">
        <v>0.28720626631853785</v>
      </c>
      <c r="R7" s="49" t="s">
        <v>195</v>
      </c>
      <c r="S7" s="52">
        <v>0.1650485436893204</v>
      </c>
      <c r="T7" s="49" t="s">
        <v>139</v>
      </c>
      <c r="U7" s="53">
        <v>8116.0215053763441</v>
      </c>
      <c r="V7" s="49" t="s">
        <v>195</v>
      </c>
      <c r="W7" s="53">
        <v>-7629.411764705882</v>
      </c>
      <c r="X7" s="49" t="s">
        <v>190</v>
      </c>
      <c r="Y7" s="51">
        <v>6.4516129032258063E-2</v>
      </c>
      <c r="Z7" s="49" t="s">
        <v>139</v>
      </c>
      <c r="AA7" s="52">
        <v>0.24322621298046629</v>
      </c>
      <c r="AB7" s="49" t="s">
        <v>193</v>
      </c>
      <c r="AC7" s="52">
        <v>0.22222222222222221</v>
      </c>
      <c r="AD7" s="49" t="s">
        <v>192</v>
      </c>
      <c r="AE7" s="52">
        <v>0.52380952380952384</v>
      </c>
      <c r="AF7" s="49" t="s">
        <v>139</v>
      </c>
      <c r="AG7" s="52">
        <v>0.41225626740947074</v>
      </c>
      <c r="AH7" s="49" t="s">
        <v>163</v>
      </c>
      <c r="AI7" s="52">
        <v>0.47297297297297297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189</v>
      </c>
      <c r="C8" s="114">
        <v>43</v>
      </c>
      <c r="D8" s="47" t="s">
        <v>221</v>
      </c>
      <c r="E8" s="48">
        <v>-13.5</v>
      </c>
      <c r="F8" s="49" t="s">
        <v>163</v>
      </c>
      <c r="G8" s="61">
        <v>-2.0476190476190474</v>
      </c>
      <c r="H8" s="49" t="s">
        <v>211</v>
      </c>
      <c r="I8" s="53">
        <v>1531.1784483849297</v>
      </c>
      <c r="J8" s="49" t="s">
        <v>126</v>
      </c>
      <c r="K8" s="50">
        <v>2.0101010101010099</v>
      </c>
      <c r="L8" s="49" t="s">
        <v>126</v>
      </c>
      <c r="M8" s="51">
        <v>0.33333333333333331</v>
      </c>
      <c r="N8" s="49" t="s">
        <v>163</v>
      </c>
      <c r="O8" s="51">
        <v>0.34920634920634919</v>
      </c>
      <c r="P8" s="49" t="s">
        <v>195</v>
      </c>
      <c r="Q8" s="52">
        <v>0.28155339805825241</v>
      </c>
      <c r="R8" s="49" t="s">
        <v>221</v>
      </c>
      <c r="S8" s="52">
        <v>0.16666666666666666</v>
      </c>
      <c r="T8" s="49" t="s">
        <v>190</v>
      </c>
      <c r="U8" s="53">
        <v>7960.5633802816901</v>
      </c>
      <c r="V8" s="49" t="s">
        <v>192</v>
      </c>
      <c r="W8" s="53">
        <v>-7774.4680851063831</v>
      </c>
      <c r="X8" s="49" t="s">
        <v>126</v>
      </c>
      <c r="Y8" s="51">
        <v>8.0808080808080815E-2</v>
      </c>
      <c r="Z8" s="49" t="s">
        <v>259</v>
      </c>
      <c r="AA8" s="52">
        <v>0.24</v>
      </c>
      <c r="AB8" s="49" t="s">
        <v>163</v>
      </c>
      <c r="AC8" s="52">
        <v>0.21762589928057555</v>
      </c>
      <c r="AD8" s="49" t="s">
        <v>190</v>
      </c>
      <c r="AE8" s="52">
        <v>0.52173913043478259</v>
      </c>
      <c r="AF8" s="49" t="s">
        <v>189</v>
      </c>
      <c r="AG8" s="52">
        <v>0.40869565217391307</v>
      </c>
      <c r="AH8" s="49" t="s">
        <v>189</v>
      </c>
      <c r="AI8" s="52">
        <v>0.47272727272727272</v>
      </c>
      <c r="AJ8" s="49" t="s">
        <v>211</v>
      </c>
      <c r="AK8" s="56">
        <v>86700</v>
      </c>
    </row>
    <row r="9" spans="1:37" x14ac:dyDescent="0.4">
      <c r="A9" s="46">
        <v>7</v>
      </c>
      <c r="B9" s="49" t="s">
        <v>190</v>
      </c>
      <c r="C9" s="114">
        <v>31</v>
      </c>
      <c r="D9" s="47" t="s">
        <v>195</v>
      </c>
      <c r="E9" s="48">
        <v>-39.5</v>
      </c>
      <c r="F9" s="49" t="s">
        <v>189</v>
      </c>
      <c r="G9" s="61">
        <v>-2.5604651162790697</v>
      </c>
      <c r="H9" s="49" t="s">
        <v>221</v>
      </c>
      <c r="I9" s="53">
        <v>1497.379788</v>
      </c>
      <c r="J9" s="49" t="s">
        <v>189</v>
      </c>
      <c r="K9" s="50">
        <v>2.0465116279069768</v>
      </c>
      <c r="L9" s="49" t="s">
        <v>163</v>
      </c>
      <c r="M9" s="51">
        <v>0.30158730158730157</v>
      </c>
      <c r="N9" s="49" t="s">
        <v>189</v>
      </c>
      <c r="O9" s="51">
        <v>0.39534883720930231</v>
      </c>
      <c r="P9" s="49" t="s">
        <v>163</v>
      </c>
      <c r="Q9" s="52">
        <v>0.26618705035971224</v>
      </c>
      <c r="R9" s="49" t="s">
        <v>189</v>
      </c>
      <c r="S9" s="52">
        <v>0.16971279373368145</v>
      </c>
      <c r="T9" s="49" t="s">
        <v>211</v>
      </c>
      <c r="U9" s="53">
        <v>7921.9298245614036</v>
      </c>
      <c r="V9" s="49" t="s">
        <v>216</v>
      </c>
      <c r="W9" s="53">
        <v>-7886.2068965517237</v>
      </c>
      <c r="X9" s="49" t="s">
        <v>192</v>
      </c>
      <c r="Y9" s="51">
        <v>8.3333333333333329E-2</v>
      </c>
      <c r="Z9" s="49" t="s">
        <v>216</v>
      </c>
      <c r="AA9" s="52">
        <v>0.22857142857142856</v>
      </c>
      <c r="AB9" s="49" t="s">
        <v>126</v>
      </c>
      <c r="AC9" s="52">
        <v>0.21084337349397592</v>
      </c>
      <c r="AD9" s="49" t="s">
        <v>139</v>
      </c>
      <c r="AE9" s="52">
        <v>0.51683937823834192</v>
      </c>
      <c r="AF9" s="49" t="s">
        <v>221</v>
      </c>
      <c r="AG9" s="52">
        <v>0.4</v>
      </c>
      <c r="AH9" s="49" t="s">
        <v>139</v>
      </c>
      <c r="AI9" s="52">
        <v>0.44838709677419353</v>
      </c>
      <c r="AJ9" s="49" t="s">
        <v>190</v>
      </c>
      <c r="AK9" s="56">
        <v>80000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259</v>
      </c>
      <c r="E10" s="48">
        <v>-50</v>
      </c>
      <c r="F10" s="49" t="s">
        <v>195</v>
      </c>
      <c r="G10" s="61">
        <v>-3.2916666666666665</v>
      </c>
      <c r="H10" s="49" t="s">
        <v>259</v>
      </c>
      <c r="I10" s="53">
        <v>1493.0891304000002</v>
      </c>
      <c r="J10" s="49" t="s">
        <v>163</v>
      </c>
      <c r="K10" s="50">
        <v>2.0476190476190474</v>
      </c>
      <c r="L10" s="49" t="s">
        <v>190</v>
      </c>
      <c r="M10" s="51">
        <v>0.29032258064516131</v>
      </c>
      <c r="N10" s="49" t="s">
        <v>195</v>
      </c>
      <c r="O10" s="51">
        <v>0.41666666666666669</v>
      </c>
      <c r="P10" s="49" t="s">
        <v>190</v>
      </c>
      <c r="Q10" s="52">
        <v>0.26007326007326009</v>
      </c>
      <c r="R10" s="49" t="s">
        <v>126</v>
      </c>
      <c r="S10" s="52">
        <v>0.1783132530120482</v>
      </c>
      <c r="T10" s="49" t="s">
        <v>193</v>
      </c>
      <c r="U10" s="53">
        <v>7866.666666666667</v>
      </c>
      <c r="V10" s="49" t="s">
        <v>163</v>
      </c>
      <c r="W10" s="53">
        <v>-7932.3809523809523</v>
      </c>
      <c r="X10" s="49" t="s">
        <v>139</v>
      </c>
      <c r="Y10" s="51">
        <v>8.6720867208672087E-2</v>
      </c>
      <c r="Z10" s="49" t="s">
        <v>195</v>
      </c>
      <c r="AA10" s="52">
        <v>0.22330097087378642</v>
      </c>
      <c r="AB10" s="49" t="s">
        <v>211</v>
      </c>
      <c r="AC10" s="52">
        <v>0.20899470899470898</v>
      </c>
      <c r="AD10" s="49" t="s">
        <v>163</v>
      </c>
      <c r="AE10" s="52">
        <v>0.46496815286624205</v>
      </c>
      <c r="AF10" s="49" t="s">
        <v>190</v>
      </c>
      <c r="AG10" s="52">
        <v>0.375</v>
      </c>
      <c r="AH10" s="49" t="s">
        <v>216</v>
      </c>
      <c r="AI10" s="52">
        <v>0.43333333333333335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193</v>
      </c>
      <c r="E11" s="48">
        <v>-78.199999999999989</v>
      </c>
      <c r="F11" s="49" t="s">
        <v>221</v>
      </c>
      <c r="G11" s="61">
        <v>-6.75</v>
      </c>
      <c r="H11" s="49" t="s">
        <v>216</v>
      </c>
      <c r="I11" s="53">
        <v>1475.2783888604056</v>
      </c>
      <c r="J11" s="49" t="s">
        <v>216</v>
      </c>
      <c r="K11" s="50">
        <v>2.2222222222222223</v>
      </c>
      <c r="L11" s="49" t="s">
        <v>216</v>
      </c>
      <c r="M11" s="51">
        <v>0.22222222222222221</v>
      </c>
      <c r="N11" s="49" t="s">
        <v>216</v>
      </c>
      <c r="O11" s="51">
        <v>0.44444444444444442</v>
      </c>
      <c r="P11" s="49" t="s">
        <v>259</v>
      </c>
      <c r="Q11" s="52">
        <v>0.24</v>
      </c>
      <c r="R11" s="49" t="s">
        <v>163</v>
      </c>
      <c r="S11" s="52">
        <v>0.18884892086330934</v>
      </c>
      <c r="T11" s="49" t="s">
        <v>189</v>
      </c>
      <c r="U11" s="53">
        <v>7535.454545454545</v>
      </c>
      <c r="V11" s="49" t="s">
        <v>189</v>
      </c>
      <c r="W11" s="53">
        <v>-8520</v>
      </c>
      <c r="X11" s="49" t="s">
        <v>189</v>
      </c>
      <c r="Y11" s="51">
        <v>9.3023255813953487E-2</v>
      </c>
      <c r="Z11" s="49" t="s">
        <v>221</v>
      </c>
      <c r="AA11" s="52">
        <v>0.22222222222222221</v>
      </c>
      <c r="AB11" s="49" t="s">
        <v>190</v>
      </c>
      <c r="AC11" s="52">
        <v>0.20512820512820512</v>
      </c>
      <c r="AD11" s="49" t="s">
        <v>216</v>
      </c>
      <c r="AE11" s="52">
        <v>0.4375</v>
      </c>
      <c r="AF11" s="49" t="s">
        <v>195</v>
      </c>
      <c r="AG11" s="52">
        <v>0.35714285714285715</v>
      </c>
      <c r="AH11" s="49" t="s">
        <v>211</v>
      </c>
      <c r="AI11" s="52">
        <v>0.42982456140350878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189</v>
      </c>
      <c r="E12" s="48">
        <v>-110.1</v>
      </c>
      <c r="F12" s="49" t="s">
        <v>216</v>
      </c>
      <c r="G12" s="61">
        <v>-10.016666666666667</v>
      </c>
      <c r="H12" s="49" t="s">
        <v>189</v>
      </c>
      <c r="I12" s="53">
        <v>1448.7493412538377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193</v>
      </c>
      <c r="Q12" s="52">
        <v>0.22222222222222221</v>
      </c>
      <c r="R12" s="49" t="s">
        <v>259</v>
      </c>
      <c r="S12" s="52">
        <v>0.2</v>
      </c>
      <c r="T12" s="49" t="s">
        <v>192</v>
      </c>
      <c r="U12" s="53">
        <v>7306.4748201438852</v>
      </c>
      <c r="V12" s="49" t="s">
        <v>193</v>
      </c>
      <c r="W12" s="53">
        <v>-8875</v>
      </c>
      <c r="X12" s="49" t="s">
        <v>216</v>
      </c>
      <c r="Y12" s="51">
        <v>0.1111111111111111</v>
      </c>
      <c r="Z12" s="49" t="s">
        <v>211</v>
      </c>
      <c r="AA12" s="52">
        <v>0.21164021164021163</v>
      </c>
      <c r="AB12" s="49" t="s">
        <v>216</v>
      </c>
      <c r="AC12" s="52">
        <v>0.17142857142857143</v>
      </c>
      <c r="AD12" s="49" t="s">
        <v>189</v>
      </c>
      <c r="AE12" s="52">
        <v>0.43</v>
      </c>
      <c r="AF12" s="49" t="s">
        <v>163</v>
      </c>
      <c r="AG12" s="52">
        <v>0.34710743801652894</v>
      </c>
      <c r="AH12" s="49" t="s">
        <v>192</v>
      </c>
      <c r="AI12" s="52">
        <v>0.39568345323741005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259</v>
      </c>
      <c r="C13" s="114">
        <v>3</v>
      </c>
      <c r="D13" s="47" t="s">
        <v>163</v>
      </c>
      <c r="E13" s="48">
        <v>-129</v>
      </c>
      <c r="F13" s="49" t="s">
        <v>193</v>
      </c>
      <c r="G13" s="61">
        <v>-13.033333333333331</v>
      </c>
      <c r="H13" s="49" t="s">
        <v>195</v>
      </c>
      <c r="I13" s="53">
        <v>1396.3170423346389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221</v>
      </c>
      <c r="Q13" s="52">
        <v>0.22222222222222221</v>
      </c>
      <c r="R13" s="49" t="s">
        <v>216</v>
      </c>
      <c r="S13" s="52">
        <v>0.20714285714285716</v>
      </c>
      <c r="T13" s="49" t="s">
        <v>259</v>
      </c>
      <c r="U13" s="53">
        <v>7216.666666666667</v>
      </c>
      <c r="V13" s="49" t="s">
        <v>259</v>
      </c>
      <c r="W13" s="53">
        <v>-9420</v>
      </c>
      <c r="X13" s="49" t="s">
        <v>163</v>
      </c>
      <c r="Y13" s="51">
        <v>0.12698412698412698</v>
      </c>
      <c r="Z13" s="49" t="s">
        <v>192</v>
      </c>
      <c r="AA13" s="52">
        <v>0.20289855072463769</v>
      </c>
      <c r="AB13" s="49" t="s">
        <v>259</v>
      </c>
      <c r="AC13" s="52">
        <v>0.16</v>
      </c>
      <c r="AD13" s="49" t="s">
        <v>221</v>
      </c>
      <c r="AE13" s="52">
        <v>0.25</v>
      </c>
      <c r="AF13" s="49" t="s">
        <v>216</v>
      </c>
      <c r="AG13" s="52">
        <v>0.29166666666666669</v>
      </c>
      <c r="AH13" s="49" t="s">
        <v>190</v>
      </c>
      <c r="AI13" s="52">
        <v>0.30985915492957744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221</v>
      </c>
      <c r="C14" s="114">
        <v>2</v>
      </c>
      <c r="D14" s="47" t="s">
        <v>216</v>
      </c>
      <c r="E14" s="48">
        <v>-180.3</v>
      </c>
      <c r="F14" s="49" t="s">
        <v>259</v>
      </c>
      <c r="G14" s="61">
        <v>-16.666666666666668</v>
      </c>
      <c r="H14" s="49" t="s">
        <v>193</v>
      </c>
      <c r="I14" s="53">
        <v>1340.228259602879</v>
      </c>
      <c r="J14" s="49" t="s">
        <v>259</v>
      </c>
      <c r="K14" s="50">
        <v>2.6666666666666665</v>
      </c>
      <c r="L14" s="49" t="s">
        <v>259</v>
      </c>
      <c r="M14" s="51">
        <v>0</v>
      </c>
      <c r="N14" s="49" t="s">
        <v>259</v>
      </c>
      <c r="O14" s="51">
        <v>0.66666666666666663</v>
      </c>
      <c r="P14" s="49" t="s">
        <v>216</v>
      </c>
      <c r="Q14" s="52">
        <v>0.21428571428571427</v>
      </c>
      <c r="R14" s="49" t="s">
        <v>193</v>
      </c>
      <c r="S14" s="52">
        <v>0.22222222222222221</v>
      </c>
      <c r="T14" s="49" t="s">
        <v>216</v>
      </c>
      <c r="U14" s="53">
        <v>7183.333333333333</v>
      </c>
      <c r="V14" s="49" t="s">
        <v>221</v>
      </c>
      <c r="W14" s="53">
        <v>-10300</v>
      </c>
      <c r="X14" s="49" t="s">
        <v>195</v>
      </c>
      <c r="Y14" s="51">
        <v>0.16666666666666666</v>
      </c>
      <c r="Z14" s="49" t="s">
        <v>193</v>
      </c>
      <c r="AA14" s="52">
        <v>0.16666666666666666</v>
      </c>
      <c r="AB14" s="49" t="s">
        <v>195</v>
      </c>
      <c r="AC14" s="52">
        <v>0.13592233009708737</v>
      </c>
      <c r="AD14" s="49" t="s">
        <v>193</v>
      </c>
      <c r="AE14" s="52">
        <v>0.22222222222222221</v>
      </c>
      <c r="AF14" s="49" t="s">
        <v>259</v>
      </c>
      <c r="AG14" s="52">
        <v>0.25</v>
      </c>
      <c r="AH14" s="49" t="s">
        <v>193</v>
      </c>
      <c r="AI14" s="52">
        <v>0.25</v>
      </c>
      <c r="AJ14" s="49" t="s">
        <v>221</v>
      </c>
      <c r="AK14" s="56">
        <v>39000</v>
      </c>
    </row>
  </sheetData>
  <sortState xmlns:xlrd2="http://schemas.microsoft.com/office/spreadsheetml/2017/richdata2" ref="AJ3:AK69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37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139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369</v>
      </c>
      <c r="C2" s="138"/>
      <c r="E2" s="26" t="s">
        <v>66</v>
      </c>
      <c r="F2" s="23" t="s">
        <v>22</v>
      </c>
      <c r="G2" s="11">
        <v>714</v>
      </c>
      <c r="H2" s="87">
        <f>IF(B$20=0,0,G2/B$20)</f>
        <v>0.76774193548387093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-40.650406504065039</v>
      </c>
      <c r="Q2" s="76">
        <v>369</v>
      </c>
      <c r="R2" s="63">
        <v>-15000</v>
      </c>
    </row>
    <row r="3" spans="1:18" x14ac:dyDescent="0.4">
      <c r="A3" s="19" t="s">
        <v>8</v>
      </c>
      <c r="B3" s="139">
        <v>3174</v>
      </c>
      <c r="C3" s="140"/>
      <c r="E3" s="27" t="s">
        <v>72</v>
      </c>
      <c r="F3" s="24" t="s">
        <v>27</v>
      </c>
      <c r="G3" s="12">
        <v>558</v>
      </c>
      <c r="H3" s="88">
        <f>IF(B$20=0,0,G3/B$20)</f>
        <v>0.6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22.222222222222221</v>
      </c>
      <c r="Q3" s="77">
        <v>360</v>
      </c>
      <c r="R3" s="64">
        <v>8000</v>
      </c>
    </row>
    <row r="4" spans="1:18" x14ac:dyDescent="0.4">
      <c r="A4" s="19" t="s">
        <v>6</v>
      </c>
      <c r="B4" s="141">
        <v>3.5527136788005009E-14</v>
      </c>
      <c r="C4" s="142"/>
      <c r="E4" s="27" t="s">
        <v>64</v>
      </c>
      <c r="F4" s="24" t="s">
        <v>20</v>
      </c>
      <c r="G4" s="12">
        <v>386</v>
      </c>
      <c r="H4" s="88">
        <f>IF(B$20=0,0,G4/B$20)</f>
        <v>0.4150537634408602</v>
      </c>
      <c r="I4" s="58">
        <v>7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0</v>
      </c>
      <c r="Q4" s="77">
        <v>360</v>
      </c>
      <c r="R4" s="64">
        <v>0</v>
      </c>
    </row>
    <row r="5" spans="1:18" x14ac:dyDescent="0.4">
      <c r="A5" s="19" t="s">
        <v>7</v>
      </c>
      <c r="B5" s="129">
        <f>IF(B$2=0,0,B$4/B$2)</f>
        <v>9.6279503490528487E-17</v>
      </c>
      <c r="C5" s="130"/>
      <c r="E5" s="27" t="s">
        <v>159</v>
      </c>
      <c r="F5" s="24" t="s">
        <v>160</v>
      </c>
      <c r="G5" s="12">
        <v>374</v>
      </c>
      <c r="H5" s="88">
        <f>IF(B$20=0,0,G5/B$20)</f>
        <v>0.40215053763440861</v>
      </c>
      <c r="I5" s="58">
        <v>5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-5.8479532163742691</v>
      </c>
      <c r="Q5" s="77">
        <v>342</v>
      </c>
      <c r="R5" s="64">
        <v>-2000</v>
      </c>
    </row>
    <row r="6" spans="1:18" x14ac:dyDescent="0.4">
      <c r="A6" s="19" t="s">
        <v>196</v>
      </c>
      <c r="B6" s="133">
        <v>1604.773299502044</v>
      </c>
      <c r="C6" s="134"/>
      <c r="E6" s="27" t="s">
        <v>68</v>
      </c>
      <c r="F6" s="24" t="s">
        <v>12</v>
      </c>
      <c r="G6" s="12">
        <v>282</v>
      </c>
      <c r="H6" s="88">
        <f>IF(B$20=0,0,G6/B$20)</f>
        <v>0.3032258064516129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15.873015873015873</v>
      </c>
      <c r="Q6" s="77">
        <v>315</v>
      </c>
      <c r="R6" s="64">
        <v>5000</v>
      </c>
    </row>
    <row r="7" spans="1:18" x14ac:dyDescent="0.4">
      <c r="A7" s="19" t="s">
        <v>1</v>
      </c>
      <c r="B7" s="143">
        <f>IF(B$2=0,0,(B$8*1+B$9*2+B$10*3)/B$2)</f>
        <v>1.9972899728997291</v>
      </c>
      <c r="C7" s="144"/>
      <c r="E7" s="27" t="s">
        <v>67</v>
      </c>
      <c r="F7" s="24" t="s">
        <v>23</v>
      </c>
      <c r="G7" s="12">
        <v>196</v>
      </c>
      <c r="H7" s="88">
        <f>IF(B$20=0,0,G7/B$20)</f>
        <v>0.21075268817204301</v>
      </c>
      <c r="I7" s="58">
        <v>8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14.814814814814815</v>
      </c>
      <c r="Q7" s="78">
        <v>270</v>
      </c>
      <c r="R7" s="65">
        <v>4000</v>
      </c>
    </row>
    <row r="8" spans="1:18" x14ac:dyDescent="0.4">
      <c r="A8" s="19" t="s">
        <v>2</v>
      </c>
      <c r="B8" s="12">
        <v>124</v>
      </c>
      <c r="C8" s="6">
        <f t="shared" ref="C8:C15" si="1">IF(B$2=0,0,B8/B$2)</f>
        <v>0.33604336043360433</v>
      </c>
      <c r="E8" s="27" t="s">
        <v>89</v>
      </c>
      <c r="F8" s="24" t="s">
        <v>44</v>
      </c>
      <c r="G8" s="12">
        <v>129</v>
      </c>
      <c r="H8" s="88">
        <f>IF(B$20=0,0,G8/B$20)</f>
        <v>0.13870967741935483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122</v>
      </c>
      <c r="C9" s="6">
        <f t="shared" si="1"/>
        <v>0.33062330623306235</v>
      </c>
      <c r="E9" s="27" t="s">
        <v>69</v>
      </c>
      <c r="F9" s="24" t="s">
        <v>24</v>
      </c>
      <c r="G9" s="12">
        <v>121</v>
      </c>
      <c r="H9" s="88">
        <f>IF(B$20=0,0,G9/B$20)</f>
        <v>0.13010752688172042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123</v>
      </c>
      <c r="C10" s="7">
        <f t="shared" si="1"/>
        <v>0.33333333333333331</v>
      </c>
      <c r="E10" s="27" t="s">
        <v>70</v>
      </c>
      <c r="F10" s="24" t="s">
        <v>25</v>
      </c>
      <c r="G10" s="12">
        <v>95</v>
      </c>
      <c r="H10" s="88">
        <f>IF(B$20=0,0,G10/B$20)</f>
        <v>0.10215053763440861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2.8048780487804876</v>
      </c>
      <c r="Q10" s="76">
        <v>123</v>
      </c>
      <c r="R10" s="67">
        <v>345</v>
      </c>
    </row>
    <row r="11" spans="1:18" x14ac:dyDescent="0.4">
      <c r="A11" s="20" t="s">
        <v>184</v>
      </c>
      <c r="B11" s="109">
        <f>IF(B8=0,0,C11/B8)</f>
        <v>34.260483870967725</v>
      </c>
      <c r="C11" s="110">
        <v>4248.2999999999984</v>
      </c>
      <c r="E11" s="27" t="s">
        <v>65</v>
      </c>
      <c r="F11" s="24" t="s">
        <v>21</v>
      </c>
      <c r="G11" s="12">
        <v>88</v>
      </c>
      <c r="H11" s="88">
        <f>IF(B$20=0,0,G11/B$20)</f>
        <v>9.4623655913978491E-2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-3.6138211382113812</v>
      </c>
      <c r="Q11" s="77">
        <v>123</v>
      </c>
      <c r="R11" s="68">
        <v>-444.49999999999989</v>
      </c>
    </row>
    <row r="12" spans="1:18" x14ac:dyDescent="0.4">
      <c r="A12" s="20" t="s">
        <v>185</v>
      </c>
      <c r="B12" s="109">
        <f>IF(B9=0,0,C12/B9)</f>
        <v>-0.67049180327868851</v>
      </c>
      <c r="C12" s="110">
        <v>-81.8</v>
      </c>
      <c r="E12" s="27" t="s">
        <v>71</v>
      </c>
      <c r="F12" s="24" t="s">
        <v>26</v>
      </c>
      <c r="G12" s="12">
        <v>56</v>
      </c>
      <c r="H12" s="88">
        <f>IF(B$20=0,0,G12/B$20)</f>
        <v>6.0215053763440864E-2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0.80894308943089466</v>
      </c>
      <c r="Q12" s="78">
        <v>123</v>
      </c>
      <c r="R12" s="69">
        <v>99.500000000000043</v>
      </c>
    </row>
    <row r="13" spans="1:18" x14ac:dyDescent="0.4">
      <c r="A13" s="20" t="s">
        <v>186</v>
      </c>
      <c r="B13" s="109">
        <f>IF(B10=0,0,C13/B10)</f>
        <v>-33.873983739837399</v>
      </c>
      <c r="C13" s="110">
        <v>-4166.5</v>
      </c>
      <c r="E13" s="27" t="s">
        <v>86</v>
      </c>
      <c r="F13" s="24" t="s">
        <v>41</v>
      </c>
      <c r="G13" s="12">
        <v>49</v>
      </c>
      <c r="H13" s="88">
        <f>IF(B$20=0,0,G13/B$20)</f>
        <v>5.2688172043010753E-2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-9.4663890716120136E-2</v>
      </c>
      <c r="C14" s="130"/>
      <c r="E14" s="27" t="s">
        <v>83</v>
      </c>
      <c r="F14" s="24" t="s">
        <v>38</v>
      </c>
      <c r="G14" s="12">
        <v>40</v>
      </c>
      <c r="H14" s="88">
        <f>IF(B$20=0,0,G14/B$20)</f>
        <v>4.3010752688172046E-2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32</v>
      </c>
      <c r="C15" s="9">
        <f t="shared" si="1"/>
        <v>8.6720867208672087E-2</v>
      </c>
      <c r="E15" s="27" t="s">
        <v>81</v>
      </c>
      <c r="F15" s="24" t="s">
        <v>36</v>
      </c>
      <c r="G15" s="12">
        <v>29</v>
      </c>
      <c r="H15" s="88">
        <f>IF(B$20=0,0,G15/B$20)</f>
        <v>3.118279569892473E-2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259</v>
      </c>
      <c r="P15" s="82">
        <f>IF(Q15=0,0,R15/Q15)</f>
        <v>24.999999999999996</v>
      </c>
      <c r="Q15" s="76">
        <v>6</v>
      </c>
      <c r="R15" s="67">
        <v>149.99999999999997</v>
      </c>
    </row>
    <row r="16" spans="1:18" x14ac:dyDescent="0.4">
      <c r="A16" s="22" t="s">
        <v>121</v>
      </c>
      <c r="B16" s="15">
        <v>772</v>
      </c>
      <c r="C16" s="10">
        <f>IF(B$3=0,0,B16/B$3)</f>
        <v>0.24322621298046629</v>
      </c>
      <c r="E16" s="27" t="s">
        <v>78</v>
      </c>
      <c r="F16" s="24" t="s">
        <v>33</v>
      </c>
      <c r="G16" s="12">
        <v>24</v>
      </c>
      <c r="H16" s="88">
        <f>IF(B$20=0,0,G16/B$20)</f>
        <v>2.5806451612903226E-2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19.550000000000004</v>
      </c>
      <c r="Q16" s="77">
        <v>12</v>
      </c>
      <c r="R16" s="68">
        <v>234.60000000000005</v>
      </c>
    </row>
    <row r="17" spans="1:18" x14ac:dyDescent="0.4">
      <c r="A17" s="19" t="s">
        <v>118</v>
      </c>
      <c r="B17" s="12">
        <v>718</v>
      </c>
      <c r="C17" s="6">
        <f>IF(B$3=0,0,B17/B$3)</f>
        <v>0.2262129804662886</v>
      </c>
      <c r="E17" s="27" t="s">
        <v>155</v>
      </c>
      <c r="F17" s="24" t="s">
        <v>156</v>
      </c>
      <c r="G17" s="12">
        <v>18</v>
      </c>
      <c r="H17" s="88">
        <f>IF(B$20=0,0,G17/B$20)</f>
        <v>1.935483870967742E-2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216</v>
      </c>
      <c r="P17" s="83">
        <f>IF(Q17=0,0,R17/Q17)</f>
        <v>15.025000000000002</v>
      </c>
      <c r="Q17" s="77">
        <v>36</v>
      </c>
      <c r="R17" s="68">
        <v>540.90000000000009</v>
      </c>
    </row>
    <row r="18" spans="1:18" x14ac:dyDescent="0.4">
      <c r="A18" s="18" t="s">
        <v>123</v>
      </c>
      <c r="B18" s="11">
        <f>B24</f>
        <v>399</v>
      </c>
      <c r="C18" s="5">
        <f>IF(B$16=0,0,B18/B$16)</f>
        <v>0.51683937823834192</v>
      </c>
      <c r="E18" s="27" t="s">
        <v>91</v>
      </c>
      <c r="F18" s="24" t="s">
        <v>46</v>
      </c>
      <c r="G18" s="12">
        <v>17</v>
      </c>
      <c r="H18" s="88">
        <f>IF(B$20=0,0,G18/B$20)</f>
        <v>1.8279569892473119E-2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">
      <c r="A19" s="18" t="s">
        <v>124</v>
      </c>
      <c r="B19" s="11">
        <f>B25</f>
        <v>296</v>
      </c>
      <c r="C19" s="5">
        <f>IF(B$17=0,0,B19/B$17)</f>
        <v>0.41225626740947074</v>
      </c>
      <c r="E19" s="27" t="s">
        <v>79</v>
      </c>
      <c r="F19" s="24" t="s">
        <v>34</v>
      </c>
      <c r="G19" s="12">
        <v>12</v>
      </c>
      <c r="H19" s="88">
        <f>IF(B$20=0,0,G19/B$20)</f>
        <v>1.2903225806451613E-2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>IF(Q19=0,0,R19/Q19)</f>
        <v>4.9375000000000036</v>
      </c>
      <c r="Q19" s="77">
        <v>24</v>
      </c>
      <c r="R19" s="68">
        <v>118.50000000000009</v>
      </c>
    </row>
    <row r="20" spans="1:18" x14ac:dyDescent="0.4">
      <c r="A20" s="18" t="s">
        <v>10</v>
      </c>
      <c r="B20" s="11">
        <f>B23+B22</f>
        <v>930</v>
      </c>
      <c r="C20" s="5">
        <f>IF(B$3=0,0,B20/B$3)</f>
        <v>0.29300567107750475</v>
      </c>
      <c r="E20" s="27" t="s">
        <v>73</v>
      </c>
      <c r="F20" s="24" t="s">
        <v>28</v>
      </c>
      <c r="G20" s="12">
        <v>9</v>
      </c>
      <c r="H20" s="88">
        <f>IF(B$20=0,0,G20/B$20)</f>
        <v>9.6774193548387101E-3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189</v>
      </c>
      <c r="P20" s="83">
        <f>IF(Q20=0,0,R20/Q20)</f>
        <v>3.8406976744186054</v>
      </c>
      <c r="Q20" s="77">
        <v>86</v>
      </c>
      <c r="R20" s="68">
        <v>330.30000000000007</v>
      </c>
    </row>
    <row r="21" spans="1:18" x14ac:dyDescent="0.4">
      <c r="A21" s="19" t="s">
        <v>13</v>
      </c>
      <c r="B21" s="12">
        <v>507</v>
      </c>
      <c r="C21" s="6">
        <f>IF(B$3=0,0,B21/B$3)</f>
        <v>0.15973534971644612</v>
      </c>
      <c r="E21" s="27" t="s">
        <v>88</v>
      </c>
      <c r="F21" s="24" t="s">
        <v>43</v>
      </c>
      <c r="G21" s="12">
        <v>4</v>
      </c>
      <c r="H21" s="88">
        <f>IF(B$20=0,0,G21/B$20)</f>
        <v>4.3010752688172043E-3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163</v>
      </c>
      <c r="P21" s="83">
        <f>IF(Q21=0,0,R21/Q21)</f>
        <v>3.0714285714285725</v>
      </c>
      <c r="Q21" s="77">
        <v>126</v>
      </c>
      <c r="R21" s="68">
        <v>387.00000000000011</v>
      </c>
    </row>
    <row r="22" spans="1:18" x14ac:dyDescent="0.4">
      <c r="A22" s="19" t="s">
        <v>12</v>
      </c>
      <c r="B22" s="12">
        <v>417</v>
      </c>
      <c r="C22" s="6">
        <f>IF(B$20=0,0,B22/B$20)</f>
        <v>0.44838709677419353</v>
      </c>
      <c r="E22" s="27" t="s">
        <v>75</v>
      </c>
      <c r="F22" s="24" t="s">
        <v>30</v>
      </c>
      <c r="G22" s="12">
        <v>3</v>
      </c>
      <c r="H22" s="88">
        <f>IF(B$20=0,0,G22/B$20)</f>
        <v>3.2258064516129032E-3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190</v>
      </c>
      <c r="P22" s="83">
        <f>IF(Q22=0,0,R22/Q22)</f>
        <v>-1.1129032258064515</v>
      </c>
      <c r="Q22" s="77">
        <v>62</v>
      </c>
      <c r="R22" s="68">
        <v>-69</v>
      </c>
    </row>
    <row r="23" spans="1:18" x14ac:dyDescent="0.4">
      <c r="A23" s="19" t="s">
        <v>11</v>
      </c>
      <c r="B23" s="12">
        <v>513</v>
      </c>
      <c r="C23" s="6">
        <f>IF(B$20=0,0,B23/B$20)</f>
        <v>0.55161290322580647</v>
      </c>
      <c r="E23" s="27" t="s">
        <v>77</v>
      </c>
      <c r="F23" s="24" t="s">
        <v>32</v>
      </c>
      <c r="G23" s="12">
        <v>3</v>
      </c>
      <c r="H23" s="88">
        <f>IF(B$20=0,0,G23/B$20)</f>
        <v>3.2258064516129032E-3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-2.613636363636362</v>
      </c>
      <c r="Q23" s="77">
        <v>198</v>
      </c>
      <c r="R23" s="68">
        <v>-517.49999999999966</v>
      </c>
    </row>
    <row r="24" spans="1:18" x14ac:dyDescent="0.4">
      <c r="A24" s="19" t="s">
        <v>183</v>
      </c>
      <c r="B24" s="12">
        <v>399</v>
      </c>
      <c r="C24" s="6">
        <f>IF(B$20=0,0,B24/B$20)</f>
        <v>0.42903225806451611</v>
      </c>
      <c r="E24" s="27" t="s">
        <v>85</v>
      </c>
      <c r="F24" s="24" t="s">
        <v>40</v>
      </c>
      <c r="G24" s="12">
        <v>3</v>
      </c>
      <c r="H24" s="88">
        <f>IF(B$20=0,0,G24/B$20)</f>
        <v>3.2258064516129032E-3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211</v>
      </c>
      <c r="P24" s="83">
        <f>IF(Q24=0,0,R24/Q24)</f>
        <v>-4.8818181818181818</v>
      </c>
      <c r="Q24" s="77">
        <v>88</v>
      </c>
      <c r="R24" s="68">
        <v>-429.6</v>
      </c>
    </row>
    <row r="25" spans="1:18" x14ac:dyDescent="0.4">
      <c r="A25" s="19" t="s">
        <v>181</v>
      </c>
      <c r="B25" s="12">
        <v>296</v>
      </c>
      <c r="C25" s="6">
        <f>IF(B$20=0,0,B25/B$20)</f>
        <v>0.31827956989247314</v>
      </c>
      <c r="E25" s="27" t="s">
        <v>92</v>
      </c>
      <c r="F25" s="24" t="s">
        <v>47</v>
      </c>
      <c r="G25" s="12">
        <v>3</v>
      </c>
      <c r="H25" s="88">
        <f>IF(B$20=0,0,G25/B$20)</f>
        <v>3.2258064516129032E-3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192</v>
      </c>
      <c r="P25" s="83">
        <f>IF(Q25=0,0,R25/Q25)</f>
        <v>-8.1843750000000046</v>
      </c>
      <c r="Q25" s="77">
        <v>96</v>
      </c>
      <c r="R25" s="68">
        <v>-785.7000000000005</v>
      </c>
    </row>
    <row r="26" spans="1:18" x14ac:dyDescent="0.4">
      <c r="A26" s="19" t="s">
        <v>182</v>
      </c>
      <c r="B26" s="12">
        <v>235</v>
      </c>
      <c r="C26" s="6">
        <f>IF(B$20=0,0,B26/B$20)</f>
        <v>0.25268817204301075</v>
      </c>
      <c r="E26" s="27" t="s">
        <v>93</v>
      </c>
      <c r="F26" s="24" t="s">
        <v>48</v>
      </c>
      <c r="G26" s="12">
        <v>2</v>
      </c>
      <c r="H26" s="88">
        <f>IF(B$20=0,0,G26/B$20)</f>
        <v>2.1505376344086021E-3</v>
      </c>
      <c r="I26" s="58">
        <v>3</v>
      </c>
      <c r="K26" s="74">
        <v>24</v>
      </c>
      <c r="L26" s="119">
        <v>-7.1054273576010019E-15</v>
      </c>
      <c r="M26" s="117">
        <v>1593.6312177958805</v>
      </c>
    </row>
    <row r="27" spans="1:18" x14ac:dyDescent="0.4">
      <c r="A27" s="19" t="s">
        <v>5</v>
      </c>
      <c r="B27" s="16">
        <f>IF(B$20=0,0,C27/B$20)</f>
        <v>8116.0215053763441</v>
      </c>
      <c r="C27" s="8">
        <v>7547900</v>
      </c>
      <c r="E27" s="27" t="s">
        <v>80</v>
      </c>
      <c r="F27" s="24" t="s">
        <v>35</v>
      </c>
      <c r="G27" s="12">
        <v>1</v>
      </c>
      <c r="H27" s="88">
        <f>IF(B$20=0,0,G27/B$20)</f>
        <v>1.0752688172043011E-3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8703.7854889589908</v>
      </c>
      <c r="C28" s="96">
        <v>5518200</v>
      </c>
      <c r="E28" s="27" t="s">
        <v>84</v>
      </c>
      <c r="F28" s="24" t="s">
        <v>39</v>
      </c>
      <c r="G28" s="12">
        <v>1</v>
      </c>
      <c r="H28" s="88">
        <f>IF(B$20=0,0,G28/B$20)</f>
        <v>1.0752688172043011E-3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6857.094594594595</v>
      </c>
      <c r="C29" s="96">
        <v>2029700</v>
      </c>
      <c r="E29" s="27" t="s">
        <v>90</v>
      </c>
      <c r="F29" s="24" t="s">
        <v>45</v>
      </c>
      <c r="G29" s="12">
        <v>1</v>
      </c>
      <c r="H29" s="88">
        <f>IF(B$20=0,0,G29/B$20)</f>
        <v>1.0752688172043011E-3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-7619.1321499013802</v>
      </c>
      <c r="C30" s="96">
        <v>-3862900</v>
      </c>
      <c r="E30" s="27" t="s">
        <v>102</v>
      </c>
      <c r="F30" s="24" t="s">
        <v>57</v>
      </c>
      <c r="G30" s="12">
        <v>1</v>
      </c>
      <c r="H30" s="88">
        <f>IF(B$20=0,0,G30/B$20)</f>
        <v>1.0752688172043011E-3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3</v>
      </c>
      <c r="E31" s="27" t="s">
        <v>106</v>
      </c>
      <c r="F31" s="24" t="s">
        <v>113</v>
      </c>
      <c r="G31" s="12">
        <v>1</v>
      </c>
      <c r="H31" s="88">
        <f>IF(B$20=0,0,G31/B$20)</f>
        <v>1.0752688172043011E-3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11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1">
        <v>7</v>
      </c>
      <c r="C33" s="132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3">
        <v>103000</v>
      </c>
      <c r="C34" s="134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2.2054190296156269E-3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71</v>
      </c>
      <c r="C37" s="98">
        <f t="shared" ref="C37:C49" si="2">IF(B$20=0,0,B37/B$20)</f>
        <v>7.6344086021505372E-2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175</v>
      </c>
      <c r="C38" s="6">
        <f t="shared" si="2"/>
        <v>0.18817204301075269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183</v>
      </c>
      <c r="C39" s="6">
        <f t="shared" si="2"/>
        <v>0.1967741935483871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182</v>
      </c>
      <c r="C40" s="6">
        <f t="shared" si="2"/>
        <v>0.19569892473118281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132</v>
      </c>
      <c r="C41" s="6">
        <f t="shared" si="2"/>
        <v>0.14193548387096774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84</v>
      </c>
      <c r="C42" s="6">
        <f t="shared" si="2"/>
        <v>9.0322580645161285E-2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38</v>
      </c>
      <c r="C43" s="6">
        <f t="shared" si="2"/>
        <v>4.0860215053763443E-2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28</v>
      </c>
      <c r="C44" s="6">
        <f t="shared" si="2"/>
        <v>3.0107526881720432E-2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16</v>
      </c>
      <c r="C45" s="6">
        <f t="shared" si="2"/>
        <v>1.7204301075268817E-2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10</v>
      </c>
      <c r="C46" s="6">
        <f t="shared" si="2"/>
        <v>1.0752688172043012E-2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2.1505376344086021E-3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1.0752688172043011E-3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8.6021505376344086E-3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</sheetData>
  <sortState xmlns:xlrd2="http://schemas.microsoft.com/office/spreadsheetml/2017/richdata2" ref="O15:R25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0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126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99</v>
      </c>
      <c r="C2" s="138"/>
      <c r="E2" s="26" t="s">
        <v>66</v>
      </c>
      <c r="F2" s="23" t="s">
        <v>22</v>
      </c>
      <c r="G2" s="11">
        <v>198</v>
      </c>
      <c r="H2" s="87">
        <f>IF(B$20=0,0,G2/B$20)</f>
        <v>0.7415730337078652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785.85858585858591</v>
      </c>
      <c r="Q2" s="76">
        <v>99</v>
      </c>
      <c r="R2" s="63">
        <v>77800</v>
      </c>
    </row>
    <row r="3" spans="1:18" x14ac:dyDescent="0.4">
      <c r="A3" s="19" t="s">
        <v>8</v>
      </c>
      <c r="B3" s="139">
        <v>830</v>
      </c>
      <c r="C3" s="140"/>
      <c r="E3" s="27" t="s">
        <v>72</v>
      </c>
      <c r="F3" s="24" t="s">
        <v>27</v>
      </c>
      <c r="G3" s="12">
        <v>144</v>
      </c>
      <c r="H3" s="88">
        <f>IF(B$20=0,0,G3/B$20)</f>
        <v>0.5393258426966292</v>
      </c>
      <c r="I3" s="58">
        <v>9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-998.95833333333337</v>
      </c>
      <c r="Q3" s="77">
        <v>96</v>
      </c>
      <c r="R3" s="64">
        <v>-95900</v>
      </c>
    </row>
    <row r="4" spans="1:18" x14ac:dyDescent="0.4">
      <c r="A4" s="19" t="s">
        <v>6</v>
      </c>
      <c r="B4" s="141">
        <v>172.49999999999994</v>
      </c>
      <c r="C4" s="142"/>
      <c r="E4" s="27" t="s">
        <v>64</v>
      </c>
      <c r="F4" s="24" t="s">
        <v>20</v>
      </c>
      <c r="G4" s="12">
        <v>110</v>
      </c>
      <c r="H4" s="88">
        <f>IF(B$20=0,0,G4/B$20)</f>
        <v>0.41198501872659177</v>
      </c>
      <c r="I4" s="58">
        <v>8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-765.625</v>
      </c>
      <c r="Q4" s="77">
        <v>96</v>
      </c>
      <c r="R4" s="64">
        <v>-73500</v>
      </c>
    </row>
    <row r="5" spans="1:18" x14ac:dyDescent="0.4">
      <c r="A5" s="19" t="s">
        <v>7</v>
      </c>
      <c r="B5" s="129">
        <f>IF(B$2=0,0,B$4/B$2)</f>
        <v>1.7424242424242418</v>
      </c>
      <c r="C5" s="130"/>
      <c r="E5" s="27" t="s">
        <v>159</v>
      </c>
      <c r="F5" s="24" t="s">
        <v>160</v>
      </c>
      <c r="G5" s="12">
        <v>103</v>
      </c>
      <c r="H5" s="88">
        <f>IF(B$20=0,0,G5/B$20)</f>
        <v>0.38576779026217228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1398.9130434782608</v>
      </c>
      <c r="Q5" s="77">
        <v>92</v>
      </c>
      <c r="R5" s="64">
        <v>128700</v>
      </c>
    </row>
    <row r="6" spans="1:18" x14ac:dyDescent="0.4">
      <c r="A6" s="19" t="s">
        <v>196</v>
      </c>
      <c r="B6" s="133">
        <v>1767.3229259448885</v>
      </c>
      <c r="C6" s="134"/>
      <c r="E6" s="27" t="s">
        <v>68</v>
      </c>
      <c r="F6" s="24" t="s">
        <v>12</v>
      </c>
      <c r="G6" s="12">
        <v>86</v>
      </c>
      <c r="H6" s="88">
        <f>IF(B$20=0,0,G6/B$20)</f>
        <v>0.32209737827715357</v>
      </c>
      <c r="I6" s="58">
        <v>5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240.47619047619048</v>
      </c>
      <c r="Q6" s="77">
        <v>84</v>
      </c>
      <c r="R6" s="64">
        <v>20200</v>
      </c>
    </row>
    <row r="7" spans="1:18" x14ac:dyDescent="0.4">
      <c r="A7" s="19" t="s">
        <v>1</v>
      </c>
      <c r="B7" s="143">
        <f>IF(B$2=0,0,(B$8*1+B$9*2+B$10*3)/B$2)</f>
        <v>2.0101010101010099</v>
      </c>
      <c r="C7" s="144"/>
      <c r="E7" s="27" t="s">
        <v>67</v>
      </c>
      <c r="F7" s="24" t="s">
        <v>23</v>
      </c>
      <c r="G7" s="12">
        <v>51</v>
      </c>
      <c r="H7" s="88">
        <f>IF(B$20=0,0,G7/B$20)</f>
        <v>0.19101123595505617</v>
      </c>
      <c r="I7" s="58">
        <v>9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-194.44444444444446</v>
      </c>
      <c r="Q7" s="78">
        <v>72</v>
      </c>
      <c r="R7" s="65">
        <v>-14000</v>
      </c>
    </row>
    <row r="8" spans="1:18" x14ac:dyDescent="0.4">
      <c r="A8" s="19" t="s">
        <v>2</v>
      </c>
      <c r="B8" s="12">
        <v>33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44</v>
      </c>
      <c r="H8" s="88">
        <f>IF(B$20=0,0,G8/B$20)</f>
        <v>0.16479400749063669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32</v>
      </c>
      <c r="C9" s="6">
        <f t="shared" si="1"/>
        <v>0.32323232323232326</v>
      </c>
      <c r="E9" s="27" t="s">
        <v>70</v>
      </c>
      <c r="F9" s="24" t="s">
        <v>25</v>
      </c>
      <c r="G9" s="12">
        <v>37</v>
      </c>
      <c r="H9" s="88">
        <f>IF(B$20=0,0,G9/B$20)</f>
        <v>0.13857677902621723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34</v>
      </c>
      <c r="C10" s="7">
        <f t="shared" si="1"/>
        <v>0.34343434343434343</v>
      </c>
      <c r="E10" s="27" t="s">
        <v>89</v>
      </c>
      <c r="F10" s="24" t="s">
        <v>44</v>
      </c>
      <c r="G10" s="12">
        <v>36</v>
      </c>
      <c r="H10" s="88">
        <f>IF(B$20=0,0,G10/B$20)</f>
        <v>0.1348314606741573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7.4722222222222223</v>
      </c>
      <c r="Q10" s="76">
        <v>36</v>
      </c>
      <c r="R10" s="67">
        <v>269</v>
      </c>
    </row>
    <row r="11" spans="1:18" x14ac:dyDescent="0.4">
      <c r="A11" s="20" t="s">
        <v>184</v>
      </c>
      <c r="B11" s="109">
        <f>IF(B8=0,0,C11/B8)</f>
        <v>38.036363636363639</v>
      </c>
      <c r="C11" s="110">
        <v>1255.2</v>
      </c>
      <c r="E11" s="27" t="s">
        <v>65</v>
      </c>
      <c r="F11" s="24" t="s">
        <v>21</v>
      </c>
      <c r="G11" s="12">
        <v>24</v>
      </c>
      <c r="H11" s="88">
        <f>IF(B$20=0,0,G11/B$20)</f>
        <v>8.98876404494382E-2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-6.1181818181818182</v>
      </c>
      <c r="Q11" s="77">
        <v>33</v>
      </c>
      <c r="R11" s="68">
        <v>-201.9</v>
      </c>
    </row>
    <row r="12" spans="1:18" x14ac:dyDescent="0.4">
      <c r="A12" s="20" t="s">
        <v>185</v>
      </c>
      <c r="B12" s="109">
        <f>IF(B9=0,0,C12/B9)</f>
        <v>-1.4781249999999997</v>
      </c>
      <c r="C12" s="110">
        <v>-47.29999999999999</v>
      </c>
      <c r="E12" s="27" t="s">
        <v>86</v>
      </c>
      <c r="F12" s="24" t="s">
        <v>41</v>
      </c>
      <c r="G12" s="12">
        <v>18</v>
      </c>
      <c r="H12" s="88">
        <f>IF(B$20=0,0,G12/B$20)</f>
        <v>6.741573033707865E-2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3.5133333333333345</v>
      </c>
      <c r="Q12" s="78">
        <v>30</v>
      </c>
      <c r="R12" s="69">
        <v>105.40000000000003</v>
      </c>
    </row>
    <row r="13" spans="1:18" x14ac:dyDescent="0.4">
      <c r="A13" s="20" t="s">
        <v>186</v>
      </c>
      <c r="B13" s="109">
        <f>IF(B10=0,0,C13/B10)</f>
        <v>-30.452941176470592</v>
      </c>
      <c r="C13" s="110">
        <v>-1035.4000000000001</v>
      </c>
      <c r="E13" s="27" t="s">
        <v>83</v>
      </c>
      <c r="F13" s="24" t="s">
        <v>38</v>
      </c>
      <c r="G13" s="12">
        <v>13</v>
      </c>
      <c r="H13" s="88">
        <f>IF(B$20=0,0,G13/B$20)</f>
        <v>4.8689138576779027E-2</v>
      </c>
      <c r="I13" s="58">
        <v>5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2.0350991532976828</v>
      </c>
      <c r="C14" s="130"/>
      <c r="E14" s="27" t="s">
        <v>155</v>
      </c>
      <c r="F14" s="24" t="s">
        <v>156</v>
      </c>
      <c r="G14" s="12">
        <v>12</v>
      </c>
      <c r="H14" s="88">
        <f>IF(B$20=0,0,G14/B$20)</f>
        <v>4.49438202247191E-2</v>
      </c>
      <c r="I14" s="58">
        <v>1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8</v>
      </c>
      <c r="C15" s="9">
        <f t="shared" si="1"/>
        <v>8.0808080808080815E-2</v>
      </c>
      <c r="E15" s="27" t="s">
        <v>71</v>
      </c>
      <c r="F15" s="24" t="s">
        <v>26</v>
      </c>
      <c r="G15" s="12">
        <v>11</v>
      </c>
      <c r="H15" s="88">
        <f>IF(B$20=0,0,G15/B$20)</f>
        <v>4.1198501872659173E-2</v>
      </c>
      <c r="I15" s="58">
        <v>9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208</v>
      </c>
      <c r="C16" s="10">
        <f>IF(B$3=0,0,B16/B$3)</f>
        <v>0.25060240963855424</v>
      </c>
      <c r="E16" s="27" t="s">
        <v>91</v>
      </c>
      <c r="F16" s="24" t="s">
        <v>46</v>
      </c>
      <c r="G16" s="12">
        <v>8</v>
      </c>
      <c r="H16" s="88">
        <f>IF(B$20=0,0,G16/B$20)</f>
        <v>2.9962546816479401E-2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193</v>
      </c>
      <c r="P16" s="83">
        <f>IF(Q16=0,0,R16/Q16)</f>
        <v>28.9</v>
      </c>
      <c r="Q16" s="77">
        <v>2</v>
      </c>
      <c r="R16" s="68">
        <v>57.8</v>
      </c>
    </row>
    <row r="17" spans="1:18" x14ac:dyDescent="0.4">
      <c r="A17" s="19" t="s">
        <v>118</v>
      </c>
      <c r="B17" s="12">
        <v>175</v>
      </c>
      <c r="C17" s="6">
        <f>IF(B$3=0,0,B17/B$3)</f>
        <v>0.21084337349397592</v>
      </c>
      <c r="E17" s="27" t="s">
        <v>78</v>
      </c>
      <c r="F17" s="24" t="s">
        <v>33</v>
      </c>
      <c r="G17" s="12">
        <v>5</v>
      </c>
      <c r="H17" s="88">
        <f>IF(B$20=0,0,G17/B$20)</f>
        <v>1.8726591760299626E-2</v>
      </c>
      <c r="I17" s="58">
        <v>8</v>
      </c>
      <c r="K17" s="74">
        <v>15</v>
      </c>
      <c r="L17" s="119">
        <v>190.9</v>
      </c>
      <c r="M17" s="117">
        <v>1854.6511469287639</v>
      </c>
      <c r="O17" s="74" t="s">
        <v>216</v>
      </c>
      <c r="P17" s="83">
        <f>IF(Q17=0,0,R17/Q17)</f>
        <v>11.879999999999999</v>
      </c>
      <c r="Q17" s="77">
        <v>10</v>
      </c>
      <c r="R17" s="68">
        <v>118.79999999999998</v>
      </c>
    </row>
    <row r="18" spans="1:18" x14ac:dyDescent="0.4">
      <c r="A18" s="18" t="s">
        <v>123</v>
      </c>
      <c r="B18" s="11">
        <f>B24</f>
        <v>119</v>
      </c>
      <c r="C18" s="5">
        <f>IF(B$16=0,0,B18/B$16)</f>
        <v>0.57211538461538458</v>
      </c>
      <c r="E18" s="27" t="s">
        <v>81</v>
      </c>
      <c r="F18" s="24" t="s">
        <v>36</v>
      </c>
      <c r="G18" s="12">
        <v>5</v>
      </c>
      <c r="H18" s="88">
        <f>IF(B$20=0,0,G18/B$20)</f>
        <v>1.8726591760299626E-2</v>
      </c>
      <c r="I18" s="58">
        <v>11</v>
      </c>
      <c r="K18" s="74">
        <v>16</v>
      </c>
      <c r="L18" s="119">
        <v>164.20000000000002</v>
      </c>
      <c r="M18" s="117">
        <v>1848.4372400471914</v>
      </c>
      <c r="O18" s="74" t="s">
        <v>163</v>
      </c>
      <c r="P18" s="83">
        <f>IF(Q18=0,0,R18/Q18)</f>
        <v>5.2686274509803939</v>
      </c>
      <c r="Q18" s="77">
        <v>51</v>
      </c>
      <c r="R18" s="68">
        <v>268.7000000000001</v>
      </c>
    </row>
    <row r="19" spans="1:18" x14ac:dyDescent="0.4">
      <c r="A19" s="18" t="s">
        <v>124</v>
      </c>
      <c r="B19" s="11">
        <f>B25</f>
        <v>80</v>
      </c>
      <c r="C19" s="5">
        <f>IF(B$17=0,0,B19/B$17)</f>
        <v>0.45714285714285713</v>
      </c>
      <c r="E19" s="27" t="s">
        <v>73</v>
      </c>
      <c r="F19" s="24" t="s">
        <v>28</v>
      </c>
      <c r="G19" s="12">
        <v>3</v>
      </c>
      <c r="H19" s="88">
        <f>IF(B$20=0,0,G19/B$20)</f>
        <v>1.1235955056179775E-2</v>
      </c>
      <c r="I19" s="58">
        <v>3</v>
      </c>
      <c r="K19" s="74">
        <v>17</v>
      </c>
      <c r="L19" s="119">
        <v>164.3</v>
      </c>
      <c r="M19" s="117">
        <v>1846.8986166069083</v>
      </c>
      <c r="O19" s="74" t="s">
        <v>190</v>
      </c>
      <c r="P19" s="83">
        <f>IF(Q19=0,0,R19/Q19)</f>
        <v>2.076000000000001</v>
      </c>
      <c r="Q19" s="77">
        <v>25</v>
      </c>
      <c r="R19" s="68">
        <v>51.90000000000002</v>
      </c>
    </row>
    <row r="20" spans="1:18" x14ac:dyDescent="0.4">
      <c r="A20" s="18" t="s">
        <v>10</v>
      </c>
      <c r="B20" s="11">
        <f>B23+B22</f>
        <v>267</v>
      </c>
      <c r="C20" s="5">
        <f>IF(B$3=0,0,B20/B$3)</f>
        <v>0.3216867469879518</v>
      </c>
      <c r="E20" s="27" t="s">
        <v>79</v>
      </c>
      <c r="F20" s="24" t="s">
        <v>34</v>
      </c>
      <c r="G20" s="12">
        <v>3</v>
      </c>
      <c r="H20" s="88">
        <f>IF(B$20=0,0,G20/B$20)</f>
        <v>1.1235955056179775E-2</v>
      </c>
      <c r="I20" s="58">
        <v>5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1.813513513513513</v>
      </c>
      <c r="Q20" s="77">
        <v>37</v>
      </c>
      <c r="R20" s="68">
        <v>67.09999999999998</v>
      </c>
    </row>
    <row r="21" spans="1:18" x14ac:dyDescent="0.4">
      <c r="A21" s="19" t="s">
        <v>13</v>
      </c>
      <c r="B21" s="12">
        <v>148</v>
      </c>
      <c r="C21" s="6">
        <f>IF(B$3=0,0,B21/B$3)</f>
        <v>0.1783132530120482</v>
      </c>
      <c r="E21" s="27" t="s">
        <v>75</v>
      </c>
      <c r="F21" s="24" t="s">
        <v>30</v>
      </c>
      <c r="G21" s="12">
        <v>1</v>
      </c>
      <c r="H21" s="88">
        <f>IF(B$20=0,0,G21/B$20)</f>
        <v>3.7453183520599251E-3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211</v>
      </c>
      <c r="P21" s="83">
        <f>IF(Q21=0,0,R21/Q21)</f>
        <v>1.7208333333333332</v>
      </c>
      <c r="Q21" s="77">
        <v>24</v>
      </c>
      <c r="R21" s="68">
        <v>41.3</v>
      </c>
    </row>
    <row r="22" spans="1:18" x14ac:dyDescent="0.4">
      <c r="A22" s="19" t="s">
        <v>12</v>
      </c>
      <c r="B22" s="12">
        <v>130</v>
      </c>
      <c r="C22" s="6">
        <f>IF(B$20=0,0,B22/B$20)</f>
        <v>0.48689138576779029</v>
      </c>
      <c r="E22" s="27" t="s">
        <v>80</v>
      </c>
      <c r="F22" s="24" t="s">
        <v>35</v>
      </c>
      <c r="G22" s="12">
        <v>1</v>
      </c>
      <c r="H22" s="88">
        <f>IF(B$20=0,0,G22/B$20)</f>
        <v>3.7453183520599251E-3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-4.1500000000000004</v>
      </c>
      <c r="Q22" s="77">
        <v>40</v>
      </c>
      <c r="R22" s="68">
        <v>-166.00000000000003</v>
      </c>
    </row>
    <row r="23" spans="1:18" x14ac:dyDescent="0.4">
      <c r="A23" s="19" t="s">
        <v>11</v>
      </c>
      <c r="B23" s="12">
        <v>137</v>
      </c>
      <c r="C23" s="6">
        <f>IF(B$20=0,0,B23/B$20)</f>
        <v>0.51310861423220977</v>
      </c>
      <c r="E23" s="27" t="s">
        <v>84</v>
      </c>
      <c r="F23" s="24" t="s">
        <v>39</v>
      </c>
      <c r="G23" s="12">
        <v>1</v>
      </c>
      <c r="H23" s="88">
        <f>IF(B$20=0,0,G23/B$20)</f>
        <v>3.7453183520599251E-3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195</v>
      </c>
      <c r="P23" s="83">
        <f>IF(Q23=0,0,R23/Q23)</f>
        <v>-4.8999999999999986</v>
      </c>
      <c r="Q23" s="77">
        <v>7</v>
      </c>
      <c r="R23" s="68">
        <v>-34.29999999999999</v>
      </c>
    </row>
    <row r="24" spans="1:18" x14ac:dyDescent="0.4">
      <c r="A24" s="19" t="s">
        <v>183</v>
      </c>
      <c r="B24" s="12">
        <v>119</v>
      </c>
      <c r="C24" s="6">
        <f>IF(B$20=0,0,B24/B$20)</f>
        <v>0.44569288389513106</v>
      </c>
      <c r="E24" s="27" t="s">
        <v>85</v>
      </c>
      <c r="F24" s="24" t="s">
        <v>40</v>
      </c>
      <c r="G24" s="12">
        <v>1</v>
      </c>
      <c r="H24" s="88">
        <f>IF(B$20=0,0,G24/B$20)</f>
        <v>3.7453183520599251E-3</v>
      </c>
      <c r="I24" s="58">
        <v>3</v>
      </c>
      <c r="K24" s="74">
        <v>22</v>
      </c>
      <c r="L24" s="119">
        <v>106.3</v>
      </c>
      <c r="M24" s="117">
        <v>1829.4799049660398</v>
      </c>
    </row>
    <row r="25" spans="1:18" x14ac:dyDescent="0.4">
      <c r="A25" s="19" t="s">
        <v>181</v>
      </c>
      <c r="B25" s="12">
        <v>80</v>
      </c>
      <c r="C25" s="6">
        <f>IF(B$20=0,0,B25/B$20)</f>
        <v>0.29962546816479402</v>
      </c>
      <c r="E25" s="27" t="s">
        <v>88</v>
      </c>
      <c r="F25" s="24" t="s">
        <v>43</v>
      </c>
      <c r="G25" s="12">
        <v>1</v>
      </c>
      <c r="H25" s="88">
        <f>IF(B$20=0,0,G25/B$20)</f>
        <v>3.7453183520599251E-3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68</v>
      </c>
      <c r="C26" s="6">
        <f>IF(B$20=0,0,B26/B$20)</f>
        <v>0.25468164794007492</v>
      </c>
      <c r="E26" s="27" t="s">
        <v>90</v>
      </c>
      <c r="F26" s="24" t="s">
        <v>45</v>
      </c>
      <c r="G26" s="12">
        <v>1</v>
      </c>
      <c r="H26" s="88">
        <f>IF(B$20=0,0,G26/B$20)</f>
        <v>3.7453183520599251E-3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8264.0449438202249</v>
      </c>
      <c r="C27" s="8">
        <v>2206500</v>
      </c>
      <c r="E27" s="27" t="s">
        <v>92</v>
      </c>
      <c r="F27" s="24" t="s">
        <v>47</v>
      </c>
      <c r="G27" s="12">
        <v>1</v>
      </c>
      <c r="H27" s="88">
        <f>IF(B$20=0,0,G27/B$20)</f>
        <v>3.7453183520599251E-3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8605.3475935828883</v>
      </c>
      <c r="C28" s="96">
        <v>1609200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7466.25</v>
      </c>
      <c r="C29" s="96">
        <v>597300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-7281.7567567567567</v>
      </c>
      <c r="C30" s="96">
        <v>-1077700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4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2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1">
        <v>6</v>
      </c>
      <c r="C33" s="132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3">
        <v>103000</v>
      </c>
      <c r="C34" s="134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1.2048192771084338E-3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15</v>
      </c>
      <c r="C37" s="98">
        <f t="shared" ref="C37:C49" si="2">IF(B$20=0,0,B37/B$20)</f>
        <v>5.6179775280898875E-2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51</v>
      </c>
      <c r="C38" s="6">
        <f t="shared" si="2"/>
        <v>0.19101123595505617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56</v>
      </c>
      <c r="C39" s="6">
        <f t="shared" si="2"/>
        <v>0.20973782771535582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48</v>
      </c>
      <c r="C40" s="6">
        <f t="shared" si="2"/>
        <v>0.1797752808988764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41</v>
      </c>
      <c r="C41" s="6">
        <f t="shared" si="2"/>
        <v>0.15355805243445692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32</v>
      </c>
      <c r="C42" s="6">
        <f t="shared" si="2"/>
        <v>0.1198501872659176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9</v>
      </c>
      <c r="C43" s="6">
        <f t="shared" si="2"/>
        <v>3.3707865168539325E-2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5</v>
      </c>
      <c r="C44" s="6">
        <f t="shared" si="2"/>
        <v>1.8726591760299626E-2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1.8726591760299626E-2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7.4906367041198503E-3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3.7453183520599251E-3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3.7453183520599251E-3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3.7453183520599251E-3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6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163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63</v>
      </c>
      <c r="C2" s="138"/>
      <c r="E2" s="26" t="s">
        <v>66</v>
      </c>
      <c r="F2" s="23" t="s">
        <v>22</v>
      </c>
      <c r="G2" s="11">
        <v>141</v>
      </c>
      <c r="H2" s="87">
        <f>IF(B$20=0,0,G2/B$20)</f>
        <v>0.95270270270270274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1300</v>
      </c>
      <c r="Q2" s="76">
        <v>63</v>
      </c>
      <c r="R2" s="63">
        <v>81900</v>
      </c>
    </row>
    <row r="3" spans="1:18" x14ac:dyDescent="0.4">
      <c r="A3" s="19" t="s">
        <v>8</v>
      </c>
      <c r="B3" s="139">
        <v>556</v>
      </c>
      <c r="C3" s="140"/>
      <c r="E3" s="27" t="s">
        <v>72</v>
      </c>
      <c r="F3" s="24" t="s">
        <v>27</v>
      </c>
      <c r="G3" s="12">
        <v>96</v>
      </c>
      <c r="H3" s="88">
        <f>IF(B$20=0,0,G3/B$20)</f>
        <v>0.64864864864864868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270.49180327868851</v>
      </c>
      <c r="Q3" s="77">
        <v>61</v>
      </c>
      <c r="R3" s="64">
        <v>16500</v>
      </c>
    </row>
    <row r="4" spans="1:18" x14ac:dyDescent="0.4">
      <c r="A4" s="19" t="s">
        <v>6</v>
      </c>
      <c r="B4" s="141">
        <v>-129</v>
      </c>
      <c r="C4" s="142"/>
      <c r="E4" s="27" t="s">
        <v>64</v>
      </c>
      <c r="F4" s="24" t="s">
        <v>20</v>
      </c>
      <c r="G4" s="12">
        <v>68</v>
      </c>
      <c r="H4" s="88">
        <f>IF(B$20=0,0,G4/B$20)</f>
        <v>0.45945945945945948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-229.50819672131146</v>
      </c>
      <c r="Q4" s="77">
        <v>61</v>
      </c>
      <c r="R4" s="64">
        <v>-14000</v>
      </c>
    </row>
    <row r="5" spans="1:18" x14ac:dyDescent="0.4">
      <c r="A5" s="19" t="s">
        <v>7</v>
      </c>
      <c r="B5" s="129">
        <f>IF(B$2=0,0,B$4/B$2)</f>
        <v>-2.0476190476190474</v>
      </c>
      <c r="C5" s="130"/>
      <c r="E5" s="27" t="s">
        <v>159</v>
      </c>
      <c r="F5" s="24" t="s">
        <v>160</v>
      </c>
      <c r="G5" s="12">
        <v>59</v>
      </c>
      <c r="H5" s="88">
        <f>IF(B$20=0,0,G5/B$20)</f>
        <v>0.39864864864864863</v>
      </c>
      <c r="I5" s="58">
        <v>7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-796.61016949152543</v>
      </c>
      <c r="Q5" s="77">
        <v>59</v>
      </c>
      <c r="R5" s="64">
        <v>-47000</v>
      </c>
    </row>
    <row r="6" spans="1:18" x14ac:dyDescent="0.4">
      <c r="A6" s="19" t="s">
        <v>196</v>
      </c>
      <c r="B6" s="133">
        <v>1625.5494430892031</v>
      </c>
      <c r="C6" s="134"/>
      <c r="E6" s="27" t="s">
        <v>68</v>
      </c>
      <c r="F6" s="24" t="s">
        <v>12</v>
      </c>
      <c r="G6" s="12">
        <v>54</v>
      </c>
      <c r="H6" s="88">
        <f>IF(B$20=0,0,G6/B$20)</f>
        <v>0.36486486486486486</v>
      </c>
      <c r="I6" s="58">
        <v>4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-496.2962962962963</v>
      </c>
      <c r="Q6" s="77">
        <v>54</v>
      </c>
      <c r="R6" s="64">
        <v>-26800</v>
      </c>
    </row>
    <row r="7" spans="1:18" x14ac:dyDescent="0.4">
      <c r="A7" s="19" t="s">
        <v>1</v>
      </c>
      <c r="B7" s="143">
        <f>IF(B$2=0,0,(B$8*1+B$9*2+B$10*3)/B$2)</f>
        <v>2.0476190476190474</v>
      </c>
      <c r="C7" s="144"/>
      <c r="E7" s="27" t="s">
        <v>67</v>
      </c>
      <c r="F7" s="24" t="s">
        <v>23</v>
      </c>
      <c r="G7" s="12">
        <v>38</v>
      </c>
      <c r="H7" s="88">
        <f>IF(B$20=0,0,G7/B$20)</f>
        <v>0.25675675675675674</v>
      </c>
      <c r="I7" s="58">
        <v>3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348.88888888888891</v>
      </c>
      <c r="Q7" s="78">
        <v>45</v>
      </c>
      <c r="R7" s="65">
        <v>15700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0.30158730158730157</v>
      </c>
      <c r="E8" s="27" t="s">
        <v>89</v>
      </c>
      <c r="F8" s="24" t="s">
        <v>44</v>
      </c>
      <c r="G8" s="12">
        <v>25</v>
      </c>
      <c r="H8" s="88">
        <f>IF(B$20=0,0,G8/B$20)</f>
        <v>0.16891891891891891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22</v>
      </c>
      <c r="C9" s="6">
        <f t="shared" si="1"/>
        <v>0.34920634920634919</v>
      </c>
      <c r="E9" s="27" t="s">
        <v>65</v>
      </c>
      <c r="F9" s="24" t="s">
        <v>21</v>
      </c>
      <c r="G9" s="12">
        <v>18</v>
      </c>
      <c r="H9" s="88">
        <f>IF(B$20=0,0,G9/B$20)</f>
        <v>0.12162162162162163</v>
      </c>
      <c r="I9" s="58">
        <v>4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22</v>
      </c>
      <c r="C10" s="7">
        <f t="shared" si="1"/>
        <v>0.34920634920634919</v>
      </c>
      <c r="E10" s="27" t="s">
        <v>69</v>
      </c>
      <c r="F10" s="24" t="s">
        <v>24</v>
      </c>
      <c r="G10" s="12">
        <v>17</v>
      </c>
      <c r="H10" s="88">
        <f>IF(B$20=0,0,G10/B$20)</f>
        <v>0.11486486486486487</v>
      </c>
      <c r="I10" s="58">
        <v>6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-1.5499999999999998</v>
      </c>
      <c r="Q10" s="76">
        <v>26</v>
      </c>
      <c r="R10" s="67">
        <v>-40.299999999999997</v>
      </c>
    </row>
    <row r="11" spans="1:18" x14ac:dyDescent="0.4">
      <c r="A11" s="20" t="s">
        <v>184</v>
      </c>
      <c r="B11" s="109">
        <f>IF(B8=0,0,C11/B8)</f>
        <v>34.51052631578947</v>
      </c>
      <c r="C11" s="110">
        <v>655.69999999999993</v>
      </c>
      <c r="E11" s="27" t="s">
        <v>70</v>
      </c>
      <c r="F11" s="24" t="s">
        <v>25</v>
      </c>
      <c r="G11" s="12">
        <v>12</v>
      </c>
      <c r="H11" s="88">
        <f>IF(B$20=0,0,G11/B$20)</f>
        <v>8.1081081081081086E-2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-1.1944444444444455</v>
      </c>
      <c r="Q11" s="77">
        <v>18</v>
      </c>
      <c r="R11" s="68">
        <v>-21.500000000000021</v>
      </c>
    </row>
    <row r="12" spans="1:18" x14ac:dyDescent="0.4">
      <c r="A12" s="20" t="s">
        <v>185</v>
      </c>
      <c r="B12" s="109">
        <f>IF(B9=0,0,C12/B9)</f>
        <v>2</v>
      </c>
      <c r="C12" s="110">
        <v>44</v>
      </c>
      <c r="E12" s="27" t="s">
        <v>71</v>
      </c>
      <c r="F12" s="24" t="s">
        <v>26</v>
      </c>
      <c r="G12" s="12">
        <v>9</v>
      </c>
      <c r="H12" s="88">
        <f>IF(B$20=0,0,G12/B$20)</f>
        <v>6.0810810810810814E-2</v>
      </c>
      <c r="I12" s="58">
        <v>6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-3.5368421052631582</v>
      </c>
      <c r="Q12" s="78">
        <v>19</v>
      </c>
      <c r="R12" s="69">
        <v>-67.2</v>
      </c>
    </row>
    <row r="13" spans="1:18" x14ac:dyDescent="0.4">
      <c r="A13" s="20" t="s">
        <v>186</v>
      </c>
      <c r="B13" s="109">
        <f>IF(B10=0,0,C13/B10)</f>
        <v>-37.668181818181829</v>
      </c>
      <c r="C13" s="110">
        <v>-828.70000000000016</v>
      </c>
      <c r="E13" s="27" t="s">
        <v>86</v>
      </c>
      <c r="F13" s="24" t="s">
        <v>41</v>
      </c>
      <c r="G13" s="12">
        <v>9</v>
      </c>
      <c r="H13" s="88">
        <f>IF(B$20=0,0,G13/B$20)</f>
        <v>6.0810810810810814E-2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-0.38588516746411966</v>
      </c>
      <c r="C14" s="130"/>
      <c r="E14" s="27" t="s">
        <v>83</v>
      </c>
      <c r="F14" s="24" t="s">
        <v>38</v>
      </c>
      <c r="G14" s="12">
        <v>6</v>
      </c>
      <c r="H14" s="88">
        <f>IF(B$20=0,0,G14/B$20)</f>
        <v>4.0540540540540543E-2</v>
      </c>
      <c r="I14" s="58">
        <v>8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8</v>
      </c>
      <c r="C15" s="9">
        <f t="shared" si="1"/>
        <v>0.12698412698412698</v>
      </c>
      <c r="E15" s="27" t="s">
        <v>81</v>
      </c>
      <c r="F15" s="24" t="s">
        <v>36</v>
      </c>
      <c r="G15" s="12">
        <v>5</v>
      </c>
      <c r="H15" s="88">
        <f>IF(B$20=0,0,G15/B$20)</f>
        <v>3.3783783783783786E-2</v>
      </c>
      <c r="I15" s="58">
        <v>6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157</v>
      </c>
      <c r="C16" s="10">
        <f>IF(B$3=0,0,B16/B$3)</f>
        <v>0.28237410071942448</v>
      </c>
      <c r="E16" s="27" t="s">
        <v>155</v>
      </c>
      <c r="F16" s="24" t="s">
        <v>156</v>
      </c>
      <c r="G16" s="12">
        <v>5</v>
      </c>
      <c r="H16" s="88">
        <f>IF(B$20=0,0,G16/B$20)</f>
        <v>3.3783783783783786E-2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193</v>
      </c>
      <c r="P16" s="83">
        <f>IF(Q16=0,0,R16/Q16)</f>
        <v>18.3</v>
      </c>
      <c r="Q16" s="77">
        <v>2</v>
      </c>
      <c r="R16" s="68">
        <v>36.6</v>
      </c>
    </row>
    <row r="17" spans="1:18" x14ac:dyDescent="0.4">
      <c r="A17" s="19" t="s">
        <v>118</v>
      </c>
      <c r="B17" s="12">
        <v>121</v>
      </c>
      <c r="C17" s="6">
        <f>IF(B$3=0,0,B17/B$3)</f>
        <v>0.21762589928057555</v>
      </c>
      <c r="E17" s="27" t="s">
        <v>78</v>
      </c>
      <c r="F17" s="24" t="s">
        <v>33</v>
      </c>
      <c r="G17" s="12">
        <v>4</v>
      </c>
      <c r="H17" s="88">
        <f>IF(B$20=0,0,G17/B$20)</f>
        <v>2.7027027027027029E-2</v>
      </c>
      <c r="I17" s="58">
        <v>6</v>
      </c>
      <c r="K17" s="74">
        <v>15</v>
      </c>
      <c r="L17" s="119">
        <v>-165.10000000000002</v>
      </c>
      <c r="M17" s="117">
        <v>1623.3138180201299</v>
      </c>
      <c r="O17" s="74" t="s">
        <v>189</v>
      </c>
      <c r="P17" s="83">
        <f>IF(Q17=0,0,R17/Q17)</f>
        <v>7.9</v>
      </c>
      <c r="Q17" s="77">
        <v>16</v>
      </c>
      <c r="R17" s="68">
        <v>126.4</v>
      </c>
    </row>
    <row r="18" spans="1:18" x14ac:dyDescent="0.4">
      <c r="A18" s="18" t="s">
        <v>123</v>
      </c>
      <c r="B18" s="11">
        <f>B24</f>
        <v>73</v>
      </c>
      <c r="C18" s="5">
        <f>IF(B$16=0,0,B18/B$16)</f>
        <v>0.46496815286624205</v>
      </c>
      <c r="E18" s="27" t="s">
        <v>73</v>
      </c>
      <c r="F18" s="24" t="s">
        <v>28</v>
      </c>
      <c r="G18" s="12">
        <v>3</v>
      </c>
      <c r="H18" s="88">
        <f>IF(B$20=0,0,G18/B$20)</f>
        <v>2.0270270270270271E-2</v>
      </c>
      <c r="I18" s="58">
        <v>1</v>
      </c>
      <c r="K18" s="74">
        <v>16</v>
      </c>
      <c r="L18" s="119">
        <v>-95.40000000000002</v>
      </c>
      <c r="M18" s="117">
        <v>1635.5699351120093</v>
      </c>
      <c r="O18" s="74" t="s">
        <v>259</v>
      </c>
      <c r="P18" s="83">
        <f>IF(Q18=0,0,R18/Q18)</f>
        <v>1.8999999999999977</v>
      </c>
      <c r="Q18" s="77">
        <v>3</v>
      </c>
      <c r="R18" s="68">
        <v>5.6999999999999931</v>
      </c>
    </row>
    <row r="19" spans="1:18" x14ac:dyDescent="0.4">
      <c r="A19" s="18" t="s">
        <v>124</v>
      </c>
      <c r="B19" s="11">
        <f>B25</f>
        <v>42</v>
      </c>
      <c r="C19" s="5">
        <f>IF(B$17=0,0,B19/B$17)</f>
        <v>0.34710743801652894</v>
      </c>
      <c r="E19" s="27" t="s">
        <v>77</v>
      </c>
      <c r="F19" s="24" t="s">
        <v>32</v>
      </c>
      <c r="G19" s="12">
        <v>1</v>
      </c>
      <c r="H19" s="88">
        <f>IF(B$20=0,0,G19/B$20)</f>
        <v>6.7567567567567571E-3</v>
      </c>
      <c r="I19" s="58">
        <v>2</v>
      </c>
      <c r="K19" s="74">
        <v>17</v>
      </c>
      <c r="L19" s="119">
        <v>-91.000000000000014</v>
      </c>
      <c r="M19" s="117">
        <v>1635.9985155013371</v>
      </c>
      <c r="O19" s="74" t="s">
        <v>126</v>
      </c>
      <c r="P19" s="83">
        <f>IF(Q19=0,0,R19/Q19)</f>
        <v>-5.268627450980393</v>
      </c>
      <c r="Q19" s="77">
        <v>51</v>
      </c>
      <c r="R19" s="68">
        <v>-268.70000000000005</v>
      </c>
    </row>
    <row r="20" spans="1:18" x14ac:dyDescent="0.4">
      <c r="A20" s="18" t="s">
        <v>10</v>
      </c>
      <c r="B20" s="11">
        <f>B23+B22</f>
        <v>148</v>
      </c>
      <c r="C20" s="5">
        <f>IF(B$3=0,0,B20/B$3)</f>
        <v>0.26618705035971224</v>
      </c>
      <c r="E20" s="27" t="s">
        <v>79</v>
      </c>
      <c r="F20" s="24" t="s">
        <v>34</v>
      </c>
      <c r="G20" s="12">
        <v>1</v>
      </c>
      <c r="H20" s="88">
        <f>IF(B$20=0,0,G20/B$20)</f>
        <v>6.7567567567567571E-3</v>
      </c>
      <c r="I20" s="58">
        <v>6</v>
      </c>
      <c r="K20" s="74">
        <v>18</v>
      </c>
      <c r="L20" s="119">
        <v>-91.000000000000014</v>
      </c>
      <c r="M20" s="117">
        <v>1635.974524408329</v>
      </c>
      <c r="O20" s="74" t="s">
        <v>190</v>
      </c>
      <c r="P20" s="83">
        <f>IF(Q20=0,0,R20/Q20)</f>
        <v>-6.8749999999999991</v>
      </c>
      <c r="Q20" s="77">
        <v>12</v>
      </c>
      <c r="R20" s="68">
        <v>-82.499999999999986</v>
      </c>
    </row>
    <row r="21" spans="1:18" x14ac:dyDescent="0.4">
      <c r="A21" s="19" t="s">
        <v>13</v>
      </c>
      <c r="B21" s="12">
        <v>105</v>
      </c>
      <c r="C21" s="6">
        <f>IF(B$3=0,0,B21/B$3)</f>
        <v>0.18884892086330934</v>
      </c>
      <c r="E21" s="27" t="s">
        <v>85</v>
      </c>
      <c r="F21" s="24" t="s">
        <v>40</v>
      </c>
      <c r="G21" s="12">
        <v>1</v>
      </c>
      <c r="H21" s="88">
        <f>IF(B$20=0,0,G21/B$20)</f>
        <v>6.7567567567567571E-3</v>
      </c>
      <c r="I21" s="58">
        <v>2</v>
      </c>
      <c r="K21" s="74">
        <v>19</v>
      </c>
      <c r="L21" s="119">
        <v>-143.4</v>
      </c>
      <c r="M21" s="117">
        <v>1626.518677261879</v>
      </c>
      <c r="O21" s="74" t="s">
        <v>192</v>
      </c>
      <c r="P21" s="83">
        <f>IF(Q21=0,0,R21/Q21)</f>
        <v>-11.021428571428572</v>
      </c>
      <c r="Q21" s="77">
        <v>14</v>
      </c>
      <c r="R21" s="68">
        <v>-154.30000000000001</v>
      </c>
    </row>
    <row r="22" spans="1:18" x14ac:dyDescent="0.4">
      <c r="A22" s="19" t="s">
        <v>12</v>
      </c>
      <c r="B22" s="12">
        <v>70</v>
      </c>
      <c r="C22" s="6">
        <f>IF(B$20=0,0,B22/B$20)</f>
        <v>0.47297297297297297</v>
      </c>
      <c r="E22" s="27" t="s">
        <v>88</v>
      </c>
      <c r="F22" s="24" t="s">
        <v>43</v>
      </c>
      <c r="G22" s="12">
        <v>1</v>
      </c>
      <c r="H22" s="88">
        <f>IF(B$20=0,0,G22/B$20)</f>
        <v>6.7567567567567571E-3</v>
      </c>
      <c r="I22" s="58">
        <v>3</v>
      </c>
      <c r="K22" s="74">
        <v>20</v>
      </c>
      <c r="L22" s="119">
        <v>-101.2</v>
      </c>
      <c r="M22" s="117">
        <v>1634.1175651983078</v>
      </c>
      <c r="O22" s="74" t="s">
        <v>211</v>
      </c>
      <c r="P22" s="83">
        <f>IF(Q22=0,0,R22/Q22)</f>
        <v>-11.568421052631582</v>
      </c>
      <c r="Q22" s="77">
        <v>19</v>
      </c>
      <c r="R22" s="68">
        <v>-219.80000000000004</v>
      </c>
    </row>
    <row r="23" spans="1:18" x14ac:dyDescent="0.4">
      <c r="A23" s="19" t="s">
        <v>11</v>
      </c>
      <c r="B23" s="12">
        <v>78</v>
      </c>
      <c r="C23" s="6">
        <f>IF(B$20=0,0,B23/B$20)</f>
        <v>0.52702702702702697</v>
      </c>
      <c r="E23" s="27" t="s">
        <v>91</v>
      </c>
      <c r="F23" s="24" t="s">
        <v>46</v>
      </c>
      <c r="G23" s="12">
        <v>1</v>
      </c>
      <c r="H23" s="88">
        <f>IF(B$20=0,0,G23/B$20)</f>
        <v>6.7567567567567571E-3</v>
      </c>
      <c r="I23" s="58">
        <v>6</v>
      </c>
      <c r="K23" s="74">
        <v>21</v>
      </c>
      <c r="L23" s="119">
        <v>-99.3</v>
      </c>
      <c r="M23" s="117">
        <v>1634.416859807118</v>
      </c>
      <c r="O23" s="74" t="s">
        <v>195</v>
      </c>
      <c r="P23" s="83">
        <f>IF(Q23=0,0,R23/Q23)</f>
        <v>-39.85</v>
      </c>
      <c r="Q23" s="77">
        <v>2</v>
      </c>
      <c r="R23" s="68">
        <v>-79.7</v>
      </c>
    </row>
    <row r="24" spans="1:18" x14ac:dyDescent="0.4">
      <c r="A24" s="19" t="s">
        <v>183</v>
      </c>
      <c r="B24" s="12">
        <v>73</v>
      </c>
      <c r="C24" s="6">
        <f>IF(B$20=0,0,B24/B$20)</f>
        <v>0.49324324324324326</v>
      </c>
      <c r="E24" s="27" t="s">
        <v>92</v>
      </c>
      <c r="F24" s="24" t="s">
        <v>47</v>
      </c>
      <c r="G24" s="12">
        <v>1</v>
      </c>
      <c r="H24" s="88">
        <f>IF(B$20=0,0,G24/B$20)</f>
        <v>6.7567567567567571E-3</v>
      </c>
      <c r="I24" s="58">
        <v>2</v>
      </c>
      <c r="K24" s="74">
        <v>22</v>
      </c>
      <c r="L24" s="119">
        <v>-95.2</v>
      </c>
      <c r="M24" s="117">
        <v>1635.1103586482752</v>
      </c>
    </row>
    <row r="25" spans="1:18" x14ac:dyDescent="0.4">
      <c r="A25" s="19" t="s">
        <v>181</v>
      </c>
      <c r="B25" s="12">
        <v>42</v>
      </c>
      <c r="C25" s="6">
        <f>IF(B$20=0,0,B25/B$20)</f>
        <v>0.28378378378378377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33</v>
      </c>
      <c r="C26" s="6">
        <f>IF(B$20=0,0,B26/B$20)</f>
        <v>0.22297297297297297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9338.5135135135133</v>
      </c>
      <c r="C27" s="8">
        <v>1382100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9964.1509433962256</v>
      </c>
      <c r="C28" s="96">
        <v>1056200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7759.5238095238092</v>
      </c>
      <c r="C29" s="96">
        <v>325900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-7932.3809523809523</v>
      </c>
      <c r="C30" s="96">
        <v>-832900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1">
        <v>7</v>
      </c>
      <c r="C33" s="132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3">
        <v>94700</v>
      </c>
      <c r="C34" s="134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1.7985611510791368E-3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9</v>
      </c>
      <c r="C37" s="98">
        <f t="shared" ref="C37:C49" si="2">IF(B$20=0,0,B37/B$20)</f>
        <v>6.0810810810810814E-2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11</v>
      </c>
      <c r="C38" s="6">
        <f t="shared" si="2"/>
        <v>7.4324324324324328E-2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30</v>
      </c>
      <c r="C39" s="6">
        <f t="shared" si="2"/>
        <v>0.20270270270270271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32</v>
      </c>
      <c r="C40" s="6">
        <f t="shared" si="2"/>
        <v>0.21621621621621623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31</v>
      </c>
      <c r="C41" s="6">
        <f t="shared" si="2"/>
        <v>0.20945945945945946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16</v>
      </c>
      <c r="C42" s="6">
        <f t="shared" si="2"/>
        <v>0.10810810810810811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7</v>
      </c>
      <c r="C43" s="6">
        <f t="shared" si="2"/>
        <v>4.72972972972973E-2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6</v>
      </c>
      <c r="C44" s="6">
        <f t="shared" si="2"/>
        <v>4.0540540540540543E-2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3</v>
      </c>
      <c r="C45" s="6">
        <f t="shared" si="2"/>
        <v>2.0270270270270271E-2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1</v>
      </c>
      <c r="C46" s="6">
        <f t="shared" si="2"/>
        <v>6.7567567567567571E-3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2"/>
        <v>1.3513513513513514E-2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189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43</v>
      </c>
      <c r="C2" s="138"/>
      <c r="E2" s="26" t="s">
        <v>72</v>
      </c>
      <c r="F2" s="23" t="s">
        <v>27</v>
      </c>
      <c r="G2" s="11">
        <v>78</v>
      </c>
      <c r="H2" s="87">
        <f>IF(B$20=0,0,G2/B$20)</f>
        <v>0.70909090909090911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-548.83720930232562</v>
      </c>
      <c r="Q2" s="76">
        <v>43</v>
      </c>
      <c r="R2" s="63">
        <v>-23600</v>
      </c>
    </row>
    <row r="3" spans="1:18" x14ac:dyDescent="0.4">
      <c r="A3" s="19" t="s">
        <v>8</v>
      </c>
      <c r="B3" s="139">
        <v>383</v>
      </c>
      <c r="C3" s="140"/>
      <c r="E3" s="27" t="s">
        <v>66</v>
      </c>
      <c r="F3" s="24" t="s">
        <v>22</v>
      </c>
      <c r="G3" s="12">
        <v>69</v>
      </c>
      <c r="H3" s="88">
        <f>IF(B$20=0,0,G3/B$20)</f>
        <v>0.62727272727272732</v>
      </c>
      <c r="I3" s="58">
        <v>11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-927.90697674418607</v>
      </c>
      <c r="Q3" s="77">
        <v>43</v>
      </c>
      <c r="R3" s="64">
        <v>-39900</v>
      </c>
    </row>
    <row r="4" spans="1:18" x14ac:dyDescent="0.4">
      <c r="A4" s="19" t="s">
        <v>6</v>
      </c>
      <c r="B4" s="141">
        <v>-110.1</v>
      </c>
      <c r="C4" s="142"/>
      <c r="E4" s="27" t="s">
        <v>64</v>
      </c>
      <c r="F4" s="24" t="s">
        <v>20</v>
      </c>
      <c r="G4" s="12">
        <v>43</v>
      </c>
      <c r="H4" s="88">
        <f>IF(B$20=0,0,G4/B$20)</f>
        <v>0.39090909090909093</v>
      </c>
      <c r="I4" s="58">
        <v>9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314.28571428571428</v>
      </c>
      <c r="Q4" s="77">
        <v>42</v>
      </c>
      <c r="R4" s="64">
        <v>13200</v>
      </c>
    </row>
    <row r="5" spans="1:18" x14ac:dyDescent="0.4">
      <c r="A5" s="19" t="s">
        <v>7</v>
      </c>
      <c r="B5" s="129">
        <f>IF(B$2=0,0,B$4/B$2)</f>
        <v>-2.5604651162790697</v>
      </c>
      <c r="C5" s="130"/>
      <c r="E5" s="27" t="s">
        <v>159</v>
      </c>
      <c r="F5" s="24" t="s">
        <v>160</v>
      </c>
      <c r="G5" s="12">
        <v>38</v>
      </c>
      <c r="H5" s="88">
        <f>IF(B$20=0,0,G5/B$20)</f>
        <v>0.34545454545454546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-764.28571428571433</v>
      </c>
      <c r="Q5" s="77">
        <v>42</v>
      </c>
      <c r="R5" s="64">
        <v>-32100</v>
      </c>
    </row>
    <row r="6" spans="1:18" x14ac:dyDescent="0.4">
      <c r="A6" s="19" t="s">
        <v>196</v>
      </c>
      <c r="B6" s="133">
        <v>1448.7493412538377</v>
      </c>
      <c r="C6" s="134"/>
      <c r="E6" s="27" t="s">
        <v>68</v>
      </c>
      <c r="F6" s="24" t="s">
        <v>12</v>
      </c>
      <c r="G6" s="12">
        <v>29</v>
      </c>
      <c r="H6" s="88">
        <f>IF(B$20=0,0,G6/B$20)</f>
        <v>0.26363636363636361</v>
      </c>
      <c r="I6" s="58">
        <v>8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-1129.2682926829268</v>
      </c>
      <c r="Q6" s="77">
        <v>41</v>
      </c>
      <c r="R6" s="64">
        <v>-46300</v>
      </c>
    </row>
    <row r="7" spans="1:18" x14ac:dyDescent="0.4">
      <c r="A7" s="19" t="s">
        <v>1</v>
      </c>
      <c r="B7" s="143">
        <f>IF(B$2=0,0,(B$8*1+B$9*2+B$10*3)/B$2)</f>
        <v>2.0465116279069768</v>
      </c>
      <c r="C7" s="144"/>
      <c r="E7" s="27" t="s">
        <v>67</v>
      </c>
      <c r="F7" s="24" t="s">
        <v>23</v>
      </c>
      <c r="G7" s="12">
        <v>28</v>
      </c>
      <c r="H7" s="88">
        <f>IF(B$20=0,0,G7/B$20)</f>
        <v>0.25454545454545452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-414.70588235294116</v>
      </c>
      <c r="Q7" s="78">
        <v>34</v>
      </c>
      <c r="R7" s="65">
        <v>-14100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0.34883720930232559</v>
      </c>
      <c r="E8" s="27" t="s">
        <v>70</v>
      </c>
      <c r="F8" s="24" t="s">
        <v>25</v>
      </c>
      <c r="G8" s="12">
        <v>11</v>
      </c>
      <c r="H8" s="88">
        <f>IF(B$20=0,0,G8/B$20)</f>
        <v>0.1</v>
      </c>
      <c r="I8" s="58">
        <v>5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0.2558139534883721</v>
      </c>
      <c r="E9" s="27" t="s">
        <v>89</v>
      </c>
      <c r="F9" s="24" t="s">
        <v>44</v>
      </c>
      <c r="G9" s="12">
        <v>11</v>
      </c>
      <c r="H9" s="88">
        <f>IF(B$20=0,0,G9/B$20)</f>
        <v>0.1</v>
      </c>
      <c r="I9" s="58">
        <v>10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17</v>
      </c>
      <c r="C10" s="7">
        <f t="shared" si="1"/>
        <v>0.39534883720930231</v>
      </c>
      <c r="E10" s="27" t="s">
        <v>65</v>
      </c>
      <c r="F10" s="24" t="s">
        <v>21</v>
      </c>
      <c r="G10" s="12">
        <v>9</v>
      </c>
      <c r="H10" s="88">
        <f>IF(B$20=0,0,G10/B$20)</f>
        <v>8.1818181818181818E-2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9</v>
      </c>
      <c r="H11" s="88">
        <f>IF(B$20=0,0,G11/B$20)</f>
        <v>8.1818181818181818E-2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-6.2600000000000007</v>
      </c>
      <c r="Q11" s="77">
        <v>15</v>
      </c>
      <c r="R11" s="68">
        <v>-93.9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7</v>
      </c>
      <c r="H12" s="88">
        <f>IF(B$20=0,0,G12/B$20)</f>
        <v>6.363636363636363E-2</v>
      </c>
      <c r="I12" s="58">
        <v>3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-4.382352941176471</v>
      </c>
      <c r="Q12" s="78">
        <v>17</v>
      </c>
      <c r="R12" s="69">
        <v>-74.500000000000014</v>
      </c>
    </row>
    <row r="13" spans="1:18" x14ac:dyDescent="0.4">
      <c r="A13" s="20" t="s">
        <v>186</v>
      </c>
      <c r="B13" s="109">
        <f>IF(B10=0,0,C13/B10)</f>
        <v>-35.258823529411764</v>
      </c>
      <c r="C13" s="110">
        <v>-599.4</v>
      </c>
      <c r="E13" s="27" t="s">
        <v>71</v>
      </c>
      <c r="F13" s="24" t="s">
        <v>26</v>
      </c>
      <c r="G13" s="12">
        <v>5</v>
      </c>
      <c r="H13" s="88">
        <f>IF(B$20=0,0,G13/B$20)</f>
        <v>4.5454545454545456E-2</v>
      </c>
      <c r="I13" s="58">
        <v>8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-0.44243612596553561</v>
      </c>
      <c r="C14" s="130"/>
      <c r="E14" s="27" t="s">
        <v>78</v>
      </c>
      <c r="F14" s="24" t="s">
        <v>33</v>
      </c>
      <c r="G14" s="12">
        <v>4</v>
      </c>
      <c r="H14" s="88">
        <f>IF(B$20=0,0,G14/B$20)</f>
        <v>3.6363636363636362E-2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9.3023255813953487E-2</v>
      </c>
      <c r="E15" s="27" t="s">
        <v>81</v>
      </c>
      <c r="F15" s="24" t="s">
        <v>36</v>
      </c>
      <c r="G15" s="12">
        <v>4</v>
      </c>
      <c r="H15" s="88">
        <f>IF(B$20=0,0,G15/B$20)</f>
        <v>3.6363636363636362E-2</v>
      </c>
      <c r="I15" s="58">
        <v>4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100</v>
      </c>
      <c r="C16" s="10">
        <f>IF(B$3=0,0,B16/B$3)</f>
        <v>0.26109660574412535</v>
      </c>
      <c r="E16" s="27" t="s">
        <v>79</v>
      </c>
      <c r="F16" s="24" t="s">
        <v>34</v>
      </c>
      <c r="G16" s="12">
        <v>3</v>
      </c>
      <c r="H16" s="88">
        <f>IF(B$20=0,0,G16/B$20)</f>
        <v>2.7272727272727271E-2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 t="shared" si="2"/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115</v>
      </c>
      <c r="C17" s="6">
        <f>IF(B$3=0,0,B17/B$3)</f>
        <v>0.30026109660574413</v>
      </c>
      <c r="E17" s="27" t="s">
        <v>86</v>
      </c>
      <c r="F17" s="24" t="s">
        <v>41</v>
      </c>
      <c r="G17" s="12">
        <v>2</v>
      </c>
      <c r="H17" s="88">
        <f>IF(B$20=0,0,G17/B$20)</f>
        <v>1.8181818181818181E-2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0.43</v>
      </c>
      <c r="E18" s="27" t="s">
        <v>91</v>
      </c>
      <c r="F18" s="24" t="s">
        <v>46</v>
      </c>
      <c r="G18" s="12">
        <v>2</v>
      </c>
      <c r="H18" s="88">
        <f>IF(B$20=0,0,G18/B$20)</f>
        <v>1.8181818181818181E-2</v>
      </c>
      <c r="I18" s="58">
        <v>4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47</v>
      </c>
      <c r="C19" s="5">
        <f>IF(B$17=0,0,B19/B$17)</f>
        <v>0.40869565217391307</v>
      </c>
      <c r="E19" s="27" t="s">
        <v>88</v>
      </c>
      <c r="F19" s="24" t="s">
        <v>43</v>
      </c>
      <c r="G19" s="12">
        <v>1</v>
      </c>
      <c r="H19" s="88">
        <f>IF(B$20=0,0,G19/B$20)</f>
        <v>9.0909090909090905E-3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-1.8135135135135136</v>
      </c>
      <c r="Q19" s="77">
        <v>37</v>
      </c>
      <c r="R19" s="68">
        <v>-67.100000000000009</v>
      </c>
    </row>
    <row r="20" spans="1:18" x14ac:dyDescent="0.4">
      <c r="A20" s="18" t="s">
        <v>10</v>
      </c>
      <c r="B20" s="11">
        <f>B23+B22</f>
        <v>110</v>
      </c>
      <c r="C20" s="5">
        <f>IF(B$3=0,0,B20/B$3)</f>
        <v>0.28720626631853785</v>
      </c>
      <c r="E20" s="27" t="s">
        <v>93</v>
      </c>
      <c r="F20" s="24" t="s">
        <v>48</v>
      </c>
      <c r="G20" s="12">
        <v>1</v>
      </c>
      <c r="H20" s="88">
        <f>IF(B$20=0,0,G20/B$20)</f>
        <v>9.0909090909090905E-3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-7.8999999999999977</v>
      </c>
      <c r="Q20" s="77">
        <v>16</v>
      </c>
      <c r="R20" s="68">
        <v>-126.39999999999996</v>
      </c>
    </row>
    <row r="21" spans="1:18" x14ac:dyDescent="0.4">
      <c r="A21" s="19" t="s">
        <v>13</v>
      </c>
      <c r="B21" s="12">
        <v>65</v>
      </c>
      <c r="C21" s="6">
        <f>IF(B$3=0,0,B21/B$3)</f>
        <v>0.16971279373368145</v>
      </c>
      <c r="E21" s="27" t="s">
        <v>106</v>
      </c>
      <c r="F21" s="24" t="s">
        <v>113</v>
      </c>
      <c r="G21" s="12">
        <v>1</v>
      </c>
      <c r="H21" s="88">
        <f>IF(B$20=0,0,G21/B$20)</f>
        <v>9.0909090909090905E-3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52</v>
      </c>
      <c r="C22" s="6">
        <f>IF(B$20=0,0,B22/B$20)</f>
        <v>0.47272727272727272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58</v>
      </c>
      <c r="C23" s="6">
        <f>IF(B$20=0,0,B23/B$20)</f>
        <v>0.52727272727272723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43</v>
      </c>
      <c r="C24" s="6">
        <f>IF(B$20=0,0,B24/B$20)</f>
        <v>0.39090909090909093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47</v>
      </c>
      <c r="C25" s="6">
        <f>IF(B$20=0,0,B25/B$20)</f>
        <v>0.42727272727272725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20</v>
      </c>
      <c r="C26" s="6">
        <f>IF(B$20=0,0,B26/B$20)</f>
        <v>0.18181818181818182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7535.454545454545</v>
      </c>
      <c r="C27" s="8">
        <v>828900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9374.6031746031749</v>
      </c>
      <c r="C28" s="96">
        <v>590600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5070.2127659574471</v>
      </c>
      <c r="C29" s="96">
        <v>238300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-8520</v>
      </c>
      <c r="C30" s="96">
        <v>-553800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1">
        <v>7</v>
      </c>
      <c r="C33" s="132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3">
        <v>89900</v>
      </c>
      <c r="C34" s="134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2.6109660574412533E-3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14</v>
      </c>
      <c r="C37" s="98">
        <f t="shared" ref="C37:C49" si="3">IF(B$20=0,0,B37/B$20)</f>
        <v>0.12727272727272726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0.24545454545454545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22</v>
      </c>
      <c r="C39" s="6">
        <f t="shared" si="3"/>
        <v>0.2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20</v>
      </c>
      <c r="C40" s="6">
        <f t="shared" si="3"/>
        <v>0.18181818181818182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5</v>
      </c>
      <c r="C41" s="6">
        <f t="shared" si="3"/>
        <v>4.5454545454545456E-2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4.5454545454545456E-2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3"/>
        <v>4.5454545454545456E-2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1.8181818181818181E-2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3.6363636363636362E-2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3.6363636363636362E-2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1.8181818181818181E-2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190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31</v>
      </c>
      <c r="C2" s="138"/>
      <c r="E2" s="26" t="s">
        <v>66</v>
      </c>
      <c r="F2" s="23" t="s">
        <v>22</v>
      </c>
      <c r="G2" s="11">
        <v>59</v>
      </c>
      <c r="H2" s="87">
        <f>IF(B$20=0,0,G2/B$20)</f>
        <v>0.83098591549295775</v>
      </c>
      <c r="I2" s="57">
        <v>5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990.32258064516134</v>
      </c>
      <c r="Q2" s="76">
        <v>31</v>
      </c>
      <c r="R2" s="63">
        <v>30700</v>
      </c>
    </row>
    <row r="3" spans="1:18" x14ac:dyDescent="0.4">
      <c r="A3" s="19" t="s">
        <v>8</v>
      </c>
      <c r="B3" s="139">
        <v>273</v>
      </c>
      <c r="C3" s="140"/>
      <c r="E3" s="27" t="s">
        <v>72</v>
      </c>
      <c r="F3" s="24" t="s">
        <v>27</v>
      </c>
      <c r="G3" s="12">
        <v>42</v>
      </c>
      <c r="H3" s="88">
        <f>IF(B$20=0,0,G3/B$20)</f>
        <v>0.59154929577464788</v>
      </c>
      <c r="I3" s="58">
        <v>7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958.06451612903231</v>
      </c>
      <c r="Q3" s="77">
        <v>31</v>
      </c>
      <c r="R3" s="64">
        <v>29700</v>
      </c>
    </row>
    <row r="4" spans="1:18" x14ac:dyDescent="0.4">
      <c r="A4" s="19" t="s">
        <v>6</v>
      </c>
      <c r="B4" s="141">
        <v>22.999999999999972</v>
      </c>
      <c r="C4" s="142"/>
      <c r="E4" s="27" t="s">
        <v>64</v>
      </c>
      <c r="F4" s="24" t="s">
        <v>20</v>
      </c>
      <c r="G4" s="12">
        <v>36</v>
      </c>
      <c r="H4" s="88">
        <f>IF(B$20=0,0,G4/B$20)</f>
        <v>0.50704225352112675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-66.666666666666671</v>
      </c>
      <c r="Q4" s="77">
        <v>30</v>
      </c>
      <c r="R4" s="64">
        <v>-2000</v>
      </c>
    </row>
    <row r="5" spans="1:18" x14ac:dyDescent="0.4">
      <c r="A5" s="19" t="s">
        <v>7</v>
      </c>
      <c r="B5" s="129">
        <f>IF(B$2=0,0,B$4/B$2)</f>
        <v>0.74193548387096686</v>
      </c>
      <c r="C5" s="130"/>
      <c r="E5" s="27" t="s">
        <v>159</v>
      </c>
      <c r="F5" s="24" t="s">
        <v>160</v>
      </c>
      <c r="G5" s="12">
        <v>31</v>
      </c>
      <c r="H5" s="88">
        <f>IF(B$20=0,0,G5/B$20)</f>
        <v>0.43661971830985913</v>
      </c>
      <c r="I5" s="58">
        <v>4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-3134.6153846153848</v>
      </c>
      <c r="Q5" s="77">
        <v>26</v>
      </c>
      <c r="R5" s="64">
        <v>-81500</v>
      </c>
    </row>
    <row r="6" spans="1:18" x14ac:dyDescent="0.4">
      <c r="A6" s="19" t="s">
        <v>196</v>
      </c>
      <c r="B6" s="133">
        <v>1543.5389471200435</v>
      </c>
      <c r="C6" s="134"/>
      <c r="E6" s="27" t="s">
        <v>67</v>
      </c>
      <c r="F6" s="24" t="s">
        <v>23</v>
      </c>
      <c r="G6" s="12">
        <v>17</v>
      </c>
      <c r="H6" s="88">
        <f>IF(B$20=0,0,G6/B$20)</f>
        <v>0.23943661971830985</v>
      </c>
      <c r="I6" s="58">
        <v>7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2804.1666666666665</v>
      </c>
      <c r="Q6" s="77">
        <v>24</v>
      </c>
      <c r="R6" s="64">
        <v>67300</v>
      </c>
    </row>
    <row r="7" spans="1:18" x14ac:dyDescent="0.4">
      <c r="A7" s="19" t="s">
        <v>1</v>
      </c>
      <c r="B7" s="143">
        <f>IF(B$2=0,0,(B$8*1+B$9*2+B$10*3)/B$2)</f>
        <v>1.903225806451613</v>
      </c>
      <c r="C7" s="144"/>
      <c r="E7" s="27" t="s">
        <v>68</v>
      </c>
      <c r="F7" s="24" t="s">
        <v>12</v>
      </c>
      <c r="G7" s="12">
        <v>17</v>
      </c>
      <c r="H7" s="88">
        <f>IF(B$20=0,0,G7/B$20)</f>
        <v>0.23943661971830985</v>
      </c>
      <c r="I7" s="58">
        <v>12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-755</v>
      </c>
      <c r="Q7" s="78">
        <v>20</v>
      </c>
      <c r="R7" s="65">
        <v>-15100</v>
      </c>
    </row>
    <row r="8" spans="1:18" x14ac:dyDescent="0.4">
      <c r="A8" s="19" t="s">
        <v>2</v>
      </c>
      <c r="B8" s="12">
        <v>9</v>
      </c>
      <c r="C8" s="6">
        <f t="shared" ref="C8:C15" si="1">IF(B$2=0,0,B8/B$2)</f>
        <v>0.29032258064516131</v>
      </c>
      <c r="E8" s="27" t="s">
        <v>65</v>
      </c>
      <c r="F8" s="24" t="s">
        <v>21</v>
      </c>
      <c r="G8" s="12">
        <v>14</v>
      </c>
      <c r="H8" s="88">
        <f>IF(B$20=0,0,G8/B$20)</f>
        <v>0.19718309859154928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16</v>
      </c>
      <c r="C9" s="6">
        <f t="shared" si="1"/>
        <v>0.5161290322580645</v>
      </c>
      <c r="E9" s="27" t="s">
        <v>69</v>
      </c>
      <c r="F9" s="24" t="s">
        <v>24</v>
      </c>
      <c r="G9" s="12">
        <v>11</v>
      </c>
      <c r="H9" s="88">
        <f>IF(B$20=0,0,G9/B$20)</f>
        <v>0.15492957746478872</v>
      </c>
      <c r="I9" s="58">
        <v>3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</v>
      </c>
      <c r="C10" s="7">
        <f t="shared" si="1"/>
        <v>0.19354838709677419</v>
      </c>
      <c r="E10" s="27" t="s">
        <v>89</v>
      </c>
      <c r="F10" s="24" t="s">
        <v>44</v>
      </c>
      <c r="G10" s="12">
        <v>8</v>
      </c>
      <c r="H10" s="88">
        <f>IF(B$20=0,0,G10/B$20)</f>
        <v>0.11267605633802817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-4.7444444444444436</v>
      </c>
      <c r="Q10" s="76">
        <v>9</v>
      </c>
      <c r="R10" s="67">
        <v>-42.699999999999996</v>
      </c>
    </row>
    <row r="11" spans="1:18" x14ac:dyDescent="0.4">
      <c r="A11" s="20" t="s">
        <v>184</v>
      </c>
      <c r="B11" s="109">
        <f>IF(B8=0,0,C11/B8)</f>
        <v>32</v>
      </c>
      <c r="C11" s="110">
        <v>288</v>
      </c>
      <c r="E11" s="27" t="s">
        <v>70</v>
      </c>
      <c r="F11" s="24" t="s">
        <v>25</v>
      </c>
      <c r="G11" s="12">
        <v>6</v>
      </c>
      <c r="H11" s="88">
        <f>IF(B$20=0,0,G11/B$20)</f>
        <v>8.4507042253521125E-2</v>
      </c>
      <c r="I11" s="58">
        <v>6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-1.8076923076923077</v>
      </c>
      <c r="Q11" s="77">
        <v>13</v>
      </c>
      <c r="R11" s="68">
        <v>-23.5</v>
      </c>
    </row>
    <row r="12" spans="1:18" x14ac:dyDescent="0.4">
      <c r="A12" s="20" t="s">
        <v>185</v>
      </c>
      <c r="B12" s="109">
        <f>IF(B9=0,0,C12/B9)</f>
        <v>-2.1374999999999997</v>
      </c>
      <c r="C12" s="110">
        <v>-34.199999999999996</v>
      </c>
      <c r="E12" s="27" t="s">
        <v>86</v>
      </c>
      <c r="F12" s="24" t="s">
        <v>41</v>
      </c>
      <c r="G12" s="12">
        <v>5</v>
      </c>
      <c r="H12" s="88">
        <f>IF(B$20=0,0,G12/B$20)</f>
        <v>7.0422535211267609E-2</v>
      </c>
      <c r="I12" s="58">
        <v>2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9.9111111111111114</v>
      </c>
      <c r="Q12" s="78">
        <v>9</v>
      </c>
      <c r="R12" s="69">
        <v>89.2</v>
      </c>
    </row>
    <row r="13" spans="1:18" x14ac:dyDescent="0.4">
      <c r="A13" s="20" t="s">
        <v>186</v>
      </c>
      <c r="B13" s="109">
        <f>IF(B10=0,0,C13/B10)</f>
        <v>-38.466666666666669</v>
      </c>
      <c r="C13" s="110">
        <v>-230.8</v>
      </c>
      <c r="E13" s="27" t="s">
        <v>83</v>
      </c>
      <c r="F13" s="24" t="s">
        <v>38</v>
      </c>
      <c r="G13" s="12">
        <v>3</v>
      </c>
      <c r="H13" s="88">
        <f>IF(B$20=0,0,G13/B$20)</f>
        <v>4.2253521126760563E-2</v>
      </c>
      <c r="I13" s="58">
        <v>7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-2.8680555555555558</v>
      </c>
      <c r="C14" s="130"/>
      <c r="E14" s="27" t="s">
        <v>71</v>
      </c>
      <c r="F14" s="24" t="s">
        <v>26</v>
      </c>
      <c r="G14" s="12">
        <v>2</v>
      </c>
      <c r="H14" s="88">
        <f>IF(B$20=0,0,G14/B$20)</f>
        <v>2.8169014084507043E-2</v>
      </c>
      <c r="I14" s="58">
        <v>10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6.4516129032258063E-2</v>
      </c>
      <c r="E15" s="27" t="s">
        <v>79</v>
      </c>
      <c r="F15" s="24" t="s">
        <v>34</v>
      </c>
      <c r="G15" s="12">
        <v>2</v>
      </c>
      <c r="H15" s="88">
        <f>IF(B$20=0,0,G15/B$20)</f>
        <v>2.8169014084507043E-2</v>
      </c>
      <c r="I15" s="58">
        <v>1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69</v>
      </c>
      <c r="C16" s="10">
        <f>IF(B$3=0,0,B16/B$3)</f>
        <v>0.25274725274725274</v>
      </c>
      <c r="E16" s="27" t="s">
        <v>81</v>
      </c>
      <c r="F16" s="24" t="s">
        <v>36</v>
      </c>
      <c r="G16" s="12">
        <v>2</v>
      </c>
      <c r="H16" s="88">
        <f>IF(B$20=0,0,G16/B$20)</f>
        <v>2.8169014084507043E-2</v>
      </c>
      <c r="I16" s="58">
        <v>9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>IF(Q16=0,0,R16/Q16)</f>
        <v>6.875</v>
      </c>
      <c r="Q16" s="77">
        <v>12</v>
      </c>
      <c r="R16" s="68">
        <v>82.5</v>
      </c>
    </row>
    <row r="17" spans="1:18" x14ac:dyDescent="0.4">
      <c r="A17" s="19" t="s">
        <v>118</v>
      </c>
      <c r="B17" s="12">
        <v>56</v>
      </c>
      <c r="C17" s="6">
        <f>IF(B$3=0,0,B17/B$3)</f>
        <v>0.20512820512820512</v>
      </c>
      <c r="E17" s="27" t="s">
        <v>78</v>
      </c>
      <c r="F17" s="24" t="s">
        <v>33</v>
      </c>
      <c r="G17" s="12">
        <v>1</v>
      </c>
      <c r="H17" s="88">
        <f>IF(B$20=0,0,G17/B$20)</f>
        <v>1.4084507042253521E-2</v>
      </c>
      <c r="I17" s="58">
        <v>9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>IF(Q17=0,0,R17/Q17)</f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36</v>
      </c>
      <c r="C18" s="5">
        <f>IF(B$16=0,0,B18/B$16)</f>
        <v>0.52173913043478259</v>
      </c>
      <c r="E18" s="27" t="s">
        <v>91</v>
      </c>
      <c r="F18" s="24" t="s">
        <v>46</v>
      </c>
      <c r="G18" s="12">
        <v>1</v>
      </c>
      <c r="H18" s="88">
        <f>IF(B$20=0,0,G18/B$20)</f>
        <v>1.4084507042253521E-2</v>
      </c>
      <c r="I18" s="58">
        <v>5</v>
      </c>
      <c r="K18" s="74">
        <v>16</v>
      </c>
      <c r="L18" s="119">
        <v>-49.800000000000018</v>
      </c>
      <c r="M18" s="117">
        <v>1523.8481507442182</v>
      </c>
      <c r="O18" s="74" t="s">
        <v>126</v>
      </c>
      <c r="P18" s="83">
        <f>IF(Q18=0,0,R18/Q18)</f>
        <v>-2.076000000000001</v>
      </c>
      <c r="Q18" s="77">
        <v>25</v>
      </c>
      <c r="R18" s="68">
        <v>-51.900000000000027</v>
      </c>
    </row>
    <row r="19" spans="1:18" x14ac:dyDescent="0.4">
      <c r="A19" s="18" t="s">
        <v>124</v>
      </c>
      <c r="B19" s="11">
        <f>B25</f>
        <v>21</v>
      </c>
      <c r="C19" s="5">
        <f>IF(B$17=0,0,B19/B$17)</f>
        <v>0.375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6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>IF(Q19=0,0,R19/Q19)</f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71</v>
      </c>
      <c r="C20" s="5">
        <f>IF(B$3=0,0,B20/B$3)</f>
        <v>0.26007326007326009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>IF(Q20=0,0,R20/Q20)</f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25</v>
      </c>
      <c r="C21" s="6">
        <f>IF(B$3=0,0,B21/B$3)</f>
        <v>9.1575091575091569E-2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5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22</v>
      </c>
      <c r="C22" s="6">
        <f>IF(B$20=0,0,B22/B$20)</f>
        <v>0.30985915492957744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49</v>
      </c>
      <c r="C23" s="6">
        <f>IF(B$20=0,0,B23/B$20)</f>
        <v>0.6901408450704225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36</v>
      </c>
      <c r="C24" s="6">
        <f>IF(B$20=0,0,B24/B$20)</f>
        <v>0.50704225352112675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21</v>
      </c>
      <c r="C25" s="6">
        <f>IF(B$20=0,0,B25/B$20)</f>
        <v>0.29577464788732394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14</v>
      </c>
      <c r="C26" s="6">
        <f>IF(B$20=0,0,B26/B$20)</f>
        <v>0.19718309859154928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7960.5633802816901</v>
      </c>
      <c r="C27" s="8">
        <v>565200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7764</v>
      </c>
      <c r="C28" s="96">
        <v>388200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8428.5714285714294</v>
      </c>
      <c r="C29" s="96">
        <v>177000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-6124</v>
      </c>
      <c r="C30" s="96">
        <v>-153100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3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40</v>
      </c>
      <c r="C32" s="90">
        <v>40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1">
        <v>7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3">
        <v>80000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13" x14ac:dyDescent="0.4">
      <c r="A37" s="54" t="s">
        <v>171</v>
      </c>
      <c r="B37" s="123">
        <v>2</v>
      </c>
      <c r="C37" s="98">
        <f t="shared" ref="C37:C49" si="2">IF(B$20=0,0,B37/B$20)</f>
        <v>2.8169014084507043E-2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13" x14ac:dyDescent="0.4">
      <c r="A38" s="19" t="s">
        <v>167</v>
      </c>
      <c r="B38" s="12">
        <v>12</v>
      </c>
      <c r="C38" s="6">
        <f t="shared" si="2"/>
        <v>0.16901408450704225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">
      <c r="A39" s="19" t="s">
        <v>168</v>
      </c>
      <c r="B39" s="124">
        <v>17</v>
      </c>
      <c r="C39" s="6">
        <f t="shared" si="2"/>
        <v>0.23943661971830985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">
      <c r="A40" s="19" t="s">
        <v>169</v>
      </c>
      <c r="B40" s="124">
        <v>20</v>
      </c>
      <c r="C40" s="6">
        <f t="shared" si="2"/>
        <v>0.28169014084507044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8</v>
      </c>
      <c r="C41" s="6">
        <f t="shared" si="2"/>
        <v>0.11267605633802817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5</v>
      </c>
      <c r="C42" s="6">
        <f t="shared" si="2"/>
        <v>7.0422535211267609E-2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2</v>
      </c>
      <c r="C43" s="6">
        <f t="shared" si="2"/>
        <v>2.8169014084507043E-2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4</v>
      </c>
      <c r="C44" s="6">
        <f t="shared" si="2"/>
        <v>5.6338028169014086E-2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2"/>
        <v>1.4084507042253521E-2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211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44</v>
      </c>
      <c r="C2" s="138"/>
      <c r="E2" s="26" t="s">
        <v>66</v>
      </c>
      <c r="F2" s="23" t="s">
        <v>22</v>
      </c>
      <c r="G2" s="11">
        <v>83</v>
      </c>
      <c r="H2" s="87">
        <f>IF(B$20=0,0,G2/B$20)</f>
        <v>0.72807017543859653</v>
      </c>
      <c r="I2" s="57">
        <v>9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-554.5454545454545</v>
      </c>
      <c r="Q2" s="76">
        <v>44</v>
      </c>
      <c r="R2" s="63">
        <v>-24400</v>
      </c>
    </row>
    <row r="3" spans="1:18" x14ac:dyDescent="0.4">
      <c r="A3" s="19" t="s">
        <v>8</v>
      </c>
      <c r="B3" s="139">
        <v>378</v>
      </c>
      <c r="C3" s="140"/>
      <c r="E3" s="27" t="s">
        <v>72</v>
      </c>
      <c r="F3" s="24" t="s">
        <v>27</v>
      </c>
      <c r="G3" s="12">
        <v>67</v>
      </c>
      <c r="H3" s="88">
        <f>IF(B$20=0,0,G3/B$20)</f>
        <v>0.58771929824561409</v>
      </c>
      <c r="I3" s="58">
        <v>8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686.36363636363637</v>
      </c>
      <c r="Q3" s="77">
        <v>44</v>
      </c>
      <c r="R3" s="64">
        <v>30200</v>
      </c>
    </row>
    <row r="4" spans="1:18" x14ac:dyDescent="0.4">
      <c r="A4" s="19" t="s">
        <v>6</v>
      </c>
      <c r="B4" s="141">
        <v>143.19999999999999</v>
      </c>
      <c r="C4" s="142"/>
      <c r="E4" s="27" t="s">
        <v>64</v>
      </c>
      <c r="F4" s="24" t="s">
        <v>20</v>
      </c>
      <c r="G4" s="12">
        <v>48</v>
      </c>
      <c r="H4" s="88">
        <f>IF(B$20=0,0,G4/B$20)</f>
        <v>0.42105263157894735</v>
      </c>
      <c r="I4" s="58">
        <v>6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1643.1818181818182</v>
      </c>
      <c r="Q4" s="77">
        <v>44</v>
      </c>
      <c r="R4" s="64">
        <v>72300</v>
      </c>
    </row>
    <row r="5" spans="1:18" x14ac:dyDescent="0.4">
      <c r="A5" s="19" t="s">
        <v>7</v>
      </c>
      <c r="B5" s="129">
        <f>IF(B$2=0,0,B$4/B$2)</f>
        <v>3.2545454545454544</v>
      </c>
      <c r="C5" s="130"/>
      <c r="E5" s="27" t="s">
        <v>159</v>
      </c>
      <c r="F5" s="24" t="s">
        <v>160</v>
      </c>
      <c r="G5" s="12">
        <v>37</v>
      </c>
      <c r="H5" s="88">
        <f>IF(B$20=0,0,G5/B$20)</f>
        <v>0.32456140350877194</v>
      </c>
      <c r="I5" s="58">
        <v>10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39.024390243902438</v>
      </c>
      <c r="Q5" s="77">
        <v>41</v>
      </c>
      <c r="R5" s="64">
        <v>1600</v>
      </c>
    </row>
    <row r="6" spans="1:18" x14ac:dyDescent="0.4">
      <c r="A6" s="19" t="s">
        <v>196</v>
      </c>
      <c r="B6" s="133">
        <v>1531.1784483849297</v>
      </c>
      <c r="C6" s="134"/>
      <c r="E6" s="27" t="s">
        <v>68</v>
      </c>
      <c r="F6" s="24" t="s">
        <v>12</v>
      </c>
      <c r="G6" s="12">
        <v>30</v>
      </c>
      <c r="H6" s="88">
        <f>IF(B$20=0,0,G6/B$20)</f>
        <v>0.26315789473684209</v>
      </c>
      <c r="I6" s="58">
        <v>9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89.189189189189193</v>
      </c>
      <c r="Q6" s="77">
        <v>37</v>
      </c>
      <c r="R6" s="64">
        <v>3300</v>
      </c>
    </row>
    <row r="7" spans="1:18" x14ac:dyDescent="0.4">
      <c r="A7" s="19" t="s">
        <v>1</v>
      </c>
      <c r="B7" s="143">
        <f>IF(B$2=0,0,(B$8*1+B$9*2+B$10*3)/B$2)</f>
        <v>1.9318181818181819</v>
      </c>
      <c r="C7" s="144"/>
      <c r="E7" s="27" t="s">
        <v>67</v>
      </c>
      <c r="F7" s="24" t="s">
        <v>23</v>
      </c>
      <c r="G7" s="12">
        <v>29</v>
      </c>
      <c r="H7" s="88">
        <f>IF(B$20=0,0,G7/B$20)</f>
        <v>0.25438596491228072</v>
      </c>
      <c r="I7" s="58">
        <v>5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1474.2857142857142</v>
      </c>
      <c r="Q7" s="78">
        <v>35</v>
      </c>
      <c r="R7" s="65">
        <v>51600</v>
      </c>
    </row>
    <row r="8" spans="1:18" x14ac:dyDescent="0.4">
      <c r="A8" s="19" t="s">
        <v>2</v>
      </c>
      <c r="B8" s="12">
        <v>17</v>
      </c>
      <c r="C8" s="6">
        <f t="shared" ref="C8:C15" si="1">IF(B$2=0,0,B8/B$2)</f>
        <v>0.38636363636363635</v>
      </c>
      <c r="E8" s="27" t="s">
        <v>89</v>
      </c>
      <c r="F8" s="24" t="s">
        <v>44</v>
      </c>
      <c r="G8" s="12">
        <v>20</v>
      </c>
      <c r="H8" s="88">
        <f>IF(B$20=0,0,G8/B$20)</f>
        <v>0.17543859649122806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0.29545454545454547</v>
      </c>
      <c r="E9" s="27" t="s">
        <v>69</v>
      </c>
      <c r="F9" s="24" t="s">
        <v>24</v>
      </c>
      <c r="G9" s="12">
        <v>16</v>
      </c>
      <c r="H9" s="88">
        <f>IF(B$20=0,0,G9/B$20)</f>
        <v>0.14035087719298245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0.31818181818181818</v>
      </c>
      <c r="E10" s="27" t="s">
        <v>71</v>
      </c>
      <c r="F10" s="24" t="s">
        <v>26</v>
      </c>
      <c r="G10" s="12">
        <v>9</v>
      </c>
      <c r="H10" s="88">
        <f>IF(B$20=0,0,G10/B$20)</f>
        <v>7.8947368421052627E-2</v>
      </c>
      <c r="I10" s="58">
        <v>4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-2.8999999999999995</v>
      </c>
      <c r="Q10" s="76">
        <v>11</v>
      </c>
      <c r="R10" s="67">
        <v>-31.899999999999995</v>
      </c>
    </row>
    <row r="11" spans="1:18" x14ac:dyDescent="0.4">
      <c r="A11" s="20" t="s">
        <v>184</v>
      </c>
      <c r="B11" s="109">
        <f>IF(B8=0,0,C11/B8)</f>
        <v>32.964705882352938</v>
      </c>
      <c r="C11" s="110">
        <v>560.4</v>
      </c>
      <c r="E11" s="27" t="s">
        <v>65</v>
      </c>
      <c r="F11" s="24" t="s">
        <v>21</v>
      </c>
      <c r="G11" s="12">
        <v>8</v>
      </c>
      <c r="H11" s="88">
        <f>IF(B$20=0,0,G11/B$20)</f>
        <v>7.0175438596491224E-2</v>
      </c>
      <c r="I11" s="58">
        <v>10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0.66875000000000095</v>
      </c>
      <c r="Q11" s="77">
        <v>16</v>
      </c>
      <c r="R11" s="68">
        <v>10.700000000000015</v>
      </c>
    </row>
    <row r="12" spans="1:18" x14ac:dyDescent="0.4">
      <c r="A12" s="20" t="s">
        <v>185</v>
      </c>
      <c r="B12" s="109">
        <f>IF(B9=0,0,C12/B9)</f>
        <v>-1.4615384615384621</v>
      </c>
      <c r="C12" s="110">
        <v>-19.000000000000007</v>
      </c>
      <c r="E12" s="27" t="s">
        <v>86</v>
      </c>
      <c r="F12" s="24" t="s">
        <v>41</v>
      </c>
      <c r="G12" s="12">
        <v>7</v>
      </c>
      <c r="H12" s="88">
        <f>IF(B$20=0,0,G12/B$20)</f>
        <v>6.1403508771929821E-2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6</v>
      </c>
      <c r="H13" s="88">
        <f>IF(B$20=0,0,G13/B$20)</f>
        <v>5.2631578947368418E-2</v>
      </c>
      <c r="I13" s="58">
        <v>4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1.020103425985776</v>
      </c>
      <c r="C14" s="130"/>
      <c r="E14" s="27" t="s">
        <v>70</v>
      </c>
      <c r="F14" s="24" t="s">
        <v>25</v>
      </c>
      <c r="G14" s="12">
        <v>5</v>
      </c>
      <c r="H14" s="88">
        <f>IF(B$20=0,0,G14/B$20)</f>
        <v>4.3859649122807015E-2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4.5454545454545456E-2</v>
      </c>
      <c r="E15" s="27" t="s">
        <v>81</v>
      </c>
      <c r="F15" s="24" t="s">
        <v>36</v>
      </c>
      <c r="G15" s="12">
        <v>5</v>
      </c>
      <c r="H15" s="88">
        <f>IF(B$20=0,0,G15/B$20)</f>
        <v>4.3859649122807015E-2</v>
      </c>
      <c r="I15" s="58">
        <v>3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25.180000000000003</v>
      </c>
      <c r="Q15" s="76">
        <v>5</v>
      </c>
      <c r="R15" s="67">
        <v>125.90000000000002</v>
      </c>
    </row>
    <row r="16" spans="1:18" x14ac:dyDescent="0.4">
      <c r="A16" s="22" t="s">
        <v>121</v>
      </c>
      <c r="B16" s="15">
        <v>80</v>
      </c>
      <c r="C16" s="10">
        <f>IF(B$3=0,0,B16/B$3)</f>
        <v>0.21164021164021163</v>
      </c>
      <c r="E16" s="27" t="s">
        <v>91</v>
      </c>
      <c r="F16" s="24" t="s">
        <v>46</v>
      </c>
      <c r="G16" s="12">
        <v>5</v>
      </c>
      <c r="H16" s="88">
        <f>IF(B$20=0,0,G16/B$20)</f>
        <v>4.3859649122807015E-2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 t="shared" si="2"/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79</v>
      </c>
      <c r="C17" s="6">
        <f>IF(B$3=0,0,B17/B$3)</f>
        <v>0.20899470899470898</v>
      </c>
      <c r="E17" s="27" t="s">
        <v>78</v>
      </c>
      <c r="F17" s="24" t="s">
        <v>33</v>
      </c>
      <c r="G17" s="12">
        <v>4</v>
      </c>
      <c r="H17" s="88">
        <f>IF(B$20=0,0,G17/B$20)</f>
        <v>3.5087719298245612E-2</v>
      </c>
      <c r="I17" s="58">
        <v>3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47</v>
      </c>
      <c r="C18" s="5">
        <f>IF(B$16=0,0,B18/B$16)</f>
        <v>0.58750000000000002</v>
      </c>
      <c r="E18" s="27" t="s">
        <v>73</v>
      </c>
      <c r="F18" s="24" t="s">
        <v>28</v>
      </c>
      <c r="G18" s="12">
        <v>2</v>
      </c>
      <c r="H18" s="88">
        <f>IF(B$20=0,0,G18/B$20)</f>
        <v>1.7543859649122806E-2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 t="shared" si="2"/>
        <v>11.56842105263158</v>
      </c>
      <c r="Q18" s="77">
        <v>19</v>
      </c>
      <c r="R18" s="68">
        <v>219.8</v>
      </c>
    </row>
    <row r="19" spans="1:18" x14ac:dyDescent="0.4">
      <c r="A19" s="18" t="s">
        <v>124</v>
      </c>
      <c r="B19" s="11">
        <f>B25</f>
        <v>39</v>
      </c>
      <c r="C19" s="5">
        <f>IF(B$17=0,0,B19/B$17)</f>
        <v>0.49367088607594939</v>
      </c>
      <c r="E19" s="27" t="s">
        <v>75</v>
      </c>
      <c r="F19" s="24" t="s">
        <v>30</v>
      </c>
      <c r="G19" s="12">
        <v>1</v>
      </c>
      <c r="H19" s="88">
        <f>IF(B$20=0,0,G19/B$20)</f>
        <v>8.771929824561403E-3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114</v>
      </c>
      <c r="C20" s="5">
        <f>IF(B$3=0,0,B20/B$3)</f>
        <v>0.30158730158730157</v>
      </c>
      <c r="E20" s="27" t="s">
        <v>93</v>
      </c>
      <c r="F20" s="24" t="s">
        <v>48</v>
      </c>
      <c r="G20" s="12">
        <v>1</v>
      </c>
      <c r="H20" s="88">
        <f>IF(B$20=0,0,G20/B$20)</f>
        <v>8.771929824561403E-3</v>
      </c>
      <c r="I20" s="58">
        <v>2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-1.720833333333333</v>
      </c>
      <c r="Q20" s="77">
        <v>24</v>
      </c>
      <c r="R20" s="68">
        <v>-41.29999999999999</v>
      </c>
    </row>
    <row r="21" spans="1:18" x14ac:dyDescent="0.4">
      <c r="A21" s="19" t="s">
        <v>13</v>
      </c>
      <c r="B21" s="12">
        <v>51</v>
      </c>
      <c r="C21" s="6">
        <f>IF(B$3=0,0,B21/B$3)</f>
        <v>0.13492063492063491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49</v>
      </c>
      <c r="C22" s="6">
        <f>IF(B$20=0,0,B22/B$20)</f>
        <v>0.42982456140350878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65</v>
      </c>
      <c r="C23" s="6">
        <f>IF(B$20=0,0,B23/B$20)</f>
        <v>0.57017543859649122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47</v>
      </c>
      <c r="C24" s="6">
        <f>IF(B$20=0,0,B24/B$20)</f>
        <v>0.41228070175438597</v>
      </c>
      <c r="E24" s="27" t="s">
        <v>79</v>
      </c>
      <c r="F24" s="24" t="s">
        <v>34</v>
      </c>
      <c r="G24" s="12">
        <v>0</v>
      </c>
      <c r="H24" s="88">
        <f>IF(B$20=0,0,G24/B$20)</f>
        <v>0</v>
      </c>
      <c r="I24" s="58">
        <v>7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39</v>
      </c>
      <c r="C25" s="6">
        <f>IF(B$20=0,0,B25/B$20)</f>
        <v>0.34210526315789475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28</v>
      </c>
      <c r="C26" s="6">
        <f>IF(B$20=0,0,B26/B$20)</f>
        <v>0.24561403508771928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7921.9298245614036</v>
      </c>
      <c r="C27" s="8">
        <v>903100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8273.3333333333339</v>
      </c>
      <c r="C28" s="96">
        <v>620500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7246.1538461538457</v>
      </c>
      <c r="C29" s="96">
        <v>282600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-6609.8039215686276</v>
      </c>
      <c r="C30" s="96">
        <v>-337100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1">
        <v>6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3">
        <v>86700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7.9365079365079361E-3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7.0175438596491224E-2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25</v>
      </c>
      <c r="C38" s="6">
        <f t="shared" si="3"/>
        <v>0.21929824561403508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21</v>
      </c>
      <c r="C39" s="6">
        <f t="shared" si="3"/>
        <v>0.18421052631578946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15</v>
      </c>
      <c r="C41" s="6">
        <f t="shared" si="3"/>
        <v>0.13157894736842105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12</v>
      </c>
      <c r="C42" s="6">
        <f t="shared" si="3"/>
        <v>0.10526315789473684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4.3859649122807015E-2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3.5087719298245612E-2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8.771929824561403E-3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1.7543859649122806E-2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1</v>
      </c>
      <c r="C47" s="6">
        <f t="shared" si="3"/>
        <v>8.771929824561403E-3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3"/>
        <v>8.771929824561403E-3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192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48</v>
      </c>
      <c r="C2" s="138"/>
      <c r="E2" s="26" t="s">
        <v>66</v>
      </c>
      <c r="F2" s="23" t="s">
        <v>22</v>
      </c>
      <c r="G2" s="11">
        <v>104</v>
      </c>
      <c r="H2" s="87">
        <f>IF(B$20=0,0,G2/B$20)</f>
        <v>0.74820143884892087</v>
      </c>
      <c r="I2" s="57">
        <v>7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-181.25</v>
      </c>
      <c r="Q2" s="76">
        <v>48</v>
      </c>
      <c r="R2" s="63">
        <v>-8700</v>
      </c>
    </row>
    <row r="3" spans="1:18" x14ac:dyDescent="0.4">
      <c r="A3" s="19" t="s">
        <v>8</v>
      </c>
      <c r="B3" s="139">
        <v>414</v>
      </c>
      <c r="C3" s="140"/>
      <c r="E3" s="27" t="s">
        <v>72</v>
      </c>
      <c r="F3" s="24" t="s">
        <v>27</v>
      </c>
      <c r="G3" s="12">
        <v>88</v>
      </c>
      <c r="H3" s="88">
        <f>IF(B$20=0,0,G3/B$20)</f>
        <v>0.63309352517985606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691.11111111111109</v>
      </c>
      <c r="Q3" s="77">
        <v>45</v>
      </c>
      <c r="R3" s="64">
        <v>31100</v>
      </c>
    </row>
    <row r="4" spans="1:18" x14ac:dyDescent="0.4">
      <c r="A4" s="19" t="s">
        <v>6</v>
      </c>
      <c r="B4" s="141">
        <v>261.89999999999992</v>
      </c>
      <c r="C4" s="142"/>
      <c r="E4" s="27" t="s">
        <v>159</v>
      </c>
      <c r="F4" s="24" t="s">
        <v>160</v>
      </c>
      <c r="G4" s="12">
        <v>67</v>
      </c>
      <c r="H4" s="88">
        <f>IF(B$20=0,0,G4/B$20)</f>
        <v>0.48201438848920863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793.47826086956525</v>
      </c>
      <c r="Q4" s="77">
        <v>46</v>
      </c>
      <c r="R4" s="64">
        <v>36500</v>
      </c>
    </row>
    <row r="5" spans="1:18" x14ac:dyDescent="0.4">
      <c r="A5" s="19" t="s">
        <v>7</v>
      </c>
      <c r="B5" s="129">
        <f>IF(B$2=0,0,B$4/B$2)</f>
        <v>5.456249999999998</v>
      </c>
      <c r="C5" s="130"/>
      <c r="E5" s="27" t="s">
        <v>64</v>
      </c>
      <c r="F5" s="24" t="s">
        <v>20</v>
      </c>
      <c r="G5" s="12">
        <v>44</v>
      </c>
      <c r="H5" s="88">
        <f>IF(B$20=0,0,G5/B$20)</f>
        <v>0.31654676258992803</v>
      </c>
      <c r="I5" s="58">
        <v>10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2274.4186046511627</v>
      </c>
      <c r="Q5" s="77">
        <v>43</v>
      </c>
      <c r="R5" s="64">
        <v>97800</v>
      </c>
    </row>
    <row r="6" spans="1:18" x14ac:dyDescent="0.4">
      <c r="A6" s="19" t="s">
        <v>196</v>
      </c>
      <c r="B6" s="133">
        <v>1580.3102788159663</v>
      </c>
      <c r="C6" s="134"/>
      <c r="E6" s="27" t="s">
        <v>68</v>
      </c>
      <c r="F6" s="24" t="s">
        <v>12</v>
      </c>
      <c r="G6" s="12">
        <v>34</v>
      </c>
      <c r="H6" s="88">
        <f>IF(B$20=0,0,G6/B$20)</f>
        <v>0.2446043165467626</v>
      </c>
      <c r="I6" s="58">
        <v>11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280</v>
      </c>
      <c r="Q6" s="77">
        <v>40</v>
      </c>
      <c r="R6" s="64">
        <v>11200</v>
      </c>
    </row>
    <row r="7" spans="1:18" x14ac:dyDescent="0.4">
      <c r="A7" s="19" t="s">
        <v>1</v>
      </c>
      <c r="B7" s="143">
        <f>IF(B$2=0,0,(B$8*1+B$9*2+B$10*3)/B$2)</f>
        <v>1.8125</v>
      </c>
      <c r="C7" s="144"/>
      <c r="E7" s="27" t="s">
        <v>70</v>
      </c>
      <c r="F7" s="24" t="s">
        <v>25</v>
      </c>
      <c r="G7" s="12">
        <v>18</v>
      </c>
      <c r="H7" s="88">
        <f>IF(B$20=0,0,G7/B$20)</f>
        <v>0.12949640287769784</v>
      </c>
      <c r="I7" s="58">
        <v>3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-18.75</v>
      </c>
      <c r="Q7" s="78">
        <v>32</v>
      </c>
      <c r="R7" s="65">
        <v>-600</v>
      </c>
    </row>
    <row r="8" spans="1:18" x14ac:dyDescent="0.4">
      <c r="A8" s="19" t="s">
        <v>2</v>
      </c>
      <c r="B8" s="12">
        <v>20</v>
      </c>
      <c r="C8" s="6">
        <f t="shared" ref="C8:C15" si="1">IF(B$2=0,0,B8/B$2)</f>
        <v>0.41666666666666669</v>
      </c>
      <c r="E8" s="27" t="s">
        <v>67</v>
      </c>
      <c r="F8" s="24" t="s">
        <v>23</v>
      </c>
      <c r="G8" s="12">
        <v>17</v>
      </c>
      <c r="H8" s="88">
        <f>IF(B$20=0,0,G8/B$20)</f>
        <v>0.1223021582733813</v>
      </c>
      <c r="I8" s="58">
        <v>11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0.35416666666666669</v>
      </c>
      <c r="E9" s="27" t="s">
        <v>89</v>
      </c>
      <c r="F9" s="24" t="s">
        <v>44</v>
      </c>
      <c r="G9" s="12">
        <v>17</v>
      </c>
      <c r="H9" s="88">
        <f>IF(B$20=0,0,G9/B$20)</f>
        <v>0.1223021582733813</v>
      </c>
      <c r="I9" s="58">
        <v>8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</v>
      </c>
      <c r="C10" s="7">
        <f t="shared" si="1"/>
        <v>0.22916666666666666</v>
      </c>
      <c r="E10" s="27" t="s">
        <v>71</v>
      </c>
      <c r="F10" s="24" t="s">
        <v>26</v>
      </c>
      <c r="G10" s="12">
        <v>15</v>
      </c>
      <c r="H10" s="88">
        <f>IF(B$20=0,0,G10/B$20)</f>
        <v>0.1079136690647482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13.631578947368421</v>
      </c>
      <c r="Q10" s="76">
        <v>19</v>
      </c>
      <c r="R10" s="67">
        <v>259</v>
      </c>
    </row>
    <row r="11" spans="1:18" x14ac:dyDescent="0.4">
      <c r="A11" s="20" t="s">
        <v>184</v>
      </c>
      <c r="B11" s="109">
        <f>IF(B8=0,0,C11/B8)</f>
        <v>36.200000000000003</v>
      </c>
      <c r="C11" s="110">
        <v>724</v>
      </c>
      <c r="E11" s="27" t="s">
        <v>69</v>
      </c>
      <c r="F11" s="24" t="s">
        <v>24</v>
      </c>
      <c r="G11" s="12">
        <v>13</v>
      </c>
      <c r="H11" s="88">
        <f>IF(B$20=0,0,G11/B$20)</f>
        <v>9.3525179856115109E-2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-0.81874999999999976</v>
      </c>
      <c r="Q11" s="77">
        <v>16</v>
      </c>
      <c r="R11" s="68">
        <v>-13.099999999999996</v>
      </c>
    </row>
    <row r="12" spans="1:18" x14ac:dyDescent="0.4">
      <c r="A12" s="20" t="s">
        <v>185</v>
      </c>
      <c r="B12" s="109">
        <f>IF(B9=0,0,C12/B9)</f>
        <v>-3.8117647058823527</v>
      </c>
      <c r="C12" s="110">
        <v>-64.8</v>
      </c>
      <c r="E12" s="27" t="s">
        <v>65</v>
      </c>
      <c r="F12" s="24" t="s">
        <v>21</v>
      </c>
      <c r="G12" s="12">
        <v>5</v>
      </c>
      <c r="H12" s="88">
        <f>IF(B$20=0,0,G12/B$20)</f>
        <v>3.5971223021582732E-2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1.2307692307692302</v>
      </c>
      <c r="Q12" s="78">
        <v>13</v>
      </c>
      <c r="R12" s="69">
        <v>15.999999999999993</v>
      </c>
    </row>
    <row r="13" spans="1:18" x14ac:dyDescent="0.4">
      <c r="A13" s="20" t="s">
        <v>186</v>
      </c>
      <c r="B13" s="109">
        <f>IF(B10=0,0,C13/B10)</f>
        <v>-36.118181818181817</v>
      </c>
      <c r="C13" s="110">
        <v>-397.3</v>
      </c>
      <c r="E13" s="27" t="s">
        <v>86</v>
      </c>
      <c r="F13" s="24" t="s">
        <v>41</v>
      </c>
      <c r="G13" s="12">
        <v>5</v>
      </c>
      <c r="H13" s="88">
        <f>IF(B$20=0,0,G13/B$20)</f>
        <v>3.5971223021582732E-2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-1.2433155080213893</v>
      </c>
      <c r="C14" s="130"/>
      <c r="E14" s="27" t="s">
        <v>78</v>
      </c>
      <c r="F14" s="24" t="s">
        <v>33</v>
      </c>
      <c r="G14" s="12">
        <v>4</v>
      </c>
      <c r="H14" s="88">
        <f>IF(B$20=0,0,G14/B$20)</f>
        <v>2.8776978417266189E-2</v>
      </c>
      <c r="I14" s="58">
        <v>5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8.3333333333333329E-2</v>
      </c>
      <c r="E15" s="27" t="s">
        <v>79</v>
      </c>
      <c r="F15" s="24" t="s">
        <v>34</v>
      </c>
      <c r="G15" s="12">
        <v>3</v>
      </c>
      <c r="H15" s="88">
        <f>IF(B$20=0,0,G15/B$20)</f>
        <v>2.1582733812949641E-2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3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84</v>
      </c>
      <c r="C16" s="10">
        <f>IF(B$3=0,0,B16/B$3)</f>
        <v>0.20289855072463769</v>
      </c>
      <c r="E16" s="27" t="s">
        <v>81</v>
      </c>
      <c r="F16" s="24" t="s">
        <v>36</v>
      </c>
      <c r="G16" s="12">
        <v>3</v>
      </c>
      <c r="H16" s="88">
        <f>IF(B$20=0,0,G16/B$20)</f>
        <v>2.1582733812949641E-2</v>
      </c>
      <c r="I16" s="58">
        <v>10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113</v>
      </c>
      <c r="C17" s="6">
        <f>IF(B$3=0,0,B17/B$3)</f>
        <v>0.27294685990338163</v>
      </c>
      <c r="E17" s="27" t="s">
        <v>83</v>
      </c>
      <c r="F17" s="24" t="s">
        <v>38</v>
      </c>
      <c r="G17" s="12">
        <v>3</v>
      </c>
      <c r="H17" s="88">
        <f>IF(B$20=0,0,G17/B$20)</f>
        <v>2.1582733812949641E-2</v>
      </c>
      <c r="I17" s="58">
        <v>9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 t="shared" si="2"/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44</v>
      </c>
      <c r="C18" s="5">
        <f>IF(B$16=0,0,B18/B$16)</f>
        <v>0.52380952380952384</v>
      </c>
      <c r="E18" s="27" t="s">
        <v>73</v>
      </c>
      <c r="F18" s="24" t="s">
        <v>28</v>
      </c>
      <c r="G18" s="12">
        <v>1</v>
      </c>
      <c r="H18" s="88">
        <f>IF(B$20=0,0,G18/B$20)</f>
        <v>7.1942446043165471E-3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 t="shared" si="2"/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47</v>
      </c>
      <c r="C19" s="5">
        <f>IF(B$17=0,0,B19/B$17)</f>
        <v>0.41592920353982299</v>
      </c>
      <c r="E19" s="27" t="s">
        <v>88</v>
      </c>
      <c r="F19" s="24" t="s">
        <v>43</v>
      </c>
      <c r="G19" s="12">
        <v>1</v>
      </c>
      <c r="H19" s="88">
        <f>IF(B$20=0,0,G19/B$20)</f>
        <v>7.1942446043165471E-3</v>
      </c>
      <c r="I19" s="58">
        <v>2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 t="shared" si="2"/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139</v>
      </c>
      <c r="C20" s="5">
        <f>IF(B$3=0,0,B20/B$3)</f>
        <v>0.33574879227053139</v>
      </c>
      <c r="E20" s="27" t="s">
        <v>92</v>
      </c>
      <c r="F20" s="24" t="s">
        <v>47</v>
      </c>
      <c r="G20" s="12">
        <v>1</v>
      </c>
      <c r="H20" s="88">
        <f>IF(B$20=0,0,G20/B$20)</f>
        <v>7.1942446043165471E-3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 t="shared" si="2"/>
        <v>11.021428571428572</v>
      </c>
      <c r="Q20" s="77">
        <v>14</v>
      </c>
      <c r="R20" s="68">
        <v>154.30000000000001</v>
      </c>
    </row>
    <row r="21" spans="1:18" x14ac:dyDescent="0.4">
      <c r="A21" s="19" t="s">
        <v>13</v>
      </c>
      <c r="B21" s="12">
        <v>47</v>
      </c>
      <c r="C21" s="6">
        <f>IF(B$3=0,0,B21/B$3)</f>
        <v>0.11352657004830918</v>
      </c>
      <c r="E21" s="27" t="s">
        <v>102</v>
      </c>
      <c r="F21" s="24" t="s">
        <v>57</v>
      </c>
      <c r="G21" s="12">
        <v>1</v>
      </c>
      <c r="H21" s="88">
        <f>IF(B$20=0,0,G21/B$20)</f>
        <v>7.1942446043165471E-3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 t="shared" si="2"/>
        <v>4.1499999999999968</v>
      </c>
      <c r="Q21" s="77">
        <v>40</v>
      </c>
      <c r="R21" s="68">
        <v>165.99999999999989</v>
      </c>
    </row>
    <row r="22" spans="1:18" x14ac:dyDescent="0.4">
      <c r="A22" s="19" t="s">
        <v>12</v>
      </c>
      <c r="B22" s="12">
        <v>55</v>
      </c>
      <c r="C22" s="6">
        <f>IF(B$20=0,0,B22/B$20)</f>
        <v>0.39568345323741005</v>
      </c>
      <c r="E22" s="27" t="s">
        <v>155</v>
      </c>
      <c r="F22" s="24" t="s">
        <v>156</v>
      </c>
      <c r="G22" s="12">
        <v>1</v>
      </c>
      <c r="H22" s="88">
        <f>IF(B$20=0,0,G22/B$20)</f>
        <v>7.1942446043165471E-3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 t="shared" si="2"/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84</v>
      </c>
      <c r="C23" s="6">
        <f>IF(B$20=0,0,B23/B$20)</f>
        <v>0.60431654676258995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 t="shared" si="2"/>
        <v>-25.18</v>
      </c>
      <c r="Q23" s="77">
        <v>5</v>
      </c>
      <c r="R23" s="68">
        <v>-125.9</v>
      </c>
    </row>
    <row r="24" spans="1:18" x14ac:dyDescent="0.4">
      <c r="A24" s="19" t="s">
        <v>183</v>
      </c>
      <c r="B24" s="12">
        <v>44</v>
      </c>
      <c r="C24" s="6">
        <f>IF(B$20=0,0,B24/B$20)</f>
        <v>0.31654676258992803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47</v>
      </c>
      <c r="C25" s="6">
        <f>IF(B$20=0,0,B25/B$20)</f>
        <v>0.33812949640287771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48</v>
      </c>
      <c r="C26" s="6">
        <f>IF(B$20=0,0,B26/B$20)</f>
        <v>0.34532374100719426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7306.4748201438852</v>
      </c>
      <c r="C27" s="8">
        <v>1015600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8179.347826086957</v>
      </c>
      <c r="C28" s="96">
        <v>752500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5597.8723404255315</v>
      </c>
      <c r="C29" s="96">
        <v>263100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-7774.4680851063831</v>
      </c>
      <c r="C30" s="96">
        <v>-365400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11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1">
        <v>7</v>
      </c>
      <c r="C33" s="132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3">
        <v>98800</v>
      </c>
      <c r="C34" s="134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13</v>
      </c>
      <c r="C37" s="98">
        <f t="shared" ref="C37:C49" si="3">IF(B$20=0,0,B37/B$20)</f>
        <v>9.3525179856115109E-2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36</v>
      </c>
      <c r="C38" s="6">
        <f t="shared" si="3"/>
        <v>0.25899280575539568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30</v>
      </c>
      <c r="C39" s="6">
        <f t="shared" si="3"/>
        <v>0.21582733812949639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3"/>
        <v>0.14388489208633093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21</v>
      </c>
      <c r="C41" s="6">
        <f t="shared" si="3"/>
        <v>0.15107913669064749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2.8776978417266189E-2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5.7553956834532377E-2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1.4388489208633094E-2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3"/>
        <v>1.4388489208633094E-2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7.1942446043165471E-3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3"/>
        <v>1.4388489208633094E-2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216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18</v>
      </c>
      <c r="C2" s="138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39">
        <v>140</v>
      </c>
      <c r="C3" s="140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1">
        <v>-180.3</v>
      </c>
      <c r="C4" s="142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5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29">
        <f>IF(B$2=0,0,B$4/B$2)</f>
        <v>-10.016666666666667</v>
      </c>
      <c r="C5" s="130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3">
        <v>1475.2783888604056</v>
      </c>
      <c r="C6" s="134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7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3">
        <f>IF(B$2=0,0,(B$8*1+B$9*2+B$10*3)/B$2)</f>
        <v>2.2222222222222223</v>
      </c>
      <c r="C7" s="144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2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5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-1.3125</v>
      </c>
      <c r="C14" s="130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10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10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5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74600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193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6</v>
      </c>
      <c r="C2" s="138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39">
        <v>54</v>
      </c>
      <c r="C3" s="140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10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1">
        <v>-78.199999999999989</v>
      </c>
      <c r="C4" s="142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29">
        <f>IF(B$2=0,0,B$4/B$2)</f>
        <v>-13.033333333333331</v>
      </c>
      <c r="C5" s="130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3">
        <v>1340.228259602879</v>
      </c>
      <c r="C6" s="134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11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3">
        <f>IF(B$2=0,0,(B$8*1+B$9*2+B$10*3)/B$2)</f>
        <v>2.3333333333333335</v>
      </c>
      <c r="C7" s="144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10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2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2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-4.0388888888888888</v>
      </c>
      <c r="C14" s="130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4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10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3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45000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195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12</v>
      </c>
      <c r="C2" s="138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39">
        <v>103</v>
      </c>
      <c r="C3" s="140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41">
        <v>-39.5</v>
      </c>
      <c r="C4" s="142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29">
        <f>IF(B$2=0,0,B$4/B$2)</f>
        <v>-3.2916666666666665</v>
      </c>
      <c r="C5" s="130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33">
        <v>1396.3170423346389</v>
      </c>
      <c r="C6" s="134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43">
        <f>IF(B$2=0,0,(B$8*1+B$9*2+B$10*3)/B$2)</f>
        <v>1.9166666666666667</v>
      </c>
      <c r="C7" s="144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2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5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4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5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-6.7477777777777765</v>
      </c>
      <c r="C14" s="130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11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 t="shared" si="2"/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 t="shared" si="2"/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 t="shared" si="2"/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4</v>
      </c>
      <c r="O19" s="74" t="s">
        <v>211</v>
      </c>
      <c r="P19" s="83">
        <f t="shared" si="2"/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10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5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65700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221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2</v>
      </c>
      <c r="C2" s="138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39">
        <v>18</v>
      </c>
      <c r="C3" s="140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1">
        <v>-13.5</v>
      </c>
      <c r="C4" s="142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29">
        <f>IF(B$2=0,0,B$4/B$2)</f>
        <v>-6.75</v>
      </c>
      <c r="C5" s="130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11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3">
        <v>1497.379788</v>
      </c>
      <c r="C6" s="134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3">
        <f>IF(B$2=0,0,(B$8*1+B$9*2+B$10*3)/B$2)</f>
        <v>2.5</v>
      </c>
      <c r="C7" s="144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-4.5</v>
      </c>
      <c r="C14" s="130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4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12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10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3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39000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259</v>
      </c>
      <c r="C1" s="136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3</v>
      </c>
      <c r="C2" s="138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39">
        <v>25</v>
      </c>
      <c r="C3" s="140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1">
        <v>-50</v>
      </c>
      <c r="C4" s="142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29">
        <f>IF(B$2=0,0,B$4/B$2)</f>
        <v>-16.666666666666668</v>
      </c>
      <c r="C5" s="130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1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3">
        <v>1493.0891304000002</v>
      </c>
      <c r="C6" s="134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3">
        <f>IF(B$2=0,0,(B$8*1+B$9*2+B$10*3)/B$2)</f>
        <v>2.6666666666666665</v>
      </c>
      <c r="C7" s="144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2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12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-7.1999999999999993</v>
      </c>
      <c r="C14" s="130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4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10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3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41800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3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6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0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2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819</vt:i4>
      </vt:variant>
    </vt:vector>
  </HeadingPairs>
  <TitlesOfParts>
    <vt:vector size="863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2020-12-03T07:57:50Z</dcterms:modified>
</cp:coreProperties>
</file>