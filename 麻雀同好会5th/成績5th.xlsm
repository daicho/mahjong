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399FAE41-F8FC-470D-9F67-2B1930E9FC9F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わさび2" sheetId="7001" state="hidden" r:id="rId17"/>
    <sheet name="りくと2" sheetId="6999" state="hidden" r:id="rId18"/>
    <sheet name="のり2" sheetId="6997" state="hidden" r:id="rId19"/>
    <sheet name="たか2" sheetId="6995" state="hidden" r:id="rId20"/>
    <sheet name="ただ2" sheetId="6993" state="hidden" r:id="rId21"/>
    <sheet name="いちかわ2" sheetId="6991" state="hidden" r:id="rId22"/>
    <sheet name="まっつん2" sheetId="6989" state="hidden" r:id="rId23"/>
    <sheet name="たかの2" sheetId="6987" state="hidden" r:id="rId24"/>
    <sheet name="れんたろう2" sheetId="6985" state="hidden" r:id="rId25"/>
    <sheet name="だいち2" sheetId="6983" state="hidden" r:id="rId26"/>
    <sheet name="全体2" sheetId="6981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1" i="6998" l="1"/>
  <c r="P15" i="6986"/>
  <c r="P16" i="6998" l="1"/>
  <c r="P19" i="6988"/>
  <c r="P17" i="6984" l="1"/>
  <c r="P17" i="6988"/>
  <c r="P15" i="6998" l="1"/>
  <c r="P21" i="6984"/>
  <c r="P17" i="6986" l="1"/>
  <c r="P20" i="6988"/>
  <c r="P21" i="6992"/>
  <c r="P15" i="6988"/>
  <c r="P19" i="6994" l="1"/>
  <c r="P16" i="6986"/>
  <c r="P17" i="6998" l="1"/>
  <c r="P22" i="6982"/>
  <c r="P22" i="6990" l="1"/>
  <c r="P18" i="6986"/>
  <c r="P15" i="6992" l="1"/>
  <c r="P18" i="6992"/>
  <c r="P20" i="6998"/>
  <c r="P17" i="7000"/>
  <c r="P17" i="6990"/>
  <c r="P20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7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18" i="6984" l="1"/>
  <c r="P19" i="6992"/>
  <c r="P15" i="6990"/>
  <c r="P16" i="6992"/>
  <c r="P22" i="6992"/>
  <c r="P18" i="6994"/>
  <c r="P18" i="6990"/>
  <c r="P20" i="6994"/>
  <c r="P20" i="6984"/>
  <c r="P15" i="6984"/>
  <c r="P17" i="6996" l="1"/>
  <c r="P16" i="6994"/>
  <c r="P15" i="6982"/>
  <c r="P16" i="6982"/>
  <c r="P16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23" i="6990"/>
  <c r="P16" i="6990"/>
  <c r="P15" i="6980"/>
  <c r="P16" i="6980"/>
  <c r="B14" i="6994" l="1"/>
  <c r="B14" i="6996"/>
  <c r="C19" i="6996"/>
  <c r="C20" i="6996"/>
  <c r="H2" i="6996"/>
  <c r="H4" i="6996"/>
  <c r="C38" i="6996"/>
  <c r="H51" i="6996"/>
  <c r="H3" i="6996"/>
  <c r="H12" i="6996"/>
  <c r="H17" i="6996"/>
  <c r="H21" i="6996"/>
  <c r="C24" i="6996"/>
  <c r="B28" i="6996"/>
  <c r="H34" i="6996"/>
  <c r="H39" i="6996"/>
  <c r="H43" i="6996"/>
  <c r="H47" i="6996"/>
  <c r="H5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1" i="6996"/>
  <c r="H13" i="6996"/>
  <c r="H22" i="6996"/>
  <c r="H10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14" i="6996"/>
  <c r="H16" i="6996"/>
  <c r="H24" i="6996"/>
  <c r="H28" i="6996"/>
  <c r="H31" i="6996"/>
  <c r="C37" i="6996"/>
  <c r="C41" i="6996"/>
  <c r="C45" i="6996"/>
  <c r="C49" i="6996"/>
  <c r="H8" i="6996"/>
  <c r="H20" i="6996"/>
  <c r="H9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0" i="6992"/>
  <c r="P17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1" i="6982"/>
  <c r="P24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7" i="6992"/>
  <c r="H8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19" i="6982" l="1"/>
  <c r="P17" i="6982"/>
  <c r="P21" i="6990"/>
  <c r="P19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19" i="6980"/>
  <c r="P18" i="6988"/>
  <c r="P16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3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4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2" i="6990"/>
  <c r="C25" i="6990"/>
  <c r="H40" i="6990"/>
  <c r="H44" i="6990"/>
  <c r="H48" i="6990"/>
  <c r="H33" i="6990"/>
  <c r="C42" i="6990"/>
  <c r="H51" i="6990"/>
  <c r="H2" i="6990"/>
  <c r="H7" i="6990"/>
  <c r="H14" i="6990"/>
  <c r="H25" i="6990"/>
  <c r="H13" i="6990"/>
  <c r="H29" i="6990"/>
  <c r="H16" i="6990"/>
  <c r="H36" i="6990"/>
  <c r="C40" i="6990"/>
  <c r="C44" i="6990"/>
  <c r="C48" i="6990"/>
  <c r="H4" i="6990"/>
  <c r="H23" i="6990"/>
  <c r="C22" i="6990"/>
  <c r="C26" i="6990"/>
  <c r="H37" i="6990"/>
  <c r="H41" i="6990"/>
  <c r="H45" i="6990"/>
  <c r="H49" i="6990"/>
  <c r="H6" i="6990"/>
  <c r="H10" i="6990"/>
  <c r="H21" i="6990"/>
  <c r="H27" i="6990"/>
  <c r="H30" i="6990"/>
  <c r="H32" i="6990"/>
  <c r="C37" i="6990"/>
  <c r="C41" i="6990"/>
  <c r="C45" i="6990"/>
  <c r="C49" i="6990"/>
  <c r="H11" i="6990"/>
  <c r="H17" i="6990"/>
  <c r="H15" i="6990"/>
  <c r="C23" i="6990"/>
  <c r="B27" i="6990"/>
  <c r="H20" i="6990"/>
  <c r="H38" i="6990"/>
  <c r="H42" i="6990"/>
  <c r="H46" i="6990"/>
  <c r="C20" i="6988"/>
  <c r="H3" i="6988"/>
  <c r="H26" i="6988"/>
  <c r="H33" i="6988"/>
  <c r="C42" i="6988"/>
  <c r="H51" i="6988"/>
  <c r="H2" i="6988"/>
  <c r="H10" i="6988"/>
  <c r="H19" i="6988"/>
  <c r="H14" i="6988"/>
  <c r="C24" i="6988"/>
  <c r="B28" i="6988"/>
  <c r="H34" i="6988"/>
  <c r="H39" i="6988"/>
  <c r="H43" i="6988"/>
  <c r="H47" i="6988"/>
  <c r="H5" i="6988"/>
  <c r="H24" i="6988"/>
  <c r="H12" i="6988"/>
  <c r="H29" i="6988"/>
  <c r="H35" i="6988"/>
  <c r="C39" i="6988"/>
  <c r="C43" i="6988"/>
  <c r="C47" i="6988"/>
  <c r="H52" i="6988"/>
  <c r="H17" i="6988"/>
  <c r="H20" i="6988"/>
  <c r="C25" i="6988"/>
  <c r="H40" i="6988"/>
  <c r="H44" i="6988"/>
  <c r="H48" i="6988"/>
  <c r="H9" i="6988"/>
  <c r="C38" i="6988"/>
  <c r="C46" i="6988"/>
  <c r="H6" i="6988"/>
  <c r="H11" i="6988"/>
  <c r="H23" i="6988"/>
  <c r="H16" i="6988"/>
  <c r="H27" i="6988"/>
  <c r="H30" i="6988"/>
  <c r="H36" i="6988"/>
  <c r="C40" i="6988"/>
  <c r="C44" i="6988"/>
  <c r="C48" i="6988"/>
  <c r="H4" i="6988"/>
  <c r="H21" i="6988"/>
  <c r="C22" i="6988"/>
  <c r="C26" i="6988"/>
  <c r="H37" i="6988"/>
  <c r="H41" i="6988"/>
  <c r="H45" i="6988"/>
  <c r="H49" i="6988"/>
  <c r="H7" i="6988"/>
  <c r="H13" i="6988"/>
  <c r="H18" i="6988"/>
  <c r="H25" i="6988"/>
  <c r="H28" i="6988"/>
  <c r="H31" i="6988"/>
  <c r="C37" i="6988"/>
  <c r="C41" i="6988"/>
  <c r="C45" i="6988"/>
  <c r="C49" i="6988"/>
  <c r="H8" i="6988"/>
  <c r="H22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19" i="6984"/>
  <c r="P16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2" i="6980"/>
  <c r="P20" i="6982"/>
  <c r="P18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20" i="6980"/>
  <c r="C35" i="6980"/>
  <c r="B30" i="6980"/>
  <c r="C21" i="6980"/>
  <c r="B20" i="6980"/>
  <c r="H17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5" i="6984"/>
  <c r="H26" i="6984"/>
  <c r="H3" i="6984"/>
  <c r="H12" i="6984"/>
  <c r="B14" i="6980"/>
  <c r="B14" i="6982"/>
  <c r="C19" i="6982"/>
  <c r="C25" i="6984"/>
  <c r="H45" i="6984"/>
  <c r="H31" i="6984"/>
  <c r="C45" i="6984"/>
  <c r="H28" i="6984"/>
  <c r="H32" i="6984"/>
  <c r="H11" i="6984"/>
  <c r="H36" i="6984"/>
  <c r="H18" i="6984"/>
  <c r="H7" i="6984"/>
  <c r="H20" i="6984"/>
  <c r="C22" i="6984"/>
  <c r="H2" i="6984"/>
  <c r="H19" i="6984"/>
  <c r="H4" i="6984"/>
  <c r="H29" i="6984"/>
  <c r="C41" i="6984"/>
  <c r="C19" i="6986"/>
  <c r="C20" i="6986"/>
  <c r="H2" i="6986"/>
  <c r="H30" i="6986"/>
  <c r="H9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8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3" i="6984"/>
  <c r="H24" i="6984"/>
  <c r="C20" i="6984"/>
  <c r="H22" i="6984"/>
  <c r="C39" i="6984"/>
  <c r="C49" i="6984"/>
  <c r="H41" i="6984"/>
  <c r="H52" i="6984"/>
  <c r="H27" i="6984"/>
  <c r="H14" i="6984"/>
  <c r="H30" i="6984"/>
  <c r="H23" i="6984"/>
  <c r="H37" i="6984"/>
  <c r="C40" i="6984"/>
  <c r="C44" i="6984"/>
  <c r="C48" i="6984"/>
  <c r="H38" i="6984"/>
  <c r="H42" i="6984"/>
  <c r="H46" i="6984"/>
  <c r="H50" i="6984"/>
  <c r="H16" i="6984"/>
  <c r="H15" i="6984"/>
  <c r="C23" i="6984"/>
  <c r="B27" i="6984"/>
  <c r="H33" i="6984"/>
  <c r="H39" i="6984"/>
  <c r="H43" i="6984"/>
  <c r="H47" i="6984"/>
  <c r="H51" i="6984"/>
  <c r="H21" i="6984"/>
  <c r="H8" i="6984"/>
  <c r="H34" i="6984"/>
  <c r="C38" i="6984"/>
  <c r="C42" i="6984"/>
  <c r="C46" i="6984"/>
  <c r="H17" i="6984"/>
  <c r="C24" i="6984"/>
  <c r="B28" i="6984"/>
  <c r="H35" i="6984"/>
  <c r="H40" i="6984"/>
  <c r="H44" i="6984"/>
  <c r="H48" i="6984"/>
  <c r="C19" i="6980"/>
  <c r="C20" i="6982"/>
  <c r="H3" i="6982"/>
  <c r="H23" i="6982"/>
  <c r="H34" i="6982"/>
  <c r="C42" i="6982"/>
  <c r="H15" i="6982"/>
  <c r="H2" i="6982"/>
  <c r="H8" i="6982"/>
  <c r="H21" i="6982"/>
  <c r="H20" i="6982"/>
  <c r="C24" i="6982"/>
  <c r="B28" i="6982"/>
  <c r="H35" i="6982"/>
  <c r="H40" i="6982"/>
  <c r="H44" i="6982"/>
  <c r="H48" i="6982"/>
  <c r="H5" i="6982"/>
  <c r="H30" i="6982"/>
  <c r="H12" i="6982"/>
  <c r="H25" i="6982"/>
  <c r="H36" i="6982"/>
  <c r="C39" i="6982"/>
  <c r="C43" i="6982"/>
  <c r="C47" i="6982"/>
  <c r="H52" i="6982"/>
  <c r="H19" i="6982"/>
  <c r="H28" i="6982"/>
  <c r="C25" i="6982"/>
  <c r="H41" i="6982"/>
  <c r="H45" i="6982"/>
  <c r="H49" i="6982"/>
  <c r="H10" i="6982"/>
  <c r="C38" i="6982"/>
  <c r="C46" i="6982"/>
  <c r="H7" i="6982"/>
  <c r="H9" i="6982"/>
  <c r="H22" i="6982"/>
  <c r="H13" i="6982"/>
  <c r="H32" i="6982"/>
  <c r="H16" i="6982"/>
  <c r="H37" i="6982"/>
  <c r="C40" i="6982"/>
  <c r="C44" i="6982"/>
  <c r="C48" i="6982"/>
  <c r="H4" i="6982"/>
  <c r="H29" i="6982"/>
  <c r="C22" i="6982"/>
  <c r="C26" i="6982"/>
  <c r="H38" i="6982"/>
  <c r="H42" i="6982"/>
  <c r="H46" i="6982"/>
  <c r="H50" i="6982"/>
  <c r="H6" i="6982"/>
  <c r="H14" i="6982"/>
  <c r="H27" i="6982"/>
  <c r="H31" i="6982"/>
  <c r="H24" i="6982"/>
  <c r="H26" i="6982"/>
  <c r="C37" i="6982"/>
  <c r="C41" i="6982"/>
  <c r="C45" i="6982"/>
  <c r="C49" i="6982"/>
  <c r="H11" i="6982"/>
  <c r="H18" i="6982"/>
  <c r="H17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34" i="6980"/>
  <c r="C39" i="6980"/>
  <c r="C45" i="6980"/>
  <c r="H32" i="6980"/>
  <c r="H9" i="6980"/>
  <c r="H2" i="6980"/>
  <c r="H10" i="6980"/>
  <c r="H46" i="6980"/>
  <c r="H7" i="6980"/>
  <c r="H13" i="6980"/>
  <c r="H22" i="6980"/>
  <c r="H28" i="6980"/>
  <c r="H48" i="6980"/>
  <c r="H25" i="6980"/>
  <c r="H43" i="6980"/>
  <c r="C47" i="6980"/>
  <c r="H49" i="6980"/>
  <c r="H23" i="6980"/>
  <c r="C25" i="6980"/>
  <c r="H29" i="6980"/>
  <c r="H6" i="6980"/>
  <c r="H12" i="6980"/>
  <c r="H31" i="6980"/>
  <c r="C26" i="6980"/>
  <c r="C41" i="6980"/>
  <c r="C49" i="6980"/>
  <c r="C20" i="6980"/>
  <c r="H38" i="6980"/>
  <c r="H11" i="6980"/>
  <c r="H33" i="6980"/>
  <c r="H45" i="6980"/>
  <c r="H5" i="6980"/>
  <c r="H37" i="6980"/>
  <c r="H21" i="6980"/>
  <c r="H3" i="6980"/>
  <c r="H19" i="6980"/>
  <c r="B28" i="6980"/>
  <c r="H40" i="6980"/>
  <c r="C43" i="6980"/>
  <c r="H52" i="6980"/>
  <c r="H27" i="6980"/>
  <c r="H14" i="6980"/>
  <c r="H35" i="6980"/>
  <c r="H18" i="6980"/>
  <c r="H39" i="6980"/>
  <c r="C40" i="6980"/>
  <c r="C44" i="6980"/>
  <c r="C48" i="6980"/>
  <c r="H30" i="6980"/>
  <c r="H50" i="6980"/>
  <c r="H16" i="6980"/>
  <c r="H15" i="6980"/>
  <c r="C23" i="6980"/>
  <c r="B27" i="6980"/>
  <c r="H26" i="6980"/>
  <c r="H41" i="6980"/>
  <c r="H44" i="6980"/>
  <c r="H47" i="6980"/>
  <c r="H51" i="6980"/>
  <c r="H24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<sst xmlns="http://schemas.openxmlformats.org/spreadsheetml/2006/main" count="3006" uniqueCount="259">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</sst>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全体!$K$2:$K$338</c:f>
              <c:numCache>
                <c:formatCode>General</c:formatCode>
                <c:ptCount val="3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</c:numCache>
            </c:numRef>
          </c:xVal>
          <c:yVal>
            <c:numRef>
              <c:f>全体!$L$2:$L$338</c:f>
              <c:numCache>
                <c:formatCode>\+0.0;\-0.0;\±0</c:formatCode>
                <c:ptCount val="337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-38.69047619047619</c:v>
                </c:pt>
                <c:pt idx="1">
                  <c:v>21.406727828746178</c:v>
                </c:pt>
                <c:pt idx="2">
                  <c:v>-3.0581039755351682</c:v>
                </c:pt>
                <c:pt idx="3">
                  <c:v>-6.4102564102564106</c:v>
                </c:pt>
                <c:pt idx="4">
                  <c:v>17.543859649122808</c:v>
                </c:pt>
                <c:pt idx="5">
                  <c:v>16.260162601626018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67</c:v>
                </c:pt>
                <c:pt idx="1">
                  <c:v>160</c:v>
                </c:pt>
                <c:pt idx="2">
                  <c:v>168</c:v>
                </c:pt>
                <c:pt idx="3">
                  <c:v>161</c:v>
                </c:pt>
                <c:pt idx="4">
                  <c:v>119</c:v>
                </c:pt>
                <c:pt idx="5">
                  <c:v>75</c:v>
                </c:pt>
                <c:pt idx="6">
                  <c:v>35</c:v>
                </c:pt>
                <c:pt idx="7">
                  <c:v>25</c:v>
                </c:pt>
                <c:pt idx="8">
                  <c:v>15</c:v>
                </c:pt>
                <c:pt idx="9">
                  <c:v>10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全体!$K$2:$K$338</c:f>
              <c:numCache>
                <c:formatCode>General</c:formatCode>
                <c:ptCount val="3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</c:numCache>
            </c:numRef>
          </c:xVal>
          <c:yVal>
            <c:numRef>
              <c:f>全体!$M$2:$M$338</c:f>
              <c:numCache>
                <c:formatCode>0</c:formatCode>
                <c:ptCount val="337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だいち!$L$2:$L$93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1197.8021978021977</c:v>
                </c:pt>
                <c:pt idx="1">
                  <c:v>-768.18181818181813</c:v>
                </c:pt>
                <c:pt idx="2">
                  <c:v>-896.59090909090912</c:v>
                </c:pt>
                <c:pt idx="3">
                  <c:v>1247.0588235294117</c:v>
                </c:pt>
                <c:pt idx="4">
                  <c:v>-246.75324675324674</c:v>
                </c:pt>
                <c:pt idx="5">
                  <c:v>-145.45454545454547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15</c:v>
                </c:pt>
                <c:pt idx="1">
                  <c:v>45</c:v>
                </c:pt>
                <c:pt idx="2">
                  <c:v>50</c:v>
                </c:pt>
                <c:pt idx="3">
                  <c:v>45</c:v>
                </c:pt>
                <c:pt idx="4">
                  <c:v>39</c:v>
                </c:pt>
                <c:pt idx="5">
                  <c:v>28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だいち!$M$2:$M$93</c:f>
              <c:numCache>
                <c:formatCode>0</c:formatCode>
                <c:ptCount val="92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れんたろう!$L$2:$L$54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555.76923076923072</c:v>
                </c:pt>
                <c:pt idx="1">
                  <c:v>26</c:v>
                </c:pt>
                <c:pt idx="2">
                  <c:v>1242</c:v>
                </c:pt>
                <c:pt idx="3">
                  <c:v>-828.57142857142856</c:v>
                </c:pt>
                <c:pt idx="4">
                  <c:v>186.36363636363637</c:v>
                </c:pt>
                <c:pt idx="5">
                  <c:v>-791.89189189189187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9</c:v>
                </c:pt>
                <c:pt idx="1">
                  <c:v>10</c:v>
                </c:pt>
                <c:pt idx="2">
                  <c:v>28</c:v>
                </c:pt>
                <c:pt idx="3">
                  <c:v>26</c:v>
                </c:pt>
                <c:pt idx="4">
                  <c:v>24</c:v>
                </c:pt>
                <c:pt idx="5">
                  <c:v>12</c:v>
                </c:pt>
                <c:pt idx="6">
                  <c:v>6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れんたろう!$M$2:$M$54</c:f>
              <c:numCache>
                <c:formatCode>0</c:formatCode>
                <c:ptCount val="53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-526.19047619047615</c:v>
                </c:pt>
                <c:pt idx="1">
                  <c:v>-997.61904761904759</c:v>
                </c:pt>
                <c:pt idx="2">
                  <c:v>158.53658536585365</c:v>
                </c:pt>
                <c:pt idx="3">
                  <c:v>-763.41463414634143</c:v>
                </c:pt>
                <c:pt idx="4">
                  <c:v>-935</c:v>
                </c:pt>
                <c:pt idx="5">
                  <c:v>572.72727272727275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14</c:v>
                </c:pt>
                <c:pt idx="1">
                  <c:v>27</c:v>
                </c:pt>
                <c:pt idx="2">
                  <c:v>21</c:v>
                </c:pt>
                <c:pt idx="3">
                  <c:v>20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たかの!$M$2:$M$44</c:f>
              <c:numCache>
                <c:formatCode>0</c:formatCode>
                <c:ptCount val="43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53.571428571428569</c:v>
                </c:pt>
                <c:pt idx="1">
                  <c:v>850</c:v>
                </c:pt>
                <c:pt idx="2">
                  <c:v>-840.74074074074076</c:v>
                </c:pt>
                <c:pt idx="3">
                  <c:v>-2895.8333333333335</c:v>
                </c:pt>
                <c:pt idx="4">
                  <c:v>2559.090909090909</c:v>
                </c:pt>
                <c:pt idx="5">
                  <c:v>-931.57894736842104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7</c:v>
                </c:pt>
                <c:pt idx="5">
                  <c:v>5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まっつん!$M$2:$M$30</c:f>
              <c:numCache>
                <c:formatCode>0</c:formatCode>
                <c:ptCount val="29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-223.8095238095238</c:v>
                </c:pt>
                <c:pt idx="1">
                  <c:v>961.90476190476193</c:v>
                </c:pt>
                <c:pt idx="2">
                  <c:v>1628.5714285714287</c:v>
                </c:pt>
                <c:pt idx="3">
                  <c:v>-464.10256410256409</c:v>
                </c:pt>
                <c:pt idx="4">
                  <c:v>94.285714285714292</c:v>
                </c:pt>
                <c:pt idx="5">
                  <c:v>1321.2121212121212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21</c:v>
                </c:pt>
                <c:pt idx="3">
                  <c:v>16</c:v>
                </c:pt>
                <c:pt idx="4">
                  <c:v>14</c:v>
                </c:pt>
                <c:pt idx="5">
                  <c:v>11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いちかわ!$M$2:$M$44</c:f>
              <c:numCache>
                <c:formatCode>0</c:formatCode>
                <c:ptCount val="43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-237.77777777777777</c:v>
                </c:pt>
                <c:pt idx="1">
                  <c:v>778.57142857142856</c:v>
                </c:pt>
                <c:pt idx="2">
                  <c:v>169.76744186046511</c:v>
                </c:pt>
                <c:pt idx="3">
                  <c:v>2455</c:v>
                </c:pt>
                <c:pt idx="4">
                  <c:v>629.72972972972968</c:v>
                </c:pt>
                <c:pt idx="5">
                  <c:v>76.666666666666671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12</c:v>
                </c:pt>
                <c:pt idx="1">
                  <c:v>31</c:v>
                </c:pt>
                <c:pt idx="2">
                  <c:v>27</c:v>
                </c:pt>
                <c:pt idx="3">
                  <c:v>20</c:v>
                </c:pt>
                <c:pt idx="4">
                  <c:v>20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ただ!$M$2:$M$47</c:f>
              <c:numCache>
                <c:formatCode>0</c:formatCode>
                <c:ptCount val="46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たかの2!$B$3:$B$45</c:f>
              <c:numCache>
                <c:formatCode>\+0.0;\-0.0;\±0</c:formatCode>
                <c:ptCount val="43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たかの2!$C$3:$C$45</c:f>
              <c:numCache>
                <c:formatCode>\+0.0;\-0.0;\±0</c:formatCode>
                <c:ptCount val="43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  <c:pt idx="13">
                  <c:v>2.692307692307693</c:v>
                </c:pt>
                <c:pt idx="14">
                  <c:v>3.0571428571428574</c:v>
                </c:pt>
                <c:pt idx="15">
                  <c:v>4.0600000000000005</c:v>
                </c:pt>
                <c:pt idx="16">
                  <c:v>2.4125000000000005</c:v>
                </c:pt>
                <c:pt idx="17">
                  <c:v>0.44705882352941229</c:v>
                </c:pt>
                <c:pt idx="18">
                  <c:v>0.83888888888888935</c:v>
                </c:pt>
                <c:pt idx="19">
                  <c:v>2.2315789473684213</c:v>
                </c:pt>
                <c:pt idx="20">
                  <c:v>4.0750000000000002</c:v>
                </c:pt>
                <c:pt idx="21">
                  <c:v>0.71904761904761882</c:v>
                </c:pt>
                <c:pt idx="22">
                  <c:v>0.8181818181818179</c:v>
                </c:pt>
                <c:pt idx="23">
                  <c:v>2.0086956521739125</c:v>
                </c:pt>
                <c:pt idx="24">
                  <c:v>0.69999999999999962</c:v>
                </c:pt>
                <c:pt idx="25">
                  <c:v>2.4279999999999995</c:v>
                </c:pt>
                <c:pt idx="26">
                  <c:v>0.98461538461538411</c:v>
                </c:pt>
                <c:pt idx="27">
                  <c:v>0.63703703703703662</c:v>
                </c:pt>
                <c:pt idx="28">
                  <c:v>2.1857142857142855</c:v>
                </c:pt>
                <c:pt idx="29">
                  <c:v>1.2655172413793099</c:v>
                </c:pt>
                <c:pt idx="30">
                  <c:v>0.37333333333333296</c:v>
                </c:pt>
                <c:pt idx="31">
                  <c:v>0.43870967741935446</c:v>
                </c:pt>
                <c:pt idx="32">
                  <c:v>-0.2906250000000003</c:v>
                </c:pt>
                <c:pt idx="33">
                  <c:v>0.25454545454545424</c:v>
                </c:pt>
                <c:pt idx="34">
                  <c:v>-0.84117647058823553</c:v>
                </c:pt>
                <c:pt idx="35">
                  <c:v>-0.56857142857142884</c:v>
                </c:pt>
                <c:pt idx="36">
                  <c:v>-2.0194444444444444</c:v>
                </c:pt>
                <c:pt idx="37">
                  <c:v>-0.21081081081081074</c:v>
                </c:pt>
                <c:pt idx="38">
                  <c:v>0.55789473684210533</c:v>
                </c:pt>
                <c:pt idx="39">
                  <c:v>1.3794871794871797</c:v>
                </c:pt>
                <c:pt idx="40">
                  <c:v>0.64250000000000007</c:v>
                </c:pt>
                <c:pt idx="41">
                  <c:v>-0.34878048780487797</c:v>
                </c:pt>
                <c:pt idx="42">
                  <c:v>-1.538095238095238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80297366166875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たかの2!$D$3:$D$45</c:f>
              <c:numCache>
                <c:formatCode>0.00\ "位"</c:formatCode>
                <c:ptCount val="43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1.9047619047619047</c:v>
                </c:pt>
                <c:pt idx="22">
                  <c:v>1.9090909090909092</c:v>
                </c:pt>
                <c:pt idx="23">
                  <c:v>1.8695652173913044</c:v>
                </c:pt>
                <c:pt idx="24">
                  <c:v>1.9166666666666667</c:v>
                </c:pt>
                <c:pt idx="25">
                  <c:v>1.88</c:v>
                </c:pt>
                <c:pt idx="26">
                  <c:v>1.9230769230769231</c:v>
                </c:pt>
                <c:pt idx="27">
                  <c:v>1.9259259259259258</c:v>
                </c:pt>
                <c:pt idx="28">
                  <c:v>1.8928571428571428</c:v>
                </c:pt>
                <c:pt idx="29">
                  <c:v>1.9310344827586208</c:v>
                </c:pt>
                <c:pt idx="30">
                  <c:v>1.9666666666666666</c:v>
                </c:pt>
                <c:pt idx="31">
                  <c:v>1.967741935483871</c:v>
                </c:pt>
                <c:pt idx="32">
                  <c:v>2</c:v>
                </c:pt>
                <c:pt idx="33">
                  <c:v>1.9696969696969697</c:v>
                </c:pt>
                <c:pt idx="34">
                  <c:v>2</c:v>
                </c:pt>
                <c:pt idx="35">
                  <c:v>2</c:v>
                </c:pt>
                <c:pt idx="36">
                  <c:v>2.0277777777777777</c:v>
                </c:pt>
                <c:pt idx="37">
                  <c:v>2</c:v>
                </c:pt>
                <c:pt idx="38">
                  <c:v>1.9736842105263157</c:v>
                </c:pt>
                <c:pt idx="39">
                  <c:v>1.9487179487179487</c:v>
                </c:pt>
                <c:pt idx="40">
                  <c:v>1.9750000000000001</c:v>
                </c:pt>
                <c:pt idx="41">
                  <c:v>2</c:v>
                </c:pt>
                <c:pt idx="42">
                  <c:v>2.0238095238095237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0238095238095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たかの2!$E$3:$E$45</c:f>
              <c:numCache>
                <c:formatCode>0.0%</c:formatCode>
                <c:ptCount val="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0.38461538461538464</c:v>
                </c:pt>
                <c:pt idx="40">
                  <c:v>0.375</c:v>
                </c:pt>
                <c:pt idx="41">
                  <c:v>0.36585365853658536</c:v>
                </c:pt>
                <c:pt idx="42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309523809523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たかの2!$F$3:$F$45</c:f>
              <c:numCache>
                <c:formatCode>0.0%</c:formatCode>
                <c:ptCount val="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0.38095238095238093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たかの2!$G$3:$G$45</c:f>
              <c:numCache>
                <c:formatCode>0.0%</c:formatCode>
                <c:ptCount val="43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  <c:pt idx="13">
                  <c:v>0.29661016949152541</c:v>
                </c:pt>
                <c:pt idx="14">
                  <c:v>0.30952380952380953</c:v>
                </c:pt>
                <c:pt idx="15">
                  <c:v>0.30882352941176472</c:v>
                </c:pt>
                <c:pt idx="16">
                  <c:v>0.31468531468531469</c:v>
                </c:pt>
                <c:pt idx="17">
                  <c:v>0.3</c:v>
                </c:pt>
                <c:pt idx="18">
                  <c:v>0.30188679245283018</c:v>
                </c:pt>
                <c:pt idx="19">
                  <c:v>0.30357142857142855</c:v>
                </c:pt>
                <c:pt idx="20">
                  <c:v>0.31073446327683618</c:v>
                </c:pt>
                <c:pt idx="21">
                  <c:v>0.29319371727748689</c:v>
                </c:pt>
                <c:pt idx="22">
                  <c:v>0.28999999999999998</c:v>
                </c:pt>
                <c:pt idx="23">
                  <c:v>0.29439252336448596</c:v>
                </c:pt>
                <c:pt idx="24">
                  <c:v>0.2927927927927928</c:v>
                </c:pt>
                <c:pt idx="25">
                  <c:v>0.30303030303030304</c:v>
                </c:pt>
                <c:pt idx="26">
                  <c:v>0.30543933054393307</c:v>
                </c:pt>
                <c:pt idx="27">
                  <c:v>0.30645161290322581</c:v>
                </c:pt>
                <c:pt idx="28">
                  <c:v>0.30588235294117649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0.30072463768115942</c:v>
                </c:pt>
                <c:pt idx="32">
                  <c:v>0.29577464788732394</c:v>
                </c:pt>
                <c:pt idx="33">
                  <c:v>0.29209621993127149</c:v>
                </c:pt>
                <c:pt idx="34">
                  <c:v>0.29194630872483224</c:v>
                </c:pt>
                <c:pt idx="35">
                  <c:v>0.29738562091503268</c:v>
                </c:pt>
                <c:pt idx="36">
                  <c:v>0.28888888888888886</c:v>
                </c:pt>
                <c:pt idx="37">
                  <c:v>0.29467084639498431</c:v>
                </c:pt>
                <c:pt idx="38">
                  <c:v>0.29969418960244648</c:v>
                </c:pt>
                <c:pt idx="39">
                  <c:v>0.30294117647058821</c:v>
                </c:pt>
                <c:pt idx="40">
                  <c:v>0.30571428571428572</c:v>
                </c:pt>
                <c:pt idx="41">
                  <c:v>0.29945054945054944</c:v>
                </c:pt>
                <c:pt idx="42">
                  <c:v>0.29301075268817206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402777777777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たかの2!$H$3:$H$45</c:f>
              <c:numCache>
                <c:formatCode>0.0%</c:formatCode>
                <c:ptCount val="43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  <c:pt idx="13">
                  <c:v>0.16101694915254236</c:v>
                </c:pt>
                <c:pt idx="14">
                  <c:v>0.15079365079365079</c:v>
                </c:pt>
                <c:pt idx="15">
                  <c:v>0.14705882352941177</c:v>
                </c:pt>
                <c:pt idx="16">
                  <c:v>0.15384615384615385</c:v>
                </c:pt>
                <c:pt idx="17">
                  <c:v>0.16666666666666666</c:v>
                </c:pt>
                <c:pt idx="18">
                  <c:v>0.16352201257861634</c:v>
                </c:pt>
                <c:pt idx="19">
                  <c:v>0.16071428571428573</c:v>
                </c:pt>
                <c:pt idx="20">
                  <c:v>0.15819209039548024</c:v>
                </c:pt>
                <c:pt idx="21">
                  <c:v>0.16230366492146597</c:v>
                </c:pt>
                <c:pt idx="22">
                  <c:v>0.155</c:v>
                </c:pt>
                <c:pt idx="23">
                  <c:v>0.16355140186915887</c:v>
                </c:pt>
                <c:pt idx="24">
                  <c:v>0.16216216216216217</c:v>
                </c:pt>
                <c:pt idx="25">
                  <c:v>0.16450216450216451</c:v>
                </c:pt>
                <c:pt idx="26">
                  <c:v>0.16736401673640167</c:v>
                </c:pt>
                <c:pt idx="27">
                  <c:v>0.17741935483870969</c:v>
                </c:pt>
                <c:pt idx="28">
                  <c:v>0.17254901960784313</c:v>
                </c:pt>
                <c:pt idx="29">
                  <c:v>0.16793893129770993</c:v>
                </c:pt>
                <c:pt idx="30">
                  <c:v>0.17164179104477612</c:v>
                </c:pt>
                <c:pt idx="31">
                  <c:v>0.17753623188405798</c:v>
                </c:pt>
                <c:pt idx="32">
                  <c:v>0.176056338028169</c:v>
                </c:pt>
                <c:pt idx="33">
                  <c:v>0.17525773195876287</c:v>
                </c:pt>
                <c:pt idx="34">
                  <c:v>0.18120805369127516</c:v>
                </c:pt>
                <c:pt idx="35">
                  <c:v>0.17647058823529413</c:v>
                </c:pt>
                <c:pt idx="36">
                  <c:v>0.18412698412698414</c:v>
                </c:pt>
                <c:pt idx="37">
                  <c:v>0.18181818181818182</c:v>
                </c:pt>
                <c:pt idx="38">
                  <c:v>0.18042813455657492</c:v>
                </c:pt>
                <c:pt idx="39">
                  <c:v>0.17352941176470588</c:v>
                </c:pt>
                <c:pt idx="40">
                  <c:v>0.17428571428571429</c:v>
                </c:pt>
                <c:pt idx="41">
                  <c:v>0.17307692307692307</c:v>
                </c:pt>
                <c:pt idx="42">
                  <c:v>0.17204301075268819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02777777777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たかの2!$I$3:$I$45</c:f>
              <c:numCache>
                <c:formatCode>0</c:formatCode>
                <c:ptCount val="43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  <c:pt idx="13">
                  <c:v>7780</c:v>
                </c:pt>
                <c:pt idx="14">
                  <c:v>7266.666666666667</c:v>
                </c:pt>
                <c:pt idx="15">
                  <c:v>7071.4285714285716</c:v>
                </c:pt>
                <c:pt idx="16">
                  <c:v>6704.4444444444443</c:v>
                </c:pt>
                <c:pt idx="17">
                  <c:v>6704.4444444444443</c:v>
                </c:pt>
                <c:pt idx="18">
                  <c:v>6945.833333333333</c:v>
                </c:pt>
                <c:pt idx="19">
                  <c:v>7080.3921568627447</c:v>
                </c:pt>
                <c:pt idx="20">
                  <c:v>7054.545454545455</c:v>
                </c:pt>
                <c:pt idx="21">
                  <c:v>6966.0714285714284</c:v>
                </c:pt>
                <c:pt idx="22">
                  <c:v>6862.0689655172409</c:v>
                </c:pt>
                <c:pt idx="23">
                  <c:v>6930.1587301587306</c:v>
                </c:pt>
                <c:pt idx="24">
                  <c:v>6852.3076923076924</c:v>
                </c:pt>
                <c:pt idx="25">
                  <c:v>6882.8571428571431</c:v>
                </c:pt>
                <c:pt idx="26">
                  <c:v>6920.5479452054797</c:v>
                </c:pt>
                <c:pt idx="27">
                  <c:v>7063.1578947368425</c:v>
                </c:pt>
                <c:pt idx="28">
                  <c:v>7446.1538461538457</c:v>
                </c:pt>
                <c:pt idx="29">
                  <c:v>7446.1538461538457</c:v>
                </c:pt>
                <c:pt idx="30">
                  <c:v>7453.164556962025</c:v>
                </c:pt>
                <c:pt idx="31">
                  <c:v>7419.2771084337346</c:v>
                </c:pt>
                <c:pt idx="32">
                  <c:v>7473.8095238095239</c:v>
                </c:pt>
                <c:pt idx="33">
                  <c:v>7522.3529411764703</c:v>
                </c:pt>
                <c:pt idx="34">
                  <c:v>7455.1724137931033</c:v>
                </c:pt>
                <c:pt idx="35">
                  <c:v>7334.065934065934</c:v>
                </c:pt>
                <c:pt idx="36">
                  <c:v>7334.065934065934</c:v>
                </c:pt>
                <c:pt idx="37">
                  <c:v>7705.3191489361698</c:v>
                </c:pt>
                <c:pt idx="38">
                  <c:v>7673.4693877551017</c:v>
                </c:pt>
                <c:pt idx="39">
                  <c:v>7652.4271844660198</c:v>
                </c:pt>
                <c:pt idx="40">
                  <c:v>7552.336448598131</c:v>
                </c:pt>
                <c:pt idx="41">
                  <c:v>7549.54128440367</c:v>
                </c:pt>
                <c:pt idx="42">
                  <c:v>7549.54128440367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91.00591715976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たかの2!$J$3:$J$45</c:f>
              <c:numCache>
                <c:formatCode>0</c:formatCode>
                <c:ptCount val="43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  <c:pt idx="13">
                  <c:v>-7157.894736842105</c:v>
                </c:pt>
                <c:pt idx="14">
                  <c:v>-7157.894736842105</c:v>
                </c:pt>
                <c:pt idx="15">
                  <c:v>-6900</c:v>
                </c:pt>
                <c:pt idx="16">
                  <c:v>-6727.272727272727</c:v>
                </c:pt>
                <c:pt idx="17">
                  <c:v>-6628</c:v>
                </c:pt>
                <c:pt idx="18">
                  <c:v>-6669.2307692307695</c:v>
                </c:pt>
                <c:pt idx="19">
                  <c:v>-6637.0370370370374</c:v>
                </c:pt>
                <c:pt idx="20">
                  <c:v>-6607.1428571428569</c:v>
                </c:pt>
                <c:pt idx="21">
                  <c:v>-7290.322580645161</c:v>
                </c:pt>
                <c:pt idx="22">
                  <c:v>-7290.322580645161</c:v>
                </c:pt>
                <c:pt idx="23">
                  <c:v>-7002.8571428571431</c:v>
                </c:pt>
                <c:pt idx="24">
                  <c:v>-7022.2222222222226</c:v>
                </c:pt>
                <c:pt idx="25">
                  <c:v>-6915.7894736842109</c:v>
                </c:pt>
                <c:pt idx="26">
                  <c:v>-7370</c:v>
                </c:pt>
                <c:pt idx="27">
                  <c:v>-7518.181818181818</c:v>
                </c:pt>
                <c:pt idx="28">
                  <c:v>-7518.181818181818</c:v>
                </c:pt>
                <c:pt idx="29">
                  <c:v>-7518.181818181818</c:v>
                </c:pt>
                <c:pt idx="30">
                  <c:v>-7539.130434782609</c:v>
                </c:pt>
                <c:pt idx="31">
                  <c:v>-7620.408163265306</c:v>
                </c:pt>
                <c:pt idx="32">
                  <c:v>-7708</c:v>
                </c:pt>
                <c:pt idx="33">
                  <c:v>-7582.3529411764703</c:v>
                </c:pt>
                <c:pt idx="34">
                  <c:v>-7775.9259259259261</c:v>
                </c:pt>
                <c:pt idx="35">
                  <c:v>-7775.9259259259261</c:v>
                </c:pt>
                <c:pt idx="36">
                  <c:v>-7800</c:v>
                </c:pt>
                <c:pt idx="37">
                  <c:v>-7800</c:v>
                </c:pt>
                <c:pt idx="38">
                  <c:v>-7798.3050847457625</c:v>
                </c:pt>
                <c:pt idx="39">
                  <c:v>-7798.3050847457625</c:v>
                </c:pt>
                <c:pt idx="40">
                  <c:v>-8100</c:v>
                </c:pt>
                <c:pt idx="41">
                  <c:v>-8092.063492063492</c:v>
                </c:pt>
                <c:pt idx="42">
                  <c:v>-8153.125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37.77292576419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たかの2!$K$3:$K$45</c:f>
              <c:numCache>
                <c:formatCode>0.0%</c:formatCode>
                <c:ptCount val="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630952380952380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たかの2!$L$3:$L$45</c:f>
              <c:numCache>
                <c:formatCode>0.0%</c:formatCode>
                <c:ptCount val="43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  <c:pt idx="13">
                  <c:v>0.23728813559322035</c:v>
                </c:pt>
                <c:pt idx="14">
                  <c:v>0.24603174603174602</c:v>
                </c:pt>
                <c:pt idx="15">
                  <c:v>0.25</c:v>
                </c:pt>
                <c:pt idx="16">
                  <c:v>0.25874125874125875</c:v>
                </c:pt>
                <c:pt idx="17">
                  <c:v>0.25333333333333335</c:v>
                </c:pt>
                <c:pt idx="18">
                  <c:v>0.25157232704402516</c:v>
                </c:pt>
                <c:pt idx="19">
                  <c:v>0.25595238095238093</c:v>
                </c:pt>
                <c:pt idx="20">
                  <c:v>0.25988700564971751</c:v>
                </c:pt>
                <c:pt idx="21">
                  <c:v>0.2513089005235602</c:v>
                </c:pt>
                <c:pt idx="22">
                  <c:v>0.25</c:v>
                </c:pt>
                <c:pt idx="23">
                  <c:v>0.24766355140186916</c:v>
                </c:pt>
                <c:pt idx="24">
                  <c:v>0.25675675675675674</c:v>
                </c:pt>
                <c:pt idx="25">
                  <c:v>0.25541125541125542</c:v>
                </c:pt>
                <c:pt idx="26">
                  <c:v>0.26359832635983266</c:v>
                </c:pt>
                <c:pt idx="27">
                  <c:v>0.27016129032258063</c:v>
                </c:pt>
                <c:pt idx="28">
                  <c:v>0.27450980392156865</c:v>
                </c:pt>
                <c:pt idx="29">
                  <c:v>0.26717557251908397</c:v>
                </c:pt>
                <c:pt idx="30">
                  <c:v>0.27238805970149255</c:v>
                </c:pt>
                <c:pt idx="31">
                  <c:v>0.27898550724637683</c:v>
                </c:pt>
                <c:pt idx="32">
                  <c:v>0.27464788732394368</c:v>
                </c:pt>
                <c:pt idx="33">
                  <c:v>0.27491408934707906</c:v>
                </c:pt>
                <c:pt idx="34">
                  <c:v>0.27181208053691275</c:v>
                </c:pt>
                <c:pt idx="35">
                  <c:v>0.27450980392156865</c:v>
                </c:pt>
                <c:pt idx="36">
                  <c:v>0.26984126984126983</c:v>
                </c:pt>
                <c:pt idx="37">
                  <c:v>0.2664576802507837</c:v>
                </c:pt>
                <c:pt idx="38">
                  <c:v>0.26605504587155965</c:v>
                </c:pt>
                <c:pt idx="39">
                  <c:v>0.26470588235294118</c:v>
                </c:pt>
                <c:pt idx="40">
                  <c:v>0.26</c:v>
                </c:pt>
                <c:pt idx="41">
                  <c:v>0.26098901098901101</c:v>
                </c:pt>
                <c:pt idx="42">
                  <c:v>0.260752688172043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9236111111111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たかの2!$M$3:$M$45</c:f>
              <c:numCache>
                <c:formatCode>0.0%</c:formatCode>
                <c:ptCount val="43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  <c:pt idx="13">
                  <c:v>0.34745762711864409</c:v>
                </c:pt>
                <c:pt idx="14">
                  <c:v>0.34126984126984128</c:v>
                </c:pt>
                <c:pt idx="15">
                  <c:v>0.33088235294117646</c:v>
                </c:pt>
                <c:pt idx="16">
                  <c:v>0.33566433566433568</c:v>
                </c:pt>
                <c:pt idx="17">
                  <c:v>0.32</c:v>
                </c:pt>
                <c:pt idx="18">
                  <c:v>0.32075471698113206</c:v>
                </c:pt>
                <c:pt idx="19">
                  <c:v>0.30952380952380953</c:v>
                </c:pt>
                <c:pt idx="20">
                  <c:v>0.29378531073446329</c:v>
                </c:pt>
                <c:pt idx="21">
                  <c:v>0.30366492146596857</c:v>
                </c:pt>
                <c:pt idx="22">
                  <c:v>0.315</c:v>
                </c:pt>
                <c:pt idx="23">
                  <c:v>0.30373831775700932</c:v>
                </c:pt>
                <c:pt idx="24">
                  <c:v>0.29729729729729731</c:v>
                </c:pt>
                <c:pt idx="25">
                  <c:v>0.30735930735930733</c:v>
                </c:pt>
                <c:pt idx="26">
                  <c:v>0.29707112970711297</c:v>
                </c:pt>
                <c:pt idx="27">
                  <c:v>0.29435483870967744</c:v>
                </c:pt>
                <c:pt idx="28">
                  <c:v>0.29803921568627451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0.29347826086956524</c:v>
                </c:pt>
                <c:pt idx="32">
                  <c:v>0.29577464788732394</c:v>
                </c:pt>
                <c:pt idx="33">
                  <c:v>0.29553264604810997</c:v>
                </c:pt>
                <c:pt idx="34">
                  <c:v>0.29194630872483224</c:v>
                </c:pt>
                <c:pt idx="35">
                  <c:v>0.29738562091503268</c:v>
                </c:pt>
                <c:pt idx="36">
                  <c:v>0.29841269841269841</c:v>
                </c:pt>
                <c:pt idx="37">
                  <c:v>0.30094043887147337</c:v>
                </c:pt>
                <c:pt idx="38">
                  <c:v>0.29969418960244648</c:v>
                </c:pt>
                <c:pt idx="39">
                  <c:v>0.30294117647058821</c:v>
                </c:pt>
                <c:pt idx="40">
                  <c:v>0.30857142857142855</c:v>
                </c:pt>
                <c:pt idx="41">
                  <c:v>0.30769230769230771</c:v>
                </c:pt>
                <c:pt idx="42">
                  <c:v>0.30376344086021506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472222222222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たかの2!$N$3:$N$45</c:f>
              <c:numCache>
                <c:formatCode>0.0%</c:formatCode>
                <c:ptCount val="43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  <c:pt idx="13">
                  <c:v>0.42857142857142855</c:v>
                </c:pt>
                <c:pt idx="14">
                  <c:v>0.45161290322580644</c:v>
                </c:pt>
                <c:pt idx="15">
                  <c:v>0.44117647058823528</c:v>
                </c:pt>
                <c:pt idx="16">
                  <c:v>0.45945945945945948</c:v>
                </c:pt>
                <c:pt idx="17">
                  <c:v>0.44736842105263158</c:v>
                </c:pt>
                <c:pt idx="18">
                  <c:v>0.45</c:v>
                </c:pt>
                <c:pt idx="19">
                  <c:v>0.44186046511627908</c:v>
                </c:pt>
                <c:pt idx="20">
                  <c:v>0.43478260869565216</c:v>
                </c:pt>
                <c:pt idx="21">
                  <c:v>0.41666666666666669</c:v>
                </c:pt>
                <c:pt idx="22">
                  <c:v>0.4</c:v>
                </c:pt>
                <c:pt idx="23">
                  <c:v>0.43396226415094341</c:v>
                </c:pt>
                <c:pt idx="24">
                  <c:v>0.42105263157894735</c:v>
                </c:pt>
                <c:pt idx="25">
                  <c:v>0.44067796610169491</c:v>
                </c:pt>
                <c:pt idx="26">
                  <c:v>0.46031746031746029</c:v>
                </c:pt>
                <c:pt idx="27">
                  <c:v>0.46268656716417911</c:v>
                </c:pt>
                <c:pt idx="28">
                  <c:v>0.47142857142857142</c:v>
                </c:pt>
                <c:pt idx="29">
                  <c:v>0.47142857142857142</c:v>
                </c:pt>
                <c:pt idx="30">
                  <c:v>0.46575342465753422</c:v>
                </c:pt>
                <c:pt idx="31">
                  <c:v>0.48051948051948051</c:v>
                </c:pt>
                <c:pt idx="32">
                  <c:v>0.47435897435897434</c:v>
                </c:pt>
                <c:pt idx="33">
                  <c:v>0.46250000000000002</c:v>
                </c:pt>
                <c:pt idx="34">
                  <c:v>0.46913580246913578</c:v>
                </c:pt>
                <c:pt idx="35">
                  <c:v>0.47619047619047616</c:v>
                </c:pt>
                <c:pt idx="36">
                  <c:v>0.47058823529411764</c:v>
                </c:pt>
                <c:pt idx="37">
                  <c:v>0.47058823529411764</c:v>
                </c:pt>
                <c:pt idx="38">
                  <c:v>0.47126436781609193</c:v>
                </c:pt>
                <c:pt idx="39">
                  <c:v>0.46666666666666667</c:v>
                </c:pt>
                <c:pt idx="40">
                  <c:v>0.46153846153846156</c:v>
                </c:pt>
                <c:pt idx="41">
                  <c:v>0.45263157894736844</c:v>
                </c:pt>
                <c:pt idx="42">
                  <c:v>0.44329896907216493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8142235123367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たかの2!$O$3:$O$45</c:f>
              <c:numCache>
                <c:formatCode>0.0%</c:formatCode>
                <c:ptCount val="43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  <c:pt idx="13">
                  <c:v>0.43902439024390244</c:v>
                </c:pt>
                <c:pt idx="14">
                  <c:v>0.44186046511627908</c:v>
                </c:pt>
                <c:pt idx="15">
                  <c:v>0.46666666666666667</c:v>
                </c:pt>
                <c:pt idx="16">
                  <c:v>0.45833333333333331</c:v>
                </c:pt>
                <c:pt idx="17">
                  <c:v>0.45833333333333331</c:v>
                </c:pt>
                <c:pt idx="18">
                  <c:v>0.47058823529411764</c:v>
                </c:pt>
                <c:pt idx="19">
                  <c:v>0.48076923076923078</c:v>
                </c:pt>
                <c:pt idx="20">
                  <c:v>0.48076923076923078</c:v>
                </c:pt>
                <c:pt idx="21">
                  <c:v>0.43103448275862066</c:v>
                </c:pt>
                <c:pt idx="22">
                  <c:v>0.42857142857142855</c:v>
                </c:pt>
                <c:pt idx="23">
                  <c:v>0.41538461538461541</c:v>
                </c:pt>
                <c:pt idx="24">
                  <c:v>0.40909090909090912</c:v>
                </c:pt>
                <c:pt idx="25">
                  <c:v>0.42253521126760563</c:v>
                </c:pt>
                <c:pt idx="26">
                  <c:v>0.42253521126760563</c:v>
                </c:pt>
                <c:pt idx="27">
                  <c:v>0.42465753424657532</c:v>
                </c:pt>
                <c:pt idx="28">
                  <c:v>0.40789473684210525</c:v>
                </c:pt>
                <c:pt idx="29">
                  <c:v>0.39743589743589741</c:v>
                </c:pt>
                <c:pt idx="30">
                  <c:v>0.39240506329113922</c:v>
                </c:pt>
                <c:pt idx="31">
                  <c:v>0.39506172839506171</c:v>
                </c:pt>
                <c:pt idx="32">
                  <c:v>0.38095238095238093</c:v>
                </c:pt>
                <c:pt idx="33">
                  <c:v>0.38372093023255816</c:v>
                </c:pt>
                <c:pt idx="34">
                  <c:v>0.39080459770114945</c:v>
                </c:pt>
                <c:pt idx="35">
                  <c:v>0.39560439560439559</c:v>
                </c:pt>
                <c:pt idx="36">
                  <c:v>0.38297872340425532</c:v>
                </c:pt>
                <c:pt idx="37">
                  <c:v>0.39583333333333331</c:v>
                </c:pt>
                <c:pt idx="38">
                  <c:v>0.40816326530612246</c:v>
                </c:pt>
                <c:pt idx="39">
                  <c:v>0.40776699029126212</c:v>
                </c:pt>
                <c:pt idx="40">
                  <c:v>0.41666666666666669</c:v>
                </c:pt>
                <c:pt idx="41">
                  <c:v>0.4107142857142857</c:v>
                </c:pt>
                <c:pt idx="42">
                  <c:v>0.40707964601769914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373860182370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たかの2!$P$3:$P$45</c:f>
              <c:numCache>
                <c:formatCode>0.0%</c:formatCode>
                <c:ptCount val="43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  <c:pt idx="13">
                  <c:v>0.51428571428571423</c:v>
                </c:pt>
                <c:pt idx="14">
                  <c:v>0.53846153846153844</c:v>
                </c:pt>
                <c:pt idx="15">
                  <c:v>0.5</c:v>
                </c:pt>
                <c:pt idx="16">
                  <c:v>0.48888888888888887</c:v>
                </c:pt>
                <c:pt idx="17">
                  <c:v>0.48888888888888887</c:v>
                </c:pt>
                <c:pt idx="18">
                  <c:v>0.5</c:v>
                </c:pt>
                <c:pt idx="19">
                  <c:v>0.50980392156862742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</c:v>
                </c:pt>
                <c:pt idx="23">
                  <c:v>0.50793650793650791</c:v>
                </c:pt>
                <c:pt idx="24">
                  <c:v>0.52307692307692311</c:v>
                </c:pt>
                <c:pt idx="25">
                  <c:v>0.51428571428571423</c:v>
                </c:pt>
                <c:pt idx="26">
                  <c:v>0.49315068493150682</c:v>
                </c:pt>
                <c:pt idx="27">
                  <c:v>0.47368421052631576</c:v>
                </c:pt>
                <c:pt idx="28">
                  <c:v>0.48717948717948717</c:v>
                </c:pt>
                <c:pt idx="29">
                  <c:v>0.48717948717948717</c:v>
                </c:pt>
                <c:pt idx="30">
                  <c:v>0.49367088607594939</c:v>
                </c:pt>
                <c:pt idx="31">
                  <c:v>0.48192771084337349</c:v>
                </c:pt>
                <c:pt idx="32">
                  <c:v>0.48809523809523808</c:v>
                </c:pt>
                <c:pt idx="33">
                  <c:v>0.49411764705882355</c:v>
                </c:pt>
                <c:pt idx="34">
                  <c:v>0.4942528735632184</c:v>
                </c:pt>
                <c:pt idx="35">
                  <c:v>0.48351648351648352</c:v>
                </c:pt>
                <c:pt idx="36">
                  <c:v>0.48351648351648352</c:v>
                </c:pt>
                <c:pt idx="37">
                  <c:v>0.47872340425531917</c:v>
                </c:pt>
                <c:pt idx="38">
                  <c:v>0.48979591836734693</c:v>
                </c:pt>
                <c:pt idx="39">
                  <c:v>0.46601941747572817</c:v>
                </c:pt>
                <c:pt idx="40">
                  <c:v>0.46728971962616822</c:v>
                </c:pt>
                <c:pt idx="41">
                  <c:v>0.46788990825688076</c:v>
                </c:pt>
                <c:pt idx="42">
                  <c:v>0.46788990825688076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0887573964497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42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9" x14ac:dyDescent="0.4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244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240</v>
      </c>
      <c r="H30" s="2" t="s">
        <v>246</v>
      </c>
      <c r="I30" s="2" t="s">
        <v>245</v>
      </c>
    </row>
    <row r="31" spans="1:9" x14ac:dyDescent="0.4">
      <c r="A31" s="2" t="s">
        <v>247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248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249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240</v>
      </c>
    </row>
    <row r="34" spans="1:7" x14ac:dyDescent="0.4">
      <c r="A34" s="2" t="s">
        <v>250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251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252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253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254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255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256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257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258</v>
      </c>
      <c r="B42" s="3">
        <v>44164.722812499997</v>
      </c>
      <c r="C42" s="2" t="s">
        <v>127</v>
      </c>
      <c r="D42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225</v>
      </c>
    </row>
    <row r="2" spans="1:3" x14ac:dyDescent="0.4">
      <c r="A2" t="s">
        <v>126</v>
      </c>
      <c r="B2" s="120">
        <v>91</v>
      </c>
      <c r="C2" s="120">
        <v>1842.3339395535957</v>
      </c>
    </row>
    <row r="3" spans="1:3" x14ac:dyDescent="0.4">
      <c r="A3" t="s">
        <v>163</v>
      </c>
      <c r="B3" s="120">
        <v>52</v>
      </c>
      <c r="C3" s="120">
        <v>1653.1699313523677</v>
      </c>
    </row>
    <row r="4" spans="1:3" x14ac:dyDescent="0.4">
      <c r="A4" t="s">
        <v>139</v>
      </c>
      <c r="B4" s="120">
        <v>336</v>
      </c>
      <c r="C4" s="120">
        <v>1594.5463045050694</v>
      </c>
    </row>
    <row r="5" spans="1:3" x14ac:dyDescent="0.4">
      <c r="A5" t="s">
        <v>190</v>
      </c>
      <c r="B5" s="120">
        <v>28</v>
      </c>
      <c r="C5" s="120">
        <v>1524.3778689305989</v>
      </c>
    </row>
    <row r="6" spans="1:3" x14ac:dyDescent="0.4">
      <c r="A6" t="s">
        <v>192</v>
      </c>
      <c r="B6" s="120">
        <v>45</v>
      </c>
      <c r="C6" s="120">
        <v>1517.1288342047803</v>
      </c>
    </row>
    <row r="7" spans="1:3" x14ac:dyDescent="0.4">
      <c r="A7" t="s">
        <v>211</v>
      </c>
      <c r="B7" s="120">
        <v>42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42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4</v>
      </c>
      <c r="C13" s="120">
        <v>1348.2487416206377</v>
      </c>
    </row>
    <row r="14" spans="1:3" x14ac:dyDescent="0.4">
      <c r="A14" t="s">
        <v>201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">
      <c r="A2" s="36" t="s">
        <v>208</v>
      </c>
      <c r="B2" s="141">
        <v>0.92648144615895334</v>
      </c>
      <c r="C2" s="142"/>
      <c r="D2" s="141">
        <v>0.4929928169027939</v>
      </c>
      <c r="E2" s="142"/>
      <c r="F2" s="141">
        <v>0.4498569828250768</v>
      </c>
      <c r="G2" s="142"/>
      <c r="H2" s="147"/>
      <c r="I2" s="148"/>
      <c r="J2" s="141">
        <v>3.910597940165457E-2</v>
      </c>
      <c r="K2" s="142"/>
      <c r="L2" s="141">
        <v>-0.22903411763356937</v>
      </c>
      <c r="M2" s="142"/>
      <c r="N2" s="141">
        <v>0.3373065637595587</v>
      </c>
      <c r="O2" s="142"/>
      <c r="P2" s="141">
        <v>0.43458485941308195</v>
      </c>
      <c r="Q2" s="142"/>
      <c r="R2" s="141">
        <v>-4.8631524478554039E-2</v>
      </c>
      <c r="S2" s="142"/>
      <c r="T2" s="141">
        <v>0.29793535398007326</v>
      </c>
      <c r="U2" s="142"/>
      <c r="V2" s="141">
        <v>3.7197870052518692E-2</v>
      </c>
      <c r="W2" s="142"/>
      <c r="X2" s="141">
        <v>0.29199585554918689</v>
      </c>
      <c r="Y2" s="142"/>
      <c r="Z2" s="141">
        <v>0.26041309084494579</v>
      </c>
      <c r="AA2" s="142"/>
      <c r="AB2" s="141">
        <v>0.18930336405498815</v>
      </c>
      <c r="AC2" s="142"/>
      <c r="AD2" s="141">
        <v>-0.10069732809480969</v>
      </c>
      <c r="AE2" s="142"/>
      <c r="AF2" s="141">
        <v>0.43408916582609913</v>
      </c>
      <c r="AG2" s="142"/>
      <c r="AH2" s="141">
        <v>-0.11463505958377386</v>
      </c>
      <c r="AI2" s="142"/>
      <c r="AJ2" s="141">
        <v>0.82713145391176934</v>
      </c>
      <c r="AK2" s="142"/>
    </row>
    <row r="3" spans="1:37" x14ac:dyDescent="0.4">
      <c r="A3" s="38">
        <v>1</v>
      </c>
      <c r="B3" s="41" t="s">
        <v>139</v>
      </c>
      <c r="C3" s="113">
        <v>112</v>
      </c>
      <c r="D3" s="39" t="s">
        <v>192</v>
      </c>
      <c r="E3" s="40">
        <v>228.89999999999995</v>
      </c>
      <c r="F3" s="41" t="s">
        <v>192</v>
      </c>
      <c r="G3" s="60">
        <v>5.0866666666666651</v>
      </c>
      <c r="H3" s="41" t="s">
        <v>126</v>
      </c>
      <c r="I3" s="45">
        <v>1773.1093100730232</v>
      </c>
      <c r="J3" s="41" t="s">
        <v>192</v>
      </c>
      <c r="K3" s="42">
        <v>1.8222222222222222</v>
      </c>
      <c r="L3" s="41" t="s">
        <v>195</v>
      </c>
      <c r="M3" s="43">
        <v>0.5</v>
      </c>
      <c r="N3" s="41" t="s">
        <v>190</v>
      </c>
      <c r="O3" s="43">
        <v>0.21428571428571427</v>
      </c>
      <c r="P3" s="41" t="s">
        <v>192</v>
      </c>
      <c r="Q3" s="44">
        <v>0.32736572890025578</v>
      </c>
      <c r="R3" s="41" t="s">
        <v>190</v>
      </c>
      <c r="S3" s="44">
        <v>0.10245901639344263</v>
      </c>
      <c r="T3" s="41" t="s">
        <v>221</v>
      </c>
      <c r="U3" s="45">
        <v>10925</v>
      </c>
      <c r="V3" s="41" t="s">
        <v>190</v>
      </c>
      <c r="W3" s="45">
        <v>-6124</v>
      </c>
      <c r="X3" s="41" t="s">
        <v>193</v>
      </c>
      <c r="Y3" s="43">
        <v>0</v>
      </c>
      <c r="Z3" s="41" t="s">
        <v>163</v>
      </c>
      <c r="AA3" s="44">
        <v>0.27947598253275108</v>
      </c>
      <c r="AB3" s="41" t="s">
        <v>189</v>
      </c>
      <c r="AC3" s="44">
        <v>0.30376344086021506</v>
      </c>
      <c r="AD3" s="41" t="s">
        <v>195</v>
      </c>
      <c r="AE3" s="44">
        <v>0.69565217391304346</v>
      </c>
      <c r="AF3" s="41" t="s">
        <v>211</v>
      </c>
      <c r="AG3" s="44">
        <v>0.49333333333333335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91</v>
      </c>
      <c r="D4" s="47" t="s">
        <v>126</v>
      </c>
      <c r="E4" s="48">
        <v>169.09999999999994</v>
      </c>
      <c r="F4" s="49" t="s">
        <v>211</v>
      </c>
      <c r="G4" s="61">
        <v>3.0190476190476185</v>
      </c>
      <c r="H4" s="49" t="s">
        <v>163</v>
      </c>
      <c r="I4" s="53">
        <v>1630.7087278091974</v>
      </c>
      <c r="J4" s="49" t="s">
        <v>195</v>
      </c>
      <c r="K4" s="50">
        <v>1.9166666666666667</v>
      </c>
      <c r="L4" s="49" t="s">
        <v>192</v>
      </c>
      <c r="M4" s="51">
        <v>0.42222222222222222</v>
      </c>
      <c r="N4" s="49" t="s">
        <v>192</v>
      </c>
      <c r="O4" s="51">
        <v>0.24444444444444444</v>
      </c>
      <c r="P4" s="49" t="s">
        <v>126</v>
      </c>
      <c r="Q4" s="52">
        <v>0.32236842105263158</v>
      </c>
      <c r="R4" s="49" t="s">
        <v>192</v>
      </c>
      <c r="S4" s="52">
        <v>0.11508951406649616</v>
      </c>
      <c r="T4" s="49" t="s">
        <v>163</v>
      </c>
      <c r="U4" s="53">
        <v>8914.4</v>
      </c>
      <c r="V4" s="49" t="s">
        <v>211</v>
      </c>
      <c r="W4" s="53">
        <v>-6579.166666666667</v>
      </c>
      <c r="X4" s="49" t="s">
        <v>221</v>
      </c>
      <c r="Y4" s="51">
        <v>0</v>
      </c>
      <c r="Z4" s="49" t="s">
        <v>189</v>
      </c>
      <c r="AA4" s="52">
        <v>0.260752688172043</v>
      </c>
      <c r="AB4" s="49" t="s">
        <v>193</v>
      </c>
      <c r="AC4" s="52">
        <v>0.2857142857142857</v>
      </c>
      <c r="AD4" s="49" t="s">
        <v>211</v>
      </c>
      <c r="AE4" s="52">
        <v>0.58666666666666667</v>
      </c>
      <c r="AF4" s="49" t="s">
        <v>126</v>
      </c>
      <c r="AG4" s="52">
        <v>0.47468354430379744</v>
      </c>
      <c r="AH4" s="49" t="s">
        <v>195</v>
      </c>
      <c r="AI4" s="52">
        <v>0.55172413793103448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52</v>
      </c>
      <c r="D5" s="47" t="s">
        <v>211</v>
      </c>
      <c r="E5" s="48">
        <v>126.79999999999998</v>
      </c>
      <c r="F5" s="49" t="s">
        <v>126</v>
      </c>
      <c r="G5" s="61">
        <v>1.8582417582417576</v>
      </c>
      <c r="H5" s="49" t="s">
        <v>139</v>
      </c>
      <c r="I5" s="53">
        <v>1602.838696093351</v>
      </c>
      <c r="J5" s="49" t="s">
        <v>211</v>
      </c>
      <c r="K5" s="50">
        <v>1.9523809523809523</v>
      </c>
      <c r="L5" s="49" t="s">
        <v>211</v>
      </c>
      <c r="M5" s="51">
        <v>0.38095238095238093</v>
      </c>
      <c r="N5" s="49" t="s">
        <v>211</v>
      </c>
      <c r="O5" s="51">
        <v>0.33333333333333331</v>
      </c>
      <c r="P5" s="49" t="s">
        <v>211</v>
      </c>
      <c r="Q5" s="52">
        <v>0.30362116991643456</v>
      </c>
      <c r="R5" s="49" t="s">
        <v>211</v>
      </c>
      <c r="S5" s="52">
        <v>0.13370473537604458</v>
      </c>
      <c r="T5" s="49" t="s">
        <v>195</v>
      </c>
      <c r="U5" s="53">
        <v>8606.8965517241377</v>
      </c>
      <c r="V5" s="49" t="s">
        <v>126</v>
      </c>
      <c r="W5" s="53">
        <v>-7286.1313868613142</v>
      </c>
      <c r="X5" s="49" t="s">
        <v>211</v>
      </c>
      <c r="Y5" s="51">
        <v>4.7619047619047616E-2</v>
      </c>
      <c r="Z5" s="49" t="s">
        <v>193</v>
      </c>
      <c r="AA5" s="52">
        <v>0.25714285714285712</v>
      </c>
      <c r="AB5" s="49" t="s">
        <v>221</v>
      </c>
      <c r="AC5" s="52">
        <v>0.27777777777777779</v>
      </c>
      <c r="AD5" s="49" t="s">
        <v>126</v>
      </c>
      <c r="AE5" s="52">
        <v>0.56451612903225812</v>
      </c>
      <c r="AF5" s="49" t="s">
        <v>139</v>
      </c>
      <c r="AG5" s="52">
        <v>0.41337386018237082</v>
      </c>
      <c r="AH5" s="49" t="s">
        <v>126</v>
      </c>
      <c r="AI5" s="52">
        <v>0.47755102040816327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45</v>
      </c>
      <c r="D6" s="47" t="s">
        <v>139</v>
      </c>
      <c r="E6" s="48">
        <v>4.9737991503207013E-14</v>
      </c>
      <c r="F6" s="49" t="s">
        <v>139</v>
      </c>
      <c r="G6" s="61">
        <v>1.4802973661668753E-16</v>
      </c>
      <c r="H6" s="49" t="s">
        <v>192</v>
      </c>
      <c r="I6" s="53">
        <v>1573.325689506974</v>
      </c>
      <c r="J6" s="49" t="s">
        <v>139</v>
      </c>
      <c r="K6" s="50">
        <v>1.9970238095238095</v>
      </c>
      <c r="L6" s="49" t="s">
        <v>189</v>
      </c>
      <c r="M6" s="51">
        <v>0.35714285714285715</v>
      </c>
      <c r="N6" s="49" t="s">
        <v>139</v>
      </c>
      <c r="O6" s="51">
        <v>0.33333333333333331</v>
      </c>
      <c r="P6" s="49" t="s">
        <v>139</v>
      </c>
      <c r="Q6" s="52">
        <v>0.29340277777777779</v>
      </c>
      <c r="R6" s="49" t="s">
        <v>139</v>
      </c>
      <c r="S6" s="52">
        <v>0.15902777777777777</v>
      </c>
      <c r="T6" s="49" t="s">
        <v>126</v>
      </c>
      <c r="U6" s="53">
        <v>8323.6734693877552</v>
      </c>
      <c r="V6" s="49" t="s">
        <v>195</v>
      </c>
      <c r="W6" s="53">
        <v>-7629.411764705882</v>
      </c>
      <c r="X6" s="49" t="s">
        <v>190</v>
      </c>
      <c r="Y6" s="51">
        <v>7.1428571428571425E-2</v>
      </c>
      <c r="Z6" s="49" t="s">
        <v>126</v>
      </c>
      <c r="AA6" s="52">
        <v>0.24473684210526317</v>
      </c>
      <c r="AB6" s="49" t="s">
        <v>192</v>
      </c>
      <c r="AC6" s="52">
        <v>0.26854219948849106</v>
      </c>
      <c r="AD6" s="49" t="s">
        <v>192</v>
      </c>
      <c r="AE6" s="52">
        <v>0.54430379746835444</v>
      </c>
      <c r="AF6" s="49" t="s">
        <v>192</v>
      </c>
      <c r="AG6" s="52">
        <v>0.40952380952380951</v>
      </c>
      <c r="AH6" s="49" t="s">
        <v>163</v>
      </c>
      <c r="AI6" s="52">
        <v>0.47199999999999998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211</v>
      </c>
      <c r="C7" s="114">
        <v>42</v>
      </c>
      <c r="D7" s="47" t="s">
        <v>221</v>
      </c>
      <c r="E7" s="48">
        <v>-13.5</v>
      </c>
      <c r="F7" s="49" t="s">
        <v>189</v>
      </c>
      <c r="G7" s="61">
        <v>-1.538095238095238</v>
      </c>
      <c r="H7" s="49" t="s">
        <v>211</v>
      </c>
      <c r="I7" s="53">
        <v>1528.5796310913058</v>
      </c>
      <c r="J7" s="49" t="s">
        <v>190</v>
      </c>
      <c r="K7" s="50">
        <v>2</v>
      </c>
      <c r="L7" s="49" t="s">
        <v>139</v>
      </c>
      <c r="M7" s="51">
        <v>0.33630952380952384</v>
      </c>
      <c r="N7" s="49" t="s">
        <v>126</v>
      </c>
      <c r="O7" s="51">
        <v>0.34065934065934067</v>
      </c>
      <c r="P7" s="49" t="s">
        <v>189</v>
      </c>
      <c r="Q7" s="52">
        <v>0.29301075268817206</v>
      </c>
      <c r="R7" s="49" t="s">
        <v>195</v>
      </c>
      <c r="S7" s="52">
        <v>0.1650485436893204</v>
      </c>
      <c r="T7" s="49" t="s">
        <v>193</v>
      </c>
      <c r="U7" s="53">
        <v>8212.5</v>
      </c>
      <c r="V7" s="49" t="s">
        <v>139</v>
      </c>
      <c r="W7" s="53">
        <v>-7637.7729257641922</v>
      </c>
      <c r="X7" s="49" t="s">
        <v>189</v>
      </c>
      <c r="Y7" s="51">
        <v>7.1428571428571425E-2</v>
      </c>
      <c r="Z7" s="49" t="s">
        <v>139</v>
      </c>
      <c r="AA7" s="52">
        <v>0.23923611111111112</v>
      </c>
      <c r="AB7" s="49" t="s">
        <v>139</v>
      </c>
      <c r="AC7" s="52">
        <v>0.22847222222222222</v>
      </c>
      <c r="AD7" s="49" t="s">
        <v>139</v>
      </c>
      <c r="AE7" s="52">
        <v>0.51814223512336721</v>
      </c>
      <c r="AF7" s="49" t="s">
        <v>189</v>
      </c>
      <c r="AG7" s="52">
        <v>0.40707964601769914</v>
      </c>
      <c r="AH7" s="49" t="s">
        <v>189</v>
      </c>
      <c r="AI7" s="52">
        <v>0.46788990825688076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189</v>
      </c>
      <c r="C8" s="114">
        <v>42</v>
      </c>
      <c r="D8" s="47" t="s">
        <v>195</v>
      </c>
      <c r="E8" s="48">
        <v>-39.5</v>
      </c>
      <c r="F8" s="49" t="s">
        <v>163</v>
      </c>
      <c r="G8" s="61">
        <v>-2.0750000000000002</v>
      </c>
      <c r="H8" s="49" t="s">
        <v>190</v>
      </c>
      <c r="I8" s="53">
        <v>1525.2391528138457</v>
      </c>
      <c r="J8" s="49" t="s">
        <v>126</v>
      </c>
      <c r="K8" s="50">
        <v>2.0109890109890109</v>
      </c>
      <c r="L8" s="49" t="s">
        <v>126</v>
      </c>
      <c r="M8" s="51">
        <v>0.32967032967032966</v>
      </c>
      <c r="N8" s="49" t="s">
        <v>163</v>
      </c>
      <c r="O8" s="51">
        <v>0.34615384615384615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139</v>
      </c>
      <c r="U8" s="53">
        <v>8091.0059171597632</v>
      </c>
      <c r="V8" s="49" t="s">
        <v>216</v>
      </c>
      <c r="W8" s="53">
        <v>-7886.2068965517237</v>
      </c>
      <c r="X8" s="49" t="s">
        <v>126</v>
      </c>
      <c r="Y8" s="51">
        <v>7.6923076923076927E-2</v>
      </c>
      <c r="Z8" s="49" t="s">
        <v>190</v>
      </c>
      <c r="AA8" s="52">
        <v>0.22950819672131148</v>
      </c>
      <c r="AB8" s="49" t="s">
        <v>163</v>
      </c>
      <c r="AC8" s="52">
        <v>0.22707423580786026</v>
      </c>
      <c r="AD8" s="49" t="s">
        <v>190</v>
      </c>
      <c r="AE8" s="52">
        <v>0.5</v>
      </c>
      <c r="AF8" s="49" t="s">
        <v>193</v>
      </c>
      <c r="AG8" s="52">
        <v>0.4</v>
      </c>
      <c r="AH8" s="49" t="s">
        <v>139</v>
      </c>
      <c r="AI8" s="52">
        <v>0.45088757396449702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28</v>
      </c>
      <c r="D9" s="47" t="s">
        <v>193</v>
      </c>
      <c r="E9" s="48">
        <v>-51.699999999999996</v>
      </c>
      <c r="F9" s="49" t="s">
        <v>190</v>
      </c>
      <c r="G9" s="61">
        <v>-2.4035714285714294</v>
      </c>
      <c r="H9" s="49" t="s">
        <v>221</v>
      </c>
      <c r="I9" s="53">
        <v>1497.379788</v>
      </c>
      <c r="J9" s="49" t="s">
        <v>189</v>
      </c>
      <c r="K9" s="50">
        <v>2.0238095238095237</v>
      </c>
      <c r="L9" s="49" t="s">
        <v>163</v>
      </c>
      <c r="M9" s="51">
        <v>0.30769230769230771</v>
      </c>
      <c r="N9" s="49" t="s">
        <v>189</v>
      </c>
      <c r="O9" s="51">
        <v>0.38095238095238093</v>
      </c>
      <c r="P9" s="49" t="s">
        <v>163</v>
      </c>
      <c r="Q9" s="52">
        <v>0.27292576419213976</v>
      </c>
      <c r="R9" s="49" t="s">
        <v>189</v>
      </c>
      <c r="S9" s="52">
        <v>0.17204301075268819</v>
      </c>
      <c r="T9" s="49" t="s">
        <v>190</v>
      </c>
      <c r="U9" s="53">
        <v>8075.8620689655172</v>
      </c>
      <c r="V9" s="49" t="s">
        <v>192</v>
      </c>
      <c r="W9" s="53">
        <v>-8017.7777777777774</v>
      </c>
      <c r="X9" s="49" t="s">
        <v>139</v>
      </c>
      <c r="Y9" s="51">
        <v>8.6309523809523808E-2</v>
      </c>
      <c r="Z9" s="49" t="s">
        <v>216</v>
      </c>
      <c r="AA9" s="52">
        <v>0.22857142857142856</v>
      </c>
      <c r="AB9" s="49" t="s">
        <v>211</v>
      </c>
      <c r="AC9" s="52">
        <v>0.20891364902506965</v>
      </c>
      <c r="AD9" s="49" t="s">
        <v>163</v>
      </c>
      <c r="AE9" s="52">
        <v>0.4765625</v>
      </c>
      <c r="AF9" s="49" t="s">
        <v>221</v>
      </c>
      <c r="AG9" s="52">
        <v>0.4</v>
      </c>
      <c r="AH9" s="49" t="s">
        <v>211</v>
      </c>
      <c r="AI9" s="52">
        <v>0.44036697247706424</v>
      </c>
      <c r="AJ9" s="49" t="s">
        <v>190</v>
      </c>
      <c r="AK9" s="56">
        <v>80000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189</v>
      </c>
      <c r="E10" s="48">
        <v>-64.599999999999994</v>
      </c>
      <c r="F10" s="49" t="s">
        <v>195</v>
      </c>
      <c r="G10" s="61">
        <v>-3.2916666666666665</v>
      </c>
      <c r="H10" s="49" t="s">
        <v>216</v>
      </c>
      <c r="I10" s="53">
        <v>1475.2783888604056</v>
      </c>
      <c r="J10" s="49" t="s">
        <v>163</v>
      </c>
      <c r="K10" s="50">
        <v>2.0384615384615383</v>
      </c>
      <c r="L10" s="49" t="s">
        <v>193</v>
      </c>
      <c r="M10" s="51">
        <v>0.25</v>
      </c>
      <c r="N10" s="49" t="s">
        <v>195</v>
      </c>
      <c r="O10" s="51">
        <v>0.41666666666666669</v>
      </c>
      <c r="P10" s="49" t="s">
        <v>190</v>
      </c>
      <c r="Q10" s="52">
        <v>0.23770491803278687</v>
      </c>
      <c r="R10" s="49" t="s">
        <v>163</v>
      </c>
      <c r="S10" s="52">
        <v>0.17903930131004367</v>
      </c>
      <c r="T10" s="49" t="s">
        <v>211</v>
      </c>
      <c r="U10" s="53">
        <v>7887.1559633027518</v>
      </c>
      <c r="V10" s="49" t="s">
        <v>189</v>
      </c>
      <c r="W10" s="53">
        <v>-8153.125</v>
      </c>
      <c r="X10" s="49" t="s">
        <v>192</v>
      </c>
      <c r="Y10" s="51">
        <v>8.8888888888888892E-2</v>
      </c>
      <c r="Z10" s="49" t="s">
        <v>195</v>
      </c>
      <c r="AA10" s="52">
        <v>0.22330097087378642</v>
      </c>
      <c r="AB10" s="49" t="s">
        <v>126</v>
      </c>
      <c r="AC10" s="52">
        <v>0.20789473684210527</v>
      </c>
      <c r="AD10" s="49" t="s">
        <v>189</v>
      </c>
      <c r="AE10" s="52">
        <v>0.44329896907216493</v>
      </c>
      <c r="AF10" s="49" t="s">
        <v>190</v>
      </c>
      <c r="AG10" s="52">
        <v>0.36</v>
      </c>
      <c r="AH10" s="49" t="s">
        <v>216</v>
      </c>
      <c r="AI10" s="52">
        <v>0.43333333333333335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190</v>
      </c>
      <c r="E11" s="48">
        <v>-67.300000000000026</v>
      </c>
      <c r="F11" s="49" t="s">
        <v>221</v>
      </c>
      <c r="G11" s="61">
        <v>-6.75</v>
      </c>
      <c r="H11" s="49" t="s">
        <v>189</v>
      </c>
      <c r="I11" s="53">
        <v>1455.9369630320298</v>
      </c>
      <c r="J11" s="49" t="s">
        <v>216</v>
      </c>
      <c r="K11" s="50">
        <v>2.2222222222222223</v>
      </c>
      <c r="L11" s="49" t="s">
        <v>216</v>
      </c>
      <c r="M11" s="51">
        <v>0.22222222222222221</v>
      </c>
      <c r="N11" s="49" t="s">
        <v>216</v>
      </c>
      <c r="O11" s="51">
        <v>0.44444444444444442</v>
      </c>
      <c r="P11" s="49" t="s">
        <v>193</v>
      </c>
      <c r="Q11" s="52">
        <v>0.22857142857142856</v>
      </c>
      <c r="R11" s="49" t="s">
        <v>126</v>
      </c>
      <c r="S11" s="52">
        <v>0.18026315789473685</v>
      </c>
      <c r="T11" s="49" t="s">
        <v>189</v>
      </c>
      <c r="U11" s="53">
        <v>7549.54128440367</v>
      </c>
      <c r="V11" s="49" t="s">
        <v>163</v>
      </c>
      <c r="W11" s="53">
        <v>-8341.4634146341468</v>
      </c>
      <c r="X11" s="49" t="s">
        <v>216</v>
      </c>
      <c r="Y11" s="51">
        <v>0.1111111111111111</v>
      </c>
      <c r="Z11" s="49" t="s">
        <v>221</v>
      </c>
      <c r="AA11" s="52">
        <v>0.22222222222222221</v>
      </c>
      <c r="AB11" s="49" t="s">
        <v>190</v>
      </c>
      <c r="AC11" s="52">
        <v>0.20491803278688525</v>
      </c>
      <c r="AD11" s="49" t="s">
        <v>216</v>
      </c>
      <c r="AE11" s="52">
        <v>0.4375</v>
      </c>
      <c r="AF11" s="49" t="s">
        <v>195</v>
      </c>
      <c r="AG11" s="52">
        <v>0.35714285714285715</v>
      </c>
      <c r="AH11" s="49" t="s">
        <v>192</v>
      </c>
      <c r="AI11" s="52">
        <v>0.40625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4</v>
      </c>
      <c r="D12" s="47" t="s">
        <v>163</v>
      </c>
      <c r="E12" s="48">
        <v>-107.9</v>
      </c>
      <c r="F12" s="49" t="s">
        <v>216</v>
      </c>
      <c r="G12" s="61">
        <v>-10.016666666666667</v>
      </c>
      <c r="H12" s="49" t="s">
        <v>195</v>
      </c>
      <c r="I12" s="53">
        <v>1396.3170423346389</v>
      </c>
      <c r="J12" s="49" t="s">
        <v>193</v>
      </c>
      <c r="K12" s="50">
        <v>2.25</v>
      </c>
      <c r="L12" s="49" t="s">
        <v>190</v>
      </c>
      <c r="M12" s="51">
        <v>0.21428571428571427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192</v>
      </c>
      <c r="U12" s="53">
        <v>7482.8125</v>
      </c>
      <c r="V12" s="49" t="s">
        <v>193</v>
      </c>
      <c r="W12" s="53">
        <v>-9387.5</v>
      </c>
      <c r="X12" s="49" t="s">
        <v>163</v>
      </c>
      <c r="Y12" s="51">
        <v>0.13461538461538461</v>
      </c>
      <c r="Z12" s="49" t="s">
        <v>211</v>
      </c>
      <c r="AA12" s="52">
        <v>0.20891364902506965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0.33653846153846156</v>
      </c>
      <c r="AH12" s="49" t="s">
        <v>190</v>
      </c>
      <c r="AI12" s="52">
        <v>0.32758620689655171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0.16666666666666666</v>
      </c>
      <c r="Z13" s="49" t="s">
        <v>192</v>
      </c>
      <c r="AA13" s="52">
        <v>0.20204603580562661</v>
      </c>
      <c r="AB13" s="49" t="s">
        <v>195</v>
      </c>
      <c r="AC13" s="52">
        <v>0.13592233009708737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193</v>
      </c>
      <c r="AI13" s="52">
        <v>0.25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33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336</v>
      </c>
      <c r="C2" s="134"/>
      <c r="E2" s="26" t="s">
        <v>66</v>
      </c>
      <c r="F2" s="23" t="s">
        <v>22</v>
      </c>
      <c r="G2" s="11">
        <v>654</v>
      </c>
      <c r="H2" s="87">
        <f>IF(B$20=0,0,G2/B$20)</f>
        <v>0.77396449704142012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-38.69047619047619</v>
      </c>
      <c r="Q2" s="76">
        <v>336</v>
      </c>
      <c r="R2" s="63">
        <v>-13000</v>
      </c>
    </row>
    <row r="3" spans="1:18" x14ac:dyDescent="0.4">
      <c r="A3" s="19" t="s">
        <v>8</v>
      </c>
      <c r="B3" s="135">
        <v>2880</v>
      </c>
      <c r="C3" s="136"/>
      <c r="E3" s="27" t="s">
        <v>72</v>
      </c>
      <c r="F3" s="24" t="s">
        <v>27</v>
      </c>
      <c r="G3" s="12">
        <v>506</v>
      </c>
      <c r="H3" s="88">
        <f>IF(B$20=0,0,G3/B$20)</f>
        <v>0.59881656804733729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21.406727828746178</v>
      </c>
      <c r="Q3" s="77">
        <v>327</v>
      </c>
      <c r="R3" s="64">
        <v>7000</v>
      </c>
    </row>
    <row r="4" spans="1:18" x14ac:dyDescent="0.4">
      <c r="A4" s="19" t="s">
        <v>6</v>
      </c>
      <c r="B4" s="137">
        <v>4.9737991503207013E-14</v>
      </c>
      <c r="C4" s="138"/>
      <c r="E4" s="27" t="s">
        <v>64</v>
      </c>
      <c r="F4" s="24" t="s">
        <v>20</v>
      </c>
      <c r="G4" s="12">
        <v>345</v>
      </c>
      <c r="H4" s="88">
        <f>IF(B$20=0,0,G4/B$20)</f>
        <v>0.40828402366863903</v>
      </c>
      <c r="I4" s="58">
        <v>6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-3.0581039755351682</v>
      </c>
      <c r="Q4" s="77">
        <v>327</v>
      </c>
      <c r="R4" s="64">
        <v>-1000</v>
      </c>
    </row>
    <row r="5" spans="1:18" x14ac:dyDescent="0.4">
      <c r="A5" s="19" t="s">
        <v>7</v>
      </c>
      <c r="B5" s="125">
        <f>IF(B$2=0,0,B$4/B$2)</f>
        <v>1.4802973661668753E-16</v>
      </c>
      <c r="C5" s="126"/>
      <c r="E5" s="27" t="s">
        <v>159</v>
      </c>
      <c r="F5" s="24" t="s">
        <v>160</v>
      </c>
      <c r="G5" s="12">
        <v>338</v>
      </c>
      <c r="H5" s="88">
        <f>IF(B$20=0,0,G5/B$20)</f>
        <v>0.4</v>
      </c>
      <c r="I5" s="58">
        <v>4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-6.4102564102564106</v>
      </c>
      <c r="Q5" s="77">
        <v>312</v>
      </c>
      <c r="R5" s="64">
        <v>-2000</v>
      </c>
    </row>
    <row r="6" spans="1:18" x14ac:dyDescent="0.4">
      <c r="A6" s="19" t="s">
        <v>196</v>
      </c>
      <c r="B6" s="129">
        <v>1602.838696093351</v>
      </c>
      <c r="C6" s="130"/>
      <c r="E6" s="27" t="s">
        <v>68</v>
      </c>
      <c r="F6" s="24" t="s">
        <v>12</v>
      </c>
      <c r="G6" s="12">
        <v>257</v>
      </c>
      <c r="H6" s="88">
        <f>IF(B$20=0,0,G6/B$20)</f>
        <v>0.30414201183431955</v>
      </c>
      <c r="I6" s="58">
        <v>5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17.543859649122808</v>
      </c>
      <c r="Q6" s="77">
        <v>285</v>
      </c>
      <c r="R6" s="64">
        <v>5000</v>
      </c>
    </row>
    <row r="7" spans="1:18" x14ac:dyDescent="0.4">
      <c r="A7" s="19" t="s">
        <v>1</v>
      </c>
      <c r="B7" s="139">
        <f>IF(B$2=0,0,(B$8*1+B$9*2+B$10*3)/B$2)</f>
        <v>1.9970238095238095</v>
      </c>
      <c r="C7" s="140"/>
      <c r="E7" s="27" t="s">
        <v>67</v>
      </c>
      <c r="F7" s="24" t="s">
        <v>23</v>
      </c>
      <c r="G7" s="12">
        <v>182</v>
      </c>
      <c r="H7" s="88">
        <f>IF(B$20=0,0,G7/B$20)</f>
        <v>0.2153846153846154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16.260162601626018</v>
      </c>
      <c r="Q7" s="78">
        <v>246</v>
      </c>
      <c r="R7" s="65">
        <v>4000</v>
      </c>
    </row>
    <row r="8" spans="1:18" x14ac:dyDescent="0.4">
      <c r="A8" s="19" t="s">
        <v>2</v>
      </c>
      <c r="B8" s="12">
        <v>113</v>
      </c>
      <c r="C8" s="6">
        <f t="shared" ref="C8:C15" si="1">IF(B$2=0,0,B8/B$2)</f>
        <v>0.33630952380952384</v>
      </c>
      <c r="E8" s="27" t="s">
        <v>89</v>
      </c>
      <c r="F8" s="24" t="s">
        <v>44</v>
      </c>
      <c r="G8" s="12">
        <v>117</v>
      </c>
      <c r="H8" s="88">
        <f>IF(B$20=0,0,G8/B$20)</f>
        <v>0.13846153846153847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111</v>
      </c>
      <c r="C9" s="6">
        <f t="shared" si="1"/>
        <v>0.33035714285714285</v>
      </c>
      <c r="E9" s="27" t="s">
        <v>69</v>
      </c>
      <c r="F9" s="24" t="s">
        <v>24</v>
      </c>
      <c r="G9" s="12">
        <v>107</v>
      </c>
      <c r="H9" s="88">
        <f>IF(B$20=0,0,G9/B$20)</f>
        <v>0.12662721893491125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112</v>
      </c>
      <c r="C10" s="7">
        <f t="shared" si="1"/>
        <v>0.33333333333333331</v>
      </c>
      <c r="E10" s="27" t="s">
        <v>70</v>
      </c>
      <c r="F10" s="24" t="s">
        <v>25</v>
      </c>
      <c r="G10" s="12">
        <v>89</v>
      </c>
      <c r="H10" s="88">
        <f>IF(B$20=0,0,G10/B$20)</f>
        <v>0.10532544378698225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3.2553571428571426</v>
      </c>
      <c r="Q10" s="76">
        <v>112</v>
      </c>
      <c r="R10" s="67">
        <v>364.59999999999997</v>
      </c>
    </row>
    <row r="11" spans="1:18" x14ac:dyDescent="0.4">
      <c r="A11" s="20" t="s">
        <v>184</v>
      </c>
      <c r="B11" s="109">
        <f>IF(B8=0,0,C11/B8)</f>
        <v>34.680530973451319</v>
      </c>
      <c r="C11" s="110">
        <v>3918.8999999999987</v>
      </c>
      <c r="E11" s="27" t="s">
        <v>65</v>
      </c>
      <c r="F11" s="24" t="s">
        <v>21</v>
      </c>
      <c r="G11" s="12">
        <v>74</v>
      </c>
      <c r="H11" s="88">
        <f>IF(B$20=0,0,G11/B$20)</f>
        <v>8.7573964497041426E-2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-3.8758928571428561</v>
      </c>
      <c r="Q11" s="77">
        <v>112</v>
      </c>
      <c r="R11" s="68">
        <v>-434.09999999999991</v>
      </c>
    </row>
    <row r="12" spans="1:18" x14ac:dyDescent="0.4">
      <c r="A12" s="20" t="s">
        <v>185</v>
      </c>
      <c r="B12" s="109">
        <f>IF(B9=0,0,C12/B9)</f>
        <v>-1.0297297297297296</v>
      </c>
      <c r="C12" s="110">
        <v>-114.3</v>
      </c>
      <c r="E12" s="27" t="s">
        <v>71</v>
      </c>
      <c r="F12" s="24" t="s">
        <v>26</v>
      </c>
      <c r="G12" s="12">
        <v>49</v>
      </c>
      <c r="H12" s="88">
        <f>IF(B$20=0,0,G12/B$20)</f>
        <v>5.7988165680473373E-2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0.62053571428571452</v>
      </c>
      <c r="Q12" s="78">
        <v>112</v>
      </c>
      <c r="R12" s="69">
        <v>69.500000000000028</v>
      </c>
    </row>
    <row r="13" spans="1:18" x14ac:dyDescent="0.4">
      <c r="A13" s="20" t="s">
        <v>186</v>
      </c>
      <c r="B13" s="109">
        <f>IF(B10=0,0,C13/B10)</f>
        <v>-33.969642857142858</v>
      </c>
      <c r="C13" s="110">
        <v>-3804.6000000000004</v>
      </c>
      <c r="E13" s="27" t="s">
        <v>86</v>
      </c>
      <c r="F13" s="24" t="s">
        <v>41</v>
      </c>
      <c r="G13" s="12">
        <v>47</v>
      </c>
      <c r="H13" s="88">
        <f>IF(B$20=0,0,G13/B$20)</f>
        <v>5.562130177514793E-2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-0.10628053780709006</v>
      </c>
      <c r="C14" s="126"/>
      <c r="E14" s="27" t="s">
        <v>83</v>
      </c>
      <c r="F14" s="24" t="s">
        <v>38</v>
      </c>
      <c r="G14" s="12">
        <v>37</v>
      </c>
      <c r="H14" s="88">
        <f>IF(B$20=0,0,G14/B$20)</f>
        <v>4.3786982248520713E-2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29</v>
      </c>
      <c r="C15" s="9">
        <f t="shared" si="1"/>
        <v>8.6309523809523808E-2</v>
      </c>
      <c r="E15" s="27" t="s">
        <v>81</v>
      </c>
      <c r="F15" s="24" t="s">
        <v>36</v>
      </c>
      <c r="G15" s="12">
        <v>27</v>
      </c>
      <c r="H15" s="88">
        <f>IF(B$20=0,0,G15/B$20)</f>
        <v>3.1952662721893489E-2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">
      <c r="A16" s="22" t="s">
        <v>121</v>
      </c>
      <c r="B16" s="15">
        <v>689</v>
      </c>
      <c r="C16" s="10">
        <f>IF(B$3=0,0,B16/B$3)</f>
        <v>0.23923611111111112</v>
      </c>
      <c r="E16" s="27" t="s">
        <v>78</v>
      </c>
      <c r="F16" s="24" t="s">
        <v>33</v>
      </c>
      <c r="G16" s="12">
        <v>21</v>
      </c>
      <c r="H16" s="88">
        <f>IF(B$20=0,0,G16/B$20)</f>
        <v>2.4852071005917159E-2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">
      <c r="A17" s="19" t="s">
        <v>118</v>
      </c>
      <c r="B17" s="12">
        <v>658</v>
      </c>
      <c r="C17" s="6">
        <f>IF(B$3=0,0,B17/B$3)</f>
        <v>0.22847222222222222</v>
      </c>
      <c r="E17" s="27" t="s">
        <v>155</v>
      </c>
      <c r="F17" s="24" t="s">
        <v>156</v>
      </c>
      <c r="G17" s="12">
        <v>16</v>
      </c>
      <c r="H17" s="88">
        <f>IF(B$20=0,0,G17/B$20)</f>
        <v>1.8934911242603551E-2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">
      <c r="A18" s="18" t="s">
        <v>123</v>
      </c>
      <c r="B18" s="11">
        <f>B24</f>
        <v>357</v>
      </c>
      <c r="C18" s="5">
        <f>IF(B$16=0,0,B18/B$16)</f>
        <v>0.51814223512336721</v>
      </c>
      <c r="E18" s="27" t="s">
        <v>91</v>
      </c>
      <c r="F18" s="24" t="s">
        <v>46</v>
      </c>
      <c r="G18" s="12">
        <v>15</v>
      </c>
      <c r="H18" s="88">
        <f>IF(B$20=0,0,G18/B$20)</f>
        <v>1.7751479289940829E-2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4.9375000000000036</v>
      </c>
      <c r="Q18" s="77">
        <v>24</v>
      </c>
      <c r="R18" s="68">
        <v>118.50000000000009</v>
      </c>
    </row>
    <row r="19" spans="1:18" x14ac:dyDescent="0.4">
      <c r="A19" s="18" t="s">
        <v>124</v>
      </c>
      <c r="B19" s="11">
        <f>B25</f>
        <v>272</v>
      </c>
      <c r="C19" s="5">
        <f>IF(B$17=0,0,B19/B$17)</f>
        <v>0.41337386018237082</v>
      </c>
      <c r="E19" s="27" t="s">
        <v>79</v>
      </c>
      <c r="F19" s="24" t="s">
        <v>34</v>
      </c>
      <c r="G19" s="12">
        <v>11</v>
      </c>
      <c r="H19" s="88">
        <f>IF(B$20=0,0,G19/B$20)</f>
        <v>1.301775147928994E-2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190</v>
      </c>
      <c r="P19" s="83">
        <f>IF(Q19=0,0,R19/Q19)</f>
        <v>3.6053571428571431</v>
      </c>
      <c r="Q19" s="77">
        <v>56</v>
      </c>
      <c r="R19" s="68">
        <v>201.9</v>
      </c>
    </row>
    <row r="20" spans="1:18" x14ac:dyDescent="0.4">
      <c r="A20" s="18" t="s">
        <v>10</v>
      </c>
      <c r="B20" s="11">
        <f>B23+B22</f>
        <v>845</v>
      </c>
      <c r="C20" s="5">
        <f>IF(B$3=0,0,B20/B$3)</f>
        <v>0.29340277777777779</v>
      </c>
      <c r="E20" s="27" t="s">
        <v>73</v>
      </c>
      <c r="F20" s="24" t="s">
        <v>28</v>
      </c>
      <c r="G20" s="12">
        <v>9</v>
      </c>
      <c r="H20" s="88">
        <f>IF(B$20=0,0,G20/B$20)</f>
        <v>1.0650887573964497E-2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163</v>
      </c>
      <c r="P20" s="83">
        <f>IF(Q20=0,0,R20/Q20)</f>
        <v>3.1125000000000016</v>
      </c>
      <c r="Q20" s="77">
        <v>104</v>
      </c>
      <c r="R20" s="68">
        <v>323.70000000000016</v>
      </c>
    </row>
    <row r="21" spans="1:18" x14ac:dyDescent="0.4">
      <c r="A21" s="19" t="s">
        <v>13</v>
      </c>
      <c r="B21" s="12">
        <v>458</v>
      </c>
      <c r="C21" s="6">
        <f>IF(B$3=0,0,B21/B$3)</f>
        <v>0.15902777777777777</v>
      </c>
      <c r="E21" s="27" t="s">
        <v>88</v>
      </c>
      <c r="F21" s="24" t="s">
        <v>43</v>
      </c>
      <c r="G21" s="12">
        <v>4</v>
      </c>
      <c r="H21" s="88">
        <f>IF(B$20=0,0,G21/B$20)</f>
        <v>4.7337278106508876E-3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2.3071428571428578</v>
      </c>
      <c r="Q21" s="77">
        <v>84</v>
      </c>
      <c r="R21" s="68">
        <v>193.80000000000007</v>
      </c>
    </row>
    <row r="22" spans="1:18" x14ac:dyDescent="0.4">
      <c r="A22" s="19" t="s">
        <v>12</v>
      </c>
      <c r="B22" s="12">
        <v>381</v>
      </c>
      <c r="C22" s="6">
        <f>IF(B$20=0,0,B22/B$20)</f>
        <v>0.45088757396449702</v>
      </c>
      <c r="E22" s="27" t="s">
        <v>75</v>
      </c>
      <c r="F22" s="24" t="s">
        <v>30</v>
      </c>
      <c r="G22" s="12">
        <v>3</v>
      </c>
      <c r="H22" s="88">
        <f>IF(B$20=0,0,G22/B$20)</f>
        <v>3.5502958579881655E-3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-2.7873626373626359</v>
      </c>
      <c r="Q22" s="77">
        <v>182</v>
      </c>
      <c r="R22" s="68">
        <v>-507.29999999999973</v>
      </c>
    </row>
    <row r="23" spans="1:18" x14ac:dyDescent="0.4">
      <c r="A23" s="19" t="s">
        <v>11</v>
      </c>
      <c r="B23" s="12">
        <v>464</v>
      </c>
      <c r="C23" s="6">
        <f>IF(B$20=0,0,B23/B$20)</f>
        <v>0.54911242603550292</v>
      </c>
      <c r="E23" s="27" t="s">
        <v>77</v>
      </c>
      <c r="F23" s="24" t="s">
        <v>32</v>
      </c>
      <c r="G23" s="12">
        <v>3</v>
      </c>
      <c r="H23" s="88">
        <f>IF(B$20=0,0,G23/B$20)</f>
        <v>3.5502958579881655E-3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-4.5285714285714294</v>
      </c>
      <c r="Q23" s="77">
        <v>84</v>
      </c>
      <c r="R23" s="68">
        <v>-380.40000000000003</v>
      </c>
    </row>
    <row r="24" spans="1:18" x14ac:dyDescent="0.4">
      <c r="A24" s="19" t="s">
        <v>183</v>
      </c>
      <c r="B24" s="12">
        <v>357</v>
      </c>
      <c r="C24" s="6">
        <f>IF(B$20=0,0,B24/B$20)</f>
        <v>0.42248520710059173</v>
      </c>
      <c r="E24" s="27" t="s">
        <v>85</v>
      </c>
      <c r="F24" s="24" t="s">
        <v>40</v>
      </c>
      <c r="G24" s="12">
        <v>3</v>
      </c>
      <c r="H24" s="88">
        <f>IF(B$20=0,0,G24/B$20)</f>
        <v>3.5502958579881655E-3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-7.6300000000000043</v>
      </c>
      <c r="Q24" s="77">
        <v>90</v>
      </c>
      <c r="R24" s="68">
        <v>-686.70000000000039</v>
      </c>
    </row>
    <row r="25" spans="1:18" x14ac:dyDescent="0.4">
      <c r="A25" s="19" t="s">
        <v>181</v>
      </c>
      <c r="B25" s="12">
        <v>272</v>
      </c>
      <c r="C25" s="6">
        <f>IF(B$20=0,0,B25/B$20)</f>
        <v>0.32189349112426036</v>
      </c>
      <c r="E25" s="27" t="s">
        <v>92</v>
      </c>
      <c r="F25" s="24" t="s">
        <v>47</v>
      </c>
      <c r="G25" s="12">
        <v>2</v>
      </c>
      <c r="H25" s="88">
        <f>IF(B$20=0,0,G25/B$20)</f>
        <v>2.3668639053254438E-3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">
      <c r="A26" s="19" t="s">
        <v>182</v>
      </c>
      <c r="B26" s="12">
        <v>216</v>
      </c>
      <c r="C26" s="6">
        <f>IF(B$20=0,0,B26/B$20)</f>
        <v>0.25562130177514791</v>
      </c>
      <c r="E26" s="27" t="s">
        <v>93</v>
      </c>
      <c r="F26" s="24" t="s">
        <v>48</v>
      </c>
      <c r="G26" s="12">
        <v>2</v>
      </c>
      <c r="H26" s="88">
        <f>IF(B$20=0,0,G26/B$20)</f>
        <v>2.3668639053254438E-3</v>
      </c>
      <c r="I26" s="58">
        <v>3</v>
      </c>
      <c r="K26" s="74">
        <v>24</v>
      </c>
      <c r="L26" s="119">
        <v>-7.1054273576010019E-15</v>
      </c>
      <c r="M26" s="117">
        <v>1593.6312177958805</v>
      </c>
    </row>
    <row r="27" spans="1:18" x14ac:dyDescent="0.4">
      <c r="A27" s="19" t="s">
        <v>5</v>
      </c>
      <c r="B27" s="16">
        <f>IF(B$20=0,0,C27/B$20)</f>
        <v>8091.0059171597632</v>
      </c>
      <c r="C27" s="8">
        <v>6836900</v>
      </c>
      <c r="E27" s="27" t="s">
        <v>80</v>
      </c>
      <c r="F27" s="24" t="s">
        <v>35</v>
      </c>
      <c r="G27" s="12">
        <v>1</v>
      </c>
      <c r="H27" s="88">
        <f>IF(B$20=0,0,G27/B$20)</f>
        <v>1.1834319526627219E-3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8696.5095986038395</v>
      </c>
      <c r="C28" s="96">
        <v>4983100</v>
      </c>
      <c r="E28" s="27" t="s">
        <v>90</v>
      </c>
      <c r="F28" s="24" t="s">
        <v>45</v>
      </c>
      <c r="G28" s="12">
        <v>1</v>
      </c>
      <c r="H28" s="88">
        <f>IF(B$20=0,0,G28/B$20)</f>
        <v>1.1834319526627219E-3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6815.4411764705883</v>
      </c>
      <c r="C29" s="96">
        <v>1853800</v>
      </c>
      <c r="E29" s="27" t="s">
        <v>102</v>
      </c>
      <c r="F29" s="24" t="s">
        <v>57</v>
      </c>
      <c r="G29" s="12">
        <v>1</v>
      </c>
      <c r="H29" s="88">
        <f>IF(B$20=0,0,G29/B$20)</f>
        <v>1.1834319526627219E-3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-7637.7729257641922</v>
      </c>
      <c r="C30" s="96">
        <v>-3498100</v>
      </c>
      <c r="E30" s="27" t="s">
        <v>106</v>
      </c>
      <c r="F30" s="24" t="s">
        <v>113</v>
      </c>
      <c r="G30" s="12">
        <v>1</v>
      </c>
      <c r="H30" s="88">
        <f>IF(B$20=0,0,G30/B$20)</f>
        <v>1.1834319526627219E-3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74</v>
      </c>
      <c r="F31" s="24" t="s">
        <v>29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0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27">
        <v>7</v>
      </c>
      <c r="C33" s="128"/>
      <c r="E33" s="27" t="s">
        <v>82</v>
      </c>
      <c r="F33" s="24" t="s">
        <v>37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29">
        <v>103000</v>
      </c>
      <c r="C34" s="130"/>
      <c r="E34" s="27" t="s">
        <v>84</v>
      </c>
      <c r="F34" s="24" t="s">
        <v>39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2.4305555555555556E-3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67</v>
      </c>
      <c r="C37" s="98">
        <f t="shared" ref="C37:C49" si="2">IF(B$20=0,0,B37/B$20)</f>
        <v>7.9289940828402364E-2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160</v>
      </c>
      <c r="C38" s="6">
        <f t="shared" si="2"/>
        <v>0.1893491124260355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168</v>
      </c>
      <c r="C39" s="6">
        <f t="shared" si="2"/>
        <v>0.19881656804733727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161</v>
      </c>
      <c r="C40" s="6">
        <f t="shared" si="2"/>
        <v>0.19053254437869824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119</v>
      </c>
      <c r="C41" s="6">
        <f t="shared" si="2"/>
        <v>0.14082840236686389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75</v>
      </c>
      <c r="C42" s="6">
        <f t="shared" si="2"/>
        <v>8.8757396449704137E-2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35</v>
      </c>
      <c r="C43" s="6">
        <f t="shared" si="2"/>
        <v>4.142011834319527E-2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25</v>
      </c>
      <c r="C44" s="6">
        <f t="shared" si="2"/>
        <v>2.9585798816568046E-2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15</v>
      </c>
      <c r="C45" s="6">
        <f t="shared" si="2"/>
        <v>1.7751479289940829E-2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10</v>
      </c>
      <c r="C46" s="6">
        <f t="shared" si="2"/>
        <v>1.1834319526627219E-2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2.3668639053254438E-3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1.1834319526627219E-3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7</v>
      </c>
      <c r="C49" s="9">
        <f t="shared" si="2"/>
        <v>8.2840236686390536E-3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9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91</v>
      </c>
      <c r="C2" s="134"/>
      <c r="E2" s="26" t="s">
        <v>66</v>
      </c>
      <c r="F2" s="23" t="s">
        <v>22</v>
      </c>
      <c r="G2" s="11">
        <v>186</v>
      </c>
      <c r="H2" s="87">
        <f>IF(B$20=0,0,G2/B$20)</f>
        <v>0.75918367346938775</v>
      </c>
      <c r="I2" s="57">
        <v>7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1197.8021978021977</v>
      </c>
      <c r="Q2" s="76">
        <v>91</v>
      </c>
      <c r="R2" s="63">
        <v>109000</v>
      </c>
    </row>
    <row r="3" spans="1:18" x14ac:dyDescent="0.4">
      <c r="A3" s="19" t="s">
        <v>8</v>
      </c>
      <c r="B3" s="135">
        <v>760</v>
      </c>
      <c r="C3" s="136"/>
      <c r="E3" s="27" t="s">
        <v>72</v>
      </c>
      <c r="F3" s="24" t="s">
        <v>27</v>
      </c>
      <c r="G3" s="12">
        <v>135</v>
      </c>
      <c r="H3" s="88">
        <f>IF(B$20=0,0,G3/B$20)</f>
        <v>0.55102040816326525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-768.18181818181813</v>
      </c>
      <c r="Q3" s="77">
        <v>88</v>
      </c>
      <c r="R3" s="64">
        <v>-67600</v>
      </c>
    </row>
    <row r="4" spans="1:18" x14ac:dyDescent="0.4">
      <c r="A4" s="19" t="s">
        <v>6</v>
      </c>
      <c r="B4" s="137">
        <v>169.09999999999994</v>
      </c>
      <c r="C4" s="138"/>
      <c r="E4" s="27" t="s">
        <v>64</v>
      </c>
      <c r="F4" s="24" t="s">
        <v>20</v>
      </c>
      <c r="G4" s="12">
        <v>97</v>
      </c>
      <c r="H4" s="88">
        <f>IF(B$20=0,0,G4/B$20)</f>
        <v>0.39591836734693875</v>
      </c>
      <c r="I4" s="58">
        <v>7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-896.59090909090912</v>
      </c>
      <c r="Q4" s="77">
        <v>88</v>
      </c>
      <c r="R4" s="64">
        <v>-78900</v>
      </c>
    </row>
    <row r="5" spans="1:18" x14ac:dyDescent="0.4">
      <c r="A5" s="19" t="s">
        <v>7</v>
      </c>
      <c r="B5" s="125">
        <f>IF(B$2=0,0,B$4/B$2)</f>
        <v>1.8582417582417576</v>
      </c>
      <c r="C5" s="126"/>
      <c r="E5" s="27" t="s">
        <v>159</v>
      </c>
      <c r="F5" s="24" t="s">
        <v>160</v>
      </c>
      <c r="G5" s="12">
        <v>95</v>
      </c>
      <c r="H5" s="88">
        <f>IF(B$20=0,0,G5/B$20)</f>
        <v>0.38775510204081631</v>
      </c>
      <c r="I5" s="58">
        <v>7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1247.0588235294117</v>
      </c>
      <c r="Q5" s="77">
        <v>85</v>
      </c>
      <c r="R5" s="64">
        <v>106000</v>
      </c>
    </row>
    <row r="6" spans="1:18" x14ac:dyDescent="0.4">
      <c r="A6" s="19" t="s">
        <v>196</v>
      </c>
      <c r="B6" s="129">
        <v>1773.1093100730232</v>
      </c>
      <c r="C6" s="130"/>
      <c r="E6" s="27" t="s">
        <v>68</v>
      </c>
      <c r="F6" s="24" t="s">
        <v>12</v>
      </c>
      <c r="G6" s="12">
        <v>78</v>
      </c>
      <c r="H6" s="88">
        <f>IF(B$20=0,0,G6/B$20)</f>
        <v>0.3183673469387755</v>
      </c>
      <c r="I6" s="58">
        <v>4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-246.75324675324674</v>
      </c>
      <c r="Q6" s="77">
        <v>77</v>
      </c>
      <c r="R6" s="64">
        <v>-19000</v>
      </c>
    </row>
    <row r="7" spans="1:18" x14ac:dyDescent="0.4">
      <c r="A7" s="19" t="s">
        <v>1</v>
      </c>
      <c r="B7" s="139">
        <f>IF(B$2=0,0,(B$8*1+B$9*2+B$10*3)/B$2)</f>
        <v>2.0109890109890109</v>
      </c>
      <c r="C7" s="140"/>
      <c r="E7" s="27" t="s">
        <v>67</v>
      </c>
      <c r="F7" s="24" t="s">
        <v>23</v>
      </c>
      <c r="G7" s="12">
        <v>47</v>
      </c>
      <c r="H7" s="88">
        <f>IF(B$20=0,0,G7/B$20)</f>
        <v>0.19183673469387755</v>
      </c>
      <c r="I7" s="58">
        <v>8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-145.45454545454547</v>
      </c>
      <c r="Q7" s="78">
        <v>66</v>
      </c>
      <c r="R7" s="65">
        <v>-9600</v>
      </c>
    </row>
    <row r="8" spans="1:18" x14ac:dyDescent="0.4">
      <c r="A8" s="19" t="s">
        <v>2</v>
      </c>
      <c r="B8" s="12">
        <v>30</v>
      </c>
      <c r="C8" s="6">
        <f t="shared" ref="C8:C15" si="1">IF(B$2=0,0,B8/B$2)</f>
        <v>0.32967032967032966</v>
      </c>
      <c r="E8" s="27" t="s">
        <v>69</v>
      </c>
      <c r="F8" s="24" t="s">
        <v>24</v>
      </c>
      <c r="G8" s="12">
        <v>41</v>
      </c>
      <c r="H8" s="88">
        <f>IF(B$20=0,0,G8/B$20)</f>
        <v>0.16734693877551021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30</v>
      </c>
      <c r="C9" s="6">
        <f t="shared" si="1"/>
        <v>0.32967032967032966</v>
      </c>
      <c r="E9" s="27" t="s">
        <v>70</v>
      </c>
      <c r="F9" s="24" t="s">
        <v>25</v>
      </c>
      <c r="G9" s="12">
        <v>34</v>
      </c>
      <c r="H9" s="88">
        <f>IF(B$20=0,0,G9/B$20)</f>
        <v>0.13877551020408163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31</v>
      </c>
      <c r="C10" s="7">
        <f t="shared" si="1"/>
        <v>0.34065934065934067</v>
      </c>
      <c r="E10" s="27" t="s">
        <v>89</v>
      </c>
      <c r="F10" s="24" t="s">
        <v>44</v>
      </c>
      <c r="G10" s="12">
        <v>34</v>
      </c>
      <c r="H10" s="88">
        <f>IF(B$20=0,0,G10/B$20)</f>
        <v>0.13877551020408163</v>
      </c>
      <c r="I10" s="58">
        <v>6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8.0882352941176467</v>
      </c>
      <c r="Q10" s="76">
        <v>34</v>
      </c>
      <c r="R10" s="67">
        <v>275</v>
      </c>
    </row>
    <row r="11" spans="1:18" x14ac:dyDescent="0.4">
      <c r="A11" s="20" t="s">
        <v>184</v>
      </c>
      <c r="B11" s="109">
        <f>IF(B8=0,0,C11/B8)</f>
        <v>38.85</v>
      </c>
      <c r="C11" s="110">
        <v>1165.5</v>
      </c>
      <c r="E11" s="27" t="s">
        <v>65</v>
      </c>
      <c r="F11" s="24" t="s">
        <v>21</v>
      </c>
      <c r="G11" s="12">
        <v>21</v>
      </c>
      <c r="H11" s="88">
        <f>IF(B$20=0,0,G11/B$20)</f>
        <v>8.5714285714285715E-2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-6.0838709677419356</v>
      </c>
      <c r="Q11" s="77">
        <v>31</v>
      </c>
      <c r="R11" s="68">
        <v>-188.6</v>
      </c>
    </row>
    <row r="12" spans="1:18" x14ac:dyDescent="0.4">
      <c r="A12" s="20" t="s">
        <v>185</v>
      </c>
      <c r="B12" s="109">
        <f>IF(B9=0,0,C12/B9)</f>
        <v>-2.1466666666666665</v>
      </c>
      <c r="C12" s="110">
        <v>-64.399999999999991</v>
      </c>
      <c r="E12" s="27" t="s">
        <v>86</v>
      </c>
      <c r="F12" s="24" t="s">
        <v>41</v>
      </c>
      <c r="G12" s="12">
        <v>17</v>
      </c>
      <c r="H12" s="88">
        <f>IF(B$20=0,0,G12/B$20)</f>
        <v>6.9387755102040816E-2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3.1807692307692319</v>
      </c>
      <c r="Q12" s="78">
        <v>26</v>
      </c>
      <c r="R12" s="69">
        <v>82.700000000000031</v>
      </c>
    </row>
    <row r="13" spans="1:18" x14ac:dyDescent="0.4">
      <c r="A13" s="20" t="s">
        <v>186</v>
      </c>
      <c r="B13" s="109">
        <f>IF(B10=0,0,C13/B10)</f>
        <v>-30.06451612903226</v>
      </c>
      <c r="C13" s="110">
        <v>-932</v>
      </c>
      <c r="E13" s="27" t="s">
        <v>83</v>
      </c>
      <c r="F13" s="24" t="s">
        <v>38</v>
      </c>
      <c r="G13" s="12">
        <v>13</v>
      </c>
      <c r="H13" s="88">
        <f>IF(B$20=0,0,G13/B$20)</f>
        <v>5.3061224489795916E-2</v>
      </c>
      <c r="I13" s="58">
        <v>4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2.2129390681003578</v>
      </c>
      <c r="C14" s="126"/>
      <c r="E14" s="27" t="s">
        <v>71</v>
      </c>
      <c r="F14" s="24" t="s">
        <v>26</v>
      </c>
      <c r="G14" s="12">
        <v>11</v>
      </c>
      <c r="H14" s="88">
        <f>IF(B$20=0,0,G14/B$20)</f>
        <v>4.4897959183673466E-2</v>
      </c>
      <c r="I14" s="58">
        <v>7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7.6923076923076927E-2</v>
      </c>
      <c r="E15" s="27" t="s">
        <v>155</v>
      </c>
      <c r="F15" s="24" t="s">
        <v>156</v>
      </c>
      <c r="G15" s="12">
        <v>11</v>
      </c>
      <c r="H15" s="88">
        <f>IF(B$20=0,0,G15/B$20)</f>
        <v>4.4897959183673466E-2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">
      <c r="A16" s="22" t="s">
        <v>121</v>
      </c>
      <c r="B16" s="15">
        <v>186</v>
      </c>
      <c r="C16" s="10">
        <f>IF(B$3=0,0,B16/B$3)</f>
        <v>0.24473684210526317</v>
      </c>
      <c r="E16" s="27" t="s">
        <v>91</v>
      </c>
      <c r="F16" s="24" t="s">
        <v>46</v>
      </c>
      <c r="G16" s="12">
        <v>7</v>
      </c>
      <c r="H16" s="88">
        <f>IF(B$20=0,0,G16/B$20)</f>
        <v>2.8571428571428571E-2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>IF(Q16=0,0,R16/Q16)</f>
        <v>11.879999999999999</v>
      </c>
      <c r="Q16" s="77">
        <v>10</v>
      </c>
      <c r="R16" s="68">
        <v>118.79999999999998</v>
      </c>
    </row>
    <row r="17" spans="1:18" x14ac:dyDescent="0.4">
      <c r="A17" s="19" t="s">
        <v>118</v>
      </c>
      <c r="B17" s="12">
        <v>158</v>
      </c>
      <c r="C17" s="6">
        <f>IF(B$3=0,0,B17/B$3)</f>
        <v>0.20789473684210527</v>
      </c>
      <c r="E17" s="27" t="s">
        <v>81</v>
      </c>
      <c r="F17" s="24" t="s">
        <v>36</v>
      </c>
      <c r="G17" s="12">
        <v>5</v>
      </c>
      <c r="H17" s="88">
        <f>IF(B$20=0,0,G17/B$20)</f>
        <v>2.0408163265306121E-2</v>
      </c>
      <c r="I17" s="58">
        <v>10</v>
      </c>
      <c r="K17" s="74">
        <v>15</v>
      </c>
      <c r="L17" s="119">
        <v>190.9</v>
      </c>
      <c r="M17" s="117">
        <v>1854.6511469287639</v>
      </c>
      <c r="O17" s="74" t="s">
        <v>190</v>
      </c>
      <c r="P17" s="83">
        <f>IF(Q17=0,0,R17/Q17)</f>
        <v>9.7818181818181831</v>
      </c>
      <c r="Q17" s="77">
        <v>22</v>
      </c>
      <c r="R17" s="68">
        <v>215.20000000000002</v>
      </c>
    </row>
    <row r="18" spans="1:18" x14ac:dyDescent="0.4">
      <c r="A18" s="18" t="s">
        <v>123</v>
      </c>
      <c r="B18" s="11">
        <f>B24</f>
        <v>105</v>
      </c>
      <c r="C18" s="5">
        <f>IF(B$16=0,0,B18/B$16)</f>
        <v>0.56451612903225812</v>
      </c>
      <c r="E18" s="27" t="s">
        <v>78</v>
      </c>
      <c r="F18" s="24" t="s">
        <v>33</v>
      </c>
      <c r="G18" s="12">
        <v>4</v>
      </c>
      <c r="H18" s="88">
        <f>IF(B$20=0,0,G18/B$20)</f>
        <v>1.6326530612244899E-2</v>
      </c>
      <c r="I18" s="58">
        <v>8</v>
      </c>
      <c r="K18" s="74">
        <v>16</v>
      </c>
      <c r="L18" s="119">
        <v>164.20000000000002</v>
      </c>
      <c r="M18" s="117">
        <v>1848.4372400471914</v>
      </c>
      <c r="O18" s="74" t="s">
        <v>163</v>
      </c>
      <c r="P18" s="83">
        <f>IF(Q18=0,0,R18/Q18)</f>
        <v>6.5069767441860504</v>
      </c>
      <c r="Q18" s="77">
        <v>43</v>
      </c>
      <c r="R18" s="68">
        <v>279.80000000000018</v>
      </c>
    </row>
    <row r="19" spans="1:18" x14ac:dyDescent="0.4">
      <c r="A19" s="18" t="s">
        <v>124</v>
      </c>
      <c r="B19" s="11">
        <f>B25</f>
        <v>75</v>
      </c>
      <c r="C19" s="5">
        <f>IF(B$17=0,0,B19/B$17)</f>
        <v>0.47468354430379744</v>
      </c>
      <c r="E19" s="27" t="s">
        <v>73</v>
      </c>
      <c r="F19" s="24" t="s">
        <v>28</v>
      </c>
      <c r="G19" s="12">
        <v>3</v>
      </c>
      <c r="H19" s="88">
        <f>IF(B$20=0,0,G19/B$20)</f>
        <v>1.2244897959183673E-2</v>
      </c>
      <c r="I19" s="58">
        <v>3</v>
      </c>
      <c r="K19" s="74">
        <v>17</v>
      </c>
      <c r="L19" s="119">
        <v>164.3</v>
      </c>
      <c r="M19" s="117">
        <v>1846.8986166069083</v>
      </c>
      <c r="O19" s="74" t="s">
        <v>211</v>
      </c>
      <c r="P19" s="83">
        <f>IF(Q19=0,0,R19/Q19)</f>
        <v>1.7208333333333332</v>
      </c>
      <c r="Q19" s="77">
        <v>24</v>
      </c>
      <c r="R19" s="68">
        <v>41.3</v>
      </c>
    </row>
    <row r="20" spans="1:18" x14ac:dyDescent="0.4">
      <c r="A20" s="18" t="s">
        <v>10</v>
      </c>
      <c r="B20" s="11">
        <f>B23+B22</f>
        <v>245</v>
      </c>
      <c r="C20" s="5">
        <f>IF(B$3=0,0,B20/B$3)</f>
        <v>0.32236842105263158</v>
      </c>
      <c r="E20" s="27" t="s">
        <v>79</v>
      </c>
      <c r="F20" s="24" t="s">
        <v>34</v>
      </c>
      <c r="G20" s="12">
        <v>2</v>
      </c>
      <c r="H20" s="88">
        <f>IF(B$20=0,0,G20/B$20)</f>
        <v>8.1632653061224497E-3</v>
      </c>
      <c r="I20" s="58">
        <v>5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0.37222222222222179</v>
      </c>
      <c r="Q20" s="77">
        <v>36</v>
      </c>
      <c r="R20" s="68">
        <v>13.399999999999984</v>
      </c>
    </row>
    <row r="21" spans="1:18" x14ac:dyDescent="0.4">
      <c r="A21" s="19" t="s">
        <v>13</v>
      </c>
      <c r="B21" s="12">
        <v>137</v>
      </c>
      <c r="C21" s="6">
        <f>IF(B$3=0,0,B21/B$3)</f>
        <v>0.18026315789473685</v>
      </c>
      <c r="E21" s="27" t="s">
        <v>75</v>
      </c>
      <c r="F21" s="24" t="s">
        <v>30</v>
      </c>
      <c r="G21" s="12">
        <v>1</v>
      </c>
      <c r="H21" s="88">
        <f>IF(B$20=0,0,G21/B$20)</f>
        <v>4.0816326530612249E-3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192</v>
      </c>
      <c r="P21" s="83">
        <f>IF(Q21=0,0,R21/Q21)</f>
        <v>-4.8605263157894738</v>
      </c>
      <c r="Q21" s="77">
        <v>38</v>
      </c>
      <c r="R21" s="68">
        <v>-184.70000000000002</v>
      </c>
    </row>
    <row r="22" spans="1:18" x14ac:dyDescent="0.4">
      <c r="A22" s="19" t="s">
        <v>12</v>
      </c>
      <c r="B22" s="12">
        <v>117</v>
      </c>
      <c r="C22" s="6">
        <f>IF(B$20=0,0,B22/B$20)</f>
        <v>0.47755102040816327</v>
      </c>
      <c r="E22" s="27" t="s">
        <v>80</v>
      </c>
      <c r="F22" s="24" t="s">
        <v>35</v>
      </c>
      <c r="G22" s="12">
        <v>1</v>
      </c>
      <c r="H22" s="88">
        <f>IF(B$20=0,0,G22/B$20)</f>
        <v>4.0816326530612249E-3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195</v>
      </c>
      <c r="P22" s="83">
        <f>IF(Q22=0,0,R22/Q22)</f>
        <v>-4.8999999999999986</v>
      </c>
      <c r="Q22" s="77">
        <v>7</v>
      </c>
      <c r="R22" s="68">
        <v>-34.29999999999999</v>
      </c>
    </row>
    <row r="23" spans="1:18" x14ac:dyDescent="0.4">
      <c r="A23" s="19" t="s">
        <v>11</v>
      </c>
      <c r="B23" s="12">
        <v>128</v>
      </c>
      <c r="C23" s="6">
        <f>IF(B$20=0,0,B23/B$20)</f>
        <v>0.52244897959183678</v>
      </c>
      <c r="E23" s="27" t="s">
        <v>85</v>
      </c>
      <c r="F23" s="24" t="s">
        <v>40</v>
      </c>
      <c r="G23" s="12">
        <v>1</v>
      </c>
      <c r="H23" s="88">
        <f>IF(B$20=0,0,G23/B$20)</f>
        <v>4.0816326530612249E-3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">
      <c r="A24" s="19" t="s">
        <v>183</v>
      </c>
      <c r="B24" s="12">
        <v>105</v>
      </c>
      <c r="C24" s="6">
        <f>IF(B$20=0,0,B24/B$20)</f>
        <v>0.42857142857142855</v>
      </c>
      <c r="E24" s="27" t="s">
        <v>88</v>
      </c>
      <c r="F24" s="24" t="s">
        <v>43</v>
      </c>
      <c r="G24" s="12">
        <v>1</v>
      </c>
      <c r="H24" s="88">
        <f>IF(B$20=0,0,G24/B$20)</f>
        <v>4.0816326530612249E-3</v>
      </c>
      <c r="I24" s="58">
        <v>5</v>
      </c>
      <c r="K24" s="74">
        <v>22</v>
      </c>
      <c r="L24" s="119">
        <v>106.3</v>
      </c>
      <c r="M24" s="117">
        <v>1829.4799049660398</v>
      </c>
    </row>
    <row r="25" spans="1:18" x14ac:dyDescent="0.4">
      <c r="A25" s="19" t="s">
        <v>181</v>
      </c>
      <c r="B25" s="12">
        <v>75</v>
      </c>
      <c r="C25" s="6">
        <f>IF(B$20=0,0,B25/B$20)</f>
        <v>0.30612244897959184</v>
      </c>
      <c r="E25" s="27" t="s">
        <v>90</v>
      </c>
      <c r="F25" s="24" t="s">
        <v>45</v>
      </c>
      <c r="G25" s="12">
        <v>1</v>
      </c>
      <c r="H25" s="88">
        <f>IF(B$20=0,0,G25/B$20)</f>
        <v>4.0816326530612249E-3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65</v>
      </c>
      <c r="C26" s="6">
        <f>IF(B$20=0,0,B26/B$20)</f>
        <v>0.26530612244897961</v>
      </c>
      <c r="E26" s="27" t="s">
        <v>92</v>
      </c>
      <c r="F26" s="24" t="s">
        <v>47</v>
      </c>
      <c r="G26" s="12">
        <v>1</v>
      </c>
      <c r="H26" s="88">
        <f>IF(B$20=0,0,G26/B$20)</f>
        <v>4.0816326530612249E-3</v>
      </c>
      <c r="I26" s="58">
        <v>2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8323.6734693877552</v>
      </c>
      <c r="C27" s="8">
        <v>2039300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8636.4705882352937</v>
      </c>
      <c r="C28" s="96">
        <v>1468200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7614.666666666667</v>
      </c>
      <c r="C29" s="96">
        <v>571100</v>
      </c>
      <c r="E29" s="27" t="s">
        <v>77</v>
      </c>
      <c r="F29" s="24" t="s">
        <v>32</v>
      </c>
      <c r="G29" s="12">
        <v>0</v>
      </c>
      <c r="H29" s="88">
        <f>IF(B$20=0,0,G29/B$20)</f>
        <v>0</v>
      </c>
      <c r="I29" s="58">
        <v>4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-7286.1313868613142</v>
      </c>
      <c r="C30" s="96">
        <v>-998200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13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1.3157894736842105E-3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15</v>
      </c>
      <c r="C37" s="98">
        <f t="shared" ref="C37:C49" si="2">IF(B$20=0,0,B37/B$20)</f>
        <v>6.1224489795918366E-2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45</v>
      </c>
      <c r="C38" s="6">
        <f t="shared" si="2"/>
        <v>0.18367346938775511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50</v>
      </c>
      <c r="C39" s="6">
        <f t="shared" si="2"/>
        <v>0.20408163265306123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45</v>
      </c>
      <c r="C40" s="6">
        <f t="shared" si="2"/>
        <v>0.18367346938775511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39</v>
      </c>
      <c r="C41" s="6">
        <f t="shared" si="2"/>
        <v>0.15918367346938775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28</v>
      </c>
      <c r="C42" s="6">
        <f t="shared" si="2"/>
        <v>0.11428571428571428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8</v>
      </c>
      <c r="C43" s="6">
        <f t="shared" si="2"/>
        <v>3.2653061224489799E-2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5</v>
      </c>
      <c r="C44" s="6">
        <f t="shared" si="2"/>
        <v>2.0408163265306121E-2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2.0408163265306121E-2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8.1632653061224497E-3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4.0816326530612249E-3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4.0816326530612249E-3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4.0816326530612249E-3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5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52</v>
      </c>
      <c r="C2" s="134"/>
      <c r="E2" s="26" t="s">
        <v>66</v>
      </c>
      <c r="F2" s="23" t="s">
        <v>22</v>
      </c>
      <c r="G2" s="11">
        <v>114</v>
      </c>
      <c r="H2" s="87">
        <f>IF(B$20=0,0,G2/B$20)</f>
        <v>0.91200000000000003</v>
      </c>
      <c r="I2" s="57">
        <v>3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555.76923076923072</v>
      </c>
      <c r="Q2" s="76">
        <v>52</v>
      </c>
      <c r="R2" s="63">
        <v>28900</v>
      </c>
    </row>
    <row r="3" spans="1:18" x14ac:dyDescent="0.4">
      <c r="A3" s="19" t="s">
        <v>8</v>
      </c>
      <c r="B3" s="135">
        <v>458</v>
      </c>
      <c r="C3" s="136"/>
      <c r="E3" s="27" t="s">
        <v>72</v>
      </c>
      <c r="F3" s="24" t="s">
        <v>27</v>
      </c>
      <c r="G3" s="12">
        <v>77</v>
      </c>
      <c r="H3" s="88">
        <f>IF(B$20=0,0,G3/B$20)</f>
        <v>0.61599999999999999</v>
      </c>
      <c r="I3" s="58">
        <v>6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26</v>
      </c>
      <c r="Q3" s="77">
        <v>50</v>
      </c>
      <c r="R3" s="64">
        <v>1300</v>
      </c>
    </row>
    <row r="4" spans="1:18" x14ac:dyDescent="0.4">
      <c r="A4" s="19" t="s">
        <v>6</v>
      </c>
      <c r="B4" s="137">
        <v>-107.9</v>
      </c>
      <c r="C4" s="138"/>
      <c r="E4" s="27" t="s">
        <v>64</v>
      </c>
      <c r="F4" s="24" t="s">
        <v>20</v>
      </c>
      <c r="G4" s="12">
        <v>57</v>
      </c>
      <c r="H4" s="88">
        <f>IF(B$20=0,0,G4/B$20)</f>
        <v>0.45600000000000002</v>
      </c>
      <c r="I4" s="58">
        <v>3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1242</v>
      </c>
      <c r="Q4" s="77">
        <v>50</v>
      </c>
      <c r="R4" s="64">
        <v>62100</v>
      </c>
    </row>
    <row r="5" spans="1:18" x14ac:dyDescent="0.4">
      <c r="A5" s="19" t="s">
        <v>7</v>
      </c>
      <c r="B5" s="125">
        <f>IF(B$2=0,0,B$4/B$2)</f>
        <v>-2.0750000000000002</v>
      </c>
      <c r="C5" s="126"/>
      <c r="E5" s="27" t="s">
        <v>159</v>
      </c>
      <c r="F5" s="24" t="s">
        <v>160</v>
      </c>
      <c r="G5" s="12">
        <v>49</v>
      </c>
      <c r="H5" s="88">
        <f>IF(B$20=0,0,G5/B$20)</f>
        <v>0.39200000000000002</v>
      </c>
      <c r="I5" s="58">
        <v>6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-828.57142857142856</v>
      </c>
      <c r="Q5" s="77">
        <v>49</v>
      </c>
      <c r="R5" s="64">
        <v>-40600</v>
      </c>
    </row>
    <row r="6" spans="1:18" x14ac:dyDescent="0.4">
      <c r="A6" s="19" t="s">
        <v>196</v>
      </c>
      <c r="B6" s="129">
        <v>1630.7087278091974</v>
      </c>
      <c r="C6" s="130"/>
      <c r="E6" s="27" t="s">
        <v>68</v>
      </c>
      <c r="F6" s="24" t="s">
        <v>12</v>
      </c>
      <c r="G6" s="12">
        <v>46</v>
      </c>
      <c r="H6" s="88">
        <f>IF(B$20=0,0,G6/B$20)</f>
        <v>0.36799999999999999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186.36363636363637</v>
      </c>
      <c r="Q6" s="77">
        <v>44</v>
      </c>
      <c r="R6" s="64">
        <v>8200</v>
      </c>
    </row>
    <row r="7" spans="1:18" x14ac:dyDescent="0.4">
      <c r="A7" s="19" t="s">
        <v>1</v>
      </c>
      <c r="B7" s="139">
        <f>IF(B$2=0,0,(B$8*1+B$9*2+B$10*3)/B$2)</f>
        <v>2.0384615384615383</v>
      </c>
      <c r="C7" s="140"/>
      <c r="E7" s="27" t="s">
        <v>67</v>
      </c>
      <c r="F7" s="24" t="s">
        <v>23</v>
      </c>
      <c r="G7" s="12">
        <v>33</v>
      </c>
      <c r="H7" s="88">
        <f>IF(B$20=0,0,G7/B$20)</f>
        <v>0.26400000000000001</v>
      </c>
      <c r="I7" s="58">
        <v>2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-791.89189189189187</v>
      </c>
      <c r="Q7" s="78">
        <v>37</v>
      </c>
      <c r="R7" s="65">
        <v>-29300</v>
      </c>
    </row>
    <row r="8" spans="1:18" x14ac:dyDescent="0.4">
      <c r="A8" s="19" t="s">
        <v>2</v>
      </c>
      <c r="B8" s="12">
        <v>16</v>
      </c>
      <c r="C8" s="6">
        <f t="shared" ref="C8:C15" si="1">IF(B$2=0,0,B8/B$2)</f>
        <v>0.30769230769230771</v>
      </c>
      <c r="E8" s="27" t="s">
        <v>89</v>
      </c>
      <c r="F8" s="24" t="s">
        <v>44</v>
      </c>
      <c r="G8" s="12">
        <v>21</v>
      </c>
      <c r="H8" s="88">
        <f>IF(B$20=0,0,G8/B$20)</f>
        <v>0.16800000000000001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18</v>
      </c>
      <c r="C9" s="6">
        <f t="shared" si="1"/>
        <v>0.34615384615384615</v>
      </c>
      <c r="E9" s="27" t="s">
        <v>69</v>
      </c>
      <c r="F9" s="24" t="s">
        <v>24</v>
      </c>
      <c r="G9" s="12">
        <v>14</v>
      </c>
      <c r="H9" s="88">
        <f>IF(B$20=0,0,G9/B$20)</f>
        <v>0.112</v>
      </c>
      <c r="I9" s="58">
        <v>5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18</v>
      </c>
      <c r="C10" s="7">
        <f t="shared" si="1"/>
        <v>0.34615384615384615</v>
      </c>
      <c r="E10" s="27" t="s">
        <v>65</v>
      </c>
      <c r="F10" s="24" t="s">
        <v>21</v>
      </c>
      <c r="G10" s="12">
        <v>12</v>
      </c>
      <c r="H10" s="88">
        <f>IF(B$20=0,0,G10/B$20)</f>
        <v>9.6000000000000002E-2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-2.12</v>
      </c>
      <c r="Q10" s="76">
        <v>20</v>
      </c>
      <c r="R10" s="67">
        <v>-42.400000000000006</v>
      </c>
    </row>
    <row r="11" spans="1:18" x14ac:dyDescent="0.4">
      <c r="A11" s="20" t="s">
        <v>184</v>
      </c>
      <c r="B11" s="109">
        <f>IF(B8=0,0,C11/B8)</f>
        <v>35.418749999999996</v>
      </c>
      <c r="C11" s="110">
        <v>566.69999999999993</v>
      </c>
      <c r="E11" s="27" t="s">
        <v>70</v>
      </c>
      <c r="F11" s="24" t="s">
        <v>25</v>
      </c>
      <c r="G11" s="12">
        <v>11</v>
      </c>
      <c r="H11" s="88">
        <f>IF(B$20=0,0,G11/B$20)</f>
        <v>8.7999999999999995E-2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1.5142857142857127</v>
      </c>
      <c r="Q11" s="77">
        <v>14</v>
      </c>
      <c r="R11" s="68">
        <v>21.199999999999978</v>
      </c>
    </row>
    <row r="12" spans="1:18" x14ac:dyDescent="0.4">
      <c r="A12" s="20" t="s">
        <v>185</v>
      </c>
      <c r="B12" s="109">
        <f>IF(B9=0,0,C12/B9)</f>
        <v>1.3888888888888886</v>
      </c>
      <c r="C12" s="110">
        <v>24.999999999999996</v>
      </c>
      <c r="E12" s="27" t="s">
        <v>86</v>
      </c>
      <c r="F12" s="24" t="s">
        <v>41</v>
      </c>
      <c r="G12" s="12">
        <v>8</v>
      </c>
      <c r="H12" s="88">
        <f>IF(B$20=0,0,G12/B$20)</f>
        <v>6.4000000000000001E-2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-4.8166666666666664</v>
      </c>
      <c r="Q12" s="78">
        <v>18</v>
      </c>
      <c r="R12" s="69">
        <v>-86.7</v>
      </c>
    </row>
    <row r="13" spans="1:18" x14ac:dyDescent="0.4">
      <c r="A13" s="20" t="s">
        <v>186</v>
      </c>
      <c r="B13" s="109">
        <f>IF(B10=0,0,C13/B10)</f>
        <v>-38.866666666666674</v>
      </c>
      <c r="C13" s="110">
        <v>-699.60000000000014</v>
      </c>
      <c r="E13" s="27" t="s">
        <v>71</v>
      </c>
      <c r="F13" s="24" t="s">
        <v>26</v>
      </c>
      <c r="G13" s="12">
        <v>7</v>
      </c>
      <c r="H13" s="88">
        <f>IF(B$20=0,0,G13/B$20)</f>
        <v>5.6000000000000001E-2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-0.68634259259259756</v>
      </c>
      <c r="C14" s="126"/>
      <c r="E14" s="27" t="s">
        <v>83</v>
      </c>
      <c r="F14" s="24" t="s">
        <v>38</v>
      </c>
      <c r="G14" s="12">
        <v>6</v>
      </c>
      <c r="H14" s="88">
        <f>IF(B$20=0,0,G14/B$20)</f>
        <v>4.8000000000000001E-2</v>
      </c>
      <c r="I14" s="58">
        <v>5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0.13461538461538461</v>
      </c>
      <c r="E15" s="27" t="s">
        <v>81</v>
      </c>
      <c r="F15" s="24" t="s">
        <v>36</v>
      </c>
      <c r="G15" s="12">
        <v>5</v>
      </c>
      <c r="H15" s="88">
        <f>IF(B$20=0,0,G15/B$20)</f>
        <v>0.04</v>
      </c>
      <c r="I15" s="58">
        <v>3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128</v>
      </c>
      <c r="C16" s="10">
        <f>IF(B$3=0,0,B16/B$3)</f>
        <v>0.27947598253275108</v>
      </c>
      <c r="E16" s="27" t="s">
        <v>78</v>
      </c>
      <c r="F16" s="24" t="s">
        <v>33</v>
      </c>
      <c r="G16" s="12">
        <v>4</v>
      </c>
      <c r="H16" s="88">
        <f>IF(B$20=0,0,G16/B$20)</f>
        <v>3.2000000000000001E-2</v>
      </c>
      <c r="I16" s="58">
        <v>4</v>
      </c>
      <c r="K16" s="74">
        <v>14</v>
      </c>
      <c r="L16" s="119">
        <v>-125.80000000000004</v>
      </c>
      <c r="M16" s="117">
        <v>1630.1668189337324</v>
      </c>
      <c r="O16" s="74" t="s">
        <v>189</v>
      </c>
      <c r="P16" s="83">
        <f>IF(Q16=0,0,R16/Q16)</f>
        <v>2.9066666666666672</v>
      </c>
      <c r="Q16" s="77">
        <v>15</v>
      </c>
      <c r="R16" s="68">
        <v>43.600000000000009</v>
      </c>
    </row>
    <row r="17" spans="1:18" x14ac:dyDescent="0.4">
      <c r="A17" s="19" t="s">
        <v>118</v>
      </c>
      <c r="B17" s="12">
        <v>104</v>
      </c>
      <c r="C17" s="6">
        <f>IF(B$3=0,0,B17/B$3)</f>
        <v>0.22707423580786026</v>
      </c>
      <c r="E17" s="27" t="s">
        <v>155</v>
      </c>
      <c r="F17" s="24" t="s">
        <v>156</v>
      </c>
      <c r="G17" s="12">
        <v>4</v>
      </c>
      <c r="H17" s="88">
        <f>IF(B$20=0,0,G17/B$20)</f>
        <v>3.2000000000000001E-2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190</v>
      </c>
      <c r="P17" s="83">
        <f>IF(Q17=0,0,R17/Q17)</f>
        <v>2.7888888888888901</v>
      </c>
      <c r="Q17" s="77">
        <v>9</v>
      </c>
      <c r="R17" s="68">
        <v>25.100000000000012</v>
      </c>
    </row>
    <row r="18" spans="1:18" x14ac:dyDescent="0.4">
      <c r="A18" s="18" t="s">
        <v>123</v>
      </c>
      <c r="B18" s="11">
        <f>B24</f>
        <v>61</v>
      </c>
      <c r="C18" s="5">
        <f>IF(B$16=0,0,B18/B$16)</f>
        <v>0.4765625</v>
      </c>
      <c r="E18" s="27" t="s">
        <v>73</v>
      </c>
      <c r="F18" s="24" t="s">
        <v>28</v>
      </c>
      <c r="G18" s="12">
        <v>3</v>
      </c>
      <c r="H18" s="88">
        <f>IF(B$20=0,0,G18/B$20)</f>
        <v>2.4E-2</v>
      </c>
      <c r="I18" s="58">
        <v>1</v>
      </c>
      <c r="K18" s="74">
        <v>16</v>
      </c>
      <c r="L18" s="119">
        <v>-95.40000000000002</v>
      </c>
      <c r="M18" s="117">
        <v>1635.5699351120093</v>
      </c>
      <c r="O18" s="74" t="s">
        <v>192</v>
      </c>
      <c r="P18" s="83">
        <f>IF(Q18=0,0,R18/Q18)</f>
        <v>-6.2454545454545469</v>
      </c>
      <c r="Q18" s="77">
        <v>11</v>
      </c>
      <c r="R18" s="68">
        <v>-68.700000000000017</v>
      </c>
    </row>
    <row r="19" spans="1:18" x14ac:dyDescent="0.4">
      <c r="A19" s="18" t="s">
        <v>124</v>
      </c>
      <c r="B19" s="11">
        <f>B25</f>
        <v>35</v>
      </c>
      <c r="C19" s="5">
        <f>IF(B$17=0,0,B19/B$17)</f>
        <v>0.33653846153846156</v>
      </c>
      <c r="E19" s="27" t="s">
        <v>77</v>
      </c>
      <c r="F19" s="24" t="s">
        <v>32</v>
      </c>
      <c r="G19" s="12">
        <v>1</v>
      </c>
      <c r="H19" s="88">
        <f>IF(B$20=0,0,G19/B$20)</f>
        <v>8.0000000000000002E-3</v>
      </c>
      <c r="I19" s="58">
        <v>2</v>
      </c>
      <c r="K19" s="74">
        <v>17</v>
      </c>
      <c r="L19" s="119">
        <v>-91.000000000000014</v>
      </c>
      <c r="M19" s="117">
        <v>1635.9985155013371</v>
      </c>
      <c r="O19" s="74" t="s">
        <v>126</v>
      </c>
      <c r="P19" s="83">
        <f>IF(Q19=0,0,R19/Q19)</f>
        <v>-6.5069767441860495</v>
      </c>
      <c r="Q19" s="77">
        <v>43</v>
      </c>
      <c r="R19" s="68">
        <v>-279.80000000000013</v>
      </c>
    </row>
    <row r="20" spans="1:18" x14ac:dyDescent="0.4">
      <c r="A20" s="18" t="s">
        <v>10</v>
      </c>
      <c r="B20" s="11">
        <f>B23+B22</f>
        <v>125</v>
      </c>
      <c r="C20" s="5">
        <f>IF(B$3=0,0,B20/B$3)</f>
        <v>0.27292576419213976</v>
      </c>
      <c r="E20" s="27" t="s">
        <v>79</v>
      </c>
      <c r="F20" s="24" t="s">
        <v>34</v>
      </c>
      <c r="G20" s="12">
        <v>1</v>
      </c>
      <c r="H20" s="88">
        <f>IF(B$20=0,0,G20/B$20)</f>
        <v>8.0000000000000002E-3</v>
      </c>
      <c r="I20" s="58">
        <v>6</v>
      </c>
      <c r="K20" s="74">
        <v>18</v>
      </c>
      <c r="L20" s="119">
        <v>-91.000000000000014</v>
      </c>
      <c r="M20" s="117">
        <v>1635.974524408329</v>
      </c>
      <c r="O20" s="74" t="s">
        <v>211</v>
      </c>
      <c r="P20" s="83">
        <f>IF(Q20=0,0,R20/Q20)</f>
        <v>-12.558823529411766</v>
      </c>
      <c r="Q20" s="77">
        <v>17</v>
      </c>
      <c r="R20" s="68">
        <v>-213.50000000000003</v>
      </c>
    </row>
    <row r="21" spans="1:18" x14ac:dyDescent="0.4">
      <c r="A21" s="19" t="s">
        <v>13</v>
      </c>
      <c r="B21" s="12">
        <v>82</v>
      </c>
      <c r="C21" s="6">
        <f>IF(B$3=0,0,B21/B$3)</f>
        <v>0.17903930131004367</v>
      </c>
      <c r="E21" s="27" t="s">
        <v>85</v>
      </c>
      <c r="F21" s="24" t="s">
        <v>40</v>
      </c>
      <c r="G21" s="12">
        <v>1</v>
      </c>
      <c r="H21" s="88">
        <f>IF(B$20=0,0,G21/B$20)</f>
        <v>8.0000000000000002E-3</v>
      </c>
      <c r="I21" s="58">
        <v>2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>IF(Q21=0,0,R21/Q21)</f>
        <v>-39.85</v>
      </c>
      <c r="Q21" s="77">
        <v>2</v>
      </c>
      <c r="R21" s="68">
        <v>-79.7</v>
      </c>
    </row>
    <row r="22" spans="1:18" x14ac:dyDescent="0.4">
      <c r="A22" s="19" t="s">
        <v>12</v>
      </c>
      <c r="B22" s="12">
        <v>59</v>
      </c>
      <c r="C22" s="6">
        <f>IF(B$20=0,0,B22/B$20)</f>
        <v>0.47199999999999998</v>
      </c>
      <c r="E22" s="27" t="s">
        <v>88</v>
      </c>
      <c r="F22" s="24" t="s">
        <v>43</v>
      </c>
      <c r="G22" s="12">
        <v>1</v>
      </c>
      <c r="H22" s="88">
        <f>IF(B$20=0,0,G22/B$20)</f>
        <v>8.0000000000000002E-3</v>
      </c>
      <c r="I22" s="58">
        <v>2</v>
      </c>
      <c r="K22" s="74">
        <v>20</v>
      </c>
      <c r="L22" s="119">
        <v>-101.2</v>
      </c>
      <c r="M22" s="117">
        <v>1634.1175651983078</v>
      </c>
    </row>
    <row r="23" spans="1:18" x14ac:dyDescent="0.4">
      <c r="A23" s="19" t="s">
        <v>11</v>
      </c>
      <c r="B23" s="12">
        <v>66</v>
      </c>
      <c r="C23" s="6">
        <f>IF(B$20=0,0,B23/B$20)</f>
        <v>0.52800000000000002</v>
      </c>
      <c r="E23" s="27" t="s">
        <v>91</v>
      </c>
      <c r="F23" s="24" t="s">
        <v>46</v>
      </c>
      <c r="G23" s="12">
        <v>1</v>
      </c>
      <c r="H23" s="88">
        <f>IF(B$20=0,0,G23/B$20)</f>
        <v>8.0000000000000002E-3</v>
      </c>
      <c r="I23" s="58">
        <v>5</v>
      </c>
      <c r="K23" s="74">
        <v>21</v>
      </c>
      <c r="L23" s="119">
        <v>-99.3</v>
      </c>
      <c r="M23" s="117">
        <v>1634.416859807118</v>
      </c>
    </row>
    <row r="24" spans="1:18" x14ac:dyDescent="0.4">
      <c r="A24" s="19" t="s">
        <v>183</v>
      </c>
      <c r="B24" s="12">
        <v>61</v>
      </c>
      <c r="C24" s="6">
        <f>IF(B$20=0,0,B24/B$20)</f>
        <v>0.48799999999999999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-95.2</v>
      </c>
      <c r="M24" s="117">
        <v>1635.1103586482752</v>
      </c>
    </row>
    <row r="25" spans="1:18" x14ac:dyDescent="0.4">
      <c r="A25" s="19" t="s">
        <v>181</v>
      </c>
      <c r="B25" s="12">
        <v>35</v>
      </c>
      <c r="C25" s="6">
        <f>IF(B$20=0,0,B25/B$20)</f>
        <v>0.28000000000000003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29</v>
      </c>
      <c r="C26" s="6">
        <f>IF(B$20=0,0,B26/B$20)</f>
        <v>0.23200000000000001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8914.4</v>
      </c>
      <c r="C27" s="8">
        <v>1114300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9535.5555555555547</v>
      </c>
      <c r="C28" s="96">
        <v>858200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7317.1428571428569</v>
      </c>
      <c r="C29" s="96">
        <v>256100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-8341.4634146341468</v>
      </c>
      <c r="C30" s="96">
        <v>-684000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2.1834061135371178E-3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9</v>
      </c>
      <c r="C37" s="98">
        <f t="shared" ref="C37:C49" si="2">IF(B$20=0,0,B37/B$20)</f>
        <v>7.1999999999999995E-2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10</v>
      </c>
      <c r="C38" s="6">
        <f t="shared" si="2"/>
        <v>0.08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28</v>
      </c>
      <c r="C39" s="6">
        <f t="shared" si="2"/>
        <v>0.224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26</v>
      </c>
      <c r="C40" s="6">
        <f t="shared" si="2"/>
        <v>0.20799999999999999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24</v>
      </c>
      <c r="C41" s="6">
        <f t="shared" si="2"/>
        <v>0.192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12</v>
      </c>
      <c r="C42" s="6">
        <f t="shared" si="2"/>
        <v>9.6000000000000002E-2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6</v>
      </c>
      <c r="C43" s="6">
        <f t="shared" si="2"/>
        <v>4.8000000000000001E-2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5</v>
      </c>
      <c r="C44" s="6">
        <f t="shared" si="2"/>
        <v>0.04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3</v>
      </c>
      <c r="C45" s="6">
        <f t="shared" si="2"/>
        <v>2.4E-2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1</v>
      </c>
      <c r="C46" s="6">
        <f t="shared" si="2"/>
        <v>8.0000000000000002E-3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1</v>
      </c>
      <c r="C49" s="9">
        <f t="shared" si="2"/>
        <v>8.0000000000000002E-3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42</v>
      </c>
      <c r="C2" s="134"/>
      <c r="E2" s="26" t="s">
        <v>72</v>
      </c>
      <c r="F2" s="23" t="s">
        <v>27</v>
      </c>
      <c r="G2" s="11">
        <v>77</v>
      </c>
      <c r="H2" s="87">
        <f>IF(B$20=0,0,G2/B$20)</f>
        <v>0.70642201834862384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-526.19047619047615</v>
      </c>
      <c r="Q2" s="76">
        <v>42</v>
      </c>
      <c r="R2" s="63">
        <v>-22100</v>
      </c>
    </row>
    <row r="3" spans="1:18" x14ac:dyDescent="0.4">
      <c r="A3" s="19" t="s">
        <v>8</v>
      </c>
      <c r="B3" s="135">
        <v>372</v>
      </c>
      <c r="C3" s="136"/>
      <c r="E3" s="27" t="s">
        <v>66</v>
      </c>
      <c r="F3" s="24" t="s">
        <v>22</v>
      </c>
      <c r="G3" s="12">
        <v>69</v>
      </c>
      <c r="H3" s="88">
        <f>IF(B$20=0,0,G3/B$20)</f>
        <v>0.6330275229357798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-997.61904761904759</v>
      </c>
      <c r="Q3" s="77">
        <v>42</v>
      </c>
      <c r="R3" s="64">
        <v>-41900</v>
      </c>
    </row>
    <row r="4" spans="1:18" x14ac:dyDescent="0.4">
      <c r="A4" s="19" t="s">
        <v>6</v>
      </c>
      <c r="B4" s="137">
        <v>-64.599999999999994</v>
      </c>
      <c r="C4" s="138"/>
      <c r="E4" s="27" t="s">
        <v>64</v>
      </c>
      <c r="F4" s="24" t="s">
        <v>20</v>
      </c>
      <c r="G4" s="12">
        <v>43</v>
      </c>
      <c r="H4" s="88">
        <f>IF(B$20=0,0,G4/B$20)</f>
        <v>0.39449541284403672</v>
      </c>
      <c r="I4" s="58">
        <v>8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158.53658536585365</v>
      </c>
      <c r="Q4" s="77">
        <v>41</v>
      </c>
      <c r="R4" s="64">
        <v>6500</v>
      </c>
    </row>
    <row r="5" spans="1:18" x14ac:dyDescent="0.4">
      <c r="A5" s="19" t="s">
        <v>7</v>
      </c>
      <c r="B5" s="125">
        <f>IF(B$2=0,0,B$4/B$2)</f>
        <v>-1.538095238095238</v>
      </c>
      <c r="C5" s="126"/>
      <c r="E5" s="27" t="s">
        <v>159</v>
      </c>
      <c r="F5" s="24" t="s">
        <v>160</v>
      </c>
      <c r="G5" s="12">
        <v>36</v>
      </c>
      <c r="H5" s="88">
        <f>IF(B$20=0,0,G5/B$20)</f>
        <v>0.33027522935779818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-763.41463414634143</v>
      </c>
      <c r="Q5" s="77">
        <v>41</v>
      </c>
      <c r="R5" s="64">
        <v>-31300</v>
      </c>
    </row>
    <row r="6" spans="1:18" x14ac:dyDescent="0.4">
      <c r="A6" s="19" t="s">
        <v>196</v>
      </c>
      <c r="B6" s="129">
        <v>1455.9369630320298</v>
      </c>
      <c r="C6" s="130"/>
      <c r="E6" s="27" t="s">
        <v>68</v>
      </c>
      <c r="F6" s="24" t="s">
        <v>12</v>
      </c>
      <c r="G6" s="12">
        <v>29</v>
      </c>
      <c r="H6" s="88">
        <f>IF(B$20=0,0,G6/B$20)</f>
        <v>0.26605504587155965</v>
      </c>
      <c r="I6" s="58">
        <v>8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-935</v>
      </c>
      <c r="Q6" s="77">
        <v>40</v>
      </c>
      <c r="R6" s="64">
        <v>-37400</v>
      </c>
    </row>
    <row r="7" spans="1:18" x14ac:dyDescent="0.4">
      <c r="A7" s="19" t="s">
        <v>1</v>
      </c>
      <c r="B7" s="139">
        <f>IF(B$2=0,0,(B$8*1+B$9*2+B$10*3)/B$2)</f>
        <v>2.0238095238095237</v>
      </c>
      <c r="C7" s="140"/>
      <c r="E7" s="27" t="s">
        <v>67</v>
      </c>
      <c r="F7" s="24" t="s">
        <v>23</v>
      </c>
      <c r="G7" s="12">
        <v>28</v>
      </c>
      <c r="H7" s="88">
        <f>IF(B$20=0,0,G7/B$20)</f>
        <v>0.25688073394495414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572.72727272727275</v>
      </c>
      <c r="Q7" s="78">
        <v>33</v>
      </c>
      <c r="R7" s="65">
        <v>18900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0.35714285714285715</v>
      </c>
      <c r="E8" s="27" t="s">
        <v>70</v>
      </c>
      <c r="F8" s="24" t="s">
        <v>25</v>
      </c>
      <c r="G8" s="12">
        <v>11</v>
      </c>
      <c r="H8" s="88">
        <f>IF(B$20=0,0,G8/B$20)</f>
        <v>0.10091743119266056</v>
      </c>
      <c r="I8" s="58">
        <v>5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0.26190476190476192</v>
      </c>
      <c r="E9" s="27" t="s">
        <v>89</v>
      </c>
      <c r="F9" s="24" t="s">
        <v>44</v>
      </c>
      <c r="G9" s="12">
        <v>11</v>
      </c>
      <c r="H9" s="88">
        <f>IF(B$20=0,0,G9/B$20)</f>
        <v>0.10091743119266056</v>
      </c>
      <c r="I9" s="58">
        <v>10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16</v>
      </c>
      <c r="C10" s="7">
        <f t="shared" si="1"/>
        <v>0.38095238095238093</v>
      </c>
      <c r="E10" s="27" t="s">
        <v>65</v>
      </c>
      <c r="F10" s="24" t="s">
        <v>21</v>
      </c>
      <c r="G10" s="12">
        <v>9</v>
      </c>
      <c r="H10" s="88">
        <f>IF(B$20=0,0,G10/B$20)</f>
        <v>8.2568807339449546E-2</v>
      </c>
      <c r="I10" s="58">
        <v>8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9</v>
      </c>
      <c r="H11" s="88">
        <f>IF(B$20=0,0,G11/B$20)</f>
        <v>8.2568807339449546E-2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-6.2600000000000007</v>
      </c>
      <c r="Q11" s="77">
        <v>15</v>
      </c>
      <c r="R11" s="68">
        <v>-93.9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6.4220183486238536E-2</v>
      </c>
      <c r="I12" s="58">
        <v>2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-1.8125000000000009</v>
      </c>
      <c r="Q12" s="78">
        <v>16</v>
      </c>
      <c r="R12" s="69">
        <v>-29.000000000000014</v>
      </c>
    </row>
    <row r="13" spans="1:18" x14ac:dyDescent="0.4">
      <c r="A13" s="20" t="s">
        <v>186</v>
      </c>
      <c r="B13" s="109">
        <f>IF(B10=0,0,C13/B10)</f>
        <v>-34.618749999999999</v>
      </c>
      <c r="C13" s="110">
        <v>-553.9</v>
      </c>
      <c r="E13" s="27" t="s">
        <v>71</v>
      </c>
      <c r="F13" s="24" t="s">
        <v>26</v>
      </c>
      <c r="G13" s="12">
        <v>5</v>
      </c>
      <c r="H13" s="88">
        <f>IF(B$20=0,0,G13/B$20)</f>
        <v>4.5871559633027525E-2</v>
      </c>
      <c r="I13" s="58">
        <v>6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-0.22907828282828055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3.669724770642202E-2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7.1428571428571425E-2</v>
      </c>
      <c r="E15" s="27" t="s">
        <v>81</v>
      </c>
      <c r="F15" s="24" t="s">
        <v>36</v>
      </c>
      <c r="G15" s="12">
        <v>4</v>
      </c>
      <c r="H15" s="88">
        <f>IF(B$20=0,0,G15/B$20)</f>
        <v>3.669724770642202E-2</v>
      </c>
      <c r="I15" s="58">
        <v>4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97</v>
      </c>
      <c r="C16" s="10">
        <f>IF(B$3=0,0,B16/B$3)</f>
        <v>0.260752688172043</v>
      </c>
      <c r="E16" s="27" t="s">
        <v>79</v>
      </c>
      <c r="F16" s="24" t="s">
        <v>34</v>
      </c>
      <c r="G16" s="12">
        <v>3</v>
      </c>
      <c r="H16" s="88">
        <f>IF(B$20=0,0,G16/B$20)</f>
        <v>2.7522935779816515E-2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113</v>
      </c>
      <c r="C17" s="6">
        <f>IF(B$3=0,0,B17/B$3)</f>
        <v>0.30376344086021506</v>
      </c>
      <c r="E17" s="27" t="s">
        <v>86</v>
      </c>
      <c r="F17" s="24" t="s">
        <v>41</v>
      </c>
      <c r="G17" s="12">
        <v>2</v>
      </c>
      <c r="H17" s="88">
        <f>IF(B$20=0,0,G17/B$20)</f>
        <v>1.834862385321101E-2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0.44329896907216493</v>
      </c>
      <c r="E18" s="27" t="s">
        <v>91</v>
      </c>
      <c r="F18" s="24" t="s">
        <v>46</v>
      </c>
      <c r="G18" s="12">
        <v>2</v>
      </c>
      <c r="H18" s="88">
        <f>IF(B$20=0,0,G18/B$20)</f>
        <v>1.834862385321101E-2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>IF(Q18=0,0,R18/Q18)</f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46</v>
      </c>
      <c r="C19" s="5">
        <f>IF(B$17=0,0,B19/B$17)</f>
        <v>0.40707964601769914</v>
      </c>
      <c r="E19" s="27" t="s">
        <v>88</v>
      </c>
      <c r="F19" s="24" t="s">
        <v>43</v>
      </c>
      <c r="G19" s="12">
        <v>1</v>
      </c>
      <c r="H19" s="88">
        <f>IF(B$20=0,0,G19/B$20)</f>
        <v>9.1743119266055051E-3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>IF(Q19=0,0,R19/Q19)</f>
        <v>-0.37222222222222257</v>
      </c>
      <c r="Q19" s="77">
        <v>36</v>
      </c>
      <c r="R19" s="68">
        <v>-13.400000000000013</v>
      </c>
    </row>
    <row r="20" spans="1:18" x14ac:dyDescent="0.4">
      <c r="A20" s="18" t="s">
        <v>10</v>
      </c>
      <c r="B20" s="11">
        <f>B23+B22</f>
        <v>109</v>
      </c>
      <c r="C20" s="5">
        <f>IF(B$3=0,0,B20/B$3)</f>
        <v>0.29301075268817206</v>
      </c>
      <c r="E20" s="27" t="s">
        <v>93</v>
      </c>
      <c r="F20" s="24" t="s">
        <v>48</v>
      </c>
      <c r="G20" s="12">
        <v>1</v>
      </c>
      <c r="H20" s="88">
        <f>IF(B$20=0,0,G20/B$20)</f>
        <v>9.1743119266055051E-3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>IF(Q20=0,0,R20/Q20)</f>
        <v>-2.9066666666666645</v>
      </c>
      <c r="Q20" s="77">
        <v>15</v>
      </c>
      <c r="R20" s="68">
        <v>-43.599999999999966</v>
      </c>
    </row>
    <row r="21" spans="1:18" x14ac:dyDescent="0.4">
      <c r="A21" s="19" t="s">
        <v>13</v>
      </c>
      <c r="B21" s="12">
        <v>64</v>
      </c>
      <c r="C21" s="6">
        <f>IF(B$3=0,0,B21/B$3)</f>
        <v>0.17204301075268819</v>
      </c>
      <c r="E21" s="27" t="s">
        <v>106</v>
      </c>
      <c r="F21" s="24" t="s">
        <v>113</v>
      </c>
      <c r="G21" s="12">
        <v>1</v>
      </c>
      <c r="H21" s="88">
        <f>IF(B$20=0,0,G21/B$20)</f>
        <v>9.1743119266055051E-3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>IF(Q21=0,0,R21/Q21)</f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51</v>
      </c>
      <c r="C22" s="6">
        <f>IF(B$20=0,0,B22/B$20)</f>
        <v>0.46788990825688076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58</v>
      </c>
      <c r="C23" s="6">
        <f>IF(B$20=0,0,B23/B$20)</f>
        <v>0.5321100917431193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43</v>
      </c>
      <c r="C24" s="6">
        <f>IF(B$20=0,0,B24/B$20)</f>
        <v>0.39449541284403672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46</v>
      </c>
      <c r="C25" s="6">
        <f>IF(B$20=0,0,B25/B$20)</f>
        <v>0.42201834862385323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20</v>
      </c>
      <c r="C26" s="6">
        <f>IF(B$20=0,0,B26/B$20)</f>
        <v>0.1834862385321101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7549.54128440367</v>
      </c>
      <c r="C27" s="8">
        <v>822900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9374.6031746031749</v>
      </c>
      <c r="C28" s="96">
        <v>590600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5050</v>
      </c>
      <c r="C29" s="96">
        <v>232300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-8153.125</v>
      </c>
      <c r="C30" s="96">
        <v>-521800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29">
        <v>89900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2.6881720430107529E-3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14</v>
      </c>
      <c r="C37" s="98">
        <f t="shared" ref="C37:C49" si="2">IF(B$20=0,0,B37/B$20)</f>
        <v>0.12844036697247707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2"/>
        <v>0.24770642201834864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21</v>
      </c>
      <c r="C39" s="6">
        <f t="shared" si="2"/>
        <v>0.19266055045871561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20</v>
      </c>
      <c r="C40" s="6">
        <f t="shared" si="2"/>
        <v>0.1834862385321101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2"/>
        <v>4.5871559633027525E-2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2"/>
        <v>4.5871559633027525E-2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2"/>
        <v>4.5871559633027525E-2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2"/>
        <v>1.834862385321101E-2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2"/>
        <v>3.669724770642202E-2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4</v>
      </c>
      <c r="C46" s="6">
        <f t="shared" si="2"/>
        <v>3.669724770642202E-2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1.834862385321101E-2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28</v>
      </c>
      <c r="C2" s="134"/>
      <c r="E2" s="26" t="s">
        <v>66</v>
      </c>
      <c r="F2" s="23" t="s">
        <v>22</v>
      </c>
      <c r="G2" s="11">
        <v>53</v>
      </c>
      <c r="H2" s="87">
        <f>IF(B$20=0,0,G2/B$20)</f>
        <v>0.91379310344827591</v>
      </c>
      <c r="I2" s="57">
        <v>2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53.571428571428569</v>
      </c>
      <c r="Q2" s="76">
        <v>28</v>
      </c>
      <c r="R2" s="63">
        <v>1500</v>
      </c>
    </row>
    <row r="3" spans="1:18" x14ac:dyDescent="0.4">
      <c r="A3" s="19" t="s">
        <v>8</v>
      </c>
      <c r="B3" s="135">
        <v>244</v>
      </c>
      <c r="C3" s="136"/>
      <c r="E3" s="27" t="s">
        <v>72</v>
      </c>
      <c r="F3" s="24" t="s">
        <v>27</v>
      </c>
      <c r="G3" s="12">
        <v>36</v>
      </c>
      <c r="H3" s="88">
        <f>IF(B$20=0,0,G3/B$20)</f>
        <v>0.62068965517241381</v>
      </c>
      <c r="I3" s="58">
        <v>4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850</v>
      </c>
      <c r="Q3" s="77">
        <v>28</v>
      </c>
      <c r="R3" s="64">
        <v>23800</v>
      </c>
    </row>
    <row r="4" spans="1:18" x14ac:dyDescent="0.4">
      <c r="A4" s="19" t="s">
        <v>6</v>
      </c>
      <c r="B4" s="137">
        <v>-67.300000000000026</v>
      </c>
      <c r="C4" s="138"/>
      <c r="E4" s="27" t="s">
        <v>64</v>
      </c>
      <c r="F4" s="24" t="s">
        <v>20</v>
      </c>
      <c r="G4" s="12">
        <v>28</v>
      </c>
      <c r="H4" s="88">
        <f>IF(B$20=0,0,G4/B$20)</f>
        <v>0.48275862068965519</v>
      </c>
      <c r="I4" s="58">
        <v>2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-840.74074074074076</v>
      </c>
      <c r="Q4" s="77">
        <v>27</v>
      </c>
      <c r="R4" s="64">
        <v>-22700</v>
      </c>
    </row>
    <row r="5" spans="1:18" x14ac:dyDescent="0.4">
      <c r="A5" s="19" t="s">
        <v>7</v>
      </c>
      <c r="B5" s="125">
        <f>IF(B$2=0,0,B$4/B$2)</f>
        <v>-2.4035714285714294</v>
      </c>
      <c r="C5" s="126"/>
      <c r="E5" s="27" t="s">
        <v>159</v>
      </c>
      <c r="F5" s="24" t="s">
        <v>160</v>
      </c>
      <c r="G5" s="12">
        <v>27</v>
      </c>
      <c r="H5" s="88">
        <f>IF(B$20=0,0,G5/B$20)</f>
        <v>0.46551724137931033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-2895.8333333333335</v>
      </c>
      <c r="Q5" s="77">
        <v>24</v>
      </c>
      <c r="R5" s="64">
        <v>-69500</v>
      </c>
    </row>
    <row r="6" spans="1:18" x14ac:dyDescent="0.4">
      <c r="A6" s="19" t="s">
        <v>196</v>
      </c>
      <c r="B6" s="129">
        <v>1525.2391528138457</v>
      </c>
      <c r="C6" s="130"/>
      <c r="E6" s="27" t="s">
        <v>67</v>
      </c>
      <c r="F6" s="24" t="s">
        <v>23</v>
      </c>
      <c r="G6" s="12">
        <v>15</v>
      </c>
      <c r="H6" s="88">
        <f>IF(B$20=0,0,G6/B$20)</f>
        <v>0.25862068965517243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2559.090909090909</v>
      </c>
      <c r="Q6" s="77">
        <v>22</v>
      </c>
      <c r="R6" s="64">
        <v>56300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14</v>
      </c>
      <c r="H7" s="88">
        <f>IF(B$20=0,0,G7/B$20)</f>
        <v>0.2413793103448276</v>
      </c>
      <c r="I7" s="58">
        <v>11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-931.57894736842104</v>
      </c>
      <c r="Q7" s="78">
        <v>19</v>
      </c>
      <c r="R7" s="65">
        <v>-17700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0.21428571428571427</v>
      </c>
      <c r="E8" s="27" t="s">
        <v>65</v>
      </c>
      <c r="F8" s="24" t="s">
        <v>21</v>
      </c>
      <c r="G8" s="12">
        <v>11</v>
      </c>
      <c r="H8" s="88">
        <f>IF(B$20=0,0,G8/B$20)</f>
        <v>0.18965517241379309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0.5714285714285714</v>
      </c>
      <c r="E9" s="27" t="s">
        <v>89</v>
      </c>
      <c r="F9" s="24" t="s">
        <v>44</v>
      </c>
      <c r="G9" s="12">
        <v>7</v>
      </c>
      <c r="H9" s="88">
        <f>IF(B$20=0,0,G9/B$20)</f>
        <v>0.1206896551724138</v>
      </c>
      <c r="I9" s="58">
        <v>8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</v>
      </c>
      <c r="C10" s="7">
        <f t="shared" si="1"/>
        <v>0.21428571428571427</v>
      </c>
      <c r="E10" s="27" t="s">
        <v>69</v>
      </c>
      <c r="F10" s="24" t="s">
        <v>24</v>
      </c>
      <c r="G10" s="12">
        <v>6</v>
      </c>
      <c r="H10" s="88">
        <f>IF(B$20=0,0,G10/B$20)</f>
        <v>0.10344827586206896</v>
      </c>
      <c r="I10" s="58">
        <v>6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-4.7444444444444436</v>
      </c>
      <c r="Q10" s="76">
        <v>9</v>
      </c>
      <c r="R10" s="67">
        <v>-42.699999999999996</v>
      </c>
    </row>
    <row r="11" spans="1:18" x14ac:dyDescent="0.4">
      <c r="A11" s="20" t="s">
        <v>184</v>
      </c>
      <c r="B11" s="109">
        <f>IF(B8=0,0,C11/B8)</f>
        <v>32.949999999999996</v>
      </c>
      <c r="C11" s="110">
        <v>197.7</v>
      </c>
      <c r="E11" s="27" t="s">
        <v>70</v>
      </c>
      <c r="F11" s="24" t="s">
        <v>25</v>
      </c>
      <c r="G11" s="12">
        <v>5</v>
      </c>
      <c r="H11" s="88">
        <f>IF(B$20=0,0,G11/B$20)</f>
        <v>8.6206896551724144E-2</v>
      </c>
      <c r="I11" s="58">
        <v>7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-7.4090909090909092</v>
      </c>
      <c r="Q11" s="77">
        <v>11</v>
      </c>
      <c r="R11" s="68">
        <v>-81.5</v>
      </c>
    </row>
    <row r="12" spans="1:18" x14ac:dyDescent="0.4">
      <c r="A12" s="20" t="s">
        <v>185</v>
      </c>
      <c r="B12" s="109">
        <f>IF(B9=0,0,C12/B9)</f>
        <v>-2.1374999999999997</v>
      </c>
      <c r="C12" s="110">
        <v>-34.199999999999996</v>
      </c>
      <c r="E12" s="27" t="s">
        <v>86</v>
      </c>
      <c r="F12" s="24" t="s">
        <v>41</v>
      </c>
      <c r="G12" s="12">
        <v>5</v>
      </c>
      <c r="H12" s="88">
        <f>IF(B$20=0,0,G12/B$20)</f>
        <v>8.6206896551724144E-2</v>
      </c>
      <c r="I12" s="58">
        <v>2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7.1125000000000007</v>
      </c>
      <c r="Q12" s="78">
        <v>8</v>
      </c>
      <c r="R12" s="69">
        <v>56.900000000000006</v>
      </c>
    </row>
    <row r="13" spans="1:18" x14ac:dyDescent="0.4">
      <c r="A13" s="20" t="s">
        <v>186</v>
      </c>
      <c r="B13" s="109">
        <f>IF(B10=0,0,C13/B10)</f>
        <v>-38.466666666666669</v>
      </c>
      <c r="C13" s="110">
        <v>-230.8</v>
      </c>
      <c r="E13" s="27" t="s">
        <v>71</v>
      </c>
      <c r="F13" s="24" t="s">
        <v>26</v>
      </c>
      <c r="G13" s="12">
        <v>2</v>
      </c>
      <c r="H13" s="88">
        <f>IF(B$20=0,0,G13/B$20)</f>
        <v>3.4482758620689655E-2</v>
      </c>
      <c r="I13" s="58">
        <v>8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-2.5513888888888907</v>
      </c>
      <c r="C14" s="126"/>
      <c r="E14" s="27" t="s">
        <v>79</v>
      </c>
      <c r="F14" s="24" t="s">
        <v>34</v>
      </c>
      <c r="G14" s="12">
        <v>2</v>
      </c>
      <c r="H14" s="88">
        <f>IF(B$20=0,0,G14/B$20)</f>
        <v>3.4482758620689655E-2</v>
      </c>
      <c r="I14" s="58">
        <v>1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7.1428571428571425E-2</v>
      </c>
      <c r="E15" s="27" t="s">
        <v>81</v>
      </c>
      <c r="F15" s="24" t="s">
        <v>36</v>
      </c>
      <c r="G15" s="12">
        <v>2</v>
      </c>
      <c r="H15" s="88">
        <f>IF(B$20=0,0,G15/B$20)</f>
        <v>3.4482758620689655E-2</v>
      </c>
      <c r="I15" s="58">
        <v>5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56</v>
      </c>
      <c r="C16" s="10">
        <f>IF(B$3=0,0,B16/B$3)</f>
        <v>0.22950819672131148</v>
      </c>
      <c r="E16" s="27" t="s">
        <v>83</v>
      </c>
      <c r="F16" s="24" t="s">
        <v>38</v>
      </c>
      <c r="G16" s="12">
        <v>2</v>
      </c>
      <c r="H16" s="88">
        <f>IF(B$20=0,0,G16/B$20)</f>
        <v>3.4482758620689655E-2</v>
      </c>
      <c r="I16" s="58">
        <v>7</v>
      </c>
      <c r="K16" s="74">
        <v>14</v>
      </c>
      <c r="L16" s="119">
        <v>-79.200000000000017</v>
      </c>
      <c r="M16" s="117">
        <v>1517.1299332658102</v>
      </c>
      <c r="O16" s="74" t="s">
        <v>211</v>
      </c>
      <c r="P16" s="83">
        <f t="shared" si="2"/>
        <v>6.5555555555555571</v>
      </c>
      <c r="Q16" s="77">
        <v>9</v>
      </c>
      <c r="R16" s="68">
        <v>59.000000000000014</v>
      </c>
    </row>
    <row r="17" spans="1:18" x14ac:dyDescent="0.4">
      <c r="A17" s="19" t="s">
        <v>118</v>
      </c>
      <c r="B17" s="12">
        <v>50</v>
      </c>
      <c r="C17" s="6">
        <f>IF(B$3=0,0,B17/B$3)</f>
        <v>0.20491803278688525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163</v>
      </c>
      <c r="P17" s="83">
        <f t="shared" si="2"/>
        <v>-2.7888888888888888</v>
      </c>
      <c r="Q17" s="77">
        <v>9</v>
      </c>
      <c r="R17" s="68">
        <v>-25.099999999999998</v>
      </c>
    </row>
    <row r="18" spans="1:18" x14ac:dyDescent="0.4">
      <c r="A18" s="18" t="s">
        <v>123</v>
      </c>
      <c r="B18" s="11">
        <f>B24</f>
        <v>28</v>
      </c>
      <c r="C18" s="5">
        <f>IF(B$16=0,0,B18/B$16)</f>
        <v>0.5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126</v>
      </c>
      <c r="P18" s="83">
        <f t="shared" si="2"/>
        <v>-9.7818181818181831</v>
      </c>
      <c r="Q18" s="77">
        <v>22</v>
      </c>
      <c r="R18" s="68">
        <v>-215.20000000000002</v>
      </c>
    </row>
    <row r="19" spans="1:18" x14ac:dyDescent="0.4">
      <c r="A19" s="18" t="s">
        <v>124</v>
      </c>
      <c r="B19" s="11">
        <f>B25</f>
        <v>18</v>
      </c>
      <c r="C19" s="5">
        <f>IF(B$17=0,0,B19/B$17)</f>
        <v>0.36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 t="shared" si="2"/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58</v>
      </c>
      <c r="C20" s="5">
        <f>IF(B$3=0,0,B20/B$3)</f>
        <v>0.23770491803278687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25</v>
      </c>
      <c r="C21" s="6">
        <f>IF(B$3=0,0,B21/B$3)</f>
        <v>0.10245901639344263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4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19</v>
      </c>
      <c r="C22" s="6">
        <f>IF(B$20=0,0,B22/B$20)</f>
        <v>0.32758620689655171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9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39</v>
      </c>
      <c r="C23" s="6">
        <f>IF(B$20=0,0,B23/B$20)</f>
        <v>0.67241379310344829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28</v>
      </c>
      <c r="C24" s="6">
        <f>IF(B$20=0,0,B24/B$20)</f>
        <v>0.48275862068965519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18</v>
      </c>
      <c r="C25" s="6">
        <f>IF(B$20=0,0,B25/B$20)</f>
        <v>0.31034482758620691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12</v>
      </c>
      <c r="C26" s="6">
        <f>IF(B$20=0,0,B26/B$20)</f>
        <v>0.20689655172413793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8075.8620689655172</v>
      </c>
      <c r="C27" s="8">
        <v>468400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7792.5</v>
      </c>
      <c r="C28" s="96">
        <v>311700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8705.5555555555547</v>
      </c>
      <c r="C29" s="96">
        <v>156700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-6124</v>
      </c>
      <c r="C30" s="96">
        <v>-153100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28</v>
      </c>
      <c r="C32" s="90">
        <v>11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1.7241379310344827E-2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10</v>
      </c>
      <c r="C38" s="6">
        <f t="shared" si="3"/>
        <v>0.17241379310344829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14</v>
      </c>
      <c r="C39" s="6">
        <f t="shared" si="3"/>
        <v>0.2413793103448276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16</v>
      </c>
      <c r="C40" s="6">
        <f t="shared" si="3"/>
        <v>0.27586206896551724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7</v>
      </c>
      <c r="C41" s="6">
        <f t="shared" si="3"/>
        <v>0.1206896551724138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5</v>
      </c>
      <c r="C42" s="6">
        <f t="shared" si="3"/>
        <v>8.6206896551724144E-2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3"/>
        <v>1.7241379310344827E-2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5.1724137931034482E-2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3"/>
        <v>1.7241379310344827E-2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42</v>
      </c>
      <c r="C2" s="134"/>
      <c r="E2" s="26" t="s">
        <v>66</v>
      </c>
      <c r="F2" s="23" t="s">
        <v>22</v>
      </c>
      <c r="G2" s="11">
        <v>78</v>
      </c>
      <c r="H2" s="87">
        <f>IF(B$20=0,0,G2/B$20)</f>
        <v>0.7155963302752294</v>
      </c>
      <c r="I2" s="57">
        <v>9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-223.8095238095238</v>
      </c>
      <c r="Q2" s="76">
        <v>42</v>
      </c>
      <c r="R2" s="63">
        <v>-9400</v>
      </c>
    </row>
    <row r="3" spans="1:18" x14ac:dyDescent="0.4">
      <c r="A3" s="19" t="s">
        <v>8</v>
      </c>
      <c r="B3" s="135">
        <v>359</v>
      </c>
      <c r="C3" s="136"/>
      <c r="E3" s="27" t="s">
        <v>72</v>
      </c>
      <c r="F3" s="24" t="s">
        <v>27</v>
      </c>
      <c r="G3" s="12">
        <v>62</v>
      </c>
      <c r="H3" s="88">
        <f>IF(B$20=0,0,G3/B$20)</f>
        <v>0.56880733944954132</v>
      </c>
      <c r="I3" s="58">
        <v>8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961.90476190476193</v>
      </c>
      <c r="Q3" s="77">
        <v>42</v>
      </c>
      <c r="R3" s="64">
        <v>40400</v>
      </c>
    </row>
    <row r="4" spans="1:18" x14ac:dyDescent="0.4">
      <c r="A4" s="19" t="s">
        <v>6</v>
      </c>
      <c r="B4" s="137">
        <v>126.79999999999998</v>
      </c>
      <c r="C4" s="138"/>
      <c r="E4" s="27" t="s">
        <v>64</v>
      </c>
      <c r="F4" s="24" t="s">
        <v>20</v>
      </c>
      <c r="G4" s="12">
        <v>45</v>
      </c>
      <c r="H4" s="88">
        <f>IF(B$20=0,0,G4/B$20)</f>
        <v>0.41284403669724773</v>
      </c>
      <c r="I4" s="58">
        <v>5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1628.5714285714287</v>
      </c>
      <c r="Q4" s="77">
        <v>42</v>
      </c>
      <c r="R4" s="64">
        <v>68400</v>
      </c>
    </row>
    <row r="5" spans="1:18" x14ac:dyDescent="0.4">
      <c r="A5" s="19" t="s">
        <v>7</v>
      </c>
      <c r="B5" s="125">
        <f>IF(B$2=0,0,B$4/B$2)</f>
        <v>3.0190476190476185</v>
      </c>
      <c r="C5" s="126"/>
      <c r="E5" s="27" t="s">
        <v>159</v>
      </c>
      <c r="F5" s="24" t="s">
        <v>160</v>
      </c>
      <c r="G5" s="12">
        <v>34</v>
      </c>
      <c r="H5" s="88">
        <f>IF(B$20=0,0,G5/B$20)</f>
        <v>0.31192660550458717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-464.10256410256409</v>
      </c>
      <c r="Q5" s="77">
        <v>39</v>
      </c>
      <c r="R5" s="64">
        <v>-18100</v>
      </c>
    </row>
    <row r="6" spans="1:18" x14ac:dyDescent="0.4">
      <c r="A6" s="19" t="s">
        <v>196</v>
      </c>
      <c r="B6" s="129">
        <v>1528.5796310913058</v>
      </c>
      <c r="C6" s="130"/>
      <c r="E6" s="27" t="s">
        <v>68</v>
      </c>
      <c r="F6" s="24" t="s">
        <v>12</v>
      </c>
      <c r="G6" s="12">
        <v>30</v>
      </c>
      <c r="H6" s="88">
        <f>IF(B$20=0,0,G6/B$20)</f>
        <v>0.27522935779816515</v>
      </c>
      <c r="I6" s="58">
        <v>7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94.285714285714292</v>
      </c>
      <c r="Q6" s="77">
        <v>35</v>
      </c>
      <c r="R6" s="64">
        <v>3300</v>
      </c>
    </row>
    <row r="7" spans="1:18" x14ac:dyDescent="0.4">
      <c r="A7" s="19" t="s">
        <v>1</v>
      </c>
      <c r="B7" s="139">
        <f>IF(B$2=0,0,(B$8*1+B$9*2+B$10*3)/B$2)</f>
        <v>1.9523809523809523</v>
      </c>
      <c r="C7" s="140"/>
      <c r="E7" s="27" t="s">
        <v>67</v>
      </c>
      <c r="F7" s="24" t="s">
        <v>23</v>
      </c>
      <c r="G7" s="12">
        <v>28</v>
      </c>
      <c r="H7" s="88">
        <f>IF(B$20=0,0,G7/B$20)</f>
        <v>0.25688073394495414</v>
      </c>
      <c r="I7" s="58">
        <v>4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1321.2121212121212</v>
      </c>
      <c r="Q7" s="78">
        <v>33</v>
      </c>
      <c r="R7" s="65">
        <v>43600</v>
      </c>
    </row>
    <row r="8" spans="1:18" x14ac:dyDescent="0.4">
      <c r="A8" s="19" t="s">
        <v>2</v>
      </c>
      <c r="B8" s="12">
        <v>16</v>
      </c>
      <c r="C8" s="6">
        <f t="shared" ref="C8:C15" si="1">IF(B$2=0,0,B8/B$2)</f>
        <v>0.38095238095238093</v>
      </c>
      <c r="E8" s="27" t="s">
        <v>89</v>
      </c>
      <c r="F8" s="24" t="s">
        <v>44</v>
      </c>
      <c r="G8" s="12">
        <v>19</v>
      </c>
      <c r="H8" s="88">
        <f>IF(B$20=0,0,G8/B$20)</f>
        <v>0.1743119266055046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12</v>
      </c>
      <c r="C9" s="6">
        <f t="shared" si="1"/>
        <v>0.2857142857142857</v>
      </c>
      <c r="E9" s="27" t="s">
        <v>69</v>
      </c>
      <c r="F9" s="24" t="s">
        <v>24</v>
      </c>
      <c r="G9" s="12">
        <v>15</v>
      </c>
      <c r="H9" s="88">
        <f>IF(B$20=0,0,G9/B$20)</f>
        <v>0.13761467889908258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0.33333333333333331</v>
      </c>
      <c r="E10" s="27" t="s">
        <v>71</v>
      </c>
      <c r="F10" s="24" t="s">
        <v>26</v>
      </c>
      <c r="G10" s="12">
        <v>9</v>
      </c>
      <c r="H10" s="88">
        <f>IF(B$20=0,0,G10/B$20)</f>
        <v>8.2568807339449546E-2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-2.8999999999999995</v>
      </c>
      <c r="Q10" s="76">
        <v>11</v>
      </c>
      <c r="R10" s="67">
        <v>-31.899999999999995</v>
      </c>
    </row>
    <row r="11" spans="1:18" x14ac:dyDescent="0.4">
      <c r="A11" s="20" t="s">
        <v>184</v>
      </c>
      <c r="B11" s="109">
        <f>IF(B8=0,0,C11/B8)</f>
        <v>33.681249999999999</v>
      </c>
      <c r="C11" s="110">
        <v>538.9</v>
      </c>
      <c r="E11" s="27" t="s">
        <v>65</v>
      </c>
      <c r="F11" s="24" t="s">
        <v>21</v>
      </c>
      <c r="G11" s="12">
        <v>7</v>
      </c>
      <c r="H11" s="88">
        <f>IF(B$20=0,0,G11/B$20)</f>
        <v>6.4220183486238536E-2</v>
      </c>
      <c r="I11" s="58">
        <v>9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1.0533333333333343</v>
      </c>
      <c r="Q11" s="77">
        <v>15</v>
      </c>
      <c r="R11" s="68">
        <v>15.800000000000015</v>
      </c>
    </row>
    <row r="12" spans="1:18" x14ac:dyDescent="0.4">
      <c r="A12" s="20" t="s">
        <v>185</v>
      </c>
      <c r="B12" s="109">
        <f>IF(B9=0,0,C12/B9)</f>
        <v>-1.1583333333333339</v>
      </c>
      <c r="C12" s="110">
        <v>-13.900000000000006</v>
      </c>
      <c r="E12" s="27" t="s">
        <v>86</v>
      </c>
      <c r="F12" s="24" t="s">
        <v>41</v>
      </c>
      <c r="G12" s="12">
        <v>7</v>
      </c>
      <c r="H12" s="88">
        <f>IF(B$20=0,0,G12/B$20)</f>
        <v>6.4220183486238536E-2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8.9312500000000004</v>
      </c>
      <c r="Q12" s="78">
        <v>16</v>
      </c>
      <c r="R12" s="69">
        <v>142.9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5.5045871559633031E-2</v>
      </c>
      <c r="I13" s="58">
        <v>3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1.3600198412698401</v>
      </c>
      <c r="C14" s="126"/>
      <c r="E14" s="27" t="s">
        <v>70</v>
      </c>
      <c r="F14" s="24" t="s">
        <v>25</v>
      </c>
      <c r="G14" s="12">
        <v>5</v>
      </c>
      <c r="H14" s="88">
        <f>IF(B$20=0,0,G14/B$20)</f>
        <v>4.5871559633027525E-2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4.7619047619047616E-2</v>
      </c>
      <c r="E15" s="27" t="s">
        <v>81</v>
      </c>
      <c r="F15" s="24" t="s">
        <v>36</v>
      </c>
      <c r="G15" s="12">
        <v>5</v>
      </c>
      <c r="H15" s="88">
        <f>IF(B$20=0,0,G15/B$20)</f>
        <v>4.5871559633027525E-2</v>
      </c>
      <c r="I15" s="58">
        <v>2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75</v>
      </c>
      <c r="C16" s="10">
        <f>IF(B$3=0,0,B16/B$3)</f>
        <v>0.20891364902506965</v>
      </c>
      <c r="E16" s="27" t="s">
        <v>91</v>
      </c>
      <c r="F16" s="24" t="s">
        <v>46</v>
      </c>
      <c r="G16" s="12">
        <v>5</v>
      </c>
      <c r="H16" s="88">
        <f>IF(B$20=0,0,G16/B$20)</f>
        <v>4.5871559633027525E-2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 t="shared" si="2"/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75</v>
      </c>
      <c r="C17" s="6">
        <f>IF(B$3=0,0,B17/B$3)</f>
        <v>0.20891364902506965</v>
      </c>
      <c r="E17" s="27" t="s">
        <v>78</v>
      </c>
      <c r="F17" s="24" t="s">
        <v>33</v>
      </c>
      <c r="G17" s="12">
        <v>3</v>
      </c>
      <c r="H17" s="88">
        <f>IF(B$20=0,0,G17/B$20)</f>
        <v>2.7522935779816515E-2</v>
      </c>
      <c r="I17" s="58">
        <v>6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44</v>
      </c>
      <c r="C18" s="5">
        <f>IF(B$16=0,0,B18/B$16)</f>
        <v>0.58666666666666667</v>
      </c>
      <c r="E18" s="27" t="s">
        <v>73</v>
      </c>
      <c r="F18" s="24" t="s">
        <v>28</v>
      </c>
      <c r="G18" s="12">
        <v>2</v>
      </c>
      <c r="H18" s="88">
        <f>IF(B$20=0,0,G18/B$20)</f>
        <v>1.834862385321101E-2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 t="shared" si="2"/>
        <v>12.558823529411764</v>
      </c>
      <c r="Q18" s="77">
        <v>17</v>
      </c>
      <c r="R18" s="68">
        <v>213.5</v>
      </c>
    </row>
    <row r="19" spans="1:18" x14ac:dyDescent="0.4">
      <c r="A19" s="18" t="s">
        <v>124</v>
      </c>
      <c r="B19" s="11">
        <f>B25</f>
        <v>37</v>
      </c>
      <c r="C19" s="5">
        <f>IF(B$17=0,0,B19/B$17)</f>
        <v>0.49333333333333335</v>
      </c>
      <c r="E19" s="27" t="s">
        <v>75</v>
      </c>
      <c r="F19" s="24" t="s">
        <v>30</v>
      </c>
      <c r="G19" s="12">
        <v>1</v>
      </c>
      <c r="H19" s="88">
        <f>IF(B$20=0,0,G19/B$20)</f>
        <v>9.1743119266055051E-3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126</v>
      </c>
      <c r="P19" s="83">
        <f t="shared" si="2"/>
        <v>-1.720833333333333</v>
      </c>
      <c r="Q19" s="77">
        <v>24</v>
      </c>
      <c r="R19" s="68">
        <v>-41.29999999999999</v>
      </c>
    </row>
    <row r="20" spans="1:18" x14ac:dyDescent="0.4">
      <c r="A20" s="18" t="s">
        <v>10</v>
      </c>
      <c r="B20" s="11">
        <f>B23+B22</f>
        <v>109</v>
      </c>
      <c r="C20" s="5">
        <f>IF(B$3=0,0,B20/B$3)</f>
        <v>0.30362116991643456</v>
      </c>
      <c r="E20" s="27" t="s">
        <v>93</v>
      </c>
      <c r="F20" s="24" t="s">
        <v>48</v>
      </c>
      <c r="G20" s="12">
        <v>1</v>
      </c>
      <c r="H20" s="88">
        <f>IF(B$20=0,0,G20/B$20)</f>
        <v>9.1743119266055051E-3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195</v>
      </c>
      <c r="P20" s="83">
        <f t="shared" si="2"/>
        <v>-3.0750000000000011</v>
      </c>
      <c r="Q20" s="77">
        <v>4</v>
      </c>
      <c r="R20" s="68">
        <v>-12.300000000000004</v>
      </c>
    </row>
    <row r="21" spans="1:18" x14ac:dyDescent="0.4">
      <c r="A21" s="19" t="s">
        <v>13</v>
      </c>
      <c r="B21" s="12">
        <v>48</v>
      </c>
      <c r="C21" s="6">
        <f>IF(B$3=0,0,B21/B$3)</f>
        <v>0.13370473537604458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190</v>
      </c>
      <c r="P21" s="83">
        <f t="shared" si="2"/>
        <v>-6.5555555555555562</v>
      </c>
      <c r="Q21" s="77">
        <v>9</v>
      </c>
      <c r="R21" s="68">
        <v>-59.000000000000007</v>
      </c>
    </row>
    <row r="22" spans="1:18" x14ac:dyDescent="0.4">
      <c r="A22" s="19" t="s">
        <v>12</v>
      </c>
      <c r="B22" s="12">
        <v>48</v>
      </c>
      <c r="C22" s="6">
        <f>IF(B$20=0,0,B22/B$20)</f>
        <v>0.44036697247706424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189</v>
      </c>
      <c r="P22" s="83">
        <f t="shared" si="2"/>
        <v>-6.9</v>
      </c>
      <c r="Q22" s="77">
        <v>9</v>
      </c>
      <c r="R22" s="68">
        <v>-62.1</v>
      </c>
    </row>
    <row r="23" spans="1:18" x14ac:dyDescent="0.4">
      <c r="A23" s="19" t="s">
        <v>11</v>
      </c>
      <c r="B23" s="12">
        <v>61</v>
      </c>
      <c r="C23" s="6">
        <f>IF(B$20=0,0,B23/B$20)</f>
        <v>0.55963302752293576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">
      <c r="A24" s="19" t="s">
        <v>183</v>
      </c>
      <c r="B24" s="12">
        <v>44</v>
      </c>
      <c r="C24" s="6">
        <f>IF(B$20=0,0,B24/B$20)</f>
        <v>0.40366972477064222</v>
      </c>
      <c r="E24" s="27" t="s">
        <v>79</v>
      </c>
      <c r="F24" s="24" t="s">
        <v>34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37</v>
      </c>
      <c r="C25" s="6">
        <f>IF(B$20=0,0,B25/B$20)</f>
        <v>0.33944954128440369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28</v>
      </c>
      <c r="C26" s="6">
        <f>IF(B$20=0,0,B26/B$20)</f>
        <v>0.25688073394495414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7887.1559633027518</v>
      </c>
      <c r="C27" s="8">
        <v>859700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8288.8888888888887</v>
      </c>
      <c r="C28" s="96">
        <v>596800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7105.405405405405</v>
      </c>
      <c r="C29" s="96">
        <v>262900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-6579.166666666667</v>
      </c>
      <c r="C30" s="96">
        <v>-315800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10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29">
        <v>86700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8.356545961002786E-3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7.3394495412844041E-2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25</v>
      </c>
      <c r="C38" s="6">
        <f t="shared" si="3"/>
        <v>0.22935779816513763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21</v>
      </c>
      <c r="C39" s="6">
        <f t="shared" si="3"/>
        <v>0.19266055045871561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16</v>
      </c>
      <c r="C40" s="6">
        <f t="shared" si="3"/>
        <v>0.14678899082568808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14</v>
      </c>
      <c r="C41" s="6">
        <f t="shared" si="3"/>
        <v>0.12844036697247707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11</v>
      </c>
      <c r="C42" s="6">
        <f t="shared" si="3"/>
        <v>0.10091743119266056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4.5871559633027525E-2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3.669724770642202E-2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9.1743119266055051E-3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2</v>
      </c>
      <c r="C46" s="6">
        <f t="shared" si="3"/>
        <v>1.834862385321101E-2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1</v>
      </c>
      <c r="C47" s="6">
        <f t="shared" si="3"/>
        <v>9.1743119266055051E-3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3"/>
        <v>9.1743119266055051E-3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45</v>
      </c>
      <c r="C2" s="134"/>
      <c r="E2" s="26" t="s">
        <v>66</v>
      </c>
      <c r="F2" s="23" t="s">
        <v>22</v>
      </c>
      <c r="G2" s="11">
        <v>101</v>
      </c>
      <c r="H2" s="87">
        <f>IF(B$20=0,0,G2/B$20)</f>
        <v>0.7890625</v>
      </c>
      <c r="I2" s="57">
        <v>5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-237.77777777777777</v>
      </c>
      <c r="Q2" s="76">
        <v>45</v>
      </c>
      <c r="R2" s="63">
        <v>-10700</v>
      </c>
    </row>
    <row r="3" spans="1:18" x14ac:dyDescent="0.4">
      <c r="A3" s="19" t="s">
        <v>8</v>
      </c>
      <c r="B3" s="135">
        <v>391</v>
      </c>
      <c r="C3" s="136"/>
      <c r="E3" s="27" t="s">
        <v>72</v>
      </c>
      <c r="F3" s="24" t="s">
        <v>27</v>
      </c>
      <c r="G3" s="12">
        <v>79</v>
      </c>
      <c r="H3" s="88">
        <f>IF(B$20=0,0,G3/B$20)</f>
        <v>0.6171875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778.57142857142856</v>
      </c>
      <c r="Q3" s="77">
        <v>42</v>
      </c>
      <c r="R3" s="64">
        <v>32700</v>
      </c>
    </row>
    <row r="4" spans="1:18" x14ac:dyDescent="0.4">
      <c r="A4" s="19" t="s">
        <v>6</v>
      </c>
      <c r="B4" s="137">
        <v>228.89999999999995</v>
      </c>
      <c r="C4" s="138"/>
      <c r="E4" s="27" t="s">
        <v>159</v>
      </c>
      <c r="F4" s="24" t="s">
        <v>160</v>
      </c>
      <c r="G4" s="12">
        <v>62</v>
      </c>
      <c r="H4" s="88">
        <f>IF(B$20=0,0,G4/B$20)</f>
        <v>0.484375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169.76744186046511</v>
      </c>
      <c r="Q4" s="77">
        <v>43</v>
      </c>
      <c r="R4" s="64">
        <v>7300</v>
      </c>
    </row>
    <row r="5" spans="1:18" x14ac:dyDescent="0.4">
      <c r="A5" s="19" t="s">
        <v>7</v>
      </c>
      <c r="B5" s="125">
        <f>IF(B$2=0,0,B$4/B$2)</f>
        <v>5.0866666666666651</v>
      </c>
      <c r="C5" s="126"/>
      <c r="E5" s="27" t="s">
        <v>64</v>
      </c>
      <c r="F5" s="24" t="s">
        <v>20</v>
      </c>
      <c r="G5" s="12">
        <v>43</v>
      </c>
      <c r="H5" s="88">
        <f>IF(B$20=0,0,G5/B$20)</f>
        <v>0.3359375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2455</v>
      </c>
      <c r="Q5" s="77">
        <v>40</v>
      </c>
      <c r="R5" s="64">
        <v>98200</v>
      </c>
    </row>
    <row r="6" spans="1:18" x14ac:dyDescent="0.4">
      <c r="A6" s="19" t="s">
        <v>196</v>
      </c>
      <c r="B6" s="129">
        <v>1573.325689506974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0.25</v>
      </c>
      <c r="I6" s="58">
        <v>9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629.72972972972968</v>
      </c>
      <c r="Q6" s="77">
        <v>37</v>
      </c>
      <c r="R6" s="64">
        <v>23300</v>
      </c>
    </row>
    <row r="7" spans="1:18" x14ac:dyDescent="0.4">
      <c r="A7" s="19" t="s">
        <v>1</v>
      </c>
      <c r="B7" s="139">
        <f>IF(B$2=0,0,(B$8*1+B$9*2+B$10*3)/B$2)</f>
        <v>1.8222222222222222</v>
      </c>
      <c r="C7" s="140"/>
      <c r="E7" s="27" t="s">
        <v>67</v>
      </c>
      <c r="F7" s="24" t="s">
        <v>23</v>
      </c>
      <c r="G7" s="12">
        <v>17</v>
      </c>
      <c r="H7" s="88">
        <f>IF(B$20=0,0,G7/B$20)</f>
        <v>0.1328125</v>
      </c>
      <c r="I7" s="58">
        <v>10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76.666666666666671</v>
      </c>
      <c r="Q7" s="78">
        <v>30</v>
      </c>
      <c r="R7" s="65">
        <v>2300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0.42222222222222222</v>
      </c>
      <c r="E8" s="27" t="s">
        <v>70</v>
      </c>
      <c r="F8" s="24" t="s">
        <v>25</v>
      </c>
      <c r="G8" s="12">
        <v>17</v>
      </c>
      <c r="H8" s="88">
        <f>IF(B$20=0,0,G8/B$20)</f>
        <v>0.1328125</v>
      </c>
      <c r="I8" s="58">
        <v>3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15</v>
      </c>
      <c r="C9" s="6">
        <f t="shared" si="1"/>
        <v>0.33333333333333331</v>
      </c>
      <c r="E9" s="27" t="s">
        <v>89</v>
      </c>
      <c r="F9" s="24" t="s">
        <v>44</v>
      </c>
      <c r="G9" s="12">
        <v>14</v>
      </c>
      <c r="H9" s="88">
        <f>IF(B$20=0,0,G9/B$20)</f>
        <v>0.109375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0.24444444444444444</v>
      </c>
      <c r="E10" s="27" t="s">
        <v>71</v>
      </c>
      <c r="F10" s="24" t="s">
        <v>26</v>
      </c>
      <c r="G10" s="12">
        <v>13</v>
      </c>
      <c r="H10" s="88">
        <f>IF(B$20=0,0,G10/B$20)</f>
        <v>0.1015625</v>
      </c>
      <c r="I10" s="58">
        <v>1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14.277777777777779</v>
      </c>
      <c r="Q10" s="76">
        <v>18</v>
      </c>
      <c r="R10" s="67">
        <v>257</v>
      </c>
    </row>
    <row r="11" spans="1:18" x14ac:dyDescent="0.4">
      <c r="A11" s="20" t="s">
        <v>184</v>
      </c>
      <c r="B11" s="109">
        <f>IF(B8=0,0,C11/B8)</f>
        <v>36.057894736842108</v>
      </c>
      <c r="C11" s="110">
        <v>685.1</v>
      </c>
      <c r="E11" s="27" t="s">
        <v>69</v>
      </c>
      <c r="F11" s="24" t="s">
        <v>24</v>
      </c>
      <c r="G11" s="12">
        <v>11</v>
      </c>
      <c r="H11" s="88">
        <f>IF(B$20=0,0,G11/B$20)</f>
        <v>8.59375E-2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-0.3466666666666664</v>
      </c>
      <c r="Q11" s="77">
        <v>15</v>
      </c>
      <c r="R11" s="68">
        <v>-5.1999999999999957</v>
      </c>
    </row>
    <row r="12" spans="1:18" x14ac:dyDescent="0.4">
      <c r="A12" s="20" t="s">
        <v>185</v>
      </c>
      <c r="B12" s="109">
        <f>IF(B9=0,0,C12/B9)</f>
        <v>-3.9266666666666663</v>
      </c>
      <c r="C12" s="110">
        <v>-58.899999999999991</v>
      </c>
      <c r="E12" s="27" t="s">
        <v>65</v>
      </c>
      <c r="F12" s="24" t="s">
        <v>21</v>
      </c>
      <c r="G12" s="12">
        <v>5</v>
      </c>
      <c r="H12" s="88">
        <f>IF(B$20=0,0,G12/B$20)</f>
        <v>3.90625E-2</v>
      </c>
      <c r="I12" s="58">
        <v>10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-1.9083333333333339</v>
      </c>
      <c r="Q12" s="78">
        <v>12</v>
      </c>
      <c r="R12" s="69">
        <v>-22.900000000000006</v>
      </c>
    </row>
    <row r="13" spans="1:18" x14ac:dyDescent="0.4">
      <c r="A13" s="20" t="s">
        <v>186</v>
      </c>
      <c r="B13" s="109">
        <f>IF(B10=0,0,C13/B10)</f>
        <v>-36.118181818181817</v>
      </c>
      <c r="C13" s="110">
        <v>-397.3</v>
      </c>
      <c r="E13" s="27" t="s">
        <v>86</v>
      </c>
      <c r="F13" s="24" t="s">
        <v>41</v>
      </c>
      <c r="G13" s="12">
        <v>5</v>
      </c>
      <c r="H13" s="88">
        <f>IF(B$20=0,0,G13/B$20)</f>
        <v>3.90625E-2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-1.3289845826687927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3.125E-2</v>
      </c>
      <c r="I14" s="58">
        <v>5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8.8888888888888892E-2</v>
      </c>
      <c r="E15" s="27" t="s">
        <v>79</v>
      </c>
      <c r="F15" s="24" t="s">
        <v>34</v>
      </c>
      <c r="G15" s="12">
        <v>3</v>
      </c>
      <c r="H15" s="88">
        <f>IF(B$20=0,0,G15/B$20)</f>
        <v>2.34375E-2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79</v>
      </c>
      <c r="C16" s="10">
        <f>IF(B$3=0,0,B16/B$3)</f>
        <v>0.20204603580562661</v>
      </c>
      <c r="E16" s="27" t="s">
        <v>81</v>
      </c>
      <c r="F16" s="24" t="s">
        <v>36</v>
      </c>
      <c r="G16" s="12">
        <v>3</v>
      </c>
      <c r="H16" s="88">
        <f>IF(B$20=0,0,G16/B$20)</f>
        <v>2.34375E-2</v>
      </c>
      <c r="I16" s="58">
        <v>9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105</v>
      </c>
      <c r="C17" s="6">
        <f>IF(B$3=0,0,B17/B$3)</f>
        <v>0.26854219948849106</v>
      </c>
      <c r="E17" s="27" t="s">
        <v>83</v>
      </c>
      <c r="F17" s="24" t="s">
        <v>38</v>
      </c>
      <c r="G17" s="12">
        <v>2</v>
      </c>
      <c r="H17" s="88">
        <f>IF(B$20=0,0,G17/B$20)</f>
        <v>1.5625E-2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 t="shared" si="2"/>
        <v>23.666666666666668</v>
      </c>
      <c r="Q17" s="77">
        <v>18</v>
      </c>
      <c r="R17" s="68">
        <v>426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0.54430379746835444</v>
      </c>
      <c r="E18" s="27" t="s">
        <v>73</v>
      </c>
      <c r="F18" s="24" t="s">
        <v>28</v>
      </c>
      <c r="G18" s="12">
        <v>1</v>
      </c>
      <c r="H18" s="88">
        <f>IF(B$20=0,0,G18/B$20)</f>
        <v>7.8125E-3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">
      <c r="A19" s="18" t="s">
        <v>124</v>
      </c>
      <c r="B19" s="11">
        <f>B25</f>
        <v>43</v>
      </c>
      <c r="C19" s="5">
        <f>IF(B$17=0,0,B19/B$17)</f>
        <v>0.40952380952380951</v>
      </c>
      <c r="E19" s="27" t="s">
        <v>88</v>
      </c>
      <c r="F19" s="24" t="s">
        <v>43</v>
      </c>
      <c r="G19" s="12">
        <v>1</v>
      </c>
      <c r="H19" s="88">
        <f>IF(B$20=0,0,G19/B$20)</f>
        <v>7.8125E-3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 t="shared" si="2"/>
        <v>6.245454545454546</v>
      </c>
      <c r="Q19" s="77">
        <v>11</v>
      </c>
      <c r="R19" s="68">
        <v>68.7</v>
      </c>
    </row>
    <row r="20" spans="1:18" x14ac:dyDescent="0.4">
      <c r="A20" s="18" t="s">
        <v>10</v>
      </c>
      <c r="B20" s="11">
        <f>B23+B22</f>
        <v>128</v>
      </c>
      <c r="C20" s="5">
        <f>IF(B$3=0,0,B20/B$3)</f>
        <v>0.32736572890025578</v>
      </c>
      <c r="E20" s="27" t="s">
        <v>92</v>
      </c>
      <c r="F20" s="24" t="s">
        <v>47</v>
      </c>
      <c r="G20" s="12">
        <v>1</v>
      </c>
      <c r="H20" s="88">
        <f>IF(B$20=0,0,G20/B$20)</f>
        <v>7.8125E-3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 t="shared" si="2"/>
        <v>4.8605263157894711</v>
      </c>
      <c r="Q20" s="77">
        <v>38</v>
      </c>
      <c r="R20" s="68">
        <v>184.6999999999999</v>
      </c>
    </row>
    <row r="21" spans="1:18" x14ac:dyDescent="0.4">
      <c r="A21" s="19" t="s">
        <v>13</v>
      </c>
      <c r="B21" s="12">
        <v>45</v>
      </c>
      <c r="C21" s="6">
        <f>IF(B$3=0,0,B21/B$3)</f>
        <v>0.11508951406649616</v>
      </c>
      <c r="E21" s="27" t="s">
        <v>102</v>
      </c>
      <c r="F21" s="24" t="s">
        <v>57</v>
      </c>
      <c r="G21" s="12">
        <v>1</v>
      </c>
      <c r="H21" s="88">
        <f>IF(B$20=0,0,G21/B$20)</f>
        <v>7.8125E-3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-9.2090909090909108</v>
      </c>
      <c r="Q21" s="77">
        <v>11</v>
      </c>
      <c r="R21" s="68">
        <v>-101.30000000000001</v>
      </c>
    </row>
    <row r="22" spans="1:18" x14ac:dyDescent="0.4">
      <c r="A22" s="19" t="s">
        <v>12</v>
      </c>
      <c r="B22" s="12">
        <v>52</v>
      </c>
      <c r="C22" s="6">
        <f>IF(B$20=0,0,B22/B$20)</f>
        <v>0.40625</v>
      </c>
      <c r="E22" s="27" t="s">
        <v>155</v>
      </c>
      <c r="F22" s="24" t="s">
        <v>156</v>
      </c>
      <c r="G22" s="12">
        <v>1</v>
      </c>
      <c r="H22" s="88">
        <f>IF(B$20=0,0,G22/B$20)</f>
        <v>7.8125E-3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-25.18</v>
      </c>
      <c r="Q22" s="77">
        <v>5</v>
      </c>
      <c r="R22" s="68">
        <v>-125.9</v>
      </c>
    </row>
    <row r="23" spans="1:18" x14ac:dyDescent="0.4">
      <c r="A23" s="19" t="s">
        <v>11</v>
      </c>
      <c r="B23" s="12">
        <v>76</v>
      </c>
      <c r="C23" s="6">
        <f>IF(B$20=0,0,B23/B$20)</f>
        <v>0.59375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">
      <c r="A24" s="19" t="s">
        <v>183</v>
      </c>
      <c r="B24" s="12">
        <v>43</v>
      </c>
      <c r="C24" s="6">
        <f>IF(B$20=0,0,B24/B$20)</f>
        <v>0.3359375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43</v>
      </c>
      <c r="C25" s="6">
        <f>IF(B$20=0,0,B25/B$20)</f>
        <v>0.3359375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42</v>
      </c>
      <c r="C26" s="6">
        <f>IF(B$20=0,0,B26/B$20)</f>
        <v>0.328125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7482.8125</v>
      </c>
      <c r="C27" s="8">
        <v>957800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8463.5294117647063</v>
      </c>
      <c r="C28" s="96">
        <v>719400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5544.1860465116279</v>
      </c>
      <c r="C29" s="96">
        <v>238400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-8017.7777777777774</v>
      </c>
      <c r="C30" s="96">
        <v>-360800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31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12</v>
      </c>
      <c r="C37" s="98">
        <f t="shared" ref="C37:C49" si="3">IF(B$20=0,0,B37/B$20)</f>
        <v>9.375E-2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31</v>
      </c>
      <c r="C38" s="6">
        <f t="shared" si="3"/>
        <v>0.2421875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27</v>
      </c>
      <c r="C39" s="6">
        <f t="shared" si="3"/>
        <v>0.2109375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3"/>
        <v>0.15625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20</v>
      </c>
      <c r="C41" s="6">
        <f t="shared" si="3"/>
        <v>0.15625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3.125E-2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6.25E-2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1.5625E-2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1</v>
      </c>
      <c r="C45" s="6">
        <f t="shared" si="3"/>
        <v>7.8125E-3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7.8125E-3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1.5625E-2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4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4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9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9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8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4</v>
      </c>
    </row>
    <row r="20" spans="1:18" x14ac:dyDescent="0.4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9</v>
      </c>
    </row>
    <row r="21" spans="1:18" x14ac:dyDescent="0.4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35">
        <v>103</v>
      </c>
      <c r="C3" s="136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37">
        <v>-39.5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25">
        <f>IF(B$2=0,0,B$4/B$2)</f>
        <v>-3.2916666666666665</v>
      </c>
      <c r="C5" s="126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29">
        <v>1396.3170423346389</v>
      </c>
      <c r="C6" s="130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39">
        <f>IF(B$2=0,0,(B$8*1+B$9*2+B$10*3)/B$2)</f>
        <v>1.9166666666666667</v>
      </c>
      <c r="C7" s="140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4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3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5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-6.7477777777777765</v>
      </c>
      <c r="C14" s="126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9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 t="shared" si="2"/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 t="shared" si="2"/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4</v>
      </c>
      <c r="O19" s="74" t="s">
        <v>211</v>
      </c>
      <c r="P19" s="83">
        <f t="shared" si="2"/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4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3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5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9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2020-11-29T08:22:42Z</dcterms:modified>
</cp:coreProperties>
</file>