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6F66991F-CB61-40CD-98E4-4E2E39FE3434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6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10" i="6998"/>
  <c r="H42" i="6998"/>
  <c r="H9" i="6998"/>
  <c r="B27" i="6998"/>
  <c r="H28" i="6998"/>
  <c r="B28" i="6998"/>
  <c r="C19" i="6998"/>
  <c r="H19" i="6998"/>
  <c r="H6" i="6998"/>
  <c r="H37" i="6998"/>
  <c r="C22" i="6998"/>
  <c r="H25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3" i="6998"/>
  <c r="H17" i="6998"/>
  <c r="H20" i="6998"/>
  <c r="H35" i="6998"/>
  <c r="C47" i="6998"/>
  <c r="H29" i="6998"/>
  <c r="H43" i="6998"/>
  <c r="H48" i="6998"/>
  <c r="C37" i="6998"/>
  <c r="H5" i="6998"/>
  <c r="H13" i="6998"/>
  <c r="H18" i="6998"/>
  <c r="H16" i="6998"/>
  <c r="C24" i="6998"/>
  <c r="H38" i="6998"/>
  <c r="C43" i="6998"/>
  <c r="C49" i="6998"/>
  <c r="H14" i="6998"/>
  <c r="H39" i="6998"/>
  <c r="H44" i="6998"/>
  <c r="H50" i="6998"/>
  <c r="H11" i="6998"/>
  <c r="C20" i="6998"/>
  <c r="C25" i="6998"/>
  <c r="H32" i="6998"/>
  <c r="C39" i="6998"/>
  <c r="H45" i="6998"/>
  <c r="H4" i="6998"/>
  <c r="H31" i="6998"/>
  <c r="H7" i="6998"/>
  <c r="H2" i="6998"/>
  <c r="H8" i="6998"/>
  <c r="H15" i="6998"/>
  <c r="H21" i="6998"/>
  <c r="H23" i="6998"/>
  <c r="C26" i="6998"/>
  <c r="H34" i="6998"/>
  <c r="H40" i="6998"/>
  <c r="C45" i="6998"/>
  <c r="H52" i="6998"/>
  <c r="H22" i="6998"/>
  <c r="H24" i="6998"/>
  <c r="H27" i="6998"/>
  <c r="H30" i="6998"/>
  <c r="H36" i="6998"/>
  <c r="C40" i="6998"/>
  <c r="C44" i="6998"/>
  <c r="C48" i="6998"/>
  <c r="H49" i="6998"/>
  <c r="H26" i="6998"/>
  <c r="H12" i="6998"/>
  <c r="H33" i="6998"/>
  <c r="C38" i="6998"/>
  <c r="C42" i="6998"/>
  <c r="C46" i="6998"/>
  <c r="P23" i="6984" l="1"/>
  <c r="P20" i="6992"/>
  <c r="P15" i="6990"/>
  <c r="P15" i="6992"/>
  <c r="P23" i="6992"/>
  <c r="P18" i="6994"/>
  <c r="P17" i="6990"/>
  <c r="P20" i="6994"/>
  <c r="P22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0" i="6992"/>
  <c r="H25" i="6992"/>
  <c r="H17" i="6992"/>
  <c r="C24" i="6992"/>
  <c r="B28" i="6992"/>
  <c r="H36" i="6992"/>
  <c r="H41" i="6992"/>
  <c r="H44" i="6992"/>
  <c r="H48" i="6992"/>
  <c r="H4" i="6992"/>
  <c r="H29" i="6992"/>
  <c r="H14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9" i="6992"/>
  <c r="C42" i="6992"/>
  <c r="H18" i="6992"/>
  <c r="H7" i="6992"/>
  <c r="H8" i="6992"/>
  <c r="H28" i="6992"/>
  <c r="H13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1" i="6992"/>
  <c r="H24" i="6992"/>
  <c r="H30" i="6992"/>
  <c r="H20" i="6992"/>
  <c r="H22" i="6992"/>
  <c r="C37" i="6992"/>
  <c r="C41" i="6992"/>
  <c r="C45" i="6992"/>
  <c r="C49" i="6992"/>
  <c r="H12" i="6992"/>
  <c r="H15" i="6992"/>
  <c r="H16" i="6992"/>
  <c r="C23" i="6992"/>
  <c r="B27" i="6992"/>
  <c r="H34" i="6992"/>
  <c r="H40" i="6992"/>
  <c r="H43" i="6992"/>
  <c r="H47" i="6992"/>
  <c r="P22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3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2" i="6984"/>
  <c r="C22" i="6984"/>
  <c r="H2" i="6984"/>
  <c r="H21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3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2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1" i="6982"/>
  <c r="H34" i="6982"/>
  <c r="C42" i="6982"/>
  <c r="H15" i="6982"/>
  <c r="H2" i="6982"/>
  <c r="H8" i="6982"/>
  <c r="H22" i="6982"/>
  <c r="H19" i="6982"/>
  <c r="C24" i="6982"/>
  <c r="B28" i="6982"/>
  <c r="H35" i="6982"/>
  <c r="H40" i="6982"/>
  <c r="H44" i="6982"/>
  <c r="H48" i="6982"/>
  <c r="H5" i="6982"/>
  <c r="H31" i="6982"/>
  <c r="H12" i="6982"/>
  <c r="H27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4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5" i="6982"/>
  <c r="H26" i="6982"/>
  <c r="H23" i="6982"/>
  <c r="C37" i="6982"/>
  <c r="C41" i="6982"/>
  <c r="C45" i="6982"/>
  <c r="C49" i="6982"/>
  <c r="H11" i="6982"/>
  <c r="H16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8" i="6980"/>
  <c r="H2" i="6980"/>
  <c r="H10" i="6980"/>
  <c r="H46" i="6980"/>
  <c r="H7" i="6980"/>
  <c r="H13" i="6980"/>
  <c r="H22" i="6980"/>
  <c r="H26" i="6980"/>
  <c r="H48" i="6980"/>
  <c r="H25" i="6980"/>
  <c r="H43" i="6980"/>
  <c r="C47" i="6980"/>
  <c r="H49" i="6980"/>
  <c r="H23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5" i="6980"/>
  <c r="H16" i="6980"/>
  <c r="C23" i="6980"/>
  <c r="B27" i="6980"/>
  <c r="H27" i="6980"/>
  <c r="H41" i="6980"/>
  <c r="H44" i="6980"/>
  <c r="H47" i="6980"/>
  <c r="H51" i="6980"/>
  <c r="H21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<sst xmlns="http://schemas.openxmlformats.org/spreadsheetml/2006/main" count="3547" uniqueCount="278">
  <si>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</si>
  <si>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</si>
  <si>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</si>
  <si>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</si>
  <si>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</si>
  <si>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</si>
  <si>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</si>
  <si>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</si>
  <si>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</si>
  <si>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</si>
  <si>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</si>
  <si>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</si>
  <si>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</si>
  <si>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</si>
  <si>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</si>
  <si>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</si>
  <si>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</si>
  <si>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</si>
  <si>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</si>
  <si>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</si>
  <si>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</si>
  <si>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</si>
  <si>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</si>
  <si>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</si>
  <si>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</si>
  <si>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</si>
  <si>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</si>
  <si>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</si>
  <si>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</si>
  <si>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</si>
  <si>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</si>
  <si>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</si>
  <si>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</si>
  <si>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</si>
  <si>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</si>
  <si>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</si>
  <si>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</si>
  <si>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</si>
  <si>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</si>
  <si>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</si>
  <si>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</si>
  <si>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</si>
  <si>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</si>
  <si>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</si>
  <si>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</si>
  <si>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</si>
  <si>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</si>
  <si>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</si>
  <si>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</si>
  <si>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</si>
  <si>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</si>
  <si>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</si>
  <si>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</si>
  <si>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</si>
  <si>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</si>
  <si>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</si>
  <si>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</si>
  <si>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</si>
  <si>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</si>
  <si>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</si>
  <si>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</si>
  <si>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</si>
  <si>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</si>
  <si>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</si>
  <si>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</si>
  <si>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</si>
  <si>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</si>
  <si>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</si>
  <si>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</si>
  <si>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</si>
  <si>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</si>
  <si>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</si>
  <si>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</si>
  <si>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</si>
  <si>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</si>
  <si>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</si>
  <si>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</si>
  <si>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</si>
  <si>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</si>
  <si>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</si>
  <si>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</si>
  <si>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</si>
  <si>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</si>
  <si>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</si>
  <si>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</si>
  <si>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</si>
  <si>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</si>
  <si>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</si>
  <si>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</si>
  <si>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</si>
  <si>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</si>
  <si>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</si>
  <si>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</si>
  <si>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</si>
  <si>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</si>
  <si>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</si>
  <si>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</si>
  <si>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</si>
  <si>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</si>
  <si>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</si>
  <si>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</si>
  <si>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</si>
  <si>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</si>
  <si>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</si>
  <si>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</si>
  <si>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</si>
  <si>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</si>
  <si>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</si>
  <si>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</si>
  <si>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</si>
  <si>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</si>
  <si>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</si>
  <si>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</si>
  <si>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</si>
  <si>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</si>
  <si>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</si>
  <si>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</si>
  <si>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</si>
  <si>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</si>
  <si>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</si>
  <si>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</si>
  <si>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</si>
  <si>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</si>
  <si>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</si>
  <si>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</si>
  <si>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</si>
  <si>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</si>
  <si>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</si>
  <si>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</si>
  <si>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</si>
  <si>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</si>
  <si>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</si>
  <si>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</si>
  <si>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</si>
  <si>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</si>
  <si>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</si>
  <si>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</si>
  <si>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</si>
  <si>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</si>
  <si>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</si>
  <si>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</si>
  <si>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</si>
  <si>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</si>
  <si>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</si>
  <si>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</si>
  <si>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</si>
  <si>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</si>
  <si>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</si>
  <si>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</si>
  <si>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</si>
  <si>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</si>
  <si>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</si>
  <si>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</si>
  <si>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</si>
  <si>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</si>
  <si>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</si>
  <si>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</si>
  <si>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</si>
  <si>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</si>
  <si>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</si>
  <si>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</si>
  <si>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</si>
  <si>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</si>
  <si>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</si>
  <si>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</si>
  <si>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</si>
  <si>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</si>
  <si>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</si>
  <si>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</si>
  <si>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</si>
  <si>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</si>
  <si>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</si>
  <si>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</si>
  <si>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</si>
  <si>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</si>
  <si>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</si>
  <si>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</si>
  <si>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</si>
  <si>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</si>
  <si>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</si>
  <si>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</si>
  <si>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</si>
  <si>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</si>
  <si>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</si>
  <si>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</si>
  <si>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</si>
  <si>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</si>
  <si>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</si>
  <si>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</si>
  <si>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</si>
  <si>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</si>
  <si>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</si>
  <si>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</si>
  <si>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</si>
  <si>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</si>
  <si>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</si>
  <si>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</si>
  <si>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</si>
  <si>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</si>
  <si>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</si>
  <si>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</si>
  <si>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</si>
  <si>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</si>
  <si>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</si>
  <si>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</si>
  <si>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</si>
  <si>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</si>
  <si>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</si>
  <si>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</si>
  <si>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</si>
  <si>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</si>
  <si>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</si>
  <si>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</si>
  <si>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</si>
  <si>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</si>
  <si>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</si>
  <si>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</si>
  <si>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</si>
  <si>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</si>
  <si>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</si>
  <si>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</si>
  <si>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</si>
  <si>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</si>
  <si>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</si>
  <si>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</si>
  <si>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</si>
  <si>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</si>
  <si>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</si>
  <si>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</si>
  <si>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</si>
  <si>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</si>
  <si>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</si>
  <si>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</si>
  <si>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</si>
  <si>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</si>
  <si>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</si>
  <si>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</si>
  <si>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</si>
  <si>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</si>
  <si>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</si>
  <si>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</si>
  <si>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</si>
  <si>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</si>
  <si>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</si>
  <si>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</si>
  <si>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</si>
  <si>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</si>
  <si>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</si>
  <si>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</si>
  <si>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</si>
  <si>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</si>
  <si>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</si>
  <si>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</si>
  <si>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</si>
  <si>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</si>
  <si>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</si>
  <si>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</si>
  <si>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</si>
  <si>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</si>
  <si>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</si>
  <si>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</si>
  <si>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</si>
  <si>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</si>
  <si>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</si>
  <si>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</si>
  <si>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</si>
  <si>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</si>
  <si>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</si>
  <si>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</si>
  <si>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</si>
  <si>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</si>
  <si>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</si>
  <si>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</si>
  <si>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</si>
  <si>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</si>
  <si>
    <t>2021-01-29@0.xlsm</t>
  </si>
  <si>
    <t>2021-01-30@AllStar.xlsm</t>
  </si>
  <si>
    <t>Sheet8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</si>
</sst>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全体!$K$2:$K$479</c:f>
              <c:numCache>
                <c:formatCode>General</c:formatCode>
                <c:ptCount val="4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</c:numCache>
            </c:numRef>
          </c:xVal>
          <c:yVal>
            <c:numRef>
              <c:f>全体!$L$2:$L$479</c:f>
              <c:numCache>
                <c:formatCode>\+0.0;\-0.0;\±0</c:formatCode>
                <c:ptCount val="47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  <c:pt idx="451">
                  <c:v>30.800000000000047</c:v>
                </c:pt>
                <c:pt idx="452">
                  <c:v>33.400000000000048</c:v>
                </c:pt>
                <c:pt idx="453">
                  <c:v>4.9737991503207013E-14</c:v>
                </c:pt>
                <c:pt idx="454">
                  <c:v>26.900000000000048</c:v>
                </c:pt>
                <c:pt idx="455">
                  <c:v>21.900000000000048</c:v>
                </c:pt>
                <c:pt idx="456">
                  <c:v>4.9737991503207013E-14</c:v>
                </c:pt>
                <c:pt idx="457">
                  <c:v>57.00000000000005</c:v>
                </c:pt>
                <c:pt idx="458">
                  <c:v>11.400000000000048</c:v>
                </c:pt>
                <c:pt idx="459">
                  <c:v>4.7961634663806763E-14</c:v>
                </c:pt>
                <c:pt idx="460">
                  <c:v>8.3000000000000487</c:v>
                </c:pt>
                <c:pt idx="461">
                  <c:v>-27.899999999999956</c:v>
                </c:pt>
                <c:pt idx="462">
                  <c:v>4.2632564145606011E-14</c:v>
                </c:pt>
                <c:pt idx="463">
                  <c:v>2.6000000000000427</c:v>
                </c:pt>
                <c:pt idx="464">
                  <c:v>23.200000000000045</c:v>
                </c:pt>
                <c:pt idx="465">
                  <c:v>4.6185277824406512E-14</c:v>
                </c:pt>
                <c:pt idx="466">
                  <c:v>-43.899999999999949</c:v>
                </c:pt>
                <c:pt idx="467">
                  <c:v>-35.399999999999949</c:v>
                </c:pt>
                <c:pt idx="468">
                  <c:v>4.9737991503207013E-14</c:v>
                </c:pt>
                <c:pt idx="469">
                  <c:v>75.700000000000045</c:v>
                </c:pt>
                <c:pt idx="470">
                  <c:v>8.9000000000000483</c:v>
                </c:pt>
                <c:pt idx="471">
                  <c:v>4.7961634663806763E-14</c:v>
                </c:pt>
                <c:pt idx="472">
                  <c:v>29.50000000000005</c:v>
                </c:pt>
                <c:pt idx="473">
                  <c:v>39.00000000000005</c:v>
                </c:pt>
                <c:pt idx="474">
                  <c:v>4.9737991503207013E-14</c:v>
                </c:pt>
                <c:pt idx="475">
                  <c:v>-16.399999999999949</c:v>
                </c:pt>
                <c:pt idx="476">
                  <c:v>3.1000000000000512</c:v>
                </c:pt>
                <c:pt idx="477">
                  <c:v>5.1070259132757201E-14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-33.755274261603375</c:v>
                </c:pt>
                <c:pt idx="1">
                  <c:v>8.6580086580086579</c:v>
                </c:pt>
                <c:pt idx="2">
                  <c:v>8.6580086580086579</c:v>
                </c:pt>
                <c:pt idx="3">
                  <c:v>-4.5662100456621006</c:v>
                </c:pt>
                <c:pt idx="4">
                  <c:v>12.437810945273633</c:v>
                </c:pt>
                <c:pt idx="5">
                  <c:v>14.492753623188406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86</c:v>
                </c:pt>
                <c:pt idx="1">
                  <c:v>218</c:v>
                </c:pt>
                <c:pt idx="2">
                  <c:v>235</c:v>
                </c:pt>
                <c:pt idx="3">
                  <c:v>236</c:v>
                </c:pt>
                <c:pt idx="4">
                  <c:v>179</c:v>
                </c:pt>
                <c:pt idx="5">
                  <c:v>112</c:v>
                </c:pt>
                <c:pt idx="6">
                  <c:v>50</c:v>
                </c:pt>
                <c:pt idx="7">
                  <c:v>37</c:v>
                </c:pt>
                <c:pt idx="8">
                  <c:v>20</c:v>
                </c:pt>
                <c:pt idx="9">
                  <c:v>12</c:v>
                </c:pt>
                <c:pt idx="10">
                  <c:v>5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全体!$K$2:$K$479</c:f>
              <c:numCache>
                <c:formatCode>General</c:formatCode>
                <c:ptCount val="4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</c:numCache>
            </c:numRef>
          </c:xVal>
          <c:yVal>
            <c:numRef>
              <c:f>全体!$M$2:$M$479</c:f>
              <c:numCache>
                <c:formatCode>0</c:formatCode>
                <c:ptCount val="47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  <c:pt idx="451">
                  <c:v>1616.9311385103581</c:v>
                </c:pt>
                <c:pt idx="452">
                  <c:v>1617.4955516792959</c:v>
                </c:pt>
                <c:pt idx="453">
                  <c:v>1611.5765783692202</c:v>
                </c:pt>
                <c:pt idx="454">
                  <c:v>1616.1751188990049</c:v>
                </c:pt>
                <c:pt idx="455">
                  <c:v>1615.004068185611</c:v>
                </c:pt>
                <c:pt idx="456">
                  <c:v>1610.7980437764973</c:v>
                </c:pt>
                <c:pt idx="457">
                  <c:v>1620.8192555138382</c:v>
                </c:pt>
                <c:pt idx="458">
                  <c:v>1612.3123399807553</c:v>
                </c:pt>
                <c:pt idx="459">
                  <c:v>1610.0124659408707</c:v>
                </c:pt>
                <c:pt idx="460">
                  <c:v>1611.2723911452256</c:v>
                </c:pt>
                <c:pt idx="461">
                  <c:v>1604.5147567983543</c:v>
                </c:pt>
                <c:pt idx="462">
                  <c:v>1609.3356682575641</c:v>
                </c:pt>
                <c:pt idx="463">
                  <c:v>1609.5736542480188</c:v>
                </c:pt>
                <c:pt idx="464">
                  <c:v>1613.0502123225306</c:v>
                </c:pt>
                <c:pt idx="465">
                  <c:v>1608.6219110485954</c:v>
                </c:pt>
                <c:pt idx="466">
                  <c:v>1600.4941795823038</c:v>
                </c:pt>
                <c:pt idx="467">
                  <c:v>1601.8472145048099</c:v>
                </c:pt>
                <c:pt idx="468">
                  <c:v>1608.0341312177811</c:v>
                </c:pt>
                <c:pt idx="469">
                  <c:v>1621.4379264304744</c:v>
                </c:pt>
                <c:pt idx="470">
                  <c:v>1609.1112988718914</c:v>
                </c:pt>
                <c:pt idx="471">
                  <c:v>1607.28063107866</c:v>
                </c:pt>
                <c:pt idx="472">
                  <c:v>1612.372947292188</c:v>
                </c:pt>
                <c:pt idx="473">
                  <c:v>1613.8347096084349</c:v>
                </c:pt>
                <c:pt idx="474">
                  <c:v>1606.5577013507843</c:v>
                </c:pt>
                <c:pt idx="475">
                  <c:v>1603.3923551426797</c:v>
                </c:pt>
                <c:pt idx="476">
                  <c:v>1606.7080010118236</c:v>
                </c:pt>
                <c:pt idx="477">
                  <c:v>1605.9357530057528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  <c:pt idx="127">
                  <c:v>148.2999999999999</c:v>
                </c:pt>
                <c:pt idx="128">
                  <c:v>126.39999999999989</c:v>
                </c:pt>
                <c:pt idx="129">
                  <c:v>114.99999999999989</c:v>
                </c:pt>
                <c:pt idx="130">
                  <c:v>142.89999999999989</c:v>
                </c:pt>
                <c:pt idx="131">
                  <c:v>119.69999999999989</c:v>
                </c:pt>
                <c:pt idx="132">
                  <c:v>155.09999999999988</c:v>
                </c:pt>
                <c:pt idx="133">
                  <c:v>146.19999999999987</c:v>
                </c:pt>
                <c:pt idx="134">
                  <c:v>107.19999999999987</c:v>
                </c:pt>
                <c:pt idx="135">
                  <c:v>104.09999999999988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455.97014925373134</c:v>
                </c:pt>
                <c:pt idx="1">
                  <c:v>-515.38461538461536</c:v>
                </c:pt>
                <c:pt idx="2">
                  <c:v>-1771.5384615384614</c:v>
                </c:pt>
                <c:pt idx="3">
                  <c:v>1137.0967741935483</c:v>
                </c:pt>
                <c:pt idx="4">
                  <c:v>860.17699115044252</c:v>
                </c:pt>
                <c:pt idx="5">
                  <c:v>504.12371134020617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22</c:v>
                </c:pt>
                <c:pt idx="1">
                  <c:v>68</c:v>
                </c:pt>
                <c:pt idx="2">
                  <c:v>69</c:v>
                </c:pt>
                <c:pt idx="3">
                  <c:v>69</c:v>
                </c:pt>
                <c:pt idx="4">
                  <c:v>57</c:v>
                </c:pt>
                <c:pt idx="5">
                  <c:v>41</c:v>
                </c:pt>
                <c:pt idx="6">
                  <c:v>12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だいち!$M$2:$M$137</c:f>
              <c:numCache>
                <c:formatCode>0</c:formatCode>
                <c:ptCount val="13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  <c:pt idx="127">
                  <c:v>1740.9224663935174</c:v>
                </c:pt>
                <c:pt idx="128">
                  <c:v>1735.9609315951564</c:v>
                </c:pt>
                <c:pt idx="129">
                  <c:v>1732.9191660055853</c:v>
                </c:pt>
                <c:pt idx="130">
                  <c:v>1736.9696510095519</c:v>
                </c:pt>
                <c:pt idx="131">
                  <c:v>1731.7978331034944</c:v>
                </c:pt>
                <c:pt idx="132">
                  <c:v>1737.2050461048734</c:v>
                </c:pt>
                <c:pt idx="133">
                  <c:v>1734.6058158282442</c:v>
                </c:pt>
                <c:pt idx="134">
                  <c:v>1726.6041809332748</c:v>
                </c:pt>
                <c:pt idx="135">
                  <c:v>1725.1125558476751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  <c:pt idx="84">
                  <c:v>-180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1172.6190476190477</c:v>
                </c:pt>
                <c:pt idx="1">
                  <c:v>-256.09756097560978</c:v>
                </c:pt>
                <c:pt idx="2">
                  <c:v>-609.7560975609756</c:v>
                </c:pt>
                <c:pt idx="3">
                  <c:v>-205.0632911392405</c:v>
                </c:pt>
                <c:pt idx="4">
                  <c:v>-216.66666666666666</c:v>
                </c:pt>
                <c:pt idx="5">
                  <c:v>-239.68253968253967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36</c:v>
                </c:pt>
                <c:pt idx="3">
                  <c:v>40</c:v>
                </c:pt>
                <c:pt idx="4">
                  <c:v>38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れんたろう!$M$2:$M$86</c:f>
              <c:numCache>
                <c:formatCode>0</c:formatCode>
                <c:ptCount val="85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  <c:pt idx="84">
                  <c:v>1616.7273241326677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-427.08333333333331</c:v>
                </c:pt>
                <c:pt idx="1">
                  <c:v>-533.33333333333337</c:v>
                </c:pt>
                <c:pt idx="2">
                  <c:v>1240.4255319148936</c:v>
                </c:pt>
                <c:pt idx="3">
                  <c:v>-1121.2765957446809</c:v>
                </c:pt>
                <c:pt idx="4">
                  <c:v>-1164.4444444444443</c:v>
                </c:pt>
                <c:pt idx="5">
                  <c:v>-529.72972972972968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たかの!$M$2:$M$50</c:f>
              <c:numCache>
                <c:formatCode>0</c:formatCode>
                <c:ptCount val="4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-912</c:v>
                </c:pt>
                <c:pt idx="1">
                  <c:v>1166</c:v>
                </c:pt>
                <c:pt idx="2">
                  <c:v>2228</c:v>
                </c:pt>
                <c:pt idx="3">
                  <c:v>-382.97872340425533</c:v>
                </c:pt>
                <c:pt idx="4">
                  <c:v>257.14285714285717</c:v>
                </c:pt>
                <c:pt idx="5">
                  <c:v>1710.2564102564102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28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いちかわ!$M$2:$M$53</c:f>
              <c:numCache>
                <c:formatCode>0</c:formatCode>
                <c:ptCount val="5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  <c:pt idx="51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-451.5625</c:v>
                </c:pt>
                <c:pt idx="1">
                  <c:v>751.66666666666663</c:v>
                </c:pt>
                <c:pt idx="2">
                  <c:v>2280.3278688524592</c:v>
                </c:pt>
                <c:pt idx="3">
                  <c:v>2056.1403508771928</c:v>
                </c:pt>
                <c:pt idx="4">
                  <c:v>-24.528301886792452</c:v>
                </c:pt>
                <c:pt idx="5">
                  <c:v>-390.69767441860466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15</c:v>
                </c:pt>
                <c:pt idx="1">
                  <c:v>48</c:v>
                </c:pt>
                <c:pt idx="2">
                  <c:v>40</c:v>
                </c:pt>
                <c:pt idx="3">
                  <c:v>31</c:v>
                </c:pt>
                <c:pt idx="4">
                  <c:v>28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ただ!$M$2:$M$66</c:f>
              <c:numCache>
                <c:formatCode>0</c:formatCode>
                <c:ptCount val="6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  <c:pt idx="57">
                  <c:v>1590.0609404370073</c:v>
                </c:pt>
                <c:pt idx="58">
                  <c:v>1600.2065747943852</c:v>
                </c:pt>
                <c:pt idx="59">
                  <c:v>1601.5253353456189</c:v>
                </c:pt>
                <c:pt idx="60">
                  <c:v>1601.8101833335452</c:v>
                </c:pt>
                <c:pt idx="61">
                  <c:v>1593.723322233544</c:v>
                </c:pt>
                <c:pt idx="62">
                  <c:v>1607.2129823001428</c:v>
                </c:pt>
                <c:pt idx="63">
                  <c:v>1612.3057044063419</c:v>
                </c:pt>
                <c:pt idx="64">
                  <c:v>1609.1058701799038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183.33333333333334</c:v>
                </c:pt>
                <c:pt idx="1">
                  <c:v>1277.2727272727273</c:v>
                </c:pt>
                <c:pt idx="2">
                  <c:v>-1908.695652173913</c:v>
                </c:pt>
                <c:pt idx="3">
                  <c:v>-2486.3636363636365</c:v>
                </c:pt>
                <c:pt idx="4">
                  <c:v>-2576.1904761904761</c:v>
                </c:pt>
                <c:pt idx="5">
                  <c:v>-705.26315789473688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12</c:v>
                </c:pt>
                <c:pt idx="4">
                  <c:v>10</c:v>
                </c:pt>
                <c:pt idx="5">
                  <c:v>5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りくと!$M$2:$M$26</c:f>
              <c:numCache>
                <c:formatCode>0</c:formatCode>
                <c:ptCount val="2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  <c:pt idx="17">
                  <c:v>1386.3964580576521</c:v>
                </c:pt>
                <c:pt idx="18">
                  <c:v>1379.2960793093062</c:v>
                </c:pt>
                <c:pt idx="19">
                  <c:v>1373.9303028334502</c:v>
                </c:pt>
                <c:pt idx="20">
                  <c:v>1378.8207210164496</c:v>
                </c:pt>
                <c:pt idx="21">
                  <c:v>1381.503796690351</c:v>
                </c:pt>
                <c:pt idx="22">
                  <c:v>1370.6167739102088</c:v>
                </c:pt>
                <c:pt idx="23">
                  <c:v>1373.5290732667477</c:v>
                </c:pt>
                <c:pt idx="24">
                  <c:v>1378.2238988271472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りくと2!$B$3:$B$27</c:f>
              <c:numCache>
                <c:formatCode>\+0.0;\-0.0;\±0</c:formatCode>
                <c:ptCount val="2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107025913275720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りくと2!$C$3:$C$27</c:f>
              <c:numCache>
                <c:formatCode>\+0.0;\-0.0;\±0</c:formatCode>
                <c:ptCount val="25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  <c:pt idx="10">
                  <c:v>-0.63000000000000023</c:v>
                </c:pt>
                <c:pt idx="11">
                  <c:v>-2.7727272727272729</c:v>
                </c:pt>
                <c:pt idx="12">
                  <c:v>-3.2916666666666665</c:v>
                </c:pt>
                <c:pt idx="13">
                  <c:v>-5.8153846153846152</c:v>
                </c:pt>
                <c:pt idx="14">
                  <c:v>-5.1857142857142851</c:v>
                </c:pt>
                <c:pt idx="15">
                  <c:v>-8.2133333333333329</c:v>
                </c:pt>
                <c:pt idx="16">
                  <c:v>-7.5687499999999996</c:v>
                </c:pt>
                <c:pt idx="17">
                  <c:v>-7.4176470588235288</c:v>
                </c:pt>
                <c:pt idx="18">
                  <c:v>-9.5388888888888879</c:v>
                </c:pt>
                <c:pt idx="19">
                  <c:v>-10.942105263157893</c:v>
                </c:pt>
                <c:pt idx="20">
                  <c:v>-9.3649999999999984</c:v>
                </c:pt>
                <c:pt idx="21">
                  <c:v>-8.5142857142857142</c:v>
                </c:pt>
                <c:pt idx="22">
                  <c:v>-11.163636363636362</c:v>
                </c:pt>
                <c:pt idx="23">
                  <c:v>-10.265217391304347</c:v>
                </c:pt>
                <c:pt idx="24">
                  <c:v>-9.0249999999999986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7065532773075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りくと2!$D$3:$D$27</c:f>
              <c:numCache>
                <c:formatCode>0.00\ "位"</c:formatCode>
                <c:ptCount val="25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903563941299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りくと2!$E$3:$E$27</c:f>
              <c:numCache>
                <c:formatCode>0.0%</c:formatCode>
                <c:ptCount val="25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429769392033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りくと2!$F$3:$F$27</c:f>
              <c:numCache>
                <c:formatCode>0.0%</c:formatCode>
                <c:ptCount val="2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りくと2!$G$3:$G$27</c:f>
              <c:numCache>
                <c:formatCode>0.0%</c:formatCode>
                <c:ptCount val="25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  <c:pt idx="10">
                  <c:v>0.29268292682926828</c:v>
                </c:pt>
                <c:pt idx="11">
                  <c:v>0.27777777777777779</c:v>
                </c:pt>
                <c:pt idx="12">
                  <c:v>0.28155339805825241</c:v>
                </c:pt>
                <c:pt idx="13">
                  <c:v>0.26126126126126126</c:v>
                </c:pt>
                <c:pt idx="14">
                  <c:v>0.256198347107438</c:v>
                </c:pt>
                <c:pt idx="15">
                  <c:v>0.23664122137404581</c:v>
                </c:pt>
                <c:pt idx="16">
                  <c:v>0.2413793103448276</c:v>
                </c:pt>
                <c:pt idx="17">
                  <c:v>0.24183006535947713</c:v>
                </c:pt>
                <c:pt idx="18">
                  <c:v>0.23125000000000001</c:v>
                </c:pt>
                <c:pt idx="19">
                  <c:v>0.23809523809523808</c:v>
                </c:pt>
                <c:pt idx="20">
                  <c:v>0.23595505617977527</c:v>
                </c:pt>
                <c:pt idx="21">
                  <c:v>0.23529411764705882</c:v>
                </c:pt>
                <c:pt idx="22">
                  <c:v>0.22680412371134021</c:v>
                </c:pt>
                <c:pt idx="23">
                  <c:v>0.23</c:v>
                </c:pt>
                <c:pt idx="24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5513196480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りくと2!$H$3:$H$27</c:f>
              <c:numCache>
                <c:formatCode>0.0%</c:formatCode>
                <c:ptCount val="25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  <c:pt idx="10">
                  <c:v>0.14634146341463414</c:v>
                </c:pt>
                <c:pt idx="11">
                  <c:v>0.15555555555555556</c:v>
                </c:pt>
                <c:pt idx="12">
                  <c:v>0.1650485436893204</c:v>
                </c:pt>
                <c:pt idx="13">
                  <c:v>0.17117117117117117</c:v>
                </c:pt>
                <c:pt idx="14">
                  <c:v>0.17355371900826447</c:v>
                </c:pt>
                <c:pt idx="15">
                  <c:v>0.18320610687022901</c:v>
                </c:pt>
                <c:pt idx="16">
                  <c:v>0.17241379310344829</c:v>
                </c:pt>
                <c:pt idx="17">
                  <c:v>0.16339869281045752</c:v>
                </c:pt>
                <c:pt idx="18">
                  <c:v>0.18124999999999999</c:v>
                </c:pt>
                <c:pt idx="19">
                  <c:v>0.17857142857142858</c:v>
                </c:pt>
                <c:pt idx="20">
                  <c:v>0.1797752808988764</c:v>
                </c:pt>
                <c:pt idx="21">
                  <c:v>0.17112299465240641</c:v>
                </c:pt>
                <c:pt idx="22">
                  <c:v>0.18041237113402062</c:v>
                </c:pt>
                <c:pt idx="23">
                  <c:v>0.17499999999999999</c:v>
                </c:pt>
                <c:pt idx="24">
                  <c:v>0.17307692307692307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3411534701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りくと2!$I$3:$I$27</c:f>
              <c:numCache>
                <c:formatCode>0</c:formatCode>
                <c:ptCount val="25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  <c:pt idx="10">
                  <c:v>8720.8333333333339</c:v>
                </c:pt>
                <c:pt idx="11">
                  <c:v>8680</c:v>
                </c:pt>
                <c:pt idx="12">
                  <c:v>8606.8965517241377</c:v>
                </c:pt>
                <c:pt idx="13">
                  <c:v>8606.8965517241377</c:v>
                </c:pt>
                <c:pt idx="14">
                  <c:v>8954.8387096774186</c:v>
                </c:pt>
                <c:pt idx="15">
                  <c:v>8954.8387096774186</c:v>
                </c:pt>
                <c:pt idx="16">
                  <c:v>8974.2857142857138</c:v>
                </c:pt>
                <c:pt idx="17">
                  <c:v>8921.6216216216217</c:v>
                </c:pt>
                <c:pt idx="18">
                  <c:v>8921.6216216216217</c:v>
                </c:pt>
                <c:pt idx="19">
                  <c:v>8535</c:v>
                </c:pt>
                <c:pt idx="20">
                  <c:v>9080.9523809523816</c:v>
                </c:pt>
                <c:pt idx="21">
                  <c:v>9159.0909090909099</c:v>
                </c:pt>
                <c:pt idx="22">
                  <c:v>9159.0909090909099</c:v>
                </c:pt>
                <c:pt idx="23">
                  <c:v>9195.652173913044</c:v>
                </c:pt>
                <c:pt idx="24">
                  <c:v>9089.5833333333339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7.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りくと2!$J$3:$J$27</c:f>
              <c:numCache>
                <c:formatCode>0</c:formatCode>
                <c:ptCount val="25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  <c:pt idx="10">
                  <c:v>-7225</c:v>
                </c:pt>
                <c:pt idx="11">
                  <c:v>-7114.2857142857147</c:v>
                </c:pt>
                <c:pt idx="12">
                  <c:v>-7629.411764705882</c:v>
                </c:pt>
                <c:pt idx="13">
                  <c:v>-7568.4210526315792</c:v>
                </c:pt>
                <c:pt idx="14">
                  <c:v>-7990.4761904761908</c:v>
                </c:pt>
                <c:pt idx="15">
                  <c:v>-7695.833333333333</c:v>
                </c:pt>
                <c:pt idx="16">
                  <c:v>-7868</c:v>
                </c:pt>
                <c:pt idx="17">
                  <c:v>-7868</c:v>
                </c:pt>
                <c:pt idx="18">
                  <c:v>-7493.1034482758623</c:v>
                </c:pt>
                <c:pt idx="19">
                  <c:v>-8310</c:v>
                </c:pt>
                <c:pt idx="20">
                  <c:v>-8071.875</c:v>
                </c:pt>
                <c:pt idx="21">
                  <c:v>-8071.875</c:v>
                </c:pt>
                <c:pt idx="22">
                  <c:v>-8745.7142857142862</c:v>
                </c:pt>
                <c:pt idx="23">
                  <c:v>-8745.7142857142862</c:v>
                </c:pt>
                <c:pt idx="24">
                  <c:v>-8538.8888888888887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87.9104477611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りくと2!$K$3:$K$27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05031446540879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りくと2!$L$3:$L$27</c:f>
              <c:numCache>
                <c:formatCode>0.0%</c:formatCode>
                <c:ptCount val="25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  <c:pt idx="10">
                  <c:v>0.23170731707317074</c:v>
                </c:pt>
                <c:pt idx="11">
                  <c:v>0.22222222222222221</c:v>
                </c:pt>
                <c:pt idx="12">
                  <c:v>0.22330097087378642</c:v>
                </c:pt>
                <c:pt idx="13">
                  <c:v>0.22522522522522523</c:v>
                </c:pt>
                <c:pt idx="14">
                  <c:v>0.21487603305785125</c:v>
                </c:pt>
                <c:pt idx="15">
                  <c:v>0.21374045801526717</c:v>
                </c:pt>
                <c:pt idx="16">
                  <c:v>0.23448275862068965</c:v>
                </c:pt>
                <c:pt idx="17">
                  <c:v>0.23529411764705882</c:v>
                </c:pt>
                <c:pt idx="18">
                  <c:v>0.22500000000000001</c:v>
                </c:pt>
                <c:pt idx="19">
                  <c:v>0.22619047619047619</c:v>
                </c:pt>
                <c:pt idx="20">
                  <c:v>0.2247191011235955</c:v>
                </c:pt>
                <c:pt idx="21">
                  <c:v>0.21925133689839571</c:v>
                </c:pt>
                <c:pt idx="22">
                  <c:v>0.21134020618556701</c:v>
                </c:pt>
                <c:pt idx="23">
                  <c:v>0.22</c:v>
                </c:pt>
                <c:pt idx="24">
                  <c:v>0.22115384615384615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57869012707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りくと2!$M$3:$M$27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  <c:pt idx="10">
                  <c:v>0.12195121951219512</c:v>
                </c:pt>
                <c:pt idx="11">
                  <c:v>0.13333333333333333</c:v>
                </c:pt>
                <c:pt idx="12">
                  <c:v>0.13592233009708737</c:v>
                </c:pt>
                <c:pt idx="13">
                  <c:v>0.15315315315315314</c:v>
                </c:pt>
                <c:pt idx="14">
                  <c:v>0.14049586776859505</c:v>
                </c:pt>
                <c:pt idx="15">
                  <c:v>0.14503816793893129</c:v>
                </c:pt>
                <c:pt idx="16">
                  <c:v>0.1310344827586207</c:v>
                </c:pt>
                <c:pt idx="17">
                  <c:v>0.13071895424836602</c:v>
                </c:pt>
                <c:pt idx="18">
                  <c:v>0.125</c:v>
                </c:pt>
                <c:pt idx="19">
                  <c:v>0.125</c:v>
                </c:pt>
                <c:pt idx="20">
                  <c:v>0.12359550561797752</c:v>
                </c:pt>
                <c:pt idx="21">
                  <c:v>0.12299465240641712</c:v>
                </c:pt>
                <c:pt idx="22">
                  <c:v>0.11855670103092783</c:v>
                </c:pt>
                <c:pt idx="23">
                  <c:v>0.115</c:v>
                </c:pt>
                <c:pt idx="24">
                  <c:v>0.11538461538461539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262952101661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りくと2!$N$3:$N$27</c:f>
              <c:numCache>
                <c:formatCode>0.0%</c:formatCode>
                <c:ptCount val="25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  <c:pt idx="10">
                  <c:v>0.68421052631578949</c:v>
                </c:pt>
                <c:pt idx="11">
                  <c:v>0.7</c:v>
                </c:pt>
                <c:pt idx="12">
                  <c:v>0.69565217391304346</c:v>
                </c:pt>
                <c:pt idx="13">
                  <c:v>0.64</c:v>
                </c:pt>
                <c:pt idx="14">
                  <c:v>0.65384615384615385</c:v>
                </c:pt>
                <c:pt idx="15">
                  <c:v>0.6071428571428571</c:v>
                </c:pt>
                <c:pt idx="16">
                  <c:v>0.61764705882352944</c:v>
                </c:pt>
                <c:pt idx="17">
                  <c:v>0.63888888888888884</c:v>
                </c:pt>
                <c:pt idx="18">
                  <c:v>0.63888888888888884</c:v>
                </c:pt>
                <c:pt idx="19">
                  <c:v>0.65789473684210531</c:v>
                </c:pt>
                <c:pt idx="20">
                  <c:v>0.65</c:v>
                </c:pt>
                <c:pt idx="21">
                  <c:v>0.65853658536585369</c:v>
                </c:pt>
                <c:pt idx="22">
                  <c:v>0.65853658536585369</c:v>
                </c:pt>
                <c:pt idx="23">
                  <c:v>0.65909090909090906</c:v>
                </c:pt>
                <c:pt idx="24">
                  <c:v>0.65217391304347827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6263627353815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りくと2!$O$3:$O$27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0.33333333333333331</c:v>
                </c:pt>
                <c:pt idx="12">
                  <c:v>0.35714285714285715</c:v>
                </c:pt>
                <c:pt idx="13">
                  <c:v>0.29411764705882354</c:v>
                </c:pt>
                <c:pt idx="14">
                  <c:v>0.29411764705882354</c:v>
                </c:pt>
                <c:pt idx="15">
                  <c:v>0.26315789473684209</c:v>
                </c:pt>
                <c:pt idx="16">
                  <c:v>0.26315789473684209</c:v>
                </c:pt>
                <c:pt idx="17">
                  <c:v>0.25</c:v>
                </c:pt>
                <c:pt idx="18">
                  <c:v>0.25</c:v>
                </c:pt>
                <c:pt idx="19">
                  <c:v>0.23809523809523808</c:v>
                </c:pt>
                <c:pt idx="20">
                  <c:v>0.22727272727272727</c:v>
                </c:pt>
                <c:pt idx="21">
                  <c:v>0.21739130434782608</c:v>
                </c:pt>
                <c:pt idx="22">
                  <c:v>0.21739130434782608</c:v>
                </c:pt>
                <c:pt idx="23">
                  <c:v>0.21739130434782608</c:v>
                </c:pt>
                <c:pt idx="24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24478594950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りくと2!$P$3:$P$27</c:f>
              <c:numCache>
                <c:formatCode>0.0%</c:formatCode>
                <c:ptCount val="25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  <c:pt idx="10">
                  <c:v>0.54166666666666663</c:v>
                </c:pt>
                <c:pt idx="11">
                  <c:v>0.52</c:v>
                </c:pt>
                <c:pt idx="12">
                  <c:v>0.55172413793103448</c:v>
                </c:pt>
                <c:pt idx="13">
                  <c:v>0.55172413793103448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0.54285714285714282</c:v>
                </c:pt>
                <c:pt idx="17">
                  <c:v>0.56756756756756754</c:v>
                </c:pt>
                <c:pt idx="18">
                  <c:v>0.56756756756756754</c:v>
                </c:pt>
                <c:pt idx="19">
                  <c:v>0.55000000000000004</c:v>
                </c:pt>
                <c:pt idx="20">
                  <c:v>0.5714285714285714</c:v>
                </c:pt>
                <c:pt idx="21">
                  <c:v>0.56818181818181823</c:v>
                </c:pt>
                <c:pt idx="22">
                  <c:v>0.56818181818181823</c:v>
                </c:pt>
                <c:pt idx="23">
                  <c:v>0.56521739130434778</c:v>
                </c:pt>
                <c:pt idx="24">
                  <c:v>0.54166666666666663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5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10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10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10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10" x14ac:dyDescent="0.4">
      <c r="A52" s="2" t="s">
        <v>269</v>
      </c>
      <c r="B52" s="3">
        <v>44188.877129629633</v>
      </c>
      <c r="C52" s="2" t="s">
        <v>127</v>
      </c>
    </row>
    <row r="53" spans="1:10" x14ac:dyDescent="0.4">
      <c r="A53" s="2" t="s">
        <v>270</v>
      </c>
      <c r="B53" s="3">
        <v>44202.692986111113</v>
      </c>
      <c r="C53" s="2" t="s">
        <v>127</v>
      </c>
    </row>
    <row r="54" spans="1:10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10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10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10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  <row r="58" spans="1:10" x14ac:dyDescent="0.4">
      <c r="A58" s="2" t="s">
        <v>275</v>
      </c>
      <c r="B58" s="3">
        <v>44225.852303240739</v>
      </c>
      <c r="C58" s="2" t="s">
        <v>127</v>
      </c>
    </row>
    <row r="59" spans="1:10" x14ac:dyDescent="0.4">
      <c r="A59" s="2" t="s">
        <v>276</v>
      </c>
      <c r="B59" s="3">
        <v>44226.852013888885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239</v>
      </c>
      <c r="H59" s="2" t="s">
        <v>245</v>
      </c>
      <c r="I59" s="2" t="s">
        <v>244</v>
      </c>
      <c r="J59" s="2" t="s">
        <v>277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135</v>
      </c>
      <c r="C2" s="120">
        <v>1842.3339395535957</v>
      </c>
    </row>
    <row r="3" spans="1:3" x14ac:dyDescent="0.4">
      <c r="A3" t="s">
        <v>163</v>
      </c>
      <c r="B3" s="120">
        <v>84</v>
      </c>
      <c r="C3" s="120">
        <v>1653.1699313523677</v>
      </c>
    </row>
    <row r="4" spans="1:3" x14ac:dyDescent="0.4">
      <c r="A4" t="s">
        <v>139</v>
      </c>
      <c r="B4" s="120">
        <v>477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64</v>
      </c>
      <c r="C6" s="120">
        <v>1517.1288342047803</v>
      </c>
    </row>
    <row r="7" spans="1:3" x14ac:dyDescent="0.4">
      <c r="A7" t="s">
        <v>211</v>
      </c>
      <c r="B7" s="120">
        <v>51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48</v>
      </c>
      <c r="C10" s="120">
        <v>1433.30445236539</v>
      </c>
    </row>
    <row r="11" spans="1:3" x14ac:dyDescent="0.4">
      <c r="A11" t="s">
        <v>195</v>
      </c>
      <c r="B11" s="120">
        <v>24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0.88216824366782931</v>
      </c>
      <c r="C2" s="150"/>
      <c r="D2" s="149">
        <v>0.49318814072377304</v>
      </c>
      <c r="E2" s="150"/>
      <c r="F2" s="149">
        <v>0.62003648657520039</v>
      </c>
      <c r="G2" s="150"/>
      <c r="H2" s="155"/>
      <c r="I2" s="156"/>
      <c r="J2" s="149">
        <v>0.37758815374762983</v>
      </c>
      <c r="K2" s="150"/>
      <c r="L2" s="149">
        <v>0.13034532673695551</v>
      </c>
      <c r="M2" s="150"/>
      <c r="N2" s="149">
        <v>0.40085827185406936</v>
      </c>
      <c r="O2" s="150"/>
      <c r="P2" s="149">
        <v>0.58874280721396643</v>
      </c>
      <c r="Q2" s="150"/>
      <c r="R2" s="149">
        <v>6.3127190419290713E-2</v>
      </c>
      <c r="S2" s="150"/>
      <c r="T2" s="149">
        <v>-9.1166017450326903E-2</v>
      </c>
      <c r="U2" s="150"/>
      <c r="V2" s="149">
        <v>0.49241792961782527</v>
      </c>
      <c r="W2" s="150"/>
      <c r="X2" s="149">
        <v>0.51444819513391338</v>
      </c>
      <c r="Y2" s="150"/>
      <c r="Z2" s="149">
        <v>0.27591911848279554</v>
      </c>
      <c r="AA2" s="150"/>
      <c r="AB2" s="149">
        <v>0.34104284961678727</v>
      </c>
      <c r="AC2" s="150"/>
      <c r="AD2" s="149">
        <v>-0.17360684223973868</v>
      </c>
      <c r="AE2" s="150"/>
      <c r="AF2" s="149">
        <v>0.70576977296840793</v>
      </c>
      <c r="AG2" s="150"/>
      <c r="AH2" s="149">
        <v>-0.42657206825742766</v>
      </c>
      <c r="AI2" s="150"/>
      <c r="AJ2" s="149">
        <v>0.79609927291767579</v>
      </c>
      <c r="AK2" s="150"/>
    </row>
    <row r="3" spans="1:37" x14ac:dyDescent="0.4">
      <c r="A3" s="38">
        <v>1</v>
      </c>
      <c r="B3" s="41" t="s">
        <v>139</v>
      </c>
      <c r="C3" s="113">
        <v>159</v>
      </c>
      <c r="D3" s="39" t="s">
        <v>192</v>
      </c>
      <c r="E3" s="40">
        <v>414.99999999999994</v>
      </c>
      <c r="F3" s="41" t="s">
        <v>192</v>
      </c>
      <c r="G3" s="60">
        <v>6.4843749999999991</v>
      </c>
      <c r="H3" s="41" t="s">
        <v>126</v>
      </c>
      <c r="I3" s="45">
        <v>1725.1125558476751</v>
      </c>
      <c r="J3" s="41" t="s">
        <v>192</v>
      </c>
      <c r="K3" s="42">
        <v>1.828125</v>
      </c>
      <c r="L3" s="41" t="s">
        <v>192</v>
      </c>
      <c r="M3" s="43">
        <v>0.40625</v>
      </c>
      <c r="N3" s="41" t="s">
        <v>190</v>
      </c>
      <c r="O3" s="43">
        <v>0.1891891891891892</v>
      </c>
      <c r="P3" s="41" t="s">
        <v>192</v>
      </c>
      <c r="Q3" s="44">
        <v>0.34615384615384615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0.28133333333333332</v>
      </c>
      <c r="AB3" s="41" t="s">
        <v>189</v>
      </c>
      <c r="AC3" s="44">
        <v>0.29716981132075471</v>
      </c>
      <c r="AD3" s="41" t="s">
        <v>201</v>
      </c>
      <c r="AE3" s="44">
        <v>0.66666666666666663</v>
      </c>
      <c r="AF3" s="41" t="s">
        <v>126</v>
      </c>
      <c r="AG3" s="44">
        <v>0.46491228070175439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135</v>
      </c>
      <c r="D4" s="47" t="s">
        <v>211</v>
      </c>
      <c r="E4" s="48">
        <v>178.2</v>
      </c>
      <c r="F4" s="49" t="s">
        <v>211</v>
      </c>
      <c r="G4" s="61">
        <v>3.4941176470588231</v>
      </c>
      <c r="H4" s="49" t="s">
        <v>163</v>
      </c>
      <c r="I4" s="53">
        <v>1616.7273241326677</v>
      </c>
      <c r="J4" s="49" t="s">
        <v>190</v>
      </c>
      <c r="K4" s="50">
        <v>1.8918918918918919</v>
      </c>
      <c r="L4" s="49" t="s">
        <v>189</v>
      </c>
      <c r="M4" s="51">
        <v>0.375</v>
      </c>
      <c r="N4" s="49" t="s">
        <v>192</v>
      </c>
      <c r="O4" s="51">
        <v>0.234375</v>
      </c>
      <c r="P4" s="49" t="s">
        <v>126</v>
      </c>
      <c r="Q4" s="52">
        <v>0.31338028169014087</v>
      </c>
      <c r="R4" s="49" t="s">
        <v>192</v>
      </c>
      <c r="S4" s="52">
        <v>0.12087912087912088</v>
      </c>
      <c r="T4" s="49" t="s">
        <v>163</v>
      </c>
      <c r="U4" s="53">
        <v>9402.5380710659902</v>
      </c>
      <c r="V4" s="49" t="s">
        <v>211</v>
      </c>
      <c r="W4" s="53">
        <v>-6961.0169491525421</v>
      </c>
      <c r="X4" s="49" t="s">
        <v>221</v>
      </c>
      <c r="Y4" s="51">
        <v>0</v>
      </c>
      <c r="Z4" s="49" t="s">
        <v>189</v>
      </c>
      <c r="AA4" s="52">
        <v>0.2617924528301887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0.45360824742268041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84</v>
      </c>
      <c r="D5" s="47" t="s">
        <v>126</v>
      </c>
      <c r="E5" s="48">
        <v>104.09999999999988</v>
      </c>
      <c r="F5" s="49" t="s">
        <v>190</v>
      </c>
      <c r="G5" s="61">
        <v>1.58108108108108</v>
      </c>
      <c r="H5" s="49" t="s">
        <v>192</v>
      </c>
      <c r="I5" s="53">
        <v>1609.1058701799038</v>
      </c>
      <c r="J5" s="49" t="s">
        <v>211</v>
      </c>
      <c r="K5" s="50">
        <v>1.9215686274509804</v>
      </c>
      <c r="L5" s="49" t="s">
        <v>211</v>
      </c>
      <c r="M5" s="51">
        <v>0.37254901960784315</v>
      </c>
      <c r="N5" s="49" t="s">
        <v>211</v>
      </c>
      <c r="O5" s="51">
        <v>0.29411764705882354</v>
      </c>
      <c r="P5" s="49" t="s">
        <v>211</v>
      </c>
      <c r="Q5" s="52">
        <v>0.30697674418604654</v>
      </c>
      <c r="R5" s="49" t="s">
        <v>211</v>
      </c>
      <c r="S5" s="52">
        <v>0.1372093023255814</v>
      </c>
      <c r="T5" s="49" t="s">
        <v>195</v>
      </c>
      <c r="U5" s="53">
        <v>9089.5833333333339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190</v>
      </c>
      <c r="AA5" s="52">
        <v>0.26168224299065418</v>
      </c>
      <c r="AB5" s="49" t="s">
        <v>192</v>
      </c>
      <c r="AC5" s="52">
        <v>0.27472527472527475</v>
      </c>
      <c r="AD5" s="49" t="s">
        <v>195</v>
      </c>
      <c r="AE5" s="52">
        <v>0.65217391304347827</v>
      </c>
      <c r="AF5" s="49" t="s">
        <v>192</v>
      </c>
      <c r="AG5" s="52">
        <v>0.44</v>
      </c>
      <c r="AH5" s="49" t="s">
        <v>195</v>
      </c>
      <c r="AI5" s="52">
        <v>0.54166666666666663</v>
      </c>
      <c r="AJ5" s="49" t="s">
        <v>192</v>
      </c>
      <c r="AK5" s="56">
        <v>100700</v>
      </c>
    </row>
    <row r="6" spans="1:37" x14ac:dyDescent="0.4">
      <c r="A6" s="46">
        <v>4</v>
      </c>
      <c r="B6" s="49" t="s">
        <v>192</v>
      </c>
      <c r="C6" s="114">
        <v>64</v>
      </c>
      <c r="D6" s="47" t="s">
        <v>190</v>
      </c>
      <c r="E6" s="48">
        <v>58.499999999999957</v>
      </c>
      <c r="F6" s="49" t="s">
        <v>126</v>
      </c>
      <c r="G6" s="61">
        <v>0.77111111111111019</v>
      </c>
      <c r="H6" s="49" t="s">
        <v>139</v>
      </c>
      <c r="I6" s="53">
        <v>1605.9357530057528</v>
      </c>
      <c r="J6" s="49" t="s">
        <v>139</v>
      </c>
      <c r="K6" s="50">
        <v>1.9979035639412999</v>
      </c>
      <c r="L6" s="49" t="s">
        <v>126</v>
      </c>
      <c r="M6" s="51">
        <v>0.34074074074074073</v>
      </c>
      <c r="N6" s="49" t="s">
        <v>163</v>
      </c>
      <c r="O6" s="51">
        <v>0.33333333333333331</v>
      </c>
      <c r="P6" s="49" t="s">
        <v>189</v>
      </c>
      <c r="Q6" s="52">
        <v>0.30188679245283018</v>
      </c>
      <c r="R6" s="49" t="s">
        <v>189</v>
      </c>
      <c r="S6" s="52">
        <v>0.15801886792452829</v>
      </c>
      <c r="T6" s="49" t="s">
        <v>126</v>
      </c>
      <c r="U6" s="53">
        <v>8188.2022471910113</v>
      </c>
      <c r="V6" s="49" t="s">
        <v>126</v>
      </c>
      <c r="W6" s="53">
        <v>-7534.5177664974617</v>
      </c>
      <c r="X6" s="49" t="s">
        <v>211</v>
      </c>
      <c r="Y6" s="51">
        <v>3.9215686274509803E-2</v>
      </c>
      <c r="Z6" s="49" t="s">
        <v>126</v>
      </c>
      <c r="AA6" s="52">
        <v>0.24911971830985916</v>
      </c>
      <c r="AB6" s="49" t="s">
        <v>211</v>
      </c>
      <c r="AC6" s="52">
        <v>0.2255813953488372</v>
      </c>
      <c r="AD6" s="49" t="s">
        <v>211</v>
      </c>
      <c r="AE6" s="52">
        <v>0.59183673469387754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51</v>
      </c>
      <c r="D7" s="47" t="s">
        <v>139</v>
      </c>
      <c r="E7" s="48">
        <v>5.1070259132757201E-14</v>
      </c>
      <c r="F7" s="49" t="s">
        <v>139</v>
      </c>
      <c r="G7" s="61">
        <v>1.070655327730759E-16</v>
      </c>
      <c r="H7" s="49" t="s">
        <v>190</v>
      </c>
      <c r="I7" s="53">
        <v>1552.235570864417</v>
      </c>
      <c r="J7" s="49" t="s">
        <v>189</v>
      </c>
      <c r="K7" s="50">
        <v>2.0208333333333335</v>
      </c>
      <c r="L7" s="49" t="s">
        <v>139</v>
      </c>
      <c r="M7" s="51">
        <v>0.33542976939203356</v>
      </c>
      <c r="N7" s="49" t="s">
        <v>139</v>
      </c>
      <c r="O7" s="51">
        <v>0.33333333333333331</v>
      </c>
      <c r="P7" s="49" t="s">
        <v>139</v>
      </c>
      <c r="Q7" s="52">
        <v>0.2932551319648094</v>
      </c>
      <c r="R7" s="49" t="s">
        <v>139</v>
      </c>
      <c r="S7" s="52">
        <v>0.16373411534701857</v>
      </c>
      <c r="T7" s="49" t="s">
        <v>139</v>
      </c>
      <c r="U7" s="53">
        <v>8177.333333333333</v>
      </c>
      <c r="V7" s="49" t="s">
        <v>192</v>
      </c>
      <c r="W7" s="53">
        <v>-7636.363636363636</v>
      </c>
      <c r="X7" s="49" t="s">
        <v>190</v>
      </c>
      <c r="Y7" s="51">
        <v>5.4054054054054057E-2</v>
      </c>
      <c r="Z7" s="49" t="s">
        <v>139</v>
      </c>
      <c r="AA7" s="52">
        <v>0.24657869012707723</v>
      </c>
      <c r="AB7" s="49" t="s">
        <v>163</v>
      </c>
      <c r="AC7" s="52">
        <v>0.22533333333333333</v>
      </c>
      <c r="AD7" s="49" t="s">
        <v>126</v>
      </c>
      <c r="AE7" s="52">
        <v>0.55830388692579502</v>
      </c>
      <c r="AF7" s="49" t="s">
        <v>189</v>
      </c>
      <c r="AG7" s="52">
        <v>0.41269841269841268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48</v>
      </c>
      <c r="D8" s="47" t="s">
        <v>221</v>
      </c>
      <c r="E8" s="48">
        <v>-13.5</v>
      </c>
      <c r="F8" s="49" t="s">
        <v>189</v>
      </c>
      <c r="G8" s="61">
        <v>-0.65624999999999989</v>
      </c>
      <c r="H8" s="49" t="s">
        <v>211</v>
      </c>
      <c r="I8" s="53">
        <v>1541.223654027415</v>
      </c>
      <c r="J8" s="49" t="s">
        <v>126</v>
      </c>
      <c r="K8" s="50">
        <v>2.0222222222222221</v>
      </c>
      <c r="L8" s="49" t="s">
        <v>195</v>
      </c>
      <c r="M8" s="51">
        <v>0.33333333333333331</v>
      </c>
      <c r="N8" s="49" t="s">
        <v>126</v>
      </c>
      <c r="O8" s="51">
        <v>0.36296296296296299</v>
      </c>
      <c r="P8" s="49" t="s">
        <v>190</v>
      </c>
      <c r="Q8" s="52">
        <v>0.26479750778816197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163</v>
      </c>
      <c r="W8" s="53">
        <v>-7679.605263157895</v>
      </c>
      <c r="X8" s="49" t="s">
        <v>192</v>
      </c>
      <c r="Y8" s="51">
        <v>6.25E-2</v>
      </c>
      <c r="Z8" s="49" t="s">
        <v>259</v>
      </c>
      <c r="AA8" s="52">
        <v>0.24</v>
      </c>
      <c r="AB8" s="49" t="s">
        <v>139</v>
      </c>
      <c r="AC8" s="52">
        <v>0.22262952101661779</v>
      </c>
      <c r="AD8" s="49" t="s">
        <v>192</v>
      </c>
      <c r="AE8" s="52">
        <v>0.54700854700854706</v>
      </c>
      <c r="AF8" s="49" t="s">
        <v>139</v>
      </c>
      <c r="AG8" s="52">
        <v>0.40724478594950603</v>
      </c>
      <c r="AH8" s="49" t="s">
        <v>189</v>
      </c>
      <c r="AI8" s="52">
        <v>0.46875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189</v>
      </c>
      <c r="E9" s="48">
        <v>-31.499999999999993</v>
      </c>
      <c r="F9" s="49" t="s">
        <v>163</v>
      </c>
      <c r="G9" s="61">
        <v>-2.1428571428571428</v>
      </c>
      <c r="H9" s="49" t="s">
        <v>221</v>
      </c>
      <c r="I9" s="53">
        <v>1497.379788</v>
      </c>
      <c r="J9" s="49" t="s">
        <v>163</v>
      </c>
      <c r="K9" s="50">
        <v>2.0238095238095237</v>
      </c>
      <c r="L9" s="49" t="s">
        <v>163</v>
      </c>
      <c r="M9" s="51">
        <v>0.30952380952380953</v>
      </c>
      <c r="N9" s="49" t="s">
        <v>189</v>
      </c>
      <c r="O9" s="51">
        <v>0.39583333333333331</v>
      </c>
      <c r="P9" s="49" t="s">
        <v>163</v>
      </c>
      <c r="Q9" s="52">
        <v>0.26266666666666666</v>
      </c>
      <c r="R9" s="49" t="s">
        <v>195</v>
      </c>
      <c r="S9" s="52">
        <v>0.17307692307692307</v>
      </c>
      <c r="T9" s="49" t="s">
        <v>211</v>
      </c>
      <c r="U9" s="53">
        <v>7929.545454545455</v>
      </c>
      <c r="V9" s="49" t="s">
        <v>139</v>
      </c>
      <c r="W9" s="53">
        <v>-7687.9104477611936</v>
      </c>
      <c r="X9" s="49" t="s">
        <v>126</v>
      </c>
      <c r="Y9" s="51">
        <v>8.1481481481481488E-2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0.52626362735381571</v>
      </c>
      <c r="AF9" s="49" t="s">
        <v>221</v>
      </c>
      <c r="AG9" s="52">
        <v>0.4</v>
      </c>
      <c r="AH9" s="49" t="s">
        <v>126</v>
      </c>
      <c r="AI9" s="52">
        <v>0.4550561797752809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195</v>
      </c>
      <c r="C10" s="114">
        <v>24</v>
      </c>
      <c r="D10" s="47" t="s">
        <v>259</v>
      </c>
      <c r="E10" s="48">
        <v>-50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2.0833333333333335</v>
      </c>
      <c r="L10" s="49" t="s">
        <v>190</v>
      </c>
      <c r="M10" s="51">
        <v>0.29729729729729731</v>
      </c>
      <c r="N10" s="49" t="s">
        <v>195</v>
      </c>
      <c r="O10" s="51">
        <v>0.41666666666666669</v>
      </c>
      <c r="P10" s="49" t="s">
        <v>201</v>
      </c>
      <c r="Q10" s="52">
        <v>0.25</v>
      </c>
      <c r="R10" s="49" t="s">
        <v>126</v>
      </c>
      <c r="S10" s="52">
        <v>0.17341549295774647</v>
      </c>
      <c r="T10" s="49" t="s">
        <v>216</v>
      </c>
      <c r="U10" s="53">
        <v>7926.4705882352937</v>
      </c>
      <c r="V10" s="49" t="s">
        <v>216</v>
      </c>
      <c r="W10" s="53">
        <v>-7886.2068965517237</v>
      </c>
      <c r="X10" s="49" t="s">
        <v>189</v>
      </c>
      <c r="Y10" s="51">
        <v>8.3333333333333329E-2</v>
      </c>
      <c r="Z10" s="49" t="s">
        <v>211</v>
      </c>
      <c r="AA10" s="52">
        <v>0.22790697674418606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0.45177664974619292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216</v>
      </c>
      <c r="C11" s="114">
        <v>19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216</v>
      </c>
      <c r="O11" s="51">
        <v>0.42105263157894735</v>
      </c>
      <c r="P11" s="49" t="s">
        <v>259</v>
      </c>
      <c r="Q11" s="52">
        <v>0.24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189</v>
      </c>
      <c r="W11" s="53">
        <v>-8488.059701492537</v>
      </c>
      <c r="X11" s="49" t="s">
        <v>139</v>
      </c>
      <c r="Y11" s="51">
        <v>8.8050314465408799E-2</v>
      </c>
      <c r="Z11" s="49" t="s">
        <v>221</v>
      </c>
      <c r="AA11" s="52">
        <v>0.22222222222222221</v>
      </c>
      <c r="AB11" s="49" t="s">
        <v>126</v>
      </c>
      <c r="AC11" s="52">
        <v>0.20070422535211269</v>
      </c>
      <c r="AD11" s="49" t="s">
        <v>163</v>
      </c>
      <c r="AE11" s="52">
        <v>0.47867298578199052</v>
      </c>
      <c r="AF11" s="49" t="s">
        <v>163</v>
      </c>
      <c r="AG11" s="52">
        <v>0.33727810650887574</v>
      </c>
      <c r="AH11" s="49" t="s">
        <v>139</v>
      </c>
      <c r="AI11" s="52">
        <v>0.435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-9.0249999999999986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216</v>
      </c>
      <c r="Q12" s="52">
        <v>0.2361111111111111</v>
      </c>
      <c r="R12" s="49" t="s">
        <v>216</v>
      </c>
      <c r="S12" s="52">
        <v>0.2013888888888889</v>
      </c>
      <c r="T12" s="49" t="s">
        <v>189</v>
      </c>
      <c r="U12" s="53">
        <v>7529.6875</v>
      </c>
      <c r="V12" s="49" t="s">
        <v>195</v>
      </c>
      <c r="W12" s="53">
        <v>-8538.8888888888887</v>
      </c>
      <c r="X12" s="49" t="s">
        <v>216</v>
      </c>
      <c r="Y12" s="51">
        <v>0.10526315789473684</v>
      </c>
      <c r="Z12" s="49" t="s">
        <v>195</v>
      </c>
      <c r="AA12" s="52">
        <v>0.22115384615384615</v>
      </c>
      <c r="AB12" s="49" t="s">
        <v>190</v>
      </c>
      <c r="AC12" s="52">
        <v>0.19626168224299065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0.40151515151515149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1467.5565900800862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195</v>
      </c>
      <c r="Q13" s="52">
        <v>0.23076923076923078</v>
      </c>
      <c r="R13" s="49" t="s">
        <v>163</v>
      </c>
      <c r="S13" s="52">
        <v>0.20266666666666666</v>
      </c>
      <c r="T13" s="49" t="s">
        <v>192</v>
      </c>
      <c r="U13" s="53">
        <v>7403.7037037037035</v>
      </c>
      <c r="V13" s="49" t="s">
        <v>193</v>
      </c>
      <c r="W13" s="53">
        <v>-8875</v>
      </c>
      <c r="X13" s="49" t="s">
        <v>163</v>
      </c>
      <c r="Y13" s="51">
        <v>0.13095238095238096</v>
      </c>
      <c r="Z13" s="49" t="s">
        <v>192</v>
      </c>
      <c r="AA13" s="52">
        <v>0.21428571428571427</v>
      </c>
      <c r="AB13" s="49" t="s">
        <v>216</v>
      </c>
      <c r="AC13" s="52">
        <v>0.1736111111111111</v>
      </c>
      <c r="AD13" s="49" t="s">
        <v>189</v>
      </c>
      <c r="AE13" s="52">
        <v>0.45045045045045046</v>
      </c>
      <c r="AF13" s="49" t="s">
        <v>201</v>
      </c>
      <c r="AG13" s="52">
        <v>0.25</v>
      </c>
      <c r="AH13" s="49" t="s">
        <v>192</v>
      </c>
      <c r="AI13" s="52">
        <v>0.39153439153439151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-180</v>
      </c>
      <c r="F14" s="49" t="s">
        <v>259</v>
      </c>
      <c r="G14" s="61">
        <v>-16.666666666666668</v>
      </c>
      <c r="H14" s="49" t="s">
        <v>195</v>
      </c>
      <c r="I14" s="53">
        <v>1378.2238988271472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0.20833333333333334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259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195</v>
      </c>
      <c r="E15" s="48">
        <v>-216.59999999999997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0.11538461538461539</v>
      </c>
      <c r="AD15" s="49" t="s">
        <v>193</v>
      </c>
      <c r="AE15" s="52">
        <v>0.22222222222222221</v>
      </c>
      <c r="AF15" s="49" t="s">
        <v>195</v>
      </c>
      <c r="AG15" s="52">
        <v>0.20833333333333334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477</v>
      </c>
      <c r="C2" s="142"/>
      <c r="E2" s="26" t="s">
        <v>66</v>
      </c>
      <c r="F2" s="23" t="s">
        <v>22</v>
      </c>
      <c r="G2" s="11">
        <v>932</v>
      </c>
      <c r="H2" s="87">
        <f>IF(B$20=0,0,G2/B$20)</f>
        <v>0.77666666666666662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-33.755274261603375</v>
      </c>
      <c r="Q2" s="76">
        <v>474</v>
      </c>
      <c r="R2" s="63">
        <v>-16000</v>
      </c>
    </row>
    <row r="3" spans="1:18" x14ac:dyDescent="0.4">
      <c r="A3" s="19" t="s">
        <v>8</v>
      </c>
      <c r="B3" s="143">
        <v>4092</v>
      </c>
      <c r="C3" s="144"/>
      <c r="E3" s="27" t="s">
        <v>72</v>
      </c>
      <c r="F3" s="24" t="s">
        <v>27</v>
      </c>
      <c r="G3" s="12">
        <v>708</v>
      </c>
      <c r="H3" s="88">
        <f>IF(B$20=0,0,G3/B$20)</f>
        <v>0.59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8.6580086580086579</v>
      </c>
      <c r="Q3" s="77">
        <v>462</v>
      </c>
      <c r="R3" s="64">
        <v>4000</v>
      </c>
    </row>
    <row r="4" spans="1:18" x14ac:dyDescent="0.4">
      <c r="A4" s="19" t="s">
        <v>6</v>
      </c>
      <c r="B4" s="145">
        <v>5.1070259132757201E-14</v>
      </c>
      <c r="C4" s="146"/>
      <c r="E4" s="27" t="s">
        <v>64</v>
      </c>
      <c r="F4" s="24" t="s">
        <v>20</v>
      </c>
      <c r="G4" s="12">
        <v>515</v>
      </c>
      <c r="H4" s="88">
        <f>IF(B$20=0,0,G4/B$20)</f>
        <v>0.42916666666666664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8.6580086580086579</v>
      </c>
      <c r="Q4" s="77">
        <v>462</v>
      </c>
      <c r="R4" s="64">
        <v>4000</v>
      </c>
    </row>
    <row r="5" spans="1:18" x14ac:dyDescent="0.4">
      <c r="A5" s="19" t="s">
        <v>7</v>
      </c>
      <c r="B5" s="133">
        <f>IF(B$2=0,0,B$4/B$2)</f>
        <v>1.070655327730759E-16</v>
      </c>
      <c r="C5" s="134"/>
      <c r="E5" s="27" t="s">
        <v>159</v>
      </c>
      <c r="F5" s="24" t="s">
        <v>160</v>
      </c>
      <c r="G5" s="12">
        <v>486</v>
      </c>
      <c r="H5" s="88">
        <f>IF(B$20=0,0,G5/B$20)</f>
        <v>0.40500000000000003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-4.5662100456621006</v>
      </c>
      <c r="Q5" s="77">
        <v>438</v>
      </c>
      <c r="R5" s="64">
        <v>-2000</v>
      </c>
    </row>
    <row r="6" spans="1:18" x14ac:dyDescent="0.4">
      <c r="A6" s="19" t="s">
        <v>196</v>
      </c>
      <c r="B6" s="137">
        <v>1605.9357530057528</v>
      </c>
      <c r="C6" s="138"/>
      <c r="E6" s="27" t="s">
        <v>68</v>
      </c>
      <c r="F6" s="24" t="s">
        <v>12</v>
      </c>
      <c r="G6" s="12">
        <v>358</v>
      </c>
      <c r="H6" s="88">
        <f>IF(B$20=0,0,G6/B$20)</f>
        <v>0.29833333333333334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12.437810945273633</v>
      </c>
      <c r="Q6" s="77">
        <v>402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1.9979035639412999</v>
      </c>
      <c r="C7" s="148"/>
      <c r="E7" s="27" t="s">
        <v>67</v>
      </c>
      <c r="F7" s="24" t="s">
        <v>23</v>
      </c>
      <c r="G7" s="12">
        <v>276</v>
      </c>
      <c r="H7" s="88">
        <f>IF(B$20=0,0,G7/B$20)</f>
        <v>0.23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14.492753623188406</v>
      </c>
      <c r="Q7" s="78">
        <v>345</v>
      </c>
      <c r="R7" s="65">
        <v>5000</v>
      </c>
    </row>
    <row r="8" spans="1:18" x14ac:dyDescent="0.4">
      <c r="A8" s="19" t="s">
        <v>2</v>
      </c>
      <c r="B8" s="12">
        <v>160</v>
      </c>
      <c r="C8" s="6">
        <f t="shared" ref="C8:C15" si="1">IF(B$2=0,0,B8/B$2)</f>
        <v>0.33542976939203356</v>
      </c>
      <c r="E8" s="27" t="s">
        <v>69</v>
      </c>
      <c r="F8" s="24" t="s">
        <v>24</v>
      </c>
      <c r="G8" s="12">
        <v>162</v>
      </c>
      <c r="H8" s="88">
        <f>IF(B$20=0,0,G8/B$20)</f>
        <v>0.13500000000000001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158</v>
      </c>
      <c r="C9" s="6">
        <f t="shared" si="1"/>
        <v>0.33123689727463312</v>
      </c>
      <c r="E9" s="27" t="s">
        <v>89</v>
      </c>
      <c r="F9" s="24" t="s">
        <v>44</v>
      </c>
      <c r="G9" s="12">
        <v>161</v>
      </c>
      <c r="H9" s="88">
        <f>IF(B$20=0,0,G9/B$20)</f>
        <v>0.13416666666666666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159</v>
      </c>
      <c r="C10" s="7">
        <f t="shared" si="1"/>
        <v>0.33333333333333331</v>
      </c>
      <c r="E10" s="27" t="s">
        <v>70</v>
      </c>
      <c r="F10" s="24" t="s">
        <v>25</v>
      </c>
      <c r="G10" s="12">
        <v>123</v>
      </c>
      <c r="H10" s="88">
        <f>IF(B$20=0,0,G10/B$20)</f>
        <v>0.10249999999999999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3.3540880503144646</v>
      </c>
      <c r="Q10" s="76">
        <v>159</v>
      </c>
      <c r="R10" s="67">
        <v>533.29999999999984</v>
      </c>
    </row>
    <row r="11" spans="1:18" x14ac:dyDescent="0.4">
      <c r="A11" s="20" t="s">
        <v>184</v>
      </c>
      <c r="B11" s="109">
        <f>IF(B8=0,0,C11/B8)</f>
        <v>34.79187499999999</v>
      </c>
      <c r="C11" s="110">
        <v>5566.699999999998</v>
      </c>
      <c r="E11" s="27" t="s">
        <v>65</v>
      </c>
      <c r="F11" s="24" t="s">
        <v>21</v>
      </c>
      <c r="G11" s="12">
        <v>117</v>
      </c>
      <c r="H11" s="88">
        <f>IF(B$20=0,0,G11/B$20)</f>
        <v>9.7500000000000003E-2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-3.9339622641509435</v>
      </c>
      <c r="Q11" s="77">
        <v>159</v>
      </c>
      <c r="R11" s="68">
        <v>-625.5</v>
      </c>
    </row>
    <row r="12" spans="1:18" x14ac:dyDescent="0.4">
      <c r="A12" s="20" t="s">
        <v>185</v>
      </c>
      <c r="B12" s="109">
        <f>IF(B9=0,0,C12/B9)</f>
        <v>-1.0259493670886077</v>
      </c>
      <c r="C12" s="110">
        <v>-162.10000000000002</v>
      </c>
      <c r="E12" s="27" t="s">
        <v>71</v>
      </c>
      <c r="F12" s="24" t="s">
        <v>26</v>
      </c>
      <c r="G12" s="12">
        <v>76</v>
      </c>
      <c r="H12" s="88">
        <f>IF(B$20=0,0,G12/B$20)</f>
        <v>6.3333333333333339E-2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0.57987421383647819</v>
      </c>
      <c r="Q12" s="78">
        <v>159</v>
      </c>
      <c r="R12" s="69">
        <v>92.200000000000031</v>
      </c>
    </row>
    <row r="13" spans="1:18" x14ac:dyDescent="0.4">
      <c r="A13" s="20" t="s">
        <v>186</v>
      </c>
      <c r="B13" s="109">
        <f>IF(B10=0,0,C13/B10)</f>
        <v>-33.991194968553458</v>
      </c>
      <c r="C13" s="110">
        <v>-5404.5999999999995</v>
      </c>
      <c r="E13" s="27" t="s">
        <v>86</v>
      </c>
      <c r="F13" s="24" t="s">
        <v>41</v>
      </c>
      <c r="G13" s="12">
        <v>69</v>
      </c>
      <c r="H13" s="88">
        <f>IF(B$20=0,0,G13/B$20)</f>
        <v>5.7500000000000002E-2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-7.5089778547358321E-2</v>
      </c>
      <c r="C14" s="134"/>
      <c r="E14" s="27" t="s">
        <v>83</v>
      </c>
      <c r="F14" s="24" t="s">
        <v>38</v>
      </c>
      <c r="G14" s="12">
        <v>53</v>
      </c>
      <c r="H14" s="88">
        <f>IF(B$20=0,0,G14/B$20)</f>
        <v>4.4166666666666667E-2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42</v>
      </c>
      <c r="C15" s="9">
        <f t="shared" si="1"/>
        <v>8.8050314465408799E-2</v>
      </c>
      <c r="E15" s="27" t="s">
        <v>78</v>
      </c>
      <c r="F15" s="24" t="s">
        <v>33</v>
      </c>
      <c r="G15" s="12">
        <v>35</v>
      </c>
      <c r="H15" s="88">
        <f>IF(B$20=0,0,G15/B$20)</f>
        <v>2.9166666666666667E-2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1009</v>
      </c>
      <c r="C16" s="10">
        <f>IF(B$3=0,0,B16/B$3)</f>
        <v>0.24657869012707723</v>
      </c>
      <c r="E16" s="27" t="s">
        <v>81</v>
      </c>
      <c r="F16" s="24" t="s">
        <v>36</v>
      </c>
      <c r="G16" s="12">
        <v>35</v>
      </c>
      <c r="H16" s="88">
        <f>IF(B$20=0,0,G16/B$20)</f>
        <v>2.9166666666666667E-2</v>
      </c>
      <c r="I16" s="58">
        <v>8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911</v>
      </c>
      <c r="C17" s="6">
        <f>IF(B$3=0,0,B17/B$3)</f>
        <v>0.22262952101661779</v>
      </c>
      <c r="E17" s="27" t="s">
        <v>91</v>
      </c>
      <c r="F17" s="24" t="s">
        <v>46</v>
      </c>
      <c r="G17" s="12">
        <v>23</v>
      </c>
      <c r="H17" s="88">
        <f>IF(B$20=0,0,G17/B$20)</f>
        <v>1.9166666666666665E-2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531</v>
      </c>
      <c r="C18" s="5">
        <f>IF(B$16=0,0,B18/B$16)</f>
        <v>0.52626362735381571</v>
      </c>
      <c r="E18" s="27" t="s">
        <v>155</v>
      </c>
      <c r="F18" s="24" t="s">
        <v>156</v>
      </c>
      <c r="G18" s="12">
        <v>20</v>
      </c>
      <c r="H18" s="88">
        <f>IF(B$20=0,0,G18/B$20)</f>
        <v>1.6666666666666666E-2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13.5375</v>
      </c>
      <c r="Q18" s="77">
        <v>48</v>
      </c>
      <c r="R18" s="68">
        <v>649.79999999999995</v>
      </c>
    </row>
    <row r="19" spans="1:18" x14ac:dyDescent="0.4">
      <c r="A19" s="18" t="s">
        <v>124</v>
      </c>
      <c r="B19" s="11">
        <f>B25</f>
        <v>371</v>
      </c>
      <c r="C19" s="5">
        <f>IF(B$17=0,0,B19/B$17)</f>
        <v>0.40724478594950603</v>
      </c>
      <c r="E19" s="27" t="s">
        <v>79</v>
      </c>
      <c r="F19" s="24" t="s">
        <v>34</v>
      </c>
      <c r="G19" s="12">
        <v>15</v>
      </c>
      <c r="H19" s="88">
        <f>IF(B$20=0,0,G19/B$20)</f>
        <v>1.2500000000000001E-2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1200</v>
      </c>
      <c r="C20" s="5">
        <f>IF(B$3=0,0,B20/B$3)</f>
        <v>0.2932551319648094</v>
      </c>
      <c r="E20" s="27" t="s">
        <v>73</v>
      </c>
      <c r="F20" s="24" t="s">
        <v>28</v>
      </c>
      <c r="G20" s="12">
        <v>9</v>
      </c>
      <c r="H20" s="88">
        <f>IF(B$20=0,0,G20/B$20)</f>
        <v>7.4999999999999997E-3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670</v>
      </c>
      <c r="C21" s="6">
        <f>IF(B$3=0,0,B21/B$3)</f>
        <v>0.16373411534701857</v>
      </c>
      <c r="E21" s="27" t="s">
        <v>85</v>
      </c>
      <c r="F21" s="24" t="s">
        <v>40</v>
      </c>
      <c r="G21" s="12">
        <v>6</v>
      </c>
      <c r="H21" s="88">
        <f>IF(B$20=0,0,G21/B$20)</f>
        <v>5.0000000000000001E-3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3.2142857142857149</v>
      </c>
      <c r="Q21" s="77">
        <v>168</v>
      </c>
      <c r="R21" s="68">
        <v>540.00000000000011</v>
      </c>
    </row>
    <row r="22" spans="1:18" x14ac:dyDescent="0.4">
      <c r="A22" s="19" t="s">
        <v>12</v>
      </c>
      <c r="B22" s="12">
        <v>522</v>
      </c>
      <c r="C22" s="6">
        <f>IF(B$20=0,0,B22/B$20)</f>
        <v>0.435</v>
      </c>
      <c r="E22" s="27" t="s">
        <v>75</v>
      </c>
      <c r="F22" s="24" t="s">
        <v>30</v>
      </c>
      <c r="G22" s="12">
        <v>4</v>
      </c>
      <c r="H22" s="88">
        <f>IF(B$20=0,0,G22/B$20)</f>
        <v>3.3333333333333335E-3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0.984375</v>
      </c>
      <c r="Q22" s="77">
        <v>96</v>
      </c>
      <c r="R22" s="68">
        <v>94.5</v>
      </c>
    </row>
    <row r="23" spans="1:18" x14ac:dyDescent="0.4">
      <c r="A23" s="19" t="s">
        <v>11</v>
      </c>
      <c r="B23" s="12">
        <v>678</v>
      </c>
      <c r="C23" s="6">
        <f>IF(B$20=0,0,B23/B$20)</f>
        <v>0.56499999999999995</v>
      </c>
      <c r="E23" s="27" t="s">
        <v>77</v>
      </c>
      <c r="F23" s="24" t="s">
        <v>32</v>
      </c>
      <c r="G23" s="12">
        <v>4</v>
      </c>
      <c r="H23" s="88">
        <f>IF(B$20=0,0,G23/B$20)</f>
        <v>3.3333333333333335E-3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-1.1566666666666654</v>
      </c>
      <c r="Q23" s="77">
        <v>270</v>
      </c>
      <c r="R23" s="68">
        <v>-312.29999999999967</v>
      </c>
    </row>
    <row r="24" spans="1:18" x14ac:dyDescent="0.4">
      <c r="A24" s="19" t="s">
        <v>183</v>
      </c>
      <c r="B24" s="12">
        <v>531</v>
      </c>
      <c r="C24" s="6">
        <f>IF(B$20=0,0,B24/B$20)</f>
        <v>0.4425</v>
      </c>
      <c r="E24" s="27" t="s">
        <v>88</v>
      </c>
      <c r="F24" s="24" t="s">
        <v>43</v>
      </c>
      <c r="G24" s="12">
        <v>4</v>
      </c>
      <c r="H24" s="88">
        <f>IF(B$20=0,0,G24/B$20)</f>
        <v>3.3333333333333335E-3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371</v>
      </c>
      <c r="C25" s="6">
        <f>IF(B$20=0,0,B25/B$20)</f>
        <v>0.30916666666666665</v>
      </c>
      <c r="E25" s="27" t="s">
        <v>92</v>
      </c>
      <c r="F25" s="24" t="s">
        <v>47</v>
      </c>
      <c r="G25" s="12">
        <v>4</v>
      </c>
      <c r="H25" s="88">
        <f>IF(B$20=0,0,G25/B$20)</f>
        <v>3.3333333333333335E-3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-5.2411764705882344</v>
      </c>
      <c r="Q25" s="77">
        <v>102</v>
      </c>
      <c r="R25" s="68">
        <v>-534.59999999999991</v>
      </c>
    </row>
    <row r="26" spans="1:18" x14ac:dyDescent="0.4">
      <c r="A26" s="19" t="s">
        <v>182</v>
      </c>
      <c r="B26" s="12">
        <v>298</v>
      </c>
      <c r="C26" s="6">
        <f>IF(B$20=0,0,B26/B$20)</f>
        <v>0.24833333333333332</v>
      </c>
      <c r="E26" s="27" t="s">
        <v>90</v>
      </c>
      <c r="F26" s="24" t="s">
        <v>45</v>
      </c>
      <c r="G26" s="12">
        <v>3</v>
      </c>
      <c r="H26" s="88">
        <f>IF(B$20=0,0,G26/B$20)</f>
        <v>2.5000000000000001E-3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-9.7265625000000036</v>
      </c>
      <c r="Q26" s="77">
        <v>128</v>
      </c>
      <c r="R26" s="68">
        <v>-1245.0000000000005</v>
      </c>
    </row>
    <row r="27" spans="1:18" x14ac:dyDescent="0.4">
      <c r="A27" s="19" t="s">
        <v>5</v>
      </c>
      <c r="B27" s="16">
        <f>IF(B$20=0,0,C27/B$20)</f>
        <v>8177.333333333333</v>
      </c>
      <c r="C27" s="8">
        <v>9812800</v>
      </c>
      <c r="E27" s="27" t="s">
        <v>93</v>
      </c>
      <c r="F27" s="24" t="s">
        <v>48</v>
      </c>
      <c r="G27" s="12">
        <v>2</v>
      </c>
      <c r="H27" s="88">
        <f>IF(B$20=0,0,G27/B$20)</f>
        <v>1.6666666666666668E-3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8784.0772014475278</v>
      </c>
      <c r="C28" s="96">
        <v>7282000</v>
      </c>
      <c r="E28" s="27" t="s">
        <v>80</v>
      </c>
      <c r="F28" s="24" t="s">
        <v>35</v>
      </c>
      <c r="G28" s="12">
        <v>1</v>
      </c>
      <c r="H28" s="88">
        <f>IF(B$20=0,0,G28/B$20)</f>
        <v>8.3333333333333339E-4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6821.5633423180589</v>
      </c>
      <c r="C29" s="96">
        <v>2530800</v>
      </c>
      <c r="E29" s="27" t="s">
        <v>84</v>
      </c>
      <c r="F29" s="24" t="s">
        <v>39</v>
      </c>
      <c r="G29" s="12">
        <v>1</v>
      </c>
      <c r="H29" s="88">
        <f>IF(B$20=0,0,G29/B$20)</f>
        <v>8.3333333333333339E-4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-7687.9104477611936</v>
      </c>
      <c r="C30" s="96">
        <v>-5150900</v>
      </c>
      <c r="E30" s="27" t="s">
        <v>102</v>
      </c>
      <c r="F30" s="24" t="s">
        <v>57</v>
      </c>
      <c r="G30" s="12">
        <v>1</v>
      </c>
      <c r="H30" s="88">
        <f>IF(B$20=0,0,G30/B$20)</f>
        <v>8.3333333333333339E-4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8.3333333333333339E-4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4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1.7106549364613881E-3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86</v>
      </c>
      <c r="C37" s="98">
        <f t="shared" ref="C37:C49" si="2">IF(B$20=0,0,B37/B$20)</f>
        <v>7.166666666666667E-2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218</v>
      </c>
      <c r="C38" s="6">
        <f t="shared" si="2"/>
        <v>0.18166666666666667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235</v>
      </c>
      <c r="C39" s="6">
        <f t="shared" si="2"/>
        <v>0.19583333333333333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236</v>
      </c>
      <c r="C40" s="6">
        <f t="shared" si="2"/>
        <v>0.19666666666666666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179</v>
      </c>
      <c r="C41" s="6">
        <f t="shared" si="2"/>
        <v>0.14916666666666667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112</v>
      </c>
      <c r="C42" s="6">
        <f t="shared" si="2"/>
        <v>9.3333333333333338E-2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50</v>
      </c>
      <c r="C43" s="6">
        <f t="shared" si="2"/>
        <v>4.1666666666666664E-2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37</v>
      </c>
      <c r="C44" s="6">
        <f t="shared" si="2"/>
        <v>3.0833333333333334E-2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20</v>
      </c>
      <c r="C45" s="6">
        <f t="shared" si="2"/>
        <v>1.6666666666666666E-2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12</v>
      </c>
      <c r="C46" s="6">
        <f t="shared" si="2"/>
        <v>0.01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5</v>
      </c>
      <c r="C47" s="6">
        <f t="shared" si="2"/>
        <v>4.1666666666666666E-3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8.3333333333333339E-4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9</v>
      </c>
      <c r="C49" s="9">
        <f t="shared" si="2"/>
        <v>7.4999999999999997E-3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  <row r="453" spans="11:13" x14ac:dyDescent="0.4">
      <c r="K453" s="74">
        <v>451</v>
      </c>
      <c r="L453" s="119">
        <v>30.800000000000047</v>
      </c>
      <c r="M453" s="117">
        <v>1616.9311385103581</v>
      </c>
    </row>
    <row r="454" spans="11:13" x14ac:dyDescent="0.4">
      <c r="K454" s="74">
        <v>452</v>
      </c>
      <c r="L454" s="119">
        <v>33.400000000000048</v>
      </c>
      <c r="M454" s="117">
        <v>1617.4955516792959</v>
      </c>
    </row>
    <row r="455" spans="11:13" x14ac:dyDescent="0.4">
      <c r="K455" s="74">
        <v>453</v>
      </c>
      <c r="L455" s="119">
        <v>4.9737991503207013E-14</v>
      </c>
      <c r="M455" s="117">
        <v>1611.5765783692202</v>
      </c>
    </row>
    <row r="456" spans="11:13" x14ac:dyDescent="0.4">
      <c r="K456" s="74">
        <v>454</v>
      </c>
      <c r="L456" s="119">
        <v>26.900000000000048</v>
      </c>
      <c r="M456" s="117">
        <v>1616.1751188990049</v>
      </c>
    </row>
    <row r="457" spans="11:13" x14ac:dyDescent="0.4">
      <c r="K457" s="74">
        <v>455</v>
      </c>
      <c r="L457" s="119">
        <v>21.900000000000048</v>
      </c>
      <c r="M457" s="117">
        <v>1615.004068185611</v>
      </c>
    </row>
    <row r="458" spans="11:13" x14ac:dyDescent="0.4">
      <c r="K458" s="74">
        <v>456</v>
      </c>
      <c r="L458" s="119">
        <v>4.9737991503207013E-14</v>
      </c>
      <c r="M458" s="117">
        <v>1610.7980437764973</v>
      </c>
    </row>
    <row r="459" spans="11:13" x14ac:dyDescent="0.4">
      <c r="K459" s="74">
        <v>457</v>
      </c>
      <c r="L459" s="119">
        <v>57.00000000000005</v>
      </c>
      <c r="M459" s="117">
        <v>1620.8192555138382</v>
      </c>
    </row>
    <row r="460" spans="11:13" x14ac:dyDescent="0.4">
      <c r="K460" s="74">
        <v>458</v>
      </c>
      <c r="L460" s="119">
        <v>11.400000000000048</v>
      </c>
      <c r="M460" s="117">
        <v>1612.3123399807553</v>
      </c>
    </row>
    <row r="461" spans="11:13" x14ac:dyDescent="0.4">
      <c r="K461" s="74">
        <v>459</v>
      </c>
      <c r="L461" s="119">
        <v>4.7961634663806763E-14</v>
      </c>
      <c r="M461" s="117">
        <v>1610.0124659408707</v>
      </c>
    </row>
    <row r="462" spans="11:13" x14ac:dyDescent="0.4">
      <c r="K462" s="74">
        <v>460</v>
      </c>
      <c r="L462" s="119">
        <v>8.3000000000000487</v>
      </c>
      <c r="M462" s="117">
        <v>1611.2723911452256</v>
      </c>
    </row>
    <row r="463" spans="11:13" x14ac:dyDescent="0.4">
      <c r="K463" s="74">
        <v>461</v>
      </c>
      <c r="L463" s="119">
        <v>-27.899999999999956</v>
      </c>
      <c r="M463" s="117">
        <v>1604.5147567983543</v>
      </c>
    </row>
    <row r="464" spans="11:13" x14ac:dyDescent="0.4">
      <c r="K464" s="74">
        <v>462</v>
      </c>
      <c r="L464" s="119">
        <v>4.2632564145606011E-14</v>
      </c>
      <c r="M464" s="117">
        <v>1609.3356682575641</v>
      </c>
    </row>
    <row r="465" spans="11:13" x14ac:dyDescent="0.4">
      <c r="K465" s="74">
        <v>463</v>
      </c>
      <c r="L465" s="119">
        <v>2.6000000000000427</v>
      </c>
      <c r="M465" s="117">
        <v>1609.5736542480188</v>
      </c>
    </row>
    <row r="466" spans="11:13" x14ac:dyDescent="0.4">
      <c r="K466" s="74">
        <v>464</v>
      </c>
      <c r="L466" s="119">
        <v>23.200000000000045</v>
      </c>
      <c r="M466" s="117">
        <v>1613.0502123225306</v>
      </c>
    </row>
    <row r="467" spans="11:13" x14ac:dyDescent="0.4">
      <c r="K467" s="74">
        <v>465</v>
      </c>
      <c r="L467" s="119">
        <v>4.6185277824406512E-14</v>
      </c>
      <c r="M467" s="117">
        <v>1608.6219110485954</v>
      </c>
    </row>
    <row r="468" spans="11:13" x14ac:dyDescent="0.4">
      <c r="K468" s="74">
        <v>466</v>
      </c>
      <c r="L468" s="119">
        <v>-43.899999999999949</v>
      </c>
      <c r="M468" s="117">
        <v>1600.4941795823038</v>
      </c>
    </row>
    <row r="469" spans="11:13" x14ac:dyDescent="0.4">
      <c r="K469" s="74">
        <v>467</v>
      </c>
      <c r="L469" s="119">
        <v>-35.399999999999949</v>
      </c>
      <c r="M469" s="117">
        <v>1601.8472145048099</v>
      </c>
    </row>
    <row r="470" spans="11:13" x14ac:dyDescent="0.4">
      <c r="K470" s="74">
        <v>468</v>
      </c>
      <c r="L470" s="119">
        <v>4.9737991503207013E-14</v>
      </c>
      <c r="M470" s="117">
        <v>1608.0341312177811</v>
      </c>
    </row>
    <row r="471" spans="11:13" x14ac:dyDescent="0.4">
      <c r="K471" s="74">
        <v>469</v>
      </c>
      <c r="L471" s="119">
        <v>75.700000000000045</v>
      </c>
      <c r="M471" s="117">
        <v>1621.4379264304744</v>
      </c>
    </row>
    <row r="472" spans="11:13" x14ac:dyDescent="0.4">
      <c r="K472" s="74">
        <v>470</v>
      </c>
      <c r="L472" s="119">
        <v>8.9000000000000483</v>
      </c>
      <c r="M472" s="117">
        <v>1609.1112988718914</v>
      </c>
    </row>
    <row r="473" spans="11:13" x14ac:dyDescent="0.4">
      <c r="K473" s="74">
        <v>471</v>
      </c>
      <c r="L473" s="119">
        <v>4.7961634663806763E-14</v>
      </c>
      <c r="M473" s="117">
        <v>1607.28063107866</v>
      </c>
    </row>
    <row r="474" spans="11:13" x14ac:dyDescent="0.4">
      <c r="K474" s="74">
        <v>472</v>
      </c>
      <c r="L474" s="119">
        <v>29.50000000000005</v>
      </c>
      <c r="M474" s="117">
        <v>1612.372947292188</v>
      </c>
    </row>
    <row r="475" spans="11:13" x14ac:dyDescent="0.4">
      <c r="K475" s="74">
        <v>473</v>
      </c>
      <c r="L475" s="119">
        <v>39.00000000000005</v>
      </c>
      <c r="M475" s="117">
        <v>1613.8347096084349</v>
      </c>
    </row>
    <row r="476" spans="11:13" x14ac:dyDescent="0.4">
      <c r="K476" s="74">
        <v>474</v>
      </c>
      <c r="L476" s="119">
        <v>4.9737991503207013E-14</v>
      </c>
      <c r="M476" s="117">
        <v>1606.5577013507843</v>
      </c>
    </row>
    <row r="477" spans="11:13" x14ac:dyDescent="0.4">
      <c r="K477" s="74">
        <v>475</v>
      </c>
      <c r="L477" s="119">
        <v>-16.399999999999949</v>
      </c>
      <c r="M477" s="117">
        <v>1603.3923551426797</v>
      </c>
    </row>
    <row r="478" spans="11:13" x14ac:dyDescent="0.4">
      <c r="K478" s="74">
        <v>476</v>
      </c>
      <c r="L478" s="119">
        <v>3.1000000000000512</v>
      </c>
      <c r="M478" s="117">
        <v>1606.7080010118236</v>
      </c>
    </row>
    <row r="479" spans="11:13" x14ac:dyDescent="0.4">
      <c r="K479" s="74">
        <v>477</v>
      </c>
      <c r="L479" s="119">
        <v>5.1070259132757201E-14</v>
      </c>
      <c r="M479" s="117">
        <v>1605.9357530057528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3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135</v>
      </c>
      <c r="C2" s="142"/>
      <c r="E2" s="26" t="s">
        <v>66</v>
      </c>
      <c r="F2" s="23" t="s">
        <v>22</v>
      </c>
      <c r="G2" s="11">
        <v>269</v>
      </c>
      <c r="H2" s="87">
        <f>IF(B$20=0,0,G2/B$20)</f>
        <v>0.7556179775280899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455.97014925373134</v>
      </c>
      <c r="Q2" s="76">
        <v>134</v>
      </c>
      <c r="R2" s="63">
        <v>61100</v>
      </c>
    </row>
    <row r="3" spans="1:18" x14ac:dyDescent="0.4">
      <c r="A3" s="19" t="s">
        <v>8</v>
      </c>
      <c r="B3" s="143">
        <v>1136</v>
      </c>
      <c r="C3" s="144"/>
      <c r="E3" s="27" t="s">
        <v>72</v>
      </c>
      <c r="F3" s="24" t="s">
        <v>27</v>
      </c>
      <c r="G3" s="12">
        <v>193</v>
      </c>
      <c r="H3" s="88">
        <f>IF(B$20=0,0,G3/B$20)</f>
        <v>0.5421348314606742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-515.38461538461536</v>
      </c>
      <c r="Q3" s="77">
        <v>130</v>
      </c>
      <c r="R3" s="64">
        <v>-67000</v>
      </c>
    </row>
    <row r="4" spans="1:18" x14ac:dyDescent="0.4">
      <c r="A4" s="19" t="s">
        <v>6</v>
      </c>
      <c r="B4" s="145">
        <v>104.09999999999988</v>
      </c>
      <c r="C4" s="146"/>
      <c r="E4" s="27" t="s">
        <v>64</v>
      </c>
      <c r="F4" s="24" t="s">
        <v>20</v>
      </c>
      <c r="G4" s="12">
        <v>149</v>
      </c>
      <c r="H4" s="88">
        <f>IF(B$20=0,0,G4/B$20)</f>
        <v>0.41853932584269665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-1771.5384615384614</v>
      </c>
      <c r="Q4" s="77">
        <v>130</v>
      </c>
      <c r="R4" s="64">
        <v>-230300</v>
      </c>
    </row>
    <row r="5" spans="1:18" x14ac:dyDescent="0.4">
      <c r="A5" s="19" t="s">
        <v>7</v>
      </c>
      <c r="B5" s="133">
        <f>IF(B$2=0,0,B$4/B$2)</f>
        <v>0.77111111111111019</v>
      </c>
      <c r="C5" s="134"/>
      <c r="E5" s="27" t="s">
        <v>159</v>
      </c>
      <c r="F5" s="24" t="s">
        <v>160</v>
      </c>
      <c r="G5" s="12">
        <v>139</v>
      </c>
      <c r="H5" s="88">
        <f>IF(B$20=0,0,G5/B$20)</f>
        <v>0.3904494382022472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1137.0967741935483</v>
      </c>
      <c r="Q5" s="77">
        <v>124</v>
      </c>
      <c r="R5" s="64">
        <v>141000</v>
      </c>
    </row>
    <row r="6" spans="1:18" x14ac:dyDescent="0.4">
      <c r="A6" s="19" t="s">
        <v>196</v>
      </c>
      <c r="B6" s="137">
        <v>1725.1125558476751</v>
      </c>
      <c r="C6" s="138"/>
      <c r="E6" s="27" t="s">
        <v>68</v>
      </c>
      <c r="F6" s="24" t="s">
        <v>12</v>
      </c>
      <c r="G6" s="12">
        <v>111</v>
      </c>
      <c r="H6" s="88">
        <f>IF(B$20=0,0,G6/B$20)</f>
        <v>0.31179775280898875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860.17699115044252</v>
      </c>
      <c r="Q6" s="77">
        <v>113</v>
      </c>
      <c r="R6" s="64">
        <v>97200</v>
      </c>
    </row>
    <row r="7" spans="1:18" x14ac:dyDescent="0.4">
      <c r="A7" s="19" t="s">
        <v>1</v>
      </c>
      <c r="B7" s="147">
        <f>IF(B$2=0,0,(B$8*1+B$9*2+B$10*3)/B$2)</f>
        <v>2.0222222222222221</v>
      </c>
      <c r="C7" s="148"/>
      <c r="E7" s="27" t="s">
        <v>67</v>
      </c>
      <c r="F7" s="24" t="s">
        <v>23</v>
      </c>
      <c r="G7" s="12">
        <v>75</v>
      </c>
      <c r="H7" s="88">
        <f>IF(B$20=0,0,G7/B$20)</f>
        <v>0.21067415730337077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504.12371134020617</v>
      </c>
      <c r="Q7" s="78">
        <v>97</v>
      </c>
      <c r="R7" s="65">
        <v>48900</v>
      </c>
    </row>
    <row r="8" spans="1:18" x14ac:dyDescent="0.4">
      <c r="A8" s="19" t="s">
        <v>2</v>
      </c>
      <c r="B8" s="12">
        <v>46</v>
      </c>
      <c r="C8" s="6">
        <f t="shared" ref="C8:C15" si="1">IF(B$2=0,0,B8/B$2)</f>
        <v>0.34074074074074073</v>
      </c>
      <c r="E8" s="27" t="s">
        <v>69</v>
      </c>
      <c r="F8" s="24" t="s">
        <v>24</v>
      </c>
      <c r="G8" s="12">
        <v>58</v>
      </c>
      <c r="H8" s="88">
        <f>IF(B$20=0,0,G8/B$20)</f>
        <v>0.16292134831460675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40</v>
      </c>
      <c r="C9" s="6">
        <f t="shared" si="1"/>
        <v>0.29629629629629628</v>
      </c>
      <c r="E9" s="27" t="s">
        <v>70</v>
      </c>
      <c r="F9" s="24" t="s">
        <v>25</v>
      </c>
      <c r="G9" s="12">
        <v>46</v>
      </c>
      <c r="H9" s="88">
        <f>IF(B$20=0,0,G9/B$20)</f>
        <v>0.12921348314606743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49</v>
      </c>
      <c r="C10" s="7">
        <f t="shared" si="1"/>
        <v>0.36296296296296299</v>
      </c>
      <c r="E10" s="27" t="s">
        <v>89</v>
      </c>
      <c r="F10" s="24" t="s">
        <v>44</v>
      </c>
      <c r="G10" s="12">
        <v>44</v>
      </c>
      <c r="H10" s="88">
        <f>IF(B$20=0,0,G10/B$20)</f>
        <v>0.12359550561797752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6.8020833333333321</v>
      </c>
      <c r="Q10" s="76">
        <v>48</v>
      </c>
      <c r="R10" s="67">
        <v>326.49999999999994</v>
      </c>
    </row>
    <row r="11" spans="1:18" x14ac:dyDescent="0.4">
      <c r="A11" s="20" t="s">
        <v>184</v>
      </c>
      <c r="B11" s="109">
        <f>IF(B8=0,0,C11/B8)</f>
        <v>37.456521739130444</v>
      </c>
      <c r="C11" s="110">
        <v>1723.0000000000005</v>
      </c>
      <c r="E11" s="27" t="s">
        <v>65</v>
      </c>
      <c r="F11" s="24" t="s">
        <v>21</v>
      </c>
      <c r="G11" s="12">
        <v>31</v>
      </c>
      <c r="H11" s="88">
        <f>IF(B$20=0,0,G11/B$20)</f>
        <v>8.7078651685393263E-2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-7.8311111111111122</v>
      </c>
      <c r="Q11" s="77">
        <v>45</v>
      </c>
      <c r="R11" s="68">
        <v>-352.40000000000003</v>
      </c>
    </row>
    <row r="12" spans="1:18" x14ac:dyDescent="0.4">
      <c r="A12" s="20" t="s">
        <v>185</v>
      </c>
      <c r="B12" s="109">
        <f>IF(B9=0,0,C12/B9)</f>
        <v>-2.0449999999999999</v>
      </c>
      <c r="C12" s="110">
        <v>-81.8</v>
      </c>
      <c r="E12" s="27" t="s">
        <v>86</v>
      </c>
      <c r="F12" s="24" t="s">
        <v>41</v>
      </c>
      <c r="G12" s="12">
        <v>24</v>
      </c>
      <c r="H12" s="88">
        <f>IF(B$20=0,0,G12/B$20)</f>
        <v>6.741573033707865E-2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3.0952380952380958</v>
      </c>
      <c r="Q12" s="78">
        <v>42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-31.369387755102043</v>
      </c>
      <c r="C13" s="110">
        <v>-1537.1000000000001</v>
      </c>
      <c r="E13" s="27" t="s">
        <v>83</v>
      </c>
      <c r="F13" s="24" t="s">
        <v>38</v>
      </c>
      <c r="G13" s="12">
        <v>16</v>
      </c>
      <c r="H13" s="88">
        <f>IF(B$20=0,0,G13/B$20)</f>
        <v>4.49438202247191E-2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1.3473779946761333</v>
      </c>
      <c r="C14" s="134"/>
      <c r="E14" s="27" t="s">
        <v>71</v>
      </c>
      <c r="F14" s="24" t="s">
        <v>26</v>
      </c>
      <c r="G14" s="12">
        <v>14</v>
      </c>
      <c r="H14" s="88">
        <f>IF(B$20=0,0,G14/B$20)</f>
        <v>3.9325842696629212E-2</v>
      </c>
      <c r="I14" s="58">
        <v>10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8.1481481481481488E-2</v>
      </c>
      <c r="E15" s="27" t="s">
        <v>155</v>
      </c>
      <c r="F15" s="24" t="s">
        <v>156</v>
      </c>
      <c r="G15" s="12">
        <v>12</v>
      </c>
      <c r="H15" s="88">
        <f>IF(B$20=0,0,G15/B$20)</f>
        <v>3.3707865168539325E-2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283</v>
      </c>
      <c r="C16" s="10">
        <f>IF(B$3=0,0,B16/B$3)</f>
        <v>0.24911971830985916</v>
      </c>
      <c r="E16" s="27" t="s">
        <v>78</v>
      </c>
      <c r="F16" s="24" t="s">
        <v>33</v>
      </c>
      <c r="G16" s="12">
        <v>10</v>
      </c>
      <c r="H16" s="88">
        <f>IF(B$20=0,0,G16/B$20)</f>
        <v>2.8089887640449437E-2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228</v>
      </c>
      <c r="C17" s="6">
        <f>IF(B$3=0,0,B17/B$3)</f>
        <v>0.20070422535211269</v>
      </c>
      <c r="E17" s="27" t="s">
        <v>91</v>
      </c>
      <c r="F17" s="24" t="s">
        <v>46</v>
      </c>
      <c r="G17" s="12">
        <v>9</v>
      </c>
      <c r="H17" s="88">
        <f>IF(B$20=0,0,G17/B$20)</f>
        <v>2.5280898876404494E-2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158</v>
      </c>
      <c r="C18" s="5">
        <f>IF(B$16=0,0,B18/B$16)</f>
        <v>0.55830388692579502</v>
      </c>
      <c r="E18" s="27" t="s">
        <v>81</v>
      </c>
      <c r="F18" s="24" t="s">
        <v>36</v>
      </c>
      <c r="G18" s="12">
        <v>6</v>
      </c>
      <c r="H18" s="88">
        <f>IF(B$20=0,0,G18/B$20)</f>
        <v>1.6853932584269662E-2</v>
      </c>
      <c r="I18" s="58">
        <v>12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10.278947368421054</v>
      </c>
      <c r="Q18" s="77">
        <v>19</v>
      </c>
      <c r="R18" s="68">
        <v>195.30000000000004</v>
      </c>
    </row>
    <row r="19" spans="1:18" x14ac:dyDescent="0.4">
      <c r="A19" s="18" t="s">
        <v>124</v>
      </c>
      <c r="B19" s="11">
        <f>B25</f>
        <v>106</v>
      </c>
      <c r="C19" s="5">
        <f>IF(B$17=0,0,B19/B$17)</f>
        <v>0.46491228070175439</v>
      </c>
      <c r="E19" s="27" t="s">
        <v>79</v>
      </c>
      <c r="F19" s="24" t="s">
        <v>34</v>
      </c>
      <c r="G19" s="12">
        <v>5</v>
      </c>
      <c r="H19" s="88">
        <f>IF(B$20=0,0,G19/B$20)</f>
        <v>1.4044943820224719E-2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6.1958333333333337</v>
      </c>
      <c r="Q19" s="77">
        <v>72</v>
      </c>
      <c r="R19" s="68">
        <v>446.1</v>
      </c>
    </row>
    <row r="20" spans="1:18" x14ac:dyDescent="0.4">
      <c r="A20" s="18" t="s">
        <v>10</v>
      </c>
      <c r="B20" s="11">
        <f>B23+B22</f>
        <v>356</v>
      </c>
      <c r="C20" s="5">
        <f>IF(B$3=0,0,B20/B$3)</f>
        <v>0.31338028169014087</v>
      </c>
      <c r="E20" s="27" t="s">
        <v>73</v>
      </c>
      <c r="F20" s="24" t="s">
        <v>28</v>
      </c>
      <c r="G20" s="12">
        <v>3</v>
      </c>
      <c r="H20" s="88">
        <f>IF(B$20=0,0,G20/B$20)</f>
        <v>8.4269662921348312E-3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197</v>
      </c>
      <c r="C21" s="6">
        <f>IF(B$3=0,0,B21/B$3)</f>
        <v>0.17341549295774647</v>
      </c>
      <c r="E21" s="27" t="s">
        <v>85</v>
      </c>
      <c r="F21" s="24" t="s">
        <v>40</v>
      </c>
      <c r="G21" s="12">
        <v>3</v>
      </c>
      <c r="H21" s="88">
        <f>IF(B$20=0,0,G21/B$20)</f>
        <v>8.4269662921348312E-3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-0.82903225806451564</v>
      </c>
      <c r="Q21" s="77">
        <v>31</v>
      </c>
      <c r="R21" s="68">
        <v>-25.699999999999985</v>
      </c>
    </row>
    <row r="22" spans="1:18" x14ac:dyDescent="0.4">
      <c r="A22" s="19" t="s">
        <v>12</v>
      </c>
      <c r="B22" s="12">
        <v>162</v>
      </c>
      <c r="C22" s="6">
        <f>IF(B$20=0,0,B22/B$20)</f>
        <v>0.4550561797752809</v>
      </c>
      <c r="E22" s="27" t="s">
        <v>75</v>
      </c>
      <c r="F22" s="24" t="s">
        <v>30</v>
      </c>
      <c r="G22" s="12">
        <v>2</v>
      </c>
      <c r="H22" s="88">
        <f>IF(B$20=0,0,G22/B$20)</f>
        <v>5.6179775280898875E-3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211</v>
      </c>
      <c r="P22" s="83">
        <f>IF(Q22=0,0,R22/Q22)</f>
        <v>-3.0419354838709682</v>
      </c>
      <c r="Q22" s="77">
        <v>31</v>
      </c>
      <c r="R22" s="68">
        <v>-94.300000000000011</v>
      </c>
    </row>
    <row r="23" spans="1:18" x14ac:dyDescent="0.4">
      <c r="A23" s="19" t="s">
        <v>11</v>
      </c>
      <c r="B23" s="12">
        <v>194</v>
      </c>
      <c r="C23" s="6">
        <f>IF(B$20=0,0,B23/B$20)</f>
        <v>0.5449438202247191</v>
      </c>
      <c r="E23" s="27" t="s">
        <v>92</v>
      </c>
      <c r="F23" s="24" t="s">
        <v>47</v>
      </c>
      <c r="G23" s="12">
        <v>2</v>
      </c>
      <c r="H23" s="88">
        <f>IF(B$20=0,0,G23/B$20)</f>
        <v>5.6179775280898875E-3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189</v>
      </c>
      <c r="P23" s="83">
        <f>IF(Q23=0,0,R23/Q23)</f>
        <v>-3.4119047619047622</v>
      </c>
      <c r="Q23" s="77">
        <v>42</v>
      </c>
      <c r="R23" s="68">
        <v>-143.30000000000001</v>
      </c>
    </row>
    <row r="24" spans="1:18" x14ac:dyDescent="0.4">
      <c r="A24" s="19" t="s">
        <v>183</v>
      </c>
      <c r="B24" s="12">
        <v>158</v>
      </c>
      <c r="C24" s="6">
        <f>IF(B$20=0,0,B24/B$20)</f>
        <v>0.4438202247191011</v>
      </c>
      <c r="E24" s="27" t="s">
        <v>80</v>
      </c>
      <c r="F24" s="24" t="s">
        <v>35</v>
      </c>
      <c r="G24" s="12">
        <v>1</v>
      </c>
      <c r="H24" s="88">
        <f>IF(B$20=0,0,G24/B$20)</f>
        <v>2.8089887640449437E-3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-6.8464285714285733</v>
      </c>
      <c r="Q24" s="77">
        <v>56</v>
      </c>
      <c r="R24" s="68">
        <v>-383.40000000000009</v>
      </c>
    </row>
    <row r="25" spans="1:18" x14ac:dyDescent="0.4">
      <c r="A25" s="19" t="s">
        <v>181</v>
      </c>
      <c r="B25" s="12">
        <v>106</v>
      </c>
      <c r="C25" s="6">
        <f>IF(B$20=0,0,B25/B$20)</f>
        <v>0.29775280898876405</v>
      </c>
      <c r="E25" s="27" t="s">
        <v>84</v>
      </c>
      <c r="F25" s="24" t="s">
        <v>39</v>
      </c>
      <c r="G25" s="12">
        <v>1</v>
      </c>
      <c r="H25" s="88">
        <f>IF(B$20=0,0,G25/B$20)</f>
        <v>2.8089887640449437E-3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92</v>
      </c>
      <c r="C26" s="6">
        <f>IF(B$20=0,0,B26/B$20)</f>
        <v>0.25842696629213485</v>
      </c>
      <c r="E26" s="27" t="s">
        <v>88</v>
      </c>
      <c r="F26" s="24" t="s">
        <v>43</v>
      </c>
      <c r="G26" s="12">
        <v>1</v>
      </c>
      <c r="H26" s="88">
        <f>IF(B$20=0,0,G26/B$20)</f>
        <v>2.8089887640449437E-3</v>
      </c>
      <c r="I26" s="58">
        <v>5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8188.2022471910113</v>
      </c>
      <c r="C27" s="8">
        <v>2915000</v>
      </c>
      <c r="E27" s="27" t="s">
        <v>90</v>
      </c>
      <c r="F27" s="24" t="s">
        <v>45</v>
      </c>
      <c r="G27" s="12">
        <v>1</v>
      </c>
      <c r="H27" s="88">
        <f>IF(B$20=0,0,G27/B$20)</f>
        <v>2.8089887640449437E-3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8460.7999999999993</v>
      </c>
      <c r="C28" s="96">
        <v>2115200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7545.2830188679245</v>
      </c>
      <c r="C29" s="96">
        <v>799800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-7534.5177664974617</v>
      </c>
      <c r="C30" s="96">
        <v>-1484300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31</v>
      </c>
      <c r="C32" s="90">
        <v>4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8.8028169014084509E-4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22</v>
      </c>
      <c r="C37" s="98">
        <f t="shared" ref="C37:C49" si="2">IF(B$20=0,0,B37/B$20)</f>
        <v>6.1797752808988762E-2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68</v>
      </c>
      <c r="C38" s="6">
        <f t="shared" si="2"/>
        <v>0.19101123595505617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69</v>
      </c>
      <c r="C39" s="6">
        <f t="shared" si="2"/>
        <v>0.19382022471910113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69</v>
      </c>
      <c r="C40" s="6">
        <f t="shared" si="2"/>
        <v>0.19382022471910113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57</v>
      </c>
      <c r="C41" s="6">
        <f t="shared" si="2"/>
        <v>0.1601123595505618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41</v>
      </c>
      <c r="C42" s="6">
        <f t="shared" si="2"/>
        <v>0.1151685393258427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12</v>
      </c>
      <c r="C43" s="6">
        <f t="shared" si="2"/>
        <v>3.3707865168539325E-2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7</v>
      </c>
      <c r="C44" s="6">
        <f t="shared" si="2"/>
        <v>1.9662921348314606E-2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1.4044943820224719E-2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5.6179775280898875E-3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2.8089887640449437E-3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2.8089887640449437E-3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2</v>
      </c>
      <c r="C49" s="9">
        <f t="shared" si="2"/>
        <v>5.6179775280898875E-3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  <row r="129" spans="11:13" x14ac:dyDescent="0.4">
      <c r="K129" s="74">
        <v>127</v>
      </c>
      <c r="L129" s="119">
        <v>148.2999999999999</v>
      </c>
      <c r="M129" s="117">
        <v>1740.9224663935174</v>
      </c>
    </row>
    <row r="130" spans="11:13" x14ac:dyDescent="0.4">
      <c r="K130" s="74">
        <v>128</v>
      </c>
      <c r="L130" s="119">
        <v>126.39999999999989</v>
      </c>
      <c r="M130" s="117">
        <v>1735.9609315951564</v>
      </c>
    </row>
    <row r="131" spans="11:13" x14ac:dyDescent="0.4">
      <c r="K131" s="74">
        <v>129</v>
      </c>
      <c r="L131" s="119">
        <v>114.99999999999989</v>
      </c>
      <c r="M131" s="117">
        <v>1732.9191660055853</v>
      </c>
    </row>
    <row r="132" spans="11:13" x14ac:dyDescent="0.4">
      <c r="K132" s="74">
        <v>130</v>
      </c>
      <c r="L132" s="119">
        <v>142.89999999999989</v>
      </c>
      <c r="M132" s="117">
        <v>1736.9696510095519</v>
      </c>
    </row>
    <row r="133" spans="11:13" x14ac:dyDescent="0.4">
      <c r="K133" s="74">
        <v>131</v>
      </c>
      <c r="L133" s="119">
        <v>119.69999999999989</v>
      </c>
      <c r="M133" s="117">
        <v>1731.7978331034944</v>
      </c>
    </row>
    <row r="134" spans="11:13" x14ac:dyDescent="0.4">
      <c r="K134" s="74">
        <v>132</v>
      </c>
      <c r="L134" s="119">
        <v>155.09999999999988</v>
      </c>
      <c r="M134" s="117">
        <v>1737.2050461048734</v>
      </c>
    </row>
    <row r="135" spans="11:13" x14ac:dyDescent="0.4">
      <c r="K135" s="74">
        <v>133</v>
      </c>
      <c r="L135" s="119">
        <v>146.19999999999987</v>
      </c>
      <c r="M135" s="117">
        <v>1734.6058158282442</v>
      </c>
    </row>
    <row r="136" spans="11:13" x14ac:dyDescent="0.4">
      <c r="K136" s="74">
        <v>134</v>
      </c>
      <c r="L136" s="119">
        <v>107.19999999999987</v>
      </c>
      <c r="M136" s="117">
        <v>1726.6041809332748</v>
      </c>
    </row>
    <row r="137" spans="11:13" x14ac:dyDescent="0.4">
      <c r="K137" s="74">
        <v>135</v>
      </c>
      <c r="L137" s="119">
        <v>104.09999999999988</v>
      </c>
      <c r="M137" s="117">
        <v>1725.1125558476751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84</v>
      </c>
      <c r="C2" s="142"/>
      <c r="E2" s="26" t="s">
        <v>66</v>
      </c>
      <c r="F2" s="23" t="s">
        <v>22</v>
      </c>
      <c r="G2" s="11">
        <v>193</v>
      </c>
      <c r="H2" s="87">
        <f>IF(B$20=0,0,G2/B$20)</f>
        <v>0.97969543147208127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1172.6190476190477</v>
      </c>
      <c r="Q2" s="76">
        <v>84</v>
      </c>
      <c r="R2" s="63">
        <v>98500</v>
      </c>
    </row>
    <row r="3" spans="1:18" x14ac:dyDescent="0.4">
      <c r="A3" s="19" t="s">
        <v>8</v>
      </c>
      <c r="B3" s="143">
        <v>750</v>
      </c>
      <c r="C3" s="144"/>
      <c r="E3" s="27" t="s">
        <v>72</v>
      </c>
      <c r="F3" s="24" t="s">
        <v>27</v>
      </c>
      <c r="G3" s="12">
        <v>128</v>
      </c>
      <c r="H3" s="88">
        <f>IF(B$20=0,0,G3/B$20)</f>
        <v>0.64974619289340096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-256.09756097560978</v>
      </c>
      <c r="Q3" s="77">
        <v>82</v>
      </c>
      <c r="R3" s="64">
        <v>-21000</v>
      </c>
    </row>
    <row r="4" spans="1:18" x14ac:dyDescent="0.4">
      <c r="A4" s="19" t="s">
        <v>6</v>
      </c>
      <c r="B4" s="145">
        <v>-180</v>
      </c>
      <c r="C4" s="146"/>
      <c r="E4" s="27" t="s">
        <v>64</v>
      </c>
      <c r="F4" s="24" t="s">
        <v>20</v>
      </c>
      <c r="G4" s="12">
        <v>95</v>
      </c>
      <c r="H4" s="88">
        <f>IF(B$20=0,0,G4/B$20)</f>
        <v>0.48223350253807107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-609.7560975609756</v>
      </c>
      <c r="Q4" s="77">
        <v>82</v>
      </c>
      <c r="R4" s="64">
        <v>-50000</v>
      </c>
    </row>
    <row r="5" spans="1:18" x14ac:dyDescent="0.4">
      <c r="A5" s="19" t="s">
        <v>7</v>
      </c>
      <c r="B5" s="133">
        <f>IF(B$2=0,0,B$4/B$2)</f>
        <v>-2.1428571428571428</v>
      </c>
      <c r="C5" s="134"/>
      <c r="E5" s="27" t="s">
        <v>159</v>
      </c>
      <c r="F5" s="24" t="s">
        <v>160</v>
      </c>
      <c r="G5" s="12">
        <v>77</v>
      </c>
      <c r="H5" s="88">
        <f>IF(B$20=0,0,G5/B$20)</f>
        <v>0.39086294416243655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-205.0632911392405</v>
      </c>
      <c r="Q5" s="77">
        <v>79</v>
      </c>
      <c r="R5" s="64">
        <v>-16200</v>
      </c>
    </row>
    <row r="6" spans="1:18" x14ac:dyDescent="0.4">
      <c r="A6" s="19" t="s">
        <v>196</v>
      </c>
      <c r="B6" s="137">
        <v>1616.7273241326677</v>
      </c>
      <c r="C6" s="138"/>
      <c r="E6" s="27" t="s">
        <v>68</v>
      </c>
      <c r="F6" s="24" t="s">
        <v>12</v>
      </c>
      <c r="G6" s="12">
        <v>66</v>
      </c>
      <c r="H6" s="88">
        <f>IF(B$20=0,0,G6/B$20)</f>
        <v>0.3350253807106599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-216.66666666666666</v>
      </c>
      <c r="Q6" s="77">
        <v>72</v>
      </c>
      <c r="R6" s="64">
        <v>-15600</v>
      </c>
    </row>
    <row r="7" spans="1:18" x14ac:dyDescent="0.4">
      <c r="A7" s="19" t="s">
        <v>1</v>
      </c>
      <c r="B7" s="147">
        <f>IF(B$2=0,0,(B$8*1+B$9*2+B$10*3)/B$2)</f>
        <v>2.0238095238095237</v>
      </c>
      <c r="C7" s="148"/>
      <c r="E7" s="27" t="s">
        <v>67</v>
      </c>
      <c r="F7" s="24" t="s">
        <v>23</v>
      </c>
      <c r="G7" s="12">
        <v>60</v>
      </c>
      <c r="H7" s="88">
        <f>IF(B$20=0,0,G7/B$20)</f>
        <v>0.30456852791878175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-239.68253968253967</v>
      </c>
      <c r="Q7" s="78">
        <v>63</v>
      </c>
      <c r="R7" s="65">
        <v>-15100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0.30952380952380953</v>
      </c>
      <c r="E8" s="27" t="s">
        <v>89</v>
      </c>
      <c r="F8" s="24" t="s">
        <v>44</v>
      </c>
      <c r="G8" s="12">
        <v>31</v>
      </c>
      <c r="H8" s="88">
        <f>IF(B$20=0,0,G8/B$20)</f>
        <v>0.15736040609137056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0.35714285714285715</v>
      </c>
      <c r="E9" s="27" t="s">
        <v>69</v>
      </c>
      <c r="F9" s="24" t="s">
        <v>24</v>
      </c>
      <c r="G9" s="12">
        <v>25</v>
      </c>
      <c r="H9" s="88">
        <f>IF(B$20=0,0,G9/B$20)</f>
        <v>0.12690355329949238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28</v>
      </c>
      <c r="C10" s="7">
        <f t="shared" si="1"/>
        <v>0.33333333333333331</v>
      </c>
      <c r="E10" s="27" t="s">
        <v>65</v>
      </c>
      <c r="F10" s="24" t="s">
        <v>21</v>
      </c>
      <c r="G10" s="12">
        <v>23</v>
      </c>
      <c r="H10" s="88">
        <f>IF(B$20=0,0,G10/B$20)</f>
        <v>0.116751269035533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-2.4375</v>
      </c>
      <c r="Q10" s="76">
        <v>32</v>
      </c>
      <c r="R10" s="67">
        <v>-78</v>
      </c>
    </row>
    <row r="11" spans="1:18" x14ac:dyDescent="0.4">
      <c r="A11" s="20" t="s">
        <v>184</v>
      </c>
      <c r="B11" s="109">
        <f>IF(B8=0,0,C11/B8)</f>
        <v>33.019230769230766</v>
      </c>
      <c r="C11" s="110">
        <v>858.5</v>
      </c>
      <c r="E11" s="27" t="s">
        <v>70</v>
      </c>
      <c r="F11" s="24" t="s">
        <v>25</v>
      </c>
      <c r="G11" s="12">
        <v>17</v>
      </c>
      <c r="H11" s="88">
        <f>IF(B$20=0,0,G11/B$20)</f>
        <v>8.6294416243654817E-2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-0.44166666666666748</v>
      </c>
      <c r="Q11" s="77">
        <v>24</v>
      </c>
      <c r="R11" s="68">
        <v>-10.600000000000019</v>
      </c>
    </row>
    <row r="12" spans="1:18" x14ac:dyDescent="0.4">
      <c r="A12" s="20" t="s">
        <v>185</v>
      </c>
      <c r="B12" s="109">
        <f>IF(B9=0,0,C12/B9)</f>
        <v>0.59333333333333349</v>
      </c>
      <c r="C12" s="110">
        <v>17.800000000000004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7.6142131979695438E-2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-3.2642857142857147</v>
      </c>
      <c r="Q12" s="78">
        <v>28</v>
      </c>
      <c r="R12" s="69">
        <v>-91.4</v>
      </c>
    </row>
    <row r="13" spans="1:18" x14ac:dyDescent="0.4">
      <c r="A13" s="20" t="s">
        <v>186</v>
      </c>
      <c r="B13" s="109">
        <f>IF(B10=0,0,C13/B10)</f>
        <v>-37.725000000000009</v>
      </c>
      <c r="C13" s="110">
        <v>-1056.3000000000002</v>
      </c>
      <c r="E13" s="27" t="s">
        <v>86</v>
      </c>
      <c r="F13" s="24" t="s">
        <v>41</v>
      </c>
      <c r="G13" s="12">
        <v>12</v>
      </c>
      <c r="H13" s="88">
        <f>IF(B$20=0,0,G13/B$20)</f>
        <v>6.0913705583756347E-2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-1.3708119658119695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3.0456852791878174E-2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0.13095238095238096</v>
      </c>
      <c r="E15" s="27" t="s">
        <v>91</v>
      </c>
      <c r="F15" s="24" t="s">
        <v>46</v>
      </c>
      <c r="G15" s="12">
        <v>6</v>
      </c>
      <c r="H15" s="88">
        <f>IF(B$20=0,0,G15/B$20)</f>
        <v>3.0456852791878174E-2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211</v>
      </c>
      <c r="C16" s="10">
        <f>IF(B$3=0,0,B16/B$3)</f>
        <v>0.28133333333333332</v>
      </c>
      <c r="E16" s="27" t="s">
        <v>155</v>
      </c>
      <c r="F16" s="24" t="s">
        <v>156</v>
      </c>
      <c r="G16" s="12">
        <v>6</v>
      </c>
      <c r="H16" s="88">
        <f>IF(B$20=0,0,G16/B$20)</f>
        <v>3.0456852791878174E-2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169</v>
      </c>
      <c r="C17" s="6">
        <f>IF(B$3=0,0,B17/B$3)</f>
        <v>0.22533333333333333</v>
      </c>
      <c r="E17" s="27" t="s">
        <v>81</v>
      </c>
      <c r="F17" s="24" t="s">
        <v>36</v>
      </c>
      <c r="G17" s="12">
        <v>5</v>
      </c>
      <c r="H17" s="88">
        <f>IF(B$20=0,0,G17/B$20)</f>
        <v>2.5380710659898477E-2</v>
      </c>
      <c r="I17" s="58">
        <v>9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101</v>
      </c>
      <c r="C18" s="5">
        <f>IF(B$16=0,0,B18/B$16)</f>
        <v>0.47867298578199052</v>
      </c>
      <c r="E18" s="27" t="s">
        <v>78</v>
      </c>
      <c r="F18" s="24" t="s">
        <v>33</v>
      </c>
      <c r="G18" s="12">
        <v>4</v>
      </c>
      <c r="H18" s="88">
        <f>IF(B$20=0,0,G18/B$20)</f>
        <v>2.030456852791878E-2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8.1149999999999984</v>
      </c>
      <c r="Q18" s="77">
        <v>20</v>
      </c>
      <c r="R18" s="68">
        <v>162.29999999999998</v>
      </c>
    </row>
    <row r="19" spans="1:18" x14ac:dyDescent="0.4">
      <c r="A19" s="18" t="s">
        <v>124</v>
      </c>
      <c r="B19" s="11">
        <f>B25</f>
        <v>57</v>
      </c>
      <c r="C19" s="5">
        <f>IF(B$17=0,0,B19/B$17)</f>
        <v>0.33727810650887574</v>
      </c>
      <c r="E19" s="27" t="s">
        <v>73</v>
      </c>
      <c r="F19" s="24" t="s">
        <v>28</v>
      </c>
      <c r="G19" s="12">
        <v>3</v>
      </c>
      <c r="H19" s="88">
        <f>IF(B$20=0,0,G19/B$20)</f>
        <v>1.5228426395939087E-2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197</v>
      </c>
      <c r="C20" s="5">
        <f>IF(B$3=0,0,B20/B$3)</f>
        <v>0.26266666666666666</v>
      </c>
      <c r="E20" s="27" t="s">
        <v>85</v>
      </c>
      <c r="F20" s="24" t="s">
        <v>40</v>
      </c>
      <c r="G20" s="12">
        <v>2</v>
      </c>
      <c r="H20" s="88">
        <f>IF(B$20=0,0,G20/B$20)</f>
        <v>1.015228426395939E-2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-6.195833333333332</v>
      </c>
      <c r="Q20" s="77">
        <v>72</v>
      </c>
      <c r="R20" s="68">
        <v>-446.09999999999991</v>
      </c>
    </row>
    <row r="21" spans="1:18" x14ac:dyDescent="0.4">
      <c r="A21" s="19" t="s">
        <v>13</v>
      </c>
      <c r="B21" s="12">
        <v>152</v>
      </c>
      <c r="C21" s="6">
        <f>IF(B$3=0,0,B21/B$3)</f>
        <v>0.20266666666666666</v>
      </c>
      <c r="E21" s="27" t="s">
        <v>77</v>
      </c>
      <c r="F21" s="24" t="s">
        <v>32</v>
      </c>
      <c r="G21" s="12">
        <v>1</v>
      </c>
      <c r="H21" s="88">
        <f>IF(B$20=0,0,G21/B$20)</f>
        <v>5.076142131979695E-3</v>
      </c>
      <c r="I21" s="58">
        <v>3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89</v>
      </c>
      <c r="C22" s="6">
        <f>IF(B$20=0,0,B22/B$20)</f>
        <v>0.45177664974619292</v>
      </c>
      <c r="E22" s="27" t="s">
        <v>79</v>
      </c>
      <c r="F22" s="24" t="s">
        <v>34</v>
      </c>
      <c r="G22" s="12">
        <v>1</v>
      </c>
      <c r="H22" s="88">
        <f>IF(B$20=0,0,G22/B$20)</f>
        <v>5.076142131979695E-3</v>
      </c>
      <c r="I22" s="58">
        <v>7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 t="shared" si="2"/>
        <v>-9.0636363636363644</v>
      </c>
      <c r="Q22" s="77">
        <v>22</v>
      </c>
      <c r="R22" s="68">
        <v>-199.40000000000003</v>
      </c>
    </row>
    <row r="23" spans="1:18" x14ac:dyDescent="0.4">
      <c r="A23" s="19" t="s">
        <v>11</v>
      </c>
      <c r="B23" s="12">
        <v>108</v>
      </c>
      <c r="C23" s="6">
        <f>IF(B$20=0,0,B23/B$20)</f>
        <v>0.54822335025380708</v>
      </c>
      <c r="E23" s="27" t="s">
        <v>88</v>
      </c>
      <c r="F23" s="24" t="s">
        <v>43</v>
      </c>
      <c r="G23" s="12">
        <v>1</v>
      </c>
      <c r="H23" s="88">
        <f>IF(B$20=0,0,G23/B$20)</f>
        <v>5.076142131979695E-3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192</v>
      </c>
      <c r="P23" s="83">
        <f t="shared" si="2"/>
        <v>-12.989473684210527</v>
      </c>
      <c r="Q23" s="77">
        <v>19</v>
      </c>
      <c r="R23" s="68">
        <v>-246.8</v>
      </c>
    </row>
    <row r="24" spans="1:18" x14ac:dyDescent="0.4">
      <c r="A24" s="19" t="s">
        <v>183</v>
      </c>
      <c r="B24" s="12">
        <v>101</v>
      </c>
      <c r="C24" s="6">
        <f>IF(B$20=0,0,B24/B$20)</f>
        <v>0.51269035532994922</v>
      </c>
      <c r="E24" s="27" t="s">
        <v>92</v>
      </c>
      <c r="F24" s="24" t="s">
        <v>47</v>
      </c>
      <c r="G24" s="12">
        <v>1</v>
      </c>
      <c r="H24" s="88">
        <f>IF(B$20=0,0,G24/B$20)</f>
        <v>5.076142131979695E-3</v>
      </c>
      <c r="I24" s="58">
        <v>3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57</v>
      </c>
      <c r="C25" s="6">
        <f>IF(B$20=0,0,B25/B$20)</f>
        <v>0.28934010152284262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0.19796954314720813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9402.5380710659902</v>
      </c>
      <c r="C27" s="8">
        <v>1852300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10215</v>
      </c>
      <c r="C28" s="96">
        <v>1430100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7407.0175438596489</v>
      </c>
      <c r="C29" s="96">
        <v>422200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-7679.605263157895</v>
      </c>
      <c r="C30" s="96">
        <v>-1167300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1.3333333333333333E-3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5.0761421319796954E-2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20</v>
      </c>
      <c r="C38" s="6">
        <f t="shared" si="3"/>
        <v>0.10152284263959391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36</v>
      </c>
      <c r="C39" s="6">
        <f t="shared" si="3"/>
        <v>0.18274111675126903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40</v>
      </c>
      <c r="C40" s="6">
        <f t="shared" si="3"/>
        <v>0.20304568527918782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38</v>
      </c>
      <c r="C41" s="6">
        <f t="shared" si="3"/>
        <v>0.19289340101522842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22</v>
      </c>
      <c r="C42" s="6">
        <f t="shared" si="3"/>
        <v>0.1116751269035533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3"/>
        <v>5.5837563451776651E-2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3"/>
        <v>4.060913705583756E-2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3"/>
        <v>3.553299492385787E-2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1.015228426395939E-2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3"/>
        <v>5.076142131979695E-3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1.015228426395939E-2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  <row r="86" spans="11:13" x14ac:dyDescent="0.4">
      <c r="K86" s="74">
        <v>84</v>
      </c>
      <c r="L86" s="119">
        <v>-180</v>
      </c>
      <c r="M86" s="117">
        <v>1616.7273241326677</v>
      </c>
    </row>
  </sheetData>
  <sortState xmlns:xlrd2="http://schemas.microsoft.com/office/spreadsheetml/2017/richdata2" ref="E2:I8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72</v>
      </c>
      <c r="F2" s="23" t="s">
        <v>27</v>
      </c>
      <c r="G2" s="11">
        <v>90</v>
      </c>
      <c r="H2" s="87">
        <f>IF(B$20=0,0,G2/B$20)</f>
        <v>0.703125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-427.08333333333331</v>
      </c>
      <c r="Q2" s="76">
        <v>48</v>
      </c>
      <c r="R2" s="63">
        <v>-20500</v>
      </c>
    </row>
    <row r="3" spans="1:18" x14ac:dyDescent="0.4">
      <c r="A3" s="19" t="s">
        <v>8</v>
      </c>
      <c r="B3" s="143">
        <v>424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0.6171875</v>
      </c>
      <c r="I3" s="58">
        <v>13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-533.33333333333337</v>
      </c>
      <c r="Q3" s="77">
        <v>48</v>
      </c>
      <c r="R3" s="64">
        <v>-25600</v>
      </c>
    </row>
    <row r="4" spans="1:18" x14ac:dyDescent="0.4">
      <c r="A4" s="19" t="s">
        <v>6</v>
      </c>
      <c r="B4" s="145">
        <v>-31.499999999999993</v>
      </c>
      <c r="C4" s="146"/>
      <c r="E4" s="27" t="s">
        <v>64</v>
      </c>
      <c r="F4" s="24" t="s">
        <v>20</v>
      </c>
      <c r="G4" s="12">
        <v>50</v>
      </c>
      <c r="H4" s="88">
        <f>IF(B$20=0,0,G4/B$20)</f>
        <v>0.390625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1240.4255319148936</v>
      </c>
      <c r="Q4" s="77">
        <v>47</v>
      </c>
      <c r="R4" s="64">
        <v>58300</v>
      </c>
    </row>
    <row r="5" spans="1:18" x14ac:dyDescent="0.4">
      <c r="A5" s="19" t="s">
        <v>7</v>
      </c>
      <c r="B5" s="133">
        <f>IF(B$2=0,0,B$4/B$2)</f>
        <v>-0.65624999999999989</v>
      </c>
      <c r="C5" s="134"/>
      <c r="E5" s="27" t="s">
        <v>159</v>
      </c>
      <c r="F5" s="24" t="s">
        <v>160</v>
      </c>
      <c r="G5" s="12">
        <v>48</v>
      </c>
      <c r="H5" s="88">
        <f>IF(B$20=0,0,G5/B$20)</f>
        <v>0.375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-1121.2765957446809</v>
      </c>
      <c r="Q5" s="77">
        <v>47</v>
      </c>
      <c r="R5" s="64">
        <v>-52700</v>
      </c>
    </row>
    <row r="6" spans="1:18" x14ac:dyDescent="0.4">
      <c r="A6" s="19" t="s">
        <v>196</v>
      </c>
      <c r="B6" s="137">
        <v>1467.5565900800862</v>
      </c>
      <c r="C6" s="138"/>
      <c r="E6" s="27" t="s">
        <v>68</v>
      </c>
      <c r="F6" s="24" t="s">
        <v>12</v>
      </c>
      <c r="G6" s="12">
        <v>35</v>
      </c>
      <c r="H6" s="88">
        <f>IF(B$20=0,0,G6/B$20)</f>
        <v>0.2734375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-1164.4444444444443</v>
      </c>
      <c r="Q6" s="77">
        <v>45</v>
      </c>
      <c r="R6" s="64">
        <v>-52400</v>
      </c>
    </row>
    <row r="7" spans="1:18" x14ac:dyDescent="0.4">
      <c r="A7" s="19" t="s">
        <v>1</v>
      </c>
      <c r="B7" s="147">
        <f>IF(B$2=0,0,(B$8*1+B$9*2+B$10*3)/B$2)</f>
        <v>2.0208333333333335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0.234375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-529.72972972972968</v>
      </c>
      <c r="Q7" s="78">
        <v>37</v>
      </c>
      <c r="R7" s="65">
        <v>-19600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13</v>
      </c>
      <c r="H8" s="88">
        <f>IF(B$20=0,0,G8/B$20)</f>
        <v>0.1015625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0.22916666666666666</v>
      </c>
      <c r="E9" s="27" t="s">
        <v>70</v>
      </c>
      <c r="F9" s="24" t="s">
        <v>25</v>
      </c>
      <c r="G9" s="12">
        <v>12</v>
      </c>
      <c r="H9" s="88">
        <f>IF(B$20=0,0,G9/B$20)</f>
        <v>9.375E-2</v>
      </c>
      <c r="I9" s="58">
        <v>6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0.39583333333333331</v>
      </c>
      <c r="E10" s="27" t="s">
        <v>69</v>
      </c>
      <c r="F10" s="24" t="s">
        <v>24</v>
      </c>
      <c r="G10" s="12">
        <v>11</v>
      </c>
      <c r="H10" s="88">
        <f>IF(B$20=0,0,G10/B$20)</f>
        <v>8.59375E-2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6.9000000000000012</v>
      </c>
      <c r="Q10" s="76">
        <v>12</v>
      </c>
      <c r="R10" s="67">
        <v>82.800000000000011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7.8125E-2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71</v>
      </c>
      <c r="F12" s="24" t="s">
        <v>26</v>
      </c>
      <c r="G12" s="12">
        <v>8</v>
      </c>
      <c r="H12" s="88">
        <f>IF(B$20=0,0,G12/B$20)</f>
        <v>6.25E-2</v>
      </c>
      <c r="I12" s="58">
        <v>8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83</v>
      </c>
      <c r="F13" s="24" t="s">
        <v>38</v>
      </c>
      <c r="G13" s="12">
        <v>8</v>
      </c>
      <c r="H13" s="88">
        <f>IF(B$20=0,0,G13/B$20)</f>
        <v>6.25E-2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0.67409179514442974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3.90625E-2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78</v>
      </c>
      <c r="F15" s="24" t="s">
        <v>33</v>
      </c>
      <c r="G15" s="12">
        <v>4</v>
      </c>
      <c r="H15" s="88">
        <f>IF(B$20=0,0,G15/B$20)</f>
        <v>3.125E-2</v>
      </c>
      <c r="I15" s="58">
        <v>6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111</v>
      </c>
      <c r="C16" s="10">
        <f>IF(B$3=0,0,B16/B$3)</f>
        <v>0.2617924528301887</v>
      </c>
      <c r="E16" s="27" t="s">
        <v>79</v>
      </c>
      <c r="F16" s="24" t="s">
        <v>34</v>
      </c>
      <c r="G16" s="12">
        <v>3</v>
      </c>
      <c r="H16" s="88">
        <f>IF(B$20=0,0,G16/B$20)</f>
        <v>2.34375E-2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126</v>
      </c>
      <c r="C17" s="6">
        <f>IF(B$3=0,0,B17/B$3)</f>
        <v>0.29716981132075471</v>
      </c>
      <c r="E17" s="27" t="s">
        <v>86</v>
      </c>
      <c r="F17" s="24" t="s">
        <v>41</v>
      </c>
      <c r="G17" s="12">
        <v>3</v>
      </c>
      <c r="H17" s="88">
        <f>IF(B$20=0,0,G17/B$20)</f>
        <v>2.34375E-2</v>
      </c>
      <c r="I17" s="58">
        <v>9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0.45045045045045046</v>
      </c>
      <c r="E18" s="27" t="s">
        <v>91</v>
      </c>
      <c r="F18" s="24" t="s">
        <v>46</v>
      </c>
      <c r="G18" s="12">
        <v>2</v>
      </c>
      <c r="H18" s="88">
        <f>IF(B$20=0,0,G18/B$20)</f>
        <v>1.5625E-2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0.41269841269841268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3.4119047619047622</v>
      </c>
      <c r="Q19" s="77">
        <v>42</v>
      </c>
      <c r="R19" s="68">
        <v>143.30000000000001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0.30188679245283018</v>
      </c>
      <c r="E20" s="27" t="s">
        <v>93</v>
      </c>
      <c r="F20" s="24" t="s">
        <v>48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-8.1149999999999967</v>
      </c>
      <c r="Q20" s="77">
        <v>20</v>
      </c>
      <c r="R20" s="68">
        <v>-162.29999999999993</v>
      </c>
    </row>
    <row r="21" spans="1:18" x14ac:dyDescent="0.4">
      <c r="A21" s="19" t="s">
        <v>13</v>
      </c>
      <c r="B21" s="12">
        <v>67</v>
      </c>
      <c r="C21" s="6">
        <f>IF(B$3=0,0,B21/B$3)</f>
        <v>0.15801886792452829</v>
      </c>
      <c r="E21" s="27" t="s">
        <v>106</v>
      </c>
      <c r="F21" s="24" t="s">
        <v>113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60</v>
      </c>
      <c r="C22" s="6">
        <f>IF(B$20=0,0,B22/B$20)</f>
        <v>0.46875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68</v>
      </c>
      <c r="C23" s="6">
        <f>IF(B$20=0,0,B23/B$20)</f>
        <v>0.53125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50</v>
      </c>
      <c r="C24" s="6">
        <f>IF(B$20=0,0,B24/B$20)</f>
        <v>0.390625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52</v>
      </c>
      <c r="C25" s="6">
        <f>IF(B$20=0,0,B25/B$20)</f>
        <v>0.40625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26</v>
      </c>
      <c r="C26" s="6">
        <f>IF(B$20=0,0,B26/B$20)</f>
        <v>0.203125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7529.6875</v>
      </c>
      <c r="C27" s="8">
        <v>963800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9067.105263157895</v>
      </c>
      <c r="C28" s="96">
        <v>689100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5282.6923076923076</v>
      </c>
      <c r="C29" s="96">
        <v>274700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-8488.059701492537</v>
      </c>
      <c r="C30" s="96">
        <v>-568700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2.3584905660377358E-3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16</v>
      </c>
      <c r="C37" s="98">
        <f t="shared" ref="C37:C49" si="3">IF(B$20=0,0,B37/B$20)</f>
        <v>0.125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0.2109375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0.21875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27</v>
      </c>
      <c r="C40" s="6">
        <f t="shared" si="3"/>
        <v>0.2109375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5.46875E-2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3.90625E-2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6</v>
      </c>
      <c r="C43" s="6">
        <f t="shared" si="3"/>
        <v>4.6875E-2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3.125E-2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3"/>
        <v>1.5625E-2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5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-912</v>
      </c>
      <c r="Q2" s="76">
        <v>50</v>
      </c>
      <c r="R2" s="63">
        <v>-45600</v>
      </c>
    </row>
    <row r="3" spans="1:18" x14ac:dyDescent="0.4">
      <c r="A3" s="19" t="s">
        <v>8</v>
      </c>
      <c r="B3" s="143">
        <v>430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0.59090909090909094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1166</v>
      </c>
      <c r="Q3" s="77">
        <v>50</v>
      </c>
      <c r="R3" s="64">
        <v>58300</v>
      </c>
    </row>
    <row r="4" spans="1:18" x14ac:dyDescent="0.4">
      <c r="A4" s="19" t="s">
        <v>6</v>
      </c>
      <c r="B4" s="145">
        <v>178.2</v>
      </c>
      <c r="C4" s="146"/>
      <c r="E4" s="27" t="s">
        <v>64</v>
      </c>
      <c r="F4" s="24" t="s">
        <v>20</v>
      </c>
      <c r="G4" s="12">
        <v>59</v>
      </c>
      <c r="H4" s="88">
        <f>IF(B$20=0,0,G4/B$20)</f>
        <v>0.44696969696969696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2228</v>
      </c>
      <c r="Q4" s="77">
        <v>50</v>
      </c>
      <c r="R4" s="64">
        <v>111400</v>
      </c>
    </row>
    <row r="5" spans="1:18" x14ac:dyDescent="0.4">
      <c r="A5" s="19" t="s">
        <v>7</v>
      </c>
      <c r="B5" s="133">
        <f>IF(B$2=0,0,B$4/B$2)</f>
        <v>3.4941176470588231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0.33333333333333331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-382.97872340425533</v>
      </c>
      <c r="Q5" s="77">
        <v>47</v>
      </c>
      <c r="R5" s="64">
        <v>-18000</v>
      </c>
    </row>
    <row r="6" spans="1:18" x14ac:dyDescent="0.4">
      <c r="A6" s="19" t="s">
        <v>196</v>
      </c>
      <c r="B6" s="137">
        <v>1541.223654027415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0.28030303030303028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257.14285714285717</v>
      </c>
      <c r="Q6" s="77">
        <v>42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1.9215686274509804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0.24242424242424243</v>
      </c>
      <c r="I7" s="58">
        <v>12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1710.2564102564102</v>
      </c>
      <c r="Q7" s="78">
        <v>39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89</v>
      </c>
      <c r="F8" s="24" t="s">
        <v>44</v>
      </c>
      <c r="G8" s="12">
        <v>26</v>
      </c>
      <c r="H8" s="88">
        <f>IF(B$20=0,0,G8/B$20)</f>
        <v>0.19696969696969696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0.15151515151515152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11</v>
      </c>
      <c r="H10" s="88">
        <f>IF(B$20=0,0,G10/B$20)</f>
        <v>8.3333333333333329E-2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71</v>
      </c>
      <c r="F11" s="24" t="s">
        <v>26</v>
      </c>
      <c r="G11" s="12">
        <v>10</v>
      </c>
      <c r="H11" s="88">
        <f>IF(B$20=0,0,G11/B$20)</f>
        <v>7.575757575757576E-2</v>
      </c>
      <c r="I11" s="58">
        <v>6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86</v>
      </c>
      <c r="F12" s="24" t="s">
        <v>41</v>
      </c>
      <c r="G12" s="12">
        <v>10</v>
      </c>
      <c r="H12" s="88">
        <f>IF(B$20=0,0,G12/B$20)</f>
        <v>7.575757575757576E-2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7.2777777777777777</v>
      </c>
      <c r="Q12" s="78">
        <v>18</v>
      </c>
      <c r="R12" s="69">
        <v>131</v>
      </c>
    </row>
    <row r="13" spans="1:18" x14ac:dyDescent="0.4">
      <c r="A13" s="20" t="s">
        <v>186</v>
      </c>
      <c r="B13" s="109">
        <f>IF(B10=0,0,C13/B10)</f>
        <v>-28.773333333333333</v>
      </c>
      <c r="C13" s="110">
        <v>-431.6</v>
      </c>
      <c r="E13" s="27" t="s">
        <v>83</v>
      </c>
      <c r="F13" s="24" t="s">
        <v>38</v>
      </c>
      <c r="G13" s="12">
        <v>7</v>
      </c>
      <c r="H13" s="88">
        <f>IF(B$20=0,0,G13/B$20)</f>
        <v>5.3030303030303032E-2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1.0375782593739256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3.787878787878788E-2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3.9215686274509803E-2</v>
      </c>
      <c r="E15" s="27" t="s">
        <v>78</v>
      </c>
      <c r="F15" s="24" t="s">
        <v>33</v>
      </c>
      <c r="G15" s="12">
        <v>5</v>
      </c>
      <c r="H15" s="88">
        <f>IF(B$20=0,0,G15/B$20)</f>
        <v>3.787878787878788E-2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98</v>
      </c>
      <c r="C16" s="10">
        <f>IF(B$3=0,0,B16/B$3)</f>
        <v>0.22790697674418606</v>
      </c>
      <c r="E16" s="27" t="s">
        <v>81</v>
      </c>
      <c r="F16" s="24" t="s">
        <v>36</v>
      </c>
      <c r="G16" s="12">
        <v>5</v>
      </c>
      <c r="H16" s="88">
        <f>IF(B$20=0,0,G16/B$20)</f>
        <v>3.787878787878788E-2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97</v>
      </c>
      <c r="C17" s="6">
        <f>IF(B$3=0,0,B17/B$3)</f>
        <v>0.2255813953488372</v>
      </c>
      <c r="E17" s="27" t="s">
        <v>91</v>
      </c>
      <c r="F17" s="24" t="s">
        <v>46</v>
      </c>
      <c r="G17" s="12">
        <v>5</v>
      </c>
      <c r="H17" s="88">
        <f>IF(B$20=0,0,G17/B$20)</f>
        <v>3.787878787878788E-2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9.0636363636363662</v>
      </c>
      <c r="Q17" s="77">
        <v>22</v>
      </c>
      <c r="R17" s="68">
        <v>199.40000000000006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0.59183673469387754</v>
      </c>
      <c r="E18" s="27" t="s">
        <v>73</v>
      </c>
      <c r="F18" s="24" t="s">
        <v>28</v>
      </c>
      <c r="G18" s="12">
        <v>2</v>
      </c>
      <c r="H18" s="88">
        <f>IF(B$20=0,0,G18/B$20)</f>
        <v>1.5151515151515152E-2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0.45360824742268041</v>
      </c>
      <c r="E19" s="27" t="s">
        <v>75</v>
      </c>
      <c r="F19" s="24" t="s">
        <v>30</v>
      </c>
      <c r="G19" s="12">
        <v>1</v>
      </c>
      <c r="H19" s="88">
        <f>IF(B$20=0,0,G19/B$20)</f>
        <v>7.575757575757576E-3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132</v>
      </c>
      <c r="C20" s="5">
        <f>IF(B$3=0,0,B20/B$3)</f>
        <v>0.30697674418604654</v>
      </c>
      <c r="E20" s="27" t="s">
        <v>79</v>
      </c>
      <c r="F20" s="24" t="s">
        <v>34</v>
      </c>
      <c r="G20" s="12">
        <v>1</v>
      </c>
      <c r="H20" s="88">
        <f>IF(B$20=0,0,G20/B$20)</f>
        <v>7.575757575757576E-3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3.0419354838709678</v>
      </c>
      <c r="Q20" s="77">
        <v>31</v>
      </c>
      <c r="R20" s="68">
        <v>94.3</v>
      </c>
    </row>
    <row r="21" spans="1:18" x14ac:dyDescent="0.4">
      <c r="A21" s="19" t="s">
        <v>13</v>
      </c>
      <c r="B21" s="12">
        <v>59</v>
      </c>
      <c r="C21" s="6">
        <f>IF(B$3=0,0,B21/B$3)</f>
        <v>0.1372093023255814</v>
      </c>
      <c r="E21" s="27" t="s">
        <v>93</v>
      </c>
      <c r="F21" s="24" t="s">
        <v>48</v>
      </c>
      <c r="G21" s="12">
        <v>1</v>
      </c>
      <c r="H21" s="88">
        <f>IF(B$20=0,0,G21/B$20)</f>
        <v>7.575757575757576E-3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0.40151515151515149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79</v>
      </c>
      <c r="C23" s="6">
        <f>IF(B$20=0,0,B23/B$20)</f>
        <v>0.59848484848484851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58</v>
      </c>
      <c r="C24" s="6">
        <f>IF(B$20=0,0,B24/B$20)</f>
        <v>0.43939393939393939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0.33333333333333331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0.22727272727272727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7929.545454545455</v>
      </c>
      <c r="C27" s="8">
        <v>1046700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8413.636363636364</v>
      </c>
      <c r="C28" s="96">
        <v>740400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-6961.0169491525421</v>
      </c>
      <c r="C30" s="96">
        <v>-410700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6.9767441860465115E-3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6.0606060606060608E-2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0.20454545454545456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28</v>
      </c>
      <c r="C39" s="6">
        <f t="shared" si="3"/>
        <v>0.21212121212121213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0.14393939393939395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0.15151515151515152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3.787878787878788E-2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3.0303030303030304E-2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7.575757575757576E-3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1.5151515151515152E-2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1.5151515151515152E-2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7.575757575757576E-3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  <row r="53" spans="1:13" x14ac:dyDescent="0.4">
      <c r="K53" s="74">
        <v>51</v>
      </c>
      <c r="L53" s="119">
        <v>178.2</v>
      </c>
      <c r="M53" s="117">
        <v>1541.223654027415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6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64</v>
      </c>
      <c r="C2" s="142"/>
      <c r="E2" s="26" t="s">
        <v>66</v>
      </c>
      <c r="F2" s="23" t="s">
        <v>22</v>
      </c>
      <c r="G2" s="11">
        <v>142</v>
      </c>
      <c r="H2" s="87">
        <f>IF(B$20=0,0,G2/B$20)</f>
        <v>0.75132275132275128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-451.5625</v>
      </c>
      <c r="Q2" s="76">
        <v>64</v>
      </c>
      <c r="R2" s="63">
        <v>-28900</v>
      </c>
    </row>
    <row r="3" spans="1:18" x14ac:dyDescent="0.4">
      <c r="A3" s="19" t="s">
        <v>8</v>
      </c>
      <c r="B3" s="143">
        <v>546</v>
      </c>
      <c r="C3" s="144"/>
      <c r="E3" s="27" t="s">
        <v>72</v>
      </c>
      <c r="F3" s="24" t="s">
        <v>27</v>
      </c>
      <c r="G3" s="12">
        <v>117</v>
      </c>
      <c r="H3" s="88">
        <f>IF(B$20=0,0,G3/B$20)</f>
        <v>0.61904761904761907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751.66666666666663</v>
      </c>
      <c r="Q3" s="77">
        <v>60</v>
      </c>
      <c r="R3" s="64">
        <v>45100</v>
      </c>
    </row>
    <row r="4" spans="1:18" x14ac:dyDescent="0.4">
      <c r="A4" s="19" t="s">
        <v>6</v>
      </c>
      <c r="B4" s="145">
        <v>414.99999999999994</v>
      </c>
      <c r="C4" s="146"/>
      <c r="E4" s="27" t="s">
        <v>159</v>
      </c>
      <c r="F4" s="24" t="s">
        <v>160</v>
      </c>
      <c r="G4" s="12">
        <v>88</v>
      </c>
      <c r="H4" s="88">
        <f>IF(B$20=0,0,G4/B$20)</f>
        <v>0.46560846560846558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2280.3278688524592</v>
      </c>
      <c r="Q4" s="77">
        <v>61</v>
      </c>
      <c r="R4" s="64">
        <v>139100</v>
      </c>
    </row>
    <row r="5" spans="1:18" x14ac:dyDescent="0.4">
      <c r="A5" s="19" t="s">
        <v>7</v>
      </c>
      <c r="B5" s="133">
        <f>IF(B$2=0,0,B$4/B$2)</f>
        <v>6.4843749999999991</v>
      </c>
      <c r="C5" s="134"/>
      <c r="E5" s="27" t="s">
        <v>64</v>
      </c>
      <c r="F5" s="24" t="s">
        <v>20</v>
      </c>
      <c r="G5" s="12">
        <v>64</v>
      </c>
      <c r="H5" s="88">
        <f>IF(B$20=0,0,G5/B$20)</f>
        <v>0.33862433862433861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2056.1403508771928</v>
      </c>
      <c r="Q5" s="77">
        <v>57</v>
      </c>
      <c r="R5" s="64">
        <v>117200</v>
      </c>
    </row>
    <row r="6" spans="1:18" x14ac:dyDescent="0.4">
      <c r="A6" s="19" t="s">
        <v>196</v>
      </c>
      <c r="B6" s="137">
        <v>1609.1058701799038</v>
      </c>
      <c r="C6" s="138"/>
      <c r="E6" s="27" t="s">
        <v>68</v>
      </c>
      <c r="F6" s="24" t="s">
        <v>12</v>
      </c>
      <c r="G6" s="12">
        <v>45</v>
      </c>
      <c r="H6" s="88">
        <f>IF(B$20=0,0,G6/B$20)</f>
        <v>0.23809523809523808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-24.528301886792452</v>
      </c>
      <c r="Q6" s="77">
        <v>53</v>
      </c>
      <c r="R6" s="64">
        <v>-1300</v>
      </c>
    </row>
    <row r="7" spans="1:18" x14ac:dyDescent="0.4">
      <c r="A7" s="19" t="s">
        <v>1</v>
      </c>
      <c r="B7" s="147">
        <f>IF(B$2=0,0,(B$8*1+B$9*2+B$10*3)/B$2)</f>
        <v>1.828125</v>
      </c>
      <c r="C7" s="148"/>
      <c r="E7" s="27" t="s">
        <v>67</v>
      </c>
      <c r="F7" s="24" t="s">
        <v>23</v>
      </c>
      <c r="G7" s="12">
        <v>26</v>
      </c>
      <c r="H7" s="88">
        <f>IF(B$20=0,0,G7/B$20)</f>
        <v>0.13756613756613756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-390.69767441860466</v>
      </c>
      <c r="Q7" s="78">
        <v>43</v>
      </c>
      <c r="R7" s="65">
        <v>-16800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0.40625</v>
      </c>
      <c r="E8" s="27" t="s">
        <v>70</v>
      </c>
      <c r="F8" s="24" t="s">
        <v>25</v>
      </c>
      <c r="G8" s="12">
        <v>25</v>
      </c>
      <c r="H8" s="88">
        <f>IF(B$20=0,0,G8/B$20)</f>
        <v>0.13227513227513227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0.359375</v>
      </c>
      <c r="E9" s="27" t="s">
        <v>89</v>
      </c>
      <c r="F9" s="24" t="s">
        <v>44</v>
      </c>
      <c r="G9" s="12">
        <v>23</v>
      </c>
      <c r="H9" s="88">
        <f>IF(B$20=0,0,G9/B$20)</f>
        <v>0.12169312169312169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0.234375</v>
      </c>
      <c r="E10" s="27" t="s">
        <v>69</v>
      </c>
      <c r="F10" s="24" t="s">
        <v>24</v>
      </c>
      <c r="G10" s="12">
        <v>19</v>
      </c>
      <c r="H10" s="88">
        <f>IF(B$20=0,0,G10/B$20)</f>
        <v>0.10052910052910052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13.179166666666667</v>
      </c>
      <c r="Q10" s="76">
        <v>24</v>
      </c>
      <c r="R10" s="67">
        <v>316.3</v>
      </c>
    </row>
    <row r="11" spans="1:18" x14ac:dyDescent="0.4">
      <c r="A11" s="20" t="s">
        <v>184</v>
      </c>
      <c r="B11" s="109">
        <f>IF(B8=0,0,C11/B8)</f>
        <v>37.684615384615384</v>
      </c>
      <c r="C11" s="110">
        <v>979.80000000000007</v>
      </c>
      <c r="E11" s="27" t="s">
        <v>71</v>
      </c>
      <c r="F11" s="24" t="s">
        <v>26</v>
      </c>
      <c r="G11" s="12">
        <v>19</v>
      </c>
      <c r="H11" s="88">
        <f>IF(B$20=0,0,G11/B$20)</f>
        <v>0.10052910052910052</v>
      </c>
      <c r="I11" s="58">
        <v>3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2.6333333333333337</v>
      </c>
      <c r="Q11" s="77">
        <v>21</v>
      </c>
      <c r="R11" s="68">
        <v>55.300000000000004</v>
      </c>
    </row>
    <row r="12" spans="1:18" x14ac:dyDescent="0.4">
      <c r="A12" s="20" t="s">
        <v>185</v>
      </c>
      <c r="B12" s="109">
        <f>IF(B9=0,0,C12/B9)</f>
        <v>-2.6826086956521733</v>
      </c>
      <c r="C12" s="110">
        <v>-61.699999999999982</v>
      </c>
      <c r="E12" s="27" t="s">
        <v>65</v>
      </c>
      <c r="F12" s="24" t="s">
        <v>21</v>
      </c>
      <c r="G12" s="12">
        <v>12</v>
      </c>
      <c r="H12" s="88">
        <f>IF(B$20=0,0,G12/B$20)</f>
        <v>6.3492063492063489E-2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2.2842105263157895</v>
      </c>
      <c r="Q12" s="78">
        <v>19</v>
      </c>
      <c r="R12" s="69">
        <v>43.4</v>
      </c>
    </row>
    <row r="13" spans="1:18" x14ac:dyDescent="0.4">
      <c r="A13" s="20" t="s">
        <v>186</v>
      </c>
      <c r="B13" s="109">
        <f>IF(B10=0,0,C13/B10)</f>
        <v>-33.54</v>
      </c>
      <c r="C13" s="110">
        <v>-503.09999999999997</v>
      </c>
      <c r="E13" s="27" t="s">
        <v>83</v>
      </c>
      <c r="F13" s="24" t="s">
        <v>38</v>
      </c>
      <c r="G13" s="12">
        <v>8</v>
      </c>
      <c r="H13" s="88">
        <f>IF(B$20=0,0,G13/B$20)</f>
        <v>4.2328042328042326E-2</v>
      </c>
      <c r="I13" s="58">
        <v>9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0.48733556298773806</v>
      </c>
      <c r="C14" s="134"/>
      <c r="E14" s="27" t="s">
        <v>86</v>
      </c>
      <c r="F14" s="24" t="s">
        <v>41</v>
      </c>
      <c r="G14" s="12">
        <v>7</v>
      </c>
      <c r="H14" s="88">
        <f>IF(B$20=0,0,G14/B$20)</f>
        <v>3.7037037037037035E-2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6.25E-2</v>
      </c>
      <c r="E15" s="27" t="s">
        <v>78</v>
      </c>
      <c r="F15" s="24" t="s">
        <v>33</v>
      </c>
      <c r="G15" s="12">
        <v>4</v>
      </c>
      <c r="H15" s="88">
        <f>IF(B$20=0,0,G15/B$20)</f>
        <v>2.1164021164021163E-2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216</v>
      </c>
      <c r="P15" s="82">
        <f>IF(Q15=0,0,R15/Q15)</f>
        <v>35.1</v>
      </c>
      <c r="Q15" s="76">
        <v>1</v>
      </c>
      <c r="R15" s="67">
        <v>35.1</v>
      </c>
    </row>
    <row r="16" spans="1:18" x14ac:dyDescent="0.4">
      <c r="A16" s="22" t="s">
        <v>121</v>
      </c>
      <c r="B16" s="15">
        <v>117</v>
      </c>
      <c r="C16" s="10">
        <f>IF(B$3=0,0,B16/B$3)</f>
        <v>0.21428571428571427</v>
      </c>
      <c r="E16" s="27" t="s">
        <v>81</v>
      </c>
      <c r="F16" s="24" t="s">
        <v>36</v>
      </c>
      <c r="G16" s="12">
        <v>4</v>
      </c>
      <c r="H16" s="88">
        <f>IF(B$20=0,0,G16/B$20)</f>
        <v>2.1164021164021163E-2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195</v>
      </c>
      <c r="P16" s="83">
        <f>IF(Q16=0,0,R16/Q16)</f>
        <v>32.123076923076923</v>
      </c>
      <c r="Q16" s="77">
        <v>13</v>
      </c>
      <c r="R16" s="68">
        <v>417.6</v>
      </c>
    </row>
    <row r="17" spans="1:18" x14ac:dyDescent="0.4">
      <c r="A17" s="19" t="s">
        <v>118</v>
      </c>
      <c r="B17" s="12">
        <v>150</v>
      </c>
      <c r="C17" s="6">
        <f>IF(B$3=0,0,B17/B$3)</f>
        <v>0.27472527472527475</v>
      </c>
      <c r="E17" s="27" t="s">
        <v>79</v>
      </c>
      <c r="F17" s="24" t="s">
        <v>34</v>
      </c>
      <c r="G17" s="12">
        <v>3</v>
      </c>
      <c r="H17" s="88">
        <f>IF(B$20=0,0,G17/B$20)</f>
        <v>1.5873015873015872E-2</v>
      </c>
      <c r="I17" s="58">
        <v>3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64</v>
      </c>
      <c r="C18" s="5">
        <f>IF(B$16=0,0,B18/B$16)</f>
        <v>0.54700854700854706</v>
      </c>
      <c r="E18" s="27" t="s">
        <v>155</v>
      </c>
      <c r="F18" s="24" t="s">
        <v>156</v>
      </c>
      <c r="G18" s="12">
        <v>2</v>
      </c>
      <c r="H18" s="88">
        <f>IF(B$20=0,0,G18/B$20)</f>
        <v>1.0582010582010581E-2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0.44</v>
      </c>
      <c r="E19" s="27" t="s">
        <v>73</v>
      </c>
      <c r="F19" s="24" t="s">
        <v>28</v>
      </c>
      <c r="G19" s="12">
        <v>1</v>
      </c>
      <c r="H19" s="88">
        <f>IF(B$20=0,0,G19/B$20)</f>
        <v>5.2910052910052907E-3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189</v>
      </c>
      <c r="C20" s="5">
        <f>IF(B$3=0,0,B20/B$3)</f>
        <v>0.34615384615384615</v>
      </c>
      <c r="E20" s="27" t="s">
        <v>88</v>
      </c>
      <c r="F20" s="24" t="s">
        <v>43</v>
      </c>
      <c r="G20" s="12">
        <v>1</v>
      </c>
      <c r="H20" s="88">
        <f>IF(B$20=0,0,G20/B$20)</f>
        <v>5.2910052910052907E-3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12.989473684210525</v>
      </c>
      <c r="Q20" s="77">
        <v>19</v>
      </c>
      <c r="R20" s="68">
        <v>246.79999999999998</v>
      </c>
    </row>
    <row r="21" spans="1:18" x14ac:dyDescent="0.4">
      <c r="A21" s="19" t="s">
        <v>13</v>
      </c>
      <c r="B21" s="12">
        <v>66</v>
      </c>
      <c r="C21" s="6">
        <f>IF(B$3=0,0,B21/B$3)</f>
        <v>0.12087912087912088</v>
      </c>
      <c r="E21" s="27" t="s">
        <v>90</v>
      </c>
      <c r="F21" s="24" t="s">
        <v>45</v>
      </c>
      <c r="G21" s="12">
        <v>1</v>
      </c>
      <c r="H21" s="88">
        <f>IF(B$20=0,0,G21/B$20)</f>
        <v>5.2910052910052907E-3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6.8464285714285698</v>
      </c>
      <c r="Q21" s="77">
        <v>56</v>
      </c>
      <c r="R21" s="68">
        <v>383.39999999999992</v>
      </c>
    </row>
    <row r="22" spans="1:18" x14ac:dyDescent="0.4">
      <c r="A22" s="19" t="s">
        <v>12</v>
      </c>
      <c r="B22" s="12">
        <v>74</v>
      </c>
      <c r="C22" s="6">
        <f>IF(B$20=0,0,B22/B$20)</f>
        <v>0.39153439153439151</v>
      </c>
      <c r="E22" s="27" t="s">
        <v>92</v>
      </c>
      <c r="F22" s="24" t="s">
        <v>47</v>
      </c>
      <c r="G22" s="12">
        <v>1</v>
      </c>
      <c r="H22" s="88">
        <f>IF(B$20=0,0,G22/B$20)</f>
        <v>5.2910052910052907E-3</v>
      </c>
      <c r="I22" s="58">
        <v>2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115</v>
      </c>
      <c r="C23" s="6">
        <f>IF(B$20=0,0,B23/B$20)</f>
        <v>0.60846560846560849</v>
      </c>
      <c r="E23" s="27" t="s">
        <v>102</v>
      </c>
      <c r="F23" s="24" t="s">
        <v>57</v>
      </c>
      <c r="G23" s="12">
        <v>1</v>
      </c>
      <c r="H23" s="88">
        <f>IF(B$20=0,0,G23/B$20)</f>
        <v>5.2910052910052907E-3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64</v>
      </c>
      <c r="C24" s="6">
        <f>IF(B$20=0,0,B24/B$20)</f>
        <v>0.33862433862433861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66</v>
      </c>
      <c r="C25" s="6">
        <f>IF(B$20=0,0,B25/B$20)</f>
        <v>0.34920634920634919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59</v>
      </c>
      <c r="C26" s="6">
        <f>IF(B$20=0,0,B26/B$20)</f>
        <v>0.31216931216931215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7403.7037037037035</v>
      </c>
      <c r="C27" s="8">
        <v>1399300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8339.8373983739839</v>
      </c>
      <c r="C28" s="96">
        <v>1025800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5659.090909090909</v>
      </c>
      <c r="C29" s="96">
        <v>373500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-7636.363636363636</v>
      </c>
      <c r="C30" s="96">
        <v>-504000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100700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7.9365079365079361E-2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48</v>
      </c>
      <c r="C38" s="6">
        <f t="shared" si="2"/>
        <v>0.25396825396825395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40</v>
      </c>
      <c r="C39" s="6">
        <f t="shared" si="2"/>
        <v>0.21164021164021163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31</v>
      </c>
      <c r="C40" s="6">
        <f t="shared" si="2"/>
        <v>0.16402116402116401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28</v>
      </c>
      <c r="C41" s="6">
        <f t="shared" si="2"/>
        <v>0.14814814814814814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9</v>
      </c>
      <c r="C42" s="6">
        <f t="shared" si="2"/>
        <v>4.7619047619047616E-2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9</v>
      </c>
      <c r="C43" s="6">
        <f t="shared" si="2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3</v>
      </c>
      <c r="C44" s="6">
        <f t="shared" si="2"/>
        <v>1.5873015873015872E-2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1.0582010582010581E-2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2"/>
        <v>1.0582010582010581E-2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1.0582010582010581E-2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  <row r="59" spans="1:13" x14ac:dyDescent="0.4">
      <c r="K59" s="74">
        <v>57</v>
      </c>
      <c r="L59" s="119">
        <v>302.19999999999987</v>
      </c>
      <c r="M59" s="117">
        <v>1590.0609404370073</v>
      </c>
    </row>
    <row r="60" spans="1:13" x14ac:dyDescent="0.4">
      <c r="K60" s="74">
        <v>58</v>
      </c>
      <c r="L60" s="119">
        <v>359.19999999999987</v>
      </c>
      <c r="M60" s="117">
        <v>1600.2065747943852</v>
      </c>
    </row>
    <row r="61" spans="1:13" x14ac:dyDescent="0.4">
      <c r="K61" s="74">
        <v>59</v>
      </c>
      <c r="L61" s="119">
        <v>367.49999999999989</v>
      </c>
      <c r="M61" s="117">
        <v>1601.5253353456189</v>
      </c>
    </row>
    <row r="62" spans="1:13" x14ac:dyDescent="0.4">
      <c r="K62" s="74">
        <v>60</v>
      </c>
      <c r="L62" s="119">
        <v>370.09999999999991</v>
      </c>
      <c r="M62" s="117">
        <v>1601.8101833335452</v>
      </c>
    </row>
    <row r="63" spans="1:13" x14ac:dyDescent="0.4">
      <c r="K63" s="74">
        <v>61</v>
      </c>
      <c r="L63" s="119">
        <v>326.19999999999993</v>
      </c>
      <c r="M63" s="117">
        <v>1593.723322233544</v>
      </c>
    </row>
    <row r="64" spans="1:13" x14ac:dyDescent="0.4">
      <c r="K64" s="74">
        <v>62</v>
      </c>
      <c r="L64" s="119">
        <v>401.89999999999992</v>
      </c>
      <c r="M64" s="117">
        <v>1607.2129823001428</v>
      </c>
    </row>
    <row r="65" spans="11:13" x14ac:dyDescent="0.4">
      <c r="K65" s="74">
        <v>63</v>
      </c>
      <c r="L65" s="119">
        <v>431.39999999999992</v>
      </c>
      <c r="M65" s="117">
        <v>1612.3057044063419</v>
      </c>
    </row>
    <row r="66" spans="11:13" x14ac:dyDescent="0.4">
      <c r="K66" s="74">
        <v>64</v>
      </c>
      <c r="L66" s="119">
        <v>414.99999999999994</v>
      </c>
      <c r="M66" s="117">
        <v>1609.1058701799038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4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24</v>
      </c>
      <c r="C2" s="142"/>
      <c r="E2" s="26" t="s">
        <v>66</v>
      </c>
      <c r="F2" s="23" t="s">
        <v>22</v>
      </c>
      <c r="G2" s="11">
        <v>43</v>
      </c>
      <c r="H2" s="87">
        <f>IF(B$20=0,0,G2/B$20)</f>
        <v>0.89583333333333337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183.33333333333334</v>
      </c>
      <c r="Q2" s="76">
        <v>24</v>
      </c>
      <c r="R2" s="63">
        <v>4400</v>
      </c>
    </row>
    <row r="3" spans="1:18" x14ac:dyDescent="0.4">
      <c r="A3" s="19" t="s">
        <v>8</v>
      </c>
      <c r="B3" s="143">
        <v>208</v>
      </c>
      <c r="C3" s="144"/>
      <c r="E3" s="27" t="s">
        <v>64</v>
      </c>
      <c r="F3" s="24" t="s">
        <v>20</v>
      </c>
      <c r="G3" s="12">
        <v>30</v>
      </c>
      <c r="H3" s="88">
        <f>IF(B$20=0,0,G3/B$20)</f>
        <v>0.625</v>
      </c>
      <c r="I3" s="58">
        <v>2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1277.2727272727273</v>
      </c>
      <c r="Q3" s="77">
        <v>22</v>
      </c>
      <c r="R3" s="64">
        <v>28100</v>
      </c>
    </row>
    <row r="4" spans="1:18" x14ac:dyDescent="0.4">
      <c r="A4" s="19" t="s">
        <v>6</v>
      </c>
      <c r="B4" s="145">
        <v>-216.59999999999997</v>
      </c>
      <c r="C4" s="146"/>
      <c r="E4" s="27" t="s">
        <v>159</v>
      </c>
      <c r="F4" s="24" t="s">
        <v>160</v>
      </c>
      <c r="G4" s="12">
        <v>27</v>
      </c>
      <c r="H4" s="88">
        <f>IF(B$20=0,0,G4/B$20)</f>
        <v>0.5625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-1908.695652173913</v>
      </c>
      <c r="Q4" s="77">
        <v>23</v>
      </c>
      <c r="R4" s="64">
        <v>-43900</v>
      </c>
    </row>
    <row r="5" spans="1:18" x14ac:dyDescent="0.4">
      <c r="A5" s="19" t="s">
        <v>7</v>
      </c>
      <c r="B5" s="133">
        <f>IF(B$2=0,0,B$4/B$2)</f>
        <v>-9.0249999999999986</v>
      </c>
      <c r="C5" s="134"/>
      <c r="E5" s="27" t="s">
        <v>68</v>
      </c>
      <c r="F5" s="24" t="s">
        <v>12</v>
      </c>
      <c r="G5" s="12">
        <v>25</v>
      </c>
      <c r="H5" s="88">
        <f>IF(B$20=0,0,G5/B$20)</f>
        <v>0.52083333333333337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-2486.3636363636365</v>
      </c>
      <c r="Q5" s="77">
        <v>22</v>
      </c>
      <c r="R5" s="64">
        <v>-54700</v>
      </c>
    </row>
    <row r="6" spans="1:18" x14ac:dyDescent="0.4">
      <c r="A6" s="19" t="s">
        <v>196</v>
      </c>
      <c r="B6" s="137">
        <v>1378.2238988271472</v>
      </c>
      <c r="C6" s="138"/>
      <c r="E6" s="27" t="s">
        <v>67</v>
      </c>
      <c r="F6" s="24" t="s">
        <v>23</v>
      </c>
      <c r="G6" s="12">
        <v>19</v>
      </c>
      <c r="H6" s="88">
        <f>IF(B$20=0,0,G6/B$20)</f>
        <v>0.39583333333333331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-2576.1904761904761</v>
      </c>
      <c r="Q6" s="77">
        <v>21</v>
      </c>
      <c r="R6" s="64">
        <v>-54100</v>
      </c>
    </row>
    <row r="7" spans="1:18" x14ac:dyDescent="0.4">
      <c r="A7" s="19" t="s">
        <v>1</v>
      </c>
      <c r="B7" s="147">
        <f>IF(B$2=0,0,(B$8*1+B$9*2+B$10*3)/B$2)</f>
        <v>2.0833333333333335</v>
      </c>
      <c r="C7" s="148"/>
      <c r="E7" s="27" t="s">
        <v>72</v>
      </c>
      <c r="F7" s="24" t="s">
        <v>27</v>
      </c>
      <c r="G7" s="12">
        <v>17</v>
      </c>
      <c r="H7" s="88">
        <f>IF(B$20=0,0,G7/B$20)</f>
        <v>0.35416666666666669</v>
      </c>
      <c r="I7" s="58">
        <v>12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-705.26315789473688</v>
      </c>
      <c r="Q7" s="78">
        <v>19</v>
      </c>
      <c r="R7" s="65">
        <v>-13400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12</v>
      </c>
      <c r="H8" s="88">
        <f>IF(B$20=0,0,G8/B$20)</f>
        <v>0.25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0.25</v>
      </c>
      <c r="E9" s="27" t="s">
        <v>70</v>
      </c>
      <c r="F9" s="24" t="s">
        <v>25</v>
      </c>
      <c r="G9" s="12">
        <v>8</v>
      </c>
      <c r="H9" s="88">
        <f>IF(B$20=0,0,G9/B$20)</f>
        <v>0.16666666666666666</v>
      </c>
      <c r="I9" s="58">
        <v>1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</v>
      </c>
      <c r="C10" s="7">
        <f t="shared" si="1"/>
        <v>0.41666666666666669</v>
      </c>
      <c r="E10" s="27" t="s">
        <v>65</v>
      </c>
      <c r="F10" s="24" t="s">
        <v>21</v>
      </c>
      <c r="G10" s="12">
        <v>7</v>
      </c>
      <c r="H10" s="88">
        <f>IF(B$20=0,0,G10/B$20)</f>
        <v>0.14583333333333334</v>
      </c>
      <c r="I10" s="58">
        <v>4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-13.800000000000002</v>
      </c>
      <c r="Q10" s="76">
        <v>6</v>
      </c>
      <c r="R10" s="67">
        <v>-82.800000000000011</v>
      </c>
    </row>
    <row r="11" spans="1:18" x14ac:dyDescent="0.4">
      <c r="A11" s="20" t="s">
        <v>184</v>
      </c>
      <c r="B11" s="109">
        <f>IF(B8=0,0,C11/B8)</f>
        <v>24.299999999999997</v>
      </c>
      <c r="C11" s="110">
        <v>194.39999999999998</v>
      </c>
      <c r="E11" s="27" t="s">
        <v>78</v>
      </c>
      <c r="F11" s="24" t="s">
        <v>33</v>
      </c>
      <c r="G11" s="12">
        <v>3</v>
      </c>
      <c r="H11" s="88">
        <f>IF(B$20=0,0,G11/B$20)</f>
        <v>6.25E-2</v>
      </c>
      <c r="I11" s="58">
        <v>3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-5.5222222222222221</v>
      </c>
      <c r="Q11" s="77">
        <v>9</v>
      </c>
      <c r="R11" s="68">
        <v>-49.7</v>
      </c>
    </row>
    <row r="12" spans="1:18" x14ac:dyDescent="0.4">
      <c r="A12" s="20" t="s">
        <v>185</v>
      </c>
      <c r="B12" s="109">
        <f>IF(B9=0,0,C12/B9)</f>
        <v>1.5166666666666666</v>
      </c>
      <c r="C12" s="110">
        <v>9.1</v>
      </c>
      <c r="E12" s="27" t="s">
        <v>89</v>
      </c>
      <c r="F12" s="24" t="s">
        <v>44</v>
      </c>
      <c r="G12" s="12">
        <v>3</v>
      </c>
      <c r="H12" s="88">
        <f>IF(B$20=0,0,G12/B$20)</f>
        <v>6.25E-2</v>
      </c>
      <c r="I12" s="58">
        <v>11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-9.3444444444444432</v>
      </c>
      <c r="Q12" s="78">
        <v>9</v>
      </c>
      <c r="R12" s="69">
        <v>-84.1</v>
      </c>
    </row>
    <row r="13" spans="1:18" x14ac:dyDescent="0.4">
      <c r="A13" s="20" t="s">
        <v>186</v>
      </c>
      <c r="B13" s="109">
        <f>IF(B10=0,0,C13/B10)</f>
        <v>-42.010000000000005</v>
      </c>
      <c r="C13" s="110">
        <v>-420.1</v>
      </c>
      <c r="E13" s="27" t="s">
        <v>71</v>
      </c>
      <c r="F13" s="24" t="s">
        <v>26</v>
      </c>
      <c r="G13" s="12">
        <v>2</v>
      </c>
      <c r="H13" s="88">
        <f>IF(B$20=0,0,G13/B$20)</f>
        <v>4.1666666666666664E-2</v>
      </c>
      <c r="I13" s="58">
        <v>9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-5.3977777777777805</v>
      </c>
      <c r="C14" s="134"/>
      <c r="E14" s="27" t="s">
        <v>86</v>
      </c>
      <c r="F14" s="24" t="s">
        <v>41</v>
      </c>
      <c r="G14" s="12">
        <v>2</v>
      </c>
      <c r="H14" s="88">
        <f>IF(B$20=0,0,G14/B$20)</f>
        <v>4.1666666666666664E-2</v>
      </c>
      <c r="I14" s="58">
        <v>7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0.20833333333333334</v>
      </c>
      <c r="E15" s="27" t="s">
        <v>75</v>
      </c>
      <c r="F15" s="24" t="s">
        <v>30</v>
      </c>
      <c r="G15" s="12">
        <v>1</v>
      </c>
      <c r="H15" s="88">
        <f>IF(B$20=0,0,G15/B$20)</f>
        <v>2.0833333333333332E-2</v>
      </c>
      <c r="I15" s="58">
        <v>1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46</v>
      </c>
      <c r="C16" s="10">
        <f>IF(B$3=0,0,B16/B$3)</f>
        <v>0.22115384615384615</v>
      </c>
      <c r="E16" s="27" t="s">
        <v>81</v>
      </c>
      <c r="F16" s="24" t="s">
        <v>36</v>
      </c>
      <c r="G16" s="12">
        <v>1</v>
      </c>
      <c r="H16" s="88">
        <f>IF(B$20=0,0,G16/B$20)</f>
        <v>2.0833333333333332E-2</v>
      </c>
      <c r="I16" s="58">
        <v>11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24</v>
      </c>
      <c r="C17" s="6">
        <f>IF(B$3=0,0,B17/B$3)</f>
        <v>0.11538461538461539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>IF(Q17=0,0,R17/Q17)</f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30</v>
      </c>
      <c r="C18" s="5">
        <f>IF(B$16=0,0,B18/B$16)</f>
        <v>0.65217391304347827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>IF(Q18=0,0,R18/Q18)</f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0.20833333333333334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-126.1</v>
      </c>
      <c r="M19" s="117">
        <v>1386.3964580576521</v>
      </c>
      <c r="O19" s="74" t="s">
        <v>126</v>
      </c>
      <c r="P19" s="83">
        <f>IF(Q19=0,0,R19/Q19)</f>
        <v>-10.278947368421054</v>
      </c>
      <c r="Q19" s="77">
        <v>19</v>
      </c>
      <c r="R19" s="68">
        <v>-195.30000000000004</v>
      </c>
    </row>
    <row r="20" spans="1:18" x14ac:dyDescent="0.4">
      <c r="A20" s="18" t="s">
        <v>10</v>
      </c>
      <c r="B20" s="11">
        <f>B23+B22</f>
        <v>48</v>
      </c>
      <c r="C20" s="5">
        <f>IF(B$3=0,0,B20/B$3)</f>
        <v>0.23076923076923078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-171.7</v>
      </c>
      <c r="M20" s="117">
        <v>1379.2960793093062</v>
      </c>
      <c r="O20" s="74" t="s">
        <v>192</v>
      </c>
      <c r="P20" s="83">
        <f>IF(Q20=0,0,R20/Q20)</f>
        <v>-32.123076923076923</v>
      </c>
      <c r="Q20" s="77">
        <v>13</v>
      </c>
      <c r="R20" s="68">
        <v>-417.6</v>
      </c>
    </row>
    <row r="21" spans="1:18" x14ac:dyDescent="0.4">
      <c r="A21" s="19" t="s">
        <v>13</v>
      </c>
      <c r="B21" s="12">
        <v>36</v>
      </c>
      <c r="C21" s="6">
        <f>IF(B$3=0,0,B21/B$3)</f>
        <v>0.17307692307692307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  <c r="K21" s="74">
        <v>19</v>
      </c>
      <c r="L21" s="119">
        <v>-207.89999999999998</v>
      </c>
      <c r="M21" s="117">
        <v>1373.9303028334502</v>
      </c>
      <c r="O21" s="74" t="s">
        <v>189</v>
      </c>
      <c r="P21" s="83">
        <f>IF(Q21=0,0,R21/Q21)</f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26</v>
      </c>
      <c r="C22" s="6">
        <f>IF(B$20=0,0,B22/B$20)</f>
        <v>0.54166666666666663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-187.29999999999998</v>
      </c>
      <c r="M22" s="117">
        <v>1378.8207210164496</v>
      </c>
    </row>
    <row r="23" spans="1:18" x14ac:dyDescent="0.4">
      <c r="A23" s="19" t="s">
        <v>11</v>
      </c>
      <c r="B23" s="12">
        <v>22</v>
      </c>
      <c r="C23" s="6">
        <f>IF(B$20=0,0,B23/B$20)</f>
        <v>0.45833333333333331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-178.79999999999998</v>
      </c>
      <c r="M23" s="117">
        <v>1381.503796690351</v>
      </c>
    </row>
    <row r="24" spans="1:18" x14ac:dyDescent="0.4">
      <c r="A24" s="19" t="s">
        <v>183</v>
      </c>
      <c r="B24" s="12">
        <v>30</v>
      </c>
      <c r="C24" s="6">
        <f>IF(B$20=0,0,B24/B$20)</f>
        <v>0.625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11</v>
      </c>
      <c r="K24" s="74">
        <v>22</v>
      </c>
      <c r="L24" s="119">
        <v>-245.59999999999997</v>
      </c>
      <c r="M24" s="117">
        <v>1370.6167739102088</v>
      </c>
    </row>
    <row r="25" spans="1:18" x14ac:dyDescent="0.4">
      <c r="A25" s="19" t="s">
        <v>181</v>
      </c>
      <c r="B25" s="12">
        <v>5</v>
      </c>
      <c r="C25" s="6">
        <f>IF(B$20=0,0,B25/B$20)</f>
        <v>0.10416666666666667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-236.09999999999997</v>
      </c>
      <c r="M25" s="117">
        <v>1373.5290732667477</v>
      </c>
    </row>
    <row r="26" spans="1:18" x14ac:dyDescent="0.4">
      <c r="A26" s="19" t="s">
        <v>182</v>
      </c>
      <c r="B26" s="12">
        <v>13</v>
      </c>
      <c r="C26" s="6">
        <f>IF(B$20=0,0,B26/B$20)</f>
        <v>0.27083333333333331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-216.59999999999997</v>
      </c>
      <c r="M26" s="117">
        <v>1378.2238988271472</v>
      </c>
    </row>
    <row r="27" spans="1:18" x14ac:dyDescent="0.4">
      <c r="A27" s="19" t="s">
        <v>5</v>
      </c>
      <c r="B27" s="16">
        <f>IF(B$20=0,0,C27/B$20)</f>
        <v>9089.5833333333339</v>
      </c>
      <c r="C27" s="8">
        <v>436300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9141.8604651162786</v>
      </c>
      <c r="C28" s="96">
        <v>393100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-8538.8888888888887</v>
      </c>
      <c r="C30" s="96">
        <v>-307400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4.807692307692308E-3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6.25E-2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0.10416666666666667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7</v>
      </c>
      <c r="C39" s="6">
        <f t="shared" si="2"/>
        <v>0.14583333333333334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12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10</v>
      </c>
      <c r="C41" s="6">
        <f t="shared" si="2"/>
        <v>0.20833333333333334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2"/>
        <v>0.10416666666666667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4.1666666666666664E-2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6.25E-2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2.0833333333333332E-2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6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  <row r="20" spans="1:16" x14ac:dyDescent="0.4">
      <c r="A20" s="33">
        <v>17</v>
      </c>
      <c r="B20" s="30">
        <v>-126.1</v>
      </c>
      <c r="C20" s="30">
        <v>-7.4176470588235288</v>
      </c>
      <c r="D20" s="35">
        <v>2.0588235294117645</v>
      </c>
      <c r="E20" s="31">
        <v>0.35294117647058826</v>
      </c>
      <c r="F20" s="31">
        <v>0.41176470588235292</v>
      </c>
      <c r="G20" s="31">
        <v>0.24183006535947713</v>
      </c>
      <c r="H20" s="31">
        <v>0.16339869281045752</v>
      </c>
      <c r="I20" s="32">
        <v>8921.6216216216217</v>
      </c>
      <c r="J20" s="32">
        <v>-7868</v>
      </c>
      <c r="K20" s="31">
        <v>0.17647058823529413</v>
      </c>
      <c r="L20" s="31">
        <v>0.23529411764705882</v>
      </c>
      <c r="M20" s="31">
        <v>0.13071895424836602</v>
      </c>
      <c r="N20" s="31">
        <v>0.63888888888888884</v>
      </c>
      <c r="O20" s="31">
        <v>0.25</v>
      </c>
      <c r="P20" s="31">
        <v>0.56756756756756754</v>
      </c>
    </row>
    <row r="21" spans="1:16" x14ac:dyDescent="0.4">
      <c r="A21" s="33">
        <v>18</v>
      </c>
      <c r="B21" s="30">
        <v>-171.7</v>
      </c>
      <c r="C21" s="30">
        <v>-9.5388888888888879</v>
      </c>
      <c r="D21" s="35">
        <v>2.1111111111111112</v>
      </c>
      <c r="E21" s="31">
        <v>0.33333333333333331</v>
      </c>
      <c r="F21" s="31">
        <v>0.44444444444444442</v>
      </c>
      <c r="G21" s="31">
        <v>0.23125000000000001</v>
      </c>
      <c r="H21" s="31">
        <v>0.18124999999999999</v>
      </c>
      <c r="I21" s="32">
        <v>8921.6216216216217</v>
      </c>
      <c r="J21" s="32">
        <v>-7493.1034482758623</v>
      </c>
      <c r="K21" s="31">
        <v>0.22222222222222221</v>
      </c>
      <c r="L21" s="31">
        <v>0.22500000000000001</v>
      </c>
      <c r="M21" s="31">
        <v>0.125</v>
      </c>
      <c r="N21" s="31">
        <v>0.63888888888888884</v>
      </c>
      <c r="O21" s="31">
        <v>0.25</v>
      </c>
      <c r="P21" s="31">
        <v>0.56756756756756754</v>
      </c>
    </row>
    <row r="22" spans="1:16" x14ac:dyDescent="0.4">
      <c r="A22" s="33">
        <v>19</v>
      </c>
      <c r="B22" s="30">
        <v>-207.89999999999998</v>
      </c>
      <c r="C22" s="30">
        <v>-10.942105263157893</v>
      </c>
      <c r="D22" s="35">
        <v>2.1578947368421053</v>
      </c>
      <c r="E22" s="31">
        <v>0.31578947368421051</v>
      </c>
      <c r="F22" s="31">
        <v>0.47368421052631576</v>
      </c>
      <c r="G22" s="31">
        <v>0.23809523809523808</v>
      </c>
      <c r="H22" s="31">
        <v>0.17857142857142858</v>
      </c>
      <c r="I22" s="32">
        <v>8535</v>
      </c>
      <c r="J22" s="32">
        <v>-8310</v>
      </c>
      <c r="K22" s="31">
        <v>0.21052631578947367</v>
      </c>
      <c r="L22" s="31">
        <v>0.22619047619047619</v>
      </c>
      <c r="M22" s="31">
        <v>0.125</v>
      </c>
      <c r="N22" s="31">
        <v>0.65789473684210531</v>
      </c>
      <c r="O22" s="31">
        <v>0.23809523809523808</v>
      </c>
      <c r="P22" s="31">
        <v>0.55000000000000004</v>
      </c>
    </row>
    <row r="23" spans="1:16" x14ac:dyDescent="0.4">
      <c r="A23" s="33">
        <v>20</v>
      </c>
      <c r="B23" s="30">
        <v>-187.29999999999998</v>
      </c>
      <c r="C23" s="30">
        <v>-9.3649999999999984</v>
      </c>
      <c r="D23" s="35">
        <v>2.1</v>
      </c>
      <c r="E23" s="31">
        <v>0.35</v>
      </c>
      <c r="F23" s="31">
        <v>0.45</v>
      </c>
      <c r="G23" s="31">
        <v>0.23595505617977527</v>
      </c>
      <c r="H23" s="31">
        <v>0.1797752808988764</v>
      </c>
      <c r="I23" s="32">
        <v>9080.9523809523816</v>
      </c>
      <c r="J23" s="32">
        <v>-8071.875</v>
      </c>
      <c r="K23" s="31">
        <v>0.2</v>
      </c>
      <c r="L23" s="31">
        <v>0.2247191011235955</v>
      </c>
      <c r="M23" s="31">
        <v>0.12359550561797752</v>
      </c>
      <c r="N23" s="31">
        <v>0.65</v>
      </c>
      <c r="O23" s="31">
        <v>0.22727272727272727</v>
      </c>
      <c r="P23" s="31">
        <v>0.5714285714285714</v>
      </c>
    </row>
    <row r="24" spans="1:16" x14ac:dyDescent="0.4">
      <c r="A24" s="33">
        <v>21</v>
      </c>
      <c r="B24" s="30">
        <v>-178.79999999999998</v>
      </c>
      <c r="C24" s="30">
        <v>-8.5142857142857142</v>
      </c>
      <c r="D24" s="35">
        <v>2.0952380952380953</v>
      </c>
      <c r="E24" s="31">
        <v>0.33333333333333331</v>
      </c>
      <c r="F24" s="31">
        <v>0.42857142857142855</v>
      </c>
      <c r="G24" s="31">
        <v>0.23529411764705882</v>
      </c>
      <c r="H24" s="31">
        <v>0.17112299465240641</v>
      </c>
      <c r="I24" s="32">
        <v>9159.0909090909099</v>
      </c>
      <c r="J24" s="32">
        <v>-8071.875</v>
      </c>
      <c r="K24" s="31">
        <v>0.19047619047619047</v>
      </c>
      <c r="L24" s="31">
        <v>0.21925133689839571</v>
      </c>
      <c r="M24" s="31">
        <v>0.12299465240641712</v>
      </c>
      <c r="N24" s="31">
        <v>0.65853658536585369</v>
      </c>
      <c r="O24" s="31">
        <v>0.21739130434782608</v>
      </c>
      <c r="P24" s="31">
        <v>0.56818181818181823</v>
      </c>
    </row>
    <row r="25" spans="1:16" x14ac:dyDescent="0.4">
      <c r="A25" s="33">
        <v>22</v>
      </c>
      <c r="B25" s="30">
        <v>-245.59999999999997</v>
      </c>
      <c r="C25" s="30">
        <v>-11.163636363636362</v>
      </c>
      <c r="D25" s="35">
        <v>2.1363636363636362</v>
      </c>
      <c r="E25" s="31">
        <v>0.31818181818181818</v>
      </c>
      <c r="F25" s="31">
        <v>0.45454545454545453</v>
      </c>
      <c r="G25" s="31">
        <v>0.22680412371134021</v>
      </c>
      <c r="H25" s="31">
        <v>0.18041237113402062</v>
      </c>
      <c r="I25" s="32">
        <v>9159.0909090909099</v>
      </c>
      <c r="J25" s="32">
        <v>-8745.7142857142862</v>
      </c>
      <c r="K25" s="31">
        <v>0.22727272727272727</v>
      </c>
      <c r="L25" s="31">
        <v>0.21134020618556701</v>
      </c>
      <c r="M25" s="31">
        <v>0.11855670103092783</v>
      </c>
      <c r="N25" s="31">
        <v>0.65853658536585369</v>
      </c>
      <c r="O25" s="31">
        <v>0.21739130434782608</v>
      </c>
      <c r="P25" s="31">
        <v>0.56818181818181823</v>
      </c>
    </row>
    <row r="26" spans="1:16" x14ac:dyDescent="0.4">
      <c r="A26" s="33">
        <v>23</v>
      </c>
      <c r="B26" s="30">
        <v>-236.09999999999997</v>
      </c>
      <c r="C26" s="30">
        <v>-10.265217391304347</v>
      </c>
      <c r="D26" s="35">
        <v>2.1304347826086958</v>
      </c>
      <c r="E26" s="31">
        <v>0.30434782608695654</v>
      </c>
      <c r="F26" s="31">
        <v>0.43478260869565216</v>
      </c>
      <c r="G26" s="31">
        <v>0.23</v>
      </c>
      <c r="H26" s="31">
        <v>0.17499999999999999</v>
      </c>
      <c r="I26" s="32">
        <v>9195.652173913044</v>
      </c>
      <c r="J26" s="32">
        <v>-8745.7142857142862</v>
      </c>
      <c r="K26" s="31">
        <v>0.21739130434782608</v>
      </c>
      <c r="L26" s="31">
        <v>0.22</v>
      </c>
      <c r="M26" s="31">
        <v>0.115</v>
      </c>
      <c r="N26" s="31">
        <v>0.65909090909090906</v>
      </c>
      <c r="O26" s="31">
        <v>0.21739130434782608</v>
      </c>
      <c r="P26" s="31">
        <v>0.56521739130434778</v>
      </c>
    </row>
    <row r="27" spans="1:16" x14ac:dyDescent="0.4">
      <c r="A27" s="33">
        <v>24</v>
      </c>
      <c r="B27" s="30">
        <v>-216.59999999999997</v>
      </c>
      <c r="C27" s="30">
        <v>-9.0249999999999986</v>
      </c>
      <c r="D27" s="35">
        <v>2.0833333333333335</v>
      </c>
      <c r="E27" s="31">
        <v>0.33333333333333331</v>
      </c>
      <c r="F27" s="31">
        <v>0.41666666666666669</v>
      </c>
      <c r="G27" s="31">
        <v>0.23076923076923078</v>
      </c>
      <c r="H27" s="31">
        <v>0.17307692307692307</v>
      </c>
      <c r="I27" s="32">
        <v>9089.5833333333339</v>
      </c>
      <c r="J27" s="32">
        <v>-8538.8888888888887</v>
      </c>
      <c r="K27" s="31">
        <v>0.20833333333333334</v>
      </c>
      <c r="L27" s="31">
        <v>0.22115384615384615</v>
      </c>
      <c r="M27" s="31">
        <v>0.11538461538461539</v>
      </c>
      <c r="N27" s="31">
        <v>0.65217391304347827</v>
      </c>
      <c r="O27" s="31">
        <v>0.20833333333333334</v>
      </c>
      <c r="P27" s="31">
        <v>0.54166666666666663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6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  <row r="60" spans="1:16" x14ac:dyDescent="0.4">
      <c r="A60" s="33">
        <v>57</v>
      </c>
      <c r="B60" s="30">
        <v>302.19999999999987</v>
      </c>
      <c r="C60" s="30">
        <v>5.3017543859649097</v>
      </c>
      <c r="D60" s="35">
        <v>1.8245614035087718</v>
      </c>
      <c r="E60" s="31">
        <v>0.40350877192982454</v>
      </c>
      <c r="F60" s="31">
        <v>0.22807017543859648</v>
      </c>
      <c r="G60" s="31">
        <v>0.33604887983706722</v>
      </c>
      <c r="H60" s="31">
        <v>0.12016293279022404</v>
      </c>
      <c r="I60" s="32">
        <v>7335.151515151515</v>
      </c>
      <c r="J60" s="32">
        <v>-7877.9661016949149</v>
      </c>
      <c r="K60" s="31">
        <v>7.0175438596491224E-2</v>
      </c>
      <c r="L60" s="31">
        <v>0.19755600814663951</v>
      </c>
      <c r="M60" s="31">
        <v>0.2708757637474542</v>
      </c>
      <c r="N60" s="31">
        <v>0.53608247422680411</v>
      </c>
      <c r="O60" s="31">
        <v>0.43609022556390975</v>
      </c>
      <c r="P60" s="31">
        <v>0.4</v>
      </c>
    </row>
    <row r="61" spans="1:16" x14ac:dyDescent="0.4">
      <c r="A61" s="33">
        <v>58</v>
      </c>
      <c r="B61" s="30">
        <v>359.19999999999987</v>
      </c>
      <c r="C61" s="30">
        <v>6.1931034482758598</v>
      </c>
      <c r="D61" s="35">
        <v>1.8103448275862069</v>
      </c>
      <c r="E61" s="31">
        <v>0.41379310344827586</v>
      </c>
      <c r="F61" s="31">
        <v>0.22413793103448276</v>
      </c>
      <c r="G61" s="31">
        <v>0.34337349397590361</v>
      </c>
      <c r="H61" s="31">
        <v>0.11847389558232932</v>
      </c>
      <c r="I61" s="32">
        <v>7326.3157894736842</v>
      </c>
      <c r="J61" s="32">
        <v>-7877.9661016949149</v>
      </c>
      <c r="K61" s="31">
        <v>6.8965517241379309E-2</v>
      </c>
      <c r="L61" s="31">
        <v>0.20281124497991967</v>
      </c>
      <c r="M61" s="31">
        <v>0.27108433734939757</v>
      </c>
      <c r="N61" s="31">
        <v>0.5544554455445545</v>
      </c>
      <c r="O61" s="31">
        <v>0.44444444444444442</v>
      </c>
      <c r="P61" s="31">
        <v>0.391812865497076</v>
      </c>
    </row>
    <row r="62" spans="1:16" x14ac:dyDescent="0.4">
      <c r="A62" s="33">
        <v>59</v>
      </c>
      <c r="B62" s="30">
        <v>367.49999999999989</v>
      </c>
      <c r="C62" s="30">
        <v>6.228813559322032</v>
      </c>
      <c r="D62" s="35">
        <v>1.8135593220338984</v>
      </c>
      <c r="E62" s="31">
        <v>0.40677966101694918</v>
      </c>
      <c r="F62" s="31">
        <v>0.22033898305084745</v>
      </c>
      <c r="G62" s="31">
        <v>0.34387351778656128</v>
      </c>
      <c r="H62" s="31">
        <v>0.11857707509881422</v>
      </c>
      <c r="I62" s="32">
        <v>7296.5517241379312</v>
      </c>
      <c r="J62" s="32">
        <v>-7780</v>
      </c>
      <c r="K62" s="31">
        <v>6.7796610169491525E-2</v>
      </c>
      <c r="L62" s="31">
        <v>0.2075098814229249</v>
      </c>
      <c r="M62" s="31">
        <v>0.27075098814229248</v>
      </c>
      <c r="N62" s="31">
        <v>0.55238095238095242</v>
      </c>
      <c r="O62" s="31">
        <v>0.44525547445255476</v>
      </c>
      <c r="P62" s="31">
        <v>0.39655172413793105</v>
      </c>
    </row>
    <row r="63" spans="1:16" x14ac:dyDescent="0.4">
      <c r="A63" s="33">
        <v>60</v>
      </c>
      <c r="B63" s="30">
        <v>370.09999999999991</v>
      </c>
      <c r="C63" s="30">
        <v>6.1683333333333321</v>
      </c>
      <c r="D63" s="35">
        <v>1.8166666666666667</v>
      </c>
      <c r="E63" s="31">
        <v>0.4</v>
      </c>
      <c r="F63" s="31">
        <v>0.21666666666666667</v>
      </c>
      <c r="G63" s="31">
        <v>0.34689922480620156</v>
      </c>
      <c r="H63" s="31">
        <v>0.11627906976744186</v>
      </c>
      <c r="I63" s="32">
        <v>7253.0726256983244</v>
      </c>
      <c r="J63" s="32">
        <v>-7780</v>
      </c>
      <c r="K63" s="31">
        <v>6.6666666666666666E-2</v>
      </c>
      <c r="L63" s="31">
        <v>0.21124031007751937</v>
      </c>
      <c r="M63" s="31">
        <v>0.27131782945736432</v>
      </c>
      <c r="N63" s="31">
        <v>0.55963302752293576</v>
      </c>
      <c r="O63" s="31">
        <v>0.45</v>
      </c>
      <c r="P63" s="31">
        <v>0.4022346368715084</v>
      </c>
    </row>
    <row r="64" spans="1:16" x14ac:dyDescent="0.4">
      <c r="A64" s="33">
        <v>61</v>
      </c>
      <c r="B64" s="30">
        <v>326.19999999999993</v>
      </c>
      <c r="C64" s="30">
        <v>5.3475409836065566</v>
      </c>
      <c r="D64" s="35">
        <v>1.8360655737704918</v>
      </c>
      <c r="E64" s="31">
        <v>0.39344262295081966</v>
      </c>
      <c r="F64" s="31">
        <v>0.22950819672131148</v>
      </c>
      <c r="G64" s="31">
        <v>0.34476190476190477</v>
      </c>
      <c r="H64" s="31">
        <v>0.1180952380952381</v>
      </c>
      <c r="I64" s="32">
        <v>7228.1767955801106</v>
      </c>
      <c r="J64" s="32">
        <v>-7916.1290322580644</v>
      </c>
      <c r="K64" s="31">
        <v>6.5573770491803282E-2</v>
      </c>
      <c r="L64" s="31">
        <v>0.20952380952380953</v>
      </c>
      <c r="M64" s="31">
        <v>0.27238095238095239</v>
      </c>
      <c r="N64" s="31">
        <v>0.5636363636363636</v>
      </c>
      <c r="O64" s="31">
        <v>0.44755244755244755</v>
      </c>
      <c r="P64" s="31">
        <v>0.39779005524861877</v>
      </c>
    </row>
    <row r="65" spans="1:16" x14ac:dyDescent="0.4">
      <c r="A65" s="33">
        <v>62</v>
      </c>
      <c r="B65" s="30">
        <v>401.89999999999992</v>
      </c>
      <c r="C65" s="30">
        <v>6.4822580645161274</v>
      </c>
      <c r="D65" s="35">
        <v>1.8225806451612903</v>
      </c>
      <c r="E65" s="31">
        <v>0.40322580645161288</v>
      </c>
      <c r="F65" s="31">
        <v>0.22580645161290322</v>
      </c>
      <c r="G65" s="31">
        <v>0.34774436090225563</v>
      </c>
      <c r="H65" s="31">
        <v>0.11654135338345864</v>
      </c>
      <c r="I65" s="32">
        <v>7372.9729729729734</v>
      </c>
      <c r="J65" s="32">
        <v>-7916.1290322580644</v>
      </c>
      <c r="K65" s="31">
        <v>6.4516129032258063E-2</v>
      </c>
      <c r="L65" s="31">
        <v>0.21052631578947367</v>
      </c>
      <c r="M65" s="31">
        <v>0.27255639097744361</v>
      </c>
      <c r="N65" s="31">
        <v>0.5625</v>
      </c>
      <c r="O65" s="31">
        <v>0.44827586206896552</v>
      </c>
      <c r="P65" s="31">
        <v>0.38918918918918921</v>
      </c>
    </row>
    <row r="66" spans="1:16" x14ac:dyDescent="0.4">
      <c r="A66" s="33">
        <v>63</v>
      </c>
      <c r="B66" s="30">
        <v>431.39999999999992</v>
      </c>
      <c r="C66" s="30">
        <v>6.8476190476190464</v>
      </c>
      <c r="D66" s="35">
        <v>1.8095238095238095</v>
      </c>
      <c r="E66" s="31">
        <v>0.41269841269841268</v>
      </c>
      <c r="F66" s="31">
        <v>0.22222222222222221</v>
      </c>
      <c r="G66" s="31">
        <v>0.34944237918215615</v>
      </c>
      <c r="H66" s="31">
        <v>0.11895910780669144</v>
      </c>
      <c r="I66" s="32">
        <v>7432.4468085106382</v>
      </c>
      <c r="J66" s="32">
        <v>-7814.0625</v>
      </c>
      <c r="K66" s="31">
        <v>6.3492063492063489E-2</v>
      </c>
      <c r="L66" s="31">
        <v>0.21189591078066913</v>
      </c>
      <c r="M66" s="31">
        <v>0.27137546468401486</v>
      </c>
      <c r="N66" s="31">
        <v>0.56140350877192979</v>
      </c>
      <c r="O66" s="31">
        <v>0.4452054794520548</v>
      </c>
      <c r="P66" s="31">
        <v>0.39361702127659576</v>
      </c>
    </row>
    <row r="67" spans="1:16" x14ac:dyDescent="0.4">
      <c r="A67" s="33">
        <v>64</v>
      </c>
      <c r="B67" s="30">
        <v>414.99999999999994</v>
      </c>
      <c r="C67" s="30">
        <v>6.4843749999999991</v>
      </c>
      <c r="D67" s="35">
        <v>1.828125</v>
      </c>
      <c r="E67" s="31">
        <v>0.40625</v>
      </c>
      <c r="F67" s="31">
        <v>0.234375</v>
      </c>
      <c r="G67" s="31">
        <v>0.34615384615384615</v>
      </c>
      <c r="H67" s="31">
        <v>0.12087912087912088</v>
      </c>
      <c r="I67" s="32">
        <v>7403.7037037037035</v>
      </c>
      <c r="J67" s="32">
        <v>-7636.363636363636</v>
      </c>
      <c r="K67" s="31">
        <v>6.25E-2</v>
      </c>
      <c r="L67" s="31">
        <v>0.21428571428571427</v>
      </c>
      <c r="M67" s="31">
        <v>0.27472527472527475</v>
      </c>
      <c r="N67" s="31">
        <v>0.54700854700854706</v>
      </c>
      <c r="O67" s="31">
        <v>0.44</v>
      </c>
      <c r="P67" s="31">
        <v>0.39153439153439151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  <row r="54" spans="1:16" x14ac:dyDescent="0.4">
      <c r="A54" s="33">
        <v>51</v>
      </c>
      <c r="B54" s="30">
        <v>178.2</v>
      </c>
      <c r="C54" s="30">
        <v>3.4941176470588231</v>
      </c>
      <c r="D54" s="35">
        <v>1.9215686274509804</v>
      </c>
      <c r="E54" s="31">
        <v>0.37254901960784315</v>
      </c>
      <c r="F54" s="31">
        <v>0.29411764705882354</v>
      </c>
      <c r="G54" s="31">
        <v>0.30697674418604654</v>
      </c>
      <c r="H54" s="31">
        <v>0.1372093023255814</v>
      </c>
      <c r="I54" s="32">
        <v>7929.545454545455</v>
      </c>
      <c r="J54" s="32">
        <v>-6961.0169491525421</v>
      </c>
      <c r="K54" s="31">
        <v>3.9215686274509803E-2</v>
      </c>
      <c r="L54" s="31">
        <v>0.22790697674418606</v>
      </c>
      <c r="M54" s="31">
        <v>0.2255813953488372</v>
      </c>
      <c r="N54" s="31">
        <v>0.59183673469387754</v>
      </c>
      <c r="O54" s="31">
        <v>0.45360824742268041</v>
      </c>
      <c r="P54" s="31">
        <v>0.40151515151515149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  <row r="87" spans="1:16" x14ac:dyDescent="0.4">
      <c r="A87" s="33">
        <v>84</v>
      </c>
      <c r="B87" s="30">
        <v>-180</v>
      </c>
      <c r="C87" s="30">
        <v>-2.1428571428571428</v>
      </c>
      <c r="D87" s="35">
        <v>2.0238095238095237</v>
      </c>
      <c r="E87" s="31">
        <v>0.30952380952380953</v>
      </c>
      <c r="F87" s="31">
        <v>0.33333333333333331</v>
      </c>
      <c r="G87" s="31">
        <v>0.26266666666666666</v>
      </c>
      <c r="H87" s="31">
        <v>0.20266666666666666</v>
      </c>
      <c r="I87" s="32">
        <v>9402.5380710659902</v>
      </c>
      <c r="J87" s="32">
        <v>-7679.605263157895</v>
      </c>
      <c r="K87" s="31">
        <v>0.13095238095238096</v>
      </c>
      <c r="L87" s="31">
        <v>0.28133333333333332</v>
      </c>
      <c r="M87" s="31">
        <v>0.22533333333333333</v>
      </c>
      <c r="N87" s="31">
        <v>0.47867298578199052</v>
      </c>
      <c r="O87" s="31">
        <v>0.33727810650887574</v>
      </c>
      <c r="P87" s="31">
        <v>0.45177664974619292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3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  <row r="130" spans="1:16" x14ac:dyDescent="0.4">
      <c r="A130" s="33">
        <v>127</v>
      </c>
      <c r="B130" s="30">
        <v>148.2999999999999</v>
      </c>
      <c r="C130" s="30">
        <v>1.1677165354330701</v>
      </c>
      <c r="D130" s="35">
        <v>2.015748031496063</v>
      </c>
      <c r="E130" s="31">
        <v>0.34645669291338582</v>
      </c>
      <c r="F130" s="31">
        <v>0.36220472440944884</v>
      </c>
      <c r="G130" s="31">
        <v>0.3168685927306617</v>
      </c>
      <c r="H130" s="31">
        <v>0.17241379310344829</v>
      </c>
      <c r="I130" s="32">
        <v>8165</v>
      </c>
      <c r="J130" s="32">
        <v>-7541.0810810810808</v>
      </c>
      <c r="K130" s="31">
        <v>8.6614173228346455E-2</v>
      </c>
      <c r="L130" s="31">
        <v>0.24790307548928239</v>
      </c>
      <c r="M130" s="31">
        <v>0.20037278657968313</v>
      </c>
      <c r="N130" s="31">
        <v>0.56390977443609025</v>
      </c>
      <c r="O130" s="31">
        <v>0.4697674418604651</v>
      </c>
      <c r="P130" s="31">
        <v>0.45294117647058824</v>
      </c>
    </row>
    <row r="131" spans="1:16" x14ac:dyDescent="0.4">
      <c r="A131" s="33">
        <v>128</v>
      </c>
      <c r="B131" s="30">
        <v>126.39999999999989</v>
      </c>
      <c r="C131" s="30">
        <v>0.98749999999999916</v>
      </c>
      <c r="D131" s="35">
        <v>2.0234375</v>
      </c>
      <c r="E131" s="31">
        <v>0.34375</v>
      </c>
      <c r="F131" s="31">
        <v>0.3671875</v>
      </c>
      <c r="G131" s="31">
        <v>0.31637372802960223</v>
      </c>
      <c r="H131" s="31">
        <v>0.17206290471785385</v>
      </c>
      <c r="I131" s="32">
        <v>8152.3391812865493</v>
      </c>
      <c r="J131" s="32">
        <v>-7521.5053763440865</v>
      </c>
      <c r="K131" s="31">
        <v>8.59375E-2</v>
      </c>
      <c r="L131" s="31">
        <v>0.24884366327474561</v>
      </c>
      <c r="M131" s="31">
        <v>0.20074005550416282</v>
      </c>
      <c r="N131" s="31">
        <v>0.55762081784386619</v>
      </c>
      <c r="O131" s="31">
        <v>0.47465437788018433</v>
      </c>
      <c r="P131" s="31">
        <v>0.45614035087719296</v>
      </c>
    </row>
    <row r="132" spans="1:16" x14ac:dyDescent="0.4">
      <c r="A132" s="33">
        <v>129</v>
      </c>
      <c r="B132" s="30">
        <v>114.99999999999989</v>
      </c>
      <c r="C132" s="30">
        <v>0.8914728682170534</v>
      </c>
      <c r="D132" s="35">
        <v>2.0232558139534884</v>
      </c>
      <c r="E132" s="31">
        <v>0.34108527131782945</v>
      </c>
      <c r="F132" s="31">
        <v>0.36434108527131781</v>
      </c>
      <c r="G132" s="31">
        <v>0.31433823529411764</v>
      </c>
      <c r="H132" s="31">
        <v>0.171875</v>
      </c>
      <c r="I132" s="32">
        <v>8152.3391812865493</v>
      </c>
      <c r="J132" s="32">
        <v>-7502.139037433155</v>
      </c>
      <c r="K132" s="31">
        <v>8.5271317829457363E-2</v>
      </c>
      <c r="L132" s="31">
        <v>0.24724264705882354</v>
      </c>
      <c r="M132" s="31">
        <v>0.19944852941176472</v>
      </c>
      <c r="N132" s="31">
        <v>0.55762081784386619</v>
      </c>
      <c r="O132" s="31">
        <v>0.47465437788018433</v>
      </c>
      <c r="P132" s="31">
        <v>0.45614035087719296</v>
      </c>
    </row>
    <row r="133" spans="1:16" x14ac:dyDescent="0.4">
      <c r="A133" s="33">
        <v>130</v>
      </c>
      <c r="B133" s="30">
        <v>142.89999999999989</v>
      </c>
      <c r="C133" s="30">
        <v>1.0992307692307683</v>
      </c>
      <c r="D133" s="35">
        <v>2.0153846153846153</v>
      </c>
      <c r="E133" s="31">
        <v>0.34615384615384615</v>
      </c>
      <c r="F133" s="31">
        <v>0.36153846153846153</v>
      </c>
      <c r="G133" s="31">
        <v>0.31295620437956206</v>
      </c>
      <c r="H133" s="31">
        <v>0.17244525547445255</v>
      </c>
      <c r="I133" s="32">
        <v>8221.8658892128278</v>
      </c>
      <c r="J133" s="32">
        <v>-7455.0264550264546</v>
      </c>
      <c r="K133" s="31">
        <v>8.461538461538462E-2</v>
      </c>
      <c r="L133" s="31">
        <v>0.24543795620437955</v>
      </c>
      <c r="M133" s="31">
        <v>0.19981751824817517</v>
      </c>
      <c r="N133" s="31">
        <v>0.55762081784386619</v>
      </c>
      <c r="O133" s="31">
        <v>0.47031963470319632</v>
      </c>
      <c r="P133" s="31">
        <v>0.45481049562682213</v>
      </c>
    </row>
    <row r="134" spans="1:16" x14ac:dyDescent="0.4">
      <c r="A134" s="33">
        <v>131</v>
      </c>
      <c r="B134" s="30">
        <v>119.69999999999989</v>
      </c>
      <c r="C134" s="30">
        <v>0.91374045801526638</v>
      </c>
      <c r="D134" s="35">
        <v>2.0229007633587788</v>
      </c>
      <c r="E134" s="31">
        <v>0.34351145038167941</v>
      </c>
      <c r="F134" s="31">
        <v>0.36641221374045801</v>
      </c>
      <c r="G134" s="31">
        <v>0.31283905967450271</v>
      </c>
      <c r="H134" s="31">
        <v>0.17088607594936708</v>
      </c>
      <c r="I134" s="32">
        <v>8206.6473988439302</v>
      </c>
      <c r="J134" s="32">
        <v>-7455.0264550264546</v>
      </c>
      <c r="K134" s="31">
        <v>8.3969465648854963E-2</v>
      </c>
      <c r="L134" s="31">
        <v>0.24593128390596744</v>
      </c>
      <c r="M134" s="31">
        <v>0.19981916817359854</v>
      </c>
      <c r="N134" s="31">
        <v>0.55514705882352944</v>
      </c>
      <c r="O134" s="31">
        <v>0.47058823529411764</v>
      </c>
      <c r="P134" s="31">
        <v>0.45953757225433528</v>
      </c>
    </row>
    <row r="135" spans="1:16" x14ac:dyDescent="0.4">
      <c r="A135" s="33">
        <v>132</v>
      </c>
      <c r="B135" s="30">
        <v>155.09999999999988</v>
      </c>
      <c r="C135" s="30">
        <v>1.1749999999999992</v>
      </c>
      <c r="D135" s="35">
        <v>2.0151515151515151</v>
      </c>
      <c r="E135" s="31">
        <v>0.34848484848484851</v>
      </c>
      <c r="F135" s="31">
        <v>0.36363636363636365</v>
      </c>
      <c r="G135" s="31">
        <v>0.3147982062780269</v>
      </c>
      <c r="H135" s="31">
        <v>0.17219730941704037</v>
      </c>
      <c r="I135" s="32">
        <v>8239.3162393162402</v>
      </c>
      <c r="J135" s="32">
        <v>-7440.625</v>
      </c>
      <c r="K135" s="31">
        <v>8.3333333333333329E-2</v>
      </c>
      <c r="L135" s="31">
        <v>0.24932735426008967</v>
      </c>
      <c r="M135" s="31">
        <v>0.19820627802690582</v>
      </c>
      <c r="N135" s="31">
        <v>0.5611510791366906</v>
      </c>
      <c r="O135" s="31">
        <v>0.47058823529411764</v>
      </c>
      <c r="P135" s="31">
        <v>0.46153846153846156</v>
      </c>
    </row>
    <row r="136" spans="1:16" x14ac:dyDescent="0.4">
      <c r="A136" s="33">
        <v>133</v>
      </c>
      <c r="B136" s="30">
        <v>146.19999999999987</v>
      </c>
      <c r="C136" s="30">
        <v>1.0992481203007509</v>
      </c>
      <c r="D136" s="35">
        <v>2.0150375939849625</v>
      </c>
      <c r="E136" s="31">
        <v>0.34586466165413532</v>
      </c>
      <c r="F136" s="31">
        <v>0.36090225563909772</v>
      </c>
      <c r="G136" s="31">
        <v>0.3146167557932264</v>
      </c>
      <c r="H136" s="31">
        <v>0.17290552584670232</v>
      </c>
      <c r="I136" s="32">
        <v>8243.0594900849865</v>
      </c>
      <c r="J136" s="32">
        <v>-7496.3917525773195</v>
      </c>
      <c r="K136" s="31">
        <v>8.2706766917293228E-2</v>
      </c>
      <c r="L136" s="31">
        <v>0.24866310160427807</v>
      </c>
      <c r="M136" s="31">
        <v>0.19875222816399288</v>
      </c>
      <c r="N136" s="31">
        <v>0.55913978494623651</v>
      </c>
      <c r="O136" s="31">
        <v>0.47533632286995514</v>
      </c>
      <c r="P136" s="31">
        <v>0.45892351274787535</v>
      </c>
    </row>
    <row r="137" spans="1:16" x14ac:dyDescent="0.4">
      <c r="A137" s="33">
        <v>134</v>
      </c>
      <c r="B137" s="30">
        <v>107.19999999999987</v>
      </c>
      <c r="C137" s="30">
        <v>0.79999999999999905</v>
      </c>
      <c r="D137" s="35">
        <v>2.0223880597014925</v>
      </c>
      <c r="E137" s="31">
        <v>0.34328358208955223</v>
      </c>
      <c r="F137" s="31">
        <v>0.36567164179104478</v>
      </c>
      <c r="G137" s="31">
        <v>0.31382978723404253</v>
      </c>
      <c r="H137" s="31">
        <v>0.17287234042553193</v>
      </c>
      <c r="I137" s="32">
        <v>8223.4463276836159</v>
      </c>
      <c r="J137" s="32">
        <v>-7540</v>
      </c>
      <c r="K137" s="31">
        <v>8.2089552238805971E-2</v>
      </c>
      <c r="L137" s="31">
        <v>0.24822695035460993</v>
      </c>
      <c r="M137" s="31">
        <v>0.20035460992907803</v>
      </c>
      <c r="N137" s="31">
        <v>0.56071428571428572</v>
      </c>
      <c r="O137" s="31">
        <v>0.46902654867256638</v>
      </c>
      <c r="P137" s="31">
        <v>0.4576271186440678</v>
      </c>
    </row>
    <row r="138" spans="1:16" x14ac:dyDescent="0.4">
      <c r="A138" s="33">
        <v>135</v>
      </c>
      <c r="B138" s="30">
        <v>104.09999999999988</v>
      </c>
      <c r="C138" s="30">
        <v>0.77111111111111019</v>
      </c>
      <c r="D138" s="35">
        <v>2.0222222222222221</v>
      </c>
      <c r="E138" s="31">
        <v>0.34074074074074073</v>
      </c>
      <c r="F138" s="31">
        <v>0.36296296296296299</v>
      </c>
      <c r="G138" s="31">
        <v>0.31338028169014087</v>
      </c>
      <c r="H138" s="31">
        <v>0.17341549295774647</v>
      </c>
      <c r="I138" s="32">
        <v>8188.2022471910113</v>
      </c>
      <c r="J138" s="32">
        <v>-7534.5177664974617</v>
      </c>
      <c r="K138" s="31">
        <v>8.1481481481481488E-2</v>
      </c>
      <c r="L138" s="31">
        <v>0.24911971830985916</v>
      </c>
      <c r="M138" s="31">
        <v>0.20070422535211269</v>
      </c>
      <c r="N138" s="31">
        <v>0.55830388692579502</v>
      </c>
      <c r="O138" s="31">
        <v>0.46491228070175439</v>
      </c>
      <c r="P138" s="31">
        <v>0.4550561797752809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6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  <row r="154" spans="1:16" x14ac:dyDescent="0.4">
      <c r="A154" s="33">
        <v>151</v>
      </c>
      <c r="B154" s="30">
        <v>4.9737991503207013E-14</v>
      </c>
      <c r="C154" s="30">
        <v>1.0979689073555633E-16</v>
      </c>
      <c r="D154" s="35">
        <v>1.9977924944812362</v>
      </c>
      <c r="E154" s="31">
        <v>0.33554083885209712</v>
      </c>
      <c r="F154" s="31">
        <v>0.33333333333333331</v>
      </c>
      <c r="G154" s="31">
        <v>0.29310786574429926</v>
      </c>
      <c r="H154" s="31">
        <v>0.16397642838841917</v>
      </c>
      <c r="I154" s="32">
        <v>8159.7902097902097</v>
      </c>
      <c r="J154" s="32">
        <v>-7674.6875</v>
      </c>
      <c r="K154" s="31">
        <v>8.8300220750551883E-2</v>
      </c>
      <c r="L154" s="31">
        <v>0.24596464258262873</v>
      </c>
      <c r="M154" s="31">
        <v>0.22367409684857803</v>
      </c>
      <c r="N154" s="31">
        <v>0.5229166666666667</v>
      </c>
      <c r="O154" s="31">
        <v>0.40778923253150057</v>
      </c>
      <c r="P154" s="31">
        <v>0.43444055944055943</v>
      </c>
    </row>
    <row r="155" spans="1:16" x14ac:dyDescent="0.4">
      <c r="A155" s="33">
        <v>152</v>
      </c>
      <c r="B155" s="30">
        <v>4.9737991503207013E-14</v>
      </c>
      <c r="C155" s="30">
        <v>1.0907454277019081E-16</v>
      </c>
      <c r="D155" s="35">
        <v>1.9978070175438596</v>
      </c>
      <c r="E155" s="31">
        <v>0.33552631578947367</v>
      </c>
      <c r="F155" s="31">
        <v>0.33333333333333331</v>
      </c>
      <c r="G155" s="31">
        <v>0.29309905780494017</v>
      </c>
      <c r="H155" s="31">
        <v>0.16322892793481028</v>
      </c>
      <c r="I155" s="32">
        <v>8158.7315377932237</v>
      </c>
      <c r="J155" s="32">
        <v>-7668.7987519500784</v>
      </c>
      <c r="K155" s="31">
        <v>8.771929824561403E-2</v>
      </c>
      <c r="L155" s="31">
        <v>0.24573465749936338</v>
      </c>
      <c r="M155" s="31">
        <v>0.22383498854087089</v>
      </c>
      <c r="N155" s="31">
        <v>0.52227979274611402</v>
      </c>
      <c r="O155" s="31">
        <v>0.40955631399317405</v>
      </c>
      <c r="P155" s="31">
        <v>0.43701129452649867</v>
      </c>
    </row>
    <row r="156" spans="1:16" x14ac:dyDescent="0.4">
      <c r="A156" s="33">
        <v>153</v>
      </c>
      <c r="B156" s="30">
        <v>4.7961634663806763E-14</v>
      </c>
      <c r="C156" s="30">
        <v>1.0449157878825003E-16</v>
      </c>
      <c r="D156" s="35">
        <v>1.9978213507625273</v>
      </c>
      <c r="E156" s="31">
        <v>0.33551198257080611</v>
      </c>
      <c r="F156" s="31">
        <v>0.33333333333333331</v>
      </c>
      <c r="G156" s="31">
        <v>0.29305977710233028</v>
      </c>
      <c r="H156" s="31">
        <v>0.16362715298885511</v>
      </c>
      <c r="I156" s="32">
        <v>8153.1547104580814</v>
      </c>
      <c r="J156" s="32">
        <v>-7647.3684210526317</v>
      </c>
      <c r="K156" s="31">
        <v>8.9324618736383449E-2</v>
      </c>
      <c r="L156" s="31">
        <v>0.24544072948328269</v>
      </c>
      <c r="M156" s="31">
        <v>0.22315096251266464</v>
      </c>
      <c r="N156" s="31">
        <v>0.5242518059855521</v>
      </c>
      <c r="O156" s="31">
        <v>0.41089670828603858</v>
      </c>
      <c r="P156" s="31">
        <v>0.43560933448573896</v>
      </c>
    </row>
    <row r="157" spans="1:16" x14ac:dyDescent="0.4">
      <c r="A157" s="33">
        <v>154</v>
      </c>
      <c r="B157" s="30">
        <v>4.2632564145606011E-14</v>
      </c>
      <c r="C157" s="30">
        <v>9.2278277371441589E-17</v>
      </c>
      <c r="D157" s="35">
        <v>1.9978354978354977</v>
      </c>
      <c r="E157" s="31">
        <v>0.33549783549783552</v>
      </c>
      <c r="F157" s="31">
        <v>0.33333333333333331</v>
      </c>
      <c r="G157" s="31">
        <v>0.29305135951661632</v>
      </c>
      <c r="H157" s="31">
        <v>0.16364551863041288</v>
      </c>
      <c r="I157" s="32">
        <v>8155.7560137457049</v>
      </c>
      <c r="J157" s="32">
        <v>-7662</v>
      </c>
      <c r="K157" s="31">
        <v>8.8744588744588751E-2</v>
      </c>
      <c r="L157" s="31">
        <v>0.24546827794561935</v>
      </c>
      <c r="M157" s="31">
        <v>0.2230614300100705</v>
      </c>
      <c r="N157" s="31">
        <v>0.52512820512820513</v>
      </c>
      <c r="O157" s="31">
        <v>0.40970654627539504</v>
      </c>
      <c r="P157" s="31">
        <v>0.43556701030927836</v>
      </c>
    </row>
    <row r="158" spans="1:16" x14ac:dyDescent="0.4">
      <c r="A158" s="33">
        <v>155</v>
      </c>
      <c r="B158" s="30">
        <v>4.6185277824406512E-14</v>
      </c>
      <c r="C158" s="30">
        <v>9.9323178117003255E-17</v>
      </c>
      <c r="D158" s="35">
        <v>1.9978494623655914</v>
      </c>
      <c r="E158" s="31">
        <v>0.33548387096774196</v>
      </c>
      <c r="F158" s="31">
        <v>0.33333333333333331</v>
      </c>
      <c r="G158" s="31">
        <v>0.29335332333833081</v>
      </c>
      <c r="H158" s="31">
        <v>0.16291854072963519</v>
      </c>
      <c r="I158" s="32">
        <v>8161.3287904599656</v>
      </c>
      <c r="J158" s="32">
        <v>-7652.3006134969328</v>
      </c>
      <c r="K158" s="31">
        <v>8.8172043010752682E-2</v>
      </c>
      <c r="L158" s="31">
        <v>0.24587706146926536</v>
      </c>
      <c r="M158" s="31">
        <v>0.22288855572213892</v>
      </c>
      <c r="N158" s="31">
        <v>0.52540650406504064</v>
      </c>
      <c r="O158" s="31">
        <v>0.4103139013452915</v>
      </c>
      <c r="P158" s="31">
        <v>0.43867120954003408</v>
      </c>
    </row>
    <row r="159" spans="1:16" x14ac:dyDescent="0.4">
      <c r="A159" s="33">
        <v>156</v>
      </c>
      <c r="B159" s="30">
        <v>4.9737991503207013E-14</v>
      </c>
      <c r="C159" s="30">
        <v>1.0627775962223721E-16</v>
      </c>
      <c r="D159" s="35">
        <v>1.9978632478632479</v>
      </c>
      <c r="E159" s="31">
        <v>0.33547008547008544</v>
      </c>
      <c r="F159" s="31">
        <v>0.33333333333333331</v>
      </c>
      <c r="G159" s="31">
        <v>0.29362124596674111</v>
      </c>
      <c r="H159" s="31">
        <v>0.16306775874906926</v>
      </c>
      <c r="I159" s="32">
        <v>8170.3296703296701</v>
      </c>
      <c r="J159" s="32">
        <v>-7660.426179604262</v>
      </c>
      <c r="K159" s="31">
        <v>8.7606837606837601E-2</v>
      </c>
      <c r="L159" s="31">
        <v>0.24621494167287167</v>
      </c>
      <c r="M159" s="31">
        <v>0.22238768925291635</v>
      </c>
      <c r="N159" s="31">
        <v>0.52822580645161288</v>
      </c>
      <c r="O159" s="31">
        <v>0.4095982142857143</v>
      </c>
      <c r="P159" s="31">
        <v>0.43871513102282333</v>
      </c>
    </row>
    <row r="160" spans="1:16" x14ac:dyDescent="0.4">
      <c r="A160" s="33">
        <v>157</v>
      </c>
      <c r="B160" s="30">
        <v>4.7961634663806763E-14</v>
      </c>
      <c r="C160" s="30">
        <v>1.0182937295925003E-16</v>
      </c>
      <c r="D160" s="35">
        <v>1.9978768577494692</v>
      </c>
      <c r="E160" s="31">
        <v>0.3354564755838641</v>
      </c>
      <c r="F160" s="31">
        <v>0.33333333333333331</v>
      </c>
      <c r="G160" s="31">
        <v>0.29358024691358026</v>
      </c>
      <c r="H160" s="31">
        <v>0.16345679012345679</v>
      </c>
      <c r="I160" s="32">
        <v>8190.9167367535747</v>
      </c>
      <c r="J160" s="32">
        <v>-7713.5951661631416</v>
      </c>
      <c r="K160" s="31">
        <v>8.9171974522292988E-2</v>
      </c>
      <c r="L160" s="31">
        <v>0.24567901234567902</v>
      </c>
      <c r="M160" s="31">
        <v>0.22222222222222221</v>
      </c>
      <c r="N160" s="31">
        <v>0.52763819095477382</v>
      </c>
      <c r="O160" s="31">
        <v>0.41111111111111109</v>
      </c>
      <c r="P160" s="31">
        <v>0.43650126156433977</v>
      </c>
    </row>
    <row r="161" spans="1:16" x14ac:dyDescent="0.4">
      <c r="A161" s="33">
        <v>158</v>
      </c>
      <c r="B161" s="30">
        <v>4.9737991503207013E-14</v>
      </c>
      <c r="C161" s="30">
        <v>1.0493247152575319E-16</v>
      </c>
      <c r="D161" s="35">
        <v>1.9978902953586497</v>
      </c>
      <c r="E161" s="31">
        <v>0.33544303797468356</v>
      </c>
      <c r="F161" s="31">
        <v>0.33333333333333331</v>
      </c>
      <c r="G161" s="31">
        <v>0.29375614552605706</v>
      </c>
      <c r="H161" s="31">
        <v>0.16347099311701083</v>
      </c>
      <c r="I161" s="32">
        <v>8195.4811715481173</v>
      </c>
      <c r="J161" s="32">
        <v>-7716.8421052631575</v>
      </c>
      <c r="K161" s="31">
        <v>8.8607594936708861E-2</v>
      </c>
      <c r="L161" s="31">
        <v>0.2460668633235005</v>
      </c>
      <c r="M161" s="31">
        <v>0.22222222222222221</v>
      </c>
      <c r="N161" s="31">
        <v>0.52847152847152845</v>
      </c>
      <c r="O161" s="31">
        <v>0.40929203539823011</v>
      </c>
      <c r="P161" s="31">
        <v>0.43682008368200836</v>
      </c>
    </row>
    <row r="162" spans="1:16" x14ac:dyDescent="0.4">
      <c r="A162" s="33">
        <v>159</v>
      </c>
      <c r="B162" s="30">
        <v>5.1070259132757201E-14</v>
      </c>
      <c r="C162" s="30">
        <v>1.070655327730759E-16</v>
      </c>
      <c r="D162" s="35">
        <v>1.9979035639412999</v>
      </c>
      <c r="E162" s="31">
        <v>0.33542976939203356</v>
      </c>
      <c r="F162" s="31">
        <v>0.33333333333333331</v>
      </c>
      <c r="G162" s="31">
        <v>0.2932551319648094</v>
      </c>
      <c r="H162" s="31">
        <v>0.16373411534701857</v>
      </c>
      <c r="I162" s="32">
        <v>8177.333333333333</v>
      </c>
      <c r="J162" s="32">
        <v>-7687.9104477611936</v>
      </c>
      <c r="K162" s="31">
        <v>8.8050314465408799E-2</v>
      </c>
      <c r="L162" s="31">
        <v>0.24657869012707723</v>
      </c>
      <c r="M162" s="31">
        <v>0.22262952101661779</v>
      </c>
      <c r="N162" s="31">
        <v>0.52626362735381571</v>
      </c>
      <c r="O162" s="31">
        <v>0.40724478594950603</v>
      </c>
      <c r="P162" s="31">
        <v>0.435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2021-01-30T11:27:08Z</dcterms:modified>
</cp:coreProperties>
</file>