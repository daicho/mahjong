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39FA29E6-A77C-4FA9-B7C8-B658A70BC09F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たかの2" sheetId="6309" state="hidden" r:id="rId10"/>
    <sheet name="れんたろう2" sheetId="6307" state="hidden" r:id="rId11"/>
    <sheet name="だいち2" sheetId="6305" state="hidden" r:id="rId12"/>
    <sheet name="全体2" sheetId="6303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リーチ率" sheetId="3524" state="hidden" r:id="rId24"/>
    <sheet name="副露率" sheetId="3525" state="hidden" r:id="rId25"/>
    <sheet name="リーチ成功率" sheetId="4841" state="hidden" r:id="rId26"/>
    <sheet name="副露成功率" sheetId="3527" state="hidden" r:id="rId27"/>
    <sheet name="ツモ率" sheetId="3528" state="hidden" r:id="rId28"/>
  </sheets>
  <definedNames>
    <definedName name="アガリ数" localSheetId="3">Template1!$B$19</definedName>
    <definedName name="アガリ数" localSheetId="6">だいち!$B$19</definedName>
    <definedName name="アガリ数" localSheetId="8">たかの!$B$19</definedName>
    <definedName name="アガリ数" localSheetId="7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6">だいち!$C$19</definedName>
    <definedName name="アガリ率" localSheetId="8">たかの!$C$19</definedName>
    <definedName name="アガリ率" localSheetId="7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6">だいち!$B$25</definedName>
    <definedName name="ダマアガリ数" localSheetId="8">たかの!$B$25</definedName>
    <definedName name="ダマアガリ数" localSheetId="7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6">だいち!$C$25</definedName>
    <definedName name="ダマアガリ率" localSheetId="8">たかの!$C$25</definedName>
    <definedName name="ダマアガリ率" localSheetId="7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6">だいち!$B$34</definedName>
    <definedName name="チョンボ数" localSheetId="8">たかの!$B$34</definedName>
    <definedName name="チョンボ数" localSheetId="7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6">だいち!$C$34</definedName>
    <definedName name="チョンボ率" localSheetId="8">たかの!$C$34</definedName>
    <definedName name="チョンボ率" localSheetId="7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6">だいち!$B$21</definedName>
    <definedName name="ツモ数" localSheetId="8">たかの!$B$21</definedName>
    <definedName name="ツモ数" localSheetId="7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6">だいち!$C$21</definedName>
    <definedName name="ツモ率" localSheetId="8">たかの!$C$21</definedName>
    <definedName name="ツモ率" localSheetId="7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6">だいち!$B$7</definedName>
    <definedName name="トップ数" localSheetId="8">たかの!$B$7</definedName>
    <definedName name="トップ数" localSheetId="7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6">だいち!$C$7</definedName>
    <definedName name="トップ率" localSheetId="8">たかの!$C$7</definedName>
    <definedName name="トップ率" localSheetId="7">れんたろう!$C$7</definedName>
    <definedName name="トップ率" localSheetId="5">全体!$C$7</definedName>
    <definedName name="トップ率">#REF!</definedName>
    <definedName name="バランス" localSheetId="6">だいち!$B$13</definedName>
    <definedName name="バランス" localSheetId="8">たかの!$B$13</definedName>
    <definedName name="バランス" localSheetId="7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6">だいち!$B$14</definedName>
    <definedName name="ふっとび数" localSheetId="8">たかの!$B$14</definedName>
    <definedName name="ふっとび数" localSheetId="7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6">だいち!$C$14</definedName>
    <definedName name="ふっとび率" localSheetId="8">たかの!$C$14</definedName>
    <definedName name="ふっとび率" localSheetId="7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6">だいち!$B$9</definedName>
    <definedName name="ラス数" localSheetId="8">たかの!$B$9</definedName>
    <definedName name="ラス数" localSheetId="7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6">だいち!$C$9</definedName>
    <definedName name="ラス率" localSheetId="8">たかの!$C$9</definedName>
    <definedName name="ラス率" localSheetId="7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6">だいち!$B$23</definedName>
    <definedName name="リーチアガリ数" localSheetId="8">たかの!$B$23</definedName>
    <definedName name="リーチアガリ数" localSheetId="7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6">だいち!$C$23</definedName>
    <definedName name="リーチアガリ率" localSheetId="8">たかの!$C$23</definedName>
    <definedName name="リーチアガリ率" localSheetId="7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6">だいち!$B$15</definedName>
    <definedName name="リーチ数" localSheetId="8">たかの!$B$15</definedName>
    <definedName name="リーチ数" localSheetId="7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6">だいち!$B$17</definedName>
    <definedName name="リーチ成功数" localSheetId="8">たかの!$B$17</definedName>
    <definedName name="リーチ成功数" localSheetId="7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6">だいち!$C$17</definedName>
    <definedName name="リーチ成功率" localSheetId="8">たかの!$C$17</definedName>
    <definedName name="リーチ成功率" localSheetId="7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6">だいち!$C$15</definedName>
    <definedName name="リーチ率" localSheetId="8">たかの!$C$15</definedName>
    <definedName name="リーチ率" localSheetId="7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6">だいち!$B$22</definedName>
    <definedName name="ロン数" localSheetId="8">たかの!$B$22</definedName>
    <definedName name="ロン数" localSheetId="7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6">だいち!$C$22</definedName>
    <definedName name="ロン率" localSheetId="8">たかの!$C$22</definedName>
    <definedName name="ロン率" localSheetId="7">れんたろう!$C$22</definedName>
    <definedName name="ロン率" localSheetId="5">全体!$C$22</definedName>
    <definedName name="ロン率">#REF!</definedName>
    <definedName name="一位スコア" localSheetId="6">だいち!$B$10</definedName>
    <definedName name="一位スコア" localSheetId="8">たかの!$B$10</definedName>
    <definedName name="一位スコア" localSheetId="7">れんたろう!$B$10</definedName>
    <definedName name="一位スコア" localSheetId="5">全体!$B$10</definedName>
    <definedName name="一位スコア">Template1!$B$10</definedName>
    <definedName name="一位通算スコア" localSheetId="6">だいち!$C$10</definedName>
    <definedName name="一位通算スコア" localSheetId="8">たかの!$C$10</definedName>
    <definedName name="一位通算スコア" localSheetId="7">れんたろう!$C$10</definedName>
    <definedName name="一位通算スコア" localSheetId="5">全体!$C$10</definedName>
    <definedName name="一位通算スコア">Template1!$C$10</definedName>
    <definedName name="一翻数" localSheetId="6">だいち!$B$36</definedName>
    <definedName name="一翻数" localSheetId="8">たかの!$B$36</definedName>
    <definedName name="一翻数" localSheetId="7">れんたろう!$B$36</definedName>
    <definedName name="一翻数" localSheetId="5">全体!$B$36</definedName>
    <definedName name="一翻数">Template1!$B$36</definedName>
    <definedName name="一翻率" localSheetId="6">だいち!$C$36</definedName>
    <definedName name="一翻率" localSheetId="8">たかの!$C$36</definedName>
    <definedName name="一翻率" localSheetId="7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6">だいち!$C$30</definedName>
    <definedName name="現行連続アガリ" localSheetId="8">たかの!$C$30</definedName>
    <definedName name="現行連続アガリ" localSheetId="7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6">だいち!$C$31</definedName>
    <definedName name="現行連続無放銃" localSheetId="8">たかの!$C$31</definedName>
    <definedName name="現行連続無放銃" localSheetId="7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6">だいち!$B$33</definedName>
    <definedName name="最高点" localSheetId="8">たかの!$B$33</definedName>
    <definedName name="最高点" localSheetId="7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6">だいち!$B$32</definedName>
    <definedName name="最大ドラ数" localSheetId="8">たかの!$B$32</definedName>
    <definedName name="最大ドラ数" localSheetId="7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6">だいち!$B$33</definedName>
    <definedName name="最大点数" localSheetId="8">たかの!$B$33</definedName>
    <definedName name="最大点数" localSheetId="7">れんたろう!$B$33</definedName>
    <definedName name="最大点数" localSheetId="5">全体!$B$33</definedName>
    <definedName name="最大点数">#REF!</definedName>
    <definedName name="三位スコア" localSheetId="6">だいち!$B$12</definedName>
    <definedName name="三位スコア" localSheetId="8">たかの!$B$12</definedName>
    <definedName name="三位スコア" localSheetId="7">れんたろう!$B$12</definedName>
    <definedName name="三位スコア" localSheetId="5">全体!$B$12</definedName>
    <definedName name="三位スコア">Template1!$B$12</definedName>
    <definedName name="三位通算スコア" localSheetId="6">だいち!$C$12</definedName>
    <definedName name="三位通算スコア" localSheetId="8">たかの!$C$12</definedName>
    <definedName name="三位通算スコア" localSheetId="7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6">だいち!$B$3</definedName>
    <definedName name="総局数" localSheetId="8">たかの!$B$3</definedName>
    <definedName name="総局数" localSheetId="7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6">だいち!$B$2</definedName>
    <definedName name="対戦数" localSheetId="8">たかの!$B$2</definedName>
    <definedName name="対戦数" localSheetId="7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6">だいち!$C$26</definedName>
    <definedName name="通算アガリ点" localSheetId="8">たかの!$C$26</definedName>
    <definedName name="通算アガリ点" localSheetId="7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6">だいち!$B$4</definedName>
    <definedName name="通算スコア" localSheetId="8">たかの!$B$4</definedName>
    <definedName name="通算スコア" localSheetId="7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6">だいち!$C$28</definedName>
    <definedName name="通算副露アガリ点" localSheetId="8">たかの!$C$28</definedName>
    <definedName name="通算副露アガリ点" localSheetId="7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6">だいち!$C$29</definedName>
    <definedName name="通算放銃点" localSheetId="8">たかの!$C$29</definedName>
    <definedName name="通算放銃点" localSheetId="7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6">だいち!$C$27</definedName>
    <definedName name="通算門前アガリ点" localSheetId="8">たかの!$C$27</definedName>
    <definedName name="通算門前アガリ点" localSheetId="7">れんたろう!$C$27</definedName>
    <definedName name="通算門前アガリ点" localSheetId="5">全体!$C$27</definedName>
    <definedName name="通算門前アガリ点">#REF!</definedName>
    <definedName name="二位スコア" localSheetId="6">だいち!$B$11</definedName>
    <definedName name="二位スコア" localSheetId="8">たかの!$B$11</definedName>
    <definedName name="二位スコア" localSheetId="7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6">だいち!$B$8</definedName>
    <definedName name="二位数" localSheetId="8">たかの!$B$8</definedName>
    <definedName name="二位数" localSheetId="7">れんたろう!$B$8</definedName>
    <definedName name="二位数" localSheetId="5">全体!$B$8</definedName>
    <definedName name="二位数">#REF!</definedName>
    <definedName name="二位通算スコア" localSheetId="6">だいち!$C$11</definedName>
    <definedName name="二位通算スコア" localSheetId="8">たかの!$C$11</definedName>
    <definedName name="二位通算スコア" localSheetId="7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6">だいち!$C$8</definedName>
    <definedName name="二位率" localSheetId="8">たかの!$C$8</definedName>
    <definedName name="二位率" localSheetId="7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6">だいち!$B$24</definedName>
    <definedName name="副露アガリ数" localSheetId="8">たかの!$B$24</definedName>
    <definedName name="副露アガリ数" localSheetId="7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6">だいち!$B$28</definedName>
    <definedName name="副露アガリ点" localSheetId="8">たかの!$B$28</definedName>
    <definedName name="副露アガリ点" localSheetId="7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6">だいち!$C$24</definedName>
    <definedName name="副露アガリ率" localSheetId="8">たかの!$C$24</definedName>
    <definedName name="副露アガリ率" localSheetId="7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6">だいち!$B$16</definedName>
    <definedName name="副露数" localSheetId="8">たかの!$B$16</definedName>
    <definedName name="副露数" localSheetId="7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6">だいち!$B$18</definedName>
    <definedName name="副露成功数" localSheetId="8">たかの!$B$18</definedName>
    <definedName name="副露成功数" localSheetId="7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6">だいち!$C$18</definedName>
    <definedName name="副露成功率" localSheetId="8">たかの!$C$18</definedName>
    <definedName name="副露成功率" localSheetId="7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6">だいち!$C$16</definedName>
    <definedName name="副露率" localSheetId="8">たかの!$C$16</definedName>
    <definedName name="副露率" localSheetId="7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6">だいち!$B$26</definedName>
    <definedName name="平均アガリ点" localSheetId="8">たかの!$B$26</definedName>
    <definedName name="平均アガリ点" localSheetId="7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6">だいち!$B$5</definedName>
    <definedName name="平均スコア" localSheetId="8">たかの!$B$5</definedName>
    <definedName name="平均スコア" localSheetId="7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6">だいち!$B$6</definedName>
    <definedName name="平均順位" localSheetId="8">たかの!$B$6</definedName>
    <definedName name="平均順位" localSheetId="7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6">だいち!$B$29</definedName>
    <definedName name="平均放銃点" localSheetId="8">たかの!$B$29</definedName>
    <definedName name="平均放銃点" localSheetId="7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6">だいち!$B$20</definedName>
    <definedName name="放銃数" localSheetId="8">たかの!$B$20</definedName>
    <definedName name="放銃数" localSheetId="7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6">だいち!$C$20</definedName>
    <definedName name="放銃率" localSheetId="8">たかの!$C$20</definedName>
    <definedName name="放銃率" localSheetId="7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6">だいち!$B$1</definedName>
    <definedName name="名前" localSheetId="8">たかの!$B$1</definedName>
    <definedName name="名前" localSheetId="7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6">だいち!$B$27</definedName>
    <definedName name="門前アガリ点" localSheetId="8">たかの!$B$27</definedName>
    <definedName name="門前アガリ点" localSheetId="7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6">だいち!$B$30</definedName>
    <definedName name="連続アガリ" localSheetId="8">たかの!$B$30</definedName>
    <definedName name="連続アガリ" localSheetId="7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6">だいち!$B$31</definedName>
    <definedName name="連続無放銃" localSheetId="8">たかの!$B$31</definedName>
    <definedName name="連続無放銃" localSheetId="7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5" i="6308" l="1"/>
  <c r="O16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B13" i="6308" s="1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6" i="6306"/>
  <c r="O15" i="6306"/>
  <c r="H37" i="6306"/>
  <c r="C34" i="6306"/>
  <c r="B29" i="6306"/>
  <c r="C20" i="6306"/>
  <c r="B19" i="6306"/>
  <c r="H52" i="6306" s="1"/>
  <c r="C18" i="6306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H6" i="6306"/>
  <c r="C7" i="6306"/>
  <c r="O6" i="6306"/>
  <c r="B6" i="6306"/>
  <c r="O5" i="6306"/>
  <c r="B5" i="6306"/>
  <c r="O4" i="6306"/>
  <c r="O3" i="6306"/>
  <c r="O2" i="6306"/>
  <c r="O17" i="6302"/>
  <c r="O16" i="6304"/>
  <c r="O15" i="6304"/>
  <c r="C34" i="6304"/>
  <c r="B29" i="6304"/>
  <c r="C20" i="6304"/>
  <c r="B19" i="6304"/>
  <c r="H51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16" i="6302"/>
  <c r="O15" i="6302"/>
  <c r="C34" i="6302"/>
  <c r="B29" i="6302"/>
  <c r="C20" i="6302"/>
  <c r="B19" i="6302"/>
  <c r="H51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C18" i="6304" l="1"/>
  <c r="H25" i="6306"/>
  <c r="B27" i="6306"/>
  <c r="H3" i="6306"/>
  <c r="C18" i="6308"/>
  <c r="B13" i="6302"/>
  <c r="H16" i="6308"/>
  <c r="H8" i="6308"/>
  <c r="H7" i="6308"/>
  <c r="H25" i="6308"/>
  <c r="H2" i="6308"/>
  <c r="C42" i="6308"/>
  <c r="C46" i="6308"/>
  <c r="H15" i="6308"/>
  <c r="H11" i="6308"/>
  <c r="H5" i="6308"/>
  <c r="H13" i="6308"/>
  <c r="H34" i="6308"/>
  <c r="C19" i="6308"/>
  <c r="H3" i="6308"/>
  <c r="H12" i="6308"/>
  <c r="H22" i="6308"/>
  <c r="C38" i="6308"/>
  <c r="C24" i="6308"/>
  <c r="H39" i="6308"/>
  <c r="H43" i="6308"/>
  <c r="H47" i="6308"/>
  <c r="H52" i="6308"/>
  <c r="H20" i="6308"/>
  <c r="H23" i="6308"/>
  <c r="H26" i="6308"/>
  <c r="H29" i="6308"/>
  <c r="H35" i="6308"/>
  <c r="C39" i="6308"/>
  <c r="C43" i="6308"/>
  <c r="C47" i="6308"/>
  <c r="H4" i="6308"/>
  <c r="H14" i="6308"/>
  <c r="C25" i="6308"/>
  <c r="H36" i="6308"/>
  <c r="H48" i="6308"/>
  <c r="H6" i="6308"/>
  <c r="H9" i="6308"/>
  <c r="H10" i="6308"/>
  <c r="H27" i="6308"/>
  <c r="H30" i="6308"/>
  <c r="C36" i="6308"/>
  <c r="C40" i="6308"/>
  <c r="C44" i="6308"/>
  <c r="C48" i="6308"/>
  <c r="H17" i="6308"/>
  <c r="C21" i="6308"/>
  <c r="H40" i="6308"/>
  <c r="H44" i="6308"/>
  <c r="H18" i="6308"/>
  <c r="H21" i="6308"/>
  <c r="C22" i="6308"/>
  <c r="B26" i="6308"/>
  <c r="H31" i="6308"/>
  <c r="H37" i="6308"/>
  <c r="H41" i="6308"/>
  <c r="H45" i="6308"/>
  <c r="H49" i="6308"/>
  <c r="H24" i="6308"/>
  <c r="H28" i="6308"/>
  <c r="H32" i="6308"/>
  <c r="C37" i="6308"/>
  <c r="C41" i="6308"/>
  <c r="C45" i="6308"/>
  <c r="H50" i="6308"/>
  <c r="H19" i="6308"/>
  <c r="C23" i="6308"/>
  <c r="B27" i="6308"/>
  <c r="H33" i="6308"/>
  <c r="H38" i="6308"/>
  <c r="H42" i="6308"/>
  <c r="H46" i="6308"/>
  <c r="B13" i="6306"/>
  <c r="H8" i="6306"/>
  <c r="H43" i="6306"/>
  <c r="H4" i="6306"/>
  <c r="C21" i="6306"/>
  <c r="H27" i="6306"/>
  <c r="H7" i="6306"/>
  <c r="H29" i="6306"/>
  <c r="H2" i="6306"/>
  <c r="H15" i="6306"/>
  <c r="H9" i="6306"/>
  <c r="H45" i="6306"/>
  <c r="H17" i="6306"/>
  <c r="C44" i="6306"/>
  <c r="H13" i="6306"/>
  <c r="C23" i="6306"/>
  <c r="H35" i="6306"/>
  <c r="C46" i="6306"/>
  <c r="C38" i="6306"/>
  <c r="H39" i="6306"/>
  <c r="H12" i="6306"/>
  <c r="H11" i="6306"/>
  <c r="H10" i="6306"/>
  <c r="H16" i="6306"/>
  <c r="H23" i="6306"/>
  <c r="C36" i="6306"/>
  <c r="H47" i="6306"/>
  <c r="H32" i="6306"/>
  <c r="C40" i="6306"/>
  <c r="C48" i="6306"/>
  <c r="C24" i="6306"/>
  <c r="H33" i="6306"/>
  <c r="H41" i="6306"/>
  <c r="H50" i="6306"/>
  <c r="H5" i="6306"/>
  <c r="H14" i="6306"/>
  <c r="C19" i="6306"/>
  <c r="C25" i="6306"/>
  <c r="C42" i="6306"/>
  <c r="H51" i="6306"/>
  <c r="H19" i="6306"/>
  <c r="H21" i="6306"/>
  <c r="H24" i="6306"/>
  <c r="H28" i="6306"/>
  <c r="H34" i="6306"/>
  <c r="C39" i="6306"/>
  <c r="C43" i="6306"/>
  <c r="C47" i="6306"/>
  <c r="H18" i="6306"/>
  <c r="H20" i="6306"/>
  <c r="C22" i="6306"/>
  <c r="B26" i="6306"/>
  <c r="H30" i="6306"/>
  <c r="H36" i="6306"/>
  <c r="H40" i="6306"/>
  <c r="H44" i="6306"/>
  <c r="H48" i="6306"/>
  <c r="H22" i="6306"/>
  <c r="H26" i="6306"/>
  <c r="H31" i="6306"/>
  <c r="C37" i="6306"/>
  <c r="C41" i="6306"/>
  <c r="C45" i="6306"/>
  <c r="H49" i="6306"/>
  <c r="H38" i="6306"/>
  <c r="H42" i="6306"/>
  <c r="H46" i="6306"/>
  <c r="H13" i="6302"/>
  <c r="C18" i="6302"/>
  <c r="C36" i="6304"/>
  <c r="H20" i="6304"/>
  <c r="H7" i="6304"/>
  <c r="H39" i="6304"/>
  <c r="H24" i="6304"/>
  <c r="H41" i="6304"/>
  <c r="C38" i="6304"/>
  <c r="C21" i="6304"/>
  <c r="H14" i="6304"/>
  <c r="C44" i="6304"/>
  <c r="H28" i="6304"/>
  <c r="H9" i="6304"/>
  <c r="H11" i="6304"/>
  <c r="H5" i="6304"/>
  <c r="H22" i="6304"/>
  <c r="H18" i="6304"/>
  <c r="C22" i="6304"/>
  <c r="H45" i="6304"/>
  <c r="H16" i="6304"/>
  <c r="B26" i="6304"/>
  <c r="C42" i="6304"/>
  <c r="H2" i="6304"/>
  <c r="H10" i="6304"/>
  <c r="H34" i="6304"/>
  <c r="H3" i="6304"/>
  <c r="H13" i="6304"/>
  <c r="H19" i="6304"/>
  <c r="H23" i="6304"/>
  <c r="C25" i="6304"/>
  <c r="H35" i="6304"/>
  <c r="C46" i="6304"/>
  <c r="H47" i="6304"/>
  <c r="C24" i="6304"/>
  <c r="H31" i="6304"/>
  <c r="C39" i="6304"/>
  <c r="C48" i="6304"/>
  <c r="H6" i="6304"/>
  <c r="H8" i="6304"/>
  <c r="H15" i="6304"/>
  <c r="H17" i="6304"/>
  <c r="C19" i="6304"/>
  <c r="H27" i="6304"/>
  <c r="H12" i="6304"/>
  <c r="C40" i="6304"/>
  <c r="H49" i="6304"/>
  <c r="H43" i="6304"/>
  <c r="H4" i="6304"/>
  <c r="H26" i="6304"/>
  <c r="H30" i="6304"/>
  <c r="H37" i="6304"/>
  <c r="C43" i="6304"/>
  <c r="H52" i="6304"/>
  <c r="C47" i="6304"/>
  <c r="H36" i="6304"/>
  <c r="H40" i="6304"/>
  <c r="H44" i="6304"/>
  <c r="H48" i="6304"/>
  <c r="H25" i="6304"/>
  <c r="H29" i="6304"/>
  <c r="H32" i="6304"/>
  <c r="C37" i="6304"/>
  <c r="C41" i="6304"/>
  <c r="C45" i="6304"/>
  <c r="H50" i="6304"/>
  <c r="H21" i="6304"/>
  <c r="C23" i="6304"/>
  <c r="B27" i="6304"/>
  <c r="H33" i="6304"/>
  <c r="H38" i="6304"/>
  <c r="H42" i="6304"/>
  <c r="H46" i="6304"/>
  <c r="H23" i="6302"/>
  <c r="H21" i="6302"/>
  <c r="H41" i="6302"/>
  <c r="H35" i="6302"/>
  <c r="H36" i="6302"/>
  <c r="H5" i="6302"/>
  <c r="H9" i="6302"/>
  <c r="C40" i="6302"/>
  <c r="C46" i="6302"/>
  <c r="H7" i="6302"/>
  <c r="H8" i="6302"/>
  <c r="C22" i="6302"/>
  <c r="H11" i="6302"/>
  <c r="H47" i="6302"/>
  <c r="H30" i="6302"/>
  <c r="C36" i="6302"/>
  <c r="C42" i="6302"/>
  <c r="C47" i="6302"/>
  <c r="H18" i="6302"/>
  <c r="C19" i="6302"/>
  <c r="C24" i="6302"/>
  <c r="H37" i="6302"/>
  <c r="H43" i="6302"/>
  <c r="H48" i="6302"/>
  <c r="H16" i="6302"/>
  <c r="H27" i="6302"/>
  <c r="C48" i="6302"/>
  <c r="H10" i="6302"/>
  <c r="C43" i="6302"/>
  <c r="H19" i="6302"/>
  <c r="C25" i="6302"/>
  <c r="H15" i="6302"/>
  <c r="H39" i="6302"/>
  <c r="H44" i="6302"/>
  <c r="H49" i="6302"/>
  <c r="H26" i="6302"/>
  <c r="H3" i="6302"/>
  <c r="C38" i="6302"/>
  <c r="H12" i="6302"/>
  <c r="H22" i="6302"/>
  <c r="H24" i="6302"/>
  <c r="H28" i="6302"/>
  <c r="H34" i="6302"/>
  <c r="C39" i="6302"/>
  <c r="C44" i="6302"/>
  <c r="H6" i="6302"/>
  <c r="H14" i="6302"/>
  <c r="H2" i="6302"/>
  <c r="H31" i="6302"/>
  <c r="H4" i="6302"/>
  <c r="H17" i="6302"/>
  <c r="H20" i="6302"/>
  <c r="C21" i="6302"/>
  <c r="B26" i="6302"/>
  <c r="H40" i="6302"/>
  <c r="H45" i="6302"/>
  <c r="H52" i="6302"/>
  <c r="H25" i="6302"/>
  <c r="H29" i="6302"/>
  <c r="H32" i="6302"/>
  <c r="C37" i="6302"/>
  <c r="C41" i="6302"/>
  <c r="C45" i="6302"/>
  <c r="H50" i="6302"/>
  <c r="C23" i="6302"/>
  <c r="B27" i="6302"/>
  <c r="H33" i="6302"/>
  <c r="H38" i="6302"/>
  <c r="H42" i="6302"/>
  <c r="H46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<sst xmlns="http://schemas.openxmlformats.org/spreadsheetml/2006/main" count="1161" uniqueCount="194">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</sst>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全体!$L$2:$L$8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だいち!$L$2:$L$4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-7450</c:v>
                </c:pt>
                <c:pt idx="1">
                  <c:v>7900</c:v>
                </c:pt>
                <c:pt idx="2">
                  <c:v>-2500</c:v>
                </c:pt>
                <c:pt idx="3">
                  <c:v>1750</c:v>
                </c:pt>
                <c:pt idx="4">
                  <c:v>-6950</c:v>
                </c:pt>
                <c:pt idx="5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5700</c:v>
                </c:pt>
                <c:pt idx="1">
                  <c:v>-4600</c:v>
                </c:pt>
                <c:pt idx="2">
                  <c:v>-10000</c:v>
                </c:pt>
                <c:pt idx="3">
                  <c:v>-7500</c:v>
                </c:pt>
                <c:pt idx="4">
                  <c:v>950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1750</c:v>
                </c:pt>
                <c:pt idx="1">
                  <c:v>-3300</c:v>
                </c:pt>
                <c:pt idx="2">
                  <c:v>12500</c:v>
                </c:pt>
                <c:pt idx="3">
                  <c:v>5750</c:v>
                </c:pt>
                <c:pt idx="4">
                  <c:v>6000</c:v>
                </c:pt>
                <c:pt idx="5">
                  <c:v>-8000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たかの2!$C$3:$C$5</c:f>
              <c:numCache>
                <c:formatCode>\+0.0;\-0.0;\±0</c:formatCode>
                <c:ptCount val="3"/>
                <c:pt idx="1">
                  <c:v>10.1</c:v>
                </c:pt>
                <c:pt idx="2">
                  <c:v>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842378929335002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たかの2!$D$3:$D$5</c:f>
              <c:numCache>
                <c:formatCode>0.00\ "位"</c:formatCode>
                <c:ptCount val="3"/>
                <c:pt idx="1">
                  <c:v>2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たかの2!$G$3:$G$5</c:f>
              <c:numCache>
                <c:formatCode>0.0%</c:formatCode>
                <c:ptCount val="3"/>
                <c:pt idx="1">
                  <c:v>0.44444444444444442</c:v>
                </c:pt>
                <c:pt idx="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372549019607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たかの2!$H$3:$H$5</c:f>
              <c:numCache>
                <c:formatCode>0.0%</c:formatCode>
                <c:ptCount val="3"/>
                <c:pt idx="1">
                  <c:v>0.1111111111111111</c:v>
                </c:pt>
                <c:pt idx="2">
                  <c:v>5.8823529411764705E-2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7254901960784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たかの2!$I$3:$I$5</c:f>
              <c:numCache>
                <c:formatCode>0</c:formatCode>
                <c:ptCount val="3"/>
                <c:pt idx="1">
                  <c:v>8400</c:v>
                </c:pt>
                <c:pt idx="2">
                  <c:v>9028.5714285714294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1043.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たかの2!$J$3:$J$5</c:f>
              <c:numCache>
                <c:formatCode>0</c:formatCode>
                <c:ptCount val="3"/>
                <c:pt idx="1">
                  <c:v>-8000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3928.5714285714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たかの2!$L$3:$L$5</c:f>
              <c:numCache>
                <c:formatCode>0.0%</c:formatCode>
                <c:ptCount val="3"/>
                <c:pt idx="1">
                  <c:v>0.22222222222222221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901960784313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たかの2!$M$3:$M$5</c:f>
              <c:numCache>
                <c:formatCode>0.0%</c:formatCode>
                <c:ptCount val="3"/>
                <c:pt idx="1">
                  <c:v>0.55555555555555558</c:v>
                </c:pt>
                <c:pt idx="2">
                  <c:v>0.47058823529411764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372549019607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たかの2!$N$3:$N$5</c:f>
              <c:numCache>
                <c:formatCode>0.0%</c:formatCode>
                <c:ptCount val="3"/>
                <c:pt idx="1">
                  <c:v>0.5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4615384615384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たかの2!$O$3:$O$5</c:f>
              <c:numCache>
                <c:formatCode>0.0%</c:formatCode>
                <c:ptCount val="3"/>
                <c:pt idx="1">
                  <c:v>0.6</c:v>
                </c:pt>
                <c:pt idx="2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たかの2!$P$3:$P$5</c:f>
              <c:numCache>
                <c:formatCode>0.0%</c:formatCode>
                <c:ptCount val="3"/>
                <c:pt idx="1">
                  <c:v>0.75</c:v>
                </c:pt>
                <c:pt idx="2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2E0145-7A72-4C08-A812-ACF8AD423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3FC9BD-CE4E-4AE2-9BF8-6CFF2C19A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642CBC-C5A3-4C23-B6D9-F8966A7A8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42E65F-10AC-400A-8CBA-4732CC3BA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C5C6D6-DCA8-44B1-8BEB-76B6F3338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DEDB7C-E441-4FA7-9ED2-7D84CBD12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E2EBD2-AA6F-4088-9B22-BA43C3DC88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C3F8BE-4EDB-4EAC-AD44-AB106784A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1FFE915-C6E5-4753-AA2F-C1AEACAB84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795697-1EBF-4503-9B6B-3AE1FB874E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681283-5358-475A-AB16-7D60841B03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214336-29F6-4110-BD1F-AFD54839A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2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4" x14ac:dyDescent="0.45">
      <c r="A1" s="1">
        <v>32874</v>
      </c>
      <c r="B1" s="1">
        <v>2958465</v>
      </c>
    </row>
    <row r="2" spans="1:4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6</v>
      </c>
    </row>
    <row r="2" spans="1:2" x14ac:dyDescent="0.45">
      <c r="A2" t="s">
        <v>126</v>
      </c>
      <c r="B2">
        <v>2</v>
      </c>
    </row>
    <row r="3" spans="1:2" x14ac:dyDescent="0.45">
      <c r="A3" t="s">
        <v>164</v>
      </c>
      <c r="B3">
        <v>2</v>
      </c>
    </row>
    <row r="4" spans="1:2" x14ac:dyDescent="0.45">
      <c r="A4" t="s">
        <v>190</v>
      </c>
      <c r="B4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191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 t="s">
        <v>193</v>
      </c>
      <c r="C2" s="140"/>
      <c r="D2" s="145"/>
      <c r="E2" s="146"/>
      <c r="F2" s="145"/>
      <c r="G2" s="146"/>
      <c r="H2" s="139" t="s">
        <v>193</v>
      </c>
      <c r="I2" s="140"/>
      <c r="J2" s="139" t="s">
        <v>193</v>
      </c>
      <c r="K2" s="140"/>
      <c r="L2" s="139" t="s">
        <v>193</v>
      </c>
      <c r="M2" s="140"/>
      <c r="N2" s="139" t="s">
        <v>193</v>
      </c>
      <c r="O2" s="140"/>
      <c r="P2" s="139" t="s">
        <v>193</v>
      </c>
      <c r="Q2" s="140"/>
      <c r="R2" s="139" t="s">
        <v>193</v>
      </c>
      <c r="S2" s="140"/>
      <c r="T2" s="139" t="s">
        <v>193</v>
      </c>
      <c r="U2" s="140"/>
      <c r="V2" s="139" t="s">
        <v>193</v>
      </c>
      <c r="W2" s="140"/>
      <c r="X2" s="139" t="s">
        <v>193</v>
      </c>
      <c r="Y2" s="140"/>
      <c r="Z2" s="139" t="s">
        <v>193</v>
      </c>
      <c r="AA2" s="140"/>
      <c r="AB2" s="139" t="s">
        <v>193</v>
      </c>
      <c r="AC2" s="140"/>
      <c r="AD2" s="139" t="s">
        <v>193</v>
      </c>
      <c r="AE2" s="140"/>
      <c r="AF2" s="139" t="s">
        <v>193</v>
      </c>
      <c r="AG2" s="140"/>
      <c r="AH2" s="139" t="s">
        <v>193</v>
      </c>
      <c r="AI2" s="140"/>
      <c r="AJ2" s="139" t="s">
        <v>193</v>
      </c>
      <c r="AK2" s="140"/>
    </row>
    <row r="3" spans="1:37" x14ac:dyDescent="0.45">
      <c r="A3" s="40">
        <v>1</v>
      </c>
      <c r="B3" s="43" t="s">
        <v>139</v>
      </c>
      <c r="C3" s="117">
        <v>2</v>
      </c>
      <c r="D3" s="41" t="s">
        <v>126</v>
      </c>
      <c r="E3" s="42">
        <v>62.5</v>
      </c>
      <c r="F3" s="43" t="s">
        <v>126</v>
      </c>
      <c r="G3" s="62">
        <v>31.25</v>
      </c>
      <c r="H3" s="43" t="s">
        <v>126</v>
      </c>
      <c r="I3" s="62">
        <v>10.416666666666666</v>
      </c>
      <c r="J3" s="43" t="s">
        <v>126</v>
      </c>
      <c r="K3" s="44">
        <v>1</v>
      </c>
      <c r="L3" s="43" t="s">
        <v>126</v>
      </c>
      <c r="M3" s="45">
        <v>1</v>
      </c>
      <c r="N3" s="43" t="s">
        <v>126</v>
      </c>
      <c r="O3" s="45">
        <v>0</v>
      </c>
      <c r="P3" s="43" t="s">
        <v>190</v>
      </c>
      <c r="Q3" s="46">
        <v>0.41176470588235292</v>
      </c>
      <c r="R3" s="43" t="s">
        <v>190</v>
      </c>
      <c r="S3" s="46">
        <v>5.8823529411764705E-2</v>
      </c>
      <c r="T3" s="43" t="s">
        <v>126</v>
      </c>
      <c r="U3" s="47">
        <v>14266.666666666666</v>
      </c>
      <c r="V3" s="43" t="s">
        <v>126</v>
      </c>
      <c r="W3" s="47">
        <v>-5966.666666666667</v>
      </c>
      <c r="X3" s="43" t="s">
        <v>126</v>
      </c>
      <c r="Y3" s="45">
        <v>0</v>
      </c>
      <c r="Z3" s="43" t="s">
        <v>164</v>
      </c>
      <c r="AA3" s="46">
        <v>0.29411764705882354</v>
      </c>
      <c r="AB3" s="43" t="s">
        <v>190</v>
      </c>
      <c r="AC3" s="46">
        <v>0.47058823529411764</v>
      </c>
      <c r="AD3" s="43" t="s">
        <v>164</v>
      </c>
      <c r="AE3" s="46">
        <v>0.4</v>
      </c>
      <c r="AF3" s="43" t="s">
        <v>190</v>
      </c>
      <c r="AG3" s="46">
        <v>0.625</v>
      </c>
      <c r="AH3" s="43" t="s">
        <v>126</v>
      </c>
      <c r="AI3" s="46">
        <v>0.66666666666666663</v>
      </c>
      <c r="AJ3" s="43" t="s">
        <v>139</v>
      </c>
      <c r="AK3" s="57">
        <v>66600</v>
      </c>
    </row>
    <row r="4" spans="1:37" x14ac:dyDescent="0.45">
      <c r="A4" s="48">
        <v>2</v>
      </c>
      <c r="B4" s="51" t="s">
        <v>126</v>
      </c>
      <c r="C4" s="118">
        <v>2</v>
      </c>
      <c r="D4" s="49" t="s">
        <v>190</v>
      </c>
      <c r="E4" s="50">
        <v>36.4</v>
      </c>
      <c r="F4" s="51" t="s">
        <v>190</v>
      </c>
      <c r="G4" s="63">
        <v>18.2</v>
      </c>
      <c r="H4" s="51" t="s">
        <v>190</v>
      </c>
      <c r="I4" s="63">
        <v>6.0666666666666664</v>
      </c>
      <c r="J4" s="51" t="s">
        <v>139</v>
      </c>
      <c r="K4" s="52">
        <v>2</v>
      </c>
      <c r="L4" s="51" t="s">
        <v>139</v>
      </c>
      <c r="M4" s="53">
        <v>0.33333333333333331</v>
      </c>
      <c r="N4" s="51" t="s">
        <v>190</v>
      </c>
      <c r="O4" s="53">
        <v>0</v>
      </c>
      <c r="P4" s="51" t="s">
        <v>126</v>
      </c>
      <c r="Q4" s="54">
        <v>0.35294117647058826</v>
      </c>
      <c r="R4" s="51" t="s">
        <v>139</v>
      </c>
      <c r="S4" s="54">
        <v>0.13725490196078433</v>
      </c>
      <c r="T4" s="51" t="s">
        <v>139</v>
      </c>
      <c r="U4" s="55">
        <v>11043.75</v>
      </c>
      <c r="V4" s="51" t="s">
        <v>190</v>
      </c>
      <c r="W4" s="55">
        <v>-8000</v>
      </c>
      <c r="X4" s="51" t="s">
        <v>190</v>
      </c>
      <c r="Y4" s="53">
        <v>0</v>
      </c>
      <c r="Z4" s="51" t="s">
        <v>190</v>
      </c>
      <c r="AA4" s="54">
        <v>0.29411764705882354</v>
      </c>
      <c r="AB4" s="51" t="s">
        <v>126</v>
      </c>
      <c r="AC4" s="54">
        <v>0.35294117647058826</v>
      </c>
      <c r="AD4" s="51" t="s">
        <v>190</v>
      </c>
      <c r="AE4" s="54">
        <v>0.4</v>
      </c>
      <c r="AF4" s="51" t="s">
        <v>139</v>
      </c>
      <c r="AG4" s="54">
        <v>0.5625</v>
      </c>
      <c r="AH4" s="51" t="s">
        <v>190</v>
      </c>
      <c r="AI4" s="54">
        <v>0.5714285714285714</v>
      </c>
      <c r="AJ4" s="51" t="s">
        <v>126</v>
      </c>
      <c r="AK4" s="58">
        <v>66600</v>
      </c>
    </row>
    <row r="5" spans="1:37" x14ac:dyDescent="0.45">
      <c r="A5" s="48">
        <v>3</v>
      </c>
      <c r="B5" s="51" t="s">
        <v>164</v>
      </c>
      <c r="C5" s="118">
        <v>2</v>
      </c>
      <c r="D5" s="49" t="s">
        <v>139</v>
      </c>
      <c r="E5" s="50">
        <v>-7.1054273576010019E-15</v>
      </c>
      <c r="F5" s="51" t="s">
        <v>139</v>
      </c>
      <c r="G5" s="63">
        <v>-1.1842378929335002E-15</v>
      </c>
      <c r="H5" s="51" t="s">
        <v>139</v>
      </c>
      <c r="I5" s="63">
        <v>0</v>
      </c>
      <c r="J5" s="51" t="s">
        <v>190</v>
      </c>
      <c r="K5" s="52">
        <v>2</v>
      </c>
      <c r="L5" s="51" t="s">
        <v>164</v>
      </c>
      <c r="M5" s="53">
        <v>0</v>
      </c>
      <c r="N5" s="51" t="s">
        <v>139</v>
      </c>
      <c r="O5" s="53">
        <v>0.33333333333333331</v>
      </c>
      <c r="P5" s="51" t="s">
        <v>139</v>
      </c>
      <c r="Q5" s="54">
        <v>0.31372549019607843</v>
      </c>
      <c r="R5" s="51" t="s">
        <v>126</v>
      </c>
      <c r="S5" s="54">
        <v>0.17647058823529413</v>
      </c>
      <c r="T5" s="51" t="s">
        <v>164</v>
      </c>
      <c r="U5" s="55">
        <v>9300</v>
      </c>
      <c r="V5" s="51" t="s">
        <v>139</v>
      </c>
      <c r="W5" s="55">
        <v>-13928.571428571429</v>
      </c>
      <c r="X5" s="51" t="s">
        <v>139</v>
      </c>
      <c r="Y5" s="53">
        <v>0.16666666666666666</v>
      </c>
      <c r="Z5" s="51" t="s">
        <v>139</v>
      </c>
      <c r="AA5" s="54">
        <v>0.25490196078431371</v>
      </c>
      <c r="AB5" s="51" t="s">
        <v>139</v>
      </c>
      <c r="AC5" s="54">
        <v>0.31372549019607843</v>
      </c>
      <c r="AD5" s="51" t="s">
        <v>139</v>
      </c>
      <c r="AE5" s="54">
        <v>0.38461538461538464</v>
      </c>
      <c r="AF5" s="51" t="s">
        <v>126</v>
      </c>
      <c r="AG5" s="54">
        <v>0.5</v>
      </c>
      <c r="AH5" s="51" t="s">
        <v>139</v>
      </c>
      <c r="AI5" s="54">
        <v>0.5625</v>
      </c>
      <c r="AJ5" s="51" t="s">
        <v>190</v>
      </c>
      <c r="AK5" s="58">
        <v>61300</v>
      </c>
    </row>
    <row r="6" spans="1:37" x14ac:dyDescent="0.45">
      <c r="A6" s="48">
        <v>4</v>
      </c>
      <c r="B6" s="51" t="s">
        <v>190</v>
      </c>
      <c r="C6" s="118">
        <v>2</v>
      </c>
      <c r="D6" s="49" t="s">
        <v>164</v>
      </c>
      <c r="E6" s="50">
        <v>-98.9</v>
      </c>
      <c r="F6" s="51" t="s">
        <v>164</v>
      </c>
      <c r="G6" s="63">
        <v>-49.45</v>
      </c>
      <c r="H6" s="51" t="s">
        <v>164</v>
      </c>
      <c r="I6" s="63">
        <v>-16.483333333333334</v>
      </c>
      <c r="J6" s="51" t="s">
        <v>164</v>
      </c>
      <c r="K6" s="52">
        <v>3</v>
      </c>
      <c r="L6" s="51" t="s">
        <v>190</v>
      </c>
      <c r="M6" s="53">
        <v>0</v>
      </c>
      <c r="N6" s="51" t="s">
        <v>164</v>
      </c>
      <c r="O6" s="53">
        <v>1</v>
      </c>
      <c r="P6" s="51" t="s">
        <v>164</v>
      </c>
      <c r="Q6" s="54">
        <v>0.17647058823529413</v>
      </c>
      <c r="R6" s="51" t="s">
        <v>164</v>
      </c>
      <c r="S6" s="54">
        <v>0.17647058823529413</v>
      </c>
      <c r="T6" s="51" t="s">
        <v>190</v>
      </c>
      <c r="U6" s="55">
        <v>9028.5714285714294</v>
      </c>
      <c r="V6" s="51" t="s">
        <v>164</v>
      </c>
      <c r="W6" s="55">
        <v>-23866.666666666668</v>
      </c>
      <c r="X6" s="51" t="s">
        <v>164</v>
      </c>
      <c r="Y6" s="53">
        <v>0.5</v>
      </c>
      <c r="Z6" s="51" t="s">
        <v>126</v>
      </c>
      <c r="AA6" s="54">
        <v>0.17647058823529413</v>
      </c>
      <c r="AB6" s="51" t="s">
        <v>164</v>
      </c>
      <c r="AC6" s="54">
        <v>0.11764705882352941</v>
      </c>
      <c r="AD6" s="51" t="s">
        <v>126</v>
      </c>
      <c r="AE6" s="54">
        <v>0.33333333333333331</v>
      </c>
      <c r="AF6" s="51" t="s">
        <v>164</v>
      </c>
      <c r="AG6" s="54">
        <v>0.5</v>
      </c>
      <c r="AH6" s="51" t="s">
        <v>164</v>
      </c>
      <c r="AI6" s="54">
        <v>0.33333333333333331</v>
      </c>
      <c r="AJ6" s="51" t="s">
        <v>164</v>
      </c>
      <c r="AK6" s="58">
        <v>14000</v>
      </c>
    </row>
  </sheetData>
  <sortState xmlns:xlrd2="http://schemas.microsoft.com/office/spreadsheetml/2017/richdata2" ref="AJ3:AK28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6</v>
      </c>
      <c r="C2" s="132"/>
      <c r="E2" s="28" t="s">
        <v>72</v>
      </c>
      <c r="F2" s="25" t="s">
        <v>27</v>
      </c>
      <c r="G2" s="13">
        <v>17</v>
      </c>
      <c r="H2" s="91">
        <f>IF(B$19=0,0,G2/B$19)</f>
        <v>1.0625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6</v>
      </c>
      <c r="Q2" s="67">
        <v>0</v>
      </c>
    </row>
    <row r="3" spans="1:17" x14ac:dyDescent="0.45">
      <c r="A3" s="21" t="s">
        <v>8</v>
      </c>
      <c r="B3" s="133">
        <v>51</v>
      </c>
      <c r="C3" s="134"/>
      <c r="E3" s="29" t="s">
        <v>66</v>
      </c>
      <c r="F3" s="26" t="s">
        <v>22</v>
      </c>
      <c r="G3" s="14">
        <v>9</v>
      </c>
      <c r="H3" s="92">
        <f>IF(B$19=0,0,G3/B$19)</f>
        <v>0.5625</v>
      </c>
      <c r="I3" s="60">
        <v>2</v>
      </c>
      <c r="K3" s="7">
        <v>1</v>
      </c>
      <c r="L3" s="65">
        <v>20.9</v>
      </c>
      <c r="N3" s="78" t="s">
        <v>129</v>
      </c>
      <c r="O3" s="84">
        <f t="shared" si="0"/>
        <v>0</v>
      </c>
      <c r="P3" s="81">
        <v>6</v>
      </c>
      <c r="Q3" s="68">
        <v>0</v>
      </c>
    </row>
    <row r="4" spans="1:17" x14ac:dyDescent="0.45">
      <c r="A4" s="21" t="s">
        <v>6</v>
      </c>
      <c r="B4" s="135">
        <v>-7.1054273576010019E-15</v>
      </c>
      <c r="C4" s="136"/>
      <c r="E4" s="29" t="s">
        <v>67</v>
      </c>
      <c r="F4" s="26" t="s">
        <v>23</v>
      </c>
      <c r="G4" s="14">
        <v>6</v>
      </c>
      <c r="H4" s="92">
        <f>IF(B$19=0,0,G4/B$19)</f>
        <v>0.375</v>
      </c>
      <c r="I4" s="60">
        <v>2</v>
      </c>
      <c r="K4" s="7">
        <v>2</v>
      </c>
      <c r="L4" s="65">
        <v>-10.100000000000001</v>
      </c>
      <c r="N4" s="78" t="s">
        <v>130</v>
      </c>
      <c r="O4" s="84">
        <f t="shared" si="0"/>
        <v>0</v>
      </c>
      <c r="P4" s="81">
        <v>6</v>
      </c>
      <c r="Q4" s="68">
        <v>0</v>
      </c>
    </row>
    <row r="5" spans="1:17" x14ac:dyDescent="0.45">
      <c r="A5" s="21" t="s">
        <v>7</v>
      </c>
      <c r="B5" s="123">
        <f>IF(B$2=0,0,B$4/B$2)</f>
        <v>-1.1842378929335002E-15</v>
      </c>
      <c r="C5" s="124"/>
      <c r="E5" s="29" t="s">
        <v>64</v>
      </c>
      <c r="F5" s="26" t="s">
        <v>20</v>
      </c>
      <c r="G5" s="14">
        <v>5</v>
      </c>
      <c r="H5" s="92">
        <f>IF(B$19=0,0,G5/B$19)</f>
        <v>0.3125</v>
      </c>
      <c r="I5" s="60">
        <v>2</v>
      </c>
      <c r="K5" s="7">
        <v>3</v>
      </c>
      <c r="L5" s="65">
        <v>-1.7763568394002505E-15</v>
      </c>
      <c r="N5" s="78" t="s">
        <v>131</v>
      </c>
      <c r="O5" s="84">
        <f t="shared" si="0"/>
        <v>0</v>
      </c>
      <c r="P5" s="81">
        <v>6</v>
      </c>
      <c r="Q5" s="68">
        <v>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160</v>
      </c>
      <c r="F6" s="26" t="s">
        <v>161</v>
      </c>
      <c r="G6" s="14">
        <v>5</v>
      </c>
      <c r="H6" s="92">
        <f>IF(B$19=0,0,G6/B$19)</f>
        <v>0.3125</v>
      </c>
      <c r="I6" s="60">
        <v>3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6</v>
      </c>
      <c r="Q6" s="68">
        <v>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0.33333333333333331</v>
      </c>
      <c r="E7" s="29" t="s">
        <v>83</v>
      </c>
      <c r="F7" s="26" t="s">
        <v>38</v>
      </c>
      <c r="G7" s="14">
        <v>3</v>
      </c>
      <c r="H7" s="92">
        <f>IF(B$19=0,0,G7/B$19)</f>
        <v>0.1875</v>
      </c>
      <c r="I7" s="60">
        <v>2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3</v>
      </c>
      <c r="Q7" s="69">
        <v>0</v>
      </c>
    </row>
    <row r="8" spans="1:17" x14ac:dyDescent="0.45">
      <c r="A8" s="21" t="s">
        <v>3</v>
      </c>
      <c r="B8" s="14">
        <v>2</v>
      </c>
      <c r="C8" s="8">
        <f t="shared" si="1"/>
        <v>0.33333333333333331</v>
      </c>
      <c r="E8" s="29" t="s">
        <v>65</v>
      </c>
      <c r="F8" s="26" t="s">
        <v>21</v>
      </c>
      <c r="G8" s="14">
        <v>2</v>
      </c>
      <c r="H8" s="92">
        <f>IF(B$19=0,0,G8/B$19)</f>
        <v>0.125</v>
      </c>
      <c r="I8" s="60">
        <v>3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0.33333333333333331</v>
      </c>
      <c r="E9" s="29" t="s">
        <v>68</v>
      </c>
      <c r="F9" s="26" t="s">
        <v>12</v>
      </c>
      <c r="G9" s="14">
        <v>2</v>
      </c>
      <c r="H9" s="92">
        <f>IF(B$19=0,0,G9/B$19)</f>
        <v>0.125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31.25</v>
      </c>
      <c r="C10" s="114">
        <v>62.5</v>
      </c>
      <c r="E10" s="29" t="s">
        <v>81</v>
      </c>
      <c r="F10" s="26" t="s">
        <v>36</v>
      </c>
      <c r="G10" s="14">
        <v>2</v>
      </c>
      <c r="H10" s="92">
        <f>IF(B$19=0,0,G10/B$19)</f>
        <v>0.125</v>
      </c>
      <c r="I10" s="60">
        <v>3</v>
      </c>
      <c r="N10" s="77" t="s">
        <v>152</v>
      </c>
      <c r="O10" s="86">
        <f>IF(P10=0,0,Q10/P10)</f>
        <v>23.6</v>
      </c>
      <c r="P10" s="80">
        <v>2</v>
      </c>
      <c r="Q10" s="71">
        <v>47.2</v>
      </c>
    </row>
    <row r="11" spans="1:17" x14ac:dyDescent="0.45">
      <c r="A11" s="22" t="s">
        <v>186</v>
      </c>
      <c r="B11" s="113">
        <f>IF(B8=0,0,C11/B8)</f>
        <v>18.2</v>
      </c>
      <c r="C11" s="114">
        <v>36.4</v>
      </c>
      <c r="E11" s="29" t="s">
        <v>89</v>
      </c>
      <c r="F11" s="26" t="s">
        <v>44</v>
      </c>
      <c r="G11" s="14">
        <v>2</v>
      </c>
      <c r="H11" s="92">
        <f>IF(B$19=0,0,G11/B$19)</f>
        <v>0.125</v>
      </c>
      <c r="I11" s="60">
        <v>3</v>
      </c>
      <c r="N11" s="78" t="s">
        <v>153</v>
      </c>
      <c r="O11" s="87">
        <f>IF(P11=0,0,Q11/P11)</f>
        <v>-49.45</v>
      </c>
      <c r="P11" s="81">
        <v>2</v>
      </c>
      <c r="Q11" s="72">
        <v>-98.9</v>
      </c>
    </row>
    <row r="12" spans="1:17" x14ac:dyDescent="0.45">
      <c r="A12" s="22" t="s">
        <v>187</v>
      </c>
      <c r="B12" s="113">
        <f>IF(B9=0,0,C12/B9)</f>
        <v>-49.45</v>
      </c>
      <c r="C12" s="114">
        <v>-98.9</v>
      </c>
      <c r="E12" s="29" t="s">
        <v>69</v>
      </c>
      <c r="F12" s="26" t="s">
        <v>24</v>
      </c>
      <c r="G12" s="14">
        <v>1</v>
      </c>
      <c r="H12" s="92">
        <f>IF(B$19=0,0,G12/B$19)</f>
        <v>6.25E-2</v>
      </c>
      <c r="I12" s="60">
        <v>2</v>
      </c>
      <c r="N12" s="79" t="s">
        <v>154</v>
      </c>
      <c r="O12" s="88">
        <f>IF(P12=0,0,Q12/P12)</f>
        <v>25.85</v>
      </c>
      <c r="P12" s="82">
        <v>2</v>
      </c>
      <c r="Q12" s="73">
        <v>51.7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70</v>
      </c>
      <c r="F13" s="26" t="s">
        <v>25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0.16666666666666666</v>
      </c>
      <c r="E14" s="29" t="s">
        <v>78</v>
      </c>
      <c r="F14" s="26" t="s">
        <v>33</v>
      </c>
      <c r="G14" s="14">
        <v>1</v>
      </c>
      <c r="H14" s="92">
        <f>IF(B$19=0,0,G14/B$19)</f>
        <v>6.25E-2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0.25490196078431371</v>
      </c>
      <c r="E15" s="29" t="s">
        <v>92</v>
      </c>
      <c r="F15" s="26" t="s">
        <v>47</v>
      </c>
      <c r="G15" s="14">
        <v>1</v>
      </c>
      <c r="H15" s="92">
        <f>IF(B$19=0,0,G15/B$19)</f>
        <v>6.25E-2</v>
      </c>
      <c r="I15" s="60">
        <v>2</v>
      </c>
      <c r="N15" s="77" t="s">
        <v>164</v>
      </c>
      <c r="O15" s="86">
        <f>IF(P15=0,0,Q15/P15)</f>
        <v>74.174999999999997</v>
      </c>
      <c r="P15" s="80">
        <v>4</v>
      </c>
      <c r="Q15" s="71">
        <v>296.7</v>
      </c>
    </row>
    <row r="16" spans="1:17" x14ac:dyDescent="0.45">
      <c r="A16" s="21" t="s">
        <v>118</v>
      </c>
      <c r="B16" s="14">
        <v>16</v>
      </c>
      <c r="C16" s="8">
        <f>IF(B$3=0,0,B16/B$3)</f>
        <v>0.31372549019607843</v>
      </c>
      <c r="E16" s="29" t="s">
        <v>71</v>
      </c>
      <c r="F16" s="26" t="s">
        <v>26</v>
      </c>
      <c r="G16" s="14">
        <v>0</v>
      </c>
      <c r="H16" s="92">
        <f>IF(B$19=0,0,G16/B$19)</f>
        <v>0</v>
      </c>
      <c r="I16" s="60">
        <v>1</v>
      </c>
      <c r="N16" s="78" t="s">
        <v>190</v>
      </c>
      <c r="O16" s="87">
        <f>IF(P16=0,0,Q16/P16)</f>
        <v>-27.3</v>
      </c>
      <c r="P16" s="81">
        <v>4</v>
      </c>
      <c r="Q16" s="72">
        <v>-109.2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0.38461538461538464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-46.875</v>
      </c>
      <c r="P17" s="81">
        <v>4</v>
      </c>
      <c r="Q17" s="72">
        <v>-187.5</v>
      </c>
    </row>
    <row r="18" spans="1:17" x14ac:dyDescent="0.45">
      <c r="A18" s="20" t="s">
        <v>124</v>
      </c>
      <c r="B18" s="13">
        <f>B24</f>
        <v>9</v>
      </c>
      <c r="C18" s="6">
        <f>IF(B$16=0,0,B18/B$16)</f>
        <v>0.5625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0.31372549019607843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7</v>
      </c>
      <c r="C20" s="8">
        <f>IF(B$3=0,0,B20/B$3)</f>
        <v>0.13725490196078433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5</v>
      </c>
      <c r="C23" s="8">
        <f>IF(B$19=0,0,B23/B$19)</f>
        <v>0.3125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9</v>
      </c>
      <c r="C24" s="8">
        <f>IF(B$19=0,0,B24/B$19)</f>
        <v>0.5625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0.125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11043.75</v>
      </c>
      <c r="C26" s="10">
        <v>176700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15985.714285714286</v>
      </c>
      <c r="C27" s="100">
        <v>111900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7200</v>
      </c>
      <c r="C28" s="100">
        <v>64800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-13928.571428571429</v>
      </c>
      <c r="C29" s="100">
        <v>-97500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12</v>
      </c>
      <c r="C31" s="94">
        <v>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27">
        <v>66600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6.25E-2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6.25E-2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0.125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0.1875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6.25E-2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6.25E-2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</v>
      </c>
      <c r="C2" s="132"/>
      <c r="E2" s="28" t="s">
        <v>72</v>
      </c>
      <c r="F2" s="25" t="s">
        <v>27</v>
      </c>
      <c r="G2" s="13">
        <v>6</v>
      </c>
      <c r="H2" s="91">
        <f>IF(B$19=0,0,G2/B$19)</f>
        <v>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-7450</v>
      </c>
      <c r="P2" s="80">
        <v>2</v>
      </c>
      <c r="Q2" s="67">
        <v>-14900</v>
      </c>
    </row>
    <row r="3" spans="1:17" x14ac:dyDescent="0.45">
      <c r="A3" s="21" t="s">
        <v>8</v>
      </c>
      <c r="B3" s="133">
        <v>17</v>
      </c>
      <c r="C3" s="134"/>
      <c r="E3" s="29" t="s">
        <v>66</v>
      </c>
      <c r="F3" s="26" t="s">
        <v>22</v>
      </c>
      <c r="G3" s="14">
        <v>3</v>
      </c>
      <c r="H3" s="92">
        <f>IF(B$19=0,0,G3/B$19)</f>
        <v>0.5</v>
      </c>
      <c r="I3" s="60">
        <v>3</v>
      </c>
      <c r="K3" s="7">
        <v>1</v>
      </c>
      <c r="L3" s="65">
        <v>20.9</v>
      </c>
      <c r="N3" s="78" t="s">
        <v>129</v>
      </c>
      <c r="O3" s="84">
        <f t="shared" si="0"/>
        <v>7900</v>
      </c>
      <c r="P3" s="81">
        <v>2</v>
      </c>
      <c r="Q3" s="68">
        <v>15800</v>
      </c>
    </row>
    <row r="4" spans="1:17" x14ac:dyDescent="0.45">
      <c r="A4" s="21" t="s">
        <v>6</v>
      </c>
      <c r="B4" s="135">
        <v>62.5</v>
      </c>
      <c r="C4" s="136"/>
      <c r="E4" s="29" t="s">
        <v>160</v>
      </c>
      <c r="F4" s="26" t="s">
        <v>161</v>
      </c>
      <c r="G4" s="14">
        <v>2</v>
      </c>
      <c r="H4" s="92">
        <f>IF(B$19=0,0,G4/B$19)</f>
        <v>0.33333333333333331</v>
      </c>
      <c r="I4" s="60">
        <v>2</v>
      </c>
      <c r="K4" s="7">
        <v>2</v>
      </c>
      <c r="L4" s="65">
        <v>62.5</v>
      </c>
      <c r="N4" s="78" t="s">
        <v>130</v>
      </c>
      <c r="O4" s="84">
        <f t="shared" si="0"/>
        <v>-2500</v>
      </c>
      <c r="P4" s="81">
        <v>2</v>
      </c>
      <c r="Q4" s="68">
        <v>-5000</v>
      </c>
    </row>
    <row r="5" spans="1:17" x14ac:dyDescent="0.45">
      <c r="A5" s="21" t="s">
        <v>7</v>
      </c>
      <c r="B5" s="123">
        <f>IF(B$2=0,0,B$4/B$2)</f>
        <v>31.25</v>
      </c>
      <c r="C5" s="124"/>
      <c r="E5" s="29" t="s">
        <v>64</v>
      </c>
      <c r="F5" s="26" t="s">
        <v>20</v>
      </c>
      <c r="G5" s="14">
        <v>1</v>
      </c>
      <c r="H5" s="92">
        <f>IF(B$19=0,0,G5/B$19)</f>
        <v>0.16666666666666666</v>
      </c>
      <c r="I5" s="60">
        <v>4</v>
      </c>
      <c r="N5" s="78" t="s">
        <v>131</v>
      </c>
      <c r="O5" s="84">
        <f t="shared" si="0"/>
        <v>1750</v>
      </c>
      <c r="P5" s="81">
        <v>2</v>
      </c>
      <c r="Q5" s="68">
        <v>3500</v>
      </c>
    </row>
    <row r="6" spans="1:17" x14ac:dyDescent="0.45">
      <c r="A6" s="21" t="s">
        <v>1</v>
      </c>
      <c r="B6" s="137">
        <f>IF(B$2=0,0,(B$7*1+B$8*2+B$9*3)/B$2)</f>
        <v>1</v>
      </c>
      <c r="C6" s="138"/>
      <c r="E6" s="29" t="s">
        <v>65</v>
      </c>
      <c r="F6" s="26" t="s">
        <v>21</v>
      </c>
      <c r="G6" s="14">
        <v>1</v>
      </c>
      <c r="H6" s="92">
        <f>IF(B$19=0,0,G6/B$19)</f>
        <v>0.16666666666666666</v>
      </c>
      <c r="I6" s="60">
        <v>1</v>
      </c>
      <c r="N6" s="78" t="s">
        <v>132</v>
      </c>
      <c r="O6" s="84">
        <f t="shared" si="0"/>
        <v>-6950</v>
      </c>
      <c r="P6" s="81">
        <v>2</v>
      </c>
      <c r="Q6" s="68">
        <v>-13900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1</v>
      </c>
      <c r="E7" s="29" t="s">
        <v>67</v>
      </c>
      <c r="F7" s="26" t="s">
        <v>23</v>
      </c>
      <c r="G7" s="14">
        <v>1</v>
      </c>
      <c r="H7" s="92">
        <f>IF(B$19=0,0,G7/B$19)</f>
        <v>0.16666666666666666</v>
      </c>
      <c r="I7" s="60">
        <v>4</v>
      </c>
      <c r="N7" s="79" t="s">
        <v>133</v>
      </c>
      <c r="O7" s="85">
        <f t="shared" si="0"/>
        <v>8000</v>
      </c>
      <c r="P7" s="82">
        <v>1</v>
      </c>
      <c r="Q7" s="69">
        <v>8000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1</v>
      </c>
      <c r="H8" s="92">
        <f>IF(B$19=0,0,G8/B$19)</f>
        <v>0.16666666666666666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81</v>
      </c>
      <c r="F9" s="26" t="s">
        <v>36</v>
      </c>
      <c r="G9" s="14">
        <v>1</v>
      </c>
      <c r="H9" s="92">
        <f>IF(B$19=0,0,G9/B$19)</f>
        <v>0.16666666666666666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31.25</v>
      </c>
      <c r="C10" s="114">
        <v>62.5</v>
      </c>
      <c r="E10" s="29" t="s">
        <v>83</v>
      </c>
      <c r="F10" s="26" t="s">
        <v>38</v>
      </c>
      <c r="G10" s="14">
        <v>1</v>
      </c>
      <c r="H10" s="92">
        <f>IF(B$19=0,0,G10/B$19)</f>
        <v>0.16666666666666666</v>
      </c>
      <c r="I10" s="60">
        <v>3</v>
      </c>
      <c r="N10" s="77" t="s">
        <v>152</v>
      </c>
      <c r="O10" s="86">
        <f>IF(P10=0,0,Q10/P10)</f>
        <v>20.9</v>
      </c>
      <c r="P10" s="80">
        <v>1</v>
      </c>
      <c r="Q10" s="71">
        <v>20.9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89</v>
      </c>
      <c r="F11" s="26" t="s">
        <v>44</v>
      </c>
      <c r="G11" s="14">
        <v>1</v>
      </c>
      <c r="H11" s="92">
        <f>IF(B$19=0,0,G11/B$19)</f>
        <v>0.16666666666666666</v>
      </c>
      <c r="I11" s="60">
        <v>1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92</v>
      </c>
      <c r="F12" s="26" t="s">
        <v>47</v>
      </c>
      <c r="G12" s="14">
        <v>1</v>
      </c>
      <c r="H12" s="92">
        <f>IF(B$19=0,0,G12/B$19)</f>
        <v>0.16666666666666666</v>
      </c>
      <c r="I12" s="60">
        <v>1</v>
      </c>
      <c r="N12" s="79" t="s">
        <v>154</v>
      </c>
      <c r="O12" s="88">
        <f>IF(P12=0,0,Q12/P12)</f>
        <v>41.6</v>
      </c>
      <c r="P12" s="82">
        <v>1</v>
      </c>
      <c r="Q12" s="73">
        <v>41.6</v>
      </c>
    </row>
    <row r="13" spans="1:17" x14ac:dyDescent="0.45">
      <c r="A13" s="22" t="s">
        <v>188</v>
      </c>
      <c r="B13" s="123">
        <f>AVERAGE(B10:B12)</f>
        <v>10.416666666666666</v>
      </c>
      <c r="C13" s="124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</v>
      </c>
      <c r="C15" s="12">
        <f>IF(B$3=0,0,B15/B$3)</f>
        <v>0.17647058823529413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80.7</v>
      </c>
      <c r="P15" s="80">
        <v>2</v>
      </c>
      <c r="Q15" s="71">
        <v>161.4</v>
      </c>
    </row>
    <row r="16" spans="1:17" x14ac:dyDescent="0.45">
      <c r="A16" s="21" t="s">
        <v>118</v>
      </c>
      <c r="B16" s="14">
        <v>6</v>
      </c>
      <c r="C16" s="8">
        <f>IF(B$3=0,0,B16/B$3)</f>
        <v>0.35294117647058826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1</v>
      </c>
      <c r="N16" s="78" t="s">
        <v>190</v>
      </c>
      <c r="O16" s="87">
        <f>IF(P16=0,0,Q16/P16)</f>
        <v>13.049999999999999</v>
      </c>
      <c r="P16" s="81">
        <v>2</v>
      </c>
      <c r="Q16" s="72">
        <v>26.099999999999998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0.33333333333333331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6</v>
      </c>
      <c r="C19" s="6">
        <f>IF(B$3=0,0,B19/B$3)</f>
        <v>0.35294117647058826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3</v>
      </c>
      <c r="C20" s="8">
        <f>IF(B$3=0,0,B20/B$3)</f>
        <v>0.17647058823529413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4</v>
      </c>
      <c r="C21" s="8">
        <f>IF(B$19=0,0,B21/B$19)</f>
        <v>0.66666666666666663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3</v>
      </c>
    </row>
    <row r="22" spans="1:9" x14ac:dyDescent="0.45">
      <c r="A22" s="21" t="s">
        <v>11</v>
      </c>
      <c r="B22" s="14">
        <v>2</v>
      </c>
      <c r="C22" s="8">
        <f>IF(B$19=0,0,B22/B$19)</f>
        <v>0.33333333333333331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0.16666666666666666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3</v>
      </c>
      <c r="C24" s="8">
        <f>IF(B$19=0,0,B24/B$19)</f>
        <v>0.5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2</v>
      </c>
      <c r="C25" s="8">
        <f>IF(B$19=0,0,B25/B$19)</f>
        <v>0.33333333333333331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14266.666666666666</v>
      </c>
      <c r="C26" s="10">
        <v>85600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22666.666666666668</v>
      </c>
      <c r="C27" s="100">
        <v>68000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5866.666666666667</v>
      </c>
      <c r="C28" s="100">
        <v>17600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-5966.666666666667</v>
      </c>
      <c r="C29" s="100">
        <v>-17900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6</v>
      </c>
      <c r="C31" s="94">
        <v>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136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27">
        <v>66600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0.16666666666666666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1</v>
      </c>
      <c r="C42" s="8">
        <f t="shared" si="2"/>
        <v>0.16666666666666666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0.16666666666666666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</v>
      </c>
      <c r="C2" s="132"/>
      <c r="E2" s="28" t="s">
        <v>64</v>
      </c>
      <c r="F2" s="25" t="s">
        <v>20</v>
      </c>
      <c r="G2" s="13">
        <v>2</v>
      </c>
      <c r="H2" s="91">
        <f>IF(B$19=0,0,G2/B$19)</f>
        <v>0.66666666666666663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5700</v>
      </c>
      <c r="P2" s="80">
        <v>2</v>
      </c>
      <c r="Q2" s="67">
        <v>11400</v>
      </c>
    </row>
    <row r="3" spans="1:17" x14ac:dyDescent="0.45">
      <c r="A3" s="21" t="s">
        <v>8</v>
      </c>
      <c r="B3" s="133">
        <v>17</v>
      </c>
      <c r="C3" s="134"/>
      <c r="E3" s="29" t="s">
        <v>72</v>
      </c>
      <c r="F3" s="26" t="s">
        <v>27</v>
      </c>
      <c r="G3" s="14">
        <v>2</v>
      </c>
      <c r="H3" s="92">
        <f>IF(B$19=0,0,G3/B$19)</f>
        <v>0.66666666666666663</v>
      </c>
      <c r="I3" s="60">
        <v>4</v>
      </c>
      <c r="K3" s="7">
        <v>1</v>
      </c>
      <c r="L3" s="65">
        <v>-31</v>
      </c>
      <c r="N3" s="78" t="s">
        <v>129</v>
      </c>
      <c r="O3" s="84">
        <f t="shared" si="0"/>
        <v>-4600</v>
      </c>
      <c r="P3" s="81">
        <v>2</v>
      </c>
      <c r="Q3" s="68">
        <v>-9200</v>
      </c>
    </row>
    <row r="4" spans="1:17" x14ac:dyDescent="0.45">
      <c r="A4" s="21" t="s">
        <v>6</v>
      </c>
      <c r="B4" s="135">
        <v>-98.9</v>
      </c>
      <c r="C4" s="136"/>
      <c r="E4" s="29" t="s">
        <v>66</v>
      </c>
      <c r="F4" s="26" t="s">
        <v>22</v>
      </c>
      <c r="G4" s="14">
        <v>1</v>
      </c>
      <c r="H4" s="92">
        <f>IF(B$19=0,0,G4/B$19)</f>
        <v>0.33333333333333331</v>
      </c>
      <c r="I4" s="60">
        <v>4</v>
      </c>
      <c r="K4" s="7">
        <v>2</v>
      </c>
      <c r="L4" s="65">
        <v>-98.9</v>
      </c>
      <c r="N4" s="78" t="s">
        <v>130</v>
      </c>
      <c r="O4" s="84">
        <f t="shared" si="0"/>
        <v>-10000</v>
      </c>
      <c r="P4" s="81">
        <v>2</v>
      </c>
      <c r="Q4" s="68">
        <v>-20000</v>
      </c>
    </row>
    <row r="5" spans="1:17" x14ac:dyDescent="0.45">
      <c r="A5" s="21" t="s">
        <v>7</v>
      </c>
      <c r="B5" s="123">
        <f>IF(B$2=0,0,B$4/B$2)</f>
        <v>-49.45</v>
      </c>
      <c r="C5" s="124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N5" s="78" t="s">
        <v>131</v>
      </c>
      <c r="O5" s="84">
        <f t="shared" si="0"/>
        <v>-7500</v>
      </c>
      <c r="P5" s="81">
        <v>2</v>
      </c>
      <c r="Q5" s="68">
        <v>-15000</v>
      </c>
    </row>
    <row r="6" spans="1:17" x14ac:dyDescent="0.45">
      <c r="A6" s="21" t="s">
        <v>1</v>
      </c>
      <c r="B6" s="137">
        <f>IF(B$2=0,0,(B$7*1+B$8*2+B$9*3)/B$2)</f>
        <v>3</v>
      </c>
      <c r="C6" s="138"/>
      <c r="E6" s="29" t="s">
        <v>69</v>
      </c>
      <c r="F6" s="26" t="s">
        <v>24</v>
      </c>
      <c r="G6" s="14">
        <v>1</v>
      </c>
      <c r="H6" s="92">
        <f>IF(B$19=0,0,G6/B$19)</f>
        <v>0.33333333333333331</v>
      </c>
      <c r="I6" s="60">
        <v>1</v>
      </c>
      <c r="N6" s="78" t="s">
        <v>132</v>
      </c>
      <c r="O6" s="84">
        <f t="shared" si="0"/>
        <v>950</v>
      </c>
      <c r="P6" s="81">
        <v>2</v>
      </c>
      <c r="Q6" s="68">
        <v>1900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78</v>
      </c>
      <c r="F7" s="26" t="s">
        <v>33</v>
      </c>
      <c r="G7" s="14">
        <v>1</v>
      </c>
      <c r="H7" s="92">
        <f>IF(B$19=0,0,G7/B$19)</f>
        <v>0.33333333333333331</v>
      </c>
      <c r="I7" s="60">
        <v>1</v>
      </c>
      <c r="N7" s="79" t="s">
        <v>133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81</v>
      </c>
      <c r="F8" s="26" t="s">
        <v>36</v>
      </c>
      <c r="G8" s="14">
        <v>1</v>
      </c>
      <c r="H8" s="92">
        <f>IF(B$19=0,0,G8/B$19)</f>
        <v>0.33333333333333331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1</v>
      </c>
      <c r="E9" s="29" t="s">
        <v>83</v>
      </c>
      <c r="F9" s="26" t="s">
        <v>38</v>
      </c>
      <c r="G9" s="14">
        <v>1</v>
      </c>
      <c r="H9" s="92">
        <f>IF(B$19=0,0,G9/B$19)</f>
        <v>0.33333333333333331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4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68</v>
      </c>
      <c r="F11" s="26" t="s">
        <v>12</v>
      </c>
      <c r="G11" s="14">
        <v>0</v>
      </c>
      <c r="H11" s="92">
        <f>IF(B$19=0,0,G11/B$19)</f>
        <v>0</v>
      </c>
      <c r="I11" s="60">
        <v>4</v>
      </c>
      <c r="N11" s="78" t="s">
        <v>153</v>
      </c>
      <c r="O11" s="87">
        <f>IF(P11=0,0,Q11/P11)</f>
        <v>-49.45</v>
      </c>
      <c r="P11" s="81">
        <v>2</v>
      </c>
      <c r="Q11" s="72">
        <v>-98.9</v>
      </c>
    </row>
    <row r="12" spans="1:17" x14ac:dyDescent="0.45">
      <c r="A12" s="22" t="s">
        <v>187</v>
      </c>
      <c r="B12" s="113">
        <f>IF(B9=0,0,C12/B9)</f>
        <v>-49.45</v>
      </c>
      <c r="C12" s="114">
        <v>-98.9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-16.483333333333334</v>
      </c>
      <c r="C13" s="124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0.5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0.29411764705882354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-67.650000000000006</v>
      </c>
      <c r="P15" s="80">
        <v>2</v>
      </c>
      <c r="Q15" s="71">
        <v>-135.30000000000001</v>
      </c>
    </row>
    <row r="16" spans="1:17" x14ac:dyDescent="0.45">
      <c r="A16" s="21" t="s">
        <v>118</v>
      </c>
      <c r="B16" s="14">
        <v>2</v>
      </c>
      <c r="C16" s="8">
        <f>IF(B$3=0,0,B16/B$3)</f>
        <v>0.11764705882352941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-80.7</v>
      </c>
      <c r="P16" s="81">
        <v>2</v>
      </c>
      <c r="Q16" s="72">
        <v>-161.4</v>
      </c>
    </row>
    <row r="17" spans="1:9" x14ac:dyDescent="0.45">
      <c r="A17" s="20" t="s">
        <v>123</v>
      </c>
      <c r="B17" s="13">
        <f>B23</f>
        <v>2</v>
      </c>
      <c r="C17" s="6">
        <f>IF(B$15=0,0,B17/B$15)</f>
        <v>0.4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3</v>
      </c>
      <c r="C20" s="8">
        <f>IF(B$3=0,0,B20/B$3)</f>
        <v>0.17647058823529413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1</v>
      </c>
      <c r="C21" s="8">
        <f>IF(B$19=0,0,B21/B$19)</f>
        <v>0.33333333333333331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2</v>
      </c>
      <c r="C22" s="8">
        <f>IF(B$19=0,0,B22/B$19)</f>
        <v>0.66666666666666663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2</v>
      </c>
      <c r="C23" s="8">
        <f>IF(B$19=0,0,B23/B$19)</f>
        <v>0.66666666666666663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9300</v>
      </c>
      <c r="C26" s="10">
        <v>27900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7950</v>
      </c>
      <c r="C27" s="100">
        <v>15900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12000</v>
      </c>
      <c r="C28" s="100">
        <v>12000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-23866.666666666668</v>
      </c>
      <c r="C29" s="100">
        <v>-71600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3</v>
      </c>
    </row>
    <row r="31" spans="1:9" x14ac:dyDescent="0.45">
      <c r="A31" s="21" t="s">
        <v>159</v>
      </c>
      <c r="B31" s="14">
        <v>7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136</v>
      </c>
      <c r="B32" s="125">
        <v>2</v>
      </c>
      <c r="C32" s="126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27">
        <v>14000</v>
      </c>
      <c r="C33" s="128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0.33333333333333331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0.33333333333333331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190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</v>
      </c>
      <c r="C2" s="132"/>
      <c r="E2" s="28" t="s">
        <v>72</v>
      </c>
      <c r="F2" s="25" t="s">
        <v>27</v>
      </c>
      <c r="G2" s="13">
        <v>9</v>
      </c>
      <c r="H2" s="91">
        <f>IF(B$19=0,0,G2/B$19)</f>
        <v>1.2857142857142858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1750</v>
      </c>
      <c r="P2" s="80">
        <v>2</v>
      </c>
      <c r="Q2" s="67">
        <v>3500</v>
      </c>
    </row>
    <row r="3" spans="1:17" x14ac:dyDescent="0.45">
      <c r="A3" s="21" t="s">
        <v>8</v>
      </c>
      <c r="B3" s="133">
        <v>17</v>
      </c>
      <c r="C3" s="134"/>
      <c r="E3" s="29" t="s">
        <v>66</v>
      </c>
      <c r="F3" s="26" t="s">
        <v>22</v>
      </c>
      <c r="G3" s="14">
        <v>5</v>
      </c>
      <c r="H3" s="92">
        <f>IF(B$19=0,0,G3/B$19)</f>
        <v>0.7142857142857143</v>
      </c>
      <c r="I3" s="60">
        <v>1</v>
      </c>
      <c r="K3" s="7">
        <v>1</v>
      </c>
      <c r="L3" s="65">
        <v>10.1</v>
      </c>
      <c r="N3" s="78" t="s">
        <v>129</v>
      </c>
      <c r="O3" s="84">
        <f t="shared" si="0"/>
        <v>-3300</v>
      </c>
      <c r="P3" s="81">
        <v>2</v>
      </c>
      <c r="Q3" s="68">
        <v>-6600</v>
      </c>
    </row>
    <row r="4" spans="1:17" x14ac:dyDescent="0.45">
      <c r="A4" s="21" t="s">
        <v>6</v>
      </c>
      <c r="B4" s="135">
        <v>36.4</v>
      </c>
      <c r="C4" s="136"/>
      <c r="E4" s="29" t="s">
        <v>67</v>
      </c>
      <c r="F4" s="26" t="s">
        <v>23</v>
      </c>
      <c r="G4" s="14">
        <v>4</v>
      </c>
      <c r="H4" s="92">
        <f>IF(B$19=0,0,G4/B$19)</f>
        <v>0.5714285714285714</v>
      </c>
      <c r="I4" s="60">
        <v>1</v>
      </c>
      <c r="K4" s="7">
        <v>2</v>
      </c>
      <c r="L4" s="65">
        <v>36.4</v>
      </c>
      <c r="N4" s="78" t="s">
        <v>130</v>
      </c>
      <c r="O4" s="84">
        <f t="shared" si="0"/>
        <v>12500</v>
      </c>
      <c r="P4" s="81">
        <v>2</v>
      </c>
      <c r="Q4" s="68">
        <v>25000</v>
      </c>
    </row>
    <row r="5" spans="1:17" x14ac:dyDescent="0.45">
      <c r="A5" s="21" t="s">
        <v>7</v>
      </c>
      <c r="B5" s="123">
        <f>IF(B$2=0,0,B$4/B$2)</f>
        <v>18.2</v>
      </c>
      <c r="C5" s="124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1</v>
      </c>
      <c r="N5" s="78" t="s">
        <v>131</v>
      </c>
      <c r="O5" s="84">
        <f t="shared" si="0"/>
        <v>5750</v>
      </c>
      <c r="P5" s="81">
        <v>2</v>
      </c>
      <c r="Q5" s="68">
        <v>11500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3</v>
      </c>
      <c r="N6" s="78" t="s">
        <v>132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65</v>
      </c>
      <c r="F7" s="26" t="s">
        <v>21</v>
      </c>
      <c r="G7" s="14">
        <v>1</v>
      </c>
      <c r="H7" s="92">
        <f>IF(B$19=0,0,G7/B$19)</f>
        <v>0.14285714285714285</v>
      </c>
      <c r="I7" s="60">
        <v>2</v>
      </c>
      <c r="N7" s="79" t="s">
        <v>133</v>
      </c>
      <c r="O7" s="85">
        <f t="shared" si="0"/>
        <v>-8000</v>
      </c>
      <c r="P7" s="82">
        <v>1</v>
      </c>
      <c r="Q7" s="69">
        <v>-8000</v>
      </c>
    </row>
    <row r="8" spans="1:17" x14ac:dyDescent="0.45">
      <c r="A8" s="21" t="s">
        <v>3</v>
      </c>
      <c r="B8" s="14">
        <v>2</v>
      </c>
      <c r="C8" s="8">
        <f t="shared" si="1"/>
        <v>1</v>
      </c>
      <c r="E8" s="29" t="s">
        <v>68</v>
      </c>
      <c r="F8" s="26" t="s">
        <v>12</v>
      </c>
      <c r="G8" s="14">
        <v>1</v>
      </c>
      <c r="H8" s="92">
        <f>IF(B$19=0,0,G8/B$19)</f>
        <v>0.14285714285714285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83</v>
      </c>
      <c r="F10" s="26" t="s">
        <v>38</v>
      </c>
      <c r="G10" s="14">
        <v>1</v>
      </c>
      <c r="H10" s="92">
        <f>IF(B$19=0,0,G10/B$19)</f>
        <v>0.14285714285714285</v>
      </c>
      <c r="I10" s="60">
        <v>4</v>
      </c>
      <c r="N10" s="77" t="s">
        <v>152</v>
      </c>
      <c r="O10" s="86">
        <f>IF(P10=0,0,Q10/P10)</f>
        <v>26.3</v>
      </c>
      <c r="P10" s="80">
        <v>1</v>
      </c>
      <c r="Q10" s="71">
        <v>26.3</v>
      </c>
    </row>
    <row r="11" spans="1:17" x14ac:dyDescent="0.45">
      <c r="A11" s="22" t="s">
        <v>186</v>
      </c>
      <c r="B11" s="113">
        <f>IF(B8=0,0,C11/B8)</f>
        <v>18.2</v>
      </c>
      <c r="C11" s="114">
        <v>36.4</v>
      </c>
      <c r="E11" s="29" t="s">
        <v>89</v>
      </c>
      <c r="F11" s="26" t="s">
        <v>44</v>
      </c>
      <c r="G11" s="14">
        <v>1</v>
      </c>
      <c r="H11" s="92">
        <f>IF(B$19=0,0,G11/B$19)</f>
        <v>0.14285714285714285</v>
      </c>
      <c r="I11" s="60">
        <v>2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69</v>
      </c>
      <c r="F12" s="26" t="s">
        <v>24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10.1</v>
      </c>
      <c r="P12" s="82">
        <v>1</v>
      </c>
      <c r="Q12" s="73">
        <v>10.1</v>
      </c>
    </row>
    <row r="13" spans="1:17" x14ac:dyDescent="0.45">
      <c r="A13" s="22" t="s">
        <v>188</v>
      </c>
      <c r="B13" s="123">
        <f>AVERAGE(B10:B12)</f>
        <v>6.0666666666666664</v>
      </c>
      <c r="C13" s="124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0.29411764705882354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5">
      <c r="A16" s="21" t="s">
        <v>118</v>
      </c>
      <c r="B16" s="14">
        <v>8</v>
      </c>
      <c r="C16" s="8">
        <f>IF(B$3=0,0,B16/B$3)</f>
        <v>0.47058823529411764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-13.05</v>
      </c>
      <c r="P16" s="81">
        <v>2</v>
      </c>
      <c r="Q16" s="72">
        <v>-26.1</v>
      </c>
    </row>
    <row r="17" spans="1:9" x14ac:dyDescent="0.45">
      <c r="A17" s="20" t="s">
        <v>123</v>
      </c>
      <c r="B17" s="13">
        <f>B23</f>
        <v>2</v>
      </c>
      <c r="C17" s="6">
        <f>IF(B$15=0,0,B17/B$15)</f>
        <v>0.4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5</v>
      </c>
      <c r="C18" s="6">
        <f>IF(B$16=0,0,B18/B$16)</f>
        <v>0.625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7</v>
      </c>
      <c r="C19" s="6">
        <f>IF(B$3=0,0,B19/B$3)</f>
        <v>0.41176470588235292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1</v>
      </c>
      <c r="C20" s="8">
        <f>IF(B$3=0,0,B20/B$3)</f>
        <v>5.8823529411764705E-2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4</v>
      </c>
      <c r="C21" s="8">
        <f>IF(B$19=0,0,B21/B$19)</f>
        <v>0.5714285714285714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3</v>
      </c>
      <c r="C22" s="8">
        <f>IF(B$19=0,0,B22/B$19)</f>
        <v>0.42857142857142855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4</v>
      </c>
    </row>
    <row r="23" spans="1:9" x14ac:dyDescent="0.45">
      <c r="A23" s="21" t="s">
        <v>184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9028.5714285714294</v>
      </c>
      <c r="C26" s="10">
        <v>63200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14000</v>
      </c>
      <c r="C27" s="100">
        <v>28000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7040</v>
      </c>
      <c r="C28" s="100">
        <v>35200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8</v>
      </c>
      <c r="C31" s="94">
        <v>8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27">
        <v>61300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0.14285714285714285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0.14285714285714285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0.14285714285714285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0.14285714285714285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5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5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5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5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310</vt:i4>
      </vt:variant>
    </vt:vector>
  </HeadingPairs>
  <TitlesOfParts>
    <vt:vector size="33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れんたろう!ツモ数</vt:lpstr>
      <vt:lpstr>全体!ツモ数</vt:lpstr>
      <vt:lpstr>Template1!ツモ率</vt:lpstr>
      <vt:lpstr>だいち!ツモ率</vt:lpstr>
      <vt:lpstr>たかの!ツモ率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れんたろう!トップ率</vt:lpstr>
      <vt:lpstr>全体!トップ率</vt:lpstr>
      <vt:lpstr>だいち!バランス</vt:lpstr>
      <vt:lpstr>たかの!バランス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れんたろう!ラス数</vt:lpstr>
      <vt:lpstr>全体!ラス数</vt:lpstr>
      <vt:lpstr>Template1!ラス率</vt:lpstr>
      <vt:lpstr>だいち!ラス率</vt:lpstr>
      <vt:lpstr>たかの!ラス率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れんたろう!ロン数</vt:lpstr>
      <vt:lpstr>全体!ロン数</vt:lpstr>
      <vt:lpstr>Template1!ロン率</vt:lpstr>
      <vt:lpstr>だいち!ロン率</vt:lpstr>
      <vt:lpstr>たかの!ロン率</vt:lpstr>
      <vt:lpstr>れんたろう!ロン率</vt:lpstr>
      <vt:lpstr>全体!ロン率</vt:lpstr>
      <vt:lpstr>だいち!一位スコア</vt:lpstr>
      <vt:lpstr>たかの!一位スコア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れんたろう!一翻数</vt:lpstr>
      <vt:lpstr>全体!一翻数</vt:lpstr>
      <vt:lpstr>一翻数</vt:lpstr>
      <vt:lpstr>だいち!一翻率</vt:lpstr>
      <vt:lpstr>たかの!一翻率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れんたろう!最大点数</vt:lpstr>
      <vt:lpstr>全体!最大点数</vt:lpstr>
      <vt:lpstr>だいち!三位スコア</vt:lpstr>
      <vt:lpstr>たかの!三位スコア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れんたろう!総局数</vt:lpstr>
      <vt:lpstr>全体!総局数</vt:lpstr>
      <vt:lpstr>Template1!対戦数</vt:lpstr>
      <vt:lpstr>だいち!対戦数</vt:lpstr>
      <vt:lpstr>たかの!対戦数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れんたろう!二位数</vt:lpstr>
      <vt:lpstr>全体!二位数</vt:lpstr>
      <vt:lpstr>だいち!二位通算スコア</vt:lpstr>
      <vt:lpstr>たかの!二位通算スコア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れんたろう!放銃数</vt:lpstr>
      <vt:lpstr>全体!放銃数</vt:lpstr>
      <vt:lpstr>Template1!放銃率</vt:lpstr>
      <vt:lpstr>だいち!放銃率</vt:lpstr>
      <vt:lpstr>たかの!放銃率</vt:lpstr>
      <vt:lpstr>れんたろう!放銃率</vt:lpstr>
      <vt:lpstr>全体!放銃率</vt:lpstr>
      <vt:lpstr>Template1!名前</vt:lpstr>
      <vt:lpstr>だいち!名前</vt:lpstr>
      <vt:lpstr>たかの!名前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2020-09-25T15:38:17Z</dcterms:modified>
</cp:coreProperties>
</file>