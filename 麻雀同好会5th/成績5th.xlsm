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9DB1AA70-7CA7-4F23-ABD4-E526C37325FA}" xr6:coauthVersionLast="45" xr6:coauthVersionMax="45" xr10:uidLastSave="{00000000-0000-0000-0000-000000000000}"/>
  <bookViews>
    <workbookView xWindow="-108" yWindow="-108" windowWidth="23256" windowHeight="12720" tabRatio="663" firstSheet="4" activeTab="6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848" r:id="rId6"/>
    <sheet name="だいち" sheetId="6850" r:id="rId7"/>
    <sheet name="れんたろう" sheetId="6852" r:id="rId8"/>
    <sheet name="たかの" sheetId="6854" r:id="rId9"/>
    <sheet name="まっつん" sheetId="6856" r:id="rId10"/>
    <sheet name="いちかわ" sheetId="6858" r:id="rId11"/>
    <sheet name="ただ" sheetId="6860" r:id="rId12"/>
    <sheet name="たか" sheetId="6862" r:id="rId13"/>
    <sheet name="のり" sheetId="6864" r:id="rId14"/>
    <sheet name="りくと" sheetId="6866" r:id="rId15"/>
    <sheet name="わさび" sheetId="6868" r:id="rId16"/>
    <sheet name="わさび2" sheetId="6869" state="hidden" r:id="rId17"/>
    <sheet name="りくと2" sheetId="6867" state="hidden" r:id="rId18"/>
    <sheet name="のり2" sheetId="6865" state="hidden" r:id="rId19"/>
    <sheet name="たか2" sheetId="6863" state="hidden" r:id="rId20"/>
    <sheet name="ただ2" sheetId="6861" state="hidden" r:id="rId21"/>
    <sheet name="いちかわ2" sheetId="6859" state="hidden" r:id="rId22"/>
    <sheet name="まっつん2" sheetId="6857" state="hidden" r:id="rId23"/>
    <sheet name="たかの2" sheetId="6855" state="hidden" r:id="rId24"/>
    <sheet name="れんたろう2" sheetId="6853" state="hidden" r:id="rId25"/>
    <sheet name="だいち2" sheetId="6851" state="hidden" r:id="rId26"/>
    <sheet name="全体2" sheetId="6849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54" l="1"/>
  <c r="P18" i="6856"/>
  <c r="P21" i="6860"/>
  <c r="P15" i="6856"/>
  <c r="P19" i="6862" l="1"/>
  <c r="P16" i="6854"/>
  <c r="P16" i="6866" l="1"/>
  <c r="P15" i="6850"/>
  <c r="P21" i="6858" l="1"/>
  <c r="P19" i="6854"/>
  <c r="P15" i="6860" l="1"/>
  <c r="P18" i="6860"/>
  <c r="P17" i="6866"/>
  <c r="P17" i="6868"/>
  <c r="P17" i="6858"/>
  <c r="P15" i="6858"/>
  <c r="P15" i="6868"/>
  <c r="P16" i="6868"/>
  <c r="C35" i="6868"/>
  <c r="B30" i="6868"/>
  <c r="C21" i="6868"/>
  <c r="B20" i="6868"/>
  <c r="H9" i="6868" s="1"/>
  <c r="B19" i="6868"/>
  <c r="B29" i="6868" s="1"/>
  <c r="C18" i="6868"/>
  <c r="B18" i="6868"/>
  <c r="C17" i="6868"/>
  <c r="C16" i="6868"/>
  <c r="C15" i="6868"/>
  <c r="B13" i="6868"/>
  <c r="P12" i="6868"/>
  <c r="B12" i="6868"/>
  <c r="P11" i="6868"/>
  <c r="B11" i="6868"/>
  <c r="P10" i="6868"/>
  <c r="C10" i="6868"/>
  <c r="C9" i="6868"/>
  <c r="C8" i="6868"/>
  <c r="P7" i="6868"/>
  <c r="B7" i="6868"/>
  <c r="P6" i="6868"/>
  <c r="P5" i="6868"/>
  <c r="B5" i="6868"/>
  <c r="P4" i="6868"/>
  <c r="P3" i="6868"/>
  <c r="P2" i="6868"/>
  <c r="P15" i="6848"/>
  <c r="P18" i="6866"/>
  <c r="P15" i="6866"/>
  <c r="C35" i="6866"/>
  <c r="H34" i="6866"/>
  <c r="B30" i="6866"/>
  <c r="C21" i="6866"/>
  <c r="B20" i="6866"/>
  <c r="H52" i="6866" s="1"/>
  <c r="B19" i="6866"/>
  <c r="B29" i="6866" s="1"/>
  <c r="B18" i="6866"/>
  <c r="C18" i="6866" s="1"/>
  <c r="C17" i="6866"/>
  <c r="C16" i="6866"/>
  <c r="C15" i="6866"/>
  <c r="B13" i="6866"/>
  <c r="P12" i="6866"/>
  <c r="B12" i="6866"/>
  <c r="P11" i="6866"/>
  <c r="H12" i="6866"/>
  <c r="B11" i="6866"/>
  <c r="B14" i="6866" s="1"/>
  <c r="P10" i="6866"/>
  <c r="C10" i="6866"/>
  <c r="C9" i="6866"/>
  <c r="C8" i="6866"/>
  <c r="P7" i="6866"/>
  <c r="B7" i="6866"/>
  <c r="P6" i="6866"/>
  <c r="P5" i="6866"/>
  <c r="B5" i="6866"/>
  <c r="P4" i="6866"/>
  <c r="P3" i="6866"/>
  <c r="P2" i="6866"/>
  <c r="P19" i="6848"/>
  <c r="C19" i="6866" l="1"/>
  <c r="H25" i="6866"/>
  <c r="H31" i="6866"/>
  <c r="H15" i="6866"/>
  <c r="C24" i="6866"/>
  <c r="B14" i="6868"/>
  <c r="C19" i="6868"/>
  <c r="H5" i="6868"/>
  <c r="H6" i="6868"/>
  <c r="H35" i="6868"/>
  <c r="H44" i="6868"/>
  <c r="H22" i="6868"/>
  <c r="C45" i="6868"/>
  <c r="H12" i="6868"/>
  <c r="H36" i="6868"/>
  <c r="H15" i="6868"/>
  <c r="C44" i="6868"/>
  <c r="H10" i="6868"/>
  <c r="H29" i="6868"/>
  <c r="H3" i="6868"/>
  <c r="H23" i="6868"/>
  <c r="C39" i="6868"/>
  <c r="H11" i="6868"/>
  <c r="H20" i="6868"/>
  <c r="C22" i="6868"/>
  <c r="H30" i="6868"/>
  <c r="H40" i="6868"/>
  <c r="C48" i="6868"/>
  <c r="C43" i="6868"/>
  <c r="H27" i="6868"/>
  <c r="H13" i="6868"/>
  <c r="C47" i="6868"/>
  <c r="H2" i="6868"/>
  <c r="H17" i="6868"/>
  <c r="H24" i="6868"/>
  <c r="C40" i="6868"/>
  <c r="C49" i="6868"/>
  <c r="H18" i="6868"/>
  <c r="C25" i="6868"/>
  <c r="C20" i="6868"/>
  <c r="H4" i="6868"/>
  <c r="H28" i="6868"/>
  <c r="C37" i="6868"/>
  <c r="H14" i="6868"/>
  <c r="H26" i="6868"/>
  <c r="H31" i="6868"/>
  <c r="C41" i="6868"/>
  <c r="H52" i="6868"/>
  <c r="H48" i="6868"/>
  <c r="C26" i="6868"/>
  <c r="H37" i="6868"/>
  <c r="H41" i="6868"/>
  <c r="H45" i="6868"/>
  <c r="H49" i="6868"/>
  <c r="H7" i="6868"/>
  <c r="H21" i="6868"/>
  <c r="C23" i="6868"/>
  <c r="B27" i="6868"/>
  <c r="H32" i="6868"/>
  <c r="H38" i="6868"/>
  <c r="H42" i="6868"/>
  <c r="H46" i="6868"/>
  <c r="H50" i="6868"/>
  <c r="H25" i="6868"/>
  <c r="H8" i="6868"/>
  <c r="H33" i="6868"/>
  <c r="C38" i="6868"/>
  <c r="C42" i="6868"/>
  <c r="C46" i="6868"/>
  <c r="H51" i="6868"/>
  <c r="H16" i="6868"/>
  <c r="H19" i="6868"/>
  <c r="C24" i="6868"/>
  <c r="B28" i="6868"/>
  <c r="H34" i="6868"/>
  <c r="H39" i="6868"/>
  <c r="H43" i="6868"/>
  <c r="H47" i="6868"/>
  <c r="H41" i="6866"/>
  <c r="H43" i="6866"/>
  <c r="H35" i="6866"/>
  <c r="H44" i="6866"/>
  <c r="H45" i="6866"/>
  <c r="H21" i="6866"/>
  <c r="H10" i="6866"/>
  <c r="C25" i="6866"/>
  <c r="H4" i="6866"/>
  <c r="C26" i="6866"/>
  <c r="H3" i="6866"/>
  <c r="H13" i="6866"/>
  <c r="H27" i="6866"/>
  <c r="H37" i="6866"/>
  <c r="H18" i="6866"/>
  <c r="B28" i="6866"/>
  <c r="C37" i="6866"/>
  <c r="H48" i="6866"/>
  <c r="H47" i="6866"/>
  <c r="H9" i="6866"/>
  <c r="C22" i="6866"/>
  <c r="H29" i="6866"/>
  <c r="H39" i="6866"/>
  <c r="H49" i="6866"/>
  <c r="H5" i="6866"/>
  <c r="H16" i="6866"/>
  <c r="C20" i="6866"/>
  <c r="H11" i="6866"/>
  <c r="H7" i="6866"/>
  <c r="H2" i="6866"/>
  <c r="H8" i="6866"/>
  <c r="H14" i="6866"/>
  <c r="H23" i="6866"/>
  <c r="H40" i="6866"/>
  <c r="H6" i="6866"/>
  <c r="H19" i="6866"/>
  <c r="H22" i="6866"/>
  <c r="H26" i="6866"/>
  <c r="H30" i="6866"/>
  <c r="H36" i="6866"/>
  <c r="C40" i="6866"/>
  <c r="C44" i="6866"/>
  <c r="C48" i="6866"/>
  <c r="C41" i="6866"/>
  <c r="C45" i="6866"/>
  <c r="C49" i="6866"/>
  <c r="H17" i="6866"/>
  <c r="H20" i="6866"/>
  <c r="C23" i="6866"/>
  <c r="B27" i="6866"/>
  <c r="H32" i="6866"/>
  <c r="H38" i="6866"/>
  <c r="H42" i="6866"/>
  <c r="H46" i="6866"/>
  <c r="H50" i="6866"/>
  <c r="H24" i="6866"/>
  <c r="H28" i="6866"/>
  <c r="H33" i="6866"/>
  <c r="C38" i="6866"/>
  <c r="C42" i="6866"/>
  <c r="C46" i="6866"/>
  <c r="H51" i="6866"/>
  <c r="C39" i="6866"/>
  <c r="C43" i="6866"/>
  <c r="C47" i="6866"/>
  <c r="P17" i="6852" l="1"/>
  <c r="P19" i="6860"/>
  <c r="P16" i="6858"/>
  <c r="P16" i="6860"/>
  <c r="P22" i="6860"/>
  <c r="P18" i="6862"/>
  <c r="P19" i="6858"/>
  <c r="P20" i="6862"/>
  <c r="P16" i="6852"/>
  <c r="P15" i="6852"/>
  <c r="P17" i="6864" l="1"/>
  <c r="P16" i="6862"/>
  <c r="P16" i="6850"/>
  <c r="P19" i="6850"/>
  <c r="P16" i="6864"/>
  <c r="P15" i="6864"/>
  <c r="C35" i="6864"/>
  <c r="B30" i="6864"/>
  <c r="C21" i="6864"/>
  <c r="B20" i="6864"/>
  <c r="H52" i="6864" s="1"/>
  <c r="B19" i="6864"/>
  <c r="B29" i="6864" s="1"/>
  <c r="B18" i="6864"/>
  <c r="C18" i="6864" s="1"/>
  <c r="C17" i="6864"/>
  <c r="C16" i="6864"/>
  <c r="C15" i="6864"/>
  <c r="B13" i="6864"/>
  <c r="P12" i="6864"/>
  <c r="B12" i="6864"/>
  <c r="P11" i="6864"/>
  <c r="B11" i="6864"/>
  <c r="P10" i="6864"/>
  <c r="C10" i="6864"/>
  <c r="C9" i="6864"/>
  <c r="C8" i="6864"/>
  <c r="P7" i="6864"/>
  <c r="B7" i="6864"/>
  <c r="P6" i="6864"/>
  <c r="P5" i="6864"/>
  <c r="B5" i="6864"/>
  <c r="P4" i="6864"/>
  <c r="P3" i="6864"/>
  <c r="P2" i="6864"/>
  <c r="P17" i="6862"/>
  <c r="P15" i="6862"/>
  <c r="C35" i="6862"/>
  <c r="B30" i="6862"/>
  <c r="C21" i="6862"/>
  <c r="B20" i="6862"/>
  <c r="H52" i="6862" s="1"/>
  <c r="B19" i="6862"/>
  <c r="C19" i="6862" s="1"/>
  <c r="B18" i="6862"/>
  <c r="C18" i="6862" s="1"/>
  <c r="C17" i="6862"/>
  <c r="C16" i="6862"/>
  <c r="C15" i="6862"/>
  <c r="B13" i="6862"/>
  <c r="P12" i="6862"/>
  <c r="B12" i="6862"/>
  <c r="P11" i="6862"/>
  <c r="B11" i="6862"/>
  <c r="B14" i="6862" s="1"/>
  <c r="P10" i="6862"/>
  <c r="C10" i="6862"/>
  <c r="C9" i="6862"/>
  <c r="C8" i="6862"/>
  <c r="P7" i="6862"/>
  <c r="B7" i="6862"/>
  <c r="P6" i="6862"/>
  <c r="P5" i="6862"/>
  <c r="B5" i="6862"/>
  <c r="P4" i="6862"/>
  <c r="P3" i="6862"/>
  <c r="P2" i="6862"/>
  <c r="P23" i="6858"/>
  <c r="P18" i="6858"/>
  <c r="P16" i="6848"/>
  <c r="P17" i="6848"/>
  <c r="B14" i="6864" l="1"/>
  <c r="C19" i="6864"/>
  <c r="C20" i="6864"/>
  <c r="H33" i="6864"/>
  <c r="C42" i="6864"/>
  <c r="H51" i="6864"/>
  <c r="H15" i="6864"/>
  <c r="H18" i="6864"/>
  <c r="C25" i="6864"/>
  <c r="H40" i="6864"/>
  <c r="H44" i="6864"/>
  <c r="H48" i="6864"/>
  <c r="H2" i="6864"/>
  <c r="H4" i="6864"/>
  <c r="H13" i="6864"/>
  <c r="H10" i="6864"/>
  <c r="H30" i="6864"/>
  <c r="C40" i="6864"/>
  <c r="C44" i="6864"/>
  <c r="H19" i="6864"/>
  <c r="C26" i="6864"/>
  <c r="H37" i="6864"/>
  <c r="H41" i="6864"/>
  <c r="H45" i="6864"/>
  <c r="H49" i="6864"/>
  <c r="H7" i="6864"/>
  <c r="H14" i="6864"/>
  <c r="H16" i="6864"/>
  <c r="H24" i="6864"/>
  <c r="H28" i="6864"/>
  <c r="H31" i="6864"/>
  <c r="C37" i="6864"/>
  <c r="C41" i="6864"/>
  <c r="C45" i="6864"/>
  <c r="C49" i="6864"/>
  <c r="H11" i="6864"/>
  <c r="H22" i="6864"/>
  <c r="H27" i="6864"/>
  <c r="H36" i="6864"/>
  <c r="C48" i="6864"/>
  <c r="H6" i="6864"/>
  <c r="C22" i="6864"/>
  <c r="H8" i="6864"/>
  <c r="H20" i="6864"/>
  <c r="H9" i="6864"/>
  <c r="C23" i="6864"/>
  <c r="B27" i="6864"/>
  <c r="H32" i="6864"/>
  <c r="H38" i="6864"/>
  <c r="H42" i="6864"/>
  <c r="H46" i="6864"/>
  <c r="H50" i="6864"/>
  <c r="H25" i="6864"/>
  <c r="C38" i="6864"/>
  <c r="C46" i="6864"/>
  <c r="H3" i="6864"/>
  <c r="H12" i="6864"/>
  <c r="H17" i="6864"/>
  <c r="H21" i="6864"/>
  <c r="C24" i="6864"/>
  <c r="B28" i="6864"/>
  <c r="H34" i="6864"/>
  <c r="H39" i="6864"/>
  <c r="H43" i="6864"/>
  <c r="H47" i="6864"/>
  <c r="H5" i="6864"/>
  <c r="H23" i="6864"/>
  <c r="H26" i="6864"/>
  <c r="H29" i="6864"/>
  <c r="H35" i="6864"/>
  <c r="C39" i="6864"/>
  <c r="C43" i="6864"/>
  <c r="C47" i="6864"/>
  <c r="H9" i="6862"/>
  <c r="H19" i="6862"/>
  <c r="H10" i="6862"/>
  <c r="H4" i="6862"/>
  <c r="H3" i="6862"/>
  <c r="H14" i="6862"/>
  <c r="H31" i="6862"/>
  <c r="H34" i="6862"/>
  <c r="C37" i="6862"/>
  <c r="H25" i="6862"/>
  <c r="H43" i="6862"/>
  <c r="H12" i="6862"/>
  <c r="C41" i="6862"/>
  <c r="H2" i="6862"/>
  <c r="C22" i="6862"/>
  <c r="C25" i="6862"/>
  <c r="C49" i="6862"/>
  <c r="H5" i="6862"/>
  <c r="H20" i="6862"/>
  <c r="H23" i="6862"/>
  <c r="H26" i="6862"/>
  <c r="H44" i="6862"/>
  <c r="H17" i="6862"/>
  <c r="B28" i="6862"/>
  <c r="C24" i="6862"/>
  <c r="H37" i="6862"/>
  <c r="H45" i="6862"/>
  <c r="C45" i="6862"/>
  <c r="C26" i="6862"/>
  <c r="H39" i="6862"/>
  <c r="H47" i="6862"/>
  <c r="H6" i="6862"/>
  <c r="H13" i="6862"/>
  <c r="H18" i="6862"/>
  <c r="C20" i="6862"/>
  <c r="H28" i="6862"/>
  <c r="H40" i="6862"/>
  <c r="H48" i="6862"/>
  <c r="H8" i="6862"/>
  <c r="H22" i="6862"/>
  <c r="H41" i="6862"/>
  <c r="H49" i="6862"/>
  <c r="B29" i="6862"/>
  <c r="H27" i="6862"/>
  <c r="H30" i="6862"/>
  <c r="H36" i="6862"/>
  <c r="C40" i="6862"/>
  <c r="C44" i="6862"/>
  <c r="C48" i="6862"/>
  <c r="H21" i="6862"/>
  <c r="H15" i="6862"/>
  <c r="C23" i="6862"/>
  <c r="B27" i="6862"/>
  <c r="H32" i="6862"/>
  <c r="H38" i="6862"/>
  <c r="H42" i="6862"/>
  <c r="H46" i="6862"/>
  <c r="H50" i="6862"/>
  <c r="H16" i="6862"/>
  <c r="H7" i="6862"/>
  <c r="H33" i="6862"/>
  <c r="C38" i="6862"/>
  <c r="C42" i="6862"/>
  <c r="C46" i="6862"/>
  <c r="H51" i="6862"/>
  <c r="H24" i="6862"/>
  <c r="H11" i="6862"/>
  <c r="H29" i="6862"/>
  <c r="H35" i="6862"/>
  <c r="C39" i="6862"/>
  <c r="C43" i="6862"/>
  <c r="C47" i="6862"/>
  <c r="P20" i="6854" l="1"/>
  <c r="P20" i="6860"/>
  <c r="P17" i="6860"/>
  <c r="C35" i="6860"/>
  <c r="B30" i="6860"/>
  <c r="C21" i="6860"/>
  <c r="B20" i="6860"/>
  <c r="H22" i="6860" s="1"/>
  <c r="B19" i="6860"/>
  <c r="B29" i="6860" s="1"/>
  <c r="B18" i="6860"/>
  <c r="C18" i="6860" s="1"/>
  <c r="C17" i="6860"/>
  <c r="C16" i="6860"/>
  <c r="C15" i="6860"/>
  <c r="B13" i="6860"/>
  <c r="P12" i="6860"/>
  <c r="B12" i="6860"/>
  <c r="P11" i="6860"/>
  <c r="B11" i="6860"/>
  <c r="P10" i="6860"/>
  <c r="C10" i="6860"/>
  <c r="C9" i="6860"/>
  <c r="C8" i="6860"/>
  <c r="P7" i="6860"/>
  <c r="B7" i="6860"/>
  <c r="P6" i="6860"/>
  <c r="P5" i="6860"/>
  <c r="B5" i="6860"/>
  <c r="P4" i="6860"/>
  <c r="P3" i="6860"/>
  <c r="P2" i="6860"/>
  <c r="P22" i="6850"/>
  <c r="P24" i="6848"/>
  <c r="C24" i="6860" l="1"/>
  <c r="C39" i="6860"/>
  <c r="H46" i="6860"/>
  <c r="B14" i="6860"/>
  <c r="H23" i="6860"/>
  <c r="H11" i="6860"/>
  <c r="C19" i="6860"/>
  <c r="H6" i="6860"/>
  <c r="H13" i="6860"/>
  <c r="C47" i="6860"/>
  <c r="H12" i="6860"/>
  <c r="H42" i="6860"/>
  <c r="C40" i="6860"/>
  <c r="H14" i="6860"/>
  <c r="H49" i="6860"/>
  <c r="C45" i="6860"/>
  <c r="C48" i="6860"/>
  <c r="C20" i="6860"/>
  <c r="H2" i="6860"/>
  <c r="H28" i="6860"/>
  <c r="H37" i="6860"/>
  <c r="H21" i="6860"/>
  <c r="H19" i="6860"/>
  <c r="H25" i="6860"/>
  <c r="H16" i="6860"/>
  <c r="B28" i="6860"/>
  <c r="H38" i="6860"/>
  <c r="H44" i="6860"/>
  <c r="C49" i="6860"/>
  <c r="C25" i="6860"/>
  <c r="H31" i="6860"/>
  <c r="H10" i="6860"/>
  <c r="H17" i="6860"/>
  <c r="H7" i="6860"/>
  <c r="H8" i="6860"/>
  <c r="H27" i="6860"/>
  <c r="C22" i="6860"/>
  <c r="H32" i="6860"/>
  <c r="H39" i="6860"/>
  <c r="C43" i="6860"/>
  <c r="H4" i="6860"/>
  <c r="H20" i="6860"/>
  <c r="H3" i="6860"/>
  <c r="H36" i="6860"/>
  <c r="H24" i="6860"/>
  <c r="C26" i="6860"/>
  <c r="C41" i="6860"/>
  <c r="H5" i="6860"/>
  <c r="H26" i="6860"/>
  <c r="H29" i="6860"/>
  <c r="H33" i="6860"/>
  <c r="C37" i="6860"/>
  <c r="C44" i="6860"/>
  <c r="H52" i="6860"/>
  <c r="H48" i="6860"/>
  <c r="H15" i="6860"/>
  <c r="H41" i="6860"/>
  <c r="H45" i="6860"/>
  <c r="H50" i="6860"/>
  <c r="H18" i="6860"/>
  <c r="C23" i="6860"/>
  <c r="B27" i="6860"/>
  <c r="H34" i="6860"/>
  <c r="H40" i="6860"/>
  <c r="H43" i="6860"/>
  <c r="H47" i="6860"/>
  <c r="H51" i="6860"/>
  <c r="H30" i="6860"/>
  <c r="H9" i="6860"/>
  <c r="H35" i="6860"/>
  <c r="C38" i="6860"/>
  <c r="C42" i="6860"/>
  <c r="C46" i="6860"/>
  <c r="P20" i="6850" l="1"/>
  <c r="P18" i="6850"/>
  <c r="P20" i="6858"/>
  <c r="P22" i="6858"/>
  <c r="C35" i="6858"/>
  <c r="B30" i="6858"/>
  <c r="C21" i="6858"/>
  <c r="B20" i="6858"/>
  <c r="H51" i="6858" s="1"/>
  <c r="B19" i="6858"/>
  <c r="B29" i="6858" s="1"/>
  <c r="B18" i="6858"/>
  <c r="C18" i="6858" s="1"/>
  <c r="C17" i="6858"/>
  <c r="C16" i="6858"/>
  <c r="C15" i="6858"/>
  <c r="B13" i="6858"/>
  <c r="P12" i="6858"/>
  <c r="B12" i="6858"/>
  <c r="P11" i="6858"/>
  <c r="B11" i="6858"/>
  <c r="P10" i="6858"/>
  <c r="C10" i="6858"/>
  <c r="C9" i="6858"/>
  <c r="C8" i="6858"/>
  <c r="P7" i="6858"/>
  <c r="B7" i="6858"/>
  <c r="P6" i="6858"/>
  <c r="P5" i="6858"/>
  <c r="B5" i="6858"/>
  <c r="P4" i="6858"/>
  <c r="P3" i="6858"/>
  <c r="P2" i="6858"/>
  <c r="P20" i="6848"/>
  <c r="P17" i="6856"/>
  <c r="P16" i="6856"/>
  <c r="C35" i="6856"/>
  <c r="B30" i="6856"/>
  <c r="C21" i="6856"/>
  <c r="B20" i="6856"/>
  <c r="H51" i="6856" s="1"/>
  <c r="B19" i="6856"/>
  <c r="B29" i="6856" s="1"/>
  <c r="B18" i="6856"/>
  <c r="C18" i="6856" s="1"/>
  <c r="C17" i="6856"/>
  <c r="C16" i="6856"/>
  <c r="C15" i="6856"/>
  <c r="B13" i="6856"/>
  <c r="P12" i="6856"/>
  <c r="B12" i="6856"/>
  <c r="P11" i="6856"/>
  <c r="B11" i="6856"/>
  <c r="P10" i="6856"/>
  <c r="C10" i="6856"/>
  <c r="C9" i="6856"/>
  <c r="C8" i="6856"/>
  <c r="P7" i="6856"/>
  <c r="B7" i="6856"/>
  <c r="P6" i="6856"/>
  <c r="P5" i="6856"/>
  <c r="B5" i="6856"/>
  <c r="P4" i="6856"/>
  <c r="P3" i="6856"/>
  <c r="P2" i="6856"/>
  <c r="P23" i="6848"/>
  <c r="B14" i="6856" l="1"/>
  <c r="C19" i="6856"/>
  <c r="H7" i="6856"/>
  <c r="B14" i="6858"/>
  <c r="C19" i="6858"/>
  <c r="H4" i="6858"/>
  <c r="H14" i="6858"/>
  <c r="C39" i="6858"/>
  <c r="C45" i="6858"/>
  <c r="C24" i="6858"/>
  <c r="C20" i="6858"/>
  <c r="C25" i="6858"/>
  <c r="H34" i="6858"/>
  <c r="H41" i="6858"/>
  <c r="C47" i="6858"/>
  <c r="H20" i="6858"/>
  <c r="H47" i="6858"/>
  <c r="H23" i="6858"/>
  <c r="C41" i="6858"/>
  <c r="H48" i="6858"/>
  <c r="H10" i="6858"/>
  <c r="H40" i="6858"/>
  <c r="C26" i="6858"/>
  <c r="H9" i="6858"/>
  <c r="H19" i="6858"/>
  <c r="H29" i="6858"/>
  <c r="H43" i="6858"/>
  <c r="H49" i="6858"/>
  <c r="H21" i="6858"/>
  <c r="C22" i="6858"/>
  <c r="B27" i="6858"/>
  <c r="H37" i="6858"/>
  <c r="C43" i="6858"/>
  <c r="C49" i="6858"/>
  <c r="H11" i="6858"/>
  <c r="H25" i="6858"/>
  <c r="H26" i="6858"/>
  <c r="C37" i="6858"/>
  <c r="H44" i="6858"/>
  <c r="H6" i="6858"/>
  <c r="H7" i="6858"/>
  <c r="H18" i="6858"/>
  <c r="H31" i="6858"/>
  <c r="H13" i="6858"/>
  <c r="H3" i="6858"/>
  <c r="H35" i="6858"/>
  <c r="H2" i="6858"/>
  <c r="H17" i="6858"/>
  <c r="B28" i="6858"/>
  <c r="H5" i="6858"/>
  <c r="H16" i="6858"/>
  <c r="H22" i="6858"/>
  <c r="C23" i="6858"/>
  <c r="H30" i="6858"/>
  <c r="H39" i="6858"/>
  <c r="H45" i="6858"/>
  <c r="H52" i="6858"/>
  <c r="H24" i="6858"/>
  <c r="H15" i="6858"/>
  <c r="H28" i="6858"/>
  <c r="H12" i="6858"/>
  <c r="H36" i="6858"/>
  <c r="C40" i="6858"/>
  <c r="C44" i="6858"/>
  <c r="C48" i="6858"/>
  <c r="H32" i="6858"/>
  <c r="H38" i="6858"/>
  <c r="H42" i="6858"/>
  <c r="H46" i="6858"/>
  <c r="H50" i="6858"/>
  <c r="H27" i="6858"/>
  <c r="H8" i="6858"/>
  <c r="H33" i="6858"/>
  <c r="C38" i="6858"/>
  <c r="C42" i="6858"/>
  <c r="C46" i="6858"/>
  <c r="H47" i="6856"/>
  <c r="H29" i="6856"/>
  <c r="H30" i="6856"/>
  <c r="H2" i="6856"/>
  <c r="C48" i="6856"/>
  <c r="C24" i="6856"/>
  <c r="C20" i="6856"/>
  <c r="C47" i="6856"/>
  <c r="C37" i="6856"/>
  <c r="H20" i="6856"/>
  <c r="H27" i="6856"/>
  <c r="H31" i="6856"/>
  <c r="H38" i="6856"/>
  <c r="C43" i="6856"/>
  <c r="H49" i="6856"/>
  <c r="C41" i="6856"/>
  <c r="H9" i="6856"/>
  <c r="C49" i="6856"/>
  <c r="H43" i="6856"/>
  <c r="H23" i="6856"/>
  <c r="C26" i="6856"/>
  <c r="H39" i="6856"/>
  <c r="C44" i="6856"/>
  <c r="H6" i="6856"/>
  <c r="H15" i="6856"/>
  <c r="H21" i="6856"/>
  <c r="C22" i="6856"/>
  <c r="H28" i="6856"/>
  <c r="H34" i="6856"/>
  <c r="C39" i="6856"/>
  <c r="H45" i="6856"/>
  <c r="H50" i="6856"/>
  <c r="H36" i="6856"/>
  <c r="H11" i="6856"/>
  <c r="H37" i="6856"/>
  <c r="C25" i="6856"/>
  <c r="H13" i="6856"/>
  <c r="H3" i="6856"/>
  <c r="H25" i="6856"/>
  <c r="B27" i="6856"/>
  <c r="H35" i="6856"/>
  <c r="C40" i="6856"/>
  <c r="C45" i="6856"/>
  <c r="H5" i="6856"/>
  <c r="H4" i="6856"/>
  <c r="H14" i="6856"/>
  <c r="H42" i="6856"/>
  <c r="H19" i="6856"/>
  <c r="H24" i="6856"/>
  <c r="H17" i="6856"/>
  <c r="H32" i="6856"/>
  <c r="H8" i="6856"/>
  <c r="H16" i="6856"/>
  <c r="H18" i="6856"/>
  <c r="H22" i="6856"/>
  <c r="H12" i="6856"/>
  <c r="C23" i="6856"/>
  <c r="B28" i="6856"/>
  <c r="H41" i="6856"/>
  <c r="H46" i="6856"/>
  <c r="H52" i="6856"/>
  <c r="H40" i="6856"/>
  <c r="H44" i="6856"/>
  <c r="H48" i="6856"/>
  <c r="H26" i="6856"/>
  <c r="H10" i="6856"/>
  <c r="H33" i="6856"/>
  <c r="C38" i="6856"/>
  <c r="C42" i="6856"/>
  <c r="C46" i="6856"/>
  <c r="P15" i="6854" l="1"/>
  <c r="P18" i="6854"/>
  <c r="C35" i="6854"/>
  <c r="B30" i="6854"/>
  <c r="C21" i="6854"/>
  <c r="B20" i="6854"/>
  <c r="H51" i="6854" s="1"/>
  <c r="B19" i="6854"/>
  <c r="B29" i="6854" s="1"/>
  <c r="C18" i="6854"/>
  <c r="B18" i="6854"/>
  <c r="C17" i="6854"/>
  <c r="C16" i="6854"/>
  <c r="C15" i="6854"/>
  <c r="B13" i="6854"/>
  <c r="P12" i="6854"/>
  <c r="B12" i="6854"/>
  <c r="P11" i="6854"/>
  <c r="B11" i="6854"/>
  <c r="P10" i="6854"/>
  <c r="C10" i="6854"/>
  <c r="C9" i="6854"/>
  <c r="C8" i="6854"/>
  <c r="P7" i="6854"/>
  <c r="B7" i="6854"/>
  <c r="P6" i="6854"/>
  <c r="P5" i="6854"/>
  <c r="B5" i="6854"/>
  <c r="P4" i="6854"/>
  <c r="P3" i="6854"/>
  <c r="P2" i="6854"/>
  <c r="P18" i="6852"/>
  <c r="P19" i="6852"/>
  <c r="C35" i="6852"/>
  <c r="B30" i="6852"/>
  <c r="C21" i="6852"/>
  <c r="B20" i="6852"/>
  <c r="H15" i="6852" s="1"/>
  <c r="B19" i="6852"/>
  <c r="B29" i="6852" s="1"/>
  <c r="B18" i="6852"/>
  <c r="C18" i="6852" s="1"/>
  <c r="C17" i="6852"/>
  <c r="C16" i="6852"/>
  <c r="C15" i="6852"/>
  <c r="B13" i="6852"/>
  <c r="P12" i="6852"/>
  <c r="B12" i="6852"/>
  <c r="P11" i="6852"/>
  <c r="B11" i="6852"/>
  <c r="P10" i="6852"/>
  <c r="C10" i="6852"/>
  <c r="C9" i="6852"/>
  <c r="C8" i="6852"/>
  <c r="P7" i="6852"/>
  <c r="B7" i="6852"/>
  <c r="P6" i="6852"/>
  <c r="P5" i="6852"/>
  <c r="B5" i="6852"/>
  <c r="P4" i="6852"/>
  <c r="P3" i="6852"/>
  <c r="P2" i="6852"/>
  <c r="P21" i="6848"/>
  <c r="P21" i="6850"/>
  <c r="P17" i="6850"/>
  <c r="C35" i="6850"/>
  <c r="B30" i="6850"/>
  <c r="C21" i="6850"/>
  <c r="B20" i="6850"/>
  <c r="H13" i="6850" s="1"/>
  <c r="B19" i="6850"/>
  <c r="B29" i="6850" s="1"/>
  <c r="B18" i="6850"/>
  <c r="C18" i="6850" s="1"/>
  <c r="C17" i="6850"/>
  <c r="C16" i="6850"/>
  <c r="C15" i="6850"/>
  <c r="B13" i="6850"/>
  <c r="P12" i="6850"/>
  <c r="B12" i="6850"/>
  <c r="P11" i="6850"/>
  <c r="B11" i="6850"/>
  <c r="P10" i="6850"/>
  <c r="C10" i="6850"/>
  <c r="C9" i="6850"/>
  <c r="C8" i="6850"/>
  <c r="P7" i="6850"/>
  <c r="B7" i="6850"/>
  <c r="P6" i="6850"/>
  <c r="P5" i="6850"/>
  <c r="B5" i="6850"/>
  <c r="P4" i="6850"/>
  <c r="P3" i="6850"/>
  <c r="P2" i="6850"/>
  <c r="P22" i="6848"/>
  <c r="P18" i="6848"/>
  <c r="C35" i="6848"/>
  <c r="B30" i="6848"/>
  <c r="C21" i="6848"/>
  <c r="B20" i="6848"/>
  <c r="H51" i="6848" s="1"/>
  <c r="B19" i="6848"/>
  <c r="B29" i="6848" s="1"/>
  <c r="B18" i="6848"/>
  <c r="C18" i="6848" s="1"/>
  <c r="C17" i="6848"/>
  <c r="C16" i="6848"/>
  <c r="C15" i="6848"/>
  <c r="B13" i="6848"/>
  <c r="P12" i="6848"/>
  <c r="B12" i="6848"/>
  <c r="P11" i="6848"/>
  <c r="B11" i="6848"/>
  <c r="P10" i="6848"/>
  <c r="C10" i="6848"/>
  <c r="C9" i="6848"/>
  <c r="C8" i="6848"/>
  <c r="P7" i="6848"/>
  <c r="B7" i="6848"/>
  <c r="P6" i="6848"/>
  <c r="P5" i="6848"/>
  <c r="B5" i="6848"/>
  <c r="P4" i="6848"/>
  <c r="P3" i="6848"/>
  <c r="P2" i="6848"/>
  <c r="B14" i="6854" l="1"/>
  <c r="B14" i="6852"/>
  <c r="C19" i="6852"/>
  <c r="B14" i="6850"/>
  <c r="H23" i="6850"/>
  <c r="C19" i="6850"/>
  <c r="B14" i="6848"/>
  <c r="C19" i="6854"/>
  <c r="H30" i="6854"/>
  <c r="H6" i="6854"/>
  <c r="H11" i="6854"/>
  <c r="C20" i="6854"/>
  <c r="H16" i="6854"/>
  <c r="H17" i="6854"/>
  <c r="H37" i="6854"/>
  <c r="C41" i="6854"/>
  <c r="H46" i="6854"/>
  <c r="H52" i="6854"/>
  <c r="H26" i="6854"/>
  <c r="C25" i="6854"/>
  <c r="C37" i="6854"/>
  <c r="H42" i="6854"/>
  <c r="H47" i="6854"/>
  <c r="H20" i="6854"/>
  <c r="H23" i="6854"/>
  <c r="H29" i="6854"/>
  <c r="H31" i="6854"/>
  <c r="H38" i="6854"/>
  <c r="H43" i="6854"/>
  <c r="C47" i="6854"/>
  <c r="C24" i="6854"/>
  <c r="H41" i="6854"/>
  <c r="H22" i="6854"/>
  <c r="H7" i="6854"/>
  <c r="C26" i="6854"/>
  <c r="C43" i="6854"/>
  <c r="H4" i="6854"/>
  <c r="H24" i="6854"/>
  <c r="C22" i="6854"/>
  <c r="H19" i="6854"/>
  <c r="H34" i="6854"/>
  <c r="C39" i="6854"/>
  <c r="H44" i="6854"/>
  <c r="C48" i="6854"/>
  <c r="H2" i="6854"/>
  <c r="H36" i="6854"/>
  <c r="C45" i="6854"/>
  <c r="H3" i="6854"/>
  <c r="H13" i="6854"/>
  <c r="H9" i="6854"/>
  <c r="H25" i="6854"/>
  <c r="H15" i="6854"/>
  <c r="H32" i="6854"/>
  <c r="H39" i="6854"/>
  <c r="H48" i="6854"/>
  <c r="H5" i="6854"/>
  <c r="H12" i="6854"/>
  <c r="H21" i="6854"/>
  <c r="H27" i="6854"/>
  <c r="B27" i="6854"/>
  <c r="H35" i="6854"/>
  <c r="H40" i="6854"/>
  <c r="C44" i="6854"/>
  <c r="H49" i="6854"/>
  <c r="H10" i="6854"/>
  <c r="H18" i="6854"/>
  <c r="H14" i="6854"/>
  <c r="C23" i="6854"/>
  <c r="B28" i="6854"/>
  <c r="C40" i="6854"/>
  <c r="H45" i="6854"/>
  <c r="H50" i="6854"/>
  <c r="C49" i="6854"/>
  <c r="H28" i="6854"/>
  <c r="H8" i="6854"/>
  <c r="H33" i="6854"/>
  <c r="C38" i="6854"/>
  <c r="C42" i="6854"/>
  <c r="C46" i="6854"/>
  <c r="H12" i="6852"/>
  <c r="H37" i="6852"/>
  <c r="H42" i="6852"/>
  <c r="H48" i="6852"/>
  <c r="H18" i="6852"/>
  <c r="H14" i="6852"/>
  <c r="H23" i="6852"/>
  <c r="C25" i="6852"/>
  <c r="H44" i="6852"/>
  <c r="H49" i="6852"/>
  <c r="C20" i="6852"/>
  <c r="H38" i="6852"/>
  <c r="H9" i="6852"/>
  <c r="C37" i="6852"/>
  <c r="H24" i="6852"/>
  <c r="H29" i="6852"/>
  <c r="H32" i="6852"/>
  <c r="H39" i="6852"/>
  <c r="C43" i="6852"/>
  <c r="C48" i="6852"/>
  <c r="C47" i="6852"/>
  <c r="H21" i="6852"/>
  <c r="C26" i="6852"/>
  <c r="H50" i="6852"/>
  <c r="H30" i="6852"/>
  <c r="H26" i="6852"/>
  <c r="H33" i="6852"/>
  <c r="H7" i="6852"/>
  <c r="H16" i="6852"/>
  <c r="H25" i="6852"/>
  <c r="C22" i="6852"/>
  <c r="H20" i="6852"/>
  <c r="H35" i="6852"/>
  <c r="C39" i="6852"/>
  <c r="C44" i="6852"/>
  <c r="C49" i="6852"/>
  <c r="C24" i="6852"/>
  <c r="H31" i="6852"/>
  <c r="H27" i="6852"/>
  <c r="H40" i="6852"/>
  <c r="H5" i="6852"/>
  <c r="H28" i="6852"/>
  <c r="B27" i="6852"/>
  <c r="H36" i="6852"/>
  <c r="H41" i="6852"/>
  <c r="H46" i="6852"/>
  <c r="H4" i="6852"/>
  <c r="H3" i="6852"/>
  <c r="C41" i="6852"/>
  <c r="H2" i="6852"/>
  <c r="H13" i="6852"/>
  <c r="H45" i="6852"/>
  <c r="H6" i="6852"/>
  <c r="H17" i="6852"/>
  <c r="H22" i="6852"/>
  <c r="H10" i="6852"/>
  <c r="H11" i="6852"/>
  <c r="C23" i="6852"/>
  <c r="B28" i="6852"/>
  <c r="C40" i="6852"/>
  <c r="C45" i="6852"/>
  <c r="H52" i="6852"/>
  <c r="H43" i="6852"/>
  <c r="H47" i="6852"/>
  <c r="H51" i="6852"/>
  <c r="H19" i="6852"/>
  <c r="H8" i="6852"/>
  <c r="H34" i="6852"/>
  <c r="C38" i="6852"/>
  <c r="C42" i="6852"/>
  <c r="C46" i="6852"/>
  <c r="C19" i="6848"/>
  <c r="H14" i="6850"/>
  <c r="H6" i="6850"/>
  <c r="H46" i="6850"/>
  <c r="H11" i="6850"/>
  <c r="H22" i="6850"/>
  <c r="H20" i="6850"/>
  <c r="H48" i="6850"/>
  <c r="C25" i="6850"/>
  <c r="C40" i="6850"/>
  <c r="C26" i="6850"/>
  <c r="H36" i="6850"/>
  <c r="H42" i="6850"/>
  <c r="C47" i="6850"/>
  <c r="C20" i="6850"/>
  <c r="H50" i="6850"/>
  <c r="H30" i="6850"/>
  <c r="H8" i="6850"/>
  <c r="H31" i="6850"/>
  <c r="C41" i="6850"/>
  <c r="H19" i="6850"/>
  <c r="H27" i="6850"/>
  <c r="C22" i="6850"/>
  <c r="B28" i="6850"/>
  <c r="H37" i="6850"/>
  <c r="H44" i="6850"/>
  <c r="C49" i="6850"/>
  <c r="H12" i="6850"/>
  <c r="C45" i="6850"/>
  <c r="H28" i="6850"/>
  <c r="H24" i="6850"/>
  <c r="H25" i="6850"/>
  <c r="H7" i="6850"/>
  <c r="H9" i="6850"/>
  <c r="H29" i="6850"/>
  <c r="H32" i="6850"/>
  <c r="H38" i="6850"/>
  <c r="C43" i="6850"/>
  <c r="H5" i="6850"/>
  <c r="H40" i="6850"/>
  <c r="C39" i="6850"/>
  <c r="H3" i="6850"/>
  <c r="H35" i="6850"/>
  <c r="H2" i="6850"/>
  <c r="H15" i="6850"/>
  <c r="H4" i="6850"/>
  <c r="H26" i="6850"/>
  <c r="C24" i="6850"/>
  <c r="H17" i="6850"/>
  <c r="C37" i="6850"/>
  <c r="C44" i="6850"/>
  <c r="H52" i="6850"/>
  <c r="H41" i="6850"/>
  <c r="H45" i="6850"/>
  <c r="H49" i="6850"/>
  <c r="C48" i="6850"/>
  <c r="H18" i="6850"/>
  <c r="H16" i="6850"/>
  <c r="C23" i="6850"/>
  <c r="B27" i="6850"/>
  <c r="H33" i="6850"/>
  <c r="H39" i="6850"/>
  <c r="H43" i="6850"/>
  <c r="H47" i="6850"/>
  <c r="H51" i="6850"/>
  <c r="H21" i="6850"/>
  <c r="H10" i="6850"/>
  <c r="H34" i="6850"/>
  <c r="C38" i="6850"/>
  <c r="C42" i="6850"/>
  <c r="C46" i="6850"/>
  <c r="C20" i="6848"/>
  <c r="H3" i="6848"/>
  <c r="H21" i="6848"/>
  <c r="H35" i="6848"/>
  <c r="C42" i="6848"/>
  <c r="H18" i="6848"/>
  <c r="H9" i="6848"/>
  <c r="H25" i="6848"/>
  <c r="B28" i="6848"/>
  <c r="H36" i="6848"/>
  <c r="H41" i="6848"/>
  <c r="H44" i="6848"/>
  <c r="H48" i="6848"/>
  <c r="H5" i="6848"/>
  <c r="H30" i="6848"/>
  <c r="H13" i="6848"/>
  <c r="H33" i="6848"/>
  <c r="H37" i="6848"/>
  <c r="C39" i="6848"/>
  <c r="C43" i="6848"/>
  <c r="C47" i="6848"/>
  <c r="H52" i="6848"/>
  <c r="H20" i="6848"/>
  <c r="H28" i="6848"/>
  <c r="C25" i="6848"/>
  <c r="H42" i="6848"/>
  <c r="H45" i="6848"/>
  <c r="H49" i="6848"/>
  <c r="H8" i="6848"/>
  <c r="C38" i="6848"/>
  <c r="C46" i="6848"/>
  <c r="H2" i="6848"/>
  <c r="H19" i="6848"/>
  <c r="C24" i="6848"/>
  <c r="H7" i="6848"/>
  <c r="H10" i="6848"/>
  <c r="H29" i="6848"/>
  <c r="H14" i="6848"/>
  <c r="H32" i="6848"/>
  <c r="H17" i="6848"/>
  <c r="H38" i="6848"/>
  <c r="C40" i="6848"/>
  <c r="C44" i="6848"/>
  <c r="C48" i="6848"/>
  <c r="H4" i="6848"/>
  <c r="H23" i="6848"/>
  <c r="C22" i="6848"/>
  <c r="C26" i="6848"/>
  <c r="H39" i="6848"/>
  <c r="H26" i="6848"/>
  <c r="H46" i="6848"/>
  <c r="H50" i="6848"/>
  <c r="H6" i="6848"/>
  <c r="H12" i="6848"/>
  <c r="H27" i="6848"/>
  <c r="H31" i="6848"/>
  <c r="H22" i="6848"/>
  <c r="H24" i="6848"/>
  <c r="C37" i="6848"/>
  <c r="C41" i="6848"/>
  <c r="C45" i="6848"/>
  <c r="C49" i="6848"/>
  <c r="H11" i="6848"/>
  <c r="H16" i="6848"/>
  <c r="H15" i="6848"/>
  <c r="C23" i="6848"/>
  <c r="B27" i="6848"/>
  <c r="H34" i="6848"/>
  <c r="H40" i="6848"/>
  <c r="H43" i="6848"/>
  <c r="H47" i="68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<sst xmlns="http://schemas.openxmlformats.org/spreadsheetml/2006/main" count="2931" uniqueCount="239">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</sst>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全体!$K$2:$K$188</c:f>
              <c:numCache>
                <c:formatCode>General</c:formatCode>
                <c:ptCount val="1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</c:numCache>
            </c:numRef>
          </c:xVal>
          <c:yVal>
            <c:numRef>
              <c:f>全体!$L$2:$L$188</c:f>
              <c:numCache>
                <c:formatCode>\+0.0;\-0.0;\±0</c:formatCode>
                <c:ptCount val="187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C-4BD1-892C-8936F5321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-48.387096774193552</c:v>
                </c:pt>
                <c:pt idx="1">
                  <c:v>50</c:v>
                </c:pt>
                <c:pt idx="2">
                  <c:v>-32.786885245901637</c:v>
                </c:pt>
                <c:pt idx="3">
                  <c:v>23.80952380952381</c:v>
                </c:pt>
                <c:pt idx="4">
                  <c:v>-6.666666666666667</c:v>
                </c:pt>
                <c:pt idx="5">
                  <c:v>24.390243902439025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99-40D1-8A93-53C1C7202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40</c:v>
                </c:pt>
                <c:pt idx="1">
                  <c:v>98</c:v>
                </c:pt>
                <c:pt idx="2">
                  <c:v>91</c:v>
                </c:pt>
                <c:pt idx="3">
                  <c:v>76</c:v>
                </c:pt>
                <c:pt idx="4">
                  <c:v>60</c:v>
                </c:pt>
                <c:pt idx="5">
                  <c:v>41</c:v>
                </c:pt>
                <c:pt idx="6">
                  <c:v>25</c:v>
                </c:pt>
                <c:pt idx="7">
                  <c:v>14</c:v>
                </c:pt>
                <c:pt idx="8">
                  <c:v>10</c:v>
                </c:pt>
                <c:pt idx="9">
                  <c:v>5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99-4A66-83D7-AB5E64D2B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全体!$K$2:$K$188</c:f>
              <c:numCache>
                <c:formatCode>General</c:formatCode>
                <c:ptCount val="1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</c:numCache>
            </c:numRef>
          </c:xVal>
          <c:yVal>
            <c:numRef>
              <c:f>全体!$M$2:$M$188</c:f>
              <c:numCache>
                <c:formatCode>0</c:formatCode>
                <c:ptCount val="187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E-40CA-95D4-CBE145ED8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だいち!$L$2:$L$52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F-4879-B429-71850465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1680</c:v>
                </c:pt>
                <c:pt idx="1">
                  <c:v>-1347.9166666666667</c:v>
                </c:pt>
                <c:pt idx="2">
                  <c:v>-524.48979591836735</c:v>
                </c:pt>
                <c:pt idx="3">
                  <c:v>573.91304347826087</c:v>
                </c:pt>
                <c:pt idx="4">
                  <c:v>492.6829268292683</c:v>
                </c:pt>
                <c:pt idx="5">
                  <c:v>-956.25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3-4063-A52A-53E5C56F0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6</c:v>
                </c:pt>
                <c:pt idx="1">
                  <c:v>23</c:v>
                </c:pt>
                <c:pt idx="2">
                  <c:v>32</c:v>
                </c:pt>
                <c:pt idx="3">
                  <c:v>18</c:v>
                </c:pt>
                <c:pt idx="4">
                  <c:v>20</c:v>
                </c:pt>
                <c:pt idx="5">
                  <c:v>16</c:v>
                </c:pt>
                <c:pt idx="6">
                  <c:v>7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57-4D39-BBEC-1F7FA8F45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だいち!$M$2:$M$52</c:f>
              <c:numCache>
                <c:formatCode>0</c:formatCode>
                <c:ptCount val="51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50-4D56-936B-2C285DEE4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れんたろう!$L$2:$L$21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6-4EBC-B5A9-9AD008CA7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2342.1052631578946</c:v>
                </c:pt>
                <c:pt idx="1">
                  <c:v>-1666.6666666666667</c:v>
                </c:pt>
                <c:pt idx="2">
                  <c:v>-1755.5555555555557</c:v>
                </c:pt>
                <c:pt idx="3">
                  <c:v>1017.6470588235294</c:v>
                </c:pt>
                <c:pt idx="4">
                  <c:v>-2700</c:v>
                </c:pt>
                <c:pt idx="5">
                  <c:v>-118.18181818181819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9D1-A647-DB756DAC4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9</c:v>
                </c:pt>
                <c:pt idx="3">
                  <c:v>7</c:v>
                </c:pt>
                <c:pt idx="4">
                  <c:v>11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E-4011-855E-3183F97D0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れんたろう!$M$2:$M$21</c:f>
              <c:numCache>
                <c:formatCode>0</c:formatCode>
                <c:ptCount val="20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2-40C3-A0A3-54334CBA7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5-4429-AA40-AB72E5B44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-1034.7826086956522</c:v>
                </c:pt>
                <c:pt idx="1">
                  <c:v>843.47826086956525</c:v>
                </c:pt>
                <c:pt idx="2">
                  <c:v>1278.2608695652175</c:v>
                </c:pt>
                <c:pt idx="3">
                  <c:v>195.65217391304347</c:v>
                </c:pt>
                <c:pt idx="4">
                  <c:v>-1508.695652173913</c:v>
                </c:pt>
                <c:pt idx="5">
                  <c:v>1587.5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1B-4AF7-8E5D-A38C49F63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9</c:v>
                </c:pt>
                <c:pt idx="1">
                  <c:v>18</c:v>
                </c:pt>
                <c:pt idx="2">
                  <c:v>9</c:v>
                </c:pt>
                <c:pt idx="3">
                  <c:v>12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4-441D-B8C7-895F05595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たかの!$M$2:$M$25</c:f>
              <c:numCache>
                <c:formatCode>0</c:formatCode>
                <c:ptCount val="24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90-4868-9691-0DF4BF4B8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F0-AA2D-469E013D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1420</c:v>
                </c:pt>
                <c:pt idx="1">
                  <c:v>2270</c:v>
                </c:pt>
                <c:pt idx="2">
                  <c:v>1590</c:v>
                </c:pt>
                <c:pt idx="3">
                  <c:v>-4062.5</c:v>
                </c:pt>
                <c:pt idx="4">
                  <c:v>-3385.7142857142858</c:v>
                </c:pt>
                <c:pt idx="5">
                  <c:v>-3266.6666666666665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15-4A8D-8522-69EFC60B6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EC-4EDE-8465-97AA30620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まっつん!$M$2:$M$12</c:f>
              <c:numCache>
                <c:formatCode>0</c:formatCode>
                <c:ptCount val="11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2C-40E8-A61E-C31A6B42E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いちかわ!$L$2:$L$26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7E-4E27-AD21-19C0230A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-862.5</c:v>
                </c:pt>
                <c:pt idx="1">
                  <c:v>833.33333333333337</c:v>
                </c:pt>
                <c:pt idx="2">
                  <c:v>2129.1666666666665</c:v>
                </c:pt>
                <c:pt idx="3">
                  <c:v>-442.85714285714283</c:v>
                </c:pt>
                <c:pt idx="4">
                  <c:v>2564.705882352941</c:v>
                </c:pt>
                <c:pt idx="5">
                  <c:v>1005.8823529411765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17-412D-9000-E7E5A6BDE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10</c:v>
                </c:pt>
                <c:pt idx="3">
                  <c:v>9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5-48DE-B7EE-6D3AD2079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いちかわ!$M$2:$M$26</c:f>
              <c:numCache>
                <c:formatCode>0</c:formatCode>
                <c:ptCount val="25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899-9F14-58F4F9E1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63-4067-BDA2-6E6B9CF6D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-143.75</c:v>
                </c:pt>
                <c:pt idx="1">
                  <c:v>1933.3333333333333</c:v>
                </c:pt>
                <c:pt idx="2">
                  <c:v>800</c:v>
                </c:pt>
                <c:pt idx="3">
                  <c:v>960.71428571428567</c:v>
                </c:pt>
                <c:pt idx="4">
                  <c:v>1553.8461538461538</c:v>
                </c:pt>
                <c:pt idx="5">
                  <c:v>-90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6-4D6D-A4D8-5B54C3CA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10</c:v>
                </c:pt>
                <c:pt idx="1">
                  <c:v>22</c:v>
                </c:pt>
                <c:pt idx="2">
                  <c:v>21</c:v>
                </c:pt>
                <c:pt idx="3">
                  <c:v>15</c:v>
                </c:pt>
                <c:pt idx="4">
                  <c:v>13</c:v>
                </c:pt>
                <c:pt idx="5">
                  <c:v>3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7-48AD-B2A2-541B676F8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ただ!$M$2:$M$34</c:f>
              <c:numCache>
                <c:formatCode>0</c:formatCode>
                <c:ptCount val="33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BD-48F3-A31A-9AC692BBA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A-4425-8CA0-3E0548B92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-1568.75</c:v>
                </c:pt>
                <c:pt idx="1">
                  <c:v>-1600</c:v>
                </c:pt>
                <c:pt idx="2">
                  <c:v>-4525</c:v>
                </c:pt>
                <c:pt idx="3">
                  <c:v>-406.66666666666669</c:v>
                </c:pt>
                <c:pt idx="4">
                  <c:v>-283.33333333333331</c:v>
                </c:pt>
                <c:pt idx="5">
                  <c:v>2945.4545454545455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A-47F8-B3D6-21ABAA80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6-4FAD-85BE-023A9BBFA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たか!$M$2:$M$18</c:f>
              <c:numCache>
                <c:formatCode>0</c:formatCode>
                <c:ptCount val="17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55-42E4-9DDF-ACA6C38A5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CC-4856-B97E-ED7794FB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4-4743-AA9E-72F56D89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1A-4A09-B677-323045CB6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4-43DF-B5A7-CCC410FF6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C1-4B29-91B3-8B5C371D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-7283.333333333333</c:v>
                </c:pt>
                <c:pt idx="1">
                  <c:v>3080</c:v>
                </c:pt>
                <c:pt idx="2">
                  <c:v>-2700</c:v>
                </c:pt>
                <c:pt idx="3">
                  <c:v>-5340</c:v>
                </c:pt>
                <c:pt idx="4">
                  <c:v>540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E-4834-AC95-71BA5741A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1-473B-B75C-232893104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りくと!$M$2:$M$8</c:f>
              <c:numCache>
                <c:formatCode>0</c:formatCode>
                <c:ptCount val="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9-443C-B8E7-DC7185B2B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4CF1-9044-E488B5770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F-48B5-A195-29F499B37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A2-4914-AE4B-6F92DF3BA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9-4A15-9587-6AE26C4F0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たかの2!$B$3:$B$26</c:f>
              <c:numCache>
                <c:formatCode>\+0.0;\-0.0;\±0</c:formatCode>
                <c:ptCount val="24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たかの2!$C$3:$C$26</c:f>
              <c:numCache>
                <c:formatCode>\+0.0;\-0.0;\±0</c:formatCode>
                <c:ptCount val="24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640244470538712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たかの2!$D$3:$D$26</c:f>
              <c:numCache>
                <c:formatCode>0.00\ "位"</c:formatCode>
                <c:ptCount val="24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4623655913978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たかの2!$E$3:$E$26</c:f>
              <c:numCache>
                <c:formatCode>0.0%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8709677419354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たかの2!$F$3:$F$26</c:f>
              <c:numCache>
                <c:formatCode>0.0%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たかの2!$G$3:$G$26</c:f>
              <c:numCache>
                <c:formatCode>0.0%</c:formatCode>
                <c:ptCount val="24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238095238095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たかの2!$H$3:$H$26</c:f>
              <c:numCache>
                <c:formatCode>0.0%</c:formatCode>
                <c:ptCount val="24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079365079365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たかの2!$I$3:$I$26</c:f>
              <c:numCache>
                <c:formatCode>0</c:formatCode>
                <c:ptCount val="24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32.90322580645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たかの2!$J$3:$J$26</c:f>
              <c:numCache>
                <c:formatCode>0</c:formatCode>
                <c:ptCount val="24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229.61538461538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たかの2!$K$3:$K$26</c:f>
              <c:numCache>
                <c:formatCode>0.0%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602150537634409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たかの2!$L$3:$L$26</c:f>
              <c:numCache>
                <c:formatCode>0.0%</c:formatCode>
                <c:ptCount val="24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095238095238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たかの2!$M$3:$M$26</c:f>
              <c:numCache>
                <c:formatCode>0.0%</c:formatCode>
                <c:ptCount val="24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3015873015873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たかの2!$N$3:$N$26</c:f>
              <c:numCache>
                <c:formatCode>0.0%</c:formatCode>
                <c:ptCount val="24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7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たかの2!$O$3:$O$26</c:f>
              <c:numCache>
                <c:formatCode>0.0%</c:formatCode>
                <c:ptCount val="24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416893732970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たかの2!$P$3:$P$26</c:f>
              <c:numCache>
                <c:formatCode>0.0%</c:formatCode>
                <c:ptCount val="24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6559139784946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25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5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5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5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5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5">
      <c r="A7" s="2" t="s">
        <v>218</v>
      </c>
      <c r="B7" s="3">
        <v>44118.006006944444</v>
      </c>
      <c r="C7" s="2" t="s">
        <v>127</v>
      </c>
    </row>
    <row r="8" spans="1:6" x14ac:dyDescent="0.45">
      <c r="A8" s="2" t="s">
        <v>219</v>
      </c>
      <c r="B8" s="3">
        <v>44118.006006944444</v>
      </c>
      <c r="C8" s="2" t="s">
        <v>127</v>
      </c>
    </row>
    <row r="9" spans="1:6" x14ac:dyDescent="0.45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5">
      <c r="A10" s="2" t="s">
        <v>222</v>
      </c>
      <c r="B10" s="3">
        <v>44118.006006944444</v>
      </c>
      <c r="C10" s="2" t="s">
        <v>127</v>
      </c>
    </row>
    <row r="11" spans="1:6" x14ac:dyDescent="0.45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5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5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5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5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5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6" x14ac:dyDescent="0.45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6" x14ac:dyDescent="0.45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6" x14ac:dyDescent="0.45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6" x14ac:dyDescent="0.45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6" x14ac:dyDescent="0.45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6" x14ac:dyDescent="0.45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6" x14ac:dyDescent="0.45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6" x14ac:dyDescent="0.45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6" x14ac:dyDescent="0.45">
      <c r="A25" s="2" t="s">
        <v>238</v>
      </c>
      <c r="B25" s="3">
        <v>44133.763518518521</v>
      </c>
      <c r="C25" s="2" t="s">
        <v>127</v>
      </c>
      <c r="D25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" x14ac:dyDescent="0.45"/>
  <cols>
    <col min="1" max="1" width="11" customWidth="1"/>
    <col min="2" max="2" width="9" style="120" customWidth="1"/>
    <col min="3" max="3" width="9" style="120"/>
  </cols>
  <sheetData>
    <row r="1" spans="1:3" x14ac:dyDescent="0.45">
      <c r="A1" t="s">
        <v>225</v>
      </c>
    </row>
    <row r="2" spans="1:3" x14ac:dyDescent="0.45">
      <c r="A2" t="s">
        <v>126</v>
      </c>
      <c r="B2" s="120">
        <v>50</v>
      </c>
      <c r="C2" s="120">
        <v>1842.3339395535957</v>
      </c>
    </row>
    <row r="3" spans="1:3" x14ac:dyDescent="0.45">
      <c r="A3" t="s">
        <v>163</v>
      </c>
      <c r="B3" s="120">
        <v>19</v>
      </c>
      <c r="C3" s="120">
        <v>1653.1699313523677</v>
      </c>
    </row>
    <row r="4" spans="1:3" x14ac:dyDescent="0.45">
      <c r="A4" t="s">
        <v>139</v>
      </c>
      <c r="B4" s="120">
        <v>186</v>
      </c>
      <c r="C4" s="120">
        <v>1594.5463045050694</v>
      </c>
    </row>
    <row r="5" spans="1:3" x14ac:dyDescent="0.45">
      <c r="A5" t="s">
        <v>190</v>
      </c>
      <c r="B5" s="120">
        <v>10</v>
      </c>
      <c r="C5" s="120">
        <v>1524.3778689305989</v>
      </c>
    </row>
    <row r="6" spans="1:3" x14ac:dyDescent="0.45">
      <c r="A6" t="s">
        <v>192</v>
      </c>
      <c r="B6" s="120">
        <v>32</v>
      </c>
      <c r="C6" s="120">
        <v>1517.1288342047803</v>
      </c>
    </row>
    <row r="7" spans="1:3" x14ac:dyDescent="0.45">
      <c r="A7" t="s">
        <v>211</v>
      </c>
      <c r="B7" s="120">
        <v>24</v>
      </c>
      <c r="C7" s="120">
        <v>1488.8318648771276</v>
      </c>
    </row>
    <row r="8" spans="1:3" x14ac:dyDescent="0.45">
      <c r="A8" t="s">
        <v>210</v>
      </c>
      <c r="C8" s="120">
        <v>1483.0119085897741</v>
      </c>
    </row>
    <row r="9" spans="1:3" x14ac:dyDescent="0.45">
      <c r="A9" t="s">
        <v>198</v>
      </c>
      <c r="C9" s="120">
        <v>1463.4239467393418</v>
      </c>
    </row>
    <row r="10" spans="1:3" x14ac:dyDescent="0.45">
      <c r="A10" t="s">
        <v>189</v>
      </c>
      <c r="B10" s="120">
        <v>23</v>
      </c>
      <c r="C10" s="120">
        <v>1433.30445236539</v>
      </c>
    </row>
    <row r="11" spans="1:3" x14ac:dyDescent="0.45">
      <c r="A11" t="s">
        <v>195</v>
      </c>
      <c r="B11" s="120">
        <v>6</v>
      </c>
      <c r="C11" s="120">
        <v>1392.8042574192286</v>
      </c>
    </row>
    <row r="12" spans="1:3" x14ac:dyDescent="0.45">
      <c r="A12" t="s">
        <v>199</v>
      </c>
      <c r="C12" s="120">
        <v>1382.1789004547948</v>
      </c>
    </row>
    <row r="13" spans="1:3" x14ac:dyDescent="0.45">
      <c r="A13" t="s">
        <v>193</v>
      </c>
      <c r="B13" s="120">
        <v>4</v>
      </c>
      <c r="C13" s="120">
        <v>1348.2487416206377</v>
      </c>
    </row>
    <row r="14" spans="1:3" x14ac:dyDescent="0.45">
      <c r="A14" t="s">
        <v>201</v>
      </c>
      <c r="C14" s="120">
        <v>1500.437982464869</v>
      </c>
    </row>
    <row r="15" spans="1:3" x14ac:dyDescent="0.45">
      <c r="A15" t="s">
        <v>202</v>
      </c>
      <c r="C15" s="120">
        <v>1491.5152195648213</v>
      </c>
    </row>
    <row r="16" spans="1:3" x14ac:dyDescent="0.45">
      <c r="A16" t="s">
        <v>209</v>
      </c>
      <c r="C16" s="120">
        <v>1484.4200922656562</v>
      </c>
    </row>
    <row r="17" spans="1:8" x14ac:dyDescent="0.45">
      <c r="A17" t="s">
        <v>204</v>
      </c>
      <c r="C17" s="120">
        <v>1519.3079580555725</v>
      </c>
      <c r="G17" s="120"/>
      <c r="H17" s="120"/>
    </row>
    <row r="18" spans="1:8" x14ac:dyDescent="0.45">
      <c r="A18" t="s">
        <v>200</v>
      </c>
      <c r="C18" s="120">
        <v>1519.2052586122145</v>
      </c>
      <c r="G18" s="120"/>
      <c r="H18" s="120"/>
    </row>
    <row r="19" spans="1:8" x14ac:dyDescent="0.45">
      <c r="A19" t="s">
        <v>203</v>
      </c>
      <c r="C19" s="120">
        <v>1503.1020000000001</v>
      </c>
      <c r="G19" s="120"/>
      <c r="H19" s="120"/>
    </row>
    <row r="20" spans="1:8" x14ac:dyDescent="0.45">
      <c r="A20" t="s">
        <v>205</v>
      </c>
      <c r="C20" s="120">
        <v>1489.2889468180317</v>
      </c>
      <c r="G20" s="120"/>
      <c r="H20" s="120"/>
    </row>
    <row r="21" spans="1:8" x14ac:dyDescent="0.45">
      <c r="A21" t="s">
        <v>207</v>
      </c>
      <c r="C21" s="120">
        <v>1484.6521503082251</v>
      </c>
      <c r="G21" s="120"/>
      <c r="H21" s="120"/>
    </row>
    <row r="22" spans="1:8" x14ac:dyDescent="0.45">
      <c r="A22" t="s">
        <v>206</v>
      </c>
      <c r="C22" s="120">
        <v>1476.2954110473599</v>
      </c>
      <c r="G22" s="120"/>
      <c r="H22" s="120"/>
    </row>
    <row r="23" spans="1:8" x14ac:dyDescent="0.45">
      <c r="A23" t="s">
        <v>221</v>
      </c>
      <c r="B23" s="120">
        <v>2</v>
      </c>
      <c r="C23" s="120">
        <v>1500</v>
      </c>
    </row>
    <row r="24" spans="1:8" x14ac:dyDescent="0.45">
      <c r="A24" t="s">
        <v>216</v>
      </c>
      <c r="B24" s="120">
        <v>16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5">
      <c r="A2" s="36" t="s">
        <v>208</v>
      </c>
      <c r="B2" s="141">
        <v>0.80129041545195367</v>
      </c>
      <c r="C2" s="142"/>
      <c r="D2" s="141">
        <v>0.18036255703784959</v>
      </c>
      <c r="E2" s="142"/>
      <c r="F2" s="141">
        <v>0.15050943172497627</v>
      </c>
      <c r="G2" s="142"/>
      <c r="H2" s="147"/>
      <c r="I2" s="148"/>
      <c r="J2" s="141">
        <v>-6.1866708499289463E-2</v>
      </c>
      <c r="K2" s="142"/>
      <c r="L2" s="141">
        <v>-2.3500914516993217E-2</v>
      </c>
      <c r="M2" s="142"/>
      <c r="N2" s="141">
        <v>-9.253046937860325E-2</v>
      </c>
      <c r="O2" s="142"/>
      <c r="P2" s="141">
        <v>0.34524416024476395</v>
      </c>
      <c r="Q2" s="142"/>
      <c r="R2" s="141">
        <v>-0.1477273672654304</v>
      </c>
      <c r="S2" s="142"/>
      <c r="T2" s="141">
        <v>0.67630590973725413</v>
      </c>
      <c r="U2" s="142"/>
      <c r="V2" s="141">
        <v>-6.2714596814010204E-2</v>
      </c>
      <c r="W2" s="142"/>
      <c r="X2" s="141">
        <v>-0.14269890663976581</v>
      </c>
      <c r="Y2" s="142"/>
      <c r="Z2" s="141">
        <v>0.10305200545219799</v>
      </c>
      <c r="AA2" s="142"/>
      <c r="AB2" s="141">
        <v>-0.23266142520263025</v>
      </c>
      <c r="AC2" s="142"/>
      <c r="AD2" s="141">
        <v>0.6279242615933649</v>
      </c>
      <c r="AE2" s="142"/>
      <c r="AF2" s="141">
        <v>0.131526130363608</v>
      </c>
      <c r="AG2" s="142"/>
      <c r="AH2" s="141">
        <v>0.1351908714503558</v>
      </c>
      <c r="AI2" s="142"/>
      <c r="AJ2" s="141">
        <v>0.87057135488085091</v>
      </c>
      <c r="AK2" s="142"/>
    </row>
    <row r="3" spans="1:37" x14ac:dyDescent="0.45">
      <c r="A3" s="38">
        <v>1</v>
      </c>
      <c r="B3" s="41" t="s">
        <v>139</v>
      </c>
      <c r="C3" s="113">
        <v>62</v>
      </c>
      <c r="D3" s="39" t="s">
        <v>192</v>
      </c>
      <c r="E3" s="40">
        <v>293.89999999999998</v>
      </c>
      <c r="F3" s="41" t="s">
        <v>192</v>
      </c>
      <c r="G3" s="60">
        <v>9.1843749999999993</v>
      </c>
      <c r="H3" s="41" t="s">
        <v>126</v>
      </c>
      <c r="I3" s="45">
        <v>1792.1304656260008</v>
      </c>
      <c r="J3" s="41" t="s">
        <v>192</v>
      </c>
      <c r="K3" s="42">
        <v>1.71875</v>
      </c>
      <c r="L3" s="41" t="s">
        <v>192</v>
      </c>
      <c r="M3" s="43">
        <v>0.5</v>
      </c>
      <c r="N3" s="41" t="s">
        <v>192</v>
      </c>
      <c r="O3" s="43">
        <v>0.21875</v>
      </c>
      <c r="P3" s="41" t="s">
        <v>192</v>
      </c>
      <c r="Q3" s="44">
        <v>0.34275618374558303</v>
      </c>
      <c r="R3" s="41" t="s">
        <v>190</v>
      </c>
      <c r="S3" s="44">
        <v>6.4935064935064929E-2</v>
      </c>
      <c r="T3" s="41" t="s">
        <v>221</v>
      </c>
      <c r="U3" s="45">
        <v>10925</v>
      </c>
      <c r="V3" s="41" t="s">
        <v>190</v>
      </c>
      <c r="W3" s="45">
        <v>-3380</v>
      </c>
      <c r="X3" s="41" t="s">
        <v>190</v>
      </c>
      <c r="Y3" s="43">
        <v>0</v>
      </c>
      <c r="Z3" s="41" t="s">
        <v>190</v>
      </c>
      <c r="AA3" s="44">
        <v>0.27272727272727271</v>
      </c>
      <c r="AB3" s="41" t="s">
        <v>189</v>
      </c>
      <c r="AC3" s="44">
        <v>0.30373831775700932</v>
      </c>
      <c r="AD3" s="41" t="s">
        <v>195</v>
      </c>
      <c r="AE3" s="44">
        <v>0.7</v>
      </c>
      <c r="AF3" s="41" t="s">
        <v>195</v>
      </c>
      <c r="AG3" s="44">
        <v>0.66666666666666663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5">
      <c r="A4" s="46">
        <v>2</v>
      </c>
      <c r="B4" s="49" t="s">
        <v>126</v>
      </c>
      <c r="C4" s="114">
        <v>50</v>
      </c>
      <c r="D4" s="47" t="s">
        <v>211</v>
      </c>
      <c r="E4" s="48">
        <v>108.79999999999998</v>
      </c>
      <c r="F4" s="49" t="s">
        <v>211</v>
      </c>
      <c r="G4" s="61">
        <v>4.5333333333333323</v>
      </c>
      <c r="H4" s="49" t="s">
        <v>163</v>
      </c>
      <c r="I4" s="53">
        <v>1626.518677261879</v>
      </c>
      <c r="J4" s="49" t="s">
        <v>189</v>
      </c>
      <c r="K4" s="50">
        <v>1.8695652173913044</v>
      </c>
      <c r="L4" s="49" t="s">
        <v>211</v>
      </c>
      <c r="M4" s="51">
        <v>0.41666666666666669</v>
      </c>
      <c r="N4" s="49" t="s">
        <v>189</v>
      </c>
      <c r="O4" s="51">
        <v>0.2608695652173913</v>
      </c>
      <c r="P4" s="49" t="s">
        <v>211</v>
      </c>
      <c r="Q4" s="52">
        <v>0.31914893617021278</v>
      </c>
      <c r="R4" s="49" t="s">
        <v>192</v>
      </c>
      <c r="S4" s="52">
        <v>0.13780918727915195</v>
      </c>
      <c r="T4" s="49" t="s">
        <v>163</v>
      </c>
      <c r="U4" s="53">
        <v>8782.2222222222226</v>
      </c>
      <c r="V4" s="49" t="s">
        <v>126</v>
      </c>
      <c r="W4" s="53">
        <v>-6439.1891891891892</v>
      </c>
      <c r="X4" s="49" t="s">
        <v>193</v>
      </c>
      <c r="Y4" s="51">
        <v>0</v>
      </c>
      <c r="Z4" s="49" t="s">
        <v>193</v>
      </c>
      <c r="AA4" s="52">
        <v>0.25714285714285712</v>
      </c>
      <c r="AB4" s="49" t="s">
        <v>193</v>
      </c>
      <c r="AC4" s="52">
        <v>0.2857142857142857</v>
      </c>
      <c r="AD4" s="49" t="s">
        <v>126</v>
      </c>
      <c r="AE4" s="52">
        <v>0.57547169811320753</v>
      </c>
      <c r="AF4" s="49" t="s">
        <v>211</v>
      </c>
      <c r="AG4" s="52">
        <v>0.53333333333333333</v>
      </c>
      <c r="AH4" s="49" t="s">
        <v>195</v>
      </c>
      <c r="AI4" s="52">
        <v>0.72727272727272729</v>
      </c>
      <c r="AJ4" s="49" t="s">
        <v>139</v>
      </c>
      <c r="AK4" s="56">
        <v>103000</v>
      </c>
    </row>
    <row r="5" spans="1:37" x14ac:dyDescent="0.45">
      <c r="A5" s="46">
        <v>3</v>
      </c>
      <c r="B5" s="49" t="s">
        <v>192</v>
      </c>
      <c r="C5" s="114">
        <v>32</v>
      </c>
      <c r="D5" s="47" t="s">
        <v>126</v>
      </c>
      <c r="E5" s="48">
        <v>81.19999999999996</v>
      </c>
      <c r="F5" s="49" t="s">
        <v>189</v>
      </c>
      <c r="G5" s="61">
        <v>2.0086956521739125</v>
      </c>
      <c r="H5" s="49" t="s">
        <v>139</v>
      </c>
      <c r="I5" s="53">
        <v>1599.8080588726352</v>
      </c>
      <c r="J5" s="49" t="s">
        <v>211</v>
      </c>
      <c r="K5" s="50">
        <v>1.875</v>
      </c>
      <c r="L5" s="49" t="s">
        <v>189</v>
      </c>
      <c r="M5" s="51">
        <v>0.39130434782608697</v>
      </c>
      <c r="N5" s="49" t="s">
        <v>211</v>
      </c>
      <c r="O5" s="51">
        <v>0.29166666666666669</v>
      </c>
      <c r="P5" s="49" t="s">
        <v>126</v>
      </c>
      <c r="Q5" s="52">
        <v>0.30952380952380953</v>
      </c>
      <c r="R5" s="49" t="s">
        <v>211</v>
      </c>
      <c r="S5" s="52">
        <v>0.14893617021276595</v>
      </c>
      <c r="T5" s="49" t="s">
        <v>126</v>
      </c>
      <c r="U5" s="53">
        <v>8519.2307692307695</v>
      </c>
      <c r="V5" s="49" t="s">
        <v>211</v>
      </c>
      <c r="W5" s="53">
        <v>-6732.1428571428569</v>
      </c>
      <c r="X5" s="49" t="s">
        <v>221</v>
      </c>
      <c r="Y5" s="51">
        <v>0</v>
      </c>
      <c r="Z5" s="49" t="s">
        <v>126</v>
      </c>
      <c r="AA5" s="52">
        <v>0.25238095238095237</v>
      </c>
      <c r="AB5" s="49" t="s">
        <v>221</v>
      </c>
      <c r="AC5" s="52">
        <v>0.27777777777777779</v>
      </c>
      <c r="AD5" s="49" t="s">
        <v>211</v>
      </c>
      <c r="AE5" s="52">
        <v>0.56097560975609762</v>
      </c>
      <c r="AF5" s="49" t="s">
        <v>192</v>
      </c>
      <c r="AG5" s="52">
        <v>0.49295774647887325</v>
      </c>
      <c r="AH5" s="49" t="s">
        <v>189</v>
      </c>
      <c r="AI5" s="52">
        <v>0.50793650793650791</v>
      </c>
      <c r="AJ5" s="49" t="s">
        <v>192</v>
      </c>
      <c r="AK5" s="56">
        <v>98800</v>
      </c>
    </row>
    <row r="6" spans="1:37" x14ac:dyDescent="0.45">
      <c r="A6" s="46">
        <v>4</v>
      </c>
      <c r="B6" s="49" t="s">
        <v>211</v>
      </c>
      <c r="C6" s="114">
        <v>24</v>
      </c>
      <c r="D6" s="47" t="s">
        <v>189</v>
      </c>
      <c r="E6" s="48">
        <v>46.199999999999989</v>
      </c>
      <c r="F6" s="49" t="s">
        <v>126</v>
      </c>
      <c r="G6" s="61">
        <v>1.6239999999999992</v>
      </c>
      <c r="H6" s="49" t="s">
        <v>192</v>
      </c>
      <c r="I6" s="53">
        <v>1582.0881180259935</v>
      </c>
      <c r="J6" s="49" t="s">
        <v>139</v>
      </c>
      <c r="K6" s="50">
        <v>1.9946236559139785</v>
      </c>
      <c r="L6" s="49" t="s">
        <v>139</v>
      </c>
      <c r="M6" s="51">
        <v>0.33870967741935482</v>
      </c>
      <c r="N6" s="49" t="s">
        <v>190</v>
      </c>
      <c r="O6" s="51">
        <v>0.3</v>
      </c>
      <c r="P6" s="49" t="s">
        <v>139</v>
      </c>
      <c r="Q6" s="52">
        <v>0.29523809523809524</v>
      </c>
      <c r="R6" s="49" t="s">
        <v>189</v>
      </c>
      <c r="S6" s="52">
        <v>0.16355140186915887</v>
      </c>
      <c r="T6" s="49" t="s">
        <v>195</v>
      </c>
      <c r="U6" s="53">
        <v>8272.7272727272721</v>
      </c>
      <c r="V6" s="49" t="s">
        <v>189</v>
      </c>
      <c r="W6" s="53">
        <v>-7002.8571428571431</v>
      </c>
      <c r="X6" s="49" t="s">
        <v>189</v>
      </c>
      <c r="Y6" s="51">
        <v>4.3478260869565216E-2</v>
      </c>
      <c r="Z6" s="49" t="s">
        <v>189</v>
      </c>
      <c r="AA6" s="52">
        <v>0.24766355140186916</v>
      </c>
      <c r="AB6" s="49" t="s">
        <v>192</v>
      </c>
      <c r="AC6" s="52">
        <v>0.25088339222614842</v>
      </c>
      <c r="AD6" s="49" t="s">
        <v>190</v>
      </c>
      <c r="AE6" s="52">
        <v>0.52380952380952384</v>
      </c>
      <c r="AF6" s="49" t="s">
        <v>126</v>
      </c>
      <c r="AG6" s="52">
        <v>0.44565217391304346</v>
      </c>
      <c r="AH6" s="49" t="s">
        <v>163</v>
      </c>
      <c r="AI6" s="52">
        <v>0.46666666666666667</v>
      </c>
      <c r="AJ6" s="49" t="s">
        <v>163</v>
      </c>
      <c r="AK6" s="56">
        <v>94700</v>
      </c>
    </row>
    <row r="7" spans="1:37" x14ac:dyDescent="0.45">
      <c r="A7" s="46">
        <v>5</v>
      </c>
      <c r="B7" s="49" t="s">
        <v>189</v>
      </c>
      <c r="C7" s="114">
        <v>23</v>
      </c>
      <c r="D7" s="47" t="s">
        <v>139</v>
      </c>
      <c r="E7" s="48">
        <v>1.4210854715202004E-14</v>
      </c>
      <c r="F7" s="49" t="s">
        <v>139</v>
      </c>
      <c r="G7" s="61">
        <v>7.6402444705387123E-17</v>
      </c>
      <c r="H7" s="49" t="s">
        <v>211</v>
      </c>
      <c r="I7" s="53">
        <v>1519.7959242754243</v>
      </c>
      <c r="J7" s="49" t="s">
        <v>126</v>
      </c>
      <c r="K7" s="50">
        <v>2.04</v>
      </c>
      <c r="L7" s="49" t="s">
        <v>195</v>
      </c>
      <c r="M7" s="51">
        <v>0.33333333333333331</v>
      </c>
      <c r="N7" s="49" t="s">
        <v>126</v>
      </c>
      <c r="O7" s="51">
        <v>0.32</v>
      </c>
      <c r="P7" s="49" t="s">
        <v>189</v>
      </c>
      <c r="Q7" s="52">
        <v>0.29439252336448596</v>
      </c>
      <c r="R7" s="49" t="s">
        <v>139</v>
      </c>
      <c r="S7" s="52">
        <v>0.16507936507936508</v>
      </c>
      <c r="T7" s="49" t="s">
        <v>211</v>
      </c>
      <c r="U7" s="53">
        <v>8231.6666666666661</v>
      </c>
      <c r="V7" s="49" t="s">
        <v>139</v>
      </c>
      <c r="W7" s="53">
        <v>-7229.6153846153848</v>
      </c>
      <c r="X7" s="49" t="s">
        <v>126</v>
      </c>
      <c r="Y7" s="51">
        <v>0.06</v>
      </c>
      <c r="Z7" s="49" t="s">
        <v>139</v>
      </c>
      <c r="AA7" s="52">
        <v>0.23809523809523808</v>
      </c>
      <c r="AB7" s="49" t="s">
        <v>211</v>
      </c>
      <c r="AC7" s="52">
        <v>0.23936170212765959</v>
      </c>
      <c r="AD7" s="49" t="s">
        <v>192</v>
      </c>
      <c r="AE7" s="52">
        <v>0.52380952380952384</v>
      </c>
      <c r="AF7" s="49" t="s">
        <v>139</v>
      </c>
      <c r="AG7" s="52">
        <v>0.44141689373297005</v>
      </c>
      <c r="AH7" s="49" t="s">
        <v>126</v>
      </c>
      <c r="AI7" s="52">
        <v>0.43846153846153846</v>
      </c>
      <c r="AJ7" s="49" t="s">
        <v>211</v>
      </c>
      <c r="AK7" s="56">
        <v>80600</v>
      </c>
    </row>
    <row r="8" spans="1:37" x14ac:dyDescent="0.45">
      <c r="A8" s="46">
        <v>6</v>
      </c>
      <c r="B8" s="49" t="s">
        <v>163</v>
      </c>
      <c r="C8" s="114">
        <v>19</v>
      </c>
      <c r="D8" s="47" t="s">
        <v>221</v>
      </c>
      <c r="E8" s="48">
        <v>-13.5</v>
      </c>
      <c r="F8" s="49" t="s">
        <v>190</v>
      </c>
      <c r="G8" s="61">
        <v>-5.5</v>
      </c>
      <c r="H8" s="49" t="s">
        <v>190</v>
      </c>
      <c r="I8" s="53">
        <v>1519.2183815819624</v>
      </c>
      <c r="J8" s="49" t="s">
        <v>163</v>
      </c>
      <c r="K8" s="50">
        <v>2.1578947368421053</v>
      </c>
      <c r="L8" s="49" t="s">
        <v>163</v>
      </c>
      <c r="M8" s="51">
        <v>0.31578947368421051</v>
      </c>
      <c r="N8" s="49" t="s">
        <v>139</v>
      </c>
      <c r="O8" s="51">
        <v>0.33333333333333331</v>
      </c>
      <c r="P8" s="49" t="s">
        <v>163</v>
      </c>
      <c r="Q8" s="52">
        <v>0.26946107784431139</v>
      </c>
      <c r="R8" s="49" t="s">
        <v>221</v>
      </c>
      <c r="S8" s="52">
        <v>0.16666666666666666</v>
      </c>
      <c r="T8" s="49" t="s">
        <v>193</v>
      </c>
      <c r="U8" s="53">
        <v>8212.5</v>
      </c>
      <c r="V8" s="49" t="s">
        <v>192</v>
      </c>
      <c r="W8" s="53">
        <v>-7448.7179487179483</v>
      </c>
      <c r="X8" s="49" t="s">
        <v>192</v>
      </c>
      <c r="Y8" s="51">
        <v>6.25E-2</v>
      </c>
      <c r="Z8" s="49" t="s">
        <v>216</v>
      </c>
      <c r="AA8" s="52">
        <v>0.23387096774193547</v>
      </c>
      <c r="AB8" s="49" t="s">
        <v>139</v>
      </c>
      <c r="AC8" s="52">
        <v>0.23301587301587301</v>
      </c>
      <c r="AD8" s="49" t="s">
        <v>139</v>
      </c>
      <c r="AE8" s="52">
        <v>0.51733333333333331</v>
      </c>
      <c r="AF8" s="49" t="s">
        <v>190</v>
      </c>
      <c r="AG8" s="52">
        <v>0.4375</v>
      </c>
      <c r="AH8" s="49" t="s">
        <v>139</v>
      </c>
      <c r="AI8" s="52">
        <v>0.43655913978494626</v>
      </c>
      <c r="AJ8" s="49" t="s">
        <v>190</v>
      </c>
      <c r="AK8" s="56">
        <v>80000</v>
      </c>
    </row>
    <row r="9" spans="1:37" x14ac:dyDescent="0.45">
      <c r="A9" s="46">
        <v>7</v>
      </c>
      <c r="B9" s="49" t="s">
        <v>216</v>
      </c>
      <c r="C9" s="114">
        <v>16</v>
      </c>
      <c r="D9" s="47" t="s">
        <v>193</v>
      </c>
      <c r="E9" s="48">
        <v>-51.699999999999996</v>
      </c>
      <c r="F9" s="49" t="s">
        <v>221</v>
      </c>
      <c r="G9" s="61">
        <v>-6.75</v>
      </c>
      <c r="H9" s="49" t="s">
        <v>221</v>
      </c>
      <c r="I9" s="53">
        <v>1497.379788</v>
      </c>
      <c r="J9" s="49" t="s">
        <v>216</v>
      </c>
      <c r="K9" s="50">
        <v>2.1875</v>
      </c>
      <c r="L9" s="49" t="s">
        <v>126</v>
      </c>
      <c r="M9" s="51">
        <v>0.28000000000000003</v>
      </c>
      <c r="N9" s="49" t="s">
        <v>216</v>
      </c>
      <c r="O9" s="51">
        <v>0.4375</v>
      </c>
      <c r="P9" s="49" t="s">
        <v>190</v>
      </c>
      <c r="Q9" s="52">
        <v>0.24675324675324675</v>
      </c>
      <c r="R9" s="49" t="s">
        <v>126</v>
      </c>
      <c r="S9" s="52">
        <v>0.1761904761904762</v>
      </c>
      <c r="T9" s="49" t="s">
        <v>139</v>
      </c>
      <c r="U9" s="53">
        <v>8032.9032258064517</v>
      </c>
      <c r="V9" s="49" t="s">
        <v>195</v>
      </c>
      <c r="W9" s="53">
        <v>-7666.666666666667</v>
      </c>
      <c r="X9" s="49" t="s">
        <v>211</v>
      </c>
      <c r="Y9" s="51">
        <v>8.3333333333333329E-2</v>
      </c>
      <c r="Z9" s="49" t="s">
        <v>163</v>
      </c>
      <c r="AA9" s="52">
        <v>0.23353293413173654</v>
      </c>
      <c r="AB9" s="49" t="s">
        <v>163</v>
      </c>
      <c r="AC9" s="52">
        <v>0.22155688622754491</v>
      </c>
      <c r="AD9" s="49" t="s">
        <v>163</v>
      </c>
      <c r="AE9" s="52">
        <v>0.48717948717948717</v>
      </c>
      <c r="AF9" s="49" t="s">
        <v>189</v>
      </c>
      <c r="AG9" s="52">
        <v>0.41538461538461541</v>
      </c>
      <c r="AH9" s="49" t="s">
        <v>216</v>
      </c>
      <c r="AI9" s="52">
        <v>0.42857142857142855</v>
      </c>
      <c r="AJ9" s="49" t="s">
        <v>216</v>
      </c>
      <c r="AK9" s="56">
        <v>74600</v>
      </c>
    </row>
    <row r="10" spans="1:37" x14ac:dyDescent="0.45">
      <c r="A10" s="46">
        <v>8</v>
      </c>
      <c r="B10" s="49" t="s">
        <v>190</v>
      </c>
      <c r="C10" s="114">
        <v>10</v>
      </c>
      <c r="D10" s="47" t="s">
        <v>190</v>
      </c>
      <c r="E10" s="48">
        <v>-55</v>
      </c>
      <c r="F10" s="49" t="s">
        <v>163</v>
      </c>
      <c r="G10" s="61">
        <v>-7.5473684210526315</v>
      </c>
      <c r="H10" s="49" t="s">
        <v>216</v>
      </c>
      <c r="I10" s="53">
        <v>1480.2801364124439</v>
      </c>
      <c r="J10" s="49" t="s">
        <v>190</v>
      </c>
      <c r="K10" s="50">
        <v>2.2000000000000002</v>
      </c>
      <c r="L10" s="49" t="s">
        <v>216</v>
      </c>
      <c r="M10" s="51">
        <v>0.25</v>
      </c>
      <c r="N10" s="49" t="s">
        <v>163</v>
      </c>
      <c r="O10" s="51">
        <v>0.47368421052631576</v>
      </c>
      <c r="P10" s="49" t="s">
        <v>193</v>
      </c>
      <c r="Q10" s="52">
        <v>0.22857142857142856</v>
      </c>
      <c r="R10" s="49" t="s">
        <v>195</v>
      </c>
      <c r="S10" s="52">
        <v>0.18367346938775511</v>
      </c>
      <c r="T10" s="49" t="s">
        <v>192</v>
      </c>
      <c r="U10" s="53">
        <v>7967.0103092783502</v>
      </c>
      <c r="V10" s="49" t="s">
        <v>216</v>
      </c>
      <c r="W10" s="53">
        <v>-7988.8888888888887</v>
      </c>
      <c r="X10" s="49" t="s">
        <v>139</v>
      </c>
      <c r="Y10" s="51">
        <v>8.6021505376344093E-2</v>
      </c>
      <c r="Z10" s="49" t="s">
        <v>192</v>
      </c>
      <c r="AA10" s="52">
        <v>0.22261484098939929</v>
      </c>
      <c r="AB10" s="49" t="s">
        <v>126</v>
      </c>
      <c r="AC10" s="52">
        <v>0.21904761904761905</v>
      </c>
      <c r="AD10" s="49" t="s">
        <v>216</v>
      </c>
      <c r="AE10" s="52">
        <v>0.48275862068965519</v>
      </c>
      <c r="AF10" s="49" t="s">
        <v>193</v>
      </c>
      <c r="AG10" s="52">
        <v>0.4</v>
      </c>
      <c r="AH10" s="49" t="s">
        <v>192</v>
      </c>
      <c r="AI10" s="52">
        <v>0.41237113402061853</v>
      </c>
      <c r="AJ10" s="49" t="s">
        <v>189</v>
      </c>
      <c r="AK10" s="56">
        <v>64100</v>
      </c>
    </row>
    <row r="11" spans="1:37" x14ac:dyDescent="0.45">
      <c r="A11" s="46">
        <v>9</v>
      </c>
      <c r="B11" s="49" t="s">
        <v>195</v>
      </c>
      <c r="C11" s="114">
        <v>6</v>
      </c>
      <c r="D11" s="47" t="s">
        <v>195</v>
      </c>
      <c r="E11" s="48">
        <v>-118.3</v>
      </c>
      <c r="F11" s="49" t="s">
        <v>216</v>
      </c>
      <c r="G11" s="61">
        <v>-9.2624999999999993</v>
      </c>
      <c r="H11" s="49" t="s">
        <v>189</v>
      </c>
      <c r="I11" s="53">
        <v>1461.2000979962611</v>
      </c>
      <c r="J11" s="49" t="s">
        <v>193</v>
      </c>
      <c r="K11" s="50">
        <v>2.25</v>
      </c>
      <c r="L11" s="49" t="s">
        <v>193</v>
      </c>
      <c r="M11" s="51">
        <v>0.25</v>
      </c>
      <c r="N11" s="49" t="s">
        <v>193</v>
      </c>
      <c r="O11" s="51">
        <v>0.5</v>
      </c>
      <c r="P11" s="49" t="s">
        <v>216</v>
      </c>
      <c r="Q11" s="52">
        <v>0.22580645161290322</v>
      </c>
      <c r="R11" s="49" t="s">
        <v>163</v>
      </c>
      <c r="S11" s="52">
        <v>0.19161676646706588</v>
      </c>
      <c r="T11" s="49" t="s">
        <v>216</v>
      </c>
      <c r="U11" s="53">
        <v>7367.8571428571431</v>
      </c>
      <c r="V11" s="49" t="s">
        <v>163</v>
      </c>
      <c r="W11" s="53">
        <v>-8484.375</v>
      </c>
      <c r="X11" s="49" t="s">
        <v>216</v>
      </c>
      <c r="Y11" s="51">
        <v>0.125</v>
      </c>
      <c r="Z11" s="49" t="s">
        <v>221</v>
      </c>
      <c r="AA11" s="52">
        <v>0.22222222222222221</v>
      </c>
      <c r="AB11" s="49" t="s">
        <v>190</v>
      </c>
      <c r="AC11" s="52">
        <v>0.20779220779220781</v>
      </c>
      <c r="AD11" s="49" t="s">
        <v>189</v>
      </c>
      <c r="AE11" s="52">
        <v>0.43396226415094341</v>
      </c>
      <c r="AF11" s="49" t="s">
        <v>221</v>
      </c>
      <c r="AG11" s="52">
        <v>0.4</v>
      </c>
      <c r="AH11" s="49" t="s">
        <v>211</v>
      </c>
      <c r="AI11" s="52">
        <v>0.4</v>
      </c>
      <c r="AJ11" s="49" t="s">
        <v>195</v>
      </c>
      <c r="AK11" s="56">
        <v>49300</v>
      </c>
    </row>
    <row r="12" spans="1:37" x14ac:dyDescent="0.45">
      <c r="A12" s="46">
        <v>10</v>
      </c>
      <c r="B12" s="49" t="s">
        <v>193</v>
      </c>
      <c r="C12" s="114">
        <v>4</v>
      </c>
      <c r="D12" s="47" t="s">
        <v>163</v>
      </c>
      <c r="E12" s="48">
        <v>-143.4</v>
      </c>
      <c r="F12" s="49" t="s">
        <v>193</v>
      </c>
      <c r="G12" s="61">
        <v>-12.924999999999999</v>
      </c>
      <c r="H12" s="49" t="s">
        <v>195</v>
      </c>
      <c r="I12" s="53">
        <v>1377.2761788230373</v>
      </c>
      <c r="J12" s="49" t="s">
        <v>195</v>
      </c>
      <c r="K12" s="50">
        <v>2.3333333333333335</v>
      </c>
      <c r="L12" s="49" t="s">
        <v>190</v>
      </c>
      <c r="M12" s="51">
        <v>0.1</v>
      </c>
      <c r="N12" s="49" t="s">
        <v>221</v>
      </c>
      <c r="O12" s="51">
        <v>0.5</v>
      </c>
      <c r="P12" s="49" t="s">
        <v>195</v>
      </c>
      <c r="Q12" s="52">
        <v>0.22448979591836735</v>
      </c>
      <c r="R12" s="49" t="s">
        <v>216</v>
      </c>
      <c r="S12" s="52">
        <v>0.21774193548387097</v>
      </c>
      <c r="T12" s="49" t="s">
        <v>189</v>
      </c>
      <c r="U12" s="53">
        <v>6930.1587301587306</v>
      </c>
      <c r="V12" s="49" t="s">
        <v>193</v>
      </c>
      <c r="W12" s="53">
        <v>-9387.5</v>
      </c>
      <c r="X12" s="49" t="s">
        <v>163</v>
      </c>
      <c r="Y12" s="51">
        <v>0.21052631578947367</v>
      </c>
      <c r="Z12" s="49" t="s">
        <v>211</v>
      </c>
      <c r="AA12" s="52">
        <v>0.21808510638297873</v>
      </c>
      <c r="AB12" s="49" t="s">
        <v>216</v>
      </c>
      <c r="AC12" s="52">
        <v>0.18548387096774194</v>
      </c>
      <c r="AD12" s="49" t="s">
        <v>221</v>
      </c>
      <c r="AE12" s="52">
        <v>0.25</v>
      </c>
      <c r="AF12" s="49" t="s">
        <v>163</v>
      </c>
      <c r="AG12" s="52">
        <v>0.35135135135135137</v>
      </c>
      <c r="AH12" s="49" t="s">
        <v>193</v>
      </c>
      <c r="AI12" s="52">
        <v>0.25</v>
      </c>
      <c r="AJ12" s="49" t="s">
        <v>193</v>
      </c>
      <c r="AK12" s="56">
        <v>45000</v>
      </c>
    </row>
    <row r="13" spans="1:37" x14ac:dyDescent="0.45">
      <c r="A13" s="46">
        <v>11</v>
      </c>
      <c r="B13" s="49" t="s">
        <v>221</v>
      </c>
      <c r="C13" s="114">
        <v>2</v>
      </c>
      <c r="D13" s="47" t="s">
        <v>216</v>
      </c>
      <c r="E13" s="48">
        <v>-148.19999999999999</v>
      </c>
      <c r="F13" s="49" t="s">
        <v>195</v>
      </c>
      <c r="G13" s="61">
        <v>-19.716666666666665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195</v>
      </c>
      <c r="O13" s="51">
        <v>0.66666666666666663</v>
      </c>
      <c r="P13" s="49" t="s">
        <v>221</v>
      </c>
      <c r="Q13" s="52">
        <v>0.22222222222222221</v>
      </c>
      <c r="R13" s="49" t="s">
        <v>193</v>
      </c>
      <c r="S13" s="52">
        <v>0.22857142857142856</v>
      </c>
      <c r="T13" s="49" t="s">
        <v>190</v>
      </c>
      <c r="U13" s="53">
        <v>6452.6315789473683</v>
      </c>
      <c r="V13" s="49" t="s">
        <v>221</v>
      </c>
      <c r="W13" s="53">
        <v>-10300</v>
      </c>
      <c r="X13" s="49" t="s">
        <v>195</v>
      </c>
      <c r="Y13" s="51">
        <v>0.33333333333333331</v>
      </c>
      <c r="Z13" s="49" t="s">
        <v>195</v>
      </c>
      <c r="AA13" s="52">
        <v>0.20408163265306123</v>
      </c>
      <c r="AB13" s="49" t="s">
        <v>195</v>
      </c>
      <c r="AC13" s="52">
        <v>6.1224489795918366E-2</v>
      </c>
      <c r="AD13" s="49" t="s">
        <v>193</v>
      </c>
      <c r="AE13" s="52">
        <v>0.22222222222222221</v>
      </c>
      <c r="AF13" s="49" t="s">
        <v>216</v>
      </c>
      <c r="AG13" s="52">
        <v>0.30434782608695654</v>
      </c>
      <c r="AH13" s="49" t="s">
        <v>190</v>
      </c>
      <c r="AI13" s="52">
        <v>0.15789473684210525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8D309-CAFA-4228-8F2C-7CE1BF196150}">
  <sheetPr codeName="Sheet4"/>
  <dimension ref="A1:R188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186</v>
      </c>
      <c r="C2" s="134"/>
      <c r="E2" s="26" t="s">
        <v>66</v>
      </c>
      <c r="F2" s="23" t="s">
        <v>22</v>
      </c>
      <c r="G2" s="11">
        <v>353</v>
      </c>
      <c r="H2" s="87">
        <f>IF(B$20=0,0,G2/B$20)</f>
        <v>0.75913978494623657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-48.387096774193552</v>
      </c>
      <c r="Q2" s="76">
        <v>186</v>
      </c>
      <c r="R2" s="63">
        <v>-9000</v>
      </c>
    </row>
    <row r="3" spans="1:18" x14ac:dyDescent="0.45">
      <c r="A3" s="19" t="s">
        <v>8</v>
      </c>
      <c r="B3" s="135">
        <v>1575</v>
      </c>
      <c r="C3" s="136"/>
      <c r="E3" s="27" t="s">
        <v>72</v>
      </c>
      <c r="F3" s="24" t="s">
        <v>27</v>
      </c>
      <c r="G3" s="12">
        <v>289</v>
      </c>
      <c r="H3" s="88">
        <f>IF(B$20=0,0,G3/B$20)</f>
        <v>0.62150537634408598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50</v>
      </c>
      <c r="Q3" s="77">
        <v>180</v>
      </c>
      <c r="R3" s="64">
        <v>9000</v>
      </c>
    </row>
    <row r="4" spans="1:18" x14ac:dyDescent="0.45">
      <c r="A4" s="19" t="s">
        <v>6</v>
      </c>
      <c r="B4" s="137">
        <v>1.4210854715202004E-14</v>
      </c>
      <c r="C4" s="138"/>
      <c r="E4" s="27" t="s">
        <v>64</v>
      </c>
      <c r="F4" s="24" t="s">
        <v>20</v>
      </c>
      <c r="G4" s="12">
        <v>182</v>
      </c>
      <c r="H4" s="88">
        <f>IF(B$20=0,0,G4/B$20)</f>
        <v>0.39139784946236561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-32.786885245901637</v>
      </c>
      <c r="Q4" s="77">
        <v>183</v>
      </c>
      <c r="R4" s="64">
        <v>-6000</v>
      </c>
    </row>
    <row r="5" spans="1:18" x14ac:dyDescent="0.45">
      <c r="A5" s="19" t="s">
        <v>7</v>
      </c>
      <c r="B5" s="125">
        <f>IF(B$2=0,0,B$4/B$2)</f>
        <v>7.6402444705387123E-17</v>
      </c>
      <c r="C5" s="126"/>
      <c r="E5" s="27" t="s">
        <v>159</v>
      </c>
      <c r="F5" s="24" t="s">
        <v>160</v>
      </c>
      <c r="G5" s="12">
        <v>172</v>
      </c>
      <c r="H5" s="88">
        <f>IF(B$20=0,0,G5/B$20)</f>
        <v>0.36989247311827955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23.80952380952381</v>
      </c>
      <c r="Q5" s="77">
        <v>168</v>
      </c>
      <c r="R5" s="64">
        <v>4000</v>
      </c>
    </row>
    <row r="6" spans="1:18" x14ac:dyDescent="0.45">
      <c r="A6" s="19" t="s">
        <v>196</v>
      </c>
      <c r="B6" s="129">
        <v>1599.8080588726352</v>
      </c>
      <c r="C6" s="130"/>
      <c r="E6" s="27" t="s">
        <v>68</v>
      </c>
      <c r="F6" s="24" t="s">
        <v>12</v>
      </c>
      <c r="G6" s="12">
        <v>138</v>
      </c>
      <c r="H6" s="88">
        <f>IF(B$20=0,0,G6/B$20)</f>
        <v>0.29677419354838708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-6.666666666666667</v>
      </c>
      <c r="Q6" s="77">
        <v>150</v>
      </c>
      <c r="R6" s="64">
        <v>-1000</v>
      </c>
    </row>
    <row r="7" spans="1:18" x14ac:dyDescent="0.45">
      <c r="A7" s="19" t="s">
        <v>1</v>
      </c>
      <c r="B7" s="139">
        <f>IF(B$2=0,0,(B$8*1+B$9*2+B$10*3)/B$2)</f>
        <v>1.9946236559139785</v>
      </c>
      <c r="C7" s="140"/>
      <c r="E7" s="27" t="s">
        <v>67</v>
      </c>
      <c r="F7" s="24" t="s">
        <v>23</v>
      </c>
      <c r="G7" s="12">
        <v>94</v>
      </c>
      <c r="H7" s="88">
        <f>IF(B$20=0,0,G7/B$20)</f>
        <v>0.2021505376344086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24.390243902439025</v>
      </c>
      <c r="Q7" s="78">
        <v>123</v>
      </c>
      <c r="R7" s="65">
        <v>3000</v>
      </c>
    </row>
    <row r="8" spans="1:18" x14ac:dyDescent="0.45">
      <c r="A8" s="19" t="s">
        <v>2</v>
      </c>
      <c r="B8" s="12">
        <v>63</v>
      </c>
      <c r="C8" s="6">
        <f t="shared" ref="C8:C15" si="1">IF(B$2=0,0,B8/B$2)</f>
        <v>0.33870967741935482</v>
      </c>
      <c r="E8" s="27" t="s">
        <v>89</v>
      </c>
      <c r="F8" s="24" t="s">
        <v>44</v>
      </c>
      <c r="G8" s="12">
        <v>69</v>
      </c>
      <c r="H8" s="88">
        <f>IF(B$20=0,0,G8/B$20)</f>
        <v>0.14838709677419354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5">
      <c r="A9" s="19" t="s">
        <v>3</v>
      </c>
      <c r="B9" s="12">
        <v>61</v>
      </c>
      <c r="C9" s="6">
        <f t="shared" si="1"/>
        <v>0.32795698924731181</v>
      </c>
      <c r="E9" s="27" t="s">
        <v>69</v>
      </c>
      <c r="F9" s="24" t="s">
        <v>24</v>
      </c>
      <c r="G9" s="12">
        <v>57</v>
      </c>
      <c r="H9" s="88">
        <f>IF(B$20=0,0,G9/B$20)</f>
        <v>0.12258064516129032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62</v>
      </c>
      <c r="C10" s="7">
        <f t="shared" si="1"/>
        <v>0.33333333333333331</v>
      </c>
      <c r="E10" s="27" t="s">
        <v>70</v>
      </c>
      <c r="F10" s="24" t="s">
        <v>25</v>
      </c>
      <c r="G10" s="12">
        <v>49</v>
      </c>
      <c r="H10" s="88">
        <f>IF(B$20=0,0,G10/B$20)</f>
        <v>0.10537634408602151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3.0903225806451617</v>
      </c>
      <c r="Q10" s="76">
        <v>62</v>
      </c>
      <c r="R10" s="67">
        <v>191.60000000000002</v>
      </c>
    </row>
    <row r="11" spans="1:18" x14ac:dyDescent="0.45">
      <c r="A11" s="20" t="s">
        <v>184</v>
      </c>
      <c r="B11" s="109">
        <f>IF(B8=0,0,C11/B8)</f>
        <v>34.687301587301583</v>
      </c>
      <c r="C11" s="110">
        <v>2185.2999999999997</v>
      </c>
      <c r="E11" s="27" t="s">
        <v>65</v>
      </c>
      <c r="F11" s="24" t="s">
        <v>21</v>
      </c>
      <c r="G11" s="12">
        <v>35</v>
      </c>
      <c r="H11" s="88">
        <f>IF(B$20=0,0,G11/B$20)</f>
        <v>7.5268817204301078E-2</v>
      </c>
      <c r="I11" s="58">
        <v>7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-5.9177419354838694</v>
      </c>
      <c r="Q11" s="77">
        <v>62</v>
      </c>
      <c r="R11" s="68">
        <v>-366.89999999999992</v>
      </c>
    </row>
    <row r="12" spans="1:18" x14ac:dyDescent="0.45">
      <c r="A12" s="20" t="s">
        <v>185</v>
      </c>
      <c r="B12" s="109">
        <f>IF(B9=0,0,C12/B9)</f>
        <v>-0.70819672131147526</v>
      </c>
      <c r="C12" s="110">
        <v>-43.199999999999989</v>
      </c>
      <c r="E12" s="27" t="s">
        <v>71</v>
      </c>
      <c r="F12" s="24" t="s">
        <v>26</v>
      </c>
      <c r="G12" s="12">
        <v>27</v>
      </c>
      <c r="H12" s="88">
        <f>IF(B$20=0,0,G12/B$20)</f>
        <v>5.8064516129032261E-2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2.8274193548387103</v>
      </c>
      <c r="Q12" s="78">
        <v>62</v>
      </c>
      <c r="R12" s="69">
        <v>175.30000000000004</v>
      </c>
    </row>
    <row r="13" spans="1:18" x14ac:dyDescent="0.45">
      <c r="A13" s="20" t="s">
        <v>186</v>
      </c>
      <c r="B13" s="109">
        <f>IF(B10=0,0,C13/B10)</f>
        <v>-34.549999999999997</v>
      </c>
      <c r="C13" s="110">
        <v>-2142.1</v>
      </c>
      <c r="E13" s="27" t="s">
        <v>86</v>
      </c>
      <c r="F13" s="24" t="s">
        <v>41</v>
      </c>
      <c r="G13" s="12">
        <v>24</v>
      </c>
      <c r="H13" s="88">
        <f>IF(B$20=0,0,G13/B$20)</f>
        <v>5.1612903225806452E-2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-0.19029837800329594</v>
      </c>
      <c r="C14" s="126"/>
      <c r="E14" s="27" t="s">
        <v>83</v>
      </c>
      <c r="F14" s="24" t="s">
        <v>38</v>
      </c>
      <c r="G14" s="12">
        <v>17</v>
      </c>
      <c r="H14" s="88">
        <f>IF(B$20=0,0,G14/B$20)</f>
        <v>3.6559139784946237E-2</v>
      </c>
      <c r="I14" s="58">
        <v>6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16</v>
      </c>
      <c r="C15" s="9">
        <f t="shared" si="1"/>
        <v>8.6021505376344093E-2</v>
      </c>
      <c r="E15" s="27" t="s">
        <v>81</v>
      </c>
      <c r="F15" s="24" t="s">
        <v>36</v>
      </c>
      <c r="G15" s="12">
        <v>16</v>
      </c>
      <c r="H15" s="88">
        <f>IF(B$20=0,0,G15/B$20)</f>
        <v>3.4408602150537634E-2</v>
      </c>
      <c r="I15" s="58">
        <v>6</v>
      </c>
      <c r="K15" s="74">
        <v>13</v>
      </c>
      <c r="L15" s="119">
        <v>48.999999999999993</v>
      </c>
      <c r="M15" s="117">
        <v>1603.6953056015411</v>
      </c>
      <c r="O15" s="73" t="s">
        <v>195</v>
      </c>
      <c r="P15" s="82">
        <f>IF(Q15=0,0,R15/Q15)</f>
        <v>29.574999999999999</v>
      </c>
      <c r="Q15" s="76">
        <v>12</v>
      </c>
      <c r="R15" s="67">
        <v>354.9</v>
      </c>
    </row>
    <row r="16" spans="1:18" x14ac:dyDescent="0.45">
      <c r="A16" s="22" t="s">
        <v>121</v>
      </c>
      <c r="B16" s="15">
        <v>375</v>
      </c>
      <c r="C16" s="10">
        <f>IF(B$3=0,0,B16/B$3)</f>
        <v>0.23809523809523808</v>
      </c>
      <c r="E16" s="27" t="s">
        <v>78</v>
      </c>
      <c r="F16" s="24" t="s">
        <v>33</v>
      </c>
      <c r="G16" s="12">
        <v>14</v>
      </c>
      <c r="H16" s="88">
        <f>IF(B$20=0,0,G16/B$20)</f>
        <v>3.0107526881720432E-2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193</v>
      </c>
      <c r="P16" s="83">
        <f>IF(Q16=0,0,R16/Q16)</f>
        <v>19.387500000000003</v>
      </c>
      <c r="Q16" s="77">
        <v>8</v>
      </c>
      <c r="R16" s="68">
        <v>155.10000000000002</v>
      </c>
    </row>
    <row r="17" spans="1:18" x14ac:dyDescent="0.45">
      <c r="A17" s="19" t="s">
        <v>118</v>
      </c>
      <c r="B17" s="12">
        <v>367</v>
      </c>
      <c r="C17" s="6">
        <f>IF(B$3=0,0,B17/B$3)</f>
        <v>0.23301587301587301</v>
      </c>
      <c r="E17" s="27" t="s">
        <v>91</v>
      </c>
      <c r="F17" s="24" t="s">
        <v>46</v>
      </c>
      <c r="G17" s="12">
        <v>11</v>
      </c>
      <c r="H17" s="88">
        <f>IF(B$20=0,0,G17/B$20)</f>
        <v>2.3655913978494623E-2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216</v>
      </c>
      <c r="P17" s="83">
        <f>IF(Q17=0,0,R17/Q17)</f>
        <v>13.893750000000002</v>
      </c>
      <c r="Q17" s="77">
        <v>32</v>
      </c>
      <c r="R17" s="68">
        <v>444.60000000000008</v>
      </c>
    </row>
    <row r="18" spans="1:18" x14ac:dyDescent="0.45">
      <c r="A18" s="18" t="s">
        <v>123</v>
      </c>
      <c r="B18" s="11">
        <f>B24</f>
        <v>194</v>
      </c>
      <c r="C18" s="5">
        <f>IF(B$16=0,0,B18/B$16)</f>
        <v>0.51733333333333331</v>
      </c>
      <c r="E18" s="27" t="s">
        <v>155</v>
      </c>
      <c r="F18" s="24" t="s">
        <v>156</v>
      </c>
      <c r="G18" s="12">
        <v>10</v>
      </c>
      <c r="H18" s="88">
        <f>IF(B$20=0,0,G18/B$20)</f>
        <v>2.1505376344086023E-2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163</v>
      </c>
      <c r="P18" s="83">
        <f>IF(Q18=0,0,R18/Q18)</f>
        <v>11.321052631578951</v>
      </c>
      <c r="Q18" s="77">
        <v>38</v>
      </c>
      <c r="R18" s="68">
        <v>430.20000000000016</v>
      </c>
    </row>
    <row r="19" spans="1:18" x14ac:dyDescent="0.45">
      <c r="A19" s="18" t="s">
        <v>124</v>
      </c>
      <c r="B19" s="11">
        <f>B25</f>
        <v>162</v>
      </c>
      <c r="C19" s="5">
        <f>IF(B$17=0,0,B19/B$17)</f>
        <v>0.44141689373297005</v>
      </c>
      <c r="E19" s="27" t="s">
        <v>79</v>
      </c>
      <c r="F19" s="24" t="s">
        <v>34</v>
      </c>
      <c r="G19" s="12">
        <v>8</v>
      </c>
      <c r="H19" s="88">
        <f>IF(B$20=0,0,G19/B$20)</f>
        <v>1.7204301075268817E-2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5">
      <c r="A20" s="18" t="s">
        <v>10</v>
      </c>
      <c r="B20" s="11">
        <f>B23+B22</f>
        <v>465</v>
      </c>
      <c r="C20" s="5">
        <f>IF(B$3=0,0,B20/B$3)</f>
        <v>0.29523809523809524</v>
      </c>
      <c r="E20" s="27" t="s">
        <v>73</v>
      </c>
      <c r="F20" s="24" t="s">
        <v>28</v>
      </c>
      <c r="G20" s="12">
        <v>4</v>
      </c>
      <c r="H20" s="88">
        <f>IF(B$20=0,0,G20/B$20)</f>
        <v>8.6021505376344086E-3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8.2500000000000036</v>
      </c>
      <c r="Q20" s="77">
        <v>20</v>
      </c>
      <c r="R20" s="68">
        <v>165.00000000000009</v>
      </c>
    </row>
    <row r="21" spans="1:18" x14ac:dyDescent="0.45">
      <c r="A21" s="19" t="s">
        <v>13</v>
      </c>
      <c r="B21" s="12">
        <v>260</v>
      </c>
      <c r="C21" s="6">
        <f>IF(B$3=0,0,B21/B$3)</f>
        <v>0.16507936507936508</v>
      </c>
      <c r="E21" s="27" t="s">
        <v>85</v>
      </c>
      <c r="F21" s="24" t="s">
        <v>40</v>
      </c>
      <c r="G21" s="12">
        <v>3</v>
      </c>
      <c r="H21" s="88">
        <f>IF(B$20=0,0,G21/B$20)</f>
        <v>6.4516129032258064E-3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126</v>
      </c>
      <c r="P21" s="83">
        <f>IF(Q21=0,0,R21/Q21)</f>
        <v>-2.4359999999999964</v>
      </c>
      <c r="Q21" s="77">
        <v>100</v>
      </c>
      <c r="R21" s="68">
        <v>-243.59999999999965</v>
      </c>
    </row>
    <row r="22" spans="1:18" x14ac:dyDescent="0.45">
      <c r="A22" s="19" t="s">
        <v>12</v>
      </c>
      <c r="B22" s="12">
        <v>203</v>
      </c>
      <c r="C22" s="6">
        <f>IF(B$20=0,0,B22/B$20)</f>
        <v>0.43655913978494626</v>
      </c>
      <c r="E22" s="27" t="s">
        <v>88</v>
      </c>
      <c r="F22" s="24" t="s">
        <v>43</v>
      </c>
      <c r="G22" s="12">
        <v>3</v>
      </c>
      <c r="H22" s="88">
        <f>IF(B$20=0,0,G22/B$20)</f>
        <v>6.4516129032258064E-3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-3.0130434782608675</v>
      </c>
      <c r="Q22" s="77">
        <v>46</v>
      </c>
      <c r="R22" s="68">
        <v>-138.59999999999991</v>
      </c>
    </row>
    <row r="23" spans="1:18" x14ac:dyDescent="0.45">
      <c r="A23" s="19" t="s">
        <v>11</v>
      </c>
      <c r="B23" s="12">
        <v>262</v>
      </c>
      <c r="C23" s="6">
        <f>IF(B$20=0,0,B23/B$20)</f>
        <v>0.5634408602150538</v>
      </c>
      <c r="E23" s="27" t="s">
        <v>77</v>
      </c>
      <c r="F23" s="24" t="s">
        <v>32</v>
      </c>
      <c r="G23" s="12">
        <v>2</v>
      </c>
      <c r="H23" s="88">
        <f>IF(B$20=0,0,G23/B$20)</f>
        <v>4.3010752688172043E-3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-6.8000000000000007</v>
      </c>
      <c r="Q23" s="77">
        <v>48</v>
      </c>
      <c r="R23" s="68">
        <v>-326.40000000000003</v>
      </c>
    </row>
    <row r="24" spans="1:18" x14ac:dyDescent="0.45">
      <c r="A24" s="19" t="s">
        <v>183</v>
      </c>
      <c r="B24" s="12">
        <v>194</v>
      </c>
      <c r="C24" s="6">
        <f>IF(B$20=0,0,B24/B$20)</f>
        <v>0.41720430107526879</v>
      </c>
      <c r="E24" s="27" t="s">
        <v>92</v>
      </c>
      <c r="F24" s="24" t="s">
        <v>47</v>
      </c>
      <c r="G24" s="12">
        <v>2</v>
      </c>
      <c r="H24" s="88">
        <f>IF(B$20=0,0,G24/B$20)</f>
        <v>4.3010752688172043E-3</v>
      </c>
      <c r="I24" s="58">
        <v>3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-13.776562500000002</v>
      </c>
      <c r="Q24" s="77">
        <v>64</v>
      </c>
      <c r="R24" s="68">
        <v>-881.70000000000016</v>
      </c>
    </row>
    <row r="25" spans="1:18" x14ac:dyDescent="0.45">
      <c r="A25" s="19" t="s">
        <v>181</v>
      </c>
      <c r="B25" s="12">
        <v>162</v>
      </c>
      <c r="C25" s="6">
        <f>IF(B$20=0,0,B25/B$20)</f>
        <v>0.34838709677419355</v>
      </c>
      <c r="E25" s="27" t="s">
        <v>75</v>
      </c>
      <c r="F25" s="24" t="s">
        <v>30</v>
      </c>
      <c r="G25" s="12">
        <v>1</v>
      </c>
      <c r="H25" s="88">
        <f>IF(B$20=0,0,G25/B$20)</f>
        <v>2.1505376344086021E-3</v>
      </c>
      <c r="I25" s="58">
        <v>2</v>
      </c>
      <c r="K25" s="74">
        <v>23</v>
      </c>
      <c r="L25" s="119">
        <v>37.999999999999993</v>
      </c>
      <c r="M25" s="117">
        <v>1601.1018287684915</v>
      </c>
    </row>
    <row r="26" spans="1:18" x14ac:dyDescent="0.45">
      <c r="A26" s="19" t="s">
        <v>182</v>
      </c>
      <c r="B26" s="12">
        <v>109</v>
      </c>
      <c r="C26" s="6">
        <f>IF(B$20=0,0,B26/B$20)</f>
        <v>0.23440860215053763</v>
      </c>
      <c r="E26" s="27" t="s">
        <v>102</v>
      </c>
      <c r="F26" s="24" t="s">
        <v>57</v>
      </c>
      <c r="G26" s="12">
        <v>1</v>
      </c>
      <c r="H26" s="88">
        <f>IF(B$20=0,0,G26/B$20)</f>
        <v>2.1505376344086021E-3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5">
      <c r="A27" s="19" t="s">
        <v>5</v>
      </c>
      <c r="B27" s="16">
        <f>IF(B$20=0,0,C27/B$20)</f>
        <v>8032.9032258064517</v>
      </c>
      <c r="C27" s="8">
        <v>3735300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5">
      <c r="A28" s="20" t="s">
        <v>165</v>
      </c>
      <c r="B28" s="95">
        <f>IF($B$20-B$19=0,0,C28/($B$20-B$19))</f>
        <v>8764.3564356435636</v>
      </c>
      <c r="C28" s="96">
        <v>2655600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5">
      <c r="A29" s="20" t="s">
        <v>166</v>
      </c>
      <c r="B29" s="95">
        <f>IF(B$19=0,0,C29/B$19)</f>
        <v>6664.8148148148148</v>
      </c>
      <c r="C29" s="96">
        <v>1079700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5">
      <c r="A30" s="20" t="s">
        <v>164</v>
      </c>
      <c r="B30" s="95">
        <f>IF(B$21=0,0,C30/B$21)</f>
        <v>-7229.6153846153848</v>
      </c>
      <c r="C30" s="96">
        <v>-1879700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5">
      <c r="A31" s="19" t="s">
        <v>157</v>
      </c>
      <c r="B31" s="12">
        <v>6</v>
      </c>
      <c r="C31" s="90">
        <v>2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5">
      <c r="A32" s="19" t="s">
        <v>158</v>
      </c>
      <c r="B32" s="12">
        <v>25</v>
      </c>
      <c r="C32" s="90">
        <v>3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5">
      <c r="A33" s="54" t="s">
        <v>136</v>
      </c>
      <c r="B33" s="127">
        <v>7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5">
      <c r="A34" s="22" t="s">
        <v>180</v>
      </c>
      <c r="B34" s="129">
        <v>103000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5">
      <c r="A35" s="21" t="s">
        <v>137</v>
      </c>
      <c r="B35" s="29">
        <v>5</v>
      </c>
      <c r="C35" s="9">
        <f>IF(B$3=0,0,B35/B$3)</f>
        <v>3.1746031746031746E-3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5">
      <c r="A37" s="54" t="s">
        <v>171</v>
      </c>
      <c r="B37" s="123">
        <v>40</v>
      </c>
      <c r="C37" s="98">
        <f t="shared" ref="C37:C49" si="2">IF(B$20=0,0,B37/B$20)</f>
        <v>8.6021505376344093E-2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5">
      <c r="A38" s="19" t="s">
        <v>167</v>
      </c>
      <c r="B38" s="12">
        <v>98</v>
      </c>
      <c r="C38" s="6">
        <f t="shared" si="2"/>
        <v>0.21075268817204301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5">
      <c r="A39" s="19" t="s">
        <v>168</v>
      </c>
      <c r="B39" s="124">
        <v>91</v>
      </c>
      <c r="C39" s="6">
        <f t="shared" si="2"/>
        <v>0.19569892473118281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5">
      <c r="A40" s="19" t="s">
        <v>169</v>
      </c>
      <c r="B40" s="124">
        <v>76</v>
      </c>
      <c r="C40" s="6">
        <f t="shared" si="2"/>
        <v>0.16344086021505377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5">
      <c r="A41" s="19" t="s">
        <v>170</v>
      </c>
      <c r="B41" s="124">
        <v>60</v>
      </c>
      <c r="C41" s="6">
        <f t="shared" si="2"/>
        <v>0.12903225806451613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5">
      <c r="A42" s="19" t="s">
        <v>172</v>
      </c>
      <c r="B42" s="124">
        <v>41</v>
      </c>
      <c r="C42" s="6">
        <f t="shared" si="2"/>
        <v>8.8172043010752682E-2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5">
      <c r="A43" s="19" t="s">
        <v>173</v>
      </c>
      <c r="B43" s="124">
        <v>25</v>
      </c>
      <c r="C43" s="6">
        <f t="shared" si="2"/>
        <v>5.3763440860215055E-2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5">
      <c r="A44" s="19" t="s">
        <v>174</v>
      </c>
      <c r="B44" s="124">
        <v>14</v>
      </c>
      <c r="C44" s="6">
        <f t="shared" si="2"/>
        <v>3.0107526881720432E-2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5">
      <c r="A45" s="19" t="s">
        <v>175</v>
      </c>
      <c r="B45" s="124">
        <v>10</v>
      </c>
      <c r="C45" s="6">
        <f t="shared" si="2"/>
        <v>2.1505376344086023E-2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5">
      <c r="A46" s="19" t="s">
        <v>176</v>
      </c>
      <c r="B46" s="124">
        <v>5</v>
      </c>
      <c r="C46" s="6">
        <f t="shared" si="2"/>
        <v>1.0752688172043012E-2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5">
      <c r="A47" s="19" t="s">
        <v>177</v>
      </c>
      <c r="B47" s="124">
        <v>2</v>
      </c>
      <c r="C47" s="6">
        <f t="shared" si="2"/>
        <v>4.3010752688172043E-3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5">
      <c r="A49" s="21" t="s">
        <v>179</v>
      </c>
      <c r="B49" s="97">
        <v>3</v>
      </c>
      <c r="C49" s="9">
        <f t="shared" si="2"/>
        <v>6.4516129032258064E-3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5">
      <c r="K53" s="74">
        <v>51</v>
      </c>
      <c r="L53" s="119">
        <v>1.0658141036401503E-14</v>
      </c>
      <c r="M53" s="117">
        <v>1590.4180304736462</v>
      </c>
    </row>
    <row r="54" spans="1:13" x14ac:dyDescent="0.45">
      <c r="K54" s="74">
        <v>52</v>
      </c>
      <c r="L54" s="119">
        <v>-24.199999999999989</v>
      </c>
      <c r="M54" s="117">
        <v>1585.5015222908044</v>
      </c>
    </row>
    <row r="55" spans="1:13" x14ac:dyDescent="0.45">
      <c r="K55" s="74">
        <v>53</v>
      </c>
      <c r="L55" s="119">
        <v>-20.199999999999989</v>
      </c>
      <c r="M55" s="117">
        <v>1585.6905131570595</v>
      </c>
    </row>
    <row r="56" spans="1:13" x14ac:dyDescent="0.45">
      <c r="K56" s="74">
        <v>54</v>
      </c>
      <c r="L56" s="119">
        <v>1.0658141036401503E-14</v>
      </c>
      <c r="M56" s="117">
        <v>1588.7943700781173</v>
      </c>
    </row>
    <row r="57" spans="1:13" x14ac:dyDescent="0.45">
      <c r="K57" s="74">
        <v>55</v>
      </c>
      <c r="L57" s="119">
        <v>-17.499999999999989</v>
      </c>
      <c r="M57" s="117">
        <v>1584.9436038576484</v>
      </c>
    </row>
    <row r="58" spans="1:13" x14ac:dyDescent="0.45">
      <c r="K58" s="74">
        <v>56</v>
      </c>
      <c r="L58" s="119">
        <v>0.50000000000001066</v>
      </c>
      <c r="M58" s="117">
        <v>1587.5059422345025</v>
      </c>
    </row>
    <row r="59" spans="1:13" x14ac:dyDescent="0.45">
      <c r="K59" s="74">
        <v>57</v>
      </c>
      <c r="L59" s="119">
        <v>1.0658141036401503E-14</v>
      </c>
      <c r="M59" s="117">
        <v>1586.7229065810955</v>
      </c>
    </row>
    <row r="60" spans="1:13" x14ac:dyDescent="0.45">
      <c r="K60" s="74">
        <v>58</v>
      </c>
      <c r="L60" s="119">
        <v>16.600000000000012</v>
      </c>
      <c r="M60" s="117">
        <v>1589.7965691416089</v>
      </c>
    </row>
    <row r="61" spans="1:13" x14ac:dyDescent="0.45">
      <c r="K61" s="74">
        <v>59</v>
      </c>
      <c r="L61" s="119">
        <v>13.600000000000012</v>
      </c>
      <c r="M61" s="117">
        <v>1589.3237897267593</v>
      </c>
    </row>
    <row r="62" spans="1:13" x14ac:dyDescent="0.45">
      <c r="K62" s="74">
        <v>60</v>
      </c>
      <c r="L62" s="119">
        <v>1.2434497875801753E-14</v>
      </c>
      <c r="M62" s="117">
        <v>1586.9458469883987</v>
      </c>
    </row>
    <row r="63" spans="1:13" x14ac:dyDescent="0.45">
      <c r="K63" s="74">
        <v>61</v>
      </c>
      <c r="L63" s="119">
        <v>-13.999999999999988</v>
      </c>
      <c r="M63" s="117">
        <v>1584.6241719064683</v>
      </c>
    </row>
    <row r="64" spans="1:13" x14ac:dyDescent="0.45">
      <c r="K64" s="74">
        <v>62</v>
      </c>
      <c r="L64" s="119">
        <v>-39.699999999999989</v>
      </c>
      <c r="M64" s="117">
        <v>1580.2104268750295</v>
      </c>
    </row>
    <row r="65" spans="11:13" x14ac:dyDescent="0.45">
      <c r="K65" s="74">
        <v>63</v>
      </c>
      <c r="L65" s="119">
        <v>1.4210854715202004E-14</v>
      </c>
      <c r="M65" s="117">
        <v>1587.5951643137794</v>
      </c>
    </row>
    <row r="66" spans="11:13" x14ac:dyDescent="0.45">
      <c r="K66" s="74">
        <v>64</v>
      </c>
      <c r="L66" s="119">
        <v>-19.799999999999986</v>
      </c>
      <c r="M66" s="117">
        <v>1584.2255933278966</v>
      </c>
    </row>
    <row r="67" spans="11:13" x14ac:dyDescent="0.45">
      <c r="K67" s="74">
        <v>65</v>
      </c>
      <c r="L67" s="119">
        <v>-50.899999999999991</v>
      </c>
      <c r="M67" s="117">
        <v>1578.8422397679292</v>
      </c>
    </row>
    <row r="68" spans="11:13" x14ac:dyDescent="0.45">
      <c r="K68" s="74">
        <v>66</v>
      </c>
      <c r="L68" s="119">
        <v>7.1054273576010019E-15</v>
      </c>
      <c r="M68" s="117">
        <v>1588.2511863293216</v>
      </c>
    </row>
    <row r="69" spans="11:13" x14ac:dyDescent="0.45">
      <c r="K69" s="74">
        <v>67</v>
      </c>
      <c r="L69" s="119">
        <v>-26.699999999999992</v>
      </c>
      <c r="M69" s="117">
        <v>1583.6356792113456</v>
      </c>
    </row>
    <row r="70" spans="11:13" x14ac:dyDescent="0.45">
      <c r="K70" s="74">
        <v>68</v>
      </c>
      <c r="L70" s="119">
        <v>7.0000000000000107</v>
      </c>
      <c r="M70" s="117">
        <v>1589.9198651360775</v>
      </c>
    </row>
    <row r="71" spans="11:13" x14ac:dyDescent="0.45">
      <c r="K71" s="74">
        <v>69</v>
      </c>
      <c r="L71" s="119">
        <v>1.0658141036401503E-14</v>
      </c>
      <c r="M71" s="117">
        <v>1588.8403459452611</v>
      </c>
    </row>
    <row r="72" spans="11:13" x14ac:dyDescent="0.45">
      <c r="K72" s="74">
        <v>70</v>
      </c>
      <c r="L72" s="119">
        <v>-24.399999999999988</v>
      </c>
      <c r="M72" s="117">
        <v>1584.4493038695896</v>
      </c>
    </row>
    <row r="73" spans="11:13" x14ac:dyDescent="0.45">
      <c r="K73" s="74">
        <v>71</v>
      </c>
      <c r="L73" s="119">
        <v>-24.299999999999986</v>
      </c>
      <c r="M73" s="117">
        <v>1584.4946080463722</v>
      </c>
    </row>
    <row r="74" spans="11:13" x14ac:dyDescent="0.45">
      <c r="K74" s="74">
        <v>72</v>
      </c>
      <c r="L74" s="119">
        <v>1.4210854715202004E-14</v>
      </c>
      <c r="M74" s="117">
        <v>1588.895640398094</v>
      </c>
    </row>
    <row r="75" spans="11:13" x14ac:dyDescent="0.45">
      <c r="K75" s="74">
        <v>73</v>
      </c>
      <c r="L75" s="119">
        <v>8.2000000000000135</v>
      </c>
      <c r="M75" s="117">
        <v>1590.3722665557054</v>
      </c>
    </row>
    <row r="76" spans="11:13" x14ac:dyDescent="0.45">
      <c r="K76" s="74">
        <v>74</v>
      </c>
      <c r="L76" s="119">
        <v>32.800000000000011</v>
      </c>
      <c r="M76" s="117">
        <v>1594.7920329563713</v>
      </c>
    </row>
    <row r="77" spans="11:13" x14ac:dyDescent="0.45">
      <c r="K77" s="74">
        <v>75</v>
      </c>
      <c r="L77" s="119">
        <v>1.4210854715202004E-14</v>
      </c>
      <c r="M77" s="117">
        <v>1588.853280758633</v>
      </c>
    </row>
    <row r="78" spans="11:13" x14ac:dyDescent="0.45">
      <c r="K78" s="74">
        <v>76</v>
      </c>
      <c r="L78" s="119">
        <v>-14.299999999999986</v>
      </c>
      <c r="M78" s="117">
        <v>1586.3761610740812</v>
      </c>
    </row>
    <row r="79" spans="11:13" x14ac:dyDescent="0.45">
      <c r="K79" s="74">
        <v>77</v>
      </c>
      <c r="L79" s="119">
        <v>-14.799999999999986</v>
      </c>
      <c r="M79" s="117">
        <v>1586.3979041076368</v>
      </c>
    </row>
    <row r="80" spans="11:13" x14ac:dyDescent="0.45">
      <c r="K80" s="74">
        <v>78</v>
      </c>
      <c r="L80" s="119">
        <v>1.4210854715202004E-14</v>
      </c>
      <c r="M80" s="117">
        <v>1589.173516682991</v>
      </c>
    </row>
    <row r="81" spans="11:13" x14ac:dyDescent="0.45">
      <c r="K81" s="74">
        <v>79</v>
      </c>
      <c r="L81" s="119">
        <v>-6.8999999999999861</v>
      </c>
      <c r="M81" s="117">
        <v>1588.026475582893</v>
      </c>
    </row>
    <row r="82" spans="11:13" x14ac:dyDescent="0.45">
      <c r="K82" s="74">
        <v>80</v>
      </c>
      <c r="L82" s="119">
        <v>20.100000000000016</v>
      </c>
      <c r="M82" s="117">
        <v>1592.9883167293956</v>
      </c>
    </row>
    <row r="83" spans="11:13" x14ac:dyDescent="0.45">
      <c r="K83" s="74">
        <v>81</v>
      </c>
      <c r="L83" s="119">
        <v>1.4210854715202004E-14</v>
      </c>
      <c r="M83" s="117">
        <v>1589.4423868290191</v>
      </c>
    </row>
    <row r="84" spans="11:13" x14ac:dyDescent="0.45">
      <c r="K84" s="74">
        <v>82</v>
      </c>
      <c r="L84" s="119">
        <v>-0.69999999999998574</v>
      </c>
      <c r="M84" s="117">
        <v>1589.409732508045</v>
      </c>
    </row>
    <row r="85" spans="11:13" x14ac:dyDescent="0.45">
      <c r="K85" s="74">
        <v>83</v>
      </c>
      <c r="L85" s="119">
        <v>-24.199999999999985</v>
      </c>
      <c r="M85" s="117">
        <v>1585.2732741129967</v>
      </c>
    </row>
    <row r="86" spans="11:13" x14ac:dyDescent="0.45">
      <c r="K86" s="74">
        <v>84</v>
      </c>
      <c r="L86" s="119">
        <v>1.4210854715202004E-14</v>
      </c>
      <c r="M86" s="117">
        <v>1589.7476344683187</v>
      </c>
    </row>
    <row r="87" spans="11:13" x14ac:dyDescent="0.45">
      <c r="K87" s="74">
        <v>85</v>
      </c>
      <c r="L87" s="119">
        <v>33.500000000000014</v>
      </c>
      <c r="M87" s="117">
        <v>1595.1791486615089</v>
      </c>
    </row>
    <row r="88" spans="11:13" x14ac:dyDescent="0.45">
      <c r="K88" s="74">
        <v>86</v>
      </c>
      <c r="L88" s="119">
        <v>34.500000000000014</v>
      </c>
      <c r="M88" s="117">
        <v>1594.7280737695398</v>
      </c>
    </row>
    <row r="89" spans="11:13" x14ac:dyDescent="0.45">
      <c r="K89" s="74">
        <v>87</v>
      </c>
      <c r="L89" s="119">
        <v>1.4210854715202004E-14</v>
      </c>
      <c r="M89" s="117">
        <v>1587.8897053269227</v>
      </c>
    </row>
    <row r="90" spans="11:13" x14ac:dyDescent="0.45">
      <c r="K90" s="74">
        <v>88</v>
      </c>
      <c r="L90" s="119">
        <v>-24.699999999999985</v>
      </c>
      <c r="M90" s="117">
        <v>1583.8223670949612</v>
      </c>
    </row>
    <row r="91" spans="11:13" x14ac:dyDescent="0.45">
      <c r="K91" s="74">
        <v>89</v>
      </c>
      <c r="L91" s="119">
        <v>-4.0999999999999837</v>
      </c>
      <c r="M91" s="117">
        <v>1587.9334328923915</v>
      </c>
    </row>
    <row r="92" spans="11:13" x14ac:dyDescent="0.45">
      <c r="K92" s="74">
        <v>90</v>
      </c>
      <c r="L92" s="119">
        <v>1.5987211554602254E-14</v>
      </c>
      <c r="M92" s="117">
        <v>1589.049832295037</v>
      </c>
    </row>
    <row r="93" spans="11:13" x14ac:dyDescent="0.45">
      <c r="K93" s="74">
        <v>91</v>
      </c>
      <c r="L93" s="119">
        <v>-37.899999999999984</v>
      </c>
      <c r="M93" s="117">
        <v>1582.5995333012668</v>
      </c>
    </row>
    <row r="94" spans="11:13" x14ac:dyDescent="0.45">
      <c r="K94" s="74">
        <v>92</v>
      </c>
      <c r="L94" s="119">
        <v>-13.099999999999984</v>
      </c>
      <c r="M94" s="117">
        <v>1587.4739361014592</v>
      </c>
    </row>
    <row r="95" spans="11:13" x14ac:dyDescent="0.45">
      <c r="K95" s="74">
        <v>93</v>
      </c>
      <c r="L95" s="119">
        <v>1.5987211554602254E-14</v>
      </c>
      <c r="M95" s="117">
        <v>1590.2130924848504</v>
      </c>
    </row>
    <row r="96" spans="11:13" x14ac:dyDescent="0.45">
      <c r="K96" s="74">
        <v>94</v>
      </c>
      <c r="L96" s="119">
        <v>-41.399999999999984</v>
      </c>
      <c r="M96" s="117">
        <v>1583.1258139299414</v>
      </c>
    </row>
    <row r="97" spans="11:13" x14ac:dyDescent="0.45">
      <c r="K97" s="74">
        <v>95</v>
      </c>
      <c r="L97" s="119">
        <v>-49.59999999999998</v>
      </c>
      <c r="M97" s="117">
        <v>1582.0570590463617</v>
      </c>
    </row>
    <row r="98" spans="11:13" x14ac:dyDescent="0.45">
      <c r="K98" s="74">
        <v>96</v>
      </c>
      <c r="L98" s="119">
        <v>2.1316282072803006E-14</v>
      </c>
      <c r="M98" s="117">
        <v>1591.3987166920836</v>
      </c>
    </row>
    <row r="99" spans="11:13" x14ac:dyDescent="0.45">
      <c r="K99" s="74">
        <v>97</v>
      </c>
      <c r="L99" s="119">
        <v>3.6000000000000214</v>
      </c>
      <c r="M99" s="117">
        <v>1592.236324391931</v>
      </c>
    </row>
    <row r="100" spans="11:13" x14ac:dyDescent="0.45">
      <c r="K100" s="74">
        <v>98</v>
      </c>
      <c r="L100" s="119">
        <v>-46.499999999999979</v>
      </c>
      <c r="M100" s="117">
        <v>1583.4029064455794</v>
      </c>
    </row>
    <row r="101" spans="11:13" x14ac:dyDescent="0.45">
      <c r="K101" s="74">
        <v>99</v>
      </c>
      <c r="L101" s="119">
        <v>2.1316282072803006E-14</v>
      </c>
      <c r="M101" s="117">
        <v>1592.010489006906</v>
      </c>
    </row>
    <row r="102" spans="11:13" x14ac:dyDescent="0.45">
      <c r="K102" s="74">
        <v>100</v>
      </c>
      <c r="L102" s="119">
        <v>28.300000000000022</v>
      </c>
      <c r="M102" s="117">
        <v>1596.5344260728646</v>
      </c>
    </row>
    <row r="103" spans="11:13" x14ac:dyDescent="0.45">
      <c r="K103" s="74">
        <v>101</v>
      </c>
      <c r="L103" s="119">
        <v>-8.7999999999999794</v>
      </c>
      <c r="M103" s="117">
        <v>1589.2592195164273</v>
      </c>
    </row>
    <row r="104" spans="11:13" x14ac:dyDescent="0.45">
      <c r="K104" s="74">
        <v>102</v>
      </c>
      <c r="L104" s="119">
        <v>2.1316282072803006E-14</v>
      </c>
      <c r="M104" s="117">
        <v>1590.2896641993286</v>
      </c>
    </row>
    <row r="105" spans="11:13" x14ac:dyDescent="0.45">
      <c r="K105" s="74">
        <v>103</v>
      </c>
      <c r="L105" s="119">
        <v>-31.09999999999998</v>
      </c>
      <c r="M105" s="117">
        <v>1584.1319262141326</v>
      </c>
    </row>
    <row r="106" spans="11:13" x14ac:dyDescent="0.45">
      <c r="K106" s="74">
        <v>104</v>
      </c>
      <c r="L106" s="119">
        <v>11.600000000000023</v>
      </c>
      <c r="M106" s="117">
        <v>1591.2951346568477</v>
      </c>
    </row>
    <row r="107" spans="11:13" x14ac:dyDescent="0.45">
      <c r="K107" s="74">
        <v>105</v>
      </c>
      <c r="L107" s="119">
        <v>2.3092638912203256E-14</v>
      </c>
      <c r="M107" s="117">
        <v>1588.6413638489066</v>
      </c>
    </row>
    <row r="108" spans="11:13" x14ac:dyDescent="0.45">
      <c r="K108" s="74">
        <v>106</v>
      </c>
      <c r="L108" s="119">
        <v>58.500000000000021</v>
      </c>
      <c r="M108" s="117">
        <v>1599.2455156658132</v>
      </c>
    </row>
    <row r="109" spans="11:13" x14ac:dyDescent="0.45">
      <c r="K109" s="74">
        <v>107</v>
      </c>
      <c r="L109" s="119">
        <v>24.100000000000023</v>
      </c>
      <c r="M109" s="117">
        <v>1593.0640425718184</v>
      </c>
    </row>
    <row r="110" spans="11:13" x14ac:dyDescent="0.45">
      <c r="K110" s="74">
        <v>108</v>
      </c>
      <c r="L110" s="119">
        <v>2.1316282072803006E-14</v>
      </c>
      <c r="M110" s="117">
        <v>1588.7736583163876</v>
      </c>
    </row>
    <row r="111" spans="11:13" x14ac:dyDescent="0.45">
      <c r="K111" s="74">
        <v>109</v>
      </c>
      <c r="L111" s="119">
        <v>-15.599999999999978</v>
      </c>
      <c r="M111" s="117">
        <v>1586.0390163664892</v>
      </c>
    </row>
    <row r="112" spans="11:13" x14ac:dyDescent="0.45">
      <c r="K112" s="74">
        <v>110</v>
      </c>
      <c r="L112" s="119">
        <v>-7.7999999999999785</v>
      </c>
      <c r="M112" s="117">
        <v>1587.5327822682902</v>
      </c>
    </row>
    <row r="113" spans="11:13" x14ac:dyDescent="0.45">
      <c r="K113" s="74">
        <v>111</v>
      </c>
      <c r="L113" s="119">
        <v>2.1316282072803006E-14</v>
      </c>
      <c r="M113" s="117">
        <v>1589.0175855746804</v>
      </c>
    </row>
    <row r="114" spans="11:13" x14ac:dyDescent="0.45">
      <c r="K114" s="74">
        <v>112</v>
      </c>
      <c r="L114" s="119">
        <v>18.100000000000023</v>
      </c>
      <c r="M114" s="117">
        <v>1592.3474800612323</v>
      </c>
    </row>
    <row r="115" spans="11:13" x14ac:dyDescent="0.45">
      <c r="K115" s="74">
        <v>113</v>
      </c>
      <c r="L115" s="119">
        <v>1.4000000000000234</v>
      </c>
      <c r="M115" s="117">
        <v>1589.3933951808649</v>
      </c>
    </row>
    <row r="116" spans="11:13" x14ac:dyDescent="0.45">
      <c r="K116" s="74">
        <v>114</v>
      </c>
      <c r="L116" s="119">
        <v>2.3536728122053319E-14</v>
      </c>
      <c r="M116" s="117">
        <v>1589.2110348097797</v>
      </c>
    </row>
    <row r="117" spans="11:13" x14ac:dyDescent="0.45">
      <c r="K117" s="74">
        <v>115</v>
      </c>
      <c r="L117" s="119">
        <v>-4.5999999999999766</v>
      </c>
      <c r="M117" s="117">
        <v>1588.7057686009209</v>
      </c>
    </row>
    <row r="118" spans="11:13" x14ac:dyDescent="0.45">
      <c r="K118" s="74">
        <v>116</v>
      </c>
      <c r="L118" s="119">
        <v>-26.899999999999977</v>
      </c>
      <c r="M118" s="117">
        <v>1585.0175339893153</v>
      </c>
    </row>
    <row r="119" spans="11:13" x14ac:dyDescent="0.45">
      <c r="K119" s="74">
        <v>117</v>
      </c>
      <c r="L119" s="119">
        <v>2.1316282072803006E-14</v>
      </c>
      <c r="M119" s="117">
        <v>1590.2074287853795</v>
      </c>
    </row>
    <row r="120" spans="11:13" x14ac:dyDescent="0.45">
      <c r="K120" s="74">
        <v>118</v>
      </c>
      <c r="L120" s="119">
        <v>31.90000000000002</v>
      </c>
      <c r="M120" s="117">
        <v>1596.3801842126672</v>
      </c>
    </row>
    <row r="121" spans="11:13" x14ac:dyDescent="0.45">
      <c r="K121" s="74">
        <v>119</v>
      </c>
      <c r="L121" s="119">
        <v>33.500000000000021</v>
      </c>
      <c r="M121" s="117">
        <v>1597.0619031073913</v>
      </c>
    </row>
    <row r="122" spans="11:13" x14ac:dyDescent="0.45">
      <c r="K122" s="74">
        <v>120</v>
      </c>
      <c r="L122" s="119">
        <v>2.1316282072803006E-14</v>
      </c>
      <c r="M122" s="117">
        <v>1591.4215316887471</v>
      </c>
    </row>
    <row r="123" spans="11:13" x14ac:dyDescent="0.45">
      <c r="K123" s="74">
        <v>121</v>
      </c>
      <c r="L123" s="119">
        <v>-45.699999999999982</v>
      </c>
      <c r="M123" s="117">
        <v>1583.6190024986147</v>
      </c>
    </row>
    <row r="124" spans="11:13" x14ac:dyDescent="0.45">
      <c r="K124" s="74">
        <v>122</v>
      </c>
      <c r="L124" s="119">
        <v>-43.59999999999998</v>
      </c>
      <c r="M124" s="117">
        <v>1584.467288483623</v>
      </c>
    </row>
    <row r="125" spans="11:13" x14ac:dyDescent="0.45">
      <c r="K125" s="74">
        <v>123</v>
      </c>
      <c r="L125" s="119">
        <v>2.1316282072803006E-14</v>
      </c>
      <c r="M125" s="117">
        <v>1592.7804847527211</v>
      </c>
    </row>
    <row r="126" spans="11:13" x14ac:dyDescent="0.45">
      <c r="K126" s="74">
        <v>124</v>
      </c>
      <c r="L126" s="119">
        <v>42.000000000000021</v>
      </c>
      <c r="M126" s="117">
        <v>1600.5338018442048</v>
      </c>
    </row>
    <row r="127" spans="11:13" x14ac:dyDescent="0.45">
      <c r="K127" s="74">
        <v>125</v>
      </c>
      <c r="L127" s="119">
        <v>-7.6999999999999815</v>
      </c>
      <c r="M127" s="117">
        <v>1591.7345990331396</v>
      </c>
    </row>
    <row r="128" spans="11:13" x14ac:dyDescent="0.45">
      <c r="K128" s="74">
        <v>126</v>
      </c>
      <c r="L128" s="119">
        <v>1.865174681370263E-14</v>
      </c>
      <c r="M128" s="117">
        <v>1593.3201914389408</v>
      </c>
    </row>
    <row r="129" spans="11:13" x14ac:dyDescent="0.45">
      <c r="K129" s="74">
        <v>127</v>
      </c>
      <c r="L129" s="119">
        <v>-0.99999999999998135</v>
      </c>
      <c r="M129" s="117">
        <v>1593.3302702903072</v>
      </c>
    </row>
    <row r="130" spans="11:13" x14ac:dyDescent="0.45">
      <c r="K130" s="74">
        <v>128</v>
      </c>
      <c r="L130" s="119">
        <v>-54.999999999999979</v>
      </c>
      <c r="M130" s="117">
        <v>1583.8002886685654</v>
      </c>
    </row>
    <row r="131" spans="11:13" x14ac:dyDescent="0.45">
      <c r="K131" s="74">
        <v>129</v>
      </c>
      <c r="L131" s="119">
        <v>2.1316282072803006E-14</v>
      </c>
      <c r="M131" s="117">
        <v>1593.947486936554</v>
      </c>
    </row>
    <row r="132" spans="11:13" x14ac:dyDescent="0.45">
      <c r="K132" s="74">
        <v>130</v>
      </c>
      <c r="L132" s="119">
        <v>39.600000000000023</v>
      </c>
      <c r="M132" s="117">
        <v>1601.2618020149348</v>
      </c>
    </row>
    <row r="133" spans="11:13" x14ac:dyDescent="0.45">
      <c r="K133" s="74">
        <v>131</v>
      </c>
      <c r="L133" s="119">
        <v>6.8000000000000256</v>
      </c>
      <c r="M133" s="117">
        <v>1595.5002312028453</v>
      </c>
    </row>
    <row r="134" spans="11:13" x14ac:dyDescent="0.45">
      <c r="K134" s="74">
        <v>132</v>
      </c>
      <c r="L134" s="119">
        <v>2.5757174171303632E-14</v>
      </c>
      <c r="M134" s="117">
        <v>1594.4532298156282</v>
      </c>
    </row>
    <row r="135" spans="11:13" x14ac:dyDescent="0.45">
      <c r="K135" s="74">
        <v>133</v>
      </c>
      <c r="L135" s="119">
        <v>-25.399999999999974</v>
      </c>
      <c r="M135" s="117">
        <v>1590.0645104367345</v>
      </c>
    </row>
    <row r="136" spans="11:13" x14ac:dyDescent="0.45">
      <c r="K136" s="74">
        <v>134</v>
      </c>
      <c r="L136" s="119">
        <v>-30.799999999999976</v>
      </c>
      <c r="M136" s="117">
        <v>1589.302123374114</v>
      </c>
    </row>
    <row r="137" spans="11:13" x14ac:dyDescent="0.45">
      <c r="K137" s="74">
        <v>135</v>
      </c>
      <c r="L137" s="119">
        <v>2.4868995751603507E-14</v>
      </c>
      <c r="M137" s="117">
        <v>1595.0603106338692</v>
      </c>
    </row>
    <row r="138" spans="11:13" x14ac:dyDescent="0.45">
      <c r="K138" s="74">
        <v>136</v>
      </c>
      <c r="L138" s="119">
        <v>28.300000000000026</v>
      </c>
      <c r="M138" s="117">
        <v>1600.2019487700661</v>
      </c>
    </row>
    <row r="139" spans="11:13" x14ac:dyDescent="0.45">
      <c r="K139" s="74">
        <v>137</v>
      </c>
      <c r="L139" s="119">
        <v>31.000000000000025</v>
      </c>
      <c r="M139" s="117">
        <v>1600.7047370774458</v>
      </c>
    </row>
    <row r="140" spans="11:13" x14ac:dyDescent="0.45">
      <c r="K140" s="74">
        <v>138</v>
      </c>
      <c r="L140" s="119">
        <v>2.4868995751603507E-14</v>
      </c>
      <c r="M140" s="117">
        <v>1595.138508654981</v>
      </c>
    </row>
    <row r="141" spans="11:13" x14ac:dyDescent="0.45">
      <c r="K141" s="74">
        <v>139</v>
      </c>
      <c r="L141" s="119">
        <v>7.5000000000000249</v>
      </c>
      <c r="M141" s="117">
        <v>1596.5356776030512</v>
      </c>
    </row>
    <row r="142" spans="11:13" x14ac:dyDescent="0.45">
      <c r="K142" s="74">
        <v>140</v>
      </c>
      <c r="L142" s="119">
        <v>-29.399999999999974</v>
      </c>
      <c r="M142" s="117">
        <v>1589.932463537433</v>
      </c>
    </row>
    <row r="143" spans="11:13" x14ac:dyDescent="0.45">
      <c r="K143" s="74">
        <v>141</v>
      </c>
      <c r="L143" s="119">
        <v>2.4868995751603507E-14</v>
      </c>
      <c r="M143" s="117">
        <v>1595.3028687562085</v>
      </c>
    </row>
    <row r="144" spans="11:13" x14ac:dyDescent="0.45">
      <c r="K144" s="74">
        <v>142</v>
      </c>
      <c r="L144" s="119">
        <v>8.9000000000000252</v>
      </c>
      <c r="M144" s="117">
        <v>1597.3050515436712</v>
      </c>
    </row>
    <row r="145" spans="11:13" x14ac:dyDescent="0.45">
      <c r="K145" s="74">
        <v>143</v>
      </c>
      <c r="L145" s="119">
        <v>45.700000000000024</v>
      </c>
      <c r="M145" s="117">
        <v>1604.3172212344091</v>
      </c>
    </row>
    <row r="146" spans="11:13" x14ac:dyDescent="0.45">
      <c r="K146" s="74">
        <v>144</v>
      </c>
      <c r="L146" s="119">
        <v>2.1316282072803006E-14</v>
      </c>
      <c r="M146" s="117">
        <v>1596.4373179070026</v>
      </c>
    </row>
    <row r="147" spans="11:13" x14ac:dyDescent="0.45">
      <c r="K147" s="74">
        <v>145</v>
      </c>
      <c r="L147" s="119">
        <v>22.100000000000023</v>
      </c>
      <c r="M147" s="117">
        <v>1600.8086939995605</v>
      </c>
    </row>
    <row r="148" spans="11:13" x14ac:dyDescent="0.45">
      <c r="K148" s="74">
        <v>146</v>
      </c>
      <c r="L148" s="119">
        <v>-5.4999999999999787</v>
      </c>
      <c r="M148" s="117">
        <v>1596.2078418355632</v>
      </c>
    </row>
    <row r="149" spans="11:13" x14ac:dyDescent="0.45">
      <c r="K149" s="74">
        <v>147</v>
      </c>
      <c r="L149" s="119">
        <v>2.1316282072803006E-14</v>
      </c>
      <c r="M149" s="117">
        <v>1597.5925947845499</v>
      </c>
    </row>
    <row r="150" spans="11:13" x14ac:dyDescent="0.45">
      <c r="K150" s="74">
        <v>148</v>
      </c>
      <c r="L150" s="119">
        <v>73.800000000000011</v>
      </c>
      <c r="M150" s="117">
        <v>1610.7890392158426</v>
      </c>
    </row>
    <row r="151" spans="11:13" x14ac:dyDescent="0.45">
      <c r="K151" s="74">
        <v>149</v>
      </c>
      <c r="L151" s="119">
        <v>21.70000000000001</v>
      </c>
      <c r="M151" s="117">
        <v>1601.2443049805477</v>
      </c>
    </row>
    <row r="152" spans="11:13" x14ac:dyDescent="0.45">
      <c r="K152" s="74">
        <v>150</v>
      </c>
      <c r="L152" s="119">
        <v>1.0658141036401503E-14</v>
      </c>
      <c r="M152" s="117">
        <v>1597.2288391506643</v>
      </c>
    </row>
    <row r="153" spans="11:13" x14ac:dyDescent="0.45">
      <c r="K153" s="74">
        <v>151</v>
      </c>
      <c r="L153" s="119">
        <v>31.20000000000001</v>
      </c>
      <c r="M153" s="117">
        <v>1602.7594661157602</v>
      </c>
    </row>
    <row r="154" spans="11:13" x14ac:dyDescent="0.45">
      <c r="K154" s="74">
        <v>152</v>
      </c>
      <c r="L154" s="119">
        <v>51.500000000000014</v>
      </c>
      <c r="M154" s="117">
        <v>1606.2949093190657</v>
      </c>
    </row>
    <row r="155" spans="11:13" x14ac:dyDescent="0.45">
      <c r="K155" s="74">
        <v>153</v>
      </c>
      <c r="L155" s="119">
        <v>1.4210854715202004E-14</v>
      </c>
      <c r="M155" s="117">
        <v>1596.8851398631514</v>
      </c>
    </row>
    <row r="156" spans="11:13" x14ac:dyDescent="0.45">
      <c r="K156" s="74">
        <v>154</v>
      </c>
      <c r="L156" s="119">
        <v>-39.299999999999983</v>
      </c>
      <c r="M156" s="117">
        <v>1590.2318290239725</v>
      </c>
    </row>
    <row r="157" spans="11:13" x14ac:dyDescent="0.45">
      <c r="K157" s="74">
        <v>155</v>
      </c>
      <c r="L157" s="119">
        <v>21.000000000000014</v>
      </c>
      <c r="M157" s="117">
        <v>1601.5464380498288</v>
      </c>
    </row>
    <row r="158" spans="11:13" x14ac:dyDescent="0.45">
      <c r="K158" s="74">
        <v>156</v>
      </c>
      <c r="L158" s="119">
        <v>1.4210854715202004E-14</v>
      </c>
      <c r="M158" s="117">
        <v>1598.1591594215299</v>
      </c>
    </row>
    <row r="159" spans="11:13" x14ac:dyDescent="0.45">
      <c r="K159" s="74">
        <v>157</v>
      </c>
      <c r="L159" s="119">
        <v>4.1000000000000139</v>
      </c>
      <c r="M159" s="117">
        <v>1599.1062044650007</v>
      </c>
    </row>
    <row r="160" spans="11:13" x14ac:dyDescent="0.45">
      <c r="K160" s="74">
        <v>158</v>
      </c>
      <c r="L160" s="119">
        <v>-36.199999999999982</v>
      </c>
      <c r="M160" s="117">
        <v>1592.0555672382106</v>
      </c>
    </row>
    <row r="161" spans="11:13" x14ac:dyDescent="0.45">
      <c r="K161" s="74">
        <v>159</v>
      </c>
      <c r="L161" s="119">
        <v>2.1316282072803006E-14</v>
      </c>
      <c r="M161" s="117">
        <v>1598.8172338347813</v>
      </c>
    </row>
    <row r="162" spans="11:13" x14ac:dyDescent="0.45">
      <c r="K162" s="74">
        <v>160</v>
      </c>
      <c r="L162" s="119">
        <v>69.700000000000017</v>
      </c>
      <c r="M162" s="117">
        <v>1611.2203304317727</v>
      </c>
    </row>
    <row r="163" spans="11:13" x14ac:dyDescent="0.45">
      <c r="K163" s="74">
        <v>161</v>
      </c>
      <c r="L163" s="119">
        <v>46.300000000000018</v>
      </c>
      <c r="M163" s="117">
        <v>1606.7910084491821</v>
      </c>
    </row>
    <row r="164" spans="11:13" x14ac:dyDescent="0.45">
      <c r="K164" s="74">
        <v>162</v>
      </c>
      <c r="L164" s="119">
        <v>2.1316282072803006E-14</v>
      </c>
      <c r="M164" s="117">
        <v>1598.266262398487</v>
      </c>
    </row>
    <row r="165" spans="11:13" x14ac:dyDescent="0.45">
      <c r="K165" s="74">
        <v>163</v>
      </c>
      <c r="L165" s="119">
        <v>20.500000000000021</v>
      </c>
      <c r="M165" s="117">
        <v>1601.8166648240961</v>
      </c>
    </row>
    <row r="166" spans="11:13" x14ac:dyDescent="0.45">
      <c r="K166" s="74">
        <v>164</v>
      </c>
      <c r="L166" s="119">
        <v>24.90000000000002</v>
      </c>
      <c r="M166" s="117">
        <v>1602.4477648351515</v>
      </c>
    </row>
    <row r="167" spans="11:13" x14ac:dyDescent="0.45">
      <c r="K167" s="74">
        <v>165</v>
      </c>
      <c r="L167" s="119">
        <v>2.1316282072803006E-14</v>
      </c>
      <c r="M167" s="117">
        <v>1597.8010782461406</v>
      </c>
    </row>
    <row r="168" spans="11:13" x14ac:dyDescent="0.45">
      <c r="K168" s="74">
        <v>166</v>
      </c>
      <c r="L168" s="119">
        <v>47.000000000000021</v>
      </c>
      <c r="M168" s="117">
        <v>1606.2922717766637</v>
      </c>
    </row>
    <row r="169" spans="11:13" x14ac:dyDescent="0.45">
      <c r="K169" s="74">
        <v>167</v>
      </c>
      <c r="L169" s="119">
        <v>-1.9999999999999787</v>
      </c>
      <c r="M169" s="117">
        <v>1597.4525181460037</v>
      </c>
    </row>
    <row r="170" spans="11:13" x14ac:dyDescent="0.45">
      <c r="K170" s="74">
        <v>168</v>
      </c>
      <c r="L170" s="119">
        <v>2.1316282072803006E-14</v>
      </c>
      <c r="M170" s="117">
        <v>1597.8458030371278</v>
      </c>
    </row>
    <row r="171" spans="11:13" x14ac:dyDescent="0.45">
      <c r="K171" s="74">
        <v>169</v>
      </c>
      <c r="L171" s="119">
        <v>-3.5999999999999788</v>
      </c>
      <c r="M171" s="117">
        <v>1597.234728218905</v>
      </c>
    </row>
    <row r="172" spans="11:13" x14ac:dyDescent="0.45">
      <c r="K172" s="74">
        <v>170</v>
      </c>
      <c r="L172" s="119">
        <v>-33.999999999999979</v>
      </c>
      <c r="M172" s="117">
        <v>1591.8033198495916</v>
      </c>
    </row>
    <row r="173" spans="11:13" x14ac:dyDescent="0.45">
      <c r="K173" s="74">
        <v>171</v>
      </c>
      <c r="L173" s="119">
        <v>2.1316282072803006E-14</v>
      </c>
      <c r="M173" s="117">
        <v>1597.9964999304941</v>
      </c>
    </row>
    <row r="174" spans="11:13" x14ac:dyDescent="0.45">
      <c r="K174" s="74">
        <v>172</v>
      </c>
      <c r="L174" s="119">
        <v>2.1316282072803006E-14</v>
      </c>
      <c r="M174" s="117">
        <v>1598.2005209309111</v>
      </c>
    </row>
    <row r="175" spans="11:13" x14ac:dyDescent="0.45">
      <c r="K175" s="74">
        <v>173</v>
      </c>
      <c r="L175" s="119">
        <v>27.300000000000022</v>
      </c>
      <c r="M175" s="117">
        <v>1603.3173178053257</v>
      </c>
    </row>
    <row r="176" spans="11:13" x14ac:dyDescent="0.45">
      <c r="K176" s="74">
        <v>174</v>
      </c>
      <c r="L176" s="119">
        <v>2.1316282072803006E-14</v>
      </c>
      <c r="M176" s="117">
        <v>1598.5754138984937</v>
      </c>
    </row>
    <row r="177" spans="11:13" x14ac:dyDescent="0.45">
      <c r="K177" s="74">
        <v>175</v>
      </c>
      <c r="L177" s="119">
        <v>-52.399999999999977</v>
      </c>
      <c r="M177" s="117">
        <v>1589.3439614151027</v>
      </c>
    </row>
    <row r="178" spans="11:13" x14ac:dyDescent="0.45">
      <c r="K178" s="74">
        <v>176</v>
      </c>
      <c r="L178" s="119">
        <v>-13.299999999999976</v>
      </c>
      <c r="M178" s="117">
        <v>1596.6378976466121</v>
      </c>
    </row>
    <row r="179" spans="11:13" x14ac:dyDescent="0.45">
      <c r="K179" s="74">
        <v>177</v>
      </c>
      <c r="L179" s="119">
        <v>2.4868995751603507E-14</v>
      </c>
      <c r="M179" s="117">
        <v>1599.2440702607325</v>
      </c>
    </row>
    <row r="180" spans="11:13" x14ac:dyDescent="0.45">
      <c r="K180" s="74">
        <v>178</v>
      </c>
      <c r="L180" s="119">
        <v>50.800000000000026</v>
      </c>
      <c r="M180" s="117">
        <v>1608.4646058391681</v>
      </c>
    </row>
    <row r="181" spans="11:13" x14ac:dyDescent="0.45">
      <c r="K181" s="74">
        <v>179</v>
      </c>
      <c r="L181" s="119">
        <v>66.40000000000002</v>
      </c>
      <c r="M181" s="117">
        <v>1611.2938182041332</v>
      </c>
    </row>
    <row r="182" spans="11:13" x14ac:dyDescent="0.45">
      <c r="K182" s="74">
        <v>180</v>
      </c>
      <c r="L182" s="119">
        <v>1.4210854715202004E-14</v>
      </c>
      <c r="M182" s="117">
        <v>1599.3460552949084</v>
      </c>
    </row>
    <row r="183" spans="11:13" x14ac:dyDescent="0.45">
      <c r="K183" s="74">
        <v>181</v>
      </c>
      <c r="L183" s="119">
        <v>44.600000000000016</v>
      </c>
      <c r="M183" s="117">
        <v>1607.4499789631391</v>
      </c>
    </row>
    <row r="184" spans="11:13" x14ac:dyDescent="0.45">
      <c r="K184" s="74">
        <v>182</v>
      </c>
      <c r="L184" s="119">
        <v>-2.8999999999999844</v>
      </c>
      <c r="M184" s="117">
        <v>1598.9272790893601</v>
      </c>
    </row>
    <row r="185" spans="11:13" x14ac:dyDescent="0.45">
      <c r="K185" s="74">
        <v>183</v>
      </c>
      <c r="L185" s="119">
        <v>1.5543122344752192E-14</v>
      </c>
      <c r="M185" s="117">
        <v>1599.5277154148239</v>
      </c>
    </row>
    <row r="186" spans="11:13" x14ac:dyDescent="0.45">
      <c r="K186" s="74">
        <v>184</v>
      </c>
      <c r="L186" s="119">
        <v>-24.899999999999984</v>
      </c>
      <c r="M186" s="117">
        <v>1595.120549122335</v>
      </c>
    </row>
    <row r="187" spans="11:13" x14ac:dyDescent="0.45">
      <c r="K187" s="74">
        <v>185</v>
      </c>
      <c r="L187" s="119">
        <v>-28.199999999999985</v>
      </c>
      <c r="M187" s="117">
        <v>1594.6278258276009</v>
      </c>
    </row>
    <row r="188" spans="11:13" x14ac:dyDescent="0.45">
      <c r="K188" s="74">
        <v>186</v>
      </c>
      <c r="L188" s="119">
        <v>1.4210854715202004E-14</v>
      </c>
      <c r="M188" s="117">
        <v>1599.8080588726352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A4E7F-FA9C-4E27-97F8-F221A20F4388}">
  <sheetPr codeName="Sheet7"/>
  <dimension ref="A1:R52"/>
  <sheetViews>
    <sheetView showGridLines="0" tabSelected="1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50</v>
      </c>
      <c r="C2" s="134"/>
      <c r="E2" s="26" t="s">
        <v>66</v>
      </c>
      <c r="F2" s="23" t="s">
        <v>22</v>
      </c>
      <c r="G2" s="11">
        <v>95</v>
      </c>
      <c r="H2" s="87">
        <f>IF(B$20=0,0,G2/B$20)</f>
        <v>0.73076923076923073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1680</v>
      </c>
      <c r="Q2" s="76">
        <v>50</v>
      </c>
      <c r="R2" s="63">
        <v>84000</v>
      </c>
    </row>
    <row r="3" spans="1:18" x14ac:dyDescent="0.45">
      <c r="A3" s="19" t="s">
        <v>8</v>
      </c>
      <c r="B3" s="135">
        <v>420</v>
      </c>
      <c r="C3" s="136"/>
      <c r="E3" s="27" t="s">
        <v>72</v>
      </c>
      <c r="F3" s="24" t="s">
        <v>27</v>
      </c>
      <c r="G3" s="12">
        <v>83</v>
      </c>
      <c r="H3" s="88">
        <f>IF(B$20=0,0,G3/B$20)</f>
        <v>0.63846153846153841</v>
      </c>
      <c r="I3" s="58">
        <v>5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-1347.9166666666667</v>
      </c>
      <c r="Q3" s="77">
        <v>48</v>
      </c>
      <c r="R3" s="64">
        <v>-64700</v>
      </c>
    </row>
    <row r="4" spans="1:18" x14ac:dyDescent="0.45">
      <c r="A4" s="19" t="s">
        <v>6</v>
      </c>
      <c r="B4" s="137">
        <v>81.19999999999996</v>
      </c>
      <c r="C4" s="138"/>
      <c r="E4" s="27" t="s">
        <v>64</v>
      </c>
      <c r="F4" s="24" t="s">
        <v>20</v>
      </c>
      <c r="G4" s="12">
        <v>54</v>
      </c>
      <c r="H4" s="88">
        <f>IF(B$20=0,0,G4/B$20)</f>
        <v>0.41538461538461541</v>
      </c>
      <c r="I4" s="58">
        <v>4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-524.48979591836735</v>
      </c>
      <c r="Q4" s="77">
        <v>49</v>
      </c>
      <c r="R4" s="64">
        <v>-25700</v>
      </c>
    </row>
    <row r="5" spans="1:18" x14ac:dyDescent="0.45">
      <c r="A5" s="19" t="s">
        <v>7</v>
      </c>
      <c r="B5" s="125">
        <f>IF(B$2=0,0,B$4/B$2)</f>
        <v>1.6239999999999992</v>
      </c>
      <c r="C5" s="126"/>
      <c r="E5" s="27" t="s">
        <v>159</v>
      </c>
      <c r="F5" s="24" t="s">
        <v>160</v>
      </c>
      <c r="G5" s="12">
        <v>46</v>
      </c>
      <c r="H5" s="88">
        <f>IF(B$20=0,0,G5/B$20)</f>
        <v>0.35384615384615387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573.91304347826087</v>
      </c>
      <c r="Q5" s="77">
        <v>46</v>
      </c>
      <c r="R5" s="64">
        <v>26400</v>
      </c>
    </row>
    <row r="6" spans="1:18" x14ac:dyDescent="0.45">
      <c r="A6" s="19" t="s">
        <v>196</v>
      </c>
      <c r="B6" s="129">
        <v>1792.1304656260008</v>
      </c>
      <c r="C6" s="130"/>
      <c r="E6" s="27" t="s">
        <v>68</v>
      </c>
      <c r="F6" s="24" t="s">
        <v>12</v>
      </c>
      <c r="G6" s="12">
        <v>39</v>
      </c>
      <c r="H6" s="88">
        <f>IF(B$20=0,0,G6/B$20)</f>
        <v>0.3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492.6829268292683</v>
      </c>
      <c r="Q6" s="77">
        <v>41</v>
      </c>
      <c r="R6" s="64">
        <v>20200</v>
      </c>
    </row>
    <row r="7" spans="1:18" x14ac:dyDescent="0.45">
      <c r="A7" s="19" t="s">
        <v>1</v>
      </c>
      <c r="B7" s="139">
        <f>IF(B$2=0,0,(B$8*1+B$9*2+B$10*3)/B$2)</f>
        <v>2.04</v>
      </c>
      <c r="C7" s="140"/>
      <c r="E7" s="27" t="s">
        <v>67</v>
      </c>
      <c r="F7" s="24" t="s">
        <v>23</v>
      </c>
      <c r="G7" s="12">
        <v>26</v>
      </c>
      <c r="H7" s="88">
        <f>IF(B$20=0,0,G7/B$20)</f>
        <v>0.2</v>
      </c>
      <c r="I7" s="58">
        <v>7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-956.25</v>
      </c>
      <c r="Q7" s="78">
        <v>32</v>
      </c>
      <c r="R7" s="65">
        <v>-30600</v>
      </c>
    </row>
    <row r="8" spans="1:18" x14ac:dyDescent="0.45">
      <c r="A8" s="19" t="s">
        <v>2</v>
      </c>
      <c r="B8" s="12">
        <v>14</v>
      </c>
      <c r="C8" s="6">
        <f t="shared" ref="C8:C15" si="1">IF(B$2=0,0,B8/B$2)</f>
        <v>0.28000000000000003</v>
      </c>
      <c r="E8" s="27" t="s">
        <v>69</v>
      </c>
      <c r="F8" s="24" t="s">
        <v>24</v>
      </c>
      <c r="G8" s="12">
        <v>24</v>
      </c>
      <c r="H8" s="88">
        <f>IF(B$20=0,0,G8/B$20)</f>
        <v>0.18461538461538463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5">
      <c r="A9" s="19" t="s">
        <v>3</v>
      </c>
      <c r="B9" s="12">
        <v>20</v>
      </c>
      <c r="C9" s="6">
        <f t="shared" si="1"/>
        <v>0.4</v>
      </c>
      <c r="E9" s="27" t="s">
        <v>70</v>
      </c>
      <c r="F9" s="24" t="s">
        <v>25</v>
      </c>
      <c r="G9" s="12">
        <v>20</v>
      </c>
      <c r="H9" s="88">
        <f>IF(B$20=0,0,G9/B$20)</f>
        <v>0.15384615384615385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16</v>
      </c>
      <c r="C10" s="7">
        <f t="shared" si="1"/>
        <v>0.32</v>
      </c>
      <c r="E10" s="27" t="s">
        <v>89</v>
      </c>
      <c r="F10" s="24" t="s">
        <v>44</v>
      </c>
      <c r="G10" s="12">
        <v>19</v>
      </c>
      <c r="H10" s="88">
        <f>IF(B$20=0,0,G10/B$20)</f>
        <v>0.14615384615384616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8.852941176470587</v>
      </c>
      <c r="Q10" s="76">
        <v>17</v>
      </c>
      <c r="R10" s="67">
        <v>150.49999999999997</v>
      </c>
    </row>
    <row r="11" spans="1:18" x14ac:dyDescent="0.45">
      <c r="A11" s="20" t="s">
        <v>184</v>
      </c>
      <c r="B11" s="109">
        <f>IF(B8=0,0,C11/B8)</f>
        <v>40.65</v>
      </c>
      <c r="C11" s="110">
        <v>569.1</v>
      </c>
      <c r="E11" s="27" t="s">
        <v>65</v>
      </c>
      <c r="F11" s="24" t="s">
        <v>21</v>
      </c>
      <c r="G11" s="12">
        <v>12</v>
      </c>
      <c r="H11" s="88">
        <f>IF(B$20=0,0,G11/B$20)</f>
        <v>9.2307692307692313E-2</v>
      </c>
      <c r="I11" s="58">
        <v>5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-6.6947368421052635</v>
      </c>
      <c r="Q11" s="77">
        <v>19</v>
      </c>
      <c r="R11" s="68">
        <v>-127.2</v>
      </c>
    </row>
    <row r="12" spans="1:18" x14ac:dyDescent="0.45">
      <c r="A12" s="20" t="s">
        <v>185</v>
      </c>
      <c r="B12" s="109">
        <f>IF(B9=0,0,C12/B9)</f>
        <v>-2.1999999999999997</v>
      </c>
      <c r="C12" s="110">
        <v>-43.999999999999993</v>
      </c>
      <c r="E12" s="27" t="s">
        <v>86</v>
      </c>
      <c r="F12" s="24" t="s">
        <v>41</v>
      </c>
      <c r="G12" s="12">
        <v>7</v>
      </c>
      <c r="H12" s="88">
        <f>IF(B$20=0,0,G12/B$20)</f>
        <v>5.3846153846153849E-2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4.1357142857142861</v>
      </c>
      <c r="Q12" s="78">
        <v>14</v>
      </c>
      <c r="R12" s="69">
        <v>57.900000000000006</v>
      </c>
    </row>
    <row r="13" spans="1:18" x14ac:dyDescent="0.45">
      <c r="A13" s="20" t="s">
        <v>186</v>
      </c>
      <c r="B13" s="109">
        <f>IF(B10=0,0,C13/B10)</f>
        <v>-27.743749999999999</v>
      </c>
      <c r="C13" s="110">
        <v>-443.9</v>
      </c>
      <c r="E13" s="27" t="s">
        <v>155</v>
      </c>
      <c r="F13" s="24" t="s">
        <v>156</v>
      </c>
      <c r="G13" s="12">
        <v>7</v>
      </c>
      <c r="H13" s="88">
        <f>IF(B$20=0,0,G13/B$20)</f>
        <v>5.3846153846153849E-2</v>
      </c>
      <c r="I13" s="58">
        <v>1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3.5687499999999992</v>
      </c>
      <c r="C14" s="126"/>
      <c r="E14" s="27" t="s">
        <v>71</v>
      </c>
      <c r="F14" s="24" t="s">
        <v>26</v>
      </c>
      <c r="G14" s="12">
        <v>6</v>
      </c>
      <c r="H14" s="88">
        <f>IF(B$20=0,0,G14/B$20)</f>
        <v>4.6153846153846156E-2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3</v>
      </c>
      <c r="C15" s="9">
        <f t="shared" si="1"/>
        <v>0.06</v>
      </c>
      <c r="E15" s="27" t="s">
        <v>83</v>
      </c>
      <c r="F15" s="24" t="s">
        <v>38</v>
      </c>
      <c r="G15" s="12">
        <v>6</v>
      </c>
      <c r="H15" s="88">
        <f>IF(B$20=0,0,G15/B$20)</f>
        <v>4.6153846153846156E-2</v>
      </c>
      <c r="I15" s="58">
        <v>4</v>
      </c>
      <c r="K15" s="74">
        <v>13</v>
      </c>
      <c r="L15" s="119">
        <v>236</v>
      </c>
      <c r="M15" s="117">
        <v>1865.6935040107483</v>
      </c>
      <c r="O15" s="73" t="s">
        <v>195</v>
      </c>
      <c r="P15" s="82">
        <f>IF(Q15=0,0,R15/Q15)</f>
        <v>33.85</v>
      </c>
      <c r="Q15" s="76">
        <v>4</v>
      </c>
      <c r="R15" s="67">
        <v>135.4</v>
      </c>
    </row>
    <row r="16" spans="1:18" x14ac:dyDescent="0.45">
      <c r="A16" s="22" t="s">
        <v>121</v>
      </c>
      <c r="B16" s="15">
        <v>106</v>
      </c>
      <c r="C16" s="10">
        <f>IF(B$3=0,0,B16/B$3)</f>
        <v>0.25238095238095237</v>
      </c>
      <c r="E16" s="27" t="s">
        <v>81</v>
      </c>
      <c r="F16" s="24" t="s">
        <v>36</v>
      </c>
      <c r="G16" s="12">
        <v>4</v>
      </c>
      <c r="H16" s="88">
        <f>IF(B$20=0,0,G16/B$20)</f>
        <v>3.0769230769230771E-2</v>
      </c>
      <c r="I16" s="58">
        <v>8</v>
      </c>
      <c r="K16" s="74">
        <v>14</v>
      </c>
      <c r="L16" s="119">
        <v>222</v>
      </c>
      <c r="M16" s="117">
        <v>1861.6993429866839</v>
      </c>
      <c r="O16" s="74" t="s">
        <v>193</v>
      </c>
      <c r="P16" s="83">
        <f>IF(Q16=0,0,R16/Q16)</f>
        <v>28.9</v>
      </c>
      <c r="Q16" s="77">
        <v>2</v>
      </c>
      <c r="R16" s="68">
        <v>57.8</v>
      </c>
    </row>
    <row r="17" spans="1:18" x14ac:dyDescent="0.45">
      <c r="A17" s="19" t="s">
        <v>118</v>
      </c>
      <c r="B17" s="12">
        <v>92</v>
      </c>
      <c r="C17" s="6">
        <f>IF(B$3=0,0,B17/B$3)</f>
        <v>0.21904761904761905</v>
      </c>
      <c r="E17" s="27" t="s">
        <v>91</v>
      </c>
      <c r="F17" s="24" t="s">
        <v>46</v>
      </c>
      <c r="G17" s="12">
        <v>4</v>
      </c>
      <c r="H17" s="88">
        <f>IF(B$20=0,0,G17/B$20)</f>
        <v>3.0769230769230771E-2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>IF(Q17=0,0,R17/Q17)</f>
        <v>17.673333333333336</v>
      </c>
      <c r="Q17" s="77">
        <v>15</v>
      </c>
      <c r="R17" s="68">
        <v>265.10000000000002</v>
      </c>
    </row>
    <row r="18" spans="1:18" x14ac:dyDescent="0.45">
      <c r="A18" s="18" t="s">
        <v>123</v>
      </c>
      <c r="B18" s="11">
        <f>B24</f>
        <v>61</v>
      </c>
      <c r="C18" s="5">
        <f>IF(B$16=0,0,B18/B$16)</f>
        <v>0.57547169811320753</v>
      </c>
      <c r="E18" s="27" t="s">
        <v>78</v>
      </c>
      <c r="F18" s="24" t="s">
        <v>33</v>
      </c>
      <c r="G18" s="12">
        <v>3</v>
      </c>
      <c r="H18" s="88">
        <f>IF(B$20=0,0,G18/B$20)</f>
        <v>2.3076923076923078E-2</v>
      </c>
      <c r="I18" s="58">
        <v>6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>IF(Q18=0,0,R18/Q18)</f>
        <v>12.162499999999998</v>
      </c>
      <c r="Q18" s="77">
        <v>8</v>
      </c>
      <c r="R18" s="68">
        <v>97.299999999999983</v>
      </c>
    </row>
    <row r="19" spans="1:18" x14ac:dyDescent="0.45">
      <c r="A19" s="18" t="s">
        <v>124</v>
      </c>
      <c r="B19" s="11">
        <f>B25</f>
        <v>41</v>
      </c>
      <c r="C19" s="5">
        <f>IF(B$17=0,0,B19/B$17)</f>
        <v>0.44565217391304346</v>
      </c>
      <c r="E19" s="27" t="s">
        <v>73</v>
      </c>
      <c r="F19" s="24" t="s">
        <v>28</v>
      </c>
      <c r="G19" s="12">
        <v>1</v>
      </c>
      <c r="H19" s="88">
        <f>IF(B$20=0,0,G19/B$20)</f>
        <v>7.6923076923076927E-3</v>
      </c>
      <c r="I19" s="58">
        <v>4</v>
      </c>
      <c r="K19" s="74">
        <v>17</v>
      </c>
      <c r="L19" s="119">
        <v>164.3</v>
      </c>
      <c r="M19" s="117">
        <v>1846.8986166069083</v>
      </c>
      <c r="O19" s="74" t="s">
        <v>216</v>
      </c>
      <c r="P19" s="83">
        <f>IF(Q19=0,0,R19/Q19)</f>
        <v>11.879999999999999</v>
      </c>
      <c r="Q19" s="77">
        <v>10</v>
      </c>
      <c r="R19" s="68">
        <v>118.79999999999998</v>
      </c>
    </row>
    <row r="20" spans="1:18" x14ac:dyDescent="0.45">
      <c r="A20" s="18" t="s">
        <v>10</v>
      </c>
      <c r="B20" s="11">
        <f>B23+B22</f>
        <v>130</v>
      </c>
      <c r="C20" s="5">
        <f>IF(B$3=0,0,B20/B$3)</f>
        <v>0.30952380952380953</v>
      </c>
      <c r="E20" s="27" t="s">
        <v>79</v>
      </c>
      <c r="F20" s="24" t="s">
        <v>34</v>
      </c>
      <c r="G20" s="12">
        <v>1</v>
      </c>
      <c r="H20" s="88">
        <f>IF(B$20=0,0,G20/B$20)</f>
        <v>7.6923076923076927E-3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211</v>
      </c>
      <c r="P20" s="83">
        <f>IF(Q20=0,0,R20/Q20)</f>
        <v>4.7666666666666666</v>
      </c>
      <c r="Q20" s="77">
        <v>15</v>
      </c>
      <c r="R20" s="68">
        <v>71.5</v>
      </c>
    </row>
    <row r="21" spans="1:18" x14ac:dyDescent="0.45">
      <c r="A21" s="19" t="s">
        <v>13</v>
      </c>
      <c r="B21" s="12">
        <v>74</v>
      </c>
      <c r="C21" s="6">
        <f>IF(B$3=0,0,B21/B$3)</f>
        <v>0.1761904761904762</v>
      </c>
      <c r="E21" s="27" t="s">
        <v>85</v>
      </c>
      <c r="F21" s="24" t="s">
        <v>40</v>
      </c>
      <c r="G21" s="12">
        <v>1</v>
      </c>
      <c r="H21" s="88">
        <f>IF(B$20=0,0,G21/B$20)</f>
        <v>7.6923076923076927E-3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189</v>
      </c>
      <c r="P21" s="83">
        <f>IF(Q21=0,0,R21/Q21)</f>
        <v>-7.125</v>
      </c>
      <c r="Q21" s="77">
        <v>20</v>
      </c>
      <c r="R21" s="68">
        <v>-142.5</v>
      </c>
    </row>
    <row r="22" spans="1:18" x14ac:dyDescent="0.45">
      <c r="A22" s="19" t="s">
        <v>12</v>
      </c>
      <c r="B22" s="12">
        <v>57</v>
      </c>
      <c r="C22" s="6">
        <f>IF(B$20=0,0,B22/B$20)</f>
        <v>0.43846153846153846</v>
      </c>
      <c r="E22" s="27" t="s">
        <v>92</v>
      </c>
      <c r="F22" s="24" t="s">
        <v>47</v>
      </c>
      <c r="G22" s="12">
        <v>1</v>
      </c>
      <c r="H22" s="88">
        <f>IF(B$20=0,0,G22/B$20)</f>
        <v>7.6923076923076927E-3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192</v>
      </c>
      <c r="P22" s="83">
        <f>IF(Q22=0,0,R22/Q22)</f>
        <v>-13.838461538461541</v>
      </c>
      <c r="Q22" s="77">
        <v>26</v>
      </c>
      <c r="R22" s="68">
        <v>-359.80000000000007</v>
      </c>
    </row>
    <row r="23" spans="1:18" x14ac:dyDescent="0.45">
      <c r="A23" s="19" t="s">
        <v>11</v>
      </c>
      <c r="B23" s="12">
        <v>73</v>
      </c>
      <c r="C23" s="6">
        <f>IF(B$20=0,0,B23/B$20)</f>
        <v>0.56153846153846154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131</v>
      </c>
      <c r="M23" s="117">
        <v>1835.0300854789134</v>
      </c>
    </row>
    <row r="24" spans="1:18" x14ac:dyDescent="0.45">
      <c r="A24" s="19" t="s">
        <v>183</v>
      </c>
      <c r="B24" s="12">
        <v>61</v>
      </c>
      <c r="C24" s="6">
        <f>IF(B$20=0,0,B24/B$20)</f>
        <v>0.46923076923076923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106.3</v>
      </c>
      <c r="M24" s="117">
        <v>1829.4799049660398</v>
      </c>
    </row>
    <row r="25" spans="1:18" x14ac:dyDescent="0.45">
      <c r="A25" s="19" t="s">
        <v>181</v>
      </c>
      <c r="B25" s="12">
        <v>41</v>
      </c>
      <c r="C25" s="6">
        <f>IF(B$20=0,0,B25/B$20)</f>
        <v>0.31538461538461537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5">
      <c r="A26" s="19" t="s">
        <v>182</v>
      </c>
      <c r="B26" s="12">
        <v>28</v>
      </c>
      <c r="C26" s="6">
        <f>IF(B$20=0,0,B26/B$20)</f>
        <v>0.2153846153846154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111.19999999999999</v>
      </c>
      <c r="M26" s="117">
        <v>1828.2124233830261</v>
      </c>
    </row>
    <row r="27" spans="1:18" x14ac:dyDescent="0.45">
      <c r="A27" s="19" t="s">
        <v>5</v>
      </c>
      <c r="B27" s="16">
        <f>IF(B$20=0,0,C27/B$20)</f>
        <v>8519.2307692307695</v>
      </c>
      <c r="C27" s="8">
        <v>1107500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5">
      <c r="A28" s="20" t="s">
        <v>165</v>
      </c>
      <c r="B28" s="95">
        <f>IF($B$20-B$19=0,0,C28/($B$20-B$19))</f>
        <v>9037.0786516853932</v>
      </c>
      <c r="C28" s="96">
        <v>804300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5">
      <c r="A29" s="20" t="s">
        <v>166</v>
      </c>
      <c r="B29" s="95">
        <f>IF(B$19=0,0,C29/B$19)</f>
        <v>7395.1219512195121</v>
      </c>
      <c r="C29" s="96">
        <v>303200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5">
      <c r="A30" s="20" t="s">
        <v>164</v>
      </c>
      <c r="B30" s="95">
        <f>IF(B$21=0,0,C30/B$21)</f>
        <v>-6439.1891891891892</v>
      </c>
      <c r="C30" s="96">
        <v>-476500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179.3</v>
      </c>
      <c r="M31" s="117">
        <v>1833.780364820499</v>
      </c>
    </row>
    <row r="32" spans="1:18" x14ac:dyDescent="0.45">
      <c r="A32" s="19" t="s">
        <v>158</v>
      </c>
      <c r="B32" s="12">
        <v>17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213.3</v>
      </c>
      <c r="M33" s="117">
        <v>1837.8107325357864</v>
      </c>
    </row>
    <row r="34" spans="1:13" x14ac:dyDescent="0.45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5">
      <c r="A35" s="21" t="s">
        <v>137</v>
      </c>
      <c r="B35" s="29">
        <v>1</v>
      </c>
      <c r="C35" s="9">
        <f>IF(B$3=0,0,B35/B$3)</f>
        <v>2.3809523809523812E-3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5">
      <c r="A37" s="54" t="s">
        <v>171</v>
      </c>
      <c r="B37" s="123">
        <v>6</v>
      </c>
      <c r="C37" s="98">
        <f t="shared" ref="C37:C49" si="2">IF(B$20=0,0,B37/B$20)</f>
        <v>4.6153846153846156E-2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5">
      <c r="A38" s="19" t="s">
        <v>167</v>
      </c>
      <c r="B38" s="12">
        <v>23</v>
      </c>
      <c r="C38" s="6">
        <f t="shared" si="2"/>
        <v>0.17692307692307693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5">
      <c r="A39" s="19" t="s">
        <v>168</v>
      </c>
      <c r="B39" s="124">
        <v>32</v>
      </c>
      <c r="C39" s="6">
        <f t="shared" si="2"/>
        <v>0.24615384615384617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5">
      <c r="A40" s="19" t="s">
        <v>169</v>
      </c>
      <c r="B40" s="124">
        <v>18</v>
      </c>
      <c r="C40" s="6">
        <f t="shared" si="2"/>
        <v>0.13846153846153847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5">
      <c r="A41" s="19" t="s">
        <v>170</v>
      </c>
      <c r="B41" s="124">
        <v>20</v>
      </c>
      <c r="C41" s="6">
        <f t="shared" si="2"/>
        <v>0.15384615384615385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5">
      <c r="A42" s="19" t="s">
        <v>172</v>
      </c>
      <c r="B42" s="124">
        <v>16</v>
      </c>
      <c r="C42" s="6">
        <f t="shared" si="2"/>
        <v>0.12307692307692308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5">
      <c r="A43" s="19" t="s">
        <v>173</v>
      </c>
      <c r="B43" s="124">
        <v>7</v>
      </c>
      <c r="C43" s="6">
        <f t="shared" si="2"/>
        <v>5.3846153846153849E-2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5">
      <c r="A44" s="19" t="s">
        <v>174</v>
      </c>
      <c r="B44" s="124">
        <v>1</v>
      </c>
      <c r="C44" s="6">
        <f t="shared" si="2"/>
        <v>7.6923076923076927E-3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5">
      <c r="A45" s="19" t="s">
        <v>175</v>
      </c>
      <c r="B45" s="124">
        <v>4</v>
      </c>
      <c r="C45" s="6">
        <f t="shared" si="2"/>
        <v>3.0769230769230771E-2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5">
      <c r="A46" s="19" t="s">
        <v>176</v>
      </c>
      <c r="B46" s="124">
        <v>1</v>
      </c>
      <c r="C46" s="6">
        <f t="shared" si="2"/>
        <v>7.6923076923076927E-3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117.99999999999997</v>
      </c>
      <c r="M46" s="117">
        <v>1805.5187097904541</v>
      </c>
    </row>
    <row r="47" spans="1:13" x14ac:dyDescent="0.45">
      <c r="A47" s="19" t="s">
        <v>177</v>
      </c>
      <c r="B47" s="124">
        <v>1</v>
      </c>
      <c r="C47" s="6">
        <f t="shared" si="2"/>
        <v>7.6923076923076927E-3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5">
      <c r="A49" s="21" t="s">
        <v>179</v>
      </c>
      <c r="B49" s="97">
        <v>1</v>
      </c>
      <c r="C49" s="9">
        <f t="shared" si="2"/>
        <v>7.6923076923076927E-3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57C2-DBCF-4F24-8F8C-26919C3789F2}">
  <sheetPr codeName="Sheet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19</v>
      </c>
      <c r="C2" s="134"/>
      <c r="E2" s="26" t="s">
        <v>66</v>
      </c>
      <c r="F2" s="23" t="s">
        <v>22</v>
      </c>
      <c r="G2" s="11">
        <v>42</v>
      </c>
      <c r="H2" s="87">
        <f>IF(B$20=0,0,G2/B$20)</f>
        <v>0.93333333333333335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2342.1052631578946</v>
      </c>
      <c r="Q2" s="76">
        <v>19</v>
      </c>
      <c r="R2" s="63">
        <v>44500</v>
      </c>
    </row>
    <row r="3" spans="1:18" x14ac:dyDescent="0.45">
      <c r="A3" s="19" t="s">
        <v>8</v>
      </c>
      <c r="B3" s="135">
        <v>167</v>
      </c>
      <c r="C3" s="136"/>
      <c r="E3" s="27" t="s">
        <v>72</v>
      </c>
      <c r="F3" s="24" t="s">
        <v>27</v>
      </c>
      <c r="G3" s="12">
        <v>23</v>
      </c>
      <c r="H3" s="88">
        <f>IF(B$20=0,0,G3/B$20)</f>
        <v>0.51111111111111107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-1666.6666666666667</v>
      </c>
      <c r="Q3" s="77">
        <v>18</v>
      </c>
      <c r="R3" s="64">
        <v>-30000</v>
      </c>
    </row>
    <row r="4" spans="1:18" x14ac:dyDescent="0.45">
      <c r="A4" s="19" t="s">
        <v>6</v>
      </c>
      <c r="B4" s="137">
        <v>-143.4</v>
      </c>
      <c r="C4" s="138"/>
      <c r="E4" s="27" t="s">
        <v>159</v>
      </c>
      <c r="F4" s="24" t="s">
        <v>160</v>
      </c>
      <c r="G4" s="12">
        <v>20</v>
      </c>
      <c r="H4" s="88">
        <f>IF(B$20=0,0,G4/B$20)</f>
        <v>0.44444444444444442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-1755.5555555555557</v>
      </c>
      <c r="Q4" s="77">
        <v>18</v>
      </c>
      <c r="R4" s="64">
        <v>-31600</v>
      </c>
    </row>
    <row r="5" spans="1:18" x14ac:dyDescent="0.45">
      <c r="A5" s="19" t="s">
        <v>7</v>
      </c>
      <c r="B5" s="125">
        <f>IF(B$2=0,0,B$4/B$2)</f>
        <v>-7.5473684210526315</v>
      </c>
      <c r="C5" s="126"/>
      <c r="E5" s="27" t="s">
        <v>64</v>
      </c>
      <c r="F5" s="24" t="s">
        <v>20</v>
      </c>
      <c r="G5" s="12">
        <v>17</v>
      </c>
      <c r="H5" s="88">
        <f>IF(B$20=0,0,G5/B$20)</f>
        <v>0.37777777777777777</v>
      </c>
      <c r="I5" s="58">
        <v>7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1017.6470588235294</v>
      </c>
      <c r="Q5" s="77">
        <v>17</v>
      </c>
      <c r="R5" s="64">
        <v>17300</v>
      </c>
    </row>
    <row r="6" spans="1:18" x14ac:dyDescent="0.45">
      <c r="A6" s="19" t="s">
        <v>196</v>
      </c>
      <c r="B6" s="129">
        <v>1626.518677261879</v>
      </c>
      <c r="C6" s="130"/>
      <c r="E6" s="27" t="s">
        <v>68</v>
      </c>
      <c r="F6" s="24" t="s">
        <v>12</v>
      </c>
      <c r="G6" s="12">
        <v>16</v>
      </c>
      <c r="H6" s="88">
        <f>IF(B$20=0,0,G6/B$20)</f>
        <v>0.35555555555555557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-2700</v>
      </c>
      <c r="Q6" s="77">
        <v>14</v>
      </c>
      <c r="R6" s="64">
        <v>-37800</v>
      </c>
    </row>
    <row r="7" spans="1:18" x14ac:dyDescent="0.45">
      <c r="A7" s="19" t="s">
        <v>1</v>
      </c>
      <c r="B7" s="139">
        <f>IF(B$2=0,0,(B$8*1+B$9*2+B$10*3)/B$2)</f>
        <v>2.1578947368421053</v>
      </c>
      <c r="C7" s="140"/>
      <c r="E7" s="27" t="s">
        <v>67</v>
      </c>
      <c r="F7" s="24" t="s">
        <v>23</v>
      </c>
      <c r="G7" s="12">
        <v>8</v>
      </c>
      <c r="H7" s="88">
        <f>IF(B$20=0,0,G7/B$20)</f>
        <v>0.17777777777777778</v>
      </c>
      <c r="I7" s="58">
        <v>8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-118.18181818181819</v>
      </c>
      <c r="Q7" s="78">
        <v>11</v>
      </c>
      <c r="R7" s="65">
        <v>-1300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0.31578947368421051</v>
      </c>
      <c r="E8" s="27" t="s">
        <v>89</v>
      </c>
      <c r="F8" s="24" t="s">
        <v>44</v>
      </c>
      <c r="G8" s="12">
        <v>8</v>
      </c>
      <c r="H8" s="88">
        <f>IF(B$20=0,0,G8/B$20)</f>
        <v>0.17777777777777778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5">
      <c r="A9" s="19" t="s">
        <v>3</v>
      </c>
      <c r="B9" s="12">
        <v>4</v>
      </c>
      <c r="C9" s="6">
        <f t="shared" si="1"/>
        <v>0.21052631578947367</v>
      </c>
      <c r="E9" s="27" t="s">
        <v>69</v>
      </c>
      <c r="F9" s="24" t="s">
        <v>24</v>
      </c>
      <c r="G9" s="12">
        <v>5</v>
      </c>
      <c r="H9" s="88">
        <f>IF(B$20=0,0,G9/B$20)</f>
        <v>0.1111111111111111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0.47368421052631576</v>
      </c>
      <c r="E10" s="27" t="s">
        <v>78</v>
      </c>
      <c r="F10" s="24" t="s">
        <v>33</v>
      </c>
      <c r="G10" s="12">
        <v>3</v>
      </c>
      <c r="H10" s="88">
        <f>IF(B$20=0,0,G10/B$20)</f>
        <v>6.6666666666666666E-2</v>
      </c>
      <c r="I10" s="58">
        <v>2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-7.45</v>
      </c>
      <c r="Q10" s="76">
        <v>8</v>
      </c>
      <c r="R10" s="67">
        <v>-59.6</v>
      </c>
    </row>
    <row r="11" spans="1:18" x14ac:dyDescent="0.45">
      <c r="A11" s="20" t="s">
        <v>184</v>
      </c>
      <c r="B11" s="109">
        <f>IF(B8=0,0,C11/B8)</f>
        <v>37.533333333333331</v>
      </c>
      <c r="C11" s="110">
        <v>225.2</v>
      </c>
      <c r="E11" s="27" t="s">
        <v>81</v>
      </c>
      <c r="F11" s="24" t="s">
        <v>36</v>
      </c>
      <c r="G11" s="12">
        <v>3</v>
      </c>
      <c r="H11" s="88">
        <f>IF(B$20=0,0,G11/B$20)</f>
        <v>6.6666666666666666E-2</v>
      </c>
      <c r="I11" s="58">
        <v>2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-13.71666666666667</v>
      </c>
      <c r="Q11" s="77">
        <v>6</v>
      </c>
      <c r="R11" s="68">
        <v>-82.300000000000026</v>
      </c>
    </row>
    <row r="12" spans="1:18" x14ac:dyDescent="0.45">
      <c r="A12" s="20" t="s">
        <v>185</v>
      </c>
      <c r="B12" s="109">
        <f>IF(B9=0,0,C12/B9)</f>
        <v>4.7</v>
      </c>
      <c r="C12" s="110">
        <v>18.8</v>
      </c>
      <c r="E12" s="27" t="s">
        <v>65</v>
      </c>
      <c r="F12" s="24" t="s">
        <v>21</v>
      </c>
      <c r="G12" s="12">
        <v>2</v>
      </c>
      <c r="H12" s="88">
        <f>IF(B$20=0,0,G12/B$20)</f>
        <v>4.4444444444444446E-2</v>
      </c>
      <c r="I12" s="58">
        <v>9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-0.3</v>
      </c>
      <c r="Q12" s="78">
        <v>5</v>
      </c>
      <c r="R12" s="69">
        <v>-1.5</v>
      </c>
    </row>
    <row r="13" spans="1:18" x14ac:dyDescent="0.45">
      <c r="A13" s="20" t="s">
        <v>186</v>
      </c>
      <c r="B13" s="109">
        <f>IF(B10=0,0,C13/B10)</f>
        <v>-43.044444444444444</v>
      </c>
      <c r="C13" s="110">
        <v>-387.4</v>
      </c>
      <c r="E13" s="27" t="s">
        <v>83</v>
      </c>
      <c r="F13" s="24" t="s">
        <v>38</v>
      </c>
      <c r="G13" s="12">
        <v>2</v>
      </c>
      <c r="H13" s="88">
        <f>IF(B$20=0,0,G13/B$20)</f>
        <v>4.4444444444444446E-2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-0.27037037037036998</v>
      </c>
      <c r="C14" s="126"/>
      <c r="E14" s="27" t="s">
        <v>86</v>
      </c>
      <c r="F14" s="24" t="s">
        <v>41</v>
      </c>
      <c r="G14" s="12">
        <v>2</v>
      </c>
      <c r="H14" s="88">
        <f>IF(B$20=0,0,G14/B$20)</f>
        <v>4.4444444444444446E-2</v>
      </c>
      <c r="I14" s="58">
        <v>6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0.21052631578947367</v>
      </c>
      <c r="E15" s="27" t="s">
        <v>155</v>
      </c>
      <c r="F15" s="24" t="s">
        <v>156</v>
      </c>
      <c r="G15" s="12">
        <v>2</v>
      </c>
      <c r="H15" s="88">
        <f>IF(B$20=0,0,G15/B$20)</f>
        <v>4.4444444444444446E-2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39.880000000000003</v>
      </c>
      <c r="Q15" s="76">
        <v>5</v>
      </c>
      <c r="R15" s="67">
        <v>199.4</v>
      </c>
    </row>
    <row r="16" spans="1:18" x14ac:dyDescent="0.45">
      <c r="A16" s="22" t="s">
        <v>121</v>
      </c>
      <c r="B16" s="15">
        <v>39</v>
      </c>
      <c r="C16" s="10">
        <f>IF(B$3=0,0,B16/B$3)</f>
        <v>0.23353293413173654</v>
      </c>
      <c r="E16" s="27" t="s">
        <v>70</v>
      </c>
      <c r="F16" s="24" t="s">
        <v>25</v>
      </c>
      <c r="G16" s="12">
        <v>1</v>
      </c>
      <c r="H16" s="88">
        <f>IF(B$20=0,0,G16/B$20)</f>
        <v>2.2222222222222223E-2</v>
      </c>
      <c r="I16" s="58">
        <v>8</v>
      </c>
      <c r="K16" s="74">
        <v>14</v>
      </c>
      <c r="L16" s="119">
        <v>-125.80000000000004</v>
      </c>
      <c r="M16" s="117">
        <v>1630.1668189337324</v>
      </c>
      <c r="O16" s="74" t="s">
        <v>211</v>
      </c>
      <c r="P16" s="83">
        <f>IF(Q16=0,0,R16/Q16)</f>
        <v>-9.35</v>
      </c>
      <c r="Q16" s="77">
        <v>6</v>
      </c>
      <c r="R16" s="68">
        <v>-56.1</v>
      </c>
    </row>
    <row r="17" spans="1:18" x14ac:dyDescent="0.45">
      <c r="A17" s="19" t="s">
        <v>118</v>
      </c>
      <c r="B17" s="12">
        <v>37</v>
      </c>
      <c r="C17" s="6">
        <f>IF(B$3=0,0,B17/B$3)</f>
        <v>0.22155688622754491</v>
      </c>
      <c r="E17" s="27" t="s">
        <v>71</v>
      </c>
      <c r="F17" s="24" t="s">
        <v>26</v>
      </c>
      <c r="G17" s="12">
        <v>1</v>
      </c>
      <c r="H17" s="88">
        <f>IF(B$20=0,0,G17/B$20)</f>
        <v>2.2222222222222223E-2</v>
      </c>
      <c r="I17" s="58">
        <v>7</v>
      </c>
      <c r="K17" s="74">
        <v>15</v>
      </c>
      <c r="L17" s="119">
        <v>-165.10000000000002</v>
      </c>
      <c r="M17" s="117">
        <v>1623.3138180201299</v>
      </c>
      <c r="O17" s="74" t="s">
        <v>192</v>
      </c>
      <c r="P17" s="83">
        <f>IF(Q17=0,0,R17/Q17)</f>
        <v>-14.78571428571429</v>
      </c>
      <c r="Q17" s="77">
        <v>7</v>
      </c>
      <c r="R17" s="68">
        <v>-103.50000000000003</v>
      </c>
    </row>
    <row r="18" spans="1:18" x14ac:dyDescent="0.45">
      <c r="A18" s="18" t="s">
        <v>123</v>
      </c>
      <c r="B18" s="11">
        <f>B24</f>
        <v>19</v>
      </c>
      <c r="C18" s="5">
        <f>IF(B$16=0,0,B18/B$16)</f>
        <v>0.48717948717948717</v>
      </c>
      <c r="E18" s="27" t="s">
        <v>79</v>
      </c>
      <c r="F18" s="24" t="s">
        <v>34</v>
      </c>
      <c r="G18" s="12">
        <v>1</v>
      </c>
      <c r="H18" s="88">
        <f>IF(B$20=0,0,G18/B$20)</f>
        <v>2.2222222222222223E-2</v>
      </c>
      <c r="I18" s="58">
        <v>4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-17.673333333333339</v>
      </c>
      <c r="Q18" s="77">
        <v>15</v>
      </c>
      <c r="R18" s="68">
        <v>-265.10000000000008</v>
      </c>
    </row>
    <row r="19" spans="1:18" x14ac:dyDescent="0.45">
      <c r="A19" s="18" t="s">
        <v>124</v>
      </c>
      <c r="B19" s="11">
        <f>B25</f>
        <v>13</v>
      </c>
      <c r="C19" s="5">
        <f>IF(B$17=0,0,B19/B$17)</f>
        <v>0.35135135135135137</v>
      </c>
      <c r="E19" s="27" t="s">
        <v>85</v>
      </c>
      <c r="F19" s="24" t="s">
        <v>40</v>
      </c>
      <c r="G19" s="12">
        <v>1</v>
      </c>
      <c r="H19" s="88">
        <f>IF(B$20=0,0,G19/B$20)</f>
        <v>2.2222222222222223E-2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-40.980000000000004</v>
      </c>
      <c r="Q19" s="77">
        <v>5</v>
      </c>
      <c r="R19" s="68">
        <v>-204.9</v>
      </c>
    </row>
    <row r="20" spans="1:18" x14ac:dyDescent="0.45">
      <c r="A20" s="18" t="s">
        <v>10</v>
      </c>
      <c r="B20" s="11">
        <f>B23+B22</f>
        <v>45</v>
      </c>
      <c r="C20" s="5">
        <f>IF(B$3=0,0,B20/B$3)</f>
        <v>0.26946107784431139</v>
      </c>
      <c r="E20" s="27" t="s">
        <v>88</v>
      </c>
      <c r="F20" s="24" t="s">
        <v>43</v>
      </c>
      <c r="G20" s="12">
        <v>1</v>
      </c>
      <c r="H20" s="88">
        <f>IF(B$20=0,0,G20/B$20)</f>
        <v>2.2222222222222223E-2</v>
      </c>
      <c r="I20" s="58">
        <v>1</v>
      </c>
      <c r="K20" s="74">
        <v>18</v>
      </c>
      <c r="L20" s="119">
        <v>-91.000000000000014</v>
      </c>
      <c r="M20" s="117">
        <v>1635.974524408329</v>
      </c>
    </row>
    <row r="21" spans="1:18" x14ac:dyDescent="0.45">
      <c r="A21" s="19" t="s">
        <v>13</v>
      </c>
      <c r="B21" s="12">
        <v>32</v>
      </c>
      <c r="C21" s="6">
        <f>IF(B$3=0,0,B21/B$3)</f>
        <v>0.19161676646706588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5</v>
      </c>
      <c r="K21" s="74">
        <v>19</v>
      </c>
      <c r="L21" s="119">
        <v>-143.4</v>
      </c>
      <c r="M21" s="117">
        <v>1626.518677261879</v>
      </c>
    </row>
    <row r="22" spans="1:18" x14ac:dyDescent="0.45">
      <c r="A22" s="19" t="s">
        <v>12</v>
      </c>
      <c r="B22" s="12">
        <v>21</v>
      </c>
      <c r="C22" s="6">
        <f>IF(B$20=0,0,B22/B$20)</f>
        <v>0.46666666666666667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24</v>
      </c>
      <c r="C23" s="6">
        <f>IF(B$20=0,0,B23/B$20)</f>
        <v>0.53333333333333333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</row>
    <row r="24" spans="1:18" x14ac:dyDescent="0.45">
      <c r="A24" s="19" t="s">
        <v>183</v>
      </c>
      <c r="B24" s="12">
        <v>19</v>
      </c>
      <c r="C24" s="6">
        <f>IF(B$20=0,0,B24/B$20)</f>
        <v>0.42222222222222222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13</v>
      </c>
      <c r="C25" s="6">
        <f>IF(B$20=0,0,B25/B$20)</f>
        <v>0.28888888888888886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</row>
    <row r="26" spans="1:18" x14ac:dyDescent="0.45">
      <c r="A26" s="19" t="s">
        <v>182</v>
      </c>
      <c r="B26" s="12">
        <v>13</v>
      </c>
      <c r="C26" s="6">
        <f>IF(B$20=0,0,B26/B$20)</f>
        <v>0.28888888888888886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8782.2222222222226</v>
      </c>
      <c r="C27" s="8">
        <v>395200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8840.625</v>
      </c>
      <c r="C28" s="96">
        <v>282900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8638.461538461539</v>
      </c>
      <c r="C29" s="96">
        <v>112300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-8484.375</v>
      </c>
      <c r="C30" s="96">
        <v>-271500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5">
      <c r="A32" s="19" t="s">
        <v>158</v>
      </c>
      <c r="B32" s="12">
        <v>19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5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5.9880239520958087E-3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2">IF(B$20=0,0,B37/B$20)</f>
        <v>8.8888888888888892E-2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5</v>
      </c>
      <c r="C38" s="6">
        <f t="shared" si="2"/>
        <v>0.1111111111111111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2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7</v>
      </c>
      <c r="C40" s="6">
        <f t="shared" si="2"/>
        <v>0.15555555555555556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11</v>
      </c>
      <c r="C41" s="6">
        <f t="shared" si="2"/>
        <v>0.24444444444444444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172</v>
      </c>
      <c r="B42" s="124">
        <v>6</v>
      </c>
      <c r="C42" s="6">
        <f t="shared" si="2"/>
        <v>0.13333333333333333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</row>
    <row r="43" spans="1:9" x14ac:dyDescent="0.45">
      <c r="A43" s="19" t="s">
        <v>173</v>
      </c>
      <c r="B43" s="124">
        <v>2</v>
      </c>
      <c r="C43" s="6">
        <f t="shared" si="2"/>
        <v>4.4444444444444446E-2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2.2222222222222223E-2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F3857-7CF9-4DAA-9CBD-A76C7B1FBCB0}">
  <sheetPr codeName="Sheet11"/>
  <dimension ref="A1:R52"/>
  <sheetViews>
    <sheetView showGridLines="0" topLeftCell="A24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23</v>
      </c>
      <c r="C2" s="134"/>
      <c r="E2" s="26" t="s">
        <v>72</v>
      </c>
      <c r="F2" s="23" t="s">
        <v>27</v>
      </c>
      <c r="G2" s="11">
        <v>45</v>
      </c>
      <c r="H2" s="87">
        <f>IF(B$20=0,0,G2/B$20)</f>
        <v>0.7142857142857143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-1034.7826086956522</v>
      </c>
      <c r="Q2" s="76">
        <v>23</v>
      </c>
      <c r="R2" s="63">
        <v>-23800</v>
      </c>
    </row>
    <row r="3" spans="1:18" x14ac:dyDescent="0.45">
      <c r="A3" s="19" t="s">
        <v>8</v>
      </c>
      <c r="B3" s="135">
        <v>214</v>
      </c>
      <c r="C3" s="136"/>
      <c r="E3" s="27" t="s">
        <v>66</v>
      </c>
      <c r="F3" s="24" t="s">
        <v>22</v>
      </c>
      <c r="G3" s="12">
        <v>41</v>
      </c>
      <c r="H3" s="88">
        <f>IF(B$20=0,0,G3/B$20)</f>
        <v>0.65079365079365081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843.47826086956525</v>
      </c>
      <c r="Q3" s="77">
        <v>23</v>
      </c>
      <c r="R3" s="64">
        <v>19400</v>
      </c>
    </row>
    <row r="4" spans="1:18" x14ac:dyDescent="0.45">
      <c r="A4" s="19" t="s">
        <v>6</v>
      </c>
      <c r="B4" s="137">
        <v>46.199999999999989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0.36507936507936506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1278.2608695652175</v>
      </c>
      <c r="Q4" s="77">
        <v>23</v>
      </c>
      <c r="R4" s="64">
        <v>29400</v>
      </c>
    </row>
    <row r="5" spans="1:18" x14ac:dyDescent="0.45">
      <c r="A5" s="19" t="s">
        <v>7</v>
      </c>
      <c r="B5" s="125">
        <f>IF(B$2=0,0,B$4/B$2)</f>
        <v>2.0086956521739125</v>
      </c>
      <c r="C5" s="126"/>
      <c r="E5" s="27" t="s">
        <v>68</v>
      </c>
      <c r="F5" s="24" t="s">
        <v>12</v>
      </c>
      <c r="G5" s="12">
        <v>20</v>
      </c>
      <c r="H5" s="88">
        <f>IF(B$20=0,0,G5/B$20)</f>
        <v>0.31746031746031744</v>
      </c>
      <c r="I5" s="58">
        <v>4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195.65217391304347</v>
      </c>
      <c r="Q5" s="77">
        <v>23</v>
      </c>
      <c r="R5" s="64">
        <v>4500</v>
      </c>
    </row>
    <row r="6" spans="1:18" x14ac:dyDescent="0.45">
      <c r="A6" s="19" t="s">
        <v>196</v>
      </c>
      <c r="B6" s="129">
        <v>1461.2000979962611</v>
      </c>
      <c r="C6" s="130"/>
      <c r="E6" s="27" t="s">
        <v>159</v>
      </c>
      <c r="F6" s="24" t="s">
        <v>160</v>
      </c>
      <c r="G6" s="12">
        <v>18</v>
      </c>
      <c r="H6" s="88">
        <f>IF(B$20=0,0,G6/B$20)</f>
        <v>0.2857142857142857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-1508.695652173913</v>
      </c>
      <c r="Q6" s="77">
        <v>23</v>
      </c>
      <c r="R6" s="64">
        <v>-34700</v>
      </c>
    </row>
    <row r="7" spans="1:18" x14ac:dyDescent="0.45">
      <c r="A7" s="19" t="s">
        <v>1</v>
      </c>
      <c r="B7" s="139">
        <f>IF(B$2=0,0,(B$8*1+B$9*2+B$10*3)/B$2)</f>
        <v>1.8695652173913044</v>
      </c>
      <c r="C7" s="140"/>
      <c r="E7" s="27" t="s">
        <v>67</v>
      </c>
      <c r="F7" s="24" t="s">
        <v>23</v>
      </c>
      <c r="G7" s="12">
        <v>14</v>
      </c>
      <c r="H7" s="88">
        <f>IF(B$20=0,0,G7/B$20)</f>
        <v>0.22222222222222221</v>
      </c>
      <c r="I7" s="58">
        <v>5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1587.5</v>
      </c>
      <c r="Q7" s="78">
        <v>16</v>
      </c>
      <c r="R7" s="65">
        <v>25400</v>
      </c>
    </row>
    <row r="8" spans="1:18" x14ac:dyDescent="0.45">
      <c r="A8" s="19" t="s">
        <v>2</v>
      </c>
      <c r="B8" s="12">
        <v>9</v>
      </c>
      <c r="C8" s="6">
        <f t="shared" ref="C8:C15" si="1">IF(B$2=0,0,B8/B$2)</f>
        <v>0.39130434782608697</v>
      </c>
      <c r="E8" s="27" t="s">
        <v>89</v>
      </c>
      <c r="F8" s="24" t="s">
        <v>44</v>
      </c>
      <c r="G8" s="12">
        <v>9</v>
      </c>
      <c r="H8" s="88">
        <f>IF(B$20=0,0,G8/B$20)</f>
        <v>0.14285714285714285</v>
      </c>
      <c r="I8" s="58">
        <v>8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5">
      <c r="A9" s="19" t="s">
        <v>3</v>
      </c>
      <c r="B9" s="12">
        <v>8</v>
      </c>
      <c r="C9" s="6">
        <f t="shared" si="1"/>
        <v>0.34782608695652173</v>
      </c>
      <c r="E9" s="27" t="s">
        <v>70</v>
      </c>
      <c r="F9" s="24" t="s">
        <v>25</v>
      </c>
      <c r="G9" s="12">
        <v>7</v>
      </c>
      <c r="H9" s="88">
        <f>IF(B$20=0,0,G9/B$20)</f>
        <v>0.1111111111111111</v>
      </c>
      <c r="I9" s="58">
        <v>4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</v>
      </c>
      <c r="C10" s="7">
        <f t="shared" si="1"/>
        <v>0.2608695652173913</v>
      </c>
      <c r="E10" s="27" t="s">
        <v>65</v>
      </c>
      <c r="F10" s="24" t="s">
        <v>21</v>
      </c>
      <c r="G10" s="12">
        <v>5</v>
      </c>
      <c r="H10" s="88">
        <f>IF(B$20=0,0,G10/B$20)</f>
        <v>7.9365079365079361E-2</v>
      </c>
      <c r="I10" s="58">
        <v>6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2.3833333333333333</v>
      </c>
      <c r="Q10" s="76">
        <v>6</v>
      </c>
      <c r="R10" s="67">
        <v>14.3</v>
      </c>
    </row>
    <row r="11" spans="1:18" x14ac:dyDescent="0.45">
      <c r="A11" s="20" t="s">
        <v>184</v>
      </c>
      <c r="B11" s="109">
        <f>IF(B8=0,0,C11/B8)</f>
        <v>22.566666666666666</v>
      </c>
      <c r="C11" s="110">
        <v>203.1</v>
      </c>
      <c r="E11" s="27" t="s">
        <v>69</v>
      </c>
      <c r="F11" s="24" t="s">
        <v>24</v>
      </c>
      <c r="G11" s="12">
        <v>5</v>
      </c>
      <c r="H11" s="88">
        <f>IF(B$20=0,0,G11/B$20)</f>
        <v>7.9365079365079361E-2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4.6428571428571432</v>
      </c>
      <c r="Q11" s="77">
        <v>7</v>
      </c>
      <c r="R11" s="68">
        <v>32.5</v>
      </c>
    </row>
    <row r="12" spans="1:18" x14ac:dyDescent="0.45">
      <c r="A12" s="20" t="s">
        <v>185</v>
      </c>
      <c r="B12" s="109">
        <f>IF(B9=0,0,C12/B9)</f>
        <v>6.4249999999999998</v>
      </c>
      <c r="C12" s="110">
        <v>51.4</v>
      </c>
      <c r="E12" s="27" t="s">
        <v>71</v>
      </c>
      <c r="F12" s="24" t="s">
        <v>26</v>
      </c>
      <c r="G12" s="12">
        <v>4</v>
      </c>
      <c r="H12" s="88">
        <f>IF(B$20=0,0,G12/B$20)</f>
        <v>6.3492063492063489E-2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-6.000000000000192E-2</v>
      </c>
      <c r="Q12" s="78">
        <v>10</v>
      </c>
      <c r="R12" s="69">
        <v>-0.60000000000001918</v>
      </c>
    </row>
    <row r="13" spans="1:18" x14ac:dyDescent="0.45">
      <c r="A13" s="20" t="s">
        <v>186</v>
      </c>
      <c r="B13" s="109">
        <f>IF(B10=0,0,C13/B10)</f>
        <v>-34.716666666666661</v>
      </c>
      <c r="C13" s="110">
        <v>-208.29999999999998</v>
      </c>
      <c r="E13" s="27" t="s">
        <v>79</v>
      </c>
      <c r="F13" s="24" t="s">
        <v>34</v>
      </c>
      <c r="G13" s="12">
        <v>2</v>
      </c>
      <c r="H13" s="88">
        <f>IF(B$20=0,0,G13/B$20)</f>
        <v>3.1746031746031744E-2</v>
      </c>
      <c r="I13" s="58">
        <v>2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-1.9083333333333314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3.1746031746031744E-2</v>
      </c>
      <c r="I14" s="58">
        <v>7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4.3478260869565216E-2</v>
      </c>
      <c r="E15" s="27" t="s">
        <v>83</v>
      </c>
      <c r="F15" s="24" t="s">
        <v>38</v>
      </c>
      <c r="G15" s="12">
        <v>2</v>
      </c>
      <c r="H15" s="88">
        <f>IF(B$20=0,0,G15/B$20)</f>
        <v>3.1746031746031744E-2</v>
      </c>
      <c r="I15" s="58">
        <v>7</v>
      </c>
      <c r="K15" s="74">
        <v>13</v>
      </c>
      <c r="L15" s="119">
        <v>35.000000000000007</v>
      </c>
      <c r="M15" s="117">
        <v>1449.5174194108242</v>
      </c>
      <c r="O15" s="73" t="s">
        <v>163</v>
      </c>
      <c r="P15" s="82">
        <f>IF(Q15=0,0,R15/Q15)</f>
        <v>40.980000000000004</v>
      </c>
      <c r="Q15" s="76">
        <v>5</v>
      </c>
      <c r="R15" s="67">
        <v>204.90000000000003</v>
      </c>
    </row>
    <row r="16" spans="1:18" x14ac:dyDescent="0.45">
      <c r="A16" s="22" t="s">
        <v>121</v>
      </c>
      <c r="B16" s="15">
        <v>53</v>
      </c>
      <c r="C16" s="10">
        <f>IF(B$3=0,0,B16/B$3)</f>
        <v>0.24766355140186916</v>
      </c>
      <c r="E16" s="27" t="s">
        <v>86</v>
      </c>
      <c r="F16" s="24" t="s">
        <v>41</v>
      </c>
      <c r="G16" s="12">
        <v>2</v>
      </c>
      <c r="H16" s="88">
        <f>IF(B$20=0,0,G16/B$20)</f>
        <v>3.1746031746031744E-2</v>
      </c>
      <c r="I16" s="58">
        <v>7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5">
      <c r="A17" s="19" t="s">
        <v>118</v>
      </c>
      <c r="B17" s="12">
        <v>65</v>
      </c>
      <c r="C17" s="6">
        <f>IF(B$3=0,0,B17/B$3)</f>
        <v>0.30373831775700932</v>
      </c>
      <c r="E17" s="27" t="s">
        <v>91</v>
      </c>
      <c r="F17" s="24" t="s">
        <v>46</v>
      </c>
      <c r="G17" s="12">
        <v>2</v>
      </c>
      <c r="H17" s="88">
        <f>IF(B$20=0,0,G17/B$20)</f>
        <v>3.1746031746031744E-2</v>
      </c>
      <c r="I17" s="58">
        <v>2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13.200000000000003</v>
      </c>
      <c r="Q17" s="77">
        <v>2</v>
      </c>
      <c r="R17" s="68">
        <v>26.400000000000006</v>
      </c>
    </row>
    <row r="18" spans="1:18" x14ac:dyDescent="0.45">
      <c r="A18" s="18" t="s">
        <v>123</v>
      </c>
      <c r="B18" s="11">
        <f>B24</f>
        <v>23</v>
      </c>
      <c r="C18" s="5">
        <f>IF(B$16=0,0,B18/B$16)</f>
        <v>0.43396226415094341</v>
      </c>
      <c r="E18" s="27" t="s">
        <v>78</v>
      </c>
      <c r="F18" s="24" t="s">
        <v>33</v>
      </c>
      <c r="G18" s="12">
        <v>1</v>
      </c>
      <c r="H18" s="88">
        <f>IF(B$20=0,0,G18/B$20)</f>
        <v>1.5873015873015872E-2</v>
      </c>
      <c r="I18" s="58">
        <v>7</v>
      </c>
      <c r="K18" s="74">
        <v>16</v>
      </c>
      <c r="L18" s="119">
        <v>38.600000000000009</v>
      </c>
      <c r="M18" s="117">
        <v>1453.0914330069634</v>
      </c>
      <c r="O18" s="74" t="s">
        <v>126</v>
      </c>
      <c r="P18" s="83">
        <f>IF(Q18=0,0,R18/Q18)</f>
        <v>7.1249999999999982</v>
      </c>
      <c r="Q18" s="77">
        <v>20</v>
      </c>
      <c r="R18" s="68">
        <v>142.49999999999997</v>
      </c>
    </row>
    <row r="19" spans="1:18" x14ac:dyDescent="0.45">
      <c r="A19" s="18" t="s">
        <v>124</v>
      </c>
      <c r="B19" s="11">
        <f>B25</f>
        <v>27</v>
      </c>
      <c r="C19" s="5">
        <f>IF(B$17=0,0,B19/B$17)</f>
        <v>0.41538461538461541</v>
      </c>
      <c r="E19" s="27" t="s">
        <v>88</v>
      </c>
      <c r="F19" s="24" t="s">
        <v>43</v>
      </c>
      <c r="G19" s="12">
        <v>1</v>
      </c>
      <c r="H19" s="88">
        <f>IF(B$20=0,0,G19/B$20)</f>
        <v>1.5873015873015872E-2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1.3800000000000014</v>
      </c>
      <c r="Q19" s="77">
        <v>5</v>
      </c>
      <c r="R19" s="68">
        <v>6.9000000000000075</v>
      </c>
    </row>
    <row r="20" spans="1:18" x14ac:dyDescent="0.45">
      <c r="A20" s="18" t="s">
        <v>10</v>
      </c>
      <c r="B20" s="11">
        <f>B23+B22</f>
        <v>63</v>
      </c>
      <c r="C20" s="5">
        <f>IF(B$3=0,0,B20/B$3)</f>
        <v>0.29439252336448596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5</v>
      </c>
      <c r="K20" s="74">
        <v>18</v>
      </c>
      <c r="L20" s="119">
        <v>15.100000000000009</v>
      </c>
      <c r="M20" s="117">
        <v>1450.6884191024681</v>
      </c>
      <c r="O20" s="74" t="s">
        <v>192</v>
      </c>
      <c r="P20" s="83">
        <f>IF(Q20=0,0,R20/Q20)</f>
        <v>-21.35384615384616</v>
      </c>
      <c r="Q20" s="77">
        <v>13</v>
      </c>
      <c r="R20" s="68">
        <v>-277.60000000000008</v>
      </c>
    </row>
    <row r="21" spans="1:18" x14ac:dyDescent="0.45">
      <c r="A21" s="19" t="s">
        <v>13</v>
      </c>
      <c r="B21" s="12">
        <v>35</v>
      </c>
      <c r="C21" s="6">
        <f>IF(B$3=0,0,B21/B$3)</f>
        <v>0.16355140186915887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42.400000000000006</v>
      </c>
      <c r="M21" s="117">
        <v>1456.6902885878533</v>
      </c>
    </row>
    <row r="22" spans="1:18" x14ac:dyDescent="0.45">
      <c r="A22" s="19" t="s">
        <v>12</v>
      </c>
      <c r="B22" s="12">
        <v>32</v>
      </c>
      <c r="C22" s="6">
        <f>IF(B$20=0,0,B22/B$20)</f>
        <v>0.50793650793650791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81.5</v>
      </c>
      <c r="M22" s="117">
        <v>1464.7801468563262</v>
      </c>
    </row>
    <row r="23" spans="1:18" x14ac:dyDescent="0.45">
      <c r="A23" s="19" t="s">
        <v>11</v>
      </c>
      <c r="B23" s="12">
        <v>31</v>
      </c>
      <c r="C23" s="6">
        <f>IF(B$20=0,0,B23/B$20)</f>
        <v>0.49206349206349204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5">
      <c r="A24" s="19" t="s">
        <v>183</v>
      </c>
      <c r="B24" s="12">
        <v>23</v>
      </c>
      <c r="C24" s="6">
        <f>IF(B$20=0,0,B24/B$20)</f>
        <v>0.36507936507936506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17.999999999999993</v>
      </c>
      <c r="M24" s="117">
        <v>1455.1831971793372</v>
      </c>
    </row>
    <row r="25" spans="1:18" x14ac:dyDescent="0.45">
      <c r="A25" s="19" t="s">
        <v>181</v>
      </c>
      <c r="B25" s="12">
        <v>27</v>
      </c>
      <c r="C25" s="6">
        <f>IF(B$20=0,0,B25/B$20)</f>
        <v>0.42857142857142855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5">
      <c r="A26" s="19" t="s">
        <v>182</v>
      </c>
      <c r="B26" s="12">
        <v>13</v>
      </c>
      <c r="C26" s="6">
        <f>IF(B$20=0,0,B26/B$20)</f>
        <v>0.20634920634920634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6930.1587301587306</v>
      </c>
      <c r="C27" s="8">
        <v>436600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7986.1111111111113</v>
      </c>
      <c r="C28" s="96">
        <v>287500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5522.2222222222226</v>
      </c>
      <c r="C29" s="96">
        <v>149100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-7002.8571428571431</v>
      </c>
      <c r="C30" s="96">
        <v>-245100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21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64100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4.6728971962616819E-3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9</v>
      </c>
      <c r="C37" s="98">
        <f t="shared" ref="C37:C49" si="2">IF(B$20=0,0,B37/B$20)</f>
        <v>0.14285714285714285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18</v>
      </c>
      <c r="C38" s="6">
        <f t="shared" si="2"/>
        <v>0.2857142857142857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9</v>
      </c>
      <c r="C39" s="6">
        <f t="shared" si="2"/>
        <v>0.14285714285714285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12</v>
      </c>
      <c r="C40" s="6">
        <f t="shared" si="2"/>
        <v>0.19047619047619047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3</v>
      </c>
      <c r="C41" s="6">
        <f t="shared" si="2"/>
        <v>4.7619047619047616E-2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3.1746031746031744E-2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2"/>
        <v>3.1746031746031744E-2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3.1746031746031744E-2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4</v>
      </c>
      <c r="C45" s="6">
        <f t="shared" si="2"/>
        <v>6.3492063492063489E-2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2</v>
      </c>
      <c r="C46" s="6">
        <f t="shared" si="2"/>
        <v>3.1746031746031744E-2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D4CE-3B68-45F7-969C-D17C8E0B87DB}">
  <sheetPr codeName="Sheet1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14</v>
      </c>
      <c r="H2" s="87">
        <f>IF(B$20=0,0,G2/B$20)</f>
        <v>0.73684210526315785</v>
      </c>
      <c r="I2" s="57">
        <v>7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1420</v>
      </c>
      <c r="Q2" s="76">
        <v>10</v>
      </c>
      <c r="R2" s="63">
        <v>14200</v>
      </c>
    </row>
    <row r="3" spans="1:18" x14ac:dyDescent="0.45">
      <c r="A3" s="19" t="s">
        <v>8</v>
      </c>
      <c r="B3" s="135">
        <v>77</v>
      </c>
      <c r="C3" s="136"/>
      <c r="E3" s="27" t="s">
        <v>64</v>
      </c>
      <c r="F3" s="24" t="s">
        <v>20</v>
      </c>
      <c r="G3" s="12">
        <v>11</v>
      </c>
      <c r="H3" s="88">
        <f>IF(B$20=0,0,G3/B$20)</f>
        <v>0.57894736842105265</v>
      </c>
      <c r="I3" s="58">
        <v>2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2270</v>
      </c>
      <c r="Q3" s="77">
        <v>10</v>
      </c>
      <c r="R3" s="64">
        <v>22700</v>
      </c>
    </row>
    <row r="4" spans="1:18" x14ac:dyDescent="0.45">
      <c r="A4" s="19" t="s">
        <v>6</v>
      </c>
      <c r="B4" s="137">
        <v>-55</v>
      </c>
      <c r="C4" s="138"/>
      <c r="E4" s="27" t="s">
        <v>72</v>
      </c>
      <c r="F4" s="24" t="s">
        <v>27</v>
      </c>
      <c r="G4" s="12">
        <v>9</v>
      </c>
      <c r="H4" s="88">
        <f>IF(B$20=0,0,G4/B$20)</f>
        <v>0.47368421052631576</v>
      </c>
      <c r="I4" s="58">
        <v>10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1590</v>
      </c>
      <c r="Q4" s="77">
        <v>10</v>
      </c>
      <c r="R4" s="64">
        <v>15900</v>
      </c>
    </row>
    <row r="5" spans="1:18" x14ac:dyDescent="0.45">
      <c r="A5" s="19" t="s">
        <v>7</v>
      </c>
      <c r="B5" s="125">
        <f>IF(B$2=0,0,B$4/B$2)</f>
        <v>-5.5</v>
      </c>
      <c r="C5" s="126"/>
      <c r="E5" s="27" t="s">
        <v>159</v>
      </c>
      <c r="F5" s="24" t="s">
        <v>160</v>
      </c>
      <c r="G5" s="12">
        <v>7</v>
      </c>
      <c r="H5" s="88">
        <f>IF(B$20=0,0,G5/B$20)</f>
        <v>0.36842105263157893</v>
      </c>
      <c r="I5" s="58">
        <v>7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-4062.5</v>
      </c>
      <c r="Q5" s="77">
        <v>8</v>
      </c>
      <c r="R5" s="64">
        <v>-32500</v>
      </c>
    </row>
    <row r="6" spans="1:18" x14ac:dyDescent="0.45">
      <c r="A6" s="19" t="s">
        <v>196</v>
      </c>
      <c r="B6" s="129">
        <v>1519.2183815819624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0.26315789473684209</v>
      </c>
      <c r="I6" s="58">
        <v>3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-3385.7142857142858</v>
      </c>
      <c r="Q6" s="77">
        <v>7</v>
      </c>
      <c r="R6" s="64">
        <v>-23700</v>
      </c>
    </row>
    <row r="7" spans="1:18" x14ac:dyDescent="0.45">
      <c r="A7" s="19" t="s">
        <v>1</v>
      </c>
      <c r="B7" s="139">
        <f>IF(B$2=0,0,(B$8*1+B$9*2+B$10*3)/B$2)</f>
        <v>2.2000000000000002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0.15789473684210525</v>
      </c>
      <c r="I7" s="58">
        <v>2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-3266.6666666666665</v>
      </c>
      <c r="Q7" s="78">
        <v>6</v>
      </c>
      <c r="R7" s="65">
        <v>-19600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0.1</v>
      </c>
      <c r="E8" s="27" t="s">
        <v>68</v>
      </c>
      <c r="F8" s="24" t="s">
        <v>12</v>
      </c>
      <c r="G8" s="12">
        <v>3</v>
      </c>
      <c r="H8" s="88">
        <f>IF(B$20=0,0,G8/B$20)</f>
        <v>0.15789473684210525</v>
      </c>
      <c r="I8" s="58">
        <v>11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5">
      <c r="A9" s="19" t="s">
        <v>3</v>
      </c>
      <c r="B9" s="12">
        <v>6</v>
      </c>
      <c r="C9" s="6">
        <f t="shared" si="1"/>
        <v>0.6</v>
      </c>
      <c r="E9" s="27" t="s">
        <v>69</v>
      </c>
      <c r="F9" s="24" t="s">
        <v>24</v>
      </c>
      <c r="G9" s="12">
        <v>2</v>
      </c>
      <c r="H9" s="88">
        <f>IF(B$20=0,0,G9/B$20)</f>
        <v>0.10526315789473684</v>
      </c>
      <c r="I9" s="58">
        <v>6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</v>
      </c>
      <c r="C10" s="7">
        <f t="shared" si="1"/>
        <v>0.3</v>
      </c>
      <c r="E10" s="27" t="s">
        <v>89</v>
      </c>
      <c r="F10" s="24" t="s">
        <v>44</v>
      </c>
      <c r="G10" s="12">
        <v>2</v>
      </c>
      <c r="H10" s="88">
        <f>IF(B$20=0,0,G10/B$20)</f>
        <v>0.10526315789473684</v>
      </c>
      <c r="I10" s="58">
        <v>10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-18.466666666666665</v>
      </c>
      <c r="Q10" s="76">
        <v>3</v>
      </c>
      <c r="R10" s="67">
        <v>-55.4</v>
      </c>
    </row>
    <row r="11" spans="1:18" x14ac:dyDescent="0.45">
      <c r="A11" s="20" t="s">
        <v>184</v>
      </c>
      <c r="B11" s="109">
        <f>IF(B8=0,0,C11/B8)</f>
        <v>55</v>
      </c>
      <c r="C11" s="110">
        <v>55</v>
      </c>
      <c r="E11" s="27" t="s">
        <v>79</v>
      </c>
      <c r="F11" s="24" t="s">
        <v>34</v>
      </c>
      <c r="G11" s="12">
        <v>1</v>
      </c>
      <c r="H11" s="88">
        <f>IF(B$20=0,0,G11/B$20)</f>
        <v>5.2631578947368418E-2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-20.2</v>
      </c>
      <c r="Q11" s="77">
        <v>2</v>
      </c>
      <c r="R11" s="68">
        <v>-40.4</v>
      </c>
    </row>
    <row r="12" spans="1:18" x14ac:dyDescent="0.45">
      <c r="A12" s="20" t="s">
        <v>185</v>
      </c>
      <c r="B12" s="109">
        <f>IF(B9=0,0,C12/B9)</f>
        <v>-2.3166666666666664</v>
      </c>
      <c r="C12" s="110">
        <v>-13.899999999999999</v>
      </c>
      <c r="E12" s="27" t="s">
        <v>81</v>
      </c>
      <c r="F12" s="24" t="s">
        <v>36</v>
      </c>
      <c r="G12" s="12">
        <v>1</v>
      </c>
      <c r="H12" s="88">
        <f>IF(B$20=0,0,G12/B$20)</f>
        <v>5.2631578947368418E-2</v>
      </c>
      <c r="I12" s="58">
        <v>3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8.16</v>
      </c>
      <c r="Q12" s="78">
        <v>5</v>
      </c>
      <c r="R12" s="69">
        <v>40.800000000000004</v>
      </c>
    </row>
    <row r="13" spans="1:18" x14ac:dyDescent="0.45">
      <c r="A13" s="20" t="s">
        <v>186</v>
      </c>
      <c r="B13" s="109">
        <f>IF(B10=0,0,C13/B10)</f>
        <v>-32.033333333333331</v>
      </c>
      <c r="C13" s="110">
        <v>-96.1</v>
      </c>
      <c r="E13" s="27" t="s">
        <v>83</v>
      </c>
      <c r="F13" s="24" t="s">
        <v>38</v>
      </c>
      <c r="G13" s="12">
        <v>1</v>
      </c>
      <c r="H13" s="88">
        <f>IF(B$20=0,0,G13/B$20)</f>
        <v>5.2631578947368418E-2</v>
      </c>
      <c r="I13" s="58">
        <v>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6.8833333333333355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5.2631578947368418E-2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70</v>
      </c>
      <c r="F15" s="24" t="s">
        <v>25</v>
      </c>
      <c r="G15" s="12">
        <v>0</v>
      </c>
      <c r="H15" s="88">
        <f>IF(B$20=0,0,G15/B$20)</f>
        <v>0</v>
      </c>
      <c r="I15" s="58">
        <v>9</v>
      </c>
      <c r="O15" s="73" t="s">
        <v>192</v>
      </c>
      <c r="P15" s="82">
        <f>IF(Q15=0,0,R15/Q15)</f>
        <v>-3.0714285714285707</v>
      </c>
      <c r="Q15" s="76">
        <v>7</v>
      </c>
      <c r="R15" s="67">
        <v>-21.499999999999996</v>
      </c>
    </row>
    <row r="16" spans="1:18" x14ac:dyDescent="0.45">
      <c r="A16" s="22" t="s">
        <v>121</v>
      </c>
      <c r="B16" s="15">
        <v>21</v>
      </c>
      <c r="C16" s="10">
        <f>IF(B$3=0,0,B16/B$3)</f>
        <v>0.27272727272727271</v>
      </c>
      <c r="E16" s="27" t="s">
        <v>71</v>
      </c>
      <c r="F16" s="24" t="s">
        <v>26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-6.5999999999999988</v>
      </c>
      <c r="Q16" s="77">
        <v>3</v>
      </c>
      <c r="R16" s="68">
        <v>-19.799999999999997</v>
      </c>
    </row>
    <row r="17" spans="1:18" x14ac:dyDescent="0.45">
      <c r="A17" s="19" t="s">
        <v>118</v>
      </c>
      <c r="B17" s="12">
        <v>16</v>
      </c>
      <c r="C17" s="6">
        <f>IF(B$3=0,0,B17/B$3)</f>
        <v>0.20779220779220781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-12.162500000000001</v>
      </c>
      <c r="Q17" s="77">
        <v>8</v>
      </c>
      <c r="R17" s="68">
        <v>-97.300000000000011</v>
      </c>
    </row>
    <row r="18" spans="1:18" x14ac:dyDescent="0.45">
      <c r="A18" s="18" t="s">
        <v>123</v>
      </c>
      <c r="B18" s="11">
        <f>B24</f>
        <v>11</v>
      </c>
      <c r="C18" s="5">
        <f>IF(B$16=0,0,B18/B$16)</f>
        <v>0.52380952380952384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-13.200000000000003</v>
      </c>
      <c r="Q18" s="77">
        <v>2</v>
      </c>
      <c r="R18" s="68">
        <v>-26.400000000000006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0.4375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19</v>
      </c>
      <c r="C20" s="5">
        <f>IF(B$3=0,0,B20/B$3)</f>
        <v>0.24675324675324675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5</v>
      </c>
      <c r="C21" s="6">
        <f>IF(B$3=0,0,B21/B$3)</f>
        <v>6.4935064935064929E-2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5">
      <c r="A22" s="19" t="s">
        <v>12</v>
      </c>
      <c r="B22" s="12">
        <v>3</v>
      </c>
      <c r="C22" s="6">
        <f>IF(B$20=0,0,B22/B$20)</f>
        <v>0.15789473684210525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8</v>
      </c>
    </row>
    <row r="23" spans="1:18" x14ac:dyDescent="0.45">
      <c r="A23" s="19" t="s">
        <v>11</v>
      </c>
      <c r="B23" s="12">
        <v>16</v>
      </c>
      <c r="C23" s="6">
        <f>IF(B$20=0,0,B23/B$20)</f>
        <v>0.84210526315789469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11</v>
      </c>
      <c r="C24" s="6">
        <f>IF(B$20=0,0,B24/B$20)</f>
        <v>0.57894736842105265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0.36842105263157893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182</v>
      </c>
      <c r="B26" s="12">
        <v>1</v>
      </c>
      <c r="C26" s="6">
        <f>IF(B$20=0,0,B26/B$20)</f>
        <v>5.2631578947368418E-2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</row>
    <row r="27" spans="1:18" x14ac:dyDescent="0.45">
      <c r="A27" s="19" t="s">
        <v>5</v>
      </c>
      <c r="B27" s="16">
        <f>IF(B$20=0,0,C27/B$20)</f>
        <v>6452.6315789473683</v>
      </c>
      <c r="C27" s="8">
        <v>122600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6283.333333333333</v>
      </c>
      <c r="C28" s="96">
        <v>75400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6742.8571428571431</v>
      </c>
      <c r="C29" s="96">
        <v>47200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-3380</v>
      </c>
      <c r="C30" s="96">
        <v>-16900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27</v>
      </c>
      <c r="C32" s="90">
        <v>27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5.2631578947368418E-2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2"/>
        <v>0.31578947368421051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5</v>
      </c>
      <c r="C39" s="6">
        <f t="shared" si="2"/>
        <v>0.26315789473684209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4</v>
      </c>
      <c r="C40" s="6">
        <f t="shared" si="2"/>
        <v>0.21052631578947367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1</v>
      </c>
      <c r="C41" s="6">
        <f t="shared" si="2"/>
        <v>5.2631578947368418E-2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2</v>
      </c>
      <c r="C44" s="6">
        <f t="shared" si="2"/>
        <v>0.10526315789473684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58A01-4BF0-4459-806B-DD777DF002AF}">
  <sheetPr codeName="Sheet1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24</v>
      </c>
      <c r="C2" s="134"/>
      <c r="E2" s="26" t="s">
        <v>66</v>
      </c>
      <c r="F2" s="23" t="s">
        <v>22</v>
      </c>
      <c r="G2" s="11">
        <v>50</v>
      </c>
      <c r="H2" s="87">
        <f>IF(B$20=0,0,G2/B$20)</f>
        <v>0.83333333333333337</v>
      </c>
      <c r="I2" s="57">
        <v>3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-862.5</v>
      </c>
      <c r="Q2" s="76">
        <v>24</v>
      </c>
      <c r="R2" s="63">
        <v>-20700</v>
      </c>
    </row>
    <row r="3" spans="1:18" x14ac:dyDescent="0.45">
      <c r="A3" s="19" t="s">
        <v>8</v>
      </c>
      <c r="B3" s="135">
        <v>188</v>
      </c>
      <c r="C3" s="136"/>
      <c r="E3" s="27" t="s">
        <v>72</v>
      </c>
      <c r="F3" s="24" t="s">
        <v>27</v>
      </c>
      <c r="G3" s="12">
        <v>38</v>
      </c>
      <c r="H3" s="88">
        <f>IF(B$20=0,0,G3/B$20)</f>
        <v>0.6333333333333333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833.33333333333337</v>
      </c>
      <c r="Q3" s="77">
        <v>24</v>
      </c>
      <c r="R3" s="64">
        <v>20000</v>
      </c>
    </row>
    <row r="4" spans="1:18" x14ac:dyDescent="0.45">
      <c r="A4" s="19" t="s">
        <v>6</v>
      </c>
      <c r="B4" s="137">
        <v>108.79999999999998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0.38333333333333336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2129.1666666666665</v>
      </c>
      <c r="Q4" s="77">
        <v>24</v>
      </c>
      <c r="R4" s="64">
        <v>51100</v>
      </c>
    </row>
    <row r="5" spans="1:18" x14ac:dyDescent="0.45">
      <c r="A5" s="19" t="s">
        <v>7</v>
      </c>
      <c r="B5" s="125">
        <f>IF(B$2=0,0,B$4/B$2)</f>
        <v>4.5333333333333323</v>
      </c>
      <c r="C5" s="126"/>
      <c r="E5" s="27" t="s">
        <v>67</v>
      </c>
      <c r="F5" s="24" t="s">
        <v>23</v>
      </c>
      <c r="G5" s="12">
        <v>16</v>
      </c>
      <c r="H5" s="88">
        <f>IF(B$20=0,0,G5/B$20)</f>
        <v>0.26666666666666666</v>
      </c>
      <c r="I5" s="58">
        <v>2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-442.85714285714283</v>
      </c>
      <c r="Q5" s="77">
        <v>21</v>
      </c>
      <c r="R5" s="64">
        <v>-9300</v>
      </c>
    </row>
    <row r="6" spans="1:18" x14ac:dyDescent="0.45">
      <c r="A6" s="19" t="s">
        <v>196</v>
      </c>
      <c r="B6" s="129">
        <v>1519.7959242754243</v>
      </c>
      <c r="C6" s="130"/>
      <c r="E6" s="27" t="s">
        <v>159</v>
      </c>
      <c r="F6" s="24" t="s">
        <v>160</v>
      </c>
      <c r="G6" s="12">
        <v>14</v>
      </c>
      <c r="H6" s="88">
        <f>IF(B$20=0,0,G6/B$20)</f>
        <v>0.23333333333333334</v>
      </c>
      <c r="I6" s="58">
        <v>11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2564.705882352941</v>
      </c>
      <c r="Q6" s="77">
        <v>17</v>
      </c>
      <c r="R6" s="64">
        <v>43600</v>
      </c>
    </row>
    <row r="7" spans="1:18" x14ac:dyDescent="0.45">
      <c r="A7" s="19" t="s">
        <v>1</v>
      </c>
      <c r="B7" s="139">
        <f>IF(B$2=0,0,(B$8*1+B$9*2+B$10*3)/B$2)</f>
        <v>1.875</v>
      </c>
      <c r="C7" s="140"/>
      <c r="E7" s="27" t="s">
        <v>68</v>
      </c>
      <c r="F7" s="24" t="s">
        <v>12</v>
      </c>
      <c r="G7" s="12">
        <v>13</v>
      </c>
      <c r="H7" s="88">
        <f>IF(B$20=0,0,G7/B$20)</f>
        <v>0.21666666666666667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1005.8823529411765</v>
      </c>
      <c r="Q7" s="78">
        <v>17</v>
      </c>
      <c r="R7" s="65">
        <v>17100</v>
      </c>
    </row>
    <row r="8" spans="1:18" x14ac:dyDescent="0.45">
      <c r="A8" s="19" t="s">
        <v>2</v>
      </c>
      <c r="B8" s="12">
        <v>10</v>
      </c>
      <c r="C8" s="6">
        <f t="shared" ref="C8:C15" si="1">IF(B$2=0,0,B8/B$2)</f>
        <v>0.41666666666666669</v>
      </c>
      <c r="E8" s="27" t="s">
        <v>89</v>
      </c>
      <c r="F8" s="24" t="s">
        <v>44</v>
      </c>
      <c r="G8" s="12">
        <v>10</v>
      </c>
      <c r="H8" s="88">
        <f>IF(B$20=0,0,G8/B$20)</f>
        <v>0.16666666666666666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5">
      <c r="A9" s="19" t="s">
        <v>3</v>
      </c>
      <c r="B9" s="12">
        <v>7</v>
      </c>
      <c r="C9" s="6">
        <f t="shared" si="1"/>
        <v>0.29166666666666669</v>
      </c>
      <c r="E9" s="27" t="s">
        <v>69</v>
      </c>
      <c r="F9" s="24" t="s">
        <v>24</v>
      </c>
      <c r="G9" s="12">
        <v>8</v>
      </c>
      <c r="H9" s="88">
        <f>IF(B$20=0,0,G9/B$20)</f>
        <v>0.13333333333333333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0.29166666666666669</v>
      </c>
      <c r="E10" s="27" t="s">
        <v>71</v>
      </c>
      <c r="F10" s="24" t="s">
        <v>26</v>
      </c>
      <c r="G10" s="12">
        <v>6</v>
      </c>
      <c r="H10" s="88">
        <f>IF(B$20=0,0,G10/B$20)</f>
        <v>0.1</v>
      </c>
      <c r="I10" s="58">
        <v>1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-1.8200000000000003</v>
      </c>
      <c r="Q10" s="76">
        <v>5</v>
      </c>
      <c r="R10" s="67">
        <v>-9.1000000000000014</v>
      </c>
    </row>
    <row r="11" spans="1:18" x14ac:dyDescent="0.45">
      <c r="A11" s="20" t="s">
        <v>184</v>
      </c>
      <c r="B11" s="109">
        <f>IF(B8=0,0,C11/B8)</f>
        <v>32.450000000000003</v>
      </c>
      <c r="C11" s="110">
        <v>324.5</v>
      </c>
      <c r="E11" s="27" t="s">
        <v>86</v>
      </c>
      <c r="F11" s="24" t="s">
        <v>41</v>
      </c>
      <c r="G11" s="12">
        <v>6</v>
      </c>
      <c r="H11" s="88">
        <f>IF(B$20=0,0,G11/B$20)</f>
        <v>0.1</v>
      </c>
      <c r="I11" s="58">
        <v>2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0.96250000000000124</v>
      </c>
      <c r="Q11" s="77">
        <v>8</v>
      </c>
      <c r="R11" s="68">
        <v>7.7000000000000099</v>
      </c>
    </row>
    <row r="12" spans="1:18" x14ac:dyDescent="0.45">
      <c r="A12" s="20" t="s">
        <v>185</v>
      </c>
      <c r="B12" s="109">
        <f>IF(B9=0,0,C12/B9)</f>
        <v>0.64285714285714246</v>
      </c>
      <c r="C12" s="110">
        <v>4.4999999999999973</v>
      </c>
      <c r="E12" s="27" t="s">
        <v>91</v>
      </c>
      <c r="F12" s="24" t="s">
        <v>46</v>
      </c>
      <c r="G12" s="12">
        <v>5</v>
      </c>
      <c r="H12" s="88">
        <f>IF(B$20=0,0,G12/B$20)</f>
        <v>8.3333333333333329E-2</v>
      </c>
      <c r="I12" s="58">
        <v>1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10.018181818181818</v>
      </c>
      <c r="Q12" s="78">
        <v>11</v>
      </c>
      <c r="R12" s="69">
        <v>110.2</v>
      </c>
    </row>
    <row r="13" spans="1:18" x14ac:dyDescent="0.45">
      <c r="A13" s="20" t="s">
        <v>186</v>
      </c>
      <c r="B13" s="109">
        <f>IF(B10=0,0,C13/B10)</f>
        <v>-31.457142857142859</v>
      </c>
      <c r="C13" s="110">
        <v>-220.20000000000002</v>
      </c>
      <c r="E13" s="27" t="s">
        <v>65</v>
      </c>
      <c r="F13" s="24" t="s">
        <v>21</v>
      </c>
      <c r="G13" s="12">
        <v>3</v>
      </c>
      <c r="H13" s="88">
        <f>IF(B$20=0,0,G13/B$20)</f>
        <v>0.05</v>
      </c>
      <c r="I13" s="58">
        <v>8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0.54523809523809652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0.05</v>
      </c>
      <c r="I14" s="58">
        <v>4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8.3333333333333329E-2</v>
      </c>
      <c r="E15" s="27" t="s">
        <v>83</v>
      </c>
      <c r="F15" s="24" t="s">
        <v>38</v>
      </c>
      <c r="G15" s="12">
        <v>3</v>
      </c>
      <c r="H15" s="88">
        <f>IF(B$20=0,0,G15/B$20)</f>
        <v>0.05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 t="shared" ref="P15:P23" si="2">IF(Q15=0,0,R15/Q15)</f>
        <v>44.4</v>
      </c>
      <c r="Q15" s="76">
        <v>1</v>
      </c>
      <c r="R15" s="67">
        <v>44.4</v>
      </c>
    </row>
    <row r="16" spans="1:18" x14ac:dyDescent="0.45">
      <c r="A16" s="22" t="s">
        <v>121</v>
      </c>
      <c r="B16" s="15">
        <v>41</v>
      </c>
      <c r="C16" s="10">
        <f>IF(B$3=0,0,B16/B$3)</f>
        <v>0.21808510638297873</v>
      </c>
      <c r="E16" s="27" t="s">
        <v>70</v>
      </c>
      <c r="F16" s="24" t="s">
        <v>25</v>
      </c>
      <c r="G16" s="12">
        <v>2</v>
      </c>
      <c r="H16" s="88">
        <f>IF(B$20=0,0,G16/B$20)</f>
        <v>3.3333333333333333E-2</v>
      </c>
      <c r="I16" s="58">
        <v>7</v>
      </c>
      <c r="K16" s="74">
        <v>14</v>
      </c>
      <c r="L16" s="119">
        <v>99.300000000000011</v>
      </c>
      <c r="M16" s="117">
        <v>1512.415829547685</v>
      </c>
      <c r="O16" s="74" t="s">
        <v>192</v>
      </c>
      <c r="P16" s="83">
        <f t="shared" si="2"/>
        <v>28.800000000000004</v>
      </c>
      <c r="Q16" s="77">
        <v>4</v>
      </c>
      <c r="R16" s="68">
        <v>115.20000000000002</v>
      </c>
    </row>
    <row r="17" spans="1:18" x14ac:dyDescent="0.45">
      <c r="A17" s="19" t="s">
        <v>118</v>
      </c>
      <c r="B17" s="12">
        <v>45</v>
      </c>
      <c r="C17" s="6">
        <f>IF(B$3=0,0,B17/B$3)</f>
        <v>0.23936170212765959</v>
      </c>
      <c r="E17" s="27" t="s">
        <v>73</v>
      </c>
      <c r="F17" s="24" t="s">
        <v>28</v>
      </c>
      <c r="G17" s="12">
        <v>2</v>
      </c>
      <c r="H17" s="88">
        <f>IF(B$20=0,0,G17/B$20)</f>
        <v>3.3333333333333333E-2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 t="shared" si="2"/>
        <v>16.2</v>
      </c>
      <c r="Q17" s="77">
        <v>1</v>
      </c>
      <c r="R17" s="68">
        <v>16.2</v>
      </c>
    </row>
    <row r="18" spans="1:18" x14ac:dyDescent="0.45">
      <c r="A18" s="18" t="s">
        <v>123</v>
      </c>
      <c r="B18" s="11">
        <f>B24</f>
        <v>23</v>
      </c>
      <c r="C18" s="5">
        <f>IF(B$16=0,0,B18/B$16)</f>
        <v>0.56097560975609762</v>
      </c>
      <c r="E18" s="27" t="s">
        <v>78</v>
      </c>
      <c r="F18" s="24" t="s">
        <v>33</v>
      </c>
      <c r="G18" s="12">
        <v>2</v>
      </c>
      <c r="H18" s="88">
        <f>IF(B$20=0,0,G18/B$20)</f>
        <v>3.3333333333333333E-2</v>
      </c>
      <c r="I18" s="58">
        <v>4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15.227272727272727</v>
      </c>
      <c r="Q18" s="77">
        <v>11</v>
      </c>
      <c r="R18" s="68">
        <v>167.5</v>
      </c>
    </row>
    <row r="19" spans="1:18" x14ac:dyDescent="0.45">
      <c r="A19" s="18" t="s">
        <v>124</v>
      </c>
      <c r="B19" s="11">
        <f>B25</f>
        <v>24</v>
      </c>
      <c r="C19" s="5">
        <f>IF(B$17=0,0,B19/B$17)</f>
        <v>0.53333333333333333</v>
      </c>
      <c r="E19" s="27" t="s">
        <v>75</v>
      </c>
      <c r="F19" s="24" t="s">
        <v>30</v>
      </c>
      <c r="G19" s="12">
        <v>1</v>
      </c>
      <c r="H19" s="88">
        <f>IF(B$20=0,0,G19/B$20)</f>
        <v>1.6666666666666666E-2</v>
      </c>
      <c r="I19" s="58">
        <v>1</v>
      </c>
      <c r="K19" s="74">
        <v>17</v>
      </c>
      <c r="L19" s="119">
        <v>81.600000000000009</v>
      </c>
      <c r="M19" s="117">
        <v>1510.8582724915987</v>
      </c>
      <c r="O19" s="74" t="s">
        <v>163</v>
      </c>
      <c r="P19" s="83">
        <f t="shared" si="2"/>
        <v>9.35</v>
      </c>
      <c r="Q19" s="77">
        <v>6</v>
      </c>
      <c r="R19" s="68">
        <v>56.1</v>
      </c>
    </row>
    <row r="20" spans="1:18" x14ac:dyDescent="0.45">
      <c r="A20" s="18" t="s">
        <v>10</v>
      </c>
      <c r="B20" s="11">
        <f>B23+B22</f>
        <v>60</v>
      </c>
      <c r="C20" s="5">
        <f>IF(B$3=0,0,B20/B$3)</f>
        <v>0.31914893617021278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190</v>
      </c>
      <c r="P20" s="83">
        <f t="shared" si="2"/>
        <v>6.5999999999999988</v>
      </c>
      <c r="Q20" s="77">
        <v>3</v>
      </c>
      <c r="R20" s="68">
        <v>19.799999999999997</v>
      </c>
    </row>
    <row r="21" spans="1:18" x14ac:dyDescent="0.45">
      <c r="A21" s="19" t="s">
        <v>13</v>
      </c>
      <c r="B21" s="12">
        <v>28</v>
      </c>
      <c r="C21" s="6">
        <f>IF(B$3=0,0,B21/B$3)</f>
        <v>0.14893617021276595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189</v>
      </c>
      <c r="P21" s="83">
        <f t="shared" si="2"/>
        <v>-1.3800000000000014</v>
      </c>
      <c r="Q21" s="77">
        <v>5</v>
      </c>
      <c r="R21" s="68">
        <v>-6.9000000000000075</v>
      </c>
    </row>
    <row r="22" spans="1:18" x14ac:dyDescent="0.45">
      <c r="A22" s="19" t="s">
        <v>12</v>
      </c>
      <c r="B22" s="12">
        <v>24</v>
      </c>
      <c r="C22" s="6">
        <f>IF(B$20=0,0,B22/B$20)</f>
        <v>0.4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126</v>
      </c>
      <c r="P22" s="83">
        <f t="shared" si="2"/>
        <v>-4.7666666666666666</v>
      </c>
      <c r="Q22" s="77">
        <v>15</v>
      </c>
      <c r="R22" s="68">
        <v>-71.5</v>
      </c>
    </row>
    <row r="23" spans="1:18" x14ac:dyDescent="0.45">
      <c r="A23" s="19" t="s">
        <v>11</v>
      </c>
      <c r="B23" s="12">
        <v>36</v>
      </c>
      <c r="C23" s="6">
        <f>IF(B$20=0,0,B23/B$20)</f>
        <v>0.6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 t="shared" si="2"/>
        <v>-7.1999999999999993</v>
      </c>
      <c r="Q23" s="77">
        <v>2</v>
      </c>
      <c r="R23" s="68">
        <v>-14.399999999999999</v>
      </c>
    </row>
    <row r="24" spans="1:18" x14ac:dyDescent="0.45">
      <c r="A24" s="19" t="s">
        <v>183</v>
      </c>
      <c r="B24" s="12">
        <v>23</v>
      </c>
      <c r="C24" s="6">
        <f>IF(B$20=0,0,B24/B$20)</f>
        <v>0.38333333333333336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137.19999999999999</v>
      </c>
      <c r="M24" s="117">
        <v>1523.9584309432291</v>
      </c>
    </row>
    <row r="25" spans="1:18" x14ac:dyDescent="0.45">
      <c r="A25" s="19" t="s">
        <v>181</v>
      </c>
      <c r="B25" s="12">
        <v>24</v>
      </c>
      <c r="C25" s="6">
        <f>IF(B$20=0,0,B25/B$20)</f>
        <v>0.4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5">
      <c r="A26" s="19" t="s">
        <v>182</v>
      </c>
      <c r="B26" s="12">
        <v>13</v>
      </c>
      <c r="C26" s="6">
        <f>IF(B$20=0,0,B26/B$20)</f>
        <v>0.21666666666666667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5">
      <c r="A27" s="19" t="s">
        <v>5</v>
      </c>
      <c r="B27" s="16">
        <f>IF(B$20=0,0,C27/B$20)</f>
        <v>8231.6666666666661</v>
      </c>
      <c r="C27" s="8">
        <v>493900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8786.1111111111113</v>
      </c>
      <c r="C28" s="96">
        <v>316300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5">
      <c r="A29" s="20" t="s">
        <v>166</v>
      </c>
      <c r="B29" s="95">
        <f>IF(B$19=0,0,C29/B$19)</f>
        <v>7400</v>
      </c>
      <c r="C29" s="96">
        <v>177600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164</v>
      </c>
      <c r="B30" s="95">
        <f>IF(B$21=0,0,C30/B$21)</f>
        <v>-6732.1428571428569</v>
      </c>
      <c r="C30" s="96">
        <v>-188500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5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30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5.3191489361702126E-3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4</v>
      </c>
      <c r="C37" s="98">
        <f t="shared" ref="C37:C49" si="3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14</v>
      </c>
      <c r="C38" s="6">
        <f t="shared" si="3"/>
        <v>0.23333333333333334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10</v>
      </c>
      <c r="C39" s="6">
        <f t="shared" si="3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9</v>
      </c>
      <c r="C40" s="6">
        <f t="shared" si="3"/>
        <v>0.15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6</v>
      </c>
      <c r="C41" s="6">
        <f t="shared" si="3"/>
        <v>0.1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6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5</v>
      </c>
      <c r="C43" s="6">
        <f t="shared" si="3"/>
        <v>8.3333333333333329E-2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3</v>
      </c>
      <c r="C44" s="6">
        <f t="shared" si="3"/>
        <v>0.05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1</v>
      </c>
      <c r="C45" s="6">
        <f t="shared" si="3"/>
        <v>1.6666666666666666E-2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1</v>
      </c>
      <c r="C46" s="6">
        <f t="shared" si="3"/>
        <v>1.6666666666666666E-2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1</v>
      </c>
      <c r="C47" s="6">
        <f t="shared" si="3"/>
        <v>1.6666666666666666E-2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3DF6E-1B51-4CC6-B000-E82FF9DCEBDF}">
  <sheetPr codeName="Sheet1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32</v>
      </c>
      <c r="C2" s="134"/>
      <c r="E2" s="26" t="s">
        <v>66</v>
      </c>
      <c r="F2" s="23" t="s">
        <v>22</v>
      </c>
      <c r="G2" s="11">
        <v>75</v>
      </c>
      <c r="H2" s="87">
        <f>IF(B$20=0,0,G2/B$20)</f>
        <v>0.77319587628865982</v>
      </c>
      <c r="I2" s="57">
        <v>4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-143.75</v>
      </c>
      <c r="Q2" s="76">
        <v>32</v>
      </c>
      <c r="R2" s="63">
        <v>-4600</v>
      </c>
    </row>
    <row r="3" spans="1:18" x14ac:dyDescent="0.45">
      <c r="A3" s="19" t="s">
        <v>8</v>
      </c>
      <c r="B3" s="135">
        <v>283</v>
      </c>
      <c r="C3" s="136"/>
      <c r="E3" s="27" t="s">
        <v>72</v>
      </c>
      <c r="F3" s="24" t="s">
        <v>27</v>
      </c>
      <c r="G3" s="12">
        <v>62</v>
      </c>
      <c r="H3" s="88">
        <f>IF(B$20=0,0,G3/B$20)</f>
        <v>0.63917525773195871</v>
      </c>
      <c r="I3" s="58">
        <v>4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1933.3333333333333</v>
      </c>
      <c r="Q3" s="77">
        <v>30</v>
      </c>
      <c r="R3" s="64">
        <v>58000</v>
      </c>
    </row>
    <row r="4" spans="1:18" x14ac:dyDescent="0.45">
      <c r="A4" s="19" t="s">
        <v>6</v>
      </c>
      <c r="B4" s="137">
        <v>293.89999999999998</v>
      </c>
      <c r="C4" s="138"/>
      <c r="E4" s="27" t="s">
        <v>159</v>
      </c>
      <c r="F4" s="24" t="s">
        <v>160</v>
      </c>
      <c r="G4" s="12">
        <v>47</v>
      </c>
      <c r="H4" s="88">
        <f>IF(B$20=0,0,G4/B$20)</f>
        <v>0.4845360824742268</v>
      </c>
      <c r="I4" s="58">
        <v>1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800</v>
      </c>
      <c r="Q4" s="77">
        <v>31</v>
      </c>
      <c r="R4" s="64">
        <v>24800</v>
      </c>
    </row>
    <row r="5" spans="1:18" x14ac:dyDescent="0.45">
      <c r="A5" s="19" t="s">
        <v>7</v>
      </c>
      <c r="B5" s="125">
        <f>IF(B$2=0,0,B$4/B$2)</f>
        <v>9.1843749999999993</v>
      </c>
      <c r="C5" s="126"/>
      <c r="E5" s="27" t="s">
        <v>64</v>
      </c>
      <c r="F5" s="24" t="s">
        <v>20</v>
      </c>
      <c r="G5" s="12">
        <v>32</v>
      </c>
      <c r="H5" s="88">
        <f>IF(B$20=0,0,G5/B$20)</f>
        <v>0.32989690721649484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960.71428571428567</v>
      </c>
      <c r="Q5" s="77">
        <v>28</v>
      </c>
      <c r="R5" s="64">
        <v>26900</v>
      </c>
    </row>
    <row r="6" spans="1:18" x14ac:dyDescent="0.45">
      <c r="A6" s="19" t="s">
        <v>196</v>
      </c>
      <c r="B6" s="129">
        <v>1582.0881180259935</v>
      </c>
      <c r="C6" s="130"/>
      <c r="E6" s="27" t="s">
        <v>68</v>
      </c>
      <c r="F6" s="24" t="s">
        <v>12</v>
      </c>
      <c r="G6" s="12">
        <v>27</v>
      </c>
      <c r="H6" s="88">
        <f>IF(B$20=0,0,G6/B$20)</f>
        <v>0.27835051546391754</v>
      </c>
      <c r="I6" s="58">
        <v>8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1553.8461538461538</v>
      </c>
      <c r="Q6" s="77">
        <v>26</v>
      </c>
      <c r="R6" s="64">
        <v>40400</v>
      </c>
    </row>
    <row r="7" spans="1:18" x14ac:dyDescent="0.45">
      <c r="A7" s="19" t="s">
        <v>1</v>
      </c>
      <c r="B7" s="139">
        <f>IF(B$2=0,0,(B$8*1+B$9*2+B$10*3)/B$2)</f>
        <v>1.71875</v>
      </c>
      <c r="C7" s="140"/>
      <c r="E7" s="27" t="s">
        <v>67</v>
      </c>
      <c r="F7" s="24" t="s">
        <v>23</v>
      </c>
      <c r="G7" s="12">
        <v>14</v>
      </c>
      <c r="H7" s="88">
        <f>IF(B$20=0,0,G7/B$20)</f>
        <v>0.14432989690721648</v>
      </c>
      <c r="I7" s="58">
        <v>9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-90</v>
      </c>
      <c r="Q7" s="78">
        <v>20</v>
      </c>
      <c r="R7" s="65">
        <v>-1800</v>
      </c>
    </row>
    <row r="8" spans="1:18" x14ac:dyDescent="0.45">
      <c r="A8" s="19" t="s">
        <v>2</v>
      </c>
      <c r="B8" s="12">
        <v>16</v>
      </c>
      <c r="C8" s="6">
        <f t="shared" ref="C8:C15" si="1">IF(B$2=0,0,B8/B$2)</f>
        <v>0.5</v>
      </c>
      <c r="E8" s="27" t="s">
        <v>70</v>
      </c>
      <c r="F8" s="24" t="s">
        <v>25</v>
      </c>
      <c r="G8" s="12">
        <v>14</v>
      </c>
      <c r="H8" s="88">
        <f>IF(B$20=0,0,G8/B$20)</f>
        <v>0.14432989690721648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0.28125</v>
      </c>
      <c r="E9" s="27" t="s">
        <v>89</v>
      </c>
      <c r="F9" s="24" t="s">
        <v>44</v>
      </c>
      <c r="G9" s="12">
        <v>11</v>
      </c>
      <c r="H9" s="88">
        <f>IF(B$20=0,0,G9/B$20)</f>
        <v>0.1134020618556701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0.21875</v>
      </c>
      <c r="E10" s="27" t="s">
        <v>69</v>
      </c>
      <c r="F10" s="24" t="s">
        <v>24</v>
      </c>
      <c r="G10" s="12">
        <v>8</v>
      </c>
      <c r="H10" s="88">
        <f>IF(B$20=0,0,G10/B$20)</f>
        <v>8.247422680412371E-2</v>
      </c>
      <c r="I10" s="58">
        <v>7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18.3</v>
      </c>
      <c r="Q10" s="76">
        <v>15</v>
      </c>
      <c r="R10" s="67">
        <v>274.5</v>
      </c>
    </row>
    <row r="11" spans="1:18" x14ac:dyDescent="0.45">
      <c r="A11" s="20" t="s">
        <v>184</v>
      </c>
      <c r="B11" s="109">
        <f>IF(B8=0,0,C11/B8)</f>
        <v>36.912500000000001</v>
      </c>
      <c r="C11" s="110">
        <v>590.6</v>
      </c>
      <c r="E11" s="27" t="s">
        <v>71</v>
      </c>
      <c r="F11" s="24" t="s">
        <v>26</v>
      </c>
      <c r="G11" s="12">
        <v>8</v>
      </c>
      <c r="H11" s="88">
        <f>IF(B$20=0,0,G11/B$20)</f>
        <v>8.247422680412371E-2</v>
      </c>
      <c r="I11" s="58">
        <v>2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-3.8916666666666662</v>
      </c>
      <c r="Q11" s="77">
        <v>12</v>
      </c>
      <c r="R11" s="68">
        <v>-46.699999999999996</v>
      </c>
    </row>
    <row r="12" spans="1:18" x14ac:dyDescent="0.45">
      <c r="A12" s="20" t="s">
        <v>185</v>
      </c>
      <c r="B12" s="109">
        <f>IF(B9=0,0,C12/B9)</f>
        <v>-5.4222222222222216</v>
      </c>
      <c r="C12" s="110">
        <v>-48.8</v>
      </c>
      <c r="E12" s="27" t="s">
        <v>78</v>
      </c>
      <c r="F12" s="24" t="s">
        <v>33</v>
      </c>
      <c r="G12" s="12">
        <v>4</v>
      </c>
      <c r="H12" s="88">
        <f>IF(B$20=0,0,G12/B$20)</f>
        <v>4.1237113402061855E-2</v>
      </c>
      <c r="I12" s="58">
        <v>3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13.219999999999999</v>
      </c>
      <c r="Q12" s="78">
        <v>5</v>
      </c>
      <c r="R12" s="69">
        <v>66.099999999999994</v>
      </c>
    </row>
    <row r="13" spans="1:18" x14ac:dyDescent="0.45">
      <c r="A13" s="20" t="s">
        <v>186</v>
      </c>
      <c r="B13" s="109">
        <f>IF(B10=0,0,C13/B10)</f>
        <v>-35.414285714285718</v>
      </c>
      <c r="C13" s="110">
        <v>-247.9</v>
      </c>
      <c r="E13" s="27" t="s">
        <v>65</v>
      </c>
      <c r="F13" s="24" t="s">
        <v>21</v>
      </c>
      <c r="G13" s="12">
        <v>3</v>
      </c>
      <c r="H13" s="88">
        <f>IF(B$20=0,0,G13/B$20)</f>
        <v>3.0927835051546393E-2</v>
      </c>
      <c r="I13" s="58">
        <v>10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-1.3080026455026459</v>
      </c>
      <c r="C14" s="126"/>
      <c r="E14" s="27" t="s">
        <v>79</v>
      </c>
      <c r="F14" s="24" t="s">
        <v>34</v>
      </c>
      <c r="G14" s="12">
        <v>3</v>
      </c>
      <c r="H14" s="88">
        <f>IF(B$20=0,0,G14/B$20)</f>
        <v>3.0927835051546393E-2</v>
      </c>
      <c r="I14" s="58">
        <v>3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6.25E-2</v>
      </c>
      <c r="E15" s="27" t="s">
        <v>86</v>
      </c>
      <c r="F15" s="24" t="s">
        <v>41</v>
      </c>
      <c r="G15" s="12">
        <v>3</v>
      </c>
      <c r="H15" s="88">
        <f>IF(B$20=0,0,G15/B$20)</f>
        <v>3.0927835051546393E-2</v>
      </c>
      <c r="I15" s="58">
        <v>8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5">
      <c r="A16" s="22" t="s">
        <v>121</v>
      </c>
      <c r="B16" s="15">
        <v>63</v>
      </c>
      <c r="C16" s="10">
        <f>IF(B$3=0,0,B16/B$3)</f>
        <v>0.22261484098939929</v>
      </c>
      <c r="E16" s="27" t="s">
        <v>83</v>
      </c>
      <c r="F16" s="24" t="s">
        <v>38</v>
      </c>
      <c r="G16" s="12">
        <v>2</v>
      </c>
      <c r="H16" s="88">
        <f>IF(B$20=0,0,G16/B$20)</f>
        <v>2.0618556701030927E-2</v>
      </c>
      <c r="I16" s="58">
        <v>8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5">
      <c r="A17" s="19" t="s">
        <v>118</v>
      </c>
      <c r="B17" s="12">
        <v>71</v>
      </c>
      <c r="C17" s="6">
        <f>IF(B$3=0,0,B17/B$3)</f>
        <v>0.25088339222614842</v>
      </c>
      <c r="E17" s="27" t="s">
        <v>73</v>
      </c>
      <c r="F17" s="24" t="s">
        <v>28</v>
      </c>
      <c r="G17" s="12">
        <v>1</v>
      </c>
      <c r="H17" s="88">
        <f>IF(B$20=0,0,G17/B$20)</f>
        <v>1.0309278350515464E-2</v>
      </c>
      <c r="I17" s="58">
        <v>2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>IF(Q17=0,0,R17/Q17)</f>
        <v>21.353846153846156</v>
      </c>
      <c r="Q17" s="77">
        <v>13</v>
      </c>
      <c r="R17" s="68">
        <v>277.60000000000002</v>
      </c>
    </row>
    <row r="18" spans="1:18" x14ac:dyDescent="0.45">
      <c r="A18" s="18" t="s">
        <v>123</v>
      </c>
      <c r="B18" s="11">
        <f>B24</f>
        <v>33</v>
      </c>
      <c r="C18" s="5">
        <f>IF(B$16=0,0,B18/B$16)</f>
        <v>0.52380952380952384</v>
      </c>
      <c r="E18" s="27" t="s">
        <v>81</v>
      </c>
      <c r="F18" s="24" t="s">
        <v>36</v>
      </c>
      <c r="G18" s="12">
        <v>1</v>
      </c>
      <c r="H18" s="88">
        <f>IF(B$20=0,0,G18/B$20)</f>
        <v>1.0309278350515464E-2</v>
      </c>
      <c r="I18" s="58">
        <v>9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>IF(Q18=0,0,R18/Q18)</f>
        <v>17</v>
      </c>
      <c r="Q18" s="77">
        <v>1</v>
      </c>
      <c r="R18" s="68">
        <v>17</v>
      </c>
    </row>
    <row r="19" spans="1:18" x14ac:dyDescent="0.45">
      <c r="A19" s="18" t="s">
        <v>124</v>
      </c>
      <c r="B19" s="11">
        <f>B25</f>
        <v>35</v>
      </c>
      <c r="C19" s="5">
        <f>IF(B$17=0,0,B19/B$17)</f>
        <v>0.49295774647887325</v>
      </c>
      <c r="E19" s="27" t="s">
        <v>88</v>
      </c>
      <c r="F19" s="24" t="s">
        <v>43</v>
      </c>
      <c r="G19" s="12">
        <v>1</v>
      </c>
      <c r="H19" s="88">
        <f>IF(B$20=0,0,G19/B$20)</f>
        <v>1.0309278350515464E-2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>IF(Q19=0,0,R19/Q19)</f>
        <v>14.785714285714286</v>
      </c>
      <c r="Q19" s="77">
        <v>7</v>
      </c>
      <c r="R19" s="68">
        <v>103.5</v>
      </c>
    </row>
    <row r="20" spans="1:18" x14ac:dyDescent="0.45">
      <c r="A20" s="18" t="s">
        <v>10</v>
      </c>
      <c r="B20" s="11">
        <f>B23+B22</f>
        <v>97</v>
      </c>
      <c r="C20" s="5">
        <f>IF(B$3=0,0,B20/B$3)</f>
        <v>0.34275618374558303</v>
      </c>
      <c r="E20" s="27" t="s">
        <v>92</v>
      </c>
      <c r="F20" s="24" t="s">
        <v>47</v>
      </c>
      <c r="G20" s="12">
        <v>1</v>
      </c>
      <c r="H20" s="88">
        <f>IF(B$20=0,0,G20/B$20)</f>
        <v>1.0309278350515464E-2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>IF(Q20=0,0,R20/Q20)</f>
        <v>13.838461538461537</v>
      </c>
      <c r="Q20" s="77">
        <v>26</v>
      </c>
      <c r="R20" s="68">
        <v>359.79999999999995</v>
      </c>
    </row>
    <row r="21" spans="1:18" x14ac:dyDescent="0.45">
      <c r="A21" s="19" t="s">
        <v>13</v>
      </c>
      <c r="B21" s="12">
        <v>39</v>
      </c>
      <c r="C21" s="6">
        <f>IF(B$3=0,0,B21/B$3)</f>
        <v>0.13780918727915195</v>
      </c>
      <c r="E21" s="27" t="s">
        <v>102</v>
      </c>
      <c r="F21" s="24" t="s">
        <v>57</v>
      </c>
      <c r="G21" s="12">
        <v>1</v>
      </c>
      <c r="H21" s="88">
        <f>IF(B$20=0,0,G21/B$20)</f>
        <v>1.0309278350515464E-2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>IF(Q21=0,0,R21/Q21)</f>
        <v>3.0714285714285707</v>
      </c>
      <c r="Q21" s="77">
        <v>7</v>
      </c>
      <c r="R21" s="68">
        <v>21.499999999999996</v>
      </c>
    </row>
    <row r="22" spans="1:18" x14ac:dyDescent="0.45">
      <c r="A22" s="19" t="s">
        <v>12</v>
      </c>
      <c r="B22" s="12">
        <v>40</v>
      </c>
      <c r="C22" s="6">
        <f>IF(B$20=0,0,B22/B$20)</f>
        <v>0.41237113402061853</v>
      </c>
      <c r="E22" s="27" t="s">
        <v>155</v>
      </c>
      <c r="F22" s="24" t="s">
        <v>156</v>
      </c>
      <c r="G22" s="12">
        <v>1</v>
      </c>
      <c r="H22" s="88">
        <f>IF(B$20=0,0,G22/B$20)</f>
        <v>1.0309278350515464E-2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>IF(Q22=0,0,R22/Q22)</f>
        <v>-28.799999999999997</v>
      </c>
      <c r="Q22" s="77">
        <v>4</v>
      </c>
      <c r="R22" s="68">
        <v>-115.19999999999999</v>
      </c>
    </row>
    <row r="23" spans="1:18" x14ac:dyDescent="0.45">
      <c r="A23" s="19" t="s">
        <v>11</v>
      </c>
      <c r="B23" s="12">
        <v>57</v>
      </c>
      <c r="C23" s="6">
        <f>IF(B$20=0,0,B23/B$20)</f>
        <v>0.58762886597938147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5">
      <c r="A24" s="19" t="s">
        <v>183</v>
      </c>
      <c r="B24" s="12">
        <v>33</v>
      </c>
      <c r="C24" s="6">
        <f>IF(B$20=0,0,B24/B$20)</f>
        <v>0.34020618556701032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103</v>
      </c>
      <c r="M24" s="117">
        <v>1545.0727283511251</v>
      </c>
    </row>
    <row r="25" spans="1:18" x14ac:dyDescent="0.45">
      <c r="A25" s="19" t="s">
        <v>181</v>
      </c>
      <c r="B25" s="12">
        <v>35</v>
      </c>
      <c r="C25" s="6">
        <f>IF(B$20=0,0,B25/B$20)</f>
        <v>0.36082474226804123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5">
      <c r="A26" s="19" t="s">
        <v>182</v>
      </c>
      <c r="B26" s="12">
        <v>29</v>
      </c>
      <c r="C26" s="6">
        <f>IF(B$20=0,0,B26/B$20)</f>
        <v>0.29896907216494845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5">
      <c r="A27" s="19" t="s">
        <v>5</v>
      </c>
      <c r="B27" s="16">
        <f>IF(B$20=0,0,C27/B$20)</f>
        <v>7967.0103092783502</v>
      </c>
      <c r="C27" s="8">
        <v>772800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230.09999999999997</v>
      </c>
      <c r="M27" s="117">
        <v>1568.9703635597573</v>
      </c>
    </row>
    <row r="28" spans="1:18" x14ac:dyDescent="0.45">
      <c r="A28" s="20" t="s">
        <v>165</v>
      </c>
      <c r="B28" s="95">
        <f>IF($B$20-B$19=0,0,C28/($B$20-B$19))</f>
        <v>9470.967741935483</v>
      </c>
      <c r="C28" s="96">
        <v>587200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5">
      <c r="A29" s="20" t="s">
        <v>166</v>
      </c>
      <c r="B29" s="95">
        <f>IF(B$19=0,0,C29/B$19)</f>
        <v>5302.8571428571431</v>
      </c>
      <c r="C29" s="96">
        <v>185600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5">
      <c r="A30" s="20" t="s">
        <v>164</v>
      </c>
      <c r="B30" s="95">
        <f>IF(B$21=0,0,C30/B$21)</f>
        <v>-7448.7179487179483</v>
      </c>
      <c r="C30" s="96">
        <v>-290500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5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5">
      <c r="A32" s="19" t="s">
        <v>158</v>
      </c>
      <c r="B32" s="12">
        <v>30</v>
      </c>
      <c r="C32" s="90">
        <v>22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252.59999999999997</v>
      </c>
      <c r="M32" s="117">
        <v>1574.2506528365298</v>
      </c>
    </row>
    <row r="33" spans="1:13" x14ac:dyDescent="0.45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297.2</v>
      </c>
      <c r="M33" s="117">
        <v>1582.5051489195105</v>
      </c>
    </row>
    <row r="34" spans="1:13" x14ac:dyDescent="0.45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293.89999999999998</v>
      </c>
      <c r="M34" s="117">
        <v>1582.0881180259935</v>
      </c>
    </row>
    <row r="35" spans="1:13" x14ac:dyDescent="0.45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</row>
    <row r="37" spans="1:13" x14ac:dyDescent="0.45">
      <c r="A37" s="54" t="s">
        <v>171</v>
      </c>
      <c r="B37" s="123">
        <v>10</v>
      </c>
      <c r="C37" s="98">
        <f t="shared" ref="C37:C49" si="2">IF(B$20=0,0,B37/B$20)</f>
        <v>0.10309278350515463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</row>
    <row r="38" spans="1:13" x14ac:dyDescent="0.45">
      <c r="A38" s="19" t="s">
        <v>167</v>
      </c>
      <c r="B38" s="12">
        <v>22</v>
      </c>
      <c r="C38" s="6">
        <f t="shared" si="2"/>
        <v>0.22680412371134021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</row>
    <row r="39" spans="1:13" x14ac:dyDescent="0.45">
      <c r="A39" s="19" t="s">
        <v>168</v>
      </c>
      <c r="B39" s="124">
        <v>21</v>
      </c>
      <c r="C39" s="6">
        <f t="shared" si="2"/>
        <v>0.21649484536082475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169</v>
      </c>
      <c r="B40" s="124">
        <v>15</v>
      </c>
      <c r="C40" s="6">
        <f t="shared" si="2"/>
        <v>0.15463917525773196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170</v>
      </c>
      <c r="B41" s="124">
        <v>13</v>
      </c>
      <c r="C41" s="6">
        <f t="shared" si="2"/>
        <v>0.13402061855670103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</row>
    <row r="42" spans="1:13" x14ac:dyDescent="0.45">
      <c r="A42" s="19" t="s">
        <v>172</v>
      </c>
      <c r="B42" s="124">
        <v>3</v>
      </c>
      <c r="C42" s="6">
        <f t="shared" si="2"/>
        <v>3.0927835051546393E-2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173</v>
      </c>
      <c r="B43" s="124">
        <v>7</v>
      </c>
      <c r="C43" s="6">
        <f t="shared" si="2"/>
        <v>7.2164948453608241E-2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174</v>
      </c>
      <c r="B44" s="124">
        <v>2</v>
      </c>
      <c r="C44" s="6">
        <f t="shared" si="2"/>
        <v>2.0618556701030927E-2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175</v>
      </c>
      <c r="B45" s="124">
        <v>1</v>
      </c>
      <c r="C45" s="6">
        <f t="shared" si="2"/>
        <v>1.0309278350515464E-2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176</v>
      </c>
      <c r="B46" s="124">
        <v>1</v>
      </c>
      <c r="C46" s="6">
        <f t="shared" si="2"/>
        <v>1.0309278350515464E-2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13" x14ac:dyDescent="0.45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2</v>
      </c>
      <c r="C49" s="9">
        <f t="shared" si="2"/>
        <v>2.0618556701030927E-2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53932-1757-4D90-9AFE-BC2EB9350461}">
  <sheetPr codeName="Sheet1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16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0.5357142857142857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-1568.75</v>
      </c>
      <c r="Q2" s="76">
        <v>16</v>
      </c>
      <c r="R2" s="63">
        <v>-25100</v>
      </c>
    </row>
    <row r="3" spans="1:18" x14ac:dyDescent="0.45">
      <c r="A3" s="19" t="s">
        <v>8</v>
      </c>
      <c r="B3" s="135">
        <v>124</v>
      </c>
      <c r="C3" s="136"/>
      <c r="E3" s="27" t="s">
        <v>72</v>
      </c>
      <c r="F3" s="24" t="s">
        <v>27</v>
      </c>
      <c r="G3" s="12">
        <v>14</v>
      </c>
      <c r="H3" s="88">
        <f>IF(B$20=0,0,G3/B$20)</f>
        <v>0.5</v>
      </c>
      <c r="I3" s="58">
        <v>9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-1600</v>
      </c>
      <c r="Q3" s="77">
        <v>16</v>
      </c>
      <c r="R3" s="64">
        <v>-25600</v>
      </c>
    </row>
    <row r="4" spans="1:18" x14ac:dyDescent="0.45">
      <c r="A4" s="19" t="s">
        <v>6</v>
      </c>
      <c r="B4" s="137">
        <v>-148.19999999999999</v>
      </c>
      <c r="C4" s="138"/>
      <c r="E4" s="27" t="s">
        <v>64</v>
      </c>
      <c r="F4" s="24" t="s">
        <v>20</v>
      </c>
      <c r="G4" s="12">
        <v>12</v>
      </c>
      <c r="H4" s="88">
        <f>IF(B$20=0,0,G4/B$20)</f>
        <v>0.42857142857142855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-4525</v>
      </c>
      <c r="Q4" s="77">
        <v>16</v>
      </c>
      <c r="R4" s="64">
        <v>-72400</v>
      </c>
    </row>
    <row r="5" spans="1:18" x14ac:dyDescent="0.45">
      <c r="A5" s="19" t="s">
        <v>7</v>
      </c>
      <c r="B5" s="125">
        <f>IF(B$2=0,0,B$4/B$2)</f>
        <v>-9.2624999999999993</v>
      </c>
      <c r="C5" s="126"/>
      <c r="E5" s="27" t="s">
        <v>159</v>
      </c>
      <c r="F5" s="24" t="s">
        <v>160</v>
      </c>
      <c r="G5" s="12">
        <v>11</v>
      </c>
      <c r="H5" s="88">
        <f>IF(B$20=0,0,G5/B$20)</f>
        <v>0.39285714285714285</v>
      </c>
      <c r="I5" s="58">
        <v>4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-406.66666666666669</v>
      </c>
      <c r="Q5" s="77">
        <v>15</v>
      </c>
      <c r="R5" s="64">
        <v>-6100</v>
      </c>
    </row>
    <row r="6" spans="1:18" x14ac:dyDescent="0.45">
      <c r="A6" s="19" t="s">
        <v>196</v>
      </c>
      <c r="B6" s="129">
        <v>1480.2801364124439</v>
      </c>
      <c r="C6" s="130"/>
      <c r="E6" s="27" t="s">
        <v>68</v>
      </c>
      <c r="F6" s="24" t="s">
        <v>12</v>
      </c>
      <c r="G6" s="12">
        <v>8</v>
      </c>
      <c r="H6" s="88">
        <f>IF(B$20=0,0,G6/B$20)</f>
        <v>0.2857142857142857</v>
      </c>
      <c r="I6" s="58">
        <v>7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-283.33333333333331</v>
      </c>
      <c r="Q6" s="77">
        <v>12</v>
      </c>
      <c r="R6" s="64">
        <v>-3400</v>
      </c>
    </row>
    <row r="7" spans="1:18" x14ac:dyDescent="0.45">
      <c r="A7" s="19" t="s">
        <v>1</v>
      </c>
      <c r="B7" s="139">
        <f>IF(B$2=0,0,(B$8*1+B$9*2+B$10*3)/B$2)</f>
        <v>2.1875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0.21428571428571427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2945.4545454545455</v>
      </c>
      <c r="Q7" s="78">
        <v>11</v>
      </c>
      <c r="R7" s="65">
        <v>32400</v>
      </c>
    </row>
    <row r="8" spans="1:18" x14ac:dyDescent="0.45">
      <c r="A8" s="19" t="s">
        <v>2</v>
      </c>
      <c r="B8" s="12">
        <v>4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4</v>
      </c>
      <c r="H8" s="88">
        <f>IF(B$20=0,0,G8/B$20)</f>
        <v>0.14285714285714285</v>
      </c>
      <c r="I8" s="58">
        <v>3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5">
      <c r="A9" s="19" t="s">
        <v>3</v>
      </c>
      <c r="B9" s="12">
        <v>5</v>
      </c>
      <c r="C9" s="6">
        <f t="shared" si="1"/>
        <v>0.3125</v>
      </c>
      <c r="E9" s="27" t="s">
        <v>70</v>
      </c>
      <c r="F9" s="24" t="s">
        <v>25</v>
      </c>
      <c r="G9" s="12">
        <v>4</v>
      </c>
      <c r="H9" s="88">
        <f>IF(B$20=0,0,G9/B$20)</f>
        <v>0.14285714285714285</v>
      </c>
      <c r="I9" s="58">
        <v>3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7</v>
      </c>
      <c r="C10" s="7">
        <f t="shared" si="1"/>
        <v>0.4375</v>
      </c>
      <c r="E10" s="27" t="s">
        <v>67</v>
      </c>
      <c r="F10" s="24" t="s">
        <v>23</v>
      </c>
      <c r="G10" s="12">
        <v>3</v>
      </c>
      <c r="H10" s="88">
        <f>IF(B$20=0,0,G10/B$20)</f>
        <v>0.10714285714285714</v>
      </c>
      <c r="I10" s="58">
        <v>10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5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0.10714285714285714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-25.1</v>
      </c>
      <c r="Q11" s="77">
        <v>4</v>
      </c>
      <c r="R11" s="68">
        <v>-100.4</v>
      </c>
    </row>
    <row r="12" spans="1:18" x14ac:dyDescent="0.45">
      <c r="A12" s="20" t="s">
        <v>185</v>
      </c>
      <c r="B12" s="109">
        <f>IF(B9=0,0,C12/B9)</f>
        <v>-3.66</v>
      </c>
      <c r="C12" s="110">
        <v>-18.3</v>
      </c>
      <c r="E12" s="27" t="s">
        <v>69</v>
      </c>
      <c r="F12" s="24" t="s">
        <v>24</v>
      </c>
      <c r="G12" s="12">
        <v>2</v>
      </c>
      <c r="H12" s="88">
        <f>IF(B$20=0,0,G12/B$20)</f>
        <v>7.1428571428571425E-2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5">
      <c r="A13" s="20" t="s">
        <v>186</v>
      </c>
      <c r="B13" s="109">
        <f>IF(B10=0,0,C13/B10)</f>
        <v>-40.771428571428565</v>
      </c>
      <c r="C13" s="110">
        <v>-285.39999999999998</v>
      </c>
      <c r="E13" s="27" t="s">
        <v>71</v>
      </c>
      <c r="F13" s="24" t="s">
        <v>26</v>
      </c>
      <c r="G13" s="12">
        <v>2</v>
      </c>
      <c r="H13" s="88">
        <f>IF(B$20=0,0,G13/B$20)</f>
        <v>7.1428571428571425E-2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-1.852142857142854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7.1428571428571425E-2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0.125</v>
      </c>
      <c r="E15" s="27" t="s">
        <v>81</v>
      </c>
      <c r="F15" s="24" t="s">
        <v>36</v>
      </c>
      <c r="G15" s="12">
        <v>1</v>
      </c>
      <c r="H15" s="88">
        <f>IF(B$20=0,0,G15/B$20)</f>
        <v>3.5714285714285712E-2</v>
      </c>
      <c r="I15" s="58">
        <v>5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5">
      <c r="A16" s="22" t="s">
        <v>121</v>
      </c>
      <c r="B16" s="15">
        <v>29</v>
      </c>
      <c r="C16" s="10">
        <f>IF(B$3=0,0,B16/B$3)</f>
        <v>0.23387096774193547</v>
      </c>
      <c r="E16" s="27" t="s">
        <v>85</v>
      </c>
      <c r="F16" s="24" t="s">
        <v>40</v>
      </c>
      <c r="G16" s="12">
        <v>1</v>
      </c>
      <c r="H16" s="88">
        <f>IF(B$20=0,0,G16/B$20)</f>
        <v>3.5714285714285712E-2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5">
      <c r="A17" s="19" t="s">
        <v>118</v>
      </c>
      <c r="B17" s="12">
        <v>23</v>
      </c>
      <c r="C17" s="6">
        <f>IF(B$3=0,0,B17/B$3)</f>
        <v>0.18548387096774194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5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-15.227272727272727</v>
      </c>
      <c r="Q17" s="77">
        <v>11</v>
      </c>
      <c r="R17" s="68">
        <v>-167.5</v>
      </c>
    </row>
    <row r="18" spans="1:18" x14ac:dyDescent="0.45">
      <c r="A18" s="18" t="s">
        <v>123</v>
      </c>
      <c r="B18" s="11">
        <f>B24</f>
        <v>14</v>
      </c>
      <c r="C18" s="5">
        <f>IF(B$16=0,0,B18/B$16)</f>
        <v>0.48275862068965519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5">
      <c r="A19" s="18" t="s">
        <v>124</v>
      </c>
      <c r="B19" s="11">
        <f>B25</f>
        <v>7</v>
      </c>
      <c r="C19" s="5">
        <f>IF(B$17=0,0,B19/B$17)</f>
        <v>0.30434782608695654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5">
      <c r="A20" s="18" t="s">
        <v>10</v>
      </c>
      <c r="B20" s="11">
        <f>B23+B22</f>
        <v>28</v>
      </c>
      <c r="C20" s="5">
        <f>IF(B$3=0,0,B20/B$3)</f>
        <v>0.22580645161290322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163</v>
      </c>
      <c r="P20" s="83">
        <f t="shared" si="2"/>
        <v>-39.880000000000003</v>
      </c>
      <c r="Q20" s="77">
        <v>5</v>
      </c>
      <c r="R20" s="68">
        <v>-199.4</v>
      </c>
    </row>
    <row r="21" spans="1:18" x14ac:dyDescent="0.45">
      <c r="A21" s="19" t="s">
        <v>13</v>
      </c>
      <c r="B21" s="12">
        <v>27</v>
      </c>
      <c r="C21" s="6">
        <f>IF(B$3=0,0,B21/B$3)</f>
        <v>0.21774193548387097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8</v>
      </c>
    </row>
    <row r="22" spans="1:18" x14ac:dyDescent="0.45">
      <c r="A22" s="19" t="s">
        <v>12</v>
      </c>
      <c r="B22" s="12">
        <v>12</v>
      </c>
      <c r="C22" s="6">
        <f>IF(B$20=0,0,B22/B$20)</f>
        <v>0.42857142857142855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5">
      <c r="A23" s="19" t="s">
        <v>11</v>
      </c>
      <c r="B23" s="12">
        <v>16</v>
      </c>
      <c r="C23" s="6">
        <f>IF(B$20=0,0,B23/B$20)</f>
        <v>0.5714285714285714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14</v>
      </c>
      <c r="C24" s="6">
        <f>IF(B$20=0,0,B24/B$20)</f>
        <v>0.5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7</v>
      </c>
      <c r="C25" s="6">
        <f>IF(B$20=0,0,B25/B$20)</f>
        <v>0.25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7</v>
      </c>
      <c r="C26" s="6">
        <f>IF(B$20=0,0,B26/B$20)</f>
        <v>0.25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7367.8571428571431</v>
      </c>
      <c r="C27" s="8">
        <v>206300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8190.4761904761908</v>
      </c>
      <c r="C28" s="96">
        <v>172000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-7988.8888888888887</v>
      </c>
      <c r="C30" s="96">
        <v>-215700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17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5</v>
      </c>
      <c r="C37" s="98">
        <f t="shared" ref="C37:C49" si="3">IF(B$20=0,0,B37/B$20)</f>
        <v>0.17857142857142858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6</v>
      </c>
      <c r="C38" s="6">
        <f t="shared" si="3"/>
        <v>0.21428571428571427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3"/>
        <v>3.5714285714285712E-2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6</v>
      </c>
      <c r="C40" s="6">
        <f t="shared" si="3"/>
        <v>0.21428571428571427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4</v>
      </c>
      <c r="C41" s="6">
        <f t="shared" si="3"/>
        <v>0.14285714285714285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3</v>
      </c>
      <c r="C42" s="6">
        <f t="shared" si="3"/>
        <v>0.10714285714285714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2</v>
      </c>
      <c r="C43" s="6">
        <f t="shared" si="3"/>
        <v>7.1428571428571425E-2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3"/>
        <v>3.5714285714285712E-2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B3BB-0E90-4935-8404-B50392BE42B2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5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6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5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5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5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5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5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4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5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5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5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5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5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5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8</v>
      </c>
    </row>
    <row r="21" spans="1:18" x14ac:dyDescent="0.45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48DB-9B7B-4D79-A163-CE0BCBD5527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8</v>
      </c>
      <c r="H2" s="87">
        <f>IF(B$20=0,0,G2/B$20)</f>
        <v>0.72727272727272729</v>
      </c>
      <c r="I2" s="57">
        <v>9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-7283.333333333333</v>
      </c>
      <c r="Q2" s="76">
        <v>6</v>
      </c>
      <c r="R2" s="63">
        <v>-43700</v>
      </c>
    </row>
    <row r="3" spans="1:18" x14ac:dyDescent="0.45">
      <c r="A3" s="19" t="s">
        <v>8</v>
      </c>
      <c r="B3" s="135">
        <v>49</v>
      </c>
      <c r="C3" s="136"/>
      <c r="E3" s="27" t="s">
        <v>68</v>
      </c>
      <c r="F3" s="24" t="s">
        <v>12</v>
      </c>
      <c r="G3" s="12">
        <v>8</v>
      </c>
      <c r="H3" s="88">
        <f>IF(B$20=0,0,G3/B$20)</f>
        <v>0.72727272727272729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3080</v>
      </c>
      <c r="Q3" s="77">
        <v>5</v>
      </c>
      <c r="R3" s="64">
        <v>15400</v>
      </c>
    </row>
    <row r="4" spans="1:18" x14ac:dyDescent="0.45">
      <c r="A4" s="19" t="s">
        <v>6</v>
      </c>
      <c r="B4" s="137">
        <v>-118.3</v>
      </c>
      <c r="C4" s="138"/>
      <c r="E4" s="27" t="s">
        <v>64</v>
      </c>
      <c r="F4" s="24" t="s">
        <v>20</v>
      </c>
      <c r="G4" s="12">
        <v>7</v>
      </c>
      <c r="H4" s="88">
        <f>IF(B$20=0,0,G4/B$20)</f>
        <v>0.63636363636363635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-2700</v>
      </c>
      <c r="Q4" s="77">
        <v>6</v>
      </c>
      <c r="R4" s="64">
        <v>-16200</v>
      </c>
    </row>
    <row r="5" spans="1:18" x14ac:dyDescent="0.45">
      <c r="A5" s="19" t="s">
        <v>7</v>
      </c>
      <c r="B5" s="125">
        <f>IF(B$2=0,0,B$4/B$2)</f>
        <v>-19.716666666666665</v>
      </c>
      <c r="C5" s="126"/>
      <c r="E5" s="27" t="s">
        <v>67</v>
      </c>
      <c r="F5" s="24" t="s">
        <v>23</v>
      </c>
      <c r="G5" s="12">
        <v>7</v>
      </c>
      <c r="H5" s="88">
        <f>IF(B$20=0,0,G5/B$20)</f>
        <v>0.63636363636363635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-5340</v>
      </c>
      <c r="Q5" s="77">
        <v>5</v>
      </c>
      <c r="R5" s="64">
        <v>-26700</v>
      </c>
    </row>
    <row r="6" spans="1:18" x14ac:dyDescent="0.45">
      <c r="A6" s="19" t="s">
        <v>196</v>
      </c>
      <c r="B6" s="129">
        <v>1377.2761788230373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0.45454545454545453</v>
      </c>
      <c r="I6" s="58">
        <v>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540</v>
      </c>
      <c r="Q6" s="77">
        <v>5</v>
      </c>
      <c r="R6" s="64">
        <v>2700</v>
      </c>
    </row>
    <row r="7" spans="1:18" x14ac:dyDescent="0.45">
      <c r="A7" s="19" t="s">
        <v>1</v>
      </c>
      <c r="B7" s="139">
        <f>IF(B$2=0,0,(B$8*1+B$9*2+B$10*3)/B$2)</f>
        <v>2.3333333333333335</v>
      </c>
      <c r="C7" s="140"/>
      <c r="E7" s="27" t="s">
        <v>72</v>
      </c>
      <c r="F7" s="24" t="s">
        <v>27</v>
      </c>
      <c r="G7" s="12">
        <v>4</v>
      </c>
      <c r="H7" s="88">
        <f>IF(B$20=0,0,G7/B$20)</f>
        <v>0.36363636363636365</v>
      </c>
      <c r="I7" s="58">
        <v>11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100</v>
      </c>
      <c r="Q7" s="78">
        <v>5</v>
      </c>
      <c r="R7" s="65">
        <v>500</v>
      </c>
    </row>
    <row r="8" spans="1:18" x14ac:dyDescent="0.45">
      <c r="A8" s="19" t="s">
        <v>2</v>
      </c>
      <c r="B8" s="12">
        <v>2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3</v>
      </c>
      <c r="H8" s="88">
        <f>IF(B$20=0,0,G8/B$20)</f>
        <v>0.27272727272727271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0.18181818181818182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0.66666666666666663</v>
      </c>
      <c r="E10" s="27" t="s">
        <v>70</v>
      </c>
      <c r="F10" s="24" t="s">
        <v>25</v>
      </c>
      <c r="G10" s="12">
        <v>1</v>
      </c>
      <c r="H10" s="88">
        <f>IF(B$20=0,0,G10/B$20)</f>
        <v>9.0909090909090912E-2</v>
      </c>
      <c r="I10" s="58">
        <v>6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5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-17.05</v>
      </c>
      <c r="Q11" s="77">
        <v>2</v>
      </c>
      <c r="R11" s="68">
        <v>-34.1</v>
      </c>
    </row>
    <row r="12" spans="1:18" x14ac:dyDescent="0.45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5</v>
      </c>
      <c r="O12" s="75" t="s">
        <v>153</v>
      </c>
      <c r="P12" s="84">
        <f>IF(Q12=0,0,R12/Q12)</f>
        <v>-20</v>
      </c>
      <c r="Q12" s="78">
        <v>3</v>
      </c>
      <c r="R12" s="69">
        <v>-60</v>
      </c>
    </row>
    <row r="13" spans="1:18" x14ac:dyDescent="0.45">
      <c r="A13" s="20" t="s">
        <v>186</v>
      </c>
      <c r="B13" s="109">
        <f>IF(B10=0,0,C13/B10)</f>
        <v>-40.15</v>
      </c>
      <c r="C13" s="110">
        <v>-160.6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-6.333333333333333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0.33333333333333331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221</v>
      </c>
      <c r="P15" s="82">
        <f>IF(Q15=0,0,R15/Q15)</f>
        <v>3.6500000000000004</v>
      </c>
      <c r="Q15" s="76">
        <v>2</v>
      </c>
      <c r="R15" s="67">
        <v>7.3000000000000007</v>
      </c>
    </row>
    <row r="16" spans="1:18" x14ac:dyDescent="0.45">
      <c r="A16" s="22" t="s">
        <v>121</v>
      </c>
      <c r="B16" s="15">
        <v>10</v>
      </c>
      <c r="C16" s="10">
        <f>IF(B$3=0,0,B16/B$3)</f>
        <v>0.20408163265306123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-33.85</v>
      </c>
      <c r="Q16" s="77">
        <v>4</v>
      </c>
      <c r="R16" s="68">
        <v>-135.4</v>
      </c>
    </row>
    <row r="17" spans="1:18" x14ac:dyDescent="0.45">
      <c r="A17" s="19" t="s">
        <v>118</v>
      </c>
      <c r="B17" s="12">
        <v>3</v>
      </c>
      <c r="C17" s="6">
        <f>IF(B$3=0,0,B17/B$3)</f>
        <v>6.1224489795918366E-2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8</v>
      </c>
      <c r="O17" s="74" t="s">
        <v>192</v>
      </c>
      <c r="P17" s="83">
        <f>IF(Q17=0,0,R17/Q17)</f>
        <v>-36.479999999999997</v>
      </c>
      <c r="Q17" s="77">
        <v>5</v>
      </c>
      <c r="R17" s="68">
        <v>-182.39999999999998</v>
      </c>
    </row>
    <row r="18" spans="1:18" x14ac:dyDescent="0.45">
      <c r="A18" s="18" t="s">
        <v>123</v>
      </c>
      <c r="B18" s="11">
        <f>B24</f>
        <v>7</v>
      </c>
      <c r="C18" s="5">
        <f>IF(B$16=0,0,B18/B$16)</f>
        <v>0.7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7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0.66666666666666663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5">
      <c r="A20" s="18" t="s">
        <v>10</v>
      </c>
      <c r="B20" s="11">
        <f>B23+B22</f>
        <v>11</v>
      </c>
      <c r="C20" s="5">
        <f>IF(B$3=0,0,B20/B$3)</f>
        <v>0.22448979591836735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10</v>
      </c>
    </row>
    <row r="21" spans="1:18" x14ac:dyDescent="0.45">
      <c r="A21" s="19" t="s">
        <v>13</v>
      </c>
      <c r="B21" s="12">
        <v>9</v>
      </c>
      <c r="C21" s="6">
        <f>IF(B$3=0,0,B21/B$3)</f>
        <v>0.18367346938775511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8</v>
      </c>
      <c r="C22" s="6">
        <f>IF(B$20=0,0,B22/B$20)</f>
        <v>0.72727272727272729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9</v>
      </c>
    </row>
    <row r="23" spans="1:18" x14ac:dyDescent="0.45">
      <c r="A23" s="19" t="s">
        <v>11</v>
      </c>
      <c r="B23" s="12">
        <v>3</v>
      </c>
      <c r="C23" s="6">
        <f>IF(B$20=0,0,B23/B$20)</f>
        <v>0.27272727272727271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183</v>
      </c>
      <c r="B24" s="12">
        <v>7</v>
      </c>
      <c r="C24" s="6">
        <f>IF(B$20=0,0,B24/B$20)</f>
        <v>0.63636363636363635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5">
      <c r="A25" s="19" t="s">
        <v>181</v>
      </c>
      <c r="B25" s="12">
        <v>2</v>
      </c>
      <c r="C25" s="6">
        <f>IF(B$20=0,0,B25/B$20)</f>
        <v>0.18181818181818182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5">
      <c r="A26" s="19" t="s">
        <v>182</v>
      </c>
      <c r="B26" s="12">
        <v>2</v>
      </c>
      <c r="C26" s="6">
        <f>IF(B$20=0,0,B26/B$20)</f>
        <v>0.18181818181818182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5">
      <c r="A27" s="19" t="s">
        <v>5</v>
      </c>
      <c r="B27" s="16">
        <f>IF(B$20=0,0,C27/B$20)</f>
        <v>8272.7272727272721</v>
      </c>
      <c r="C27" s="8">
        <v>91000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5</v>
      </c>
    </row>
    <row r="28" spans="1:18" x14ac:dyDescent="0.45">
      <c r="A28" s="20" t="s">
        <v>165</v>
      </c>
      <c r="B28" s="95">
        <f>IF($B$20-B$19=0,0,C28/($B$20-B$19))</f>
        <v>8822.2222222222226</v>
      </c>
      <c r="C28" s="96">
        <v>79400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5">
      <c r="A29" s="20" t="s">
        <v>166</v>
      </c>
      <c r="B29" s="95">
        <f>IF(B$19=0,0,C29/B$19)</f>
        <v>5800</v>
      </c>
      <c r="C29" s="96">
        <v>11600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-7666.666666666667</v>
      </c>
      <c r="C30" s="96">
        <v>-69000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15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1</v>
      </c>
      <c r="C35" s="9">
        <f>IF(B$3=0,0,B35/B$3)</f>
        <v>2.0408163265306121E-2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2</v>
      </c>
      <c r="C38" s="6">
        <f t="shared" si="2"/>
        <v>0.18181818181818182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3</v>
      </c>
      <c r="C39" s="6">
        <f t="shared" si="2"/>
        <v>0.27272727272727271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0.18181818181818182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2</v>
      </c>
      <c r="C41" s="6">
        <f t="shared" si="2"/>
        <v>0.18181818181818182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1</v>
      </c>
      <c r="C42" s="6">
        <f t="shared" si="2"/>
        <v>9.0909090909090912E-2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1</v>
      </c>
      <c r="C44" s="6">
        <f t="shared" si="2"/>
        <v>9.0909090909090912E-2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A7DE-DB73-4373-94A4-5221EAA383FD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5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5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5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5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4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5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5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5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5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5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5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5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5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5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5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10</v>
      </c>
    </row>
    <row r="22" spans="1:18" x14ac:dyDescent="0.45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5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5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5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5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5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5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5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5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5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5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5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5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5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D52-816F-490F-96CA-82AAB86153E1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5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F3C86-77D7-4C79-B4C9-9BAFDB655C8B}">
  <sheetPr codeName="Sheet24"/>
  <dimension ref="A1:Q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5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5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5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5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6A7C-8328-4D99-ABE9-F9F6880A75EE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5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5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5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8FCE-C98F-48B2-B7A7-D69D1B8AF486}">
  <sheetPr codeName="Sheet20"/>
  <dimension ref="A1:Q1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5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5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5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5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5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5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5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5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5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5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5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5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5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5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5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783D5-B4E2-4583-AD25-72CA202ACB3F}">
  <sheetPr codeName="Sheet18"/>
  <dimension ref="A1:Q3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5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5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5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5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5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5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5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5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5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5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5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5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5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5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5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5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5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5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5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5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5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5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5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5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5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5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5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5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5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5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9370D-2606-4D49-A722-84B46D015DED}">
  <sheetPr codeName="Sheet16"/>
  <dimension ref="A1:Q2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5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5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5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5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5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5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5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5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5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5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5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5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5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5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5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5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5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5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5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5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5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5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5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8B6E-A762-4A06-8278-0902BD877EF4}">
  <sheetPr codeName="Sheet14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5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5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5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5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5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5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5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5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5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7C99-293E-4A3B-A36B-7F855B545B70}">
  <sheetPr codeName="Sheet12"/>
  <dimension ref="A1:Q2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5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5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5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5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5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5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5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5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5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5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5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5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5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5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5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5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5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5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5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5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5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5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E192-D1BC-4BCE-A65B-1B7B311C1AC6}">
  <sheetPr codeName="Sheet10"/>
  <dimension ref="A1:Q2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5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5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5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5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5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5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5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5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5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5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5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5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5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5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5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5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5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993A5-F60B-4D48-9692-6BE0A77DFDDB}">
  <sheetPr codeName="Sheet8"/>
  <dimension ref="A1:Q5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5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5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5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5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5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5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5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5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5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5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5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5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5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5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5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5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5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5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5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5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5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5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5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5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5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5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5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5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5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5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5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5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5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5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5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5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5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5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5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5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5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5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5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5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5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5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5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5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5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5F574-7687-4D17-95BF-14186DDFC98C}">
  <sheetPr codeName="Sheet6"/>
  <dimension ref="A1:Q6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5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5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5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5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5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5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5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5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5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5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5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5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5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5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5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5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5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5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5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5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5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5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5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5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5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5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5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5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5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5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5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5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5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5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5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5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5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5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5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5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5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5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5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5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5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5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5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5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5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5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5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5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5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5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5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5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5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5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5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2020-10-29T09:40:05Z</dcterms:modified>
</cp:coreProperties>
</file>