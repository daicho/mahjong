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05A6DC2-6A57-4904-BD48-C06A7F3D7EFD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782" r:id="rId6"/>
    <sheet name="だいち" sheetId="6784" r:id="rId7"/>
    <sheet name="れんたろう" sheetId="6786" r:id="rId8"/>
    <sheet name="たかの" sheetId="6788" r:id="rId9"/>
    <sheet name="まっつん" sheetId="6790" r:id="rId10"/>
    <sheet name="いちかわ" sheetId="6792" r:id="rId11"/>
    <sheet name="ただ" sheetId="6794" r:id="rId12"/>
    <sheet name="たか" sheetId="6796" r:id="rId13"/>
    <sheet name="のり" sheetId="6798" r:id="rId14"/>
    <sheet name="りくと" sheetId="6800" r:id="rId15"/>
    <sheet name="わさび" sheetId="6802" r:id="rId16"/>
    <sheet name="わさび2" sheetId="6803" state="hidden" r:id="rId17"/>
    <sheet name="りくと2" sheetId="6801" state="hidden" r:id="rId18"/>
    <sheet name="のり2" sheetId="6799" state="hidden" r:id="rId19"/>
    <sheet name="たか2" sheetId="6797" state="hidden" r:id="rId20"/>
    <sheet name="ただ2" sheetId="6795" state="hidden" r:id="rId21"/>
    <sheet name="いちかわ2" sheetId="6793" state="hidden" r:id="rId22"/>
    <sheet name="まっつん2" sheetId="6791" state="hidden" r:id="rId23"/>
    <sheet name="たかの2" sheetId="6789" state="hidden" r:id="rId24"/>
    <sheet name="れんたろう2" sheetId="6787" state="hidden" r:id="rId25"/>
    <sheet name="だいち2" sheetId="6785" state="hidden" r:id="rId26"/>
    <sheet name="全体2" sheetId="6783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6800" l="1"/>
  <c r="P18" i="6784"/>
  <c r="P23" i="6792" l="1"/>
  <c r="P16" i="6788"/>
  <c r="P19" i="6794" l="1"/>
  <c r="P17" i="6794"/>
  <c r="P15" i="6800"/>
  <c r="P17" i="6802"/>
  <c r="P17" i="6792"/>
  <c r="P15" i="6792"/>
  <c r="P15" i="6802"/>
  <c r="P16" i="6802"/>
  <c r="C35" i="6802"/>
  <c r="B30" i="6802"/>
  <c r="C21" i="6802"/>
  <c r="B20" i="6802"/>
  <c r="H52" i="6802" s="1"/>
  <c r="B19" i="6802"/>
  <c r="C19" i="6802" s="1"/>
  <c r="C18" i="6802"/>
  <c r="B18" i="6802"/>
  <c r="C17" i="6802"/>
  <c r="C16" i="6802"/>
  <c r="C15" i="6802"/>
  <c r="B13" i="6802"/>
  <c r="P12" i="6802"/>
  <c r="B12" i="6802"/>
  <c r="P11" i="6802"/>
  <c r="B11" i="6802"/>
  <c r="B14" i="6802" s="1"/>
  <c r="P10" i="6802"/>
  <c r="C10" i="6802"/>
  <c r="C9" i="6802"/>
  <c r="C8" i="6802"/>
  <c r="P7" i="6802"/>
  <c r="B7" i="6802"/>
  <c r="P6" i="6802"/>
  <c r="P5" i="6802"/>
  <c r="B5" i="6802"/>
  <c r="P4" i="6802"/>
  <c r="P3" i="6802"/>
  <c r="P2" i="6802"/>
  <c r="P19" i="6782"/>
  <c r="P18" i="6800"/>
  <c r="P16" i="6800"/>
  <c r="C35" i="6800"/>
  <c r="B30" i="6800"/>
  <c r="C21" i="6800"/>
  <c r="B20" i="6800"/>
  <c r="H52" i="6800" s="1"/>
  <c r="C19" i="6800"/>
  <c r="B19" i="6800"/>
  <c r="B29" i="6800" s="1"/>
  <c r="B18" i="6800"/>
  <c r="C18" i="6800" s="1"/>
  <c r="C17" i="6800"/>
  <c r="C16" i="6800"/>
  <c r="C15" i="6800"/>
  <c r="B13" i="6800"/>
  <c r="P12" i="6800"/>
  <c r="B12" i="6800"/>
  <c r="P11" i="6800"/>
  <c r="B11" i="6800"/>
  <c r="B14" i="6800" s="1"/>
  <c r="P10" i="6800"/>
  <c r="C10" i="6800"/>
  <c r="C9" i="6800"/>
  <c r="C8" i="6800"/>
  <c r="P7" i="6800"/>
  <c r="B7" i="6800"/>
  <c r="P6" i="6800"/>
  <c r="P5" i="6800"/>
  <c r="B5" i="6800"/>
  <c r="P4" i="6800"/>
  <c r="P3" i="6800"/>
  <c r="P2" i="6800"/>
  <c r="P18" i="6782"/>
  <c r="H5" i="6802" l="1"/>
  <c r="H2" i="6802"/>
  <c r="H11" i="6802"/>
  <c r="H16" i="6802"/>
  <c r="B29" i="6802"/>
  <c r="H40" i="6802"/>
  <c r="H38" i="6802"/>
  <c r="H4" i="6802"/>
  <c r="C20" i="6802"/>
  <c r="H14" i="6802"/>
  <c r="H44" i="6802"/>
  <c r="H7" i="6802"/>
  <c r="H20" i="6802"/>
  <c r="B27" i="6802"/>
  <c r="H13" i="6802"/>
  <c r="H15" i="6802"/>
  <c r="H17" i="6802"/>
  <c r="H10" i="6802"/>
  <c r="H6" i="6802"/>
  <c r="H12" i="6802"/>
  <c r="H3" i="6802"/>
  <c r="H21" i="6802"/>
  <c r="C23" i="6802"/>
  <c r="H46" i="6802"/>
  <c r="H48" i="6802"/>
  <c r="C25" i="6802"/>
  <c r="H32" i="6802"/>
  <c r="H42" i="6802"/>
  <c r="H50" i="6802"/>
  <c r="H23" i="6802"/>
  <c r="H25" i="6802"/>
  <c r="H27" i="6802"/>
  <c r="H8" i="6802"/>
  <c r="H30" i="6802"/>
  <c r="H33" i="6802"/>
  <c r="H36" i="6802"/>
  <c r="C38" i="6802"/>
  <c r="C40" i="6802"/>
  <c r="C42" i="6802"/>
  <c r="C44" i="6802"/>
  <c r="C46" i="6802"/>
  <c r="C48" i="6802"/>
  <c r="H51" i="6802"/>
  <c r="H18" i="6802"/>
  <c r="H19" i="6802"/>
  <c r="C22" i="6802"/>
  <c r="C24" i="6802"/>
  <c r="C26" i="6802"/>
  <c r="B28" i="6802"/>
  <c r="H34" i="6802"/>
  <c r="H37" i="6802"/>
  <c r="H39" i="6802"/>
  <c r="H41" i="6802"/>
  <c r="H43" i="6802"/>
  <c r="H45" i="6802"/>
  <c r="H47" i="6802"/>
  <c r="H49" i="6802"/>
  <c r="H9" i="6802"/>
  <c r="H22" i="6802"/>
  <c r="H24" i="6802"/>
  <c r="H26" i="6802"/>
  <c r="H28" i="6802"/>
  <c r="H29" i="6802"/>
  <c r="H31" i="6802"/>
  <c r="H35" i="6802"/>
  <c r="C37" i="6802"/>
  <c r="C39" i="6802"/>
  <c r="C41" i="6802"/>
  <c r="C43" i="6802"/>
  <c r="C45" i="6802"/>
  <c r="C47" i="6802"/>
  <c r="C49" i="6802"/>
  <c r="H9" i="6800"/>
  <c r="H19" i="6800"/>
  <c r="H12" i="6800"/>
  <c r="C23" i="6800"/>
  <c r="B27" i="6800"/>
  <c r="H44" i="6800"/>
  <c r="H3" i="6800"/>
  <c r="C20" i="6800"/>
  <c r="C24" i="6800"/>
  <c r="H38" i="6800"/>
  <c r="H46" i="6800"/>
  <c r="H10" i="6800"/>
  <c r="B28" i="6800"/>
  <c r="H2" i="6800"/>
  <c r="H5" i="6800"/>
  <c r="H7" i="6800"/>
  <c r="H14" i="6800"/>
  <c r="C25" i="6800"/>
  <c r="H40" i="6800"/>
  <c r="H48" i="6800"/>
  <c r="H8" i="6800"/>
  <c r="H16" i="6800"/>
  <c r="H18" i="6800"/>
  <c r="H4" i="6800"/>
  <c r="H11" i="6800"/>
  <c r="H13" i="6800"/>
  <c r="H15" i="6800"/>
  <c r="H17" i="6800"/>
  <c r="H20" i="6800"/>
  <c r="C22" i="6800"/>
  <c r="C26" i="6800"/>
  <c r="H32" i="6800"/>
  <c r="H42" i="6800"/>
  <c r="H50" i="6800"/>
  <c r="H22" i="6800"/>
  <c r="H24" i="6800"/>
  <c r="H26" i="6800"/>
  <c r="H28" i="6800"/>
  <c r="H30" i="6800"/>
  <c r="H33" i="6800"/>
  <c r="H36" i="6800"/>
  <c r="C38" i="6800"/>
  <c r="C40" i="6800"/>
  <c r="C42" i="6800"/>
  <c r="C44" i="6800"/>
  <c r="C46" i="6800"/>
  <c r="C48" i="6800"/>
  <c r="H51" i="6800"/>
  <c r="H34" i="6800"/>
  <c r="H37" i="6800"/>
  <c r="H39" i="6800"/>
  <c r="H41" i="6800"/>
  <c r="H43" i="6800"/>
  <c r="H45" i="6800"/>
  <c r="H47" i="6800"/>
  <c r="H49" i="6800"/>
  <c r="H6" i="6800"/>
  <c r="H21" i="6800"/>
  <c r="H23" i="6800"/>
  <c r="H25" i="6800"/>
  <c r="H27" i="6800"/>
  <c r="H29" i="6800"/>
  <c r="H31" i="6800"/>
  <c r="H35" i="6800"/>
  <c r="C37" i="6800"/>
  <c r="C39" i="6800"/>
  <c r="C41" i="6800"/>
  <c r="C43" i="6800"/>
  <c r="C45" i="6800"/>
  <c r="C47" i="6800"/>
  <c r="C49" i="6800"/>
  <c r="P17" i="6786" l="1"/>
  <c r="P15" i="6794"/>
  <c r="P16" i="6792"/>
  <c r="P16" i="6794"/>
  <c r="P21" i="6794"/>
  <c r="P19" i="6796"/>
  <c r="P18" i="6792"/>
  <c r="P18" i="6796"/>
  <c r="P16" i="6786"/>
  <c r="P15" i="6786"/>
  <c r="P17" i="6798" l="1"/>
  <c r="P16" i="6796"/>
  <c r="P17" i="6784"/>
  <c r="P22" i="6784"/>
  <c r="P16" i="6798"/>
  <c r="P15" i="6798"/>
  <c r="C35" i="6798"/>
  <c r="B30" i="6798"/>
  <c r="C21" i="6798"/>
  <c r="B20" i="6798"/>
  <c r="H52" i="6798" s="1"/>
  <c r="B19" i="6798"/>
  <c r="B29" i="6798" s="1"/>
  <c r="C18" i="6798"/>
  <c r="B18" i="6798"/>
  <c r="C17" i="6798"/>
  <c r="C16" i="6798"/>
  <c r="C15" i="6798"/>
  <c r="B13" i="6798"/>
  <c r="P12" i="6798"/>
  <c r="B12" i="6798"/>
  <c r="P11" i="6798"/>
  <c r="B11" i="6798"/>
  <c r="B14" i="6798" s="1"/>
  <c r="P10" i="6798"/>
  <c r="C10" i="6798"/>
  <c r="C9" i="6798"/>
  <c r="C8" i="6798"/>
  <c r="P7" i="6798"/>
  <c r="B7" i="6798"/>
  <c r="P6" i="6798"/>
  <c r="P5" i="6798"/>
  <c r="B5" i="6798"/>
  <c r="P4" i="6798"/>
  <c r="P3" i="6798"/>
  <c r="P2" i="6798"/>
  <c r="P17" i="6796"/>
  <c r="P15" i="6796"/>
  <c r="C35" i="6796"/>
  <c r="B30" i="6796"/>
  <c r="C21" i="6796"/>
  <c r="B20" i="6796"/>
  <c r="H52" i="6796" s="1"/>
  <c r="B19" i="6796"/>
  <c r="B29" i="6796" s="1"/>
  <c r="B18" i="6796"/>
  <c r="C18" i="6796" s="1"/>
  <c r="C17" i="6796"/>
  <c r="C16" i="6796"/>
  <c r="C15" i="6796"/>
  <c r="B13" i="6796"/>
  <c r="P12" i="6796"/>
  <c r="B12" i="6796"/>
  <c r="P11" i="6796"/>
  <c r="B11" i="6796"/>
  <c r="P10" i="6796"/>
  <c r="C10" i="6796"/>
  <c r="C9" i="6796"/>
  <c r="C8" i="6796"/>
  <c r="P7" i="6796"/>
  <c r="B7" i="6796"/>
  <c r="P6" i="6796"/>
  <c r="P5" i="6796"/>
  <c r="B5" i="6796"/>
  <c r="P4" i="6796"/>
  <c r="P3" i="6796"/>
  <c r="P2" i="6796"/>
  <c r="P22" i="6792"/>
  <c r="P19" i="6792"/>
  <c r="P17" i="6782"/>
  <c r="P21" i="6782"/>
  <c r="B14" i="6796" l="1"/>
  <c r="C19" i="6798"/>
  <c r="H13" i="6798"/>
  <c r="H11" i="6798"/>
  <c r="H20" i="6798"/>
  <c r="H32" i="6798"/>
  <c r="H42" i="6798"/>
  <c r="H18" i="6798"/>
  <c r="B27" i="6798"/>
  <c r="H44" i="6798"/>
  <c r="H22" i="6798"/>
  <c r="H6" i="6798"/>
  <c r="C20" i="6798"/>
  <c r="H38" i="6798"/>
  <c r="H46" i="6798"/>
  <c r="H2" i="6798"/>
  <c r="C25" i="6798"/>
  <c r="H3" i="6798"/>
  <c r="H12" i="6798"/>
  <c r="H7" i="6798"/>
  <c r="H14" i="6798"/>
  <c r="H16" i="6798"/>
  <c r="H8" i="6798"/>
  <c r="H15" i="6798"/>
  <c r="H9" i="6798"/>
  <c r="C23" i="6798"/>
  <c r="H40" i="6798"/>
  <c r="H48" i="6798"/>
  <c r="H50" i="6798"/>
  <c r="H10" i="6798"/>
  <c r="H25" i="6798"/>
  <c r="H27" i="6798"/>
  <c r="H4" i="6798"/>
  <c r="H30" i="6798"/>
  <c r="H33" i="6798"/>
  <c r="H36" i="6798"/>
  <c r="C38" i="6798"/>
  <c r="C40" i="6798"/>
  <c r="C42" i="6798"/>
  <c r="C44" i="6798"/>
  <c r="C46" i="6798"/>
  <c r="C48" i="6798"/>
  <c r="H51" i="6798"/>
  <c r="H17" i="6798"/>
  <c r="H19" i="6798"/>
  <c r="H21" i="6798"/>
  <c r="C22" i="6798"/>
  <c r="C24" i="6798"/>
  <c r="C26" i="6798"/>
  <c r="B28" i="6798"/>
  <c r="H34" i="6798"/>
  <c r="H37" i="6798"/>
  <c r="H39" i="6798"/>
  <c r="H41" i="6798"/>
  <c r="H43" i="6798"/>
  <c r="H45" i="6798"/>
  <c r="H47" i="6798"/>
  <c r="H49" i="6798"/>
  <c r="H5" i="6798"/>
  <c r="H23" i="6798"/>
  <c r="H24" i="6798"/>
  <c r="H26" i="6798"/>
  <c r="H28" i="6798"/>
  <c r="H29" i="6798"/>
  <c r="H31" i="6798"/>
  <c r="H35" i="6798"/>
  <c r="C37" i="6798"/>
  <c r="C39" i="6798"/>
  <c r="C41" i="6798"/>
  <c r="C43" i="6798"/>
  <c r="C45" i="6798"/>
  <c r="C47" i="6798"/>
  <c r="C49" i="6798"/>
  <c r="H13" i="6796"/>
  <c r="C19" i="6796"/>
  <c r="H3" i="6796"/>
  <c r="H17" i="6796"/>
  <c r="H9" i="6796"/>
  <c r="H11" i="6796"/>
  <c r="H19" i="6796"/>
  <c r="H2" i="6796"/>
  <c r="H12" i="6796"/>
  <c r="H4" i="6796"/>
  <c r="H6" i="6796"/>
  <c r="B27" i="6796"/>
  <c r="H38" i="6796"/>
  <c r="H44" i="6796"/>
  <c r="H20" i="6796"/>
  <c r="H22" i="6796"/>
  <c r="C20" i="6796"/>
  <c r="H46" i="6796"/>
  <c r="H8" i="6796"/>
  <c r="H16" i="6796"/>
  <c r="H23" i="6796"/>
  <c r="C23" i="6796"/>
  <c r="H40" i="6796"/>
  <c r="H48" i="6796"/>
  <c r="C25" i="6796"/>
  <c r="H32" i="6796"/>
  <c r="H42" i="6796"/>
  <c r="H50" i="6796"/>
  <c r="H25" i="6796"/>
  <c r="H15" i="6796"/>
  <c r="H27" i="6796"/>
  <c r="H7" i="6796"/>
  <c r="H30" i="6796"/>
  <c r="H33" i="6796"/>
  <c r="H36" i="6796"/>
  <c r="C38" i="6796"/>
  <c r="C40" i="6796"/>
  <c r="C42" i="6796"/>
  <c r="C44" i="6796"/>
  <c r="C46" i="6796"/>
  <c r="C48" i="6796"/>
  <c r="H51" i="6796"/>
  <c r="H18" i="6796"/>
  <c r="H14" i="6796"/>
  <c r="H21" i="6796"/>
  <c r="C22" i="6796"/>
  <c r="C24" i="6796"/>
  <c r="C26" i="6796"/>
  <c r="B28" i="6796"/>
  <c r="H34" i="6796"/>
  <c r="H37" i="6796"/>
  <c r="H39" i="6796"/>
  <c r="H41" i="6796"/>
  <c r="H43" i="6796"/>
  <c r="H45" i="6796"/>
  <c r="H47" i="6796"/>
  <c r="H49" i="6796"/>
  <c r="H5" i="6796"/>
  <c r="H24" i="6796"/>
  <c r="H26" i="6796"/>
  <c r="H10" i="6796"/>
  <c r="H28" i="6796"/>
  <c r="H29" i="6796"/>
  <c r="H31" i="6796"/>
  <c r="H35" i="6796"/>
  <c r="C37" i="6796"/>
  <c r="C39" i="6796"/>
  <c r="C41" i="6796"/>
  <c r="C43" i="6796"/>
  <c r="C45" i="6796"/>
  <c r="C47" i="6796"/>
  <c r="C49" i="6796"/>
  <c r="P18" i="6788" l="1"/>
  <c r="P20" i="6794"/>
  <c r="P18" i="6794"/>
  <c r="C35" i="6794"/>
  <c r="B30" i="6794"/>
  <c r="C21" i="6794"/>
  <c r="B20" i="6794"/>
  <c r="H52" i="6794" s="1"/>
  <c r="C19" i="6794"/>
  <c r="B19" i="6794"/>
  <c r="B29" i="6794" s="1"/>
  <c r="B18" i="6794"/>
  <c r="C18" i="6794" s="1"/>
  <c r="C17" i="6794"/>
  <c r="C16" i="6794"/>
  <c r="C15" i="6794"/>
  <c r="B13" i="6794"/>
  <c r="P12" i="6794"/>
  <c r="B12" i="6794"/>
  <c r="P11" i="6794"/>
  <c r="B11" i="6794"/>
  <c r="P10" i="6794"/>
  <c r="C10" i="6794"/>
  <c r="C9" i="6794"/>
  <c r="C8" i="6794"/>
  <c r="P7" i="6794"/>
  <c r="B7" i="6794"/>
  <c r="P6" i="6794"/>
  <c r="P5" i="6794"/>
  <c r="B5" i="6794"/>
  <c r="P4" i="6794"/>
  <c r="P3" i="6794"/>
  <c r="P2" i="6794"/>
  <c r="P19" i="6784"/>
  <c r="P20" i="6782"/>
  <c r="B14" i="6794" l="1"/>
  <c r="H17" i="6794"/>
  <c r="H13" i="6794"/>
  <c r="H22" i="6794"/>
  <c r="C23" i="6794"/>
  <c r="H9" i="6794"/>
  <c r="H12" i="6794"/>
  <c r="H5" i="6794"/>
  <c r="H7" i="6794"/>
  <c r="H23" i="6794"/>
  <c r="B27" i="6794"/>
  <c r="C20" i="6794"/>
  <c r="H4" i="6794"/>
  <c r="H2" i="6794"/>
  <c r="H11" i="6794"/>
  <c r="H20" i="6794"/>
  <c r="H6" i="6794"/>
  <c r="H8" i="6794"/>
  <c r="H18" i="6794"/>
  <c r="C25" i="6794"/>
  <c r="H33" i="6794"/>
  <c r="H39" i="6794"/>
  <c r="H41" i="6794"/>
  <c r="H43" i="6794"/>
  <c r="H45" i="6794"/>
  <c r="H47" i="6794"/>
  <c r="H49" i="6794"/>
  <c r="H51" i="6794"/>
  <c r="H25" i="6794"/>
  <c r="H27" i="6794"/>
  <c r="H28" i="6794"/>
  <c r="H10" i="6794"/>
  <c r="H31" i="6794"/>
  <c r="H34" i="6794"/>
  <c r="H37" i="6794"/>
  <c r="C38" i="6794"/>
  <c r="C40" i="6794"/>
  <c r="C42" i="6794"/>
  <c r="C44" i="6794"/>
  <c r="C46" i="6794"/>
  <c r="C48" i="6794"/>
  <c r="H16" i="6794"/>
  <c r="H19" i="6794"/>
  <c r="H21" i="6794"/>
  <c r="H14" i="6794"/>
  <c r="C22" i="6794"/>
  <c r="C24" i="6794"/>
  <c r="C26" i="6794"/>
  <c r="B28" i="6794"/>
  <c r="H35" i="6794"/>
  <c r="H38" i="6794"/>
  <c r="H40" i="6794"/>
  <c r="H42" i="6794"/>
  <c r="H44" i="6794"/>
  <c r="H46" i="6794"/>
  <c r="H48" i="6794"/>
  <c r="H50" i="6794"/>
  <c r="H3" i="6794"/>
  <c r="H24" i="6794"/>
  <c r="H26" i="6794"/>
  <c r="H15" i="6794"/>
  <c r="H29" i="6794"/>
  <c r="H30" i="6794"/>
  <c r="H32" i="6794"/>
  <c r="H36" i="6794"/>
  <c r="C37" i="6794"/>
  <c r="C39" i="6794"/>
  <c r="C41" i="6794"/>
  <c r="C43" i="6794"/>
  <c r="C45" i="6794"/>
  <c r="C47" i="6794"/>
  <c r="C49" i="6794"/>
  <c r="P21" i="6784" l="1"/>
  <c r="P16" i="6784"/>
  <c r="P20" i="6792"/>
  <c r="P21" i="6792"/>
  <c r="C35" i="6792"/>
  <c r="B30" i="6792"/>
  <c r="C21" i="6792"/>
  <c r="B20" i="6792"/>
  <c r="H52" i="6792" s="1"/>
  <c r="B19" i="6792"/>
  <c r="B29" i="6792" s="1"/>
  <c r="B18" i="6792"/>
  <c r="C18" i="6792" s="1"/>
  <c r="C17" i="6792"/>
  <c r="C16" i="6792"/>
  <c r="C15" i="6792"/>
  <c r="B13" i="6792"/>
  <c r="P12" i="6792"/>
  <c r="B12" i="6792"/>
  <c r="P11" i="6792"/>
  <c r="B11" i="6792"/>
  <c r="P10" i="6792"/>
  <c r="C10" i="6792"/>
  <c r="C9" i="6792"/>
  <c r="C8" i="6792"/>
  <c r="P7" i="6792"/>
  <c r="B7" i="6792"/>
  <c r="P6" i="6792"/>
  <c r="P5" i="6792"/>
  <c r="B5" i="6792"/>
  <c r="P4" i="6792"/>
  <c r="P3" i="6792"/>
  <c r="P2" i="6792"/>
  <c r="P16" i="6782"/>
  <c r="P16" i="6790"/>
  <c r="P15" i="6790"/>
  <c r="C35" i="6790"/>
  <c r="B30" i="6790"/>
  <c r="C21" i="6790"/>
  <c r="B20" i="6790"/>
  <c r="H52" i="6790" s="1"/>
  <c r="C19" i="6790"/>
  <c r="B19" i="6790"/>
  <c r="B29" i="6790" s="1"/>
  <c r="C18" i="6790"/>
  <c r="B18" i="6790"/>
  <c r="C17" i="6790"/>
  <c r="H18" i="6790"/>
  <c r="C16" i="6790"/>
  <c r="C15" i="6790"/>
  <c r="H16" i="6790"/>
  <c r="B13" i="6790"/>
  <c r="P12" i="6790"/>
  <c r="H14" i="6790"/>
  <c r="B12" i="6790"/>
  <c r="P11" i="6790"/>
  <c r="B11" i="6790"/>
  <c r="P10" i="6790"/>
  <c r="C10" i="6790"/>
  <c r="H12" i="6790"/>
  <c r="C9" i="6790"/>
  <c r="C8" i="6790"/>
  <c r="P7" i="6790"/>
  <c r="B7" i="6790"/>
  <c r="P6" i="6790"/>
  <c r="H10" i="6790"/>
  <c r="P5" i="6790"/>
  <c r="B5" i="6790"/>
  <c r="P4" i="6790"/>
  <c r="P3" i="6790"/>
  <c r="H8" i="6790"/>
  <c r="P2" i="6790"/>
  <c r="P23" i="6782"/>
  <c r="B14" i="6792" l="1"/>
  <c r="C19" i="6792"/>
  <c r="B14" i="6790"/>
  <c r="H21" i="6790"/>
  <c r="C23" i="6790"/>
  <c r="H44" i="6790"/>
  <c r="H46" i="6790"/>
  <c r="H17" i="6790"/>
  <c r="C20" i="6790"/>
  <c r="H13" i="6790"/>
  <c r="H20" i="6790"/>
  <c r="H5" i="6790"/>
  <c r="H11" i="6790"/>
  <c r="H6" i="6790"/>
  <c r="H19" i="6790"/>
  <c r="H4" i="6790"/>
  <c r="H9" i="6790"/>
  <c r="H3" i="6790"/>
  <c r="H15" i="6790"/>
  <c r="H38" i="6790"/>
  <c r="B27" i="6790"/>
  <c r="H40" i="6790"/>
  <c r="H15" i="6792"/>
  <c r="C20" i="6792"/>
  <c r="H14" i="6792"/>
  <c r="H5" i="6792"/>
  <c r="H16" i="6792"/>
  <c r="H18" i="6792"/>
  <c r="H38" i="6792"/>
  <c r="H3" i="6792"/>
  <c r="H21" i="6792"/>
  <c r="B27" i="6792"/>
  <c r="H44" i="6792"/>
  <c r="H46" i="6792"/>
  <c r="H11" i="6792"/>
  <c r="C23" i="6792"/>
  <c r="H40" i="6792"/>
  <c r="H48" i="6792"/>
  <c r="C25" i="6792"/>
  <c r="H32" i="6792"/>
  <c r="H42" i="6792"/>
  <c r="H50" i="6792"/>
  <c r="H27" i="6792"/>
  <c r="H9" i="6792"/>
  <c r="H33" i="6792"/>
  <c r="H36" i="6792"/>
  <c r="C40" i="6792"/>
  <c r="C42" i="6792"/>
  <c r="C44" i="6792"/>
  <c r="C46" i="6792"/>
  <c r="H51" i="6792"/>
  <c r="H4" i="6792"/>
  <c r="H2" i="6792"/>
  <c r="H8" i="6792"/>
  <c r="H17" i="6792"/>
  <c r="H22" i="6792"/>
  <c r="H23" i="6792"/>
  <c r="C22" i="6792"/>
  <c r="C24" i="6792"/>
  <c r="C26" i="6792"/>
  <c r="B28" i="6792"/>
  <c r="H34" i="6792"/>
  <c r="H37" i="6792"/>
  <c r="H39" i="6792"/>
  <c r="H41" i="6792"/>
  <c r="H43" i="6792"/>
  <c r="H45" i="6792"/>
  <c r="H47" i="6792"/>
  <c r="H49" i="6792"/>
  <c r="H6" i="6792"/>
  <c r="H24" i="6792"/>
  <c r="H12" i="6792"/>
  <c r="H28" i="6792"/>
  <c r="H13" i="6792"/>
  <c r="C38" i="6792"/>
  <c r="C48" i="6792"/>
  <c r="H7" i="6792"/>
  <c r="H10" i="6792"/>
  <c r="H20" i="6792"/>
  <c r="H25" i="6792"/>
  <c r="H26" i="6792"/>
  <c r="H19" i="6792"/>
  <c r="H29" i="6792"/>
  <c r="H30" i="6792"/>
  <c r="H31" i="6792"/>
  <c r="H35" i="6792"/>
  <c r="C37" i="6792"/>
  <c r="C39" i="6792"/>
  <c r="C41" i="6792"/>
  <c r="C43" i="6792"/>
  <c r="C45" i="6792"/>
  <c r="C47" i="6792"/>
  <c r="C49" i="6792"/>
  <c r="H48" i="6790"/>
  <c r="C25" i="6790"/>
  <c r="H32" i="6790"/>
  <c r="H42" i="6790"/>
  <c r="H50" i="6790"/>
  <c r="H23" i="6790"/>
  <c r="H25" i="6790"/>
  <c r="H27" i="6790"/>
  <c r="H7" i="6790"/>
  <c r="H30" i="6790"/>
  <c r="H33" i="6790"/>
  <c r="H36" i="6790"/>
  <c r="C38" i="6790"/>
  <c r="C40" i="6790"/>
  <c r="C42" i="6790"/>
  <c r="C44" i="6790"/>
  <c r="C46" i="6790"/>
  <c r="C48" i="6790"/>
  <c r="H51" i="6790"/>
  <c r="C22" i="6790"/>
  <c r="C24" i="6790"/>
  <c r="C26" i="6790"/>
  <c r="B28" i="6790"/>
  <c r="H34" i="6790"/>
  <c r="H37" i="6790"/>
  <c r="H39" i="6790"/>
  <c r="H41" i="6790"/>
  <c r="H43" i="6790"/>
  <c r="H45" i="6790"/>
  <c r="H47" i="6790"/>
  <c r="H49" i="6790"/>
  <c r="H2" i="6790"/>
  <c r="H22" i="6790"/>
  <c r="H24" i="6790"/>
  <c r="H26" i="6790"/>
  <c r="H28" i="6790"/>
  <c r="H29" i="6790"/>
  <c r="H31" i="6790"/>
  <c r="H35" i="6790"/>
  <c r="C37" i="6790"/>
  <c r="C39" i="6790"/>
  <c r="C41" i="6790"/>
  <c r="C43" i="6790"/>
  <c r="C45" i="6790"/>
  <c r="C47" i="6790"/>
  <c r="C49" i="6790"/>
  <c r="P15" i="6788" l="1"/>
  <c r="P17" i="6788"/>
  <c r="C35" i="6788"/>
  <c r="B30" i="6788"/>
  <c r="C21" i="6788"/>
  <c r="B20" i="6788"/>
  <c r="H52" i="6788" s="1"/>
  <c r="B19" i="6788"/>
  <c r="B29" i="6788" s="1"/>
  <c r="B18" i="6788"/>
  <c r="C18" i="6788" s="1"/>
  <c r="C17" i="6788"/>
  <c r="C16" i="6788"/>
  <c r="C15" i="6788"/>
  <c r="B13" i="6788"/>
  <c r="P12" i="6788"/>
  <c r="B12" i="6788"/>
  <c r="P11" i="6788"/>
  <c r="B11" i="6788"/>
  <c r="P10" i="6788"/>
  <c r="C10" i="6788"/>
  <c r="C9" i="6788"/>
  <c r="C8" i="6788"/>
  <c r="P7" i="6788"/>
  <c r="B7" i="6788"/>
  <c r="P6" i="6788"/>
  <c r="P5" i="6788"/>
  <c r="B5" i="6788"/>
  <c r="P4" i="6788"/>
  <c r="P3" i="6788"/>
  <c r="P2" i="6788"/>
  <c r="P19" i="6786"/>
  <c r="P18" i="6786"/>
  <c r="C35" i="6786"/>
  <c r="B30" i="6786"/>
  <c r="C21" i="6786"/>
  <c r="B20" i="6786"/>
  <c r="H52" i="6786" s="1"/>
  <c r="B19" i="6786"/>
  <c r="B29" i="6786" s="1"/>
  <c r="B18" i="6786"/>
  <c r="C18" i="6786" s="1"/>
  <c r="C17" i="6786"/>
  <c r="C16" i="6786"/>
  <c r="C15" i="6786"/>
  <c r="B13" i="6786"/>
  <c r="P12" i="6786"/>
  <c r="B12" i="6786"/>
  <c r="P11" i="6786"/>
  <c r="B11" i="6786"/>
  <c r="B14" i="6786" s="1"/>
  <c r="P10" i="6786"/>
  <c r="C10" i="6786"/>
  <c r="C9" i="6786"/>
  <c r="C8" i="6786"/>
  <c r="P7" i="6786"/>
  <c r="B7" i="6786"/>
  <c r="P6" i="6786"/>
  <c r="P5" i="6786"/>
  <c r="B5" i="6786"/>
  <c r="P4" i="6786"/>
  <c r="P3" i="6786"/>
  <c r="P2" i="6786"/>
  <c r="P24" i="6782"/>
  <c r="P20" i="6784"/>
  <c r="P15" i="6784"/>
  <c r="C35" i="6784"/>
  <c r="B30" i="6784"/>
  <c r="C21" i="6784"/>
  <c r="B20" i="6784"/>
  <c r="H52" i="6784" s="1"/>
  <c r="B19" i="6784"/>
  <c r="B29" i="6784" s="1"/>
  <c r="B18" i="6784"/>
  <c r="C18" i="6784" s="1"/>
  <c r="C17" i="6784"/>
  <c r="C16" i="6784"/>
  <c r="C15" i="6784"/>
  <c r="B13" i="6784"/>
  <c r="P12" i="6784"/>
  <c r="B12" i="6784"/>
  <c r="P11" i="6784"/>
  <c r="B11" i="6784"/>
  <c r="P10" i="6784"/>
  <c r="C10" i="6784"/>
  <c r="C9" i="6784"/>
  <c r="C8" i="6784"/>
  <c r="P7" i="6784"/>
  <c r="B7" i="6784"/>
  <c r="P6" i="6784"/>
  <c r="P5" i="6784"/>
  <c r="B5" i="6784"/>
  <c r="P4" i="6784"/>
  <c r="P3" i="6784"/>
  <c r="P2" i="6784"/>
  <c r="P22" i="6782"/>
  <c r="P15" i="6782"/>
  <c r="C35" i="6782"/>
  <c r="B30" i="6782"/>
  <c r="C21" i="6782"/>
  <c r="B20" i="6782"/>
  <c r="H52" i="6782" s="1"/>
  <c r="B19" i="6782"/>
  <c r="B29" i="6782" s="1"/>
  <c r="B18" i="6782"/>
  <c r="C18" i="6782" s="1"/>
  <c r="C17" i="6782"/>
  <c r="C16" i="6782"/>
  <c r="C15" i="6782"/>
  <c r="B13" i="6782"/>
  <c r="P12" i="6782"/>
  <c r="B12" i="6782"/>
  <c r="P11" i="6782"/>
  <c r="B11" i="6782"/>
  <c r="P10" i="6782"/>
  <c r="C10" i="6782"/>
  <c r="C9" i="6782"/>
  <c r="C8" i="6782"/>
  <c r="P7" i="6782"/>
  <c r="B7" i="6782"/>
  <c r="P6" i="6782"/>
  <c r="P5" i="6782"/>
  <c r="B5" i="6782"/>
  <c r="P4" i="6782"/>
  <c r="P3" i="6782"/>
  <c r="P2" i="6782"/>
  <c r="C19" i="6786" l="1"/>
  <c r="B14" i="6784"/>
  <c r="H10" i="6784"/>
  <c r="H2" i="6784"/>
  <c r="H8" i="6784"/>
  <c r="B14" i="6782"/>
  <c r="C20" i="6784"/>
  <c r="C19" i="6784"/>
  <c r="B14" i="6788"/>
  <c r="C19" i="6788"/>
  <c r="H9" i="6788"/>
  <c r="B27" i="6788"/>
  <c r="H4" i="6788"/>
  <c r="H2" i="6788"/>
  <c r="H20" i="6788"/>
  <c r="H22" i="6788"/>
  <c r="B28" i="6788"/>
  <c r="C20" i="6788"/>
  <c r="C24" i="6788"/>
  <c r="H38" i="6788"/>
  <c r="H46" i="6788"/>
  <c r="H23" i="6788"/>
  <c r="H44" i="6788"/>
  <c r="H6" i="6788"/>
  <c r="H15" i="6788"/>
  <c r="H18" i="6788"/>
  <c r="C25" i="6788"/>
  <c r="H40" i="6788"/>
  <c r="H48" i="6788"/>
  <c r="H16" i="6788"/>
  <c r="C23" i="6788"/>
  <c r="H10" i="6788"/>
  <c r="H3" i="6788"/>
  <c r="H7" i="6788"/>
  <c r="H11" i="6788"/>
  <c r="H17" i="6788"/>
  <c r="H19" i="6788"/>
  <c r="H21" i="6788"/>
  <c r="H24" i="6788"/>
  <c r="C22" i="6788"/>
  <c r="C26" i="6788"/>
  <c r="H32" i="6788"/>
  <c r="H42" i="6788"/>
  <c r="H50" i="6788"/>
  <c r="H12" i="6788"/>
  <c r="H27" i="6788"/>
  <c r="H28" i="6788"/>
  <c r="H8" i="6788"/>
  <c r="H14" i="6788"/>
  <c r="H33" i="6788"/>
  <c r="H36" i="6788"/>
  <c r="C38" i="6788"/>
  <c r="C40" i="6788"/>
  <c r="C42" i="6788"/>
  <c r="C44" i="6788"/>
  <c r="C46" i="6788"/>
  <c r="C48" i="6788"/>
  <c r="H51" i="6788"/>
  <c r="H34" i="6788"/>
  <c r="H37" i="6788"/>
  <c r="H39" i="6788"/>
  <c r="H41" i="6788"/>
  <c r="H43" i="6788"/>
  <c r="H45" i="6788"/>
  <c r="H47" i="6788"/>
  <c r="H49" i="6788"/>
  <c r="H5" i="6788"/>
  <c r="H25" i="6788"/>
  <c r="H26" i="6788"/>
  <c r="H13" i="6788"/>
  <c r="H29" i="6788"/>
  <c r="H30" i="6788"/>
  <c r="H31" i="6788"/>
  <c r="H35" i="6788"/>
  <c r="C37" i="6788"/>
  <c r="C39" i="6788"/>
  <c r="C41" i="6788"/>
  <c r="C43" i="6788"/>
  <c r="C45" i="6788"/>
  <c r="C47" i="6788"/>
  <c r="C49" i="6788"/>
  <c r="H20" i="6786"/>
  <c r="H10" i="6786"/>
  <c r="H17" i="6786"/>
  <c r="H19" i="6786"/>
  <c r="H11" i="6786"/>
  <c r="H23" i="6786"/>
  <c r="H16" i="6786"/>
  <c r="H18" i="6786"/>
  <c r="H8" i="6786"/>
  <c r="H5" i="6786"/>
  <c r="H2" i="6786"/>
  <c r="H7" i="6786"/>
  <c r="H12" i="6786"/>
  <c r="C23" i="6786"/>
  <c r="C25" i="6786"/>
  <c r="H32" i="6786"/>
  <c r="H6" i="6786"/>
  <c r="H9" i="6786"/>
  <c r="H3" i="6786"/>
  <c r="H21" i="6786"/>
  <c r="H22" i="6786"/>
  <c r="C20" i="6786"/>
  <c r="B27" i="6786"/>
  <c r="H38" i="6786"/>
  <c r="H40" i="6786"/>
  <c r="H42" i="6786"/>
  <c r="H44" i="6786"/>
  <c r="H46" i="6786"/>
  <c r="H48" i="6786"/>
  <c r="H50" i="6786"/>
  <c r="H13" i="6786"/>
  <c r="H26" i="6786"/>
  <c r="H27" i="6786"/>
  <c r="H15" i="6786"/>
  <c r="H30" i="6786"/>
  <c r="H33" i="6786"/>
  <c r="H36" i="6786"/>
  <c r="C38" i="6786"/>
  <c r="C40" i="6786"/>
  <c r="C42" i="6786"/>
  <c r="C44" i="6786"/>
  <c r="C46" i="6786"/>
  <c r="C48" i="6786"/>
  <c r="H51" i="6786"/>
  <c r="C22" i="6786"/>
  <c r="C24" i="6786"/>
  <c r="C26" i="6786"/>
  <c r="B28" i="6786"/>
  <c r="H34" i="6786"/>
  <c r="H37" i="6786"/>
  <c r="H39" i="6786"/>
  <c r="H41" i="6786"/>
  <c r="H43" i="6786"/>
  <c r="H45" i="6786"/>
  <c r="H47" i="6786"/>
  <c r="H49" i="6786"/>
  <c r="H4" i="6786"/>
  <c r="H24" i="6786"/>
  <c r="H25" i="6786"/>
  <c r="H14" i="6786"/>
  <c r="H28" i="6786"/>
  <c r="H29" i="6786"/>
  <c r="H31" i="6786"/>
  <c r="H35" i="6786"/>
  <c r="C37" i="6786"/>
  <c r="C39" i="6786"/>
  <c r="C41" i="6786"/>
  <c r="C43" i="6786"/>
  <c r="C45" i="6786"/>
  <c r="C47" i="6786"/>
  <c r="C49" i="6786"/>
  <c r="C19" i="6782"/>
  <c r="H29" i="6784"/>
  <c r="H7" i="6784"/>
  <c r="C38" i="6784"/>
  <c r="C46" i="6784"/>
  <c r="H12" i="6784"/>
  <c r="H20" i="6784"/>
  <c r="H23" i="6784"/>
  <c r="H17" i="6784"/>
  <c r="H13" i="6784"/>
  <c r="C23" i="6784"/>
  <c r="C25" i="6784"/>
  <c r="B27" i="6784"/>
  <c r="H33" i="6784"/>
  <c r="H39" i="6784"/>
  <c r="H41" i="6784"/>
  <c r="H43" i="6784"/>
  <c r="H45" i="6784"/>
  <c r="H47" i="6784"/>
  <c r="H49" i="6784"/>
  <c r="H51" i="6784"/>
  <c r="H11" i="6784"/>
  <c r="H34" i="6784"/>
  <c r="H16" i="6784"/>
  <c r="H5" i="6784"/>
  <c r="H3" i="6784"/>
  <c r="H9" i="6784"/>
  <c r="H22" i="6784"/>
  <c r="H24" i="6784"/>
  <c r="H18" i="6784"/>
  <c r="C22" i="6784"/>
  <c r="C24" i="6784"/>
  <c r="C26" i="6784"/>
  <c r="B28" i="6784"/>
  <c r="H35" i="6784"/>
  <c r="H38" i="6784"/>
  <c r="H40" i="6784"/>
  <c r="H42" i="6784"/>
  <c r="H44" i="6784"/>
  <c r="H46" i="6784"/>
  <c r="H48" i="6784"/>
  <c r="H50" i="6784"/>
  <c r="H4" i="6784"/>
  <c r="H25" i="6784"/>
  <c r="H28" i="6784"/>
  <c r="H32" i="6784"/>
  <c r="H37" i="6784"/>
  <c r="C40" i="6784"/>
  <c r="C42" i="6784"/>
  <c r="C44" i="6784"/>
  <c r="C48" i="6784"/>
  <c r="H6" i="6784"/>
  <c r="H14" i="6784"/>
  <c r="H21" i="6784"/>
  <c r="H26" i="6784"/>
  <c r="H27" i="6784"/>
  <c r="H15" i="6784"/>
  <c r="H30" i="6784"/>
  <c r="H31" i="6784"/>
  <c r="H19" i="6784"/>
  <c r="H36" i="6784"/>
  <c r="C37" i="6784"/>
  <c r="C39" i="6784"/>
  <c r="C41" i="6784"/>
  <c r="C43" i="6784"/>
  <c r="C45" i="6784"/>
  <c r="C47" i="6784"/>
  <c r="C49" i="6784"/>
  <c r="H19" i="6782"/>
  <c r="H7" i="6782"/>
  <c r="H11" i="6782"/>
  <c r="H10" i="6782"/>
  <c r="H6" i="6782"/>
  <c r="H3" i="6782"/>
  <c r="C20" i="6782"/>
  <c r="H26" i="6782"/>
  <c r="H16" i="6782"/>
  <c r="H15" i="6782"/>
  <c r="C23" i="6782"/>
  <c r="C25" i="6782"/>
  <c r="B27" i="6782"/>
  <c r="H33" i="6782"/>
  <c r="H39" i="6782"/>
  <c r="H41" i="6782"/>
  <c r="H43" i="6782"/>
  <c r="H45" i="6782"/>
  <c r="H47" i="6782"/>
  <c r="H49" i="6782"/>
  <c r="H51" i="6782"/>
  <c r="H27" i="6782"/>
  <c r="H13" i="6782"/>
  <c r="H8" i="6782"/>
  <c r="H34" i="6782"/>
  <c r="C38" i="6782"/>
  <c r="C42" i="6782"/>
  <c r="C44" i="6782"/>
  <c r="C46" i="6782"/>
  <c r="H18" i="6782"/>
  <c r="H23" i="6782"/>
  <c r="H30" i="6782"/>
  <c r="H17" i="6782"/>
  <c r="H37" i="6782"/>
  <c r="C40" i="6782"/>
  <c r="C48" i="6782"/>
  <c r="H4" i="6782"/>
  <c r="H2" i="6782"/>
  <c r="H9" i="6782"/>
  <c r="H21" i="6782"/>
  <c r="H22" i="6782"/>
  <c r="H20" i="6782"/>
  <c r="C22" i="6782"/>
  <c r="C24" i="6782"/>
  <c r="C26" i="6782"/>
  <c r="B28" i="6782"/>
  <c r="H35" i="6782"/>
  <c r="H38" i="6782"/>
  <c r="H40" i="6782"/>
  <c r="H42" i="6782"/>
  <c r="H44" i="6782"/>
  <c r="H46" i="6782"/>
  <c r="H48" i="6782"/>
  <c r="H50" i="6782"/>
  <c r="H5" i="6782"/>
  <c r="H12" i="6782"/>
  <c r="H25" i="6782"/>
  <c r="H28" i="6782"/>
  <c r="H29" i="6782"/>
  <c r="H14" i="6782"/>
  <c r="H31" i="6782"/>
  <c r="H32" i="6782"/>
  <c r="H24" i="6782"/>
  <c r="H36" i="6782"/>
  <c r="C37" i="6782"/>
  <c r="C39" i="6782"/>
  <c r="C41" i="6782"/>
  <c r="C43" i="6782"/>
  <c r="C45" i="6782"/>
  <c r="C47" i="6782"/>
  <c r="C49" i="6782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<sst xmlns="http://schemas.openxmlformats.org/spreadsheetml/2006/main" count="2875" uniqueCount="226">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</sst>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C-44F2-AB9E-9819EE436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-40</c:v>
                </c:pt>
                <c:pt idx="1">
                  <c:v>41.666666666666664</c:v>
                </c:pt>
                <c:pt idx="2">
                  <c:v>-13.888888888888889</c:v>
                </c:pt>
                <c:pt idx="3">
                  <c:v>15.151515151515152</c:v>
                </c:pt>
                <c:pt idx="4">
                  <c:v>-16.666666666666668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71-429A-B2A3-5E61703D8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13</c:v>
                </c:pt>
                <c:pt idx="1">
                  <c:v>38</c:v>
                </c:pt>
                <c:pt idx="2">
                  <c:v>33</c:v>
                </c:pt>
                <c:pt idx="3">
                  <c:v>29</c:v>
                </c:pt>
                <c:pt idx="4">
                  <c:v>21</c:v>
                </c:pt>
                <c:pt idx="5">
                  <c:v>24</c:v>
                </c:pt>
                <c:pt idx="6">
                  <c:v>12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5-40EF-A98B-CCF6811EC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全体!$M$2:$M$77</c:f>
              <c:numCache>
                <c:formatCode>0</c:formatCode>
                <c:ptCount val="76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AF-4D1D-A4EA-C8BC57382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437D-915E-ECF20EB0B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2283.3333333333335</c:v>
                </c:pt>
                <c:pt idx="1">
                  <c:v>-717.64705882352939</c:v>
                </c:pt>
                <c:pt idx="2">
                  <c:v>1088.2352941176471</c:v>
                </c:pt>
                <c:pt idx="3">
                  <c:v>1081.25</c:v>
                </c:pt>
                <c:pt idx="4">
                  <c:v>-473.33333333333331</c:v>
                </c:pt>
                <c:pt idx="5">
                  <c:v>-1971.4285714285713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1-47AA-8235-AF142B193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13</c:v>
                </c:pt>
                <c:pt idx="3">
                  <c:v>7</c:v>
                </c:pt>
                <c:pt idx="4">
                  <c:v>6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1B-4956-A298-9963E6E8B3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だいち!$M$2:$M$20</c:f>
              <c:numCache>
                <c:formatCode>0</c:formatCode>
                <c:ptCount val="19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9-4EA4-B7B4-95B90465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3E-4E0B-93E8-1C74B586D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-2033.3333333333333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9-4563-B435-72EAFECEF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7-4110-BD4B-6446F382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れんたろう!$M$2:$M$8</c:f>
              <c:numCache>
                <c:formatCode>0</c:formatCode>
                <c:ptCount val="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A6-431F-8CF5-E31AEAB49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6A-441B-8140-27A95A21F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1750</c:v>
                </c:pt>
                <c:pt idx="1">
                  <c:v>-2783.3333333333335</c:v>
                </c:pt>
                <c:pt idx="2">
                  <c:v>583.33333333333337</c:v>
                </c:pt>
                <c:pt idx="3">
                  <c:v>-150</c:v>
                </c:pt>
                <c:pt idx="4">
                  <c:v>3350</c:v>
                </c:pt>
                <c:pt idx="5">
                  <c:v>2300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4-464B-B546-DA55F92AD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77-4FF4-A063-4A5FC3E26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たかの!$M$2:$M$8</c:f>
              <c:numCache>
                <c:formatCode>0</c:formatCode>
                <c:ptCount val="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CD-4F33-9A4F-DC308E6A4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41-4743-AF86-D0099630E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8D-4D2F-BD47-DC2A75F88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3-4905-A65B-313705D52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まっつん!$M$2:$M$5</c:f>
              <c:numCache>
                <c:formatCode>0</c:formatCode>
                <c:ptCount val="4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D4-4E71-82FA-395E3B30F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1-4951-A97B-3F7DAF785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-676.92307692307691</c:v>
                </c:pt>
                <c:pt idx="1">
                  <c:v>1615.3846153846155</c:v>
                </c:pt>
                <c:pt idx="2">
                  <c:v>284.61538461538464</c:v>
                </c:pt>
                <c:pt idx="3">
                  <c:v>1009.0909090909091</c:v>
                </c:pt>
                <c:pt idx="4">
                  <c:v>2188.8888888888887</c:v>
                </c:pt>
                <c:pt idx="5">
                  <c:v>1910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4-41E5-AAE0-0BC50BB01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2</c:v>
                </c:pt>
                <c:pt idx="1">
                  <c:v>7</c:v>
                </c:pt>
                <c:pt idx="2">
                  <c:v>6</c:v>
                </c:pt>
                <c:pt idx="3">
                  <c:v>6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A-4871-85A3-2E0F1C344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いちかわ!$M$2:$M$15</c:f>
              <c:numCache>
                <c:formatCode>0</c:formatCode>
                <c:ptCount val="14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2-4CCD-BC7A-D2658EBE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21-4E66-ADF6-79A306B94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833.33333333333337</c:v>
                </c:pt>
                <c:pt idx="1">
                  <c:v>800</c:v>
                </c:pt>
                <c:pt idx="2">
                  <c:v>2937.5</c:v>
                </c:pt>
                <c:pt idx="3">
                  <c:v>1275</c:v>
                </c:pt>
                <c:pt idx="4">
                  <c:v>-650</c:v>
                </c:pt>
                <c:pt idx="5">
                  <c:v>-2614.2857142857142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91-40C4-86CA-2DF310755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4</c:v>
                </c:pt>
                <c:pt idx="3">
                  <c:v>6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2-43AF-9E97-2935C4056A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ただ!$M$2:$M$11</c:f>
              <c:numCache>
                <c:formatCode>0</c:formatCode>
                <c:ptCount val="10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1-426C-B77D-A48C04CBF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73-4BF0-8D20-37634CC9F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1180</c:v>
                </c:pt>
                <c:pt idx="1">
                  <c:v>770</c:v>
                </c:pt>
                <c:pt idx="2">
                  <c:v>-3420</c:v>
                </c:pt>
                <c:pt idx="3">
                  <c:v>-866.66666666666663</c:v>
                </c:pt>
                <c:pt idx="4">
                  <c:v>-600</c:v>
                </c:pt>
                <c:pt idx="5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A-42CE-A0B2-91C981FD1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4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F-4049-9BE3-6B0C7C3DD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たか!$M$2:$M$12</c:f>
              <c:numCache>
                <c:formatCode>0</c:formatCode>
                <c:ptCount val="11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37-4216-A581-909B069F2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9-4FF8-B908-B050AC900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F8-4585-A54D-ECD887A92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E-432F-A7DF-26B72BA4C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D-402F-BDEE-924A9A3C6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DB-4457-B3AF-58B640CF8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-6700</c:v>
                </c:pt>
                <c:pt idx="1">
                  <c:v>1925</c:v>
                </c:pt>
                <c:pt idx="2">
                  <c:v>-1950</c:v>
                </c:pt>
                <c:pt idx="3">
                  <c:v>-2375</c:v>
                </c:pt>
                <c:pt idx="4">
                  <c:v>1300</c:v>
                </c:pt>
                <c:pt idx="5">
                  <c:v>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69-40BD-BA6A-47E48DC21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3-4825-B16E-73010FB56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りくと!$M$2:$M$6</c:f>
              <c:numCache>
                <c:formatCode>0</c:formatCode>
                <c:ptCount val="5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7-43E4-B7AC-AE745E7F9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C-4407-A574-3B92E6ECF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C9-42A5-9AC5-E7CDCC14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EF-4019-BA44-83061ADFF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8-4EE4-B487-A12EFFE2D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たか2!$B$1:$B$2</c:f>
              <c:strCache>
                <c:ptCount val="2"/>
                <c:pt idx="0">
                  <c:v>たか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たか2!$B$3:$B$13</c:f>
              <c:numCache>
                <c:formatCode>\+0.0;\-0.0;\±0</c:formatCode>
                <c:ptCount val="11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421085471520200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たか2!$C$1:$C$2</c:f>
              <c:strCache>
                <c:ptCount val="2"/>
                <c:pt idx="0">
                  <c:v>たか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たか2!$C$3:$C$13</c:f>
              <c:numCache>
                <c:formatCode>\+0.0;\-0.0;\±0</c:formatCode>
                <c:ptCount val="11"/>
                <c:pt idx="1">
                  <c:v>42.4</c:v>
                </c:pt>
                <c:pt idx="2">
                  <c:v>25.2</c:v>
                </c:pt>
                <c:pt idx="3">
                  <c:v>3.4666666666666663</c:v>
                </c:pt>
                <c:pt idx="4">
                  <c:v>15</c:v>
                </c:pt>
                <c:pt idx="5">
                  <c:v>1.2400000000000007</c:v>
                </c:pt>
                <c:pt idx="6">
                  <c:v>5.0000000000000009</c:v>
                </c:pt>
                <c:pt idx="7">
                  <c:v>0.17142857142857185</c:v>
                </c:pt>
                <c:pt idx="8">
                  <c:v>5.1125000000000007</c:v>
                </c:pt>
                <c:pt idx="9">
                  <c:v>2.344444444444445</c:v>
                </c:pt>
                <c:pt idx="10">
                  <c:v>1.4100000000000006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8947806286936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たか2!$D$1:$D$2</c:f>
              <c:strCache>
                <c:ptCount val="2"/>
                <c:pt idx="0">
                  <c:v>たか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たか2!$D$3:$D$13</c:f>
              <c:numCache>
                <c:formatCode>0.00\ "位"</c:formatCode>
                <c:ptCount val="11"/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たか2!$E$1:$E$2</c:f>
              <c:strCache>
                <c:ptCount val="2"/>
                <c:pt idx="0">
                  <c:v>たか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たか2!$E$3:$E$13</c:f>
              <c:numCache>
                <c:formatCode>0.0%</c:formatCode>
                <c:ptCount val="1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たか2!$F$1:$F$2</c:f>
              <c:strCache>
                <c:ptCount val="2"/>
                <c:pt idx="0">
                  <c:v>たか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たか2!$F$3:$F$13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たか2!$G$1:$G$2</c:f>
              <c:strCache>
                <c:ptCount val="2"/>
                <c:pt idx="0">
                  <c:v>たか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たか2!$G$3:$G$13</c:f>
              <c:numCache>
                <c:formatCode>0.0%</c:formatCode>
                <c:ptCount val="11"/>
                <c:pt idx="1">
                  <c:v>0.35714285714285715</c:v>
                </c:pt>
                <c:pt idx="2">
                  <c:v>0.35294117647058826</c:v>
                </c:pt>
                <c:pt idx="3">
                  <c:v>0.25</c:v>
                </c:pt>
                <c:pt idx="4">
                  <c:v>0.34285714285714286</c:v>
                </c:pt>
                <c:pt idx="5">
                  <c:v>0.27272727272727271</c:v>
                </c:pt>
                <c:pt idx="6">
                  <c:v>0.3</c:v>
                </c:pt>
                <c:pt idx="7">
                  <c:v>0.25862068965517243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0.24358974358974358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465378421900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たか2!$H$1:$H$2</c:f>
              <c:strCache>
                <c:ptCount val="2"/>
                <c:pt idx="0">
                  <c:v>たか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たか2!$H$3:$H$13</c:f>
              <c:numCache>
                <c:formatCode>0.0%</c:formatCode>
                <c:ptCount val="11"/>
                <c:pt idx="1">
                  <c:v>7.1428571428571425E-2</c:v>
                </c:pt>
                <c:pt idx="2">
                  <c:v>5.8823529411764705E-2</c:v>
                </c:pt>
                <c:pt idx="3">
                  <c:v>0.10714285714285714</c:v>
                </c:pt>
                <c:pt idx="4">
                  <c:v>0.11428571428571428</c:v>
                </c:pt>
                <c:pt idx="5">
                  <c:v>0.18181818181818182</c:v>
                </c:pt>
                <c:pt idx="6">
                  <c:v>0.16</c:v>
                </c:pt>
                <c:pt idx="7">
                  <c:v>0.17241379310344829</c:v>
                </c:pt>
                <c:pt idx="8">
                  <c:v>0.16923076923076924</c:v>
                </c:pt>
                <c:pt idx="9">
                  <c:v>0.18055555555555555</c:v>
                </c:pt>
                <c:pt idx="1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49758454106280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たか2!$I$1:$I$2</c:f>
              <c:strCache>
                <c:ptCount val="2"/>
                <c:pt idx="0">
                  <c:v>たか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たか2!$I$3:$I$13</c:f>
              <c:numCache>
                <c:formatCode>0</c:formatCode>
                <c:ptCount val="11"/>
                <c:pt idx="1">
                  <c:v>8980</c:v>
                </c:pt>
                <c:pt idx="2">
                  <c:v>8816.6666666666661</c:v>
                </c:pt>
                <c:pt idx="3">
                  <c:v>7857.1428571428569</c:v>
                </c:pt>
                <c:pt idx="4">
                  <c:v>8625</c:v>
                </c:pt>
                <c:pt idx="5">
                  <c:v>8625</c:v>
                </c:pt>
                <c:pt idx="6">
                  <c:v>7693.333333333333</c:v>
                </c:pt>
                <c:pt idx="7">
                  <c:v>7693.333333333333</c:v>
                </c:pt>
                <c:pt idx="8">
                  <c:v>7905.5555555555557</c:v>
                </c:pt>
                <c:pt idx="9">
                  <c:v>7905.5555555555557</c:v>
                </c:pt>
                <c:pt idx="10">
                  <c:v>7557.894736842105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3.59116022099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たか2!$J$1:$J$2</c:f>
              <c:strCache>
                <c:ptCount val="2"/>
                <c:pt idx="0">
                  <c:v>たか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たか2!$J$3:$J$13</c:f>
              <c:numCache>
                <c:formatCode>0</c:formatCode>
                <c:ptCount val="11"/>
                <c:pt idx="1">
                  <c:v>-12000</c:v>
                </c:pt>
                <c:pt idx="2">
                  <c:v>-12000</c:v>
                </c:pt>
                <c:pt idx="3">
                  <c:v>-9933.3333333333339</c:v>
                </c:pt>
                <c:pt idx="4">
                  <c:v>-8425</c:v>
                </c:pt>
                <c:pt idx="5">
                  <c:v>-8400</c:v>
                </c:pt>
                <c:pt idx="6">
                  <c:v>-8400</c:v>
                </c:pt>
                <c:pt idx="7">
                  <c:v>-7820</c:v>
                </c:pt>
                <c:pt idx="8">
                  <c:v>-7227.272727272727</c:v>
                </c:pt>
                <c:pt idx="9">
                  <c:v>-6907.6923076923076</c:v>
                </c:pt>
                <c:pt idx="10">
                  <c:v>-6907.6923076923076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77.4193548387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たか2!$K$1:$K$2</c:f>
              <c:strCache>
                <c:ptCount val="2"/>
                <c:pt idx="0">
                  <c:v>たか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たか2!$K$3:$K$13</c:f>
              <c:numCache>
                <c:formatCode>0.0%</c:formatCode>
                <c:ptCount val="1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3333333333333337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たか2!$L$1:$L$2</c:f>
              <c:strCache>
                <c:ptCount val="2"/>
                <c:pt idx="0">
                  <c:v>たか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たか2!$L$3:$L$13</c:f>
              <c:numCache>
                <c:formatCode>0.0%</c:formatCode>
                <c:ptCount val="11"/>
                <c:pt idx="1">
                  <c:v>0.42857142857142855</c:v>
                </c:pt>
                <c:pt idx="2">
                  <c:v>0.41176470588235292</c:v>
                </c:pt>
                <c:pt idx="3">
                  <c:v>0.39285714285714285</c:v>
                </c:pt>
                <c:pt idx="4">
                  <c:v>0.4</c:v>
                </c:pt>
                <c:pt idx="5">
                  <c:v>0.36363636363636365</c:v>
                </c:pt>
                <c:pt idx="6">
                  <c:v>0.34</c:v>
                </c:pt>
                <c:pt idx="7">
                  <c:v>0.29310344827586204</c:v>
                </c:pt>
                <c:pt idx="8">
                  <c:v>0.27692307692307694</c:v>
                </c:pt>
                <c:pt idx="9">
                  <c:v>0.25</c:v>
                </c:pt>
                <c:pt idx="10">
                  <c:v>0.26923076923076922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1207729468599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たか2!$M$1:$M$2</c:f>
              <c:strCache>
                <c:ptCount val="2"/>
                <c:pt idx="0">
                  <c:v>たか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たか2!$M$3:$M$13</c:f>
              <c:numCache>
                <c:formatCode>0.0%</c:formatCode>
                <c:ptCount val="11"/>
                <c:pt idx="1">
                  <c:v>0.21428571428571427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0.22857142857142856</c:v>
                </c:pt>
                <c:pt idx="5">
                  <c:v>0.18181818181818182</c:v>
                </c:pt>
                <c:pt idx="6">
                  <c:v>0.18</c:v>
                </c:pt>
                <c:pt idx="7">
                  <c:v>0.18965517241379309</c:v>
                </c:pt>
                <c:pt idx="8">
                  <c:v>0.2</c:v>
                </c:pt>
                <c:pt idx="9">
                  <c:v>0.20833333333333334</c:v>
                </c:pt>
                <c:pt idx="10">
                  <c:v>0.21794871794871795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325281803542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たか2!$N$1:$N$2</c:f>
              <c:strCache>
                <c:ptCount val="2"/>
                <c:pt idx="0">
                  <c:v>たか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たか2!$N$3:$N$13</c:f>
              <c:numCache>
                <c:formatCode>0.0%</c:formatCode>
                <c:ptCount val="11"/>
                <c:pt idx="1">
                  <c:v>0.33333333333333331</c:v>
                </c:pt>
                <c:pt idx="2">
                  <c:v>0.42857142857142855</c:v>
                </c:pt>
                <c:pt idx="3">
                  <c:v>0.27272727272727271</c:v>
                </c:pt>
                <c:pt idx="4">
                  <c:v>0.42857142857142855</c:v>
                </c:pt>
                <c:pt idx="5">
                  <c:v>0.375</c:v>
                </c:pt>
                <c:pt idx="6">
                  <c:v>0.41176470588235292</c:v>
                </c:pt>
                <c:pt idx="7">
                  <c:v>0.41176470588235292</c:v>
                </c:pt>
                <c:pt idx="8">
                  <c:v>0.44444444444444442</c:v>
                </c:pt>
                <c:pt idx="9">
                  <c:v>0.44444444444444442</c:v>
                </c:pt>
                <c:pt idx="10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93589743589743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たか2!$O$1:$O$2</c:f>
              <c:strCache>
                <c:ptCount val="2"/>
                <c:pt idx="0">
                  <c:v>たか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たか2!$O$3:$O$13</c:f>
              <c:numCache>
                <c:formatCode>0.0%</c:formatCode>
                <c:ptCount val="11"/>
                <c:pt idx="1">
                  <c:v>1</c:v>
                </c:pt>
                <c:pt idx="2">
                  <c:v>1</c:v>
                </c:pt>
                <c:pt idx="3">
                  <c:v>0.5714285714285714</c:v>
                </c:pt>
                <c:pt idx="4">
                  <c:v>0.625</c:v>
                </c:pt>
                <c:pt idx="5">
                  <c:v>0.625</c:v>
                </c:pt>
                <c:pt idx="6">
                  <c:v>0.66666666666666663</c:v>
                </c:pt>
                <c:pt idx="7">
                  <c:v>0.54545454545454541</c:v>
                </c:pt>
                <c:pt idx="8">
                  <c:v>0.46153846153846156</c:v>
                </c:pt>
                <c:pt idx="9">
                  <c:v>0.4</c:v>
                </c:pt>
                <c:pt idx="10">
                  <c:v>0.35294117647058826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594594594594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たか2!$P$1:$P$2</c:f>
              <c:strCache>
                <c:ptCount val="2"/>
                <c:pt idx="0">
                  <c:v>たか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たか2!$A$3:$A$13</c:f>
              <c:numCache>
                <c:formatCode>0\ "回"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たか2!$P$3:$P$13</c:f>
              <c:numCache>
                <c:formatCode>0.0%</c:formatCode>
                <c:ptCount val="11"/>
                <c:pt idx="1">
                  <c:v>0.2</c:v>
                </c:pt>
                <c:pt idx="2">
                  <c:v>0.16666666666666666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0.33333333333333331</c:v>
                </c:pt>
                <c:pt idx="6">
                  <c:v>0.4</c:v>
                </c:pt>
                <c:pt idx="7">
                  <c:v>0.4</c:v>
                </c:pt>
                <c:pt idx="8">
                  <c:v>0.5</c:v>
                </c:pt>
                <c:pt idx="9">
                  <c:v>0.5</c:v>
                </c:pt>
                <c:pt idx="10">
                  <c:v>0.47368421052631576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618784530386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A32E80-BC70-45FC-8D94-577EE9EE4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7D502D0-5541-4EEB-8BEF-06C82DC78E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A6081FE-3BBA-4372-8D78-FAD0EF09E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15EB437-DDA3-4D4C-82CF-83D5132A36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713903-166E-4AE7-8562-2DAF841E5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B28505-3338-47C9-A689-0468DF44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938DA9B-C8D0-47BB-9CC2-D2C77C9E60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7BF82A76-CCA1-4956-B641-F3BCA9851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FF0CC07-202E-45B2-BCE1-F8EAE026ED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BEDCCB-C29D-47E8-9DB5-5AECE1979D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DD05A4-54A1-4A16-9465-6792150925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71019BE-E4AB-4B2C-B400-B766E86F8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367B1D-AFFE-4E6E-9FB3-740E85996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F52C45E-9306-4A6E-AFFE-D2573F3F4E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9BAFCB1-D259-4BDC-BC22-598AF9B5A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B2DB6CE-CBF9-491F-A718-51F3E767E4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B34510-7125-4E8E-9218-4B61CC6A5A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8D94EC9-3F0A-451E-A986-1B8340054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1182F7F-F949-4D77-BA9B-7ACAD81F70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E25D6D5-2627-4224-B9A1-13C6B4BB3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56F69F-1882-40A1-BBAB-2848375CA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C5FCCB0-1BD9-4B1E-9541-4535D5EC3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8566DE7-58A3-49B9-A8C8-96FFA2E82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B69BD5D-10F2-4D92-A2B8-2B3EAEDD2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1077A56-8210-40EF-83C5-DB8AA9A530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D525A12-D3C8-45E5-A855-4BBD7E00B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8BC827B-E46E-4081-8D05-8D6552547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3BAEA204-29AE-444F-90C6-4A2643E699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82264BE-355A-44EA-A5C9-F21E37701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D835FD1-281D-495C-B05D-0C488D9044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9BC4844-CBA7-4056-BF54-926527A7DC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29AF4B4-28B6-4BA6-B559-78A3FDE31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B884BCA-5C09-4133-9956-145CEC1A4C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7880A20-0EA2-4628-B1D9-52AAB8377C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BEE4B01-ACC7-417D-8FD3-34F5225F98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183A2FD-EA3F-402A-8CA7-1C8F706C2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9C3658-9E10-4762-9EF8-CCF3089E7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7C267B-F29F-4D1E-A958-EC384C56D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83BCFBD-66CC-4A53-9FBE-4ABD8C8CB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B900F96F-9217-45AB-B4E7-27E3AB6922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3FDCF44-344B-4DF5-A0C9-84BE74899A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4CDEFD8-1D3A-45FF-98E1-20AEAFDE5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860010-3703-4131-95C5-318D1B7C2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62ECA23-F2CC-4BDF-A41E-772A18CADC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12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44107.58520833333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44107.58520833333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44107.58520833333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44107.768576388888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44115.815416666665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44115.815416666665</v>
      </c>
      <c r="C7" s="2" t="s">
        <v>127</v>
      </c>
    </row>
    <row r="8" spans="1:6" x14ac:dyDescent="0.4">
      <c r="A8" s="2" t="s">
        <v>219</v>
      </c>
      <c r="B8" s="3">
        <v>44115.815416666665</v>
      </c>
      <c r="C8" s="2" t="s">
        <v>127</v>
      </c>
    </row>
    <row r="9" spans="1:6" x14ac:dyDescent="0.4">
      <c r="A9" s="2" t="s">
        <v>220</v>
      </c>
      <c r="B9" s="3">
        <v>44115.815416666665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44115.815416666665</v>
      </c>
      <c r="C10" s="2" t="s">
        <v>127</v>
      </c>
    </row>
    <row r="11" spans="1:6" x14ac:dyDescent="0.4">
      <c r="A11" s="2" t="s">
        <v>223</v>
      </c>
      <c r="B11" s="3">
        <v>44115.815416666665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44115.815416666665</v>
      </c>
      <c r="C12" s="2" t="s">
        <v>127</v>
      </c>
      <c r="D12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18</v>
      </c>
      <c r="C2" s="120">
        <v>1842.3339395535957</v>
      </c>
    </row>
    <row r="3" spans="1:3" x14ac:dyDescent="0.4">
      <c r="A3" t="s">
        <v>163</v>
      </c>
      <c r="B3" s="120">
        <v>6</v>
      </c>
      <c r="C3" s="120">
        <v>1653.1699313523677</v>
      </c>
    </row>
    <row r="4" spans="1:3" x14ac:dyDescent="0.4">
      <c r="A4" t="s">
        <v>139</v>
      </c>
      <c r="B4" s="120">
        <v>75</v>
      </c>
      <c r="C4" s="120">
        <v>1594.5463045050694</v>
      </c>
    </row>
    <row r="5" spans="1:3" x14ac:dyDescent="0.4">
      <c r="A5" t="s">
        <v>190</v>
      </c>
      <c r="B5" s="120">
        <v>3</v>
      </c>
      <c r="C5" s="120">
        <v>1524.3778689305989</v>
      </c>
    </row>
    <row r="6" spans="1:3" x14ac:dyDescent="0.4">
      <c r="A6" t="s">
        <v>192</v>
      </c>
      <c r="B6" s="120">
        <v>9</v>
      </c>
      <c r="C6" s="120">
        <v>1517.1288342047803</v>
      </c>
    </row>
    <row r="7" spans="1:3" x14ac:dyDescent="0.4">
      <c r="A7" t="s">
        <v>211</v>
      </c>
      <c r="B7" s="120">
        <v>13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6</v>
      </c>
      <c r="C10" s="120">
        <v>1433.30445236539</v>
      </c>
    </row>
    <row r="11" spans="1:3" x14ac:dyDescent="0.4">
      <c r="A11" t="s">
        <v>195</v>
      </c>
      <c r="B11" s="120">
        <v>4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10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0.9295767069027262</v>
      </c>
      <c r="C2" s="144"/>
      <c r="D2" s="143">
        <v>0.95844833683252251</v>
      </c>
      <c r="E2" s="144"/>
      <c r="F2" s="143">
        <v>0.91785728750087991</v>
      </c>
      <c r="G2" s="144"/>
      <c r="H2" s="145"/>
      <c r="I2" s="146"/>
      <c r="J2" s="143">
        <v>0.93375023545279801</v>
      </c>
      <c r="K2" s="144"/>
      <c r="L2" s="143">
        <v>0.96818795654780554</v>
      </c>
      <c r="M2" s="144"/>
      <c r="N2" s="143">
        <v>0.92184915981593241</v>
      </c>
      <c r="O2" s="144"/>
      <c r="P2" s="143">
        <v>0.62521418910490045</v>
      </c>
      <c r="Q2" s="144"/>
      <c r="R2" s="143">
        <v>0.99569508662555983</v>
      </c>
      <c r="S2" s="144"/>
      <c r="T2" s="143">
        <v>0.92522307707034601</v>
      </c>
      <c r="U2" s="144"/>
      <c r="V2" s="143">
        <v>0.83241249941170037</v>
      </c>
      <c r="W2" s="144"/>
      <c r="X2" s="143">
        <v>0.97601256906531875</v>
      </c>
      <c r="Y2" s="144"/>
      <c r="Z2" s="143">
        <v>0.45477139299571312</v>
      </c>
      <c r="AA2" s="144"/>
      <c r="AB2" s="143">
        <v>0.92495723460493795</v>
      </c>
      <c r="AC2" s="144"/>
      <c r="AD2" s="143">
        <v>-9.3077007995712766E-2</v>
      </c>
      <c r="AE2" s="144"/>
      <c r="AF2" s="143">
        <v>0.49214600095292554</v>
      </c>
      <c r="AG2" s="144"/>
      <c r="AH2" s="143">
        <v>0.99711226530598662</v>
      </c>
      <c r="AI2" s="144"/>
      <c r="AJ2" s="143">
        <v>0.98025072846916605</v>
      </c>
      <c r="AK2" s="144"/>
    </row>
    <row r="3" spans="1:37" x14ac:dyDescent="0.4">
      <c r="A3" s="38">
        <v>1</v>
      </c>
      <c r="B3" s="41" t="s">
        <v>139</v>
      </c>
      <c r="C3" s="113">
        <v>25</v>
      </c>
      <c r="D3" s="39" t="s">
        <v>126</v>
      </c>
      <c r="E3" s="40">
        <v>188.9</v>
      </c>
      <c r="F3" s="41" t="s">
        <v>126</v>
      </c>
      <c r="G3" s="60">
        <v>10.494444444444445</v>
      </c>
      <c r="H3" s="41" t="s">
        <v>126</v>
      </c>
      <c r="I3" s="45">
        <v>1849.7792249072668</v>
      </c>
      <c r="J3" s="41" t="s">
        <v>126</v>
      </c>
      <c r="K3" s="42">
        <v>1.7222222222222223</v>
      </c>
      <c r="L3" s="41" t="s">
        <v>195</v>
      </c>
      <c r="M3" s="43">
        <v>0.5</v>
      </c>
      <c r="N3" s="41" t="s">
        <v>126</v>
      </c>
      <c r="O3" s="43">
        <v>0.16666666666666666</v>
      </c>
      <c r="P3" s="41" t="s">
        <v>126</v>
      </c>
      <c r="Q3" s="44">
        <v>0.34228187919463088</v>
      </c>
      <c r="R3" s="41" t="s">
        <v>190</v>
      </c>
      <c r="S3" s="44">
        <v>4.7619047619047616E-2</v>
      </c>
      <c r="T3" s="41" t="s">
        <v>221</v>
      </c>
      <c r="U3" s="45">
        <v>10925</v>
      </c>
      <c r="V3" s="41" t="s">
        <v>190</v>
      </c>
      <c r="W3" s="45">
        <v>-3900</v>
      </c>
      <c r="X3" s="41" t="s">
        <v>126</v>
      </c>
      <c r="Y3" s="43">
        <v>0</v>
      </c>
      <c r="Z3" s="41" t="s">
        <v>189</v>
      </c>
      <c r="AA3" s="44">
        <v>0.28301886792452829</v>
      </c>
      <c r="AB3" s="41" t="s">
        <v>189</v>
      </c>
      <c r="AC3" s="44">
        <v>0.43396226415094341</v>
      </c>
      <c r="AD3" s="41" t="s">
        <v>195</v>
      </c>
      <c r="AE3" s="44">
        <v>0.77777777777777779</v>
      </c>
      <c r="AF3" s="41" t="s">
        <v>211</v>
      </c>
      <c r="AG3" s="44">
        <v>0.54545454545454541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18</v>
      </c>
      <c r="D4" s="47" t="s">
        <v>211</v>
      </c>
      <c r="E4" s="48">
        <v>65.800000000000011</v>
      </c>
      <c r="F4" s="49" t="s">
        <v>211</v>
      </c>
      <c r="G4" s="61">
        <v>5.0615384615384622</v>
      </c>
      <c r="H4" s="49" t="s">
        <v>163</v>
      </c>
      <c r="I4" s="53">
        <v>1618.6477491678233</v>
      </c>
      <c r="J4" s="49" t="s">
        <v>192</v>
      </c>
      <c r="K4" s="50">
        <v>1.8888888888888888</v>
      </c>
      <c r="L4" s="49" t="s">
        <v>126</v>
      </c>
      <c r="M4" s="51">
        <v>0.44444444444444442</v>
      </c>
      <c r="N4" s="49" t="s">
        <v>189</v>
      </c>
      <c r="O4" s="51">
        <v>0.16666666666666666</v>
      </c>
      <c r="P4" s="49" t="s">
        <v>189</v>
      </c>
      <c r="Q4" s="52">
        <v>0.33962264150943394</v>
      </c>
      <c r="R4" s="49" t="s">
        <v>192</v>
      </c>
      <c r="S4" s="52">
        <v>0.10975609756097561</v>
      </c>
      <c r="T4" s="49" t="s">
        <v>126</v>
      </c>
      <c r="U4" s="53">
        <v>9135.2941176470595</v>
      </c>
      <c r="V4" s="49" t="s">
        <v>195</v>
      </c>
      <c r="W4" s="53">
        <v>-6380</v>
      </c>
      <c r="X4" s="49" t="s">
        <v>190</v>
      </c>
      <c r="Y4" s="51">
        <v>0</v>
      </c>
      <c r="Z4" s="49" t="s">
        <v>216</v>
      </c>
      <c r="AA4" s="52">
        <v>0.26923076923076922</v>
      </c>
      <c r="AB4" s="49" t="s">
        <v>193</v>
      </c>
      <c r="AC4" s="52">
        <v>0.2857142857142857</v>
      </c>
      <c r="AD4" s="49" t="s">
        <v>211</v>
      </c>
      <c r="AE4" s="52">
        <v>0.6</v>
      </c>
      <c r="AF4" s="49" t="s">
        <v>126</v>
      </c>
      <c r="AG4" s="52">
        <v>0.54285714285714282</v>
      </c>
      <c r="AH4" s="49" t="s">
        <v>195</v>
      </c>
      <c r="AI4" s="52">
        <v>0.77777777777777779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211</v>
      </c>
      <c r="C5" s="114">
        <v>13</v>
      </c>
      <c r="D5" s="47" t="s">
        <v>189</v>
      </c>
      <c r="E5" s="48">
        <v>24.7</v>
      </c>
      <c r="F5" s="49" t="s">
        <v>189</v>
      </c>
      <c r="G5" s="61">
        <v>4.1166666666666663</v>
      </c>
      <c r="H5" s="49" t="s">
        <v>139</v>
      </c>
      <c r="I5" s="53">
        <v>1588.853280758633</v>
      </c>
      <c r="J5" s="49" t="s">
        <v>216</v>
      </c>
      <c r="K5" s="50">
        <v>1.9</v>
      </c>
      <c r="L5" s="49" t="s">
        <v>216</v>
      </c>
      <c r="M5" s="51">
        <v>0.4</v>
      </c>
      <c r="N5" s="49" t="s">
        <v>192</v>
      </c>
      <c r="O5" s="51">
        <v>0.22222222222222221</v>
      </c>
      <c r="P5" s="49" t="s">
        <v>192</v>
      </c>
      <c r="Q5" s="52">
        <v>0.32926829268292684</v>
      </c>
      <c r="R5" s="49" t="s">
        <v>189</v>
      </c>
      <c r="S5" s="52">
        <v>0.13207547169811321</v>
      </c>
      <c r="T5" s="49" t="s">
        <v>195</v>
      </c>
      <c r="U5" s="53">
        <v>9022.2222222222226</v>
      </c>
      <c r="V5" s="49" t="s">
        <v>126</v>
      </c>
      <c r="W5" s="53">
        <v>-6545</v>
      </c>
      <c r="X5" s="49" t="s">
        <v>192</v>
      </c>
      <c r="Y5" s="51">
        <v>0</v>
      </c>
      <c r="Z5" s="49" t="s">
        <v>126</v>
      </c>
      <c r="AA5" s="52">
        <v>0.26845637583892618</v>
      </c>
      <c r="AB5" s="49" t="s">
        <v>221</v>
      </c>
      <c r="AC5" s="52">
        <v>0.27777777777777779</v>
      </c>
      <c r="AD5" s="49" t="s">
        <v>192</v>
      </c>
      <c r="AE5" s="52">
        <v>0.6</v>
      </c>
      <c r="AF5" s="49" t="s">
        <v>192</v>
      </c>
      <c r="AG5" s="52">
        <v>0.5</v>
      </c>
      <c r="AH5" s="49" t="s">
        <v>189</v>
      </c>
      <c r="AI5" s="52">
        <v>0.55555555555555558</v>
      </c>
      <c r="AJ5" s="49" t="s">
        <v>211</v>
      </c>
      <c r="AK5" s="56">
        <v>80600</v>
      </c>
    </row>
    <row r="6" spans="1:37" x14ac:dyDescent="0.4">
      <c r="A6" s="46">
        <v>4</v>
      </c>
      <c r="B6" s="49" t="s">
        <v>216</v>
      </c>
      <c r="C6" s="114">
        <v>10</v>
      </c>
      <c r="D6" s="47" t="s">
        <v>216</v>
      </c>
      <c r="E6" s="48">
        <v>14.100000000000005</v>
      </c>
      <c r="F6" s="49" t="s">
        <v>216</v>
      </c>
      <c r="G6" s="61">
        <v>1.4100000000000006</v>
      </c>
      <c r="H6" s="49" t="s">
        <v>192</v>
      </c>
      <c r="I6" s="53">
        <v>1522.4359701425333</v>
      </c>
      <c r="J6" s="49" t="s">
        <v>211</v>
      </c>
      <c r="K6" s="50">
        <v>2</v>
      </c>
      <c r="L6" s="49" t="s">
        <v>211</v>
      </c>
      <c r="M6" s="51">
        <v>0.38461538461538464</v>
      </c>
      <c r="N6" s="49" t="s">
        <v>216</v>
      </c>
      <c r="O6" s="51">
        <v>0.3</v>
      </c>
      <c r="P6" s="49" t="s">
        <v>211</v>
      </c>
      <c r="Q6" s="52">
        <v>0.32653061224489793</v>
      </c>
      <c r="R6" s="49" t="s">
        <v>126</v>
      </c>
      <c r="S6" s="52">
        <v>0.13422818791946309</v>
      </c>
      <c r="T6" s="49" t="s">
        <v>189</v>
      </c>
      <c r="U6" s="53">
        <v>8355.5555555555547</v>
      </c>
      <c r="V6" s="49" t="s">
        <v>216</v>
      </c>
      <c r="W6" s="53">
        <v>-6907.6923076923076</v>
      </c>
      <c r="X6" s="49" t="s">
        <v>189</v>
      </c>
      <c r="Y6" s="51">
        <v>0</v>
      </c>
      <c r="Z6" s="49" t="s">
        <v>193</v>
      </c>
      <c r="AA6" s="52">
        <v>0.25714285714285712</v>
      </c>
      <c r="AB6" s="49" t="s">
        <v>163</v>
      </c>
      <c r="AC6" s="52">
        <v>0.25490196078431371</v>
      </c>
      <c r="AD6" s="49" t="s">
        <v>126</v>
      </c>
      <c r="AE6" s="52">
        <v>0.5</v>
      </c>
      <c r="AF6" s="49" t="s">
        <v>195</v>
      </c>
      <c r="AG6" s="52">
        <v>0.5</v>
      </c>
      <c r="AH6" s="49" t="s">
        <v>126</v>
      </c>
      <c r="AI6" s="52">
        <v>0.52941176470588236</v>
      </c>
      <c r="AJ6" s="49" t="s">
        <v>216</v>
      </c>
      <c r="AK6" s="56">
        <v>74600</v>
      </c>
    </row>
    <row r="7" spans="1:37" x14ac:dyDescent="0.4">
      <c r="A7" s="46">
        <v>5</v>
      </c>
      <c r="B7" s="49" t="s">
        <v>192</v>
      </c>
      <c r="C7" s="114">
        <v>9</v>
      </c>
      <c r="D7" s="47" t="s">
        <v>192</v>
      </c>
      <c r="E7" s="48">
        <v>9.6999999999999993</v>
      </c>
      <c r="F7" s="49" t="s">
        <v>192</v>
      </c>
      <c r="G7" s="61">
        <v>1.0777777777777777</v>
      </c>
      <c r="H7" s="49" t="s">
        <v>190</v>
      </c>
      <c r="I7" s="53">
        <v>1518.8868623780729</v>
      </c>
      <c r="J7" s="49" t="s">
        <v>139</v>
      </c>
      <c r="K7" s="50">
        <v>2</v>
      </c>
      <c r="L7" s="49" t="s">
        <v>139</v>
      </c>
      <c r="M7" s="51">
        <v>0.33333333333333331</v>
      </c>
      <c r="N7" s="49" t="s">
        <v>139</v>
      </c>
      <c r="O7" s="51">
        <v>0.33333333333333331</v>
      </c>
      <c r="P7" s="49" t="s">
        <v>139</v>
      </c>
      <c r="Q7" s="52">
        <v>0.29146537842190018</v>
      </c>
      <c r="R7" s="49" t="s">
        <v>195</v>
      </c>
      <c r="S7" s="52">
        <v>0.1388888888888889</v>
      </c>
      <c r="T7" s="49" t="s">
        <v>193</v>
      </c>
      <c r="U7" s="53">
        <v>8212.5</v>
      </c>
      <c r="V7" s="49" t="s">
        <v>211</v>
      </c>
      <c r="W7" s="53">
        <v>-7356.25</v>
      </c>
      <c r="X7" s="49" t="s">
        <v>195</v>
      </c>
      <c r="Y7" s="51">
        <v>0</v>
      </c>
      <c r="Z7" s="49" t="s">
        <v>211</v>
      </c>
      <c r="AA7" s="52">
        <v>0.25510204081632654</v>
      </c>
      <c r="AB7" s="49" t="s">
        <v>139</v>
      </c>
      <c r="AC7" s="52">
        <v>0.23832528180354268</v>
      </c>
      <c r="AD7" s="49" t="s">
        <v>190</v>
      </c>
      <c r="AE7" s="52">
        <v>0.5</v>
      </c>
      <c r="AF7" s="49" t="s">
        <v>139</v>
      </c>
      <c r="AG7" s="52">
        <v>0.44594594594594594</v>
      </c>
      <c r="AH7" s="49" t="s">
        <v>139</v>
      </c>
      <c r="AI7" s="52">
        <v>0.48618784530386738</v>
      </c>
      <c r="AJ7" s="49" t="s">
        <v>189</v>
      </c>
      <c r="AK7" s="56">
        <v>61300</v>
      </c>
    </row>
    <row r="8" spans="1:37" x14ac:dyDescent="0.4">
      <c r="A8" s="46">
        <v>6</v>
      </c>
      <c r="B8" s="49" t="s">
        <v>163</v>
      </c>
      <c r="C8" s="114">
        <v>6</v>
      </c>
      <c r="D8" s="47" t="s">
        <v>139</v>
      </c>
      <c r="E8" s="48">
        <v>1.4210854715202004E-14</v>
      </c>
      <c r="F8" s="49" t="s">
        <v>139</v>
      </c>
      <c r="G8" s="61">
        <v>1.8947806286936006E-16</v>
      </c>
      <c r="H8" s="49" t="s">
        <v>211</v>
      </c>
      <c r="I8" s="53">
        <v>1506.4847379755383</v>
      </c>
      <c r="J8" s="49" t="s">
        <v>189</v>
      </c>
      <c r="K8" s="50">
        <v>2</v>
      </c>
      <c r="L8" s="49" t="s">
        <v>192</v>
      </c>
      <c r="M8" s="51">
        <v>0.33333333333333331</v>
      </c>
      <c r="N8" s="49" t="s">
        <v>190</v>
      </c>
      <c r="O8" s="51">
        <v>0.33333333333333331</v>
      </c>
      <c r="P8" s="49" t="s">
        <v>195</v>
      </c>
      <c r="Q8" s="52">
        <v>0.25</v>
      </c>
      <c r="R8" s="49" t="s">
        <v>139</v>
      </c>
      <c r="S8" s="52">
        <v>0.14975845410628019</v>
      </c>
      <c r="T8" s="49" t="s">
        <v>211</v>
      </c>
      <c r="U8" s="53">
        <v>8165.625</v>
      </c>
      <c r="V8" s="49" t="s">
        <v>189</v>
      </c>
      <c r="W8" s="53">
        <v>-7571.4285714285716</v>
      </c>
      <c r="X8" s="49" t="s">
        <v>193</v>
      </c>
      <c r="Y8" s="51">
        <v>0</v>
      </c>
      <c r="Z8" s="49" t="s">
        <v>139</v>
      </c>
      <c r="AA8" s="52">
        <v>0.25120772946859904</v>
      </c>
      <c r="AB8" s="49" t="s">
        <v>190</v>
      </c>
      <c r="AC8" s="52">
        <v>0.23809523809523808</v>
      </c>
      <c r="AD8" s="49" t="s">
        <v>139</v>
      </c>
      <c r="AE8" s="52">
        <v>0.49358974358974361</v>
      </c>
      <c r="AF8" s="49" t="s">
        <v>193</v>
      </c>
      <c r="AG8" s="52">
        <v>0.4</v>
      </c>
      <c r="AH8" s="49" t="s">
        <v>216</v>
      </c>
      <c r="AI8" s="52">
        <v>0.47368421052631576</v>
      </c>
      <c r="AJ8" s="49" t="s">
        <v>163</v>
      </c>
      <c r="AK8" s="56">
        <v>58600</v>
      </c>
    </row>
    <row r="9" spans="1:37" x14ac:dyDescent="0.4">
      <c r="A9" s="46">
        <v>7</v>
      </c>
      <c r="B9" s="49" t="s">
        <v>189</v>
      </c>
      <c r="C9" s="114">
        <v>6</v>
      </c>
      <c r="D9" s="47" t="s">
        <v>221</v>
      </c>
      <c r="E9" s="48">
        <v>-13.5</v>
      </c>
      <c r="F9" s="49" t="s">
        <v>195</v>
      </c>
      <c r="G9" s="61">
        <v>-3.6749999999999989</v>
      </c>
      <c r="H9" s="49" t="s">
        <v>216</v>
      </c>
      <c r="I9" s="53">
        <v>1505.4057135817091</v>
      </c>
      <c r="J9" s="49" t="s">
        <v>195</v>
      </c>
      <c r="K9" s="50">
        <v>2</v>
      </c>
      <c r="L9" s="49" t="s">
        <v>193</v>
      </c>
      <c r="M9" s="51">
        <v>0.25</v>
      </c>
      <c r="N9" s="49" t="s">
        <v>211</v>
      </c>
      <c r="O9" s="51">
        <v>0.38461538461538464</v>
      </c>
      <c r="P9" s="49" t="s">
        <v>216</v>
      </c>
      <c r="Q9" s="52">
        <v>0.24358974358974358</v>
      </c>
      <c r="R9" s="49" t="s">
        <v>211</v>
      </c>
      <c r="S9" s="52">
        <v>0.16326530612244897</v>
      </c>
      <c r="T9" s="49" t="s">
        <v>139</v>
      </c>
      <c r="U9" s="53">
        <v>8153.5911602209944</v>
      </c>
      <c r="V9" s="49" t="s">
        <v>192</v>
      </c>
      <c r="W9" s="53">
        <v>-7955.5555555555557</v>
      </c>
      <c r="X9" s="49" t="s">
        <v>221</v>
      </c>
      <c r="Y9" s="51">
        <v>0</v>
      </c>
      <c r="Z9" s="49" t="s">
        <v>195</v>
      </c>
      <c r="AA9" s="52">
        <v>0.25</v>
      </c>
      <c r="AB9" s="49" t="s">
        <v>126</v>
      </c>
      <c r="AC9" s="52">
        <v>0.2348993288590604</v>
      </c>
      <c r="AD9" s="49" t="s">
        <v>189</v>
      </c>
      <c r="AE9" s="52">
        <v>0.46666666666666667</v>
      </c>
      <c r="AF9" s="49" t="s">
        <v>221</v>
      </c>
      <c r="AG9" s="52">
        <v>0.4</v>
      </c>
      <c r="AH9" s="49" t="s">
        <v>211</v>
      </c>
      <c r="AI9" s="52">
        <v>0.46875</v>
      </c>
      <c r="AJ9" s="49" t="s">
        <v>192</v>
      </c>
      <c r="AK9" s="56">
        <v>56300</v>
      </c>
    </row>
    <row r="10" spans="1:37" x14ac:dyDescent="0.4">
      <c r="A10" s="46">
        <v>8</v>
      </c>
      <c r="B10" s="49" t="s">
        <v>195</v>
      </c>
      <c r="C10" s="114">
        <v>4</v>
      </c>
      <c r="D10" s="47" t="s">
        <v>195</v>
      </c>
      <c r="E10" s="48">
        <v>-14.699999999999996</v>
      </c>
      <c r="F10" s="49" t="s">
        <v>221</v>
      </c>
      <c r="G10" s="61">
        <v>-6.75</v>
      </c>
      <c r="H10" s="49" t="s">
        <v>221</v>
      </c>
      <c r="I10" s="53">
        <v>1497.379788</v>
      </c>
      <c r="J10" s="49" t="s">
        <v>193</v>
      </c>
      <c r="K10" s="50">
        <v>2.25</v>
      </c>
      <c r="L10" s="49" t="s">
        <v>163</v>
      </c>
      <c r="M10" s="51">
        <v>0.16666666666666666</v>
      </c>
      <c r="N10" s="49" t="s">
        <v>195</v>
      </c>
      <c r="O10" s="51">
        <v>0.5</v>
      </c>
      <c r="P10" s="49" t="s">
        <v>193</v>
      </c>
      <c r="Q10" s="52">
        <v>0.22857142857142856</v>
      </c>
      <c r="R10" s="49" t="s">
        <v>216</v>
      </c>
      <c r="S10" s="52">
        <v>0.16666666666666666</v>
      </c>
      <c r="T10" s="49" t="s">
        <v>216</v>
      </c>
      <c r="U10" s="53">
        <v>7557.894736842105</v>
      </c>
      <c r="V10" s="49" t="s">
        <v>139</v>
      </c>
      <c r="W10" s="53">
        <v>-7977.4193548387093</v>
      </c>
      <c r="X10" s="49" t="s">
        <v>139</v>
      </c>
      <c r="Y10" s="51">
        <v>5.3333333333333337E-2</v>
      </c>
      <c r="Z10" s="49" t="s">
        <v>192</v>
      </c>
      <c r="AA10" s="52">
        <v>0.24390243902439024</v>
      </c>
      <c r="AB10" s="49" t="s">
        <v>211</v>
      </c>
      <c r="AC10" s="52">
        <v>0.22448979591836735</v>
      </c>
      <c r="AD10" s="49" t="s">
        <v>216</v>
      </c>
      <c r="AE10" s="52">
        <v>0.42857142857142855</v>
      </c>
      <c r="AF10" s="49" t="s">
        <v>189</v>
      </c>
      <c r="AG10" s="52">
        <v>0.39130434782608697</v>
      </c>
      <c r="AH10" s="49" t="s">
        <v>192</v>
      </c>
      <c r="AI10" s="52">
        <v>0.40740740740740738</v>
      </c>
      <c r="AJ10" s="49" t="s">
        <v>195</v>
      </c>
      <c r="AK10" s="56">
        <v>49300</v>
      </c>
    </row>
    <row r="11" spans="1:37" x14ac:dyDescent="0.4">
      <c r="A11" s="46">
        <v>9</v>
      </c>
      <c r="B11" s="49" t="s">
        <v>193</v>
      </c>
      <c r="C11" s="114">
        <v>4</v>
      </c>
      <c r="D11" s="47" t="s">
        <v>190</v>
      </c>
      <c r="E11" s="48">
        <v>-40.4</v>
      </c>
      <c r="F11" s="49" t="s">
        <v>193</v>
      </c>
      <c r="G11" s="61">
        <v>-12.924999999999999</v>
      </c>
      <c r="H11" s="49" t="s">
        <v>189</v>
      </c>
      <c r="I11" s="53">
        <v>1443.310212653344</v>
      </c>
      <c r="J11" s="49" t="s">
        <v>190</v>
      </c>
      <c r="K11" s="50">
        <v>2.3333333333333335</v>
      </c>
      <c r="L11" s="49" t="s">
        <v>189</v>
      </c>
      <c r="M11" s="51">
        <v>0.16666666666666666</v>
      </c>
      <c r="N11" s="49" t="s">
        <v>193</v>
      </c>
      <c r="O11" s="51">
        <v>0.5</v>
      </c>
      <c r="P11" s="49" t="s">
        <v>221</v>
      </c>
      <c r="Q11" s="52">
        <v>0.22222222222222221</v>
      </c>
      <c r="R11" s="49" t="s">
        <v>221</v>
      </c>
      <c r="S11" s="52">
        <v>0.16666666666666666</v>
      </c>
      <c r="T11" s="49" t="s">
        <v>163</v>
      </c>
      <c r="U11" s="53">
        <v>7340</v>
      </c>
      <c r="V11" s="49" t="s">
        <v>193</v>
      </c>
      <c r="W11" s="53">
        <v>-9387.5</v>
      </c>
      <c r="X11" s="49" t="s">
        <v>211</v>
      </c>
      <c r="Y11" s="51">
        <v>7.6923076923076927E-2</v>
      </c>
      <c r="Z11" s="49" t="s">
        <v>221</v>
      </c>
      <c r="AA11" s="52">
        <v>0.22222222222222221</v>
      </c>
      <c r="AB11" s="49" t="s">
        <v>216</v>
      </c>
      <c r="AC11" s="52">
        <v>0.21794871794871795</v>
      </c>
      <c r="AD11" s="49" t="s">
        <v>163</v>
      </c>
      <c r="AE11" s="52">
        <v>0.27272727272727271</v>
      </c>
      <c r="AF11" s="49" t="s">
        <v>216</v>
      </c>
      <c r="AG11" s="52">
        <v>0.35294117647058826</v>
      </c>
      <c r="AH11" s="49" t="s">
        <v>163</v>
      </c>
      <c r="AI11" s="52">
        <v>0.3</v>
      </c>
      <c r="AJ11" s="49" t="s">
        <v>193</v>
      </c>
      <c r="AK11" s="56">
        <v>45000</v>
      </c>
    </row>
    <row r="12" spans="1:37" x14ac:dyDescent="0.4">
      <c r="A12" s="46">
        <v>10</v>
      </c>
      <c r="B12" s="49" t="s">
        <v>190</v>
      </c>
      <c r="C12" s="114">
        <v>3</v>
      </c>
      <c r="D12" s="47" t="s">
        <v>193</v>
      </c>
      <c r="E12" s="48">
        <v>-51.699999999999996</v>
      </c>
      <c r="F12" s="49" t="s">
        <v>190</v>
      </c>
      <c r="G12" s="61">
        <v>-13.466666666666667</v>
      </c>
      <c r="H12" s="49" t="s">
        <v>195</v>
      </c>
      <c r="I12" s="53">
        <v>1393.6019525837494</v>
      </c>
      <c r="J12" s="49" t="s">
        <v>221</v>
      </c>
      <c r="K12" s="50">
        <v>2.5</v>
      </c>
      <c r="L12" s="49" t="s">
        <v>190</v>
      </c>
      <c r="M12" s="51">
        <v>0</v>
      </c>
      <c r="N12" s="49" t="s">
        <v>221</v>
      </c>
      <c r="O12" s="51">
        <v>0.5</v>
      </c>
      <c r="P12" s="49" t="s">
        <v>163</v>
      </c>
      <c r="Q12" s="52">
        <v>0.19607843137254902</v>
      </c>
      <c r="R12" s="49" t="s">
        <v>163</v>
      </c>
      <c r="S12" s="52">
        <v>0.21568627450980393</v>
      </c>
      <c r="T12" s="49" t="s">
        <v>192</v>
      </c>
      <c r="U12" s="53">
        <v>6414.8148148148148</v>
      </c>
      <c r="V12" s="49" t="s">
        <v>221</v>
      </c>
      <c r="W12" s="53">
        <v>-10300</v>
      </c>
      <c r="X12" s="49" t="s">
        <v>216</v>
      </c>
      <c r="Y12" s="51">
        <v>0.1</v>
      </c>
      <c r="Z12" s="49" t="s">
        <v>163</v>
      </c>
      <c r="AA12" s="52">
        <v>0.21568627450980393</v>
      </c>
      <c r="AB12" s="49" t="s">
        <v>192</v>
      </c>
      <c r="AC12" s="52">
        <v>0.1951219512195122</v>
      </c>
      <c r="AD12" s="49" t="s">
        <v>221</v>
      </c>
      <c r="AE12" s="52">
        <v>0.25</v>
      </c>
      <c r="AF12" s="49" t="s">
        <v>163</v>
      </c>
      <c r="AG12" s="52">
        <v>0.30769230769230771</v>
      </c>
      <c r="AH12" s="49" t="s">
        <v>193</v>
      </c>
      <c r="AI12" s="52">
        <v>0.25</v>
      </c>
      <c r="AJ12" s="49" t="s">
        <v>221</v>
      </c>
      <c r="AK12" s="56">
        <v>39000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163</v>
      </c>
      <c r="E13" s="48">
        <v>-182.90000000000003</v>
      </c>
      <c r="F13" s="49" t="s">
        <v>163</v>
      </c>
      <c r="G13" s="61">
        <v>-30.483333333333338</v>
      </c>
      <c r="H13" s="49" t="s">
        <v>193</v>
      </c>
      <c r="I13" s="53">
        <v>1343.1099105729741</v>
      </c>
      <c r="J13" s="49" t="s">
        <v>163</v>
      </c>
      <c r="K13" s="50">
        <v>2.6666666666666665</v>
      </c>
      <c r="L13" s="49" t="s">
        <v>221</v>
      </c>
      <c r="M13" s="51">
        <v>0</v>
      </c>
      <c r="N13" s="49" t="s">
        <v>163</v>
      </c>
      <c r="O13" s="51">
        <v>0.83333333333333337</v>
      </c>
      <c r="P13" s="49" t="s">
        <v>190</v>
      </c>
      <c r="Q13" s="52">
        <v>0.14285714285714285</v>
      </c>
      <c r="R13" s="49" t="s">
        <v>193</v>
      </c>
      <c r="S13" s="52">
        <v>0.22857142857142856</v>
      </c>
      <c r="T13" s="49" t="s">
        <v>190</v>
      </c>
      <c r="U13" s="53">
        <v>5800</v>
      </c>
      <c r="V13" s="49" t="s">
        <v>163</v>
      </c>
      <c r="W13" s="53">
        <v>-12463.636363636364</v>
      </c>
      <c r="X13" s="49" t="s">
        <v>163</v>
      </c>
      <c r="Y13" s="51">
        <v>0.33333333333333331</v>
      </c>
      <c r="Z13" s="49" t="s">
        <v>190</v>
      </c>
      <c r="AA13" s="52">
        <v>9.5238095238095233E-2</v>
      </c>
      <c r="AB13" s="49" t="s">
        <v>195</v>
      </c>
      <c r="AC13" s="52">
        <v>5.5555555555555552E-2</v>
      </c>
      <c r="AD13" s="49" t="s">
        <v>193</v>
      </c>
      <c r="AE13" s="52">
        <v>0.22222222222222221</v>
      </c>
      <c r="AF13" s="49" t="s">
        <v>190</v>
      </c>
      <c r="AG13" s="52">
        <v>0.2</v>
      </c>
      <c r="AH13" s="49" t="s">
        <v>190</v>
      </c>
      <c r="AI13" s="52">
        <v>0</v>
      </c>
      <c r="AJ13" s="49" t="s">
        <v>190</v>
      </c>
      <c r="AK13" s="56">
        <v>31700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706EB-BAB8-443F-8261-AEA6C09A9757}">
  <sheetPr codeName="Sheet4"/>
  <dimension ref="A1:R7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75</v>
      </c>
      <c r="C2" s="134"/>
      <c r="E2" s="26" t="s">
        <v>66</v>
      </c>
      <c r="F2" s="23" t="s">
        <v>22</v>
      </c>
      <c r="G2" s="11">
        <v>131</v>
      </c>
      <c r="H2" s="87">
        <f>IF(B$20=0,0,G2/B$20)</f>
        <v>0.72375690607734811</v>
      </c>
      <c r="I2" s="57">
        <v>5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-40</v>
      </c>
      <c r="Q2" s="76">
        <v>75</v>
      </c>
      <c r="R2" s="63">
        <v>-3000</v>
      </c>
    </row>
    <row r="3" spans="1:18" x14ac:dyDescent="0.4">
      <c r="A3" s="19" t="s">
        <v>8</v>
      </c>
      <c r="B3" s="135">
        <v>621</v>
      </c>
      <c r="C3" s="136"/>
      <c r="E3" s="27" t="s">
        <v>72</v>
      </c>
      <c r="F3" s="24" t="s">
        <v>27</v>
      </c>
      <c r="G3" s="12">
        <v>122</v>
      </c>
      <c r="H3" s="88">
        <f>IF(B$20=0,0,G3/B$20)</f>
        <v>0.67403314917127077</v>
      </c>
      <c r="I3" s="58">
        <v>5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41.666666666666664</v>
      </c>
      <c r="Q3" s="77">
        <v>72</v>
      </c>
      <c r="R3" s="64">
        <v>3000</v>
      </c>
    </row>
    <row r="4" spans="1:18" x14ac:dyDescent="0.4">
      <c r="A4" s="19" t="s">
        <v>6</v>
      </c>
      <c r="B4" s="137">
        <v>1.4210854715202004E-14</v>
      </c>
      <c r="C4" s="138"/>
      <c r="E4" s="27" t="s">
        <v>64</v>
      </c>
      <c r="F4" s="24" t="s">
        <v>20</v>
      </c>
      <c r="G4" s="12">
        <v>73</v>
      </c>
      <c r="H4" s="88">
        <f>IF(B$20=0,0,G4/B$20)</f>
        <v>0.40331491712707185</v>
      </c>
      <c r="I4" s="58">
        <v>5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-13.888888888888889</v>
      </c>
      <c r="Q4" s="77">
        <v>72</v>
      </c>
      <c r="R4" s="64">
        <v>-1000</v>
      </c>
    </row>
    <row r="5" spans="1:18" x14ac:dyDescent="0.4">
      <c r="A5" s="19" t="s">
        <v>7</v>
      </c>
      <c r="B5" s="125">
        <f>IF(B$2=0,0,B$4/B$2)</f>
        <v>1.8947806286936006E-16</v>
      </c>
      <c r="C5" s="126"/>
      <c r="E5" s="27" t="s">
        <v>159</v>
      </c>
      <c r="F5" s="24" t="s">
        <v>160</v>
      </c>
      <c r="G5" s="12">
        <v>72</v>
      </c>
      <c r="H5" s="88">
        <f>IF(B$20=0,0,G5/B$20)</f>
        <v>0.39779005524861877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15.151515151515152</v>
      </c>
      <c r="Q5" s="77">
        <v>66</v>
      </c>
      <c r="R5" s="64">
        <v>1000</v>
      </c>
    </row>
    <row r="6" spans="1:18" x14ac:dyDescent="0.4">
      <c r="A6" s="19" t="s">
        <v>196</v>
      </c>
      <c r="B6" s="129">
        <v>1588.853280758633</v>
      </c>
      <c r="C6" s="130"/>
      <c r="E6" s="27" t="s">
        <v>68</v>
      </c>
      <c r="F6" s="24" t="s">
        <v>12</v>
      </c>
      <c r="G6" s="12">
        <v>55</v>
      </c>
      <c r="H6" s="88">
        <f>IF(B$20=0,0,G6/B$20)</f>
        <v>0.30386740331491713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-16.666666666666668</v>
      </c>
      <c r="Q6" s="77">
        <v>60</v>
      </c>
      <c r="R6" s="64">
        <v>-1000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0.24861878453038674</v>
      </c>
      <c r="I7" s="58">
        <v>6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17.543859649122808</v>
      </c>
      <c r="Q7" s="78">
        <v>57</v>
      </c>
      <c r="R7" s="65">
        <v>1000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30</v>
      </c>
      <c r="H8" s="88">
        <f>IF(B$20=0,0,G8/B$20)</f>
        <v>0.16574585635359115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0.33333333333333331</v>
      </c>
      <c r="E9" s="27" t="s">
        <v>69</v>
      </c>
      <c r="F9" s="24" t="s">
        <v>24</v>
      </c>
      <c r="G9" s="12">
        <v>22</v>
      </c>
      <c r="H9" s="88">
        <f>IF(B$20=0,0,G9/B$20)</f>
        <v>0.12154696132596685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25</v>
      </c>
      <c r="C10" s="7">
        <f t="shared" si="1"/>
        <v>0.33333333333333331</v>
      </c>
      <c r="E10" s="27" t="s">
        <v>70</v>
      </c>
      <c r="F10" s="24" t="s">
        <v>25</v>
      </c>
      <c r="G10" s="12">
        <v>19</v>
      </c>
      <c r="H10" s="88">
        <f>IF(B$20=0,0,G10/B$20)</f>
        <v>0.10497237569060773</v>
      </c>
      <c r="I10" s="58">
        <v>5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-4.1159999999999997</v>
      </c>
      <c r="Q10" s="76">
        <v>25</v>
      </c>
      <c r="R10" s="67">
        <v>-102.89999999999999</v>
      </c>
    </row>
    <row r="11" spans="1:18" x14ac:dyDescent="0.4">
      <c r="A11" s="20" t="s">
        <v>184</v>
      </c>
      <c r="B11" s="109">
        <f>IF(B8=0,0,C11/B8)</f>
        <v>33.280000000000008</v>
      </c>
      <c r="C11" s="110">
        <v>832.00000000000023</v>
      </c>
      <c r="E11" s="27" t="s">
        <v>65</v>
      </c>
      <c r="F11" s="24" t="s">
        <v>21</v>
      </c>
      <c r="G11" s="12">
        <v>12</v>
      </c>
      <c r="H11" s="88">
        <f>IF(B$20=0,0,G11/B$20)</f>
        <v>6.6298342541436461E-2</v>
      </c>
      <c r="I11" s="58">
        <v>5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-2.2320000000000007</v>
      </c>
      <c r="Q11" s="77">
        <v>25</v>
      </c>
      <c r="R11" s="68">
        <v>-55.800000000000018</v>
      </c>
    </row>
    <row r="12" spans="1:18" x14ac:dyDescent="0.4">
      <c r="A12" s="20" t="s">
        <v>185</v>
      </c>
      <c r="B12" s="109">
        <f>IF(B9=0,0,C12/B9)</f>
        <v>-1.1280000000000003</v>
      </c>
      <c r="C12" s="110">
        <v>-28.200000000000006</v>
      </c>
      <c r="E12" s="27" t="s">
        <v>71</v>
      </c>
      <c r="F12" s="24" t="s">
        <v>26</v>
      </c>
      <c r="G12" s="12">
        <v>11</v>
      </c>
      <c r="H12" s="88">
        <f>IF(B$20=0,0,G12/B$20)</f>
        <v>6.0773480662983423E-2</v>
      </c>
      <c r="I12" s="58">
        <v>4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6.3480000000000016</v>
      </c>
      <c r="Q12" s="78">
        <v>25</v>
      </c>
      <c r="R12" s="69">
        <v>158.70000000000005</v>
      </c>
    </row>
    <row r="13" spans="1:18" x14ac:dyDescent="0.4">
      <c r="A13" s="20" t="s">
        <v>186</v>
      </c>
      <c r="B13" s="109">
        <f>IF(B10=0,0,C13/B10)</f>
        <v>-32.152000000000001</v>
      </c>
      <c r="C13" s="110">
        <v>-803.80000000000007</v>
      </c>
      <c r="E13" s="27" t="s">
        <v>83</v>
      </c>
      <c r="F13" s="24" t="s">
        <v>38</v>
      </c>
      <c r="G13" s="12">
        <v>10</v>
      </c>
      <c r="H13" s="88">
        <f>IF(B$20=0,0,G13/B$20)</f>
        <v>5.5248618784530384E-2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9</v>
      </c>
      <c r="H14" s="88">
        <f>IF(B$20=0,0,G14/B$20)</f>
        <v>4.9723756906077346E-2</v>
      </c>
      <c r="I14" s="58">
        <v>4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5.3333333333333337E-2</v>
      </c>
      <c r="E15" s="27" t="s">
        <v>81</v>
      </c>
      <c r="F15" s="24" t="s">
        <v>36</v>
      </c>
      <c r="G15" s="12">
        <v>7</v>
      </c>
      <c r="H15" s="88">
        <f>IF(B$20=0,0,G15/B$20)</f>
        <v>3.8674033149171269E-2</v>
      </c>
      <c r="I15" s="58">
        <v>5</v>
      </c>
      <c r="K15" s="74">
        <v>13</v>
      </c>
      <c r="L15" s="119">
        <v>48.999999999999993</v>
      </c>
      <c r="M15" s="117">
        <v>1603.6953056015411</v>
      </c>
      <c r="O15" s="73" t="s">
        <v>163</v>
      </c>
      <c r="P15" s="82">
        <f>IF(Q15=0,0,R15/Q15)</f>
        <v>45.725000000000001</v>
      </c>
      <c r="Q15" s="76">
        <v>12</v>
      </c>
      <c r="R15" s="67">
        <v>548.70000000000005</v>
      </c>
    </row>
    <row r="16" spans="1:18" x14ac:dyDescent="0.4">
      <c r="A16" s="22" t="s">
        <v>121</v>
      </c>
      <c r="B16" s="15">
        <v>156</v>
      </c>
      <c r="C16" s="10">
        <f>IF(B$3=0,0,B16/B$3)</f>
        <v>0.25120772946859904</v>
      </c>
      <c r="E16" s="27" t="s">
        <v>78</v>
      </c>
      <c r="F16" s="24" t="s">
        <v>33</v>
      </c>
      <c r="G16" s="12">
        <v>5</v>
      </c>
      <c r="H16" s="88">
        <f>IF(B$20=0,0,G16/B$20)</f>
        <v>2.7624309392265192E-2</v>
      </c>
      <c r="I16" s="58">
        <v>5</v>
      </c>
      <c r="K16" s="74">
        <v>14</v>
      </c>
      <c r="L16" s="119">
        <v>3.4999999999999929</v>
      </c>
      <c r="M16" s="117">
        <v>1595.6091337679318</v>
      </c>
      <c r="O16" s="74" t="s">
        <v>190</v>
      </c>
      <c r="P16" s="83">
        <f>IF(Q16=0,0,R16/Q16)</f>
        <v>20.2</v>
      </c>
      <c r="Q16" s="77">
        <v>6</v>
      </c>
      <c r="R16" s="68">
        <v>121.19999999999999</v>
      </c>
    </row>
    <row r="17" spans="1:18" x14ac:dyDescent="0.4">
      <c r="A17" s="19" t="s">
        <v>118</v>
      </c>
      <c r="B17" s="12">
        <v>148</v>
      </c>
      <c r="C17" s="6">
        <f>IF(B$3=0,0,B17/B$3)</f>
        <v>0.23832528180354268</v>
      </c>
      <c r="E17" s="27" t="s">
        <v>91</v>
      </c>
      <c r="F17" s="24" t="s">
        <v>46</v>
      </c>
      <c r="G17" s="12">
        <v>3</v>
      </c>
      <c r="H17" s="88">
        <f>IF(B$20=0,0,G17/B$20)</f>
        <v>1.6574585635359115E-2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19.387500000000003</v>
      </c>
      <c r="Q17" s="77">
        <v>8</v>
      </c>
      <c r="R17" s="68">
        <v>155.10000000000002</v>
      </c>
    </row>
    <row r="18" spans="1:18" x14ac:dyDescent="0.4">
      <c r="A18" s="18" t="s">
        <v>123</v>
      </c>
      <c r="B18" s="11">
        <f>B24</f>
        <v>77</v>
      </c>
      <c r="C18" s="5">
        <f>IF(B$16=0,0,B18/B$16)</f>
        <v>0.49358974358974361</v>
      </c>
      <c r="E18" s="27" t="s">
        <v>155</v>
      </c>
      <c r="F18" s="24" t="s">
        <v>156</v>
      </c>
      <c r="G18" s="12">
        <v>3</v>
      </c>
      <c r="H18" s="88">
        <f>IF(B$20=0,0,G18/B$20)</f>
        <v>1.6574585635359115E-2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221</v>
      </c>
      <c r="P18" s="83">
        <f>IF(Q18=0,0,R18/Q18)</f>
        <v>10.125</v>
      </c>
      <c r="Q18" s="77">
        <v>4</v>
      </c>
      <c r="R18" s="68">
        <v>40.5</v>
      </c>
    </row>
    <row r="19" spans="1:18" x14ac:dyDescent="0.4">
      <c r="A19" s="18" t="s">
        <v>124</v>
      </c>
      <c r="B19" s="11">
        <f>B25</f>
        <v>66</v>
      </c>
      <c r="C19" s="5">
        <f>IF(B$17=0,0,B19/B$17)</f>
        <v>0.44594594594594594</v>
      </c>
      <c r="E19" s="27" t="s">
        <v>73</v>
      </c>
      <c r="F19" s="24" t="s">
        <v>28</v>
      </c>
      <c r="G19" s="12">
        <v>2</v>
      </c>
      <c r="H19" s="88">
        <f>IF(B$20=0,0,G19/B$20)</f>
        <v>1.1049723756906077E-2</v>
      </c>
      <c r="I19" s="58">
        <v>3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5.5124999999999984</v>
      </c>
      <c r="Q19" s="77">
        <v>8</v>
      </c>
      <c r="R19" s="68">
        <v>44.099999999999987</v>
      </c>
    </row>
    <row r="20" spans="1:18" x14ac:dyDescent="0.4">
      <c r="A20" s="18" t="s">
        <v>10</v>
      </c>
      <c r="B20" s="11">
        <f>B23+B22</f>
        <v>181</v>
      </c>
      <c r="C20" s="5">
        <f>IF(B$3=0,0,B20/B$3)</f>
        <v>0.29146537842190018</v>
      </c>
      <c r="E20" s="27" t="s">
        <v>79</v>
      </c>
      <c r="F20" s="24" t="s">
        <v>34</v>
      </c>
      <c r="G20" s="12">
        <v>2</v>
      </c>
      <c r="H20" s="88">
        <f>IF(B$20=0,0,G20/B$20)</f>
        <v>1.1049723756906077E-2</v>
      </c>
      <c r="I20" s="58">
        <v>3</v>
      </c>
      <c r="K20" s="74">
        <v>18</v>
      </c>
      <c r="L20" s="119">
        <v>-7.1054273576010019E-15</v>
      </c>
      <c r="M20" s="117">
        <v>1595.2131482112773</v>
      </c>
      <c r="O20" s="74" t="s">
        <v>192</v>
      </c>
      <c r="P20" s="83">
        <f>IF(Q20=0,0,R20/Q20)</f>
        <v>-1.6166666666666694</v>
      </c>
      <c r="Q20" s="77">
        <v>18</v>
      </c>
      <c r="R20" s="68">
        <v>-29.100000000000048</v>
      </c>
    </row>
    <row r="21" spans="1:18" x14ac:dyDescent="0.4">
      <c r="A21" s="19" t="s">
        <v>13</v>
      </c>
      <c r="B21" s="12">
        <v>93</v>
      </c>
      <c r="C21" s="6">
        <f>IF(B$3=0,0,B21/B$3)</f>
        <v>0.14975845410628019</v>
      </c>
      <c r="E21" s="27" t="s">
        <v>75</v>
      </c>
      <c r="F21" s="24" t="s">
        <v>30</v>
      </c>
      <c r="G21" s="12">
        <v>1</v>
      </c>
      <c r="H21" s="88">
        <f>IF(B$20=0,0,G21/B$20)</f>
        <v>5.5248618784530384E-3</v>
      </c>
      <c r="I21" s="58">
        <v>2</v>
      </c>
      <c r="K21" s="74">
        <v>19</v>
      </c>
      <c r="L21" s="119">
        <v>-23.100000000000009</v>
      </c>
      <c r="M21" s="117">
        <v>1591.1138693220096</v>
      </c>
      <c r="O21" s="74" t="s">
        <v>216</v>
      </c>
      <c r="P21" s="83">
        <f>IF(Q21=0,0,R21/Q21)</f>
        <v>-2.1149999999999998</v>
      </c>
      <c r="Q21" s="77">
        <v>20</v>
      </c>
      <c r="R21" s="68">
        <v>-42.3</v>
      </c>
    </row>
    <row r="22" spans="1:18" x14ac:dyDescent="0.4">
      <c r="A22" s="19" t="s">
        <v>12</v>
      </c>
      <c r="B22" s="12">
        <v>88</v>
      </c>
      <c r="C22" s="6">
        <f>IF(B$20=0,0,B22/B$20)</f>
        <v>0.48618784530386738</v>
      </c>
      <c r="E22" s="27" t="s">
        <v>77</v>
      </c>
      <c r="F22" s="24" t="s">
        <v>32</v>
      </c>
      <c r="G22" s="12">
        <v>1</v>
      </c>
      <c r="H22" s="88">
        <f>IF(B$20=0,0,G22/B$20)</f>
        <v>5.5248618784530384E-3</v>
      </c>
      <c r="I22" s="58">
        <v>2</v>
      </c>
      <c r="K22" s="74">
        <v>20</v>
      </c>
      <c r="L22" s="119">
        <v>-31.300000000000008</v>
      </c>
      <c r="M22" s="117">
        <v>1589.7211861060775</v>
      </c>
      <c r="O22" s="74" t="s">
        <v>189</v>
      </c>
      <c r="P22" s="83">
        <f>IF(Q22=0,0,R22/Q22)</f>
        <v>-6.1750000000000007</v>
      </c>
      <c r="Q22" s="77">
        <v>12</v>
      </c>
      <c r="R22" s="68">
        <v>-74.100000000000009</v>
      </c>
    </row>
    <row r="23" spans="1:18" x14ac:dyDescent="0.4">
      <c r="A23" s="19" t="s">
        <v>11</v>
      </c>
      <c r="B23" s="12">
        <v>93</v>
      </c>
      <c r="C23" s="6">
        <f>IF(B$20=0,0,B23/B$20)</f>
        <v>0.51381215469613262</v>
      </c>
      <c r="E23" s="27" t="s">
        <v>85</v>
      </c>
      <c r="F23" s="24" t="s">
        <v>40</v>
      </c>
      <c r="G23" s="12">
        <v>1</v>
      </c>
      <c r="H23" s="88">
        <f>IF(B$20=0,0,G23/B$20)</f>
        <v>5.5248618784530384E-3</v>
      </c>
      <c r="I23" s="58">
        <v>2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-7.5923076923076938</v>
      </c>
      <c r="Q23" s="77">
        <v>26</v>
      </c>
      <c r="R23" s="68">
        <v>-197.40000000000003</v>
      </c>
    </row>
    <row r="24" spans="1:18" x14ac:dyDescent="0.4">
      <c r="A24" s="19" t="s">
        <v>183</v>
      </c>
      <c r="B24" s="12">
        <v>77</v>
      </c>
      <c r="C24" s="6">
        <f>IF(B$20=0,0,B24/B$20)</f>
        <v>0.425414364640884</v>
      </c>
      <c r="E24" s="27" t="s">
        <v>92</v>
      </c>
      <c r="F24" s="24" t="s">
        <v>47</v>
      </c>
      <c r="G24" s="12">
        <v>1</v>
      </c>
      <c r="H24" s="88">
        <f>IF(B$20=0,0,G24/B$20)</f>
        <v>5.5248618784530384E-3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126</v>
      </c>
      <c r="P24" s="83">
        <f>IF(Q24=0,0,R24/Q24)</f>
        <v>-15.741666666666662</v>
      </c>
      <c r="Q24" s="77">
        <v>36</v>
      </c>
      <c r="R24" s="68">
        <v>-566.69999999999982</v>
      </c>
    </row>
    <row r="25" spans="1:18" x14ac:dyDescent="0.4">
      <c r="A25" s="19" t="s">
        <v>181</v>
      </c>
      <c r="B25" s="12">
        <v>66</v>
      </c>
      <c r="C25" s="6">
        <f>IF(B$20=0,0,B25/B$20)</f>
        <v>0.36464088397790057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38</v>
      </c>
      <c r="C26" s="6">
        <f>IF(B$20=0,0,B26/B$20)</f>
        <v>0.20994475138121546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8153.5911602209944</v>
      </c>
      <c r="C27" s="8">
        <v>1475800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8845.217391304348</v>
      </c>
      <c r="C28" s="96">
        <v>1017200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6948.484848484848</v>
      </c>
      <c r="C29" s="96">
        <v>458600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-7977.4193548387093</v>
      </c>
      <c r="C30" s="96">
        <v>-741900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21</v>
      </c>
      <c r="C32" s="90">
        <v>21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3</v>
      </c>
      <c r="C35" s="9">
        <f>IF(B$3=0,0,B35/B$3)</f>
        <v>4.830917874396135E-3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13</v>
      </c>
      <c r="C37" s="98">
        <f t="shared" ref="C37:C49" si="2">IF(B$20=0,0,B37/B$20)</f>
        <v>7.18232044198895E-2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38</v>
      </c>
      <c r="C38" s="6">
        <f t="shared" si="2"/>
        <v>0.20994475138121546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33</v>
      </c>
      <c r="C39" s="6">
        <f t="shared" si="2"/>
        <v>0.18232044198895028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29</v>
      </c>
      <c r="C40" s="6">
        <f t="shared" si="2"/>
        <v>0.16022099447513813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21</v>
      </c>
      <c r="C41" s="6">
        <f t="shared" si="2"/>
        <v>0.11602209944751381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24</v>
      </c>
      <c r="C42" s="6">
        <f t="shared" si="2"/>
        <v>0.13259668508287292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12</v>
      </c>
      <c r="C43" s="6">
        <f t="shared" si="2"/>
        <v>6.6298342541436461E-2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5</v>
      </c>
      <c r="C44" s="6">
        <f t="shared" si="2"/>
        <v>2.7624309392265192E-2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2</v>
      </c>
      <c r="C45" s="6">
        <f t="shared" si="2"/>
        <v>1.1049723756906077E-2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2</v>
      </c>
      <c r="C46" s="6">
        <f t="shared" si="2"/>
        <v>1.1049723756906077E-2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1</v>
      </c>
      <c r="C47" s="6">
        <f t="shared" si="2"/>
        <v>5.5248618784530384E-3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1</v>
      </c>
      <c r="C49" s="9">
        <f t="shared" si="2"/>
        <v>5.5248618784530384E-3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</sheetData>
  <sortState xmlns:xlrd2="http://schemas.microsoft.com/office/spreadsheetml/2017/richdata2" ref="E2:I7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A1268-286E-498B-BA33-B209246CB6C1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72</v>
      </c>
      <c r="F2" s="23" t="s">
        <v>27</v>
      </c>
      <c r="G2" s="11">
        <v>42</v>
      </c>
      <c r="H2" s="87">
        <f>IF(B$20=0,0,G2/B$20)</f>
        <v>0.82352941176470584</v>
      </c>
      <c r="I2" s="57">
        <v>4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2283.3333333333335</v>
      </c>
      <c r="Q2" s="76">
        <v>18</v>
      </c>
      <c r="R2" s="63">
        <v>41100</v>
      </c>
    </row>
    <row r="3" spans="1:18" x14ac:dyDescent="0.4">
      <c r="A3" s="19" t="s">
        <v>8</v>
      </c>
      <c r="B3" s="135">
        <v>149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0.72549019607843135</v>
      </c>
      <c r="I3" s="58">
        <v>4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-717.64705882352939</v>
      </c>
      <c r="Q3" s="77">
        <v>17</v>
      </c>
      <c r="R3" s="64">
        <v>-12200</v>
      </c>
    </row>
    <row r="4" spans="1:18" x14ac:dyDescent="0.4">
      <c r="A4" s="19" t="s">
        <v>6</v>
      </c>
      <c r="B4" s="137">
        <v>188.9</v>
      </c>
      <c r="C4" s="138"/>
      <c r="E4" s="27" t="s">
        <v>159</v>
      </c>
      <c r="F4" s="24" t="s">
        <v>160</v>
      </c>
      <c r="G4" s="12">
        <v>20</v>
      </c>
      <c r="H4" s="88">
        <f>IF(B$20=0,0,G4/B$20)</f>
        <v>0.39215686274509803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1088.2352941176471</v>
      </c>
      <c r="Q4" s="77">
        <v>17</v>
      </c>
      <c r="R4" s="64">
        <v>18500</v>
      </c>
    </row>
    <row r="5" spans="1:18" x14ac:dyDescent="0.4">
      <c r="A5" s="19" t="s">
        <v>7</v>
      </c>
      <c r="B5" s="125">
        <f>IF(B$2=0,0,B$4/B$2)</f>
        <v>10.494444444444445</v>
      </c>
      <c r="C5" s="126"/>
      <c r="E5" s="27" t="s">
        <v>64</v>
      </c>
      <c r="F5" s="24" t="s">
        <v>20</v>
      </c>
      <c r="G5" s="12">
        <v>18</v>
      </c>
      <c r="H5" s="88">
        <f>IF(B$20=0,0,G5/B$20)</f>
        <v>0.35294117647058826</v>
      </c>
      <c r="I5" s="58">
        <v>7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1081.25</v>
      </c>
      <c r="Q5" s="77">
        <v>16</v>
      </c>
      <c r="R5" s="64">
        <v>17300</v>
      </c>
    </row>
    <row r="6" spans="1:18" x14ac:dyDescent="0.4">
      <c r="A6" s="19" t="s">
        <v>196</v>
      </c>
      <c r="B6" s="129">
        <v>1849.7792249072668</v>
      </c>
      <c r="C6" s="130"/>
      <c r="E6" s="27" t="s">
        <v>68</v>
      </c>
      <c r="F6" s="24" t="s">
        <v>12</v>
      </c>
      <c r="G6" s="12">
        <v>16</v>
      </c>
      <c r="H6" s="88">
        <f>IF(B$20=0,0,G6/B$20)</f>
        <v>0.31372549019607843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-473.33333333333331</v>
      </c>
      <c r="Q6" s="77">
        <v>15</v>
      </c>
      <c r="R6" s="64">
        <v>-7100</v>
      </c>
    </row>
    <row r="7" spans="1:18" x14ac:dyDescent="0.4">
      <c r="A7" s="19" t="s">
        <v>1</v>
      </c>
      <c r="B7" s="139">
        <f>IF(B$2=0,0,(B$8*1+B$9*2+B$10*3)/B$2)</f>
        <v>1.7222222222222223</v>
      </c>
      <c r="C7" s="140"/>
      <c r="E7" s="27" t="s">
        <v>89</v>
      </c>
      <c r="F7" s="24" t="s">
        <v>44</v>
      </c>
      <c r="G7" s="12">
        <v>10</v>
      </c>
      <c r="H7" s="88">
        <f>IF(B$20=0,0,G7/B$20)</f>
        <v>0.19607843137254902</v>
      </c>
      <c r="I7" s="58">
        <v>5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-1971.4285714285713</v>
      </c>
      <c r="Q7" s="78">
        <v>14</v>
      </c>
      <c r="R7" s="65">
        <v>-27600</v>
      </c>
    </row>
    <row r="8" spans="1:18" x14ac:dyDescent="0.4">
      <c r="A8" s="19" t="s">
        <v>2</v>
      </c>
      <c r="B8" s="12">
        <v>8</v>
      </c>
      <c r="C8" s="6">
        <f t="shared" ref="C8:C15" si="1">IF(B$2=0,0,B8/B$2)</f>
        <v>0.44444444444444442</v>
      </c>
      <c r="E8" s="27" t="s">
        <v>67</v>
      </c>
      <c r="F8" s="24" t="s">
        <v>23</v>
      </c>
      <c r="G8" s="12">
        <v>8</v>
      </c>
      <c r="H8" s="88">
        <f>IF(B$20=0,0,G8/B$20)</f>
        <v>0.15686274509803921</v>
      </c>
      <c r="I8" s="58">
        <v>9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0.3888888888888889</v>
      </c>
      <c r="E9" s="27" t="s">
        <v>69</v>
      </c>
      <c r="F9" s="24" t="s">
        <v>24</v>
      </c>
      <c r="G9" s="12">
        <v>8</v>
      </c>
      <c r="H9" s="88">
        <f>IF(B$20=0,0,G9/B$20)</f>
        <v>0.15686274509803921</v>
      </c>
      <c r="I9" s="58">
        <v>3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0.16666666666666666</v>
      </c>
      <c r="E10" s="27" t="s">
        <v>70</v>
      </c>
      <c r="F10" s="24" t="s">
        <v>25</v>
      </c>
      <c r="G10" s="12">
        <v>6</v>
      </c>
      <c r="H10" s="88">
        <f>IF(B$20=0,0,G10/B$20)</f>
        <v>0.11764705882352941</v>
      </c>
      <c r="I10" s="58">
        <v>2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9.0833333333333339</v>
      </c>
      <c r="Q10" s="76">
        <v>6</v>
      </c>
      <c r="R10" s="67">
        <v>54.5</v>
      </c>
    </row>
    <row r="11" spans="1:18" x14ac:dyDescent="0.4">
      <c r="A11" s="20" t="s">
        <v>184</v>
      </c>
      <c r="B11" s="109">
        <f>IF(B8=0,0,C11/B8)</f>
        <v>38.950000000000003</v>
      </c>
      <c r="C11" s="110">
        <v>311.60000000000002</v>
      </c>
      <c r="E11" s="27" t="s">
        <v>83</v>
      </c>
      <c r="F11" s="24" t="s">
        <v>38</v>
      </c>
      <c r="G11" s="12">
        <v>5</v>
      </c>
      <c r="H11" s="88">
        <f>IF(B$20=0,0,G11/B$20)</f>
        <v>9.8039215686274508E-2</v>
      </c>
      <c r="I11" s="58">
        <v>3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6.8</v>
      </c>
      <c r="Q11" s="77">
        <v>7</v>
      </c>
      <c r="R11" s="68">
        <v>47.6</v>
      </c>
    </row>
    <row r="12" spans="1:18" x14ac:dyDescent="0.4">
      <c r="A12" s="20" t="s">
        <v>185</v>
      </c>
      <c r="B12" s="109">
        <f>IF(B9=0,0,C12/B9)</f>
        <v>-7.6142857142857139</v>
      </c>
      <c r="C12" s="110">
        <v>-53.3</v>
      </c>
      <c r="E12" s="27" t="s">
        <v>65</v>
      </c>
      <c r="F12" s="24" t="s">
        <v>21</v>
      </c>
      <c r="G12" s="12">
        <v>3</v>
      </c>
      <c r="H12" s="88">
        <f>IF(B$20=0,0,G12/B$20)</f>
        <v>5.8823529411764705E-2</v>
      </c>
      <c r="I12" s="58">
        <v>6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17.360000000000003</v>
      </c>
      <c r="Q12" s="78">
        <v>5</v>
      </c>
      <c r="R12" s="69">
        <v>86.800000000000011</v>
      </c>
    </row>
    <row r="13" spans="1:18" x14ac:dyDescent="0.4">
      <c r="A13" s="20" t="s">
        <v>186</v>
      </c>
      <c r="B13" s="109">
        <f>IF(B10=0,0,C13/B10)</f>
        <v>-23.133333333333336</v>
      </c>
      <c r="C13" s="110">
        <v>-69.400000000000006</v>
      </c>
      <c r="E13" s="27" t="s">
        <v>81</v>
      </c>
      <c r="F13" s="24" t="s">
        <v>36</v>
      </c>
      <c r="G13" s="12">
        <v>3</v>
      </c>
      <c r="H13" s="88">
        <f>IF(B$20=0,0,G13/B$20)</f>
        <v>5.8823529411764705E-2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2.7341269841269842</v>
      </c>
      <c r="C14" s="126"/>
      <c r="E14" s="27" t="s">
        <v>71</v>
      </c>
      <c r="F14" s="24" t="s">
        <v>26</v>
      </c>
      <c r="G14" s="12">
        <v>2</v>
      </c>
      <c r="H14" s="88">
        <f>IF(B$20=0,0,G14/B$20)</f>
        <v>3.9215686274509803E-2</v>
      </c>
      <c r="I14" s="58">
        <v>7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2</v>
      </c>
      <c r="H15" s="88">
        <f>IF(B$20=0,0,G15/B$20)</f>
        <v>3.9215686274509803E-2</v>
      </c>
      <c r="I15" s="58">
        <v>5</v>
      </c>
      <c r="K15" s="74">
        <v>13</v>
      </c>
      <c r="L15" s="119">
        <v>236</v>
      </c>
      <c r="M15" s="117">
        <v>1865.6935040107483</v>
      </c>
      <c r="O15" s="73" t="s">
        <v>163</v>
      </c>
      <c r="P15" s="82">
        <f>IF(Q15=0,0,R15/Q15)</f>
        <v>82.3</v>
      </c>
      <c r="Q15" s="76">
        <v>4</v>
      </c>
      <c r="R15" s="67">
        <v>329.2</v>
      </c>
    </row>
    <row r="16" spans="1:18" x14ac:dyDescent="0.4">
      <c r="A16" s="22" t="s">
        <v>121</v>
      </c>
      <c r="B16" s="15">
        <v>40</v>
      </c>
      <c r="C16" s="10">
        <f>IF(B$3=0,0,B16/B$3)</f>
        <v>0.26845637583892618</v>
      </c>
      <c r="E16" s="27" t="s">
        <v>155</v>
      </c>
      <c r="F16" s="24" t="s">
        <v>156</v>
      </c>
      <c r="G16" s="12">
        <v>2</v>
      </c>
      <c r="H16" s="88">
        <f>IF(B$20=0,0,G16/B$20)</f>
        <v>3.9215686274509803E-2</v>
      </c>
      <c r="I16" s="58">
        <v>1</v>
      </c>
      <c r="K16" s="74">
        <v>14</v>
      </c>
      <c r="L16" s="119">
        <v>222</v>
      </c>
      <c r="M16" s="117">
        <v>1861.6993429866839</v>
      </c>
      <c r="O16" s="74" t="s">
        <v>190</v>
      </c>
      <c r="P16" s="83">
        <f>IF(Q16=0,0,R16/Q16)</f>
        <v>33.800000000000004</v>
      </c>
      <c r="Q16" s="77">
        <v>3</v>
      </c>
      <c r="R16" s="68">
        <v>101.4</v>
      </c>
    </row>
    <row r="17" spans="1:18" x14ac:dyDescent="0.4">
      <c r="A17" s="19" t="s">
        <v>118</v>
      </c>
      <c r="B17" s="12">
        <v>35</v>
      </c>
      <c r="C17" s="6">
        <f>IF(B$3=0,0,B17/B$3)</f>
        <v>0.2348993288590604</v>
      </c>
      <c r="E17" s="27" t="s">
        <v>78</v>
      </c>
      <c r="F17" s="24" t="s">
        <v>33</v>
      </c>
      <c r="G17" s="12">
        <v>1</v>
      </c>
      <c r="H17" s="88">
        <f>IF(B$20=0,0,G17/B$20)</f>
        <v>1.9607843137254902E-2</v>
      </c>
      <c r="I17" s="58">
        <v>6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20</v>
      </c>
      <c r="C18" s="5">
        <f>IF(B$16=0,0,B18/B$16)</f>
        <v>0.5</v>
      </c>
      <c r="E18" s="27" t="s">
        <v>79</v>
      </c>
      <c r="F18" s="24" t="s">
        <v>34</v>
      </c>
      <c r="G18" s="12">
        <v>1</v>
      </c>
      <c r="H18" s="88">
        <f>IF(B$20=0,0,G18/B$20)</f>
        <v>1.9607843137254902E-2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16.600000000000001</v>
      </c>
      <c r="Q18" s="77">
        <v>2</v>
      </c>
      <c r="R18" s="68">
        <v>33.200000000000003</v>
      </c>
    </row>
    <row r="19" spans="1:18" x14ac:dyDescent="0.4">
      <c r="A19" s="18" t="s">
        <v>124</v>
      </c>
      <c r="B19" s="11">
        <f>B25</f>
        <v>19</v>
      </c>
      <c r="C19" s="5">
        <f>IF(B$17=0,0,B19/B$17)</f>
        <v>0.54285714285714282</v>
      </c>
      <c r="E19" s="27" t="s">
        <v>92</v>
      </c>
      <c r="F19" s="24" t="s">
        <v>47</v>
      </c>
      <c r="G19" s="12">
        <v>1</v>
      </c>
      <c r="H19" s="88">
        <f>IF(B$20=0,0,G19/B$20)</f>
        <v>1.9607843137254902E-2</v>
      </c>
      <c r="I19" s="58">
        <v>1</v>
      </c>
      <c r="K19" s="74">
        <v>17</v>
      </c>
      <c r="L19" s="119">
        <v>164.3</v>
      </c>
      <c r="M19" s="117">
        <v>1846.8986166069083</v>
      </c>
      <c r="O19" s="74" t="s">
        <v>192</v>
      </c>
      <c r="P19" s="83">
        <f>IF(Q19=0,0,R19/Q19)</f>
        <v>16.028571428571425</v>
      </c>
      <c r="Q19" s="77">
        <v>7</v>
      </c>
      <c r="R19" s="68">
        <v>112.19999999999997</v>
      </c>
    </row>
    <row r="20" spans="1:18" x14ac:dyDescent="0.4">
      <c r="A20" s="18" t="s">
        <v>10</v>
      </c>
      <c r="B20" s="11">
        <f>B23+B22</f>
        <v>51</v>
      </c>
      <c r="C20" s="5">
        <f>IF(B$3=0,0,B20/B$3)</f>
        <v>0.34228187919463088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4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6.9333333333333336</v>
      </c>
      <c r="Q20" s="77">
        <v>6</v>
      </c>
      <c r="R20" s="68">
        <v>41.6</v>
      </c>
    </row>
    <row r="21" spans="1:18" x14ac:dyDescent="0.4">
      <c r="A21" s="19" t="s">
        <v>13</v>
      </c>
      <c r="B21" s="12">
        <v>20</v>
      </c>
      <c r="C21" s="6">
        <f>IF(B$3=0,0,B21/B$3)</f>
        <v>0.13422818791946309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O21" s="74" t="s">
        <v>211</v>
      </c>
      <c r="P21" s="83">
        <f>IF(Q21=0,0,R21/Q21)</f>
        <v>-5.4999999999999982</v>
      </c>
      <c r="Q21" s="77">
        <v>7</v>
      </c>
      <c r="R21" s="68">
        <v>-38.499999999999986</v>
      </c>
    </row>
    <row r="22" spans="1:18" x14ac:dyDescent="0.4">
      <c r="A22" s="19" t="s">
        <v>12</v>
      </c>
      <c r="B22" s="12">
        <v>27</v>
      </c>
      <c r="C22" s="6">
        <f>IF(B$20=0,0,B22/B$20)</f>
        <v>0.52941176470588236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O22" s="74" t="s">
        <v>216</v>
      </c>
      <c r="P22" s="83">
        <f>IF(Q22=0,0,R22/Q22)</f>
        <v>-14.040000000000001</v>
      </c>
      <c r="Q22" s="77">
        <v>5</v>
      </c>
      <c r="R22" s="68">
        <v>-70.2</v>
      </c>
    </row>
    <row r="23" spans="1:18" x14ac:dyDescent="0.4">
      <c r="A23" s="19" t="s">
        <v>11</v>
      </c>
      <c r="B23" s="12">
        <v>24</v>
      </c>
      <c r="C23" s="6">
        <f>IF(B$20=0,0,B23/B$20)</f>
        <v>0.47058823529411764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20</v>
      </c>
      <c r="C24" s="6">
        <f>IF(B$20=0,0,B24/B$20)</f>
        <v>0.39215686274509803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19</v>
      </c>
      <c r="C25" s="6">
        <f>IF(B$20=0,0,B25/B$20)</f>
        <v>0.37254901960784315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12</v>
      </c>
      <c r="C26" s="6">
        <f>IF(B$20=0,0,B26/B$20)</f>
        <v>0.23529411764705882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9135.2941176470595</v>
      </c>
      <c r="C27" s="8">
        <v>465900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9600</v>
      </c>
      <c r="C28" s="96">
        <v>307200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166</v>
      </c>
      <c r="B29" s="95">
        <f>IF(B$19=0,0,C29/B$19)</f>
        <v>8352.6315789473683</v>
      </c>
      <c r="C29" s="96">
        <v>158700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-6545</v>
      </c>
      <c r="C30" s="96">
        <v>-130900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158</v>
      </c>
      <c r="B32" s="12">
        <v>17</v>
      </c>
      <c r="C32" s="90">
        <v>9</v>
      </c>
      <c r="E32" s="27" t="s">
        <v>91</v>
      </c>
      <c r="F32" s="24" t="s">
        <v>46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6.7114093959731542E-3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3.9215686274509803E-2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7</v>
      </c>
      <c r="C38" s="6">
        <f t="shared" si="2"/>
        <v>0.13725490196078433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13</v>
      </c>
      <c r="C39" s="6">
        <f t="shared" si="2"/>
        <v>0.25490196078431371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2"/>
        <v>0.13725490196078433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2"/>
        <v>0.11764705882352941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9</v>
      </c>
      <c r="C42" s="6">
        <f t="shared" si="2"/>
        <v>0.17647058823529413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5</v>
      </c>
      <c r="C43" s="6">
        <f t="shared" si="2"/>
        <v>9.8039215686274508E-2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1.9607843137254902E-2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1.9607843137254902E-2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B078C-13E1-4D9B-84B0-9B3167EC71CE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66</v>
      </c>
      <c r="F2" s="23" t="s">
        <v>22</v>
      </c>
      <c r="G2" s="11">
        <v>6</v>
      </c>
      <c r="H2" s="87">
        <f>IF(B$20=0,0,G2/B$20)</f>
        <v>0.6</v>
      </c>
      <c r="I2" s="57">
        <v>7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-2033.3333333333333</v>
      </c>
      <c r="Q2" s="76">
        <v>6</v>
      </c>
      <c r="R2" s="63">
        <v>-12200</v>
      </c>
    </row>
    <row r="3" spans="1:18" x14ac:dyDescent="0.4">
      <c r="A3" s="19" t="s">
        <v>8</v>
      </c>
      <c r="B3" s="135">
        <v>51</v>
      </c>
      <c r="C3" s="136"/>
      <c r="E3" s="27" t="s">
        <v>72</v>
      </c>
      <c r="F3" s="24" t="s">
        <v>27</v>
      </c>
      <c r="G3" s="12">
        <v>6</v>
      </c>
      <c r="H3" s="88">
        <f>IF(B$20=0,0,G3/B$20)</f>
        <v>0.6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-3380</v>
      </c>
      <c r="Q3" s="77">
        <v>5</v>
      </c>
      <c r="R3" s="64">
        <v>-16900</v>
      </c>
    </row>
    <row r="4" spans="1:18" x14ac:dyDescent="0.4">
      <c r="A4" s="19" t="s">
        <v>6</v>
      </c>
      <c r="B4" s="137">
        <v>-182.90000000000003</v>
      </c>
      <c r="C4" s="138"/>
      <c r="E4" s="27" t="s">
        <v>159</v>
      </c>
      <c r="F4" s="24" t="s">
        <v>160</v>
      </c>
      <c r="G4" s="12">
        <v>4</v>
      </c>
      <c r="H4" s="88">
        <f>IF(B$20=0,0,G4/B$20)</f>
        <v>0.4</v>
      </c>
      <c r="I4" s="58">
        <v>5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-3720</v>
      </c>
      <c r="Q4" s="77">
        <v>5</v>
      </c>
      <c r="R4" s="64">
        <v>-18600</v>
      </c>
    </row>
    <row r="5" spans="1:18" x14ac:dyDescent="0.4">
      <c r="A5" s="19" t="s">
        <v>7</v>
      </c>
      <c r="B5" s="125">
        <f>IF(B$2=0,0,B$4/B$2)</f>
        <v>-30.483333333333338</v>
      </c>
      <c r="C5" s="126"/>
      <c r="E5" s="27" t="s">
        <v>64</v>
      </c>
      <c r="F5" s="24" t="s">
        <v>20</v>
      </c>
      <c r="G5" s="12">
        <v>3</v>
      </c>
      <c r="H5" s="88">
        <f>IF(B$20=0,0,G5/B$20)</f>
        <v>0.3</v>
      </c>
      <c r="I5" s="58">
        <v>9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-680</v>
      </c>
      <c r="Q5" s="77">
        <v>5</v>
      </c>
      <c r="R5" s="64">
        <v>-3400</v>
      </c>
    </row>
    <row r="6" spans="1:18" x14ac:dyDescent="0.4">
      <c r="A6" s="19" t="s">
        <v>196</v>
      </c>
      <c r="B6" s="129">
        <v>1618.6477491678233</v>
      </c>
      <c r="C6" s="130"/>
      <c r="E6" s="27" t="s">
        <v>67</v>
      </c>
      <c r="F6" s="24" t="s">
        <v>23</v>
      </c>
      <c r="G6" s="12">
        <v>2</v>
      </c>
      <c r="H6" s="88">
        <f>IF(B$20=0,0,G6/B$20)</f>
        <v>0.2</v>
      </c>
      <c r="I6" s="58">
        <v>7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-50</v>
      </c>
      <c r="Q6" s="77">
        <v>4</v>
      </c>
      <c r="R6" s="64">
        <v>-200</v>
      </c>
    </row>
    <row r="7" spans="1:18" x14ac:dyDescent="0.4">
      <c r="A7" s="19" t="s">
        <v>1</v>
      </c>
      <c r="B7" s="139">
        <f>IF(B$2=0,0,(B$8*1+B$9*2+B$10*3)/B$2)</f>
        <v>2.6666666666666665</v>
      </c>
      <c r="C7" s="140"/>
      <c r="E7" s="27" t="s">
        <v>68</v>
      </c>
      <c r="F7" s="24" t="s">
        <v>12</v>
      </c>
      <c r="G7" s="12">
        <v>1</v>
      </c>
      <c r="H7" s="88">
        <f>IF(B$20=0,0,G7/B$20)</f>
        <v>0.1</v>
      </c>
      <c r="I7" s="58">
        <v>10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-2700</v>
      </c>
      <c r="Q7" s="78">
        <v>3</v>
      </c>
      <c r="R7" s="65">
        <v>-8100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69</v>
      </c>
      <c r="F8" s="24" t="s">
        <v>24</v>
      </c>
      <c r="G8" s="12">
        <v>1</v>
      </c>
      <c r="H8" s="88">
        <f>IF(B$20=0,0,G8/B$20)</f>
        <v>0.1</v>
      </c>
      <c r="I8" s="58">
        <v>6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70</v>
      </c>
      <c r="F9" s="24" t="s">
        <v>25</v>
      </c>
      <c r="G9" s="12">
        <v>1</v>
      </c>
      <c r="H9" s="88">
        <f>IF(B$20=0,0,G9/B$20)</f>
        <v>0.1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0.83333333333333337</v>
      </c>
      <c r="E10" s="27" t="s">
        <v>71</v>
      </c>
      <c r="F10" s="24" t="s">
        <v>26</v>
      </c>
      <c r="G10" s="12">
        <v>1</v>
      </c>
      <c r="H10" s="88">
        <f>IF(B$20=0,0,G10/B$20)</f>
        <v>0.1</v>
      </c>
      <c r="I10" s="58">
        <v>2</v>
      </c>
      <c r="O10" s="73" t="s">
        <v>151</v>
      </c>
      <c r="P10" s="82">
        <f>IF(Q10=0,0,R10/Q10)</f>
        <v>-0.39999999999999858</v>
      </c>
      <c r="Q10" s="76">
        <v>2</v>
      </c>
      <c r="R10" s="67">
        <v>-0.79999999999999716</v>
      </c>
    </row>
    <row r="11" spans="1:18" x14ac:dyDescent="0.4">
      <c r="A11" s="20" t="s">
        <v>184</v>
      </c>
      <c r="B11" s="109">
        <f>IF(B8=0,0,C11/B8)</f>
        <v>33.6</v>
      </c>
      <c r="C11" s="110">
        <v>33.6</v>
      </c>
      <c r="E11" s="27" t="s">
        <v>78</v>
      </c>
      <c r="F11" s="24" t="s">
        <v>33</v>
      </c>
      <c r="G11" s="12">
        <v>1</v>
      </c>
      <c r="H11" s="88">
        <f>IF(B$20=0,0,G11/B$20)</f>
        <v>0.1</v>
      </c>
      <c r="I11" s="58">
        <v>2</v>
      </c>
      <c r="O11" s="74" t="s">
        <v>152</v>
      </c>
      <c r="P11" s="83">
        <f>IF(Q11=0,0,R11/Q11)</f>
        <v>-44.033333333333339</v>
      </c>
      <c r="Q11" s="77">
        <v>3</v>
      </c>
      <c r="R11" s="68">
        <v>-132.10000000000002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81</v>
      </c>
      <c r="F12" s="24" t="s">
        <v>36</v>
      </c>
      <c r="G12" s="12">
        <v>1</v>
      </c>
      <c r="H12" s="88">
        <f>IF(B$20=0,0,G12/B$20)</f>
        <v>0.1</v>
      </c>
      <c r="I12" s="58">
        <v>2</v>
      </c>
      <c r="O12" s="75" t="s">
        <v>153</v>
      </c>
      <c r="P12" s="84">
        <f>IF(Q12=0,0,R12/Q12)</f>
        <v>-50</v>
      </c>
      <c r="Q12" s="78">
        <v>1</v>
      </c>
      <c r="R12" s="69">
        <v>-50</v>
      </c>
    </row>
    <row r="13" spans="1:18" x14ac:dyDescent="0.4">
      <c r="A13" s="20" t="s">
        <v>186</v>
      </c>
      <c r="B13" s="109">
        <f>IF(B10=0,0,C13/B10)</f>
        <v>-43.3</v>
      </c>
      <c r="C13" s="110">
        <v>-216.5</v>
      </c>
      <c r="E13" s="27" t="s">
        <v>83</v>
      </c>
      <c r="F13" s="24" t="s">
        <v>38</v>
      </c>
      <c r="G13" s="12">
        <v>1</v>
      </c>
      <c r="H13" s="88">
        <f>IF(B$20=0,0,G13/B$20)</f>
        <v>0.1</v>
      </c>
      <c r="I13" s="58">
        <v>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-3.2333333333333321</v>
      </c>
      <c r="C14" s="126"/>
      <c r="E14" s="27" t="s">
        <v>86</v>
      </c>
      <c r="F14" s="24" t="s">
        <v>41</v>
      </c>
      <c r="G14" s="12">
        <v>1</v>
      </c>
      <c r="H14" s="88">
        <f>IF(B$20=0,0,G14/B$20)</f>
        <v>0.1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0.33333333333333331</v>
      </c>
      <c r="E15" s="27" t="s">
        <v>89</v>
      </c>
      <c r="F15" s="24" t="s">
        <v>44</v>
      </c>
      <c r="G15" s="12">
        <v>1</v>
      </c>
      <c r="H15" s="88">
        <f>IF(B$20=0,0,G15/B$20)</f>
        <v>0.1</v>
      </c>
      <c r="I15" s="58">
        <v>10</v>
      </c>
      <c r="O15" s="73" t="s">
        <v>216</v>
      </c>
      <c r="P15" s="82">
        <f>IF(Q15=0,0,R15/Q15)</f>
        <v>14.600000000000003</v>
      </c>
      <c r="Q15" s="76">
        <v>2</v>
      </c>
      <c r="R15" s="67">
        <v>29.200000000000006</v>
      </c>
    </row>
    <row r="16" spans="1:18" x14ac:dyDescent="0.4">
      <c r="A16" s="22" t="s">
        <v>121</v>
      </c>
      <c r="B16" s="15">
        <v>11</v>
      </c>
      <c r="C16" s="10">
        <f>IF(B$3=0,0,B16/B$3)</f>
        <v>0.21568627450980393</v>
      </c>
      <c r="E16" s="27" t="s">
        <v>65</v>
      </c>
      <c r="F16" s="24" t="s">
        <v>21</v>
      </c>
      <c r="G16" s="12">
        <v>0</v>
      </c>
      <c r="H16" s="88">
        <f>IF(B$20=0,0,G16/B$20)</f>
        <v>0</v>
      </c>
      <c r="I16" s="58">
        <v>8</v>
      </c>
      <c r="O16" s="74" t="s">
        <v>211</v>
      </c>
      <c r="P16" s="83">
        <f>IF(Q16=0,0,R16/Q16)</f>
        <v>-15.799999999999997</v>
      </c>
      <c r="Q16" s="77">
        <v>2</v>
      </c>
      <c r="R16" s="68">
        <v>-31.599999999999994</v>
      </c>
    </row>
    <row r="17" spans="1:18" x14ac:dyDescent="0.4">
      <c r="A17" s="19" t="s">
        <v>118</v>
      </c>
      <c r="B17" s="12">
        <v>13</v>
      </c>
      <c r="C17" s="6">
        <f>IF(B$3=0,0,B17/B$3)</f>
        <v>0.25490196078431371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4</v>
      </c>
      <c r="O17" s="74" t="s">
        <v>192</v>
      </c>
      <c r="P17" s="83">
        <f>IF(Q17=0,0,R17/Q17)</f>
        <v>-40.900000000000006</v>
      </c>
      <c r="Q17" s="77">
        <v>2</v>
      </c>
      <c r="R17" s="68">
        <v>-81.800000000000011</v>
      </c>
    </row>
    <row r="18" spans="1:18" x14ac:dyDescent="0.4">
      <c r="A18" s="18" t="s">
        <v>123</v>
      </c>
      <c r="B18" s="11">
        <f>B24</f>
        <v>3</v>
      </c>
      <c r="C18" s="5">
        <f>IF(B$16=0,0,B18/B$16)</f>
        <v>0.27272727272727271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-67.650000000000006</v>
      </c>
      <c r="Q18" s="77">
        <v>2</v>
      </c>
      <c r="R18" s="68">
        <v>-135.30000000000001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0.30769230769230771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126</v>
      </c>
      <c r="P19" s="83">
        <f>IF(Q19=0,0,R19/Q19)</f>
        <v>-82.300000000000011</v>
      </c>
      <c r="Q19" s="77">
        <v>4</v>
      </c>
      <c r="R19" s="68">
        <v>-329.20000000000005</v>
      </c>
    </row>
    <row r="20" spans="1:18" x14ac:dyDescent="0.4">
      <c r="A20" s="18" t="s">
        <v>10</v>
      </c>
      <c r="B20" s="11">
        <f>B23+B22</f>
        <v>10</v>
      </c>
      <c r="C20" s="5">
        <f>IF(B$3=0,0,B20/B$3)</f>
        <v>0.19607843137254902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11</v>
      </c>
      <c r="C21" s="6">
        <f>IF(B$3=0,0,B21/B$3)</f>
        <v>0.21568627450980393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7</v>
      </c>
      <c r="C23" s="6">
        <f>IF(B$20=0,0,B23/B$20)</f>
        <v>0.7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3</v>
      </c>
      <c r="C24" s="6">
        <f>IF(B$20=0,0,B24/B$20)</f>
        <v>0.3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3</v>
      </c>
      <c r="C26" s="6">
        <f>IF(B$20=0,0,B26/B$20)</f>
        <v>0.3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7340</v>
      </c>
      <c r="C27" s="8">
        <v>73400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7916.666666666667</v>
      </c>
      <c r="C28" s="96">
        <v>47500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6475</v>
      </c>
      <c r="C29" s="96">
        <v>25900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-12463.636363636364</v>
      </c>
      <c r="C30" s="96">
        <v>-137100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58600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1.9607843137254902E-2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2"/>
        <v>0.3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3</v>
      </c>
      <c r="C41" s="6">
        <f t="shared" si="2"/>
        <v>0.3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8FA6-AF80-471B-ACA3-C3ABFABD6034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6</v>
      </c>
      <c r="C2" s="134"/>
      <c r="E2" s="26" t="s">
        <v>72</v>
      </c>
      <c r="F2" s="23" t="s">
        <v>27</v>
      </c>
      <c r="G2" s="11">
        <v>18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1750</v>
      </c>
      <c r="Q2" s="76">
        <v>6</v>
      </c>
      <c r="R2" s="63">
        <v>10500</v>
      </c>
    </row>
    <row r="3" spans="1:18" x14ac:dyDescent="0.4">
      <c r="A3" s="19" t="s">
        <v>8</v>
      </c>
      <c r="B3" s="135">
        <v>53</v>
      </c>
      <c r="C3" s="136"/>
      <c r="E3" s="27" t="s">
        <v>66</v>
      </c>
      <c r="F3" s="24" t="s">
        <v>22</v>
      </c>
      <c r="G3" s="12">
        <v>10</v>
      </c>
      <c r="H3" s="88">
        <f>IF(B$20=0,0,G3/B$20)</f>
        <v>0.55555555555555558</v>
      </c>
      <c r="I3" s="58">
        <v>8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-2783.3333333333335</v>
      </c>
      <c r="Q3" s="77">
        <v>6</v>
      </c>
      <c r="R3" s="64">
        <v>-16700</v>
      </c>
    </row>
    <row r="4" spans="1:18" x14ac:dyDescent="0.4">
      <c r="A4" s="19" t="s">
        <v>6</v>
      </c>
      <c r="B4" s="137">
        <v>24.7</v>
      </c>
      <c r="C4" s="138"/>
      <c r="E4" s="27" t="s">
        <v>67</v>
      </c>
      <c r="F4" s="24" t="s">
        <v>23</v>
      </c>
      <c r="G4" s="12">
        <v>10</v>
      </c>
      <c r="H4" s="88">
        <f>IF(B$20=0,0,G4/B$20)</f>
        <v>0.55555555555555558</v>
      </c>
      <c r="I4" s="58">
        <v>2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583.33333333333337</v>
      </c>
      <c r="Q4" s="77">
        <v>6</v>
      </c>
      <c r="R4" s="64">
        <v>3500</v>
      </c>
    </row>
    <row r="5" spans="1:18" x14ac:dyDescent="0.4">
      <c r="A5" s="19" t="s">
        <v>7</v>
      </c>
      <c r="B5" s="125">
        <f>IF(B$2=0,0,B$4/B$2)</f>
        <v>4.1166666666666663</v>
      </c>
      <c r="C5" s="126"/>
      <c r="E5" s="27" t="s">
        <v>159</v>
      </c>
      <c r="F5" s="24" t="s">
        <v>160</v>
      </c>
      <c r="G5" s="12">
        <v>8</v>
      </c>
      <c r="H5" s="88">
        <f>IF(B$20=0,0,G5/B$20)</f>
        <v>0.44444444444444442</v>
      </c>
      <c r="I5" s="58">
        <v>3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-150</v>
      </c>
      <c r="Q5" s="77">
        <v>6</v>
      </c>
      <c r="R5" s="64">
        <v>-900</v>
      </c>
    </row>
    <row r="6" spans="1:18" x14ac:dyDescent="0.4">
      <c r="A6" s="19" t="s">
        <v>196</v>
      </c>
      <c r="B6" s="129">
        <v>1443.310212653344</v>
      </c>
      <c r="C6" s="130"/>
      <c r="E6" s="27" t="s">
        <v>64</v>
      </c>
      <c r="F6" s="24" t="s">
        <v>20</v>
      </c>
      <c r="G6" s="12">
        <v>7</v>
      </c>
      <c r="H6" s="88">
        <f>IF(B$20=0,0,G6/B$20)</f>
        <v>0.3888888888888889</v>
      </c>
      <c r="I6" s="58">
        <v>6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3350</v>
      </c>
      <c r="Q6" s="77">
        <v>6</v>
      </c>
      <c r="R6" s="64">
        <v>20100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6</v>
      </c>
      <c r="H7" s="88">
        <f>IF(B$20=0,0,G7/B$20)</f>
        <v>0.33333333333333331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2300</v>
      </c>
      <c r="Q7" s="78">
        <v>4</v>
      </c>
      <c r="R7" s="65">
        <v>9200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89</v>
      </c>
      <c r="F8" s="24" t="s">
        <v>44</v>
      </c>
      <c r="G8" s="12">
        <v>3</v>
      </c>
      <c r="H8" s="88">
        <f>IF(B$20=0,0,G8/B$20)</f>
        <v>0.16666666666666666</v>
      </c>
      <c r="I8" s="58">
        <v>6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0.66666666666666663</v>
      </c>
      <c r="E9" s="27" t="s">
        <v>65</v>
      </c>
      <c r="F9" s="24" t="s">
        <v>21</v>
      </c>
      <c r="G9" s="12">
        <v>2</v>
      </c>
      <c r="H9" s="88">
        <f>IF(B$20=0,0,G9/B$20)</f>
        <v>0.1111111111111111</v>
      </c>
      <c r="I9" s="58">
        <v>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0.16666666666666666</v>
      </c>
      <c r="E10" s="27" t="s">
        <v>70</v>
      </c>
      <c r="F10" s="24" t="s">
        <v>25</v>
      </c>
      <c r="G10" s="12">
        <v>1</v>
      </c>
      <c r="H10" s="88">
        <f>IF(B$20=0,0,G10/B$20)</f>
        <v>5.5555555555555552E-2</v>
      </c>
      <c r="I10" s="58">
        <v>7</v>
      </c>
      <c r="O10" s="73" t="s">
        <v>151</v>
      </c>
      <c r="P10" s="82">
        <f>IF(Q10=0,0,R10/Q10)</f>
        <v>6.6000000000000005</v>
      </c>
      <c r="Q10" s="76">
        <v>3</v>
      </c>
      <c r="R10" s="67">
        <v>19.8</v>
      </c>
    </row>
    <row r="11" spans="1:18" x14ac:dyDescent="0.4">
      <c r="A11" s="20" t="s">
        <v>184</v>
      </c>
      <c r="B11" s="109">
        <f>IF(B8=0,0,C11/B8)</f>
        <v>16.600000000000001</v>
      </c>
      <c r="C11" s="110">
        <v>16.600000000000001</v>
      </c>
      <c r="E11" s="27" t="s">
        <v>71</v>
      </c>
      <c r="F11" s="24" t="s">
        <v>26</v>
      </c>
      <c r="G11" s="12">
        <v>1</v>
      </c>
      <c r="H11" s="88">
        <f>IF(B$20=0,0,G11/B$20)</f>
        <v>5.5555555555555552E-2</v>
      </c>
      <c r="I11" s="58">
        <v>5</v>
      </c>
      <c r="O11" s="74" t="s">
        <v>152</v>
      </c>
      <c r="P11" s="83">
        <f>IF(Q11=0,0,R11/Q11)</f>
        <v>-5.2</v>
      </c>
      <c r="Q11" s="77">
        <v>1</v>
      </c>
      <c r="R11" s="68">
        <v>-5.2</v>
      </c>
    </row>
    <row r="12" spans="1:18" x14ac:dyDescent="0.4">
      <c r="A12" s="20" t="s">
        <v>185</v>
      </c>
      <c r="B12" s="109">
        <f>IF(B9=0,0,C12/B9)</f>
        <v>7.8</v>
      </c>
      <c r="C12" s="110">
        <v>31.2</v>
      </c>
      <c r="E12" s="27" t="s">
        <v>83</v>
      </c>
      <c r="F12" s="24" t="s">
        <v>38</v>
      </c>
      <c r="G12" s="12">
        <v>1</v>
      </c>
      <c r="H12" s="88">
        <f>IF(B$20=0,0,G12/B$20)</f>
        <v>5.5555555555555552E-2</v>
      </c>
      <c r="I12" s="58">
        <v>5</v>
      </c>
      <c r="O12" s="75" t="s">
        <v>153</v>
      </c>
      <c r="P12" s="84">
        <f>IF(Q12=0,0,R12/Q12)</f>
        <v>5.05</v>
      </c>
      <c r="Q12" s="78">
        <v>2</v>
      </c>
      <c r="R12" s="69">
        <v>10.1</v>
      </c>
    </row>
    <row r="13" spans="1:18" x14ac:dyDescent="0.4">
      <c r="A13" s="20" t="s">
        <v>186</v>
      </c>
      <c r="B13" s="109">
        <f>IF(B10=0,0,C13/B10)</f>
        <v>-23.1</v>
      </c>
      <c r="C13" s="110">
        <v>-23.1</v>
      </c>
      <c r="E13" s="27" t="s">
        <v>86</v>
      </c>
      <c r="F13" s="24" t="s">
        <v>41</v>
      </c>
      <c r="G13" s="12">
        <v>1</v>
      </c>
      <c r="H13" s="88">
        <f>IF(B$20=0,0,G13/B$20)</f>
        <v>5.5555555555555552E-2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0.43333333333333357</v>
      </c>
      <c r="C14" s="126"/>
      <c r="E14" s="27" t="s">
        <v>91</v>
      </c>
      <c r="F14" s="24" t="s">
        <v>46</v>
      </c>
      <c r="G14" s="12">
        <v>1</v>
      </c>
      <c r="H14" s="88">
        <f>IF(B$20=0,0,G14/B$20)</f>
        <v>5.5555555555555552E-2</v>
      </c>
      <c r="I14" s="58">
        <v>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69</v>
      </c>
      <c r="F15" s="24" t="s">
        <v>24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>IF(Q15=0,0,R15/Q15)</f>
        <v>67.650000000000006</v>
      </c>
      <c r="Q15" s="76">
        <v>2</v>
      </c>
      <c r="R15" s="67">
        <v>135.30000000000001</v>
      </c>
    </row>
    <row r="16" spans="1:18" x14ac:dyDescent="0.4">
      <c r="A16" s="22" t="s">
        <v>121</v>
      </c>
      <c r="B16" s="15">
        <v>15</v>
      </c>
      <c r="C16" s="10">
        <f>IF(B$3=0,0,B16/B$3)</f>
        <v>0.28301886792452829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211</v>
      </c>
      <c r="P16" s="83">
        <f>IF(Q16=0,0,R16/Q16)</f>
        <v>30.200000000000003</v>
      </c>
      <c r="Q16" s="77">
        <v>1</v>
      </c>
      <c r="R16" s="68">
        <v>30.200000000000003</v>
      </c>
    </row>
    <row r="17" spans="1:18" x14ac:dyDescent="0.4">
      <c r="A17" s="19" t="s">
        <v>118</v>
      </c>
      <c r="B17" s="12">
        <v>23</v>
      </c>
      <c r="C17" s="6">
        <f>IF(B$3=0,0,B17/B$3)</f>
        <v>0.43396226415094341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-6.9333333333333336</v>
      </c>
      <c r="Q17" s="77">
        <v>6</v>
      </c>
      <c r="R17" s="68">
        <v>-41.6</v>
      </c>
    </row>
    <row r="18" spans="1:18" x14ac:dyDescent="0.4">
      <c r="A18" s="18" t="s">
        <v>123</v>
      </c>
      <c r="B18" s="11">
        <f>B24</f>
        <v>7</v>
      </c>
      <c r="C18" s="5">
        <f>IF(B$16=0,0,B18/B$16)</f>
        <v>0.46666666666666667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192</v>
      </c>
      <c r="P18" s="83">
        <f>IF(Q18=0,0,R18/Q18)</f>
        <v>-16.600000000000001</v>
      </c>
      <c r="Q18" s="77">
        <v>3</v>
      </c>
      <c r="R18" s="68">
        <v>-49.800000000000004</v>
      </c>
    </row>
    <row r="19" spans="1:18" x14ac:dyDescent="0.4">
      <c r="A19" s="18" t="s">
        <v>124</v>
      </c>
      <c r="B19" s="11">
        <f>B25</f>
        <v>9</v>
      </c>
      <c r="C19" s="5">
        <f>IF(B$17=0,0,B19/B$17)</f>
        <v>0.39130434782608697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18</v>
      </c>
      <c r="C20" s="5">
        <f>IF(B$3=0,0,B20/B$3)</f>
        <v>0.33962264150943394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7</v>
      </c>
      <c r="C21" s="6">
        <f>IF(B$3=0,0,B21/B$3)</f>
        <v>0.13207547169811321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10</v>
      </c>
      <c r="C22" s="6">
        <f>IF(B$20=0,0,B22/B$20)</f>
        <v>0.55555555555555558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8</v>
      </c>
      <c r="C23" s="6">
        <f>IF(B$20=0,0,B23/B$20)</f>
        <v>0.44444444444444442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7</v>
      </c>
      <c r="C24" s="6">
        <f>IF(B$20=0,0,B24/B$20)</f>
        <v>0.3888888888888889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6</v>
      </c>
    </row>
    <row r="25" spans="1:18" x14ac:dyDescent="0.4">
      <c r="A25" s="19" t="s">
        <v>181</v>
      </c>
      <c r="B25" s="12">
        <v>9</v>
      </c>
      <c r="C25" s="6">
        <f>IF(B$20=0,0,B25/B$20)</f>
        <v>0.5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2</v>
      </c>
      <c r="C26" s="6">
        <f>IF(B$20=0,0,B26/B$20)</f>
        <v>0.1111111111111111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8355.5555555555547</v>
      </c>
      <c r="C27" s="8">
        <v>150400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10711.111111111111</v>
      </c>
      <c r="C28" s="96">
        <v>96400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6000</v>
      </c>
      <c r="C29" s="96">
        <v>54000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-7571.4285714285716</v>
      </c>
      <c r="C30" s="96">
        <v>-53000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2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12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61300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5.5555555555555552E-2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0.27777777777777779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2"/>
        <v>0.16666666666666666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</v>
      </c>
      <c r="C41" s="6">
        <f t="shared" si="2"/>
        <v>5.5555555555555552E-2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5.5555555555555552E-2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0.1111111111111111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5.5555555555555552E-2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5.5555555555555552E-2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5.5555555555555552E-2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E6E3-F3D6-4D65-8090-95E10797C371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159</v>
      </c>
      <c r="F2" s="23" t="s">
        <v>160</v>
      </c>
      <c r="G2" s="11">
        <v>3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2566.6666666666665</v>
      </c>
      <c r="Q2" s="76">
        <v>3</v>
      </c>
      <c r="R2" s="63">
        <v>7700</v>
      </c>
    </row>
    <row r="3" spans="1:18" x14ac:dyDescent="0.4">
      <c r="A3" s="19" t="s">
        <v>8</v>
      </c>
      <c r="B3" s="135">
        <v>21</v>
      </c>
      <c r="C3" s="136"/>
      <c r="E3" s="27" t="s">
        <v>69</v>
      </c>
      <c r="F3" s="24" t="s">
        <v>24</v>
      </c>
      <c r="G3" s="12">
        <v>2</v>
      </c>
      <c r="H3" s="88">
        <f>IF(B$20=0,0,G3/B$20)</f>
        <v>0.66666666666666663</v>
      </c>
      <c r="I3" s="58">
        <v>1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4066.6666666666665</v>
      </c>
      <c r="Q3" s="77">
        <v>3</v>
      </c>
      <c r="R3" s="64">
        <v>12200</v>
      </c>
    </row>
    <row r="4" spans="1:18" x14ac:dyDescent="0.4">
      <c r="A4" s="19" t="s">
        <v>6</v>
      </c>
      <c r="B4" s="137">
        <v>-40.4</v>
      </c>
      <c r="C4" s="138"/>
      <c r="E4" s="27" t="s">
        <v>64</v>
      </c>
      <c r="F4" s="24" t="s">
        <v>20</v>
      </c>
      <c r="G4" s="12">
        <v>1</v>
      </c>
      <c r="H4" s="88">
        <f>IF(B$20=0,0,G4/B$20)</f>
        <v>0.33333333333333331</v>
      </c>
      <c r="I4" s="58">
        <v>8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-2766.6666666666665</v>
      </c>
      <c r="Q4" s="77">
        <v>3</v>
      </c>
      <c r="R4" s="64">
        <v>-8300</v>
      </c>
    </row>
    <row r="5" spans="1:18" x14ac:dyDescent="0.4">
      <c r="A5" s="19" t="s">
        <v>7</v>
      </c>
      <c r="B5" s="125">
        <f>IF(B$2=0,0,B$4/B$2)</f>
        <v>-13.466666666666667</v>
      </c>
      <c r="C5" s="126"/>
      <c r="E5" s="27" t="s">
        <v>67</v>
      </c>
      <c r="F5" s="24" t="s">
        <v>23</v>
      </c>
      <c r="G5" s="12">
        <v>1</v>
      </c>
      <c r="H5" s="88">
        <f>IF(B$20=0,0,G5/B$20)</f>
        <v>0.33333333333333331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-9750</v>
      </c>
      <c r="Q5" s="77">
        <v>2</v>
      </c>
      <c r="R5" s="64">
        <v>-19500</v>
      </c>
    </row>
    <row r="6" spans="1:18" x14ac:dyDescent="0.4">
      <c r="A6" s="19" t="s">
        <v>196</v>
      </c>
      <c r="B6" s="129">
        <v>1518.8868623780729</v>
      </c>
      <c r="C6" s="130"/>
      <c r="E6" s="27" t="s">
        <v>72</v>
      </c>
      <c r="F6" s="24" t="s">
        <v>27</v>
      </c>
      <c r="G6" s="12">
        <v>1</v>
      </c>
      <c r="H6" s="88">
        <f>IF(B$20=0,0,G6/B$20)</f>
        <v>0.33333333333333331</v>
      </c>
      <c r="I6" s="58">
        <v>10</v>
      </c>
      <c r="O6" s="74" t="s">
        <v>132</v>
      </c>
      <c r="P6" s="80">
        <f t="shared" si="0"/>
        <v>-10500</v>
      </c>
      <c r="Q6" s="77">
        <v>2</v>
      </c>
      <c r="R6" s="64">
        <v>-21000</v>
      </c>
    </row>
    <row r="7" spans="1:18" x14ac:dyDescent="0.4">
      <c r="A7" s="19" t="s">
        <v>1</v>
      </c>
      <c r="B7" s="139">
        <f>IF(B$2=0,0,(B$8*1+B$9*2+B$10*3)/B$2)</f>
        <v>2.3333333333333335</v>
      </c>
      <c r="C7" s="140"/>
      <c r="E7" s="27" t="s">
        <v>89</v>
      </c>
      <c r="F7" s="24" t="s">
        <v>44</v>
      </c>
      <c r="G7" s="12">
        <v>1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-750</v>
      </c>
      <c r="Q7" s="78">
        <v>2</v>
      </c>
      <c r="R7" s="65">
        <v>-1500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65</v>
      </c>
      <c r="F8" s="24" t="s">
        <v>21</v>
      </c>
      <c r="G8" s="12">
        <v>0</v>
      </c>
      <c r="H8" s="88">
        <f>IF(B$20=0,0,G8/B$20)</f>
        <v>0</v>
      </c>
      <c r="I8" s="58">
        <v>8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0.66666666666666663</v>
      </c>
      <c r="E9" s="27" t="s">
        <v>66</v>
      </c>
      <c r="F9" s="24" t="s">
        <v>22</v>
      </c>
      <c r="G9" s="12">
        <v>0</v>
      </c>
      <c r="H9" s="88">
        <f>IF(B$20=0,0,G9/B$20)</f>
        <v>0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0.33333333333333331</v>
      </c>
      <c r="E10" s="27" t="s">
        <v>68</v>
      </c>
      <c r="F10" s="24" t="s">
        <v>12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-33.6</v>
      </c>
      <c r="Q10" s="76">
        <v>1</v>
      </c>
      <c r="R10" s="67">
        <v>-33.6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70</v>
      </c>
      <c r="F11" s="24" t="s">
        <v>25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-3.3</v>
      </c>
      <c r="Q11" s="77">
        <v>1</v>
      </c>
      <c r="R11" s="68">
        <v>-3.3</v>
      </c>
    </row>
    <row r="12" spans="1:18" x14ac:dyDescent="0.4">
      <c r="A12" s="20" t="s">
        <v>185</v>
      </c>
      <c r="B12" s="109">
        <f>IF(B9=0,0,C12/B9)</f>
        <v>-3.4</v>
      </c>
      <c r="C12" s="110">
        <v>-6.8</v>
      </c>
      <c r="E12" s="27" t="s">
        <v>71</v>
      </c>
      <c r="F12" s="24" t="s">
        <v>26</v>
      </c>
      <c r="G12" s="12">
        <v>0</v>
      </c>
      <c r="H12" s="88">
        <f>IF(B$20=0,0,G12/B$20)</f>
        <v>0</v>
      </c>
      <c r="I12" s="58">
        <v>8</v>
      </c>
      <c r="O12" s="75" t="s">
        <v>153</v>
      </c>
      <c r="P12" s="84">
        <f>IF(Q12=0,0,R12/Q12)</f>
        <v>-3.5</v>
      </c>
      <c r="Q12" s="78">
        <v>1</v>
      </c>
      <c r="R12" s="69">
        <v>-3.5</v>
      </c>
    </row>
    <row r="13" spans="1:18" x14ac:dyDescent="0.4">
      <c r="A13" s="20" t="s">
        <v>186</v>
      </c>
      <c r="B13" s="109">
        <f>IF(B10=0,0,C13/B10)</f>
        <v>-33.6</v>
      </c>
      <c r="C13" s="110">
        <v>-33.6</v>
      </c>
      <c r="E13" s="27" t="s">
        <v>73</v>
      </c>
      <c r="F13" s="24" t="s">
        <v>28</v>
      </c>
      <c r="G13" s="12">
        <v>0</v>
      </c>
      <c r="H13" s="88">
        <f>IF(B$20=0,0,G13/B$20)</f>
        <v>0</v>
      </c>
      <c r="I13" s="58">
        <v>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-12.333333333333334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211</v>
      </c>
      <c r="P15" s="82">
        <f>IF(Q15=0,0,R15/Q15)</f>
        <v>-6.5999999999999988</v>
      </c>
      <c r="Q15" s="76">
        <v>3</v>
      </c>
      <c r="R15" s="67">
        <v>-19.799999999999997</v>
      </c>
    </row>
    <row r="16" spans="1:18" x14ac:dyDescent="0.4">
      <c r="A16" s="22" t="s">
        <v>121</v>
      </c>
      <c r="B16" s="15">
        <v>2</v>
      </c>
      <c r="C16" s="10">
        <f>IF(B$3=0,0,B16/B$3)</f>
        <v>9.5238095238095233E-2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-33.800000000000004</v>
      </c>
      <c r="Q16" s="77">
        <v>3</v>
      </c>
      <c r="R16" s="68">
        <v>-101.4</v>
      </c>
    </row>
    <row r="17" spans="1:9" x14ac:dyDescent="0.4">
      <c r="A17" s="19" t="s">
        <v>118</v>
      </c>
      <c r="B17" s="12">
        <v>5</v>
      </c>
      <c r="C17" s="6">
        <f>IF(B$3=0,0,B17/B$3)</f>
        <v>0.23809523809523808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3</v>
      </c>
    </row>
    <row r="18" spans="1:9" x14ac:dyDescent="0.4">
      <c r="A18" s="18" t="s">
        <v>123</v>
      </c>
      <c r="B18" s="11">
        <f>B24</f>
        <v>1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7</v>
      </c>
    </row>
    <row r="19" spans="1:9" x14ac:dyDescent="0.4">
      <c r="A19" s="18" t="s">
        <v>124</v>
      </c>
      <c r="B19" s="11">
        <f>B25</f>
        <v>1</v>
      </c>
      <c r="C19" s="5">
        <f>IF(B$17=0,0,B19/B$17)</f>
        <v>0.2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3</v>
      </c>
      <c r="C20" s="5">
        <f>IF(B$3=0,0,B20/B$3)</f>
        <v>0.14285714285714285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</v>
      </c>
      <c r="C21" s="6">
        <f>IF(B$3=0,0,B21/B$3)</f>
        <v>4.7619047619047616E-2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3</v>
      </c>
      <c r="C23" s="6">
        <f>IF(B$20=0,0,B23/B$20)</f>
        <v>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9" x14ac:dyDescent="0.4">
      <c r="A24" s="19" t="s">
        <v>183</v>
      </c>
      <c r="B24" s="12">
        <v>1</v>
      </c>
      <c r="C24" s="6">
        <f>IF(B$20=0,0,B24/B$20)</f>
        <v>0.33333333333333331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1</v>
      </c>
      <c r="C25" s="6">
        <f>IF(B$20=0,0,B25/B$20)</f>
        <v>0.33333333333333331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9" x14ac:dyDescent="0.4">
      <c r="A26" s="19" t="s">
        <v>182</v>
      </c>
      <c r="B26" s="12">
        <v>1</v>
      </c>
      <c r="C26" s="6">
        <f>IF(B$20=0,0,B26/B$20)</f>
        <v>0.33333333333333331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9" x14ac:dyDescent="0.4">
      <c r="A27" s="19" t="s">
        <v>5</v>
      </c>
      <c r="B27" s="16">
        <f>IF(B$20=0,0,C27/B$20)</f>
        <v>5800</v>
      </c>
      <c r="C27" s="8">
        <v>17400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9" x14ac:dyDescent="0.4">
      <c r="A28" s="20" t="s">
        <v>165</v>
      </c>
      <c r="B28" s="95">
        <f>IF($B$20-B$19=0,0,C28/($B$20-B$19))</f>
        <v>4850</v>
      </c>
      <c r="C28" s="96">
        <v>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166</v>
      </c>
      <c r="B29" s="95">
        <f>IF(B$19=0,0,C29/B$19)</f>
        <v>7700</v>
      </c>
      <c r="C29" s="96">
        <v>7700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164</v>
      </c>
      <c r="B30" s="95">
        <f>IF(B$21=0,0,C30/B$21)</f>
        <v>-3900</v>
      </c>
      <c r="C30" s="96">
        <v>-3900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31700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0.33333333333333331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0.66666666666666663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ED46E-0497-478F-B313-2BE5E83B5D7E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13</v>
      </c>
      <c r="C2" s="134"/>
      <c r="E2" s="26" t="s">
        <v>66</v>
      </c>
      <c r="F2" s="23" t="s">
        <v>22</v>
      </c>
      <c r="G2" s="11">
        <v>33</v>
      </c>
      <c r="H2" s="87">
        <f>IF(B$20=0,0,G2/B$20)</f>
        <v>1.03125</v>
      </c>
      <c r="I2" s="57">
        <v>2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-676.92307692307691</v>
      </c>
      <c r="Q2" s="76">
        <v>13</v>
      </c>
      <c r="R2" s="63">
        <v>-8800</v>
      </c>
    </row>
    <row r="3" spans="1:18" x14ac:dyDescent="0.4">
      <c r="A3" s="19" t="s">
        <v>8</v>
      </c>
      <c r="B3" s="135">
        <v>98</v>
      </c>
      <c r="C3" s="136"/>
      <c r="E3" s="27" t="s">
        <v>72</v>
      </c>
      <c r="F3" s="24" t="s">
        <v>27</v>
      </c>
      <c r="G3" s="12">
        <v>18</v>
      </c>
      <c r="H3" s="88">
        <f>IF(B$20=0,0,G3/B$20)</f>
        <v>0.5625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1615.3846153846155</v>
      </c>
      <c r="Q3" s="77">
        <v>13</v>
      </c>
      <c r="R3" s="64">
        <v>21000</v>
      </c>
    </row>
    <row r="4" spans="1:18" x14ac:dyDescent="0.4">
      <c r="A4" s="19" t="s">
        <v>6</v>
      </c>
      <c r="B4" s="137">
        <v>65.800000000000011</v>
      </c>
      <c r="C4" s="138"/>
      <c r="E4" s="27" t="s">
        <v>64</v>
      </c>
      <c r="F4" s="24" t="s">
        <v>20</v>
      </c>
      <c r="G4" s="12">
        <v>15</v>
      </c>
      <c r="H4" s="88">
        <f>IF(B$20=0,0,G4/B$20)</f>
        <v>0.46875</v>
      </c>
      <c r="I4" s="58">
        <v>2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284.61538461538464</v>
      </c>
      <c r="Q4" s="77">
        <v>13</v>
      </c>
      <c r="R4" s="64">
        <v>3700</v>
      </c>
    </row>
    <row r="5" spans="1:18" x14ac:dyDescent="0.4">
      <c r="A5" s="19" t="s">
        <v>7</v>
      </c>
      <c r="B5" s="125">
        <f>IF(B$2=0,0,B$4/B$2)</f>
        <v>5.0615384615384622</v>
      </c>
      <c r="C5" s="126"/>
      <c r="E5" s="27" t="s">
        <v>67</v>
      </c>
      <c r="F5" s="24" t="s">
        <v>23</v>
      </c>
      <c r="G5" s="12">
        <v>10</v>
      </c>
      <c r="H5" s="88">
        <f>IF(B$20=0,0,G5/B$20)</f>
        <v>0.3125</v>
      </c>
      <c r="I5" s="58">
        <v>4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1009.0909090909091</v>
      </c>
      <c r="Q5" s="77">
        <v>11</v>
      </c>
      <c r="R5" s="64">
        <v>11100</v>
      </c>
    </row>
    <row r="6" spans="1:18" x14ac:dyDescent="0.4">
      <c r="A6" s="19" t="s">
        <v>196</v>
      </c>
      <c r="B6" s="129">
        <v>1506.4847379755383</v>
      </c>
      <c r="C6" s="130"/>
      <c r="E6" s="27" t="s">
        <v>159</v>
      </c>
      <c r="F6" s="24" t="s">
        <v>160</v>
      </c>
      <c r="G6" s="12">
        <v>8</v>
      </c>
      <c r="H6" s="88">
        <f>IF(B$20=0,0,G6/B$20)</f>
        <v>0.25</v>
      </c>
      <c r="I6" s="58">
        <v>10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2188.8888888888887</v>
      </c>
      <c r="Q6" s="77">
        <v>9</v>
      </c>
      <c r="R6" s="64">
        <v>19700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7</v>
      </c>
      <c r="H7" s="88">
        <f>IF(B$20=0,0,G7/B$20)</f>
        <v>0.21875</v>
      </c>
      <c r="I7" s="58">
        <v>8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1910</v>
      </c>
      <c r="Q7" s="78">
        <v>10</v>
      </c>
      <c r="R7" s="65">
        <v>19100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0.38461538461538464</v>
      </c>
      <c r="E8" s="27" t="s">
        <v>69</v>
      </c>
      <c r="F8" s="24" t="s">
        <v>24</v>
      </c>
      <c r="G8" s="12">
        <v>5</v>
      </c>
      <c r="H8" s="88">
        <f>IF(B$20=0,0,G8/B$20)</f>
        <v>0.15625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0.23076923076923078</v>
      </c>
      <c r="E9" s="27" t="s">
        <v>89</v>
      </c>
      <c r="F9" s="24" t="s">
        <v>44</v>
      </c>
      <c r="G9" s="12">
        <v>4</v>
      </c>
      <c r="H9" s="88">
        <f>IF(B$20=0,0,G9/B$20)</f>
        <v>0.125</v>
      </c>
      <c r="I9" s="58">
        <v>8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0.38461538461538464</v>
      </c>
      <c r="E10" s="27" t="s">
        <v>71</v>
      </c>
      <c r="F10" s="24" t="s">
        <v>26</v>
      </c>
      <c r="G10" s="12">
        <v>2</v>
      </c>
      <c r="H10" s="88">
        <f>IF(B$20=0,0,G10/B$20)</f>
        <v>6.25E-2</v>
      </c>
      <c r="I10" s="58">
        <v>3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-21.033333333333335</v>
      </c>
      <c r="Q10" s="76">
        <v>3</v>
      </c>
      <c r="R10" s="67">
        <v>-63.1</v>
      </c>
    </row>
    <row r="11" spans="1:18" x14ac:dyDescent="0.4">
      <c r="A11" s="20" t="s">
        <v>184</v>
      </c>
      <c r="B11" s="109">
        <f>IF(B8=0,0,C11/B8)</f>
        <v>36.58</v>
      </c>
      <c r="C11" s="110">
        <v>182.89999999999998</v>
      </c>
      <c r="E11" s="27" t="s">
        <v>81</v>
      </c>
      <c r="F11" s="24" t="s">
        <v>36</v>
      </c>
      <c r="G11" s="12">
        <v>2</v>
      </c>
      <c r="H11" s="88">
        <f>IF(B$20=0,0,G11/B$20)</f>
        <v>6.25E-2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5.7400000000000011</v>
      </c>
      <c r="Q11" s="77">
        <v>5</v>
      </c>
      <c r="R11" s="68">
        <v>28.700000000000006</v>
      </c>
    </row>
    <row r="12" spans="1:18" x14ac:dyDescent="0.4">
      <c r="A12" s="20" t="s">
        <v>185</v>
      </c>
      <c r="B12" s="109">
        <f>IF(B9=0,0,C12/B9)</f>
        <v>8.7999999999999989</v>
      </c>
      <c r="C12" s="110">
        <v>26.4</v>
      </c>
      <c r="E12" s="27" t="s">
        <v>83</v>
      </c>
      <c r="F12" s="24" t="s">
        <v>38</v>
      </c>
      <c r="G12" s="12">
        <v>2</v>
      </c>
      <c r="H12" s="88">
        <f>IF(B$20=0,0,G12/B$20)</f>
        <v>6.25E-2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20.04</v>
      </c>
      <c r="Q12" s="78">
        <v>5</v>
      </c>
      <c r="R12" s="69">
        <v>100.2</v>
      </c>
    </row>
    <row r="13" spans="1:18" x14ac:dyDescent="0.4">
      <c r="A13" s="20" t="s">
        <v>186</v>
      </c>
      <c r="B13" s="109">
        <f>IF(B10=0,0,C13/B10)</f>
        <v>-28.7</v>
      </c>
      <c r="C13" s="110">
        <v>-143.5</v>
      </c>
      <c r="E13" s="27" t="s">
        <v>91</v>
      </c>
      <c r="F13" s="24" t="s">
        <v>46</v>
      </c>
      <c r="G13" s="12">
        <v>2</v>
      </c>
      <c r="H13" s="88">
        <f>IF(B$20=0,0,G13/B$20)</f>
        <v>6.25E-2</v>
      </c>
      <c r="I13" s="58">
        <v>1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5.5599999999999987</v>
      </c>
      <c r="C14" s="126"/>
      <c r="E14" s="27" t="s">
        <v>65</v>
      </c>
      <c r="F14" s="24" t="s">
        <v>21</v>
      </c>
      <c r="G14" s="12">
        <v>1</v>
      </c>
      <c r="H14" s="88">
        <f>IF(B$20=0,0,G14/B$20)</f>
        <v>3.125E-2</v>
      </c>
      <c r="I14" s="58">
        <v>7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7.6923076923076927E-2</v>
      </c>
      <c r="E15" s="27" t="s">
        <v>70</v>
      </c>
      <c r="F15" s="24" t="s">
        <v>25</v>
      </c>
      <c r="G15" s="12">
        <v>1</v>
      </c>
      <c r="H15" s="88">
        <f>IF(B$20=0,0,G15/B$20)</f>
        <v>3.125E-2</v>
      </c>
      <c r="I15" s="58">
        <v>8</v>
      </c>
      <c r="K15" s="74">
        <v>13</v>
      </c>
      <c r="L15" s="119">
        <v>65.800000000000011</v>
      </c>
      <c r="M15" s="117">
        <v>1506.4847379755383</v>
      </c>
      <c r="O15" s="73" t="s">
        <v>195</v>
      </c>
      <c r="P15" s="82">
        <f>IF(Q15=0,0,R15/Q15)</f>
        <v>44.4</v>
      </c>
      <c r="Q15" s="76">
        <v>1</v>
      </c>
      <c r="R15" s="67">
        <v>44.4</v>
      </c>
    </row>
    <row r="16" spans="1:18" x14ac:dyDescent="0.4">
      <c r="A16" s="22" t="s">
        <v>121</v>
      </c>
      <c r="B16" s="15">
        <v>25</v>
      </c>
      <c r="C16" s="10">
        <f>IF(B$3=0,0,B16/B$3)</f>
        <v>0.25510204081632654</v>
      </c>
      <c r="E16" s="27" t="s">
        <v>73</v>
      </c>
      <c r="F16" s="24" t="s">
        <v>28</v>
      </c>
      <c r="G16" s="12">
        <v>1</v>
      </c>
      <c r="H16" s="88">
        <f>IF(B$20=0,0,G16/B$20)</f>
        <v>3.125E-2</v>
      </c>
      <c r="I16" s="58">
        <v>2</v>
      </c>
      <c r="O16" s="74" t="s">
        <v>192</v>
      </c>
      <c r="P16" s="83">
        <f>IF(Q16=0,0,R16/Q16)</f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22</v>
      </c>
      <c r="C17" s="6">
        <f>IF(B$3=0,0,B17/B$3)</f>
        <v>0.22448979591836735</v>
      </c>
      <c r="E17" s="27" t="s">
        <v>75</v>
      </c>
      <c r="F17" s="24" t="s">
        <v>30</v>
      </c>
      <c r="G17" s="12">
        <v>1</v>
      </c>
      <c r="H17" s="88">
        <f>IF(B$20=0,0,G17/B$20)</f>
        <v>3.125E-2</v>
      </c>
      <c r="I17" s="58">
        <v>1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15</v>
      </c>
      <c r="C18" s="5">
        <f>IF(B$16=0,0,B18/B$16)</f>
        <v>0.6</v>
      </c>
      <c r="E18" s="27" t="s">
        <v>78</v>
      </c>
      <c r="F18" s="24" t="s">
        <v>33</v>
      </c>
      <c r="G18" s="12">
        <v>1</v>
      </c>
      <c r="H18" s="88">
        <f>IF(B$20=0,0,G18/B$20)</f>
        <v>3.125E-2</v>
      </c>
      <c r="I18" s="58">
        <v>4</v>
      </c>
      <c r="O18" s="74" t="s">
        <v>163</v>
      </c>
      <c r="P18" s="83">
        <f>IF(Q18=0,0,R18/Q18)</f>
        <v>15.799999999999997</v>
      </c>
      <c r="Q18" s="77">
        <v>2</v>
      </c>
      <c r="R18" s="68">
        <v>31.599999999999994</v>
      </c>
    </row>
    <row r="19" spans="1:18" x14ac:dyDescent="0.4">
      <c r="A19" s="18" t="s">
        <v>124</v>
      </c>
      <c r="B19" s="11">
        <f>B25</f>
        <v>12</v>
      </c>
      <c r="C19" s="5">
        <f>IF(B$17=0,0,B19/B$17)</f>
        <v>0.54545454545454541</v>
      </c>
      <c r="E19" s="27" t="s">
        <v>86</v>
      </c>
      <c r="F19" s="24" t="s">
        <v>41</v>
      </c>
      <c r="G19" s="12">
        <v>1</v>
      </c>
      <c r="H19" s="88">
        <f>IF(B$20=0,0,G19/B$20)</f>
        <v>3.125E-2</v>
      </c>
      <c r="I19" s="58">
        <v>7</v>
      </c>
      <c r="O19" s="74" t="s">
        <v>216</v>
      </c>
      <c r="P19" s="83">
        <f>IF(Q19=0,0,R19/Q19)</f>
        <v>9.4124999999999996</v>
      </c>
      <c r="Q19" s="77">
        <v>8</v>
      </c>
      <c r="R19" s="68">
        <v>75.3</v>
      </c>
    </row>
    <row r="20" spans="1:18" x14ac:dyDescent="0.4">
      <c r="A20" s="18" t="s">
        <v>10</v>
      </c>
      <c r="B20" s="11">
        <f>B23+B22</f>
        <v>32</v>
      </c>
      <c r="C20" s="5">
        <f>IF(B$3=0,0,B20/B$3)</f>
        <v>0.32653061224489793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O20" s="74" t="s">
        <v>190</v>
      </c>
      <c r="P20" s="83">
        <f>IF(Q20=0,0,R20/Q20)</f>
        <v>6.5999999999999988</v>
      </c>
      <c r="Q20" s="77">
        <v>3</v>
      </c>
      <c r="R20" s="68">
        <v>19.799999999999997</v>
      </c>
    </row>
    <row r="21" spans="1:18" x14ac:dyDescent="0.4">
      <c r="A21" s="19" t="s">
        <v>13</v>
      </c>
      <c r="B21" s="12">
        <v>16</v>
      </c>
      <c r="C21" s="6">
        <f>IF(B$3=0,0,B21/B$3)</f>
        <v>0.16326530612244897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O21" s="74" t="s">
        <v>126</v>
      </c>
      <c r="P21" s="83">
        <f>IF(Q21=0,0,R21/Q21)</f>
        <v>5.5</v>
      </c>
      <c r="Q21" s="77">
        <v>7</v>
      </c>
      <c r="R21" s="68">
        <v>38.5</v>
      </c>
    </row>
    <row r="22" spans="1:18" x14ac:dyDescent="0.4">
      <c r="A22" s="19" t="s">
        <v>12</v>
      </c>
      <c r="B22" s="12">
        <v>15</v>
      </c>
      <c r="C22" s="6">
        <f>IF(B$20=0,0,B22/B$20)</f>
        <v>0.46875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O22" s="74" t="s">
        <v>193</v>
      </c>
      <c r="P22" s="83">
        <f>IF(Q22=0,0,R22/Q22)</f>
        <v>-7.1999999999999993</v>
      </c>
      <c r="Q22" s="77">
        <v>2</v>
      </c>
      <c r="R22" s="68">
        <v>-14.399999999999999</v>
      </c>
    </row>
    <row r="23" spans="1:18" x14ac:dyDescent="0.4">
      <c r="A23" s="19" t="s">
        <v>11</v>
      </c>
      <c r="B23" s="12">
        <v>17</v>
      </c>
      <c r="C23" s="6">
        <f>IF(B$20=0,0,B23/B$20)</f>
        <v>0.53125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4</v>
      </c>
      <c r="O23" s="74" t="s">
        <v>189</v>
      </c>
      <c r="P23" s="83">
        <f>IF(Q23=0,0,R23/Q23)</f>
        <v>-30.200000000000003</v>
      </c>
      <c r="Q23" s="77">
        <v>1</v>
      </c>
      <c r="R23" s="68">
        <v>-30.200000000000003</v>
      </c>
    </row>
    <row r="24" spans="1:18" x14ac:dyDescent="0.4">
      <c r="A24" s="19" t="s">
        <v>183</v>
      </c>
      <c r="B24" s="12">
        <v>15</v>
      </c>
      <c r="C24" s="6">
        <f>IF(B$20=0,0,B24/B$20)</f>
        <v>0.46875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12</v>
      </c>
      <c r="C25" s="6">
        <f>IF(B$20=0,0,B25/B$20)</f>
        <v>0.375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5</v>
      </c>
      <c r="C26" s="6">
        <f>IF(B$20=0,0,B26/B$20)</f>
        <v>0.15625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8165.625</v>
      </c>
      <c r="C27" s="8">
        <v>261300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8615</v>
      </c>
      <c r="C28" s="96">
        <v>172300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7416.666666666667</v>
      </c>
      <c r="C29" s="96">
        <v>89000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-7356.25</v>
      </c>
      <c r="C30" s="96">
        <v>-117700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30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1.020408163265306E-2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6.25E-2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7</v>
      </c>
      <c r="C38" s="6">
        <f t="shared" si="2"/>
        <v>0.21875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2"/>
        <v>0.1875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2"/>
        <v>0.1875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2"/>
        <v>6.25E-2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2"/>
        <v>0.125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6.25E-2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3.125E-2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3.125E-2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1</v>
      </c>
      <c r="C47" s="6">
        <f t="shared" si="2"/>
        <v>3.125E-2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9B4E3-20E7-4554-B821-3E0C249FE200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0.55555555555555558</v>
      </c>
      <c r="I2" s="57">
        <v>8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833.33333333333337</v>
      </c>
      <c r="Q2" s="76">
        <v>9</v>
      </c>
      <c r="R2" s="63">
        <v>7500</v>
      </c>
    </row>
    <row r="3" spans="1:18" x14ac:dyDescent="0.4">
      <c r="A3" s="19" t="s">
        <v>8</v>
      </c>
      <c r="B3" s="135">
        <v>82</v>
      </c>
      <c r="C3" s="136"/>
      <c r="E3" s="27" t="s">
        <v>159</v>
      </c>
      <c r="F3" s="24" t="s">
        <v>160</v>
      </c>
      <c r="G3" s="12">
        <v>15</v>
      </c>
      <c r="H3" s="88">
        <f>IF(B$20=0,0,G3/B$20)</f>
        <v>0.55555555555555558</v>
      </c>
      <c r="I3" s="58">
        <v>2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800</v>
      </c>
      <c r="Q3" s="77">
        <v>8</v>
      </c>
      <c r="R3" s="64">
        <v>6400</v>
      </c>
    </row>
    <row r="4" spans="1:18" x14ac:dyDescent="0.4">
      <c r="A4" s="19" t="s">
        <v>6</v>
      </c>
      <c r="B4" s="137">
        <v>9.6999999999999993</v>
      </c>
      <c r="C4" s="138"/>
      <c r="E4" s="27" t="s">
        <v>64</v>
      </c>
      <c r="F4" s="24" t="s">
        <v>20</v>
      </c>
      <c r="G4" s="12">
        <v>11</v>
      </c>
      <c r="H4" s="88">
        <f>IF(B$20=0,0,G4/B$20)</f>
        <v>0.40740740740740738</v>
      </c>
      <c r="I4" s="58">
        <v>4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2937.5</v>
      </c>
      <c r="Q4" s="77">
        <v>8</v>
      </c>
      <c r="R4" s="64">
        <v>23500</v>
      </c>
    </row>
    <row r="5" spans="1:18" x14ac:dyDescent="0.4">
      <c r="A5" s="19" t="s">
        <v>7</v>
      </c>
      <c r="B5" s="125">
        <f>IF(B$2=0,0,B$4/B$2)</f>
        <v>1.0777777777777777</v>
      </c>
      <c r="C5" s="126"/>
      <c r="E5" s="27" t="s">
        <v>72</v>
      </c>
      <c r="F5" s="24" t="s">
        <v>27</v>
      </c>
      <c r="G5" s="12">
        <v>11</v>
      </c>
      <c r="H5" s="88">
        <f>IF(B$20=0,0,G5/B$20)</f>
        <v>0.40740740740740738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1275</v>
      </c>
      <c r="Q5" s="77">
        <v>8</v>
      </c>
      <c r="R5" s="64">
        <v>10200</v>
      </c>
    </row>
    <row r="6" spans="1:18" x14ac:dyDescent="0.4">
      <c r="A6" s="19" t="s">
        <v>196</v>
      </c>
      <c r="B6" s="129">
        <v>1522.4359701425333</v>
      </c>
      <c r="C6" s="130"/>
      <c r="E6" s="27" t="s">
        <v>68</v>
      </c>
      <c r="F6" s="24" t="s">
        <v>12</v>
      </c>
      <c r="G6" s="12">
        <v>10</v>
      </c>
      <c r="H6" s="88">
        <f>IF(B$20=0,0,G6/B$20)</f>
        <v>0.37037037037037035</v>
      </c>
      <c r="I6" s="58">
        <v>3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-650</v>
      </c>
      <c r="Q6" s="77">
        <v>8</v>
      </c>
      <c r="R6" s="64">
        <v>-5200</v>
      </c>
    </row>
    <row r="7" spans="1:18" x14ac:dyDescent="0.4">
      <c r="A7" s="19" t="s">
        <v>1</v>
      </c>
      <c r="B7" s="139">
        <f>IF(B$2=0,0,(B$8*1+B$9*2+B$10*3)/B$2)</f>
        <v>1.8888888888888888</v>
      </c>
      <c r="C7" s="140"/>
      <c r="E7" s="27" t="s">
        <v>70</v>
      </c>
      <c r="F7" s="24" t="s">
        <v>25</v>
      </c>
      <c r="G7" s="12">
        <v>7</v>
      </c>
      <c r="H7" s="88">
        <f>IF(B$20=0,0,G7/B$20)</f>
        <v>0.25925925925925924</v>
      </c>
      <c r="I7" s="58">
        <v>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-2614.2857142857142</v>
      </c>
      <c r="Q7" s="78">
        <v>7</v>
      </c>
      <c r="R7" s="65">
        <v>-18300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0.33333333333333331</v>
      </c>
      <c r="E8" s="27" t="s">
        <v>71</v>
      </c>
      <c r="F8" s="24" t="s">
        <v>26</v>
      </c>
      <c r="G8" s="12">
        <v>4</v>
      </c>
      <c r="H8" s="88">
        <f>IF(B$20=0,0,G8/B$20)</f>
        <v>0.14814814814814814</v>
      </c>
      <c r="I8" s="58">
        <v>1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0.44444444444444442</v>
      </c>
      <c r="E9" s="27" t="s">
        <v>67</v>
      </c>
      <c r="F9" s="24" t="s">
        <v>23</v>
      </c>
      <c r="G9" s="12">
        <v>3</v>
      </c>
      <c r="H9" s="88">
        <f>IF(B$20=0,0,G9/B$20)</f>
        <v>0.1111111111111111</v>
      </c>
      <c r="I9" s="58">
        <v>10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0.22222222222222221</v>
      </c>
      <c r="E10" s="27" t="s">
        <v>89</v>
      </c>
      <c r="F10" s="24" t="s">
        <v>44</v>
      </c>
      <c r="G10" s="12">
        <v>3</v>
      </c>
      <c r="H10" s="88">
        <f>IF(B$20=0,0,G10/B$20)</f>
        <v>0.1111111111111111</v>
      </c>
      <c r="I10" s="58">
        <v>9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-7.8</v>
      </c>
      <c r="Q10" s="76">
        <v>5</v>
      </c>
      <c r="R10" s="67">
        <v>-39</v>
      </c>
    </row>
    <row r="11" spans="1:18" x14ac:dyDescent="0.4">
      <c r="A11" s="20" t="s">
        <v>184</v>
      </c>
      <c r="B11" s="109">
        <f>IF(B8=0,0,C11/B8)</f>
        <v>23.166666666666668</v>
      </c>
      <c r="C11" s="110">
        <v>69.5</v>
      </c>
      <c r="E11" s="27" t="s">
        <v>69</v>
      </c>
      <c r="F11" s="24" t="s">
        <v>24</v>
      </c>
      <c r="G11" s="12">
        <v>2</v>
      </c>
      <c r="H11" s="88">
        <f>IF(B$20=0,0,G11/B$20)</f>
        <v>7.407407407407407E-2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8.9499999999999993</v>
      </c>
      <c r="Q11" s="77">
        <v>2</v>
      </c>
      <c r="R11" s="68">
        <v>17.899999999999999</v>
      </c>
    </row>
    <row r="12" spans="1:18" x14ac:dyDescent="0.4">
      <c r="A12" s="20" t="s">
        <v>185</v>
      </c>
      <c r="B12" s="109">
        <f>IF(B9=0,0,C12/B9)</f>
        <v>-3.5</v>
      </c>
      <c r="C12" s="110">
        <v>-14</v>
      </c>
      <c r="E12" s="27" t="s">
        <v>73</v>
      </c>
      <c r="F12" s="24" t="s">
        <v>28</v>
      </c>
      <c r="G12" s="12">
        <v>1</v>
      </c>
      <c r="H12" s="88">
        <f>IF(B$20=0,0,G12/B$20)</f>
        <v>3.7037037037037035E-2</v>
      </c>
      <c r="I12" s="58">
        <v>1</v>
      </c>
      <c r="O12" s="75" t="s">
        <v>153</v>
      </c>
      <c r="P12" s="84">
        <f>IF(Q12=0,0,R12/Q12)</f>
        <v>15.4</v>
      </c>
      <c r="Q12" s="78">
        <v>2</v>
      </c>
      <c r="R12" s="69">
        <v>30.8</v>
      </c>
    </row>
    <row r="13" spans="1:18" x14ac:dyDescent="0.4">
      <c r="A13" s="20" t="s">
        <v>186</v>
      </c>
      <c r="B13" s="109">
        <f>IF(B10=0,0,C13/B10)</f>
        <v>-22.9</v>
      </c>
      <c r="C13" s="110">
        <v>-45.8</v>
      </c>
      <c r="E13" s="27" t="s">
        <v>78</v>
      </c>
      <c r="F13" s="24" t="s">
        <v>33</v>
      </c>
      <c r="G13" s="12">
        <v>1</v>
      </c>
      <c r="H13" s="88">
        <f>IF(B$20=0,0,G13/B$20)</f>
        <v>3.7037037037037035E-2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-1.0777777777777768</v>
      </c>
      <c r="C14" s="126"/>
      <c r="E14" s="27" t="s">
        <v>79</v>
      </c>
      <c r="F14" s="24" t="s">
        <v>34</v>
      </c>
      <c r="G14" s="12">
        <v>1</v>
      </c>
      <c r="H14" s="88">
        <f>IF(B$20=0,0,G14/B$20)</f>
        <v>3.7037037037037035E-2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86</v>
      </c>
      <c r="F15" s="24" t="s">
        <v>41</v>
      </c>
      <c r="G15" s="12">
        <v>1</v>
      </c>
      <c r="H15" s="88">
        <f>IF(B$20=0,0,G15/B$20)</f>
        <v>3.7037037037037035E-2</v>
      </c>
      <c r="I15" s="58">
        <v>6</v>
      </c>
      <c r="O15" s="73" t="s">
        <v>163</v>
      </c>
      <c r="P15" s="82">
        <f>IF(Q15=0,0,R15/Q15)</f>
        <v>40.900000000000006</v>
      </c>
      <c r="Q15" s="76">
        <v>2</v>
      </c>
      <c r="R15" s="67">
        <v>81.800000000000011</v>
      </c>
    </row>
    <row r="16" spans="1:18" x14ac:dyDescent="0.4">
      <c r="A16" s="22" t="s">
        <v>121</v>
      </c>
      <c r="B16" s="15">
        <v>20</v>
      </c>
      <c r="C16" s="10">
        <f>IF(B$3=0,0,B16/B$3)</f>
        <v>0.24390243902439024</v>
      </c>
      <c r="E16" s="27" t="s">
        <v>155</v>
      </c>
      <c r="F16" s="24" t="s">
        <v>156</v>
      </c>
      <c r="G16" s="12">
        <v>1</v>
      </c>
      <c r="H16" s="88">
        <f>IF(B$20=0,0,G16/B$20)</f>
        <v>3.7037037037037035E-2</v>
      </c>
      <c r="I16" s="58">
        <v>2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16</v>
      </c>
      <c r="C17" s="6">
        <f>IF(B$3=0,0,B17/B$3)</f>
        <v>0.1951219512195122</v>
      </c>
      <c r="E17" s="27" t="s">
        <v>65</v>
      </c>
      <c r="F17" s="24" t="s">
        <v>21</v>
      </c>
      <c r="G17" s="12">
        <v>0</v>
      </c>
      <c r="H17" s="88">
        <f>IF(B$20=0,0,G17/B$20)</f>
        <v>0</v>
      </c>
      <c r="I17" s="58">
        <v>8</v>
      </c>
      <c r="O17" s="74" t="s">
        <v>221</v>
      </c>
      <c r="P17" s="83">
        <f>IF(Q17=0,0,R17/Q17)</f>
        <v>17</v>
      </c>
      <c r="Q17" s="77">
        <v>1</v>
      </c>
      <c r="R17" s="68">
        <v>17</v>
      </c>
    </row>
    <row r="18" spans="1:18" x14ac:dyDescent="0.4">
      <c r="A18" s="18" t="s">
        <v>123</v>
      </c>
      <c r="B18" s="11">
        <f>B24</f>
        <v>12</v>
      </c>
      <c r="C18" s="5">
        <f>IF(B$16=0,0,B18/B$16)</f>
        <v>0.6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O18" s="74" t="s">
        <v>189</v>
      </c>
      <c r="P18" s="83">
        <f>IF(Q18=0,0,R18/Q18)</f>
        <v>16.600000000000001</v>
      </c>
      <c r="Q18" s="77">
        <v>3</v>
      </c>
      <c r="R18" s="68">
        <v>49.800000000000004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O19" s="74" t="s">
        <v>195</v>
      </c>
      <c r="P19" s="83">
        <f>IF(Q19=0,0,R19/Q19)</f>
        <v>-8.7333333333333343</v>
      </c>
      <c r="Q19" s="77">
        <v>3</v>
      </c>
      <c r="R19" s="68">
        <v>-26.200000000000003</v>
      </c>
    </row>
    <row r="20" spans="1:18" x14ac:dyDescent="0.4">
      <c r="A20" s="18" t="s">
        <v>10</v>
      </c>
      <c r="B20" s="11">
        <f>B23+B22</f>
        <v>27</v>
      </c>
      <c r="C20" s="5">
        <f>IF(B$3=0,0,B20/B$3)</f>
        <v>0.32926829268292684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O20" s="74" t="s">
        <v>126</v>
      </c>
      <c r="P20" s="83">
        <f>IF(Q20=0,0,R20/Q20)</f>
        <v>-16.028571428571428</v>
      </c>
      <c r="Q20" s="77">
        <v>7</v>
      </c>
      <c r="R20" s="68">
        <v>-112.19999999999999</v>
      </c>
    </row>
    <row r="21" spans="1:18" x14ac:dyDescent="0.4">
      <c r="A21" s="19" t="s">
        <v>13</v>
      </c>
      <c r="B21" s="12">
        <v>9</v>
      </c>
      <c r="C21" s="6">
        <f>IF(B$3=0,0,B21/B$3)</f>
        <v>0.10975609756097561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O21" s="74" t="s">
        <v>211</v>
      </c>
      <c r="P21" s="83">
        <f>IF(Q21=0,0,R21/Q21)</f>
        <v>-16.2</v>
      </c>
      <c r="Q21" s="77">
        <v>1</v>
      </c>
      <c r="R21" s="68">
        <v>-16.2</v>
      </c>
    </row>
    <row r="22" spans="1:18" x14ac:dyDescent="0.4">
      <c r="A22" s="19" t="s">
        <v>12</v>
      </c>
      <c r="B22" s="12">
        <v>11</v>
      </c>
      <c r="C22" s="6">
        <f>IF(B$20=0,0,B22/B$20)</f>
        <v>0.40740740740740738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0.59259259259259256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">
      <c r="A24" s="19" t="s">
        <v>183</v>
      </c>
      <c r="B24" s="12">
        <v>12</v>
      </c>
      <c r="C24" s="6">
        <f>IF(B$20=0,0,B24/B$20)</f>
        <v>0.44444444444444442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0.29629629629629628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7</v>
      </c>
    </row>
    <row r="26" spans="1:18" x14ac:dyDescent="0.4">
      <c r="A26" s="19" t="s">
        <v>182</v>
      </c>
      <c r="B26" s="12">
        <v>7</v>
      </c>
      <c r="C26" s="6">
        <f>IF(B$20=0,0,B26/B$20)</f>
        <v>0.25925925925925924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6414.8148148148148</v>
      </c>
      <c r="C27" s="8">
        <v>173200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165</v>
      </c>
      <c r="B28" s="95">
        <f>IF($B$20-B$19=0,0,C28/($B$20-B$19))</f>
        <v>7310.5263157894733</v>
      </c>
      <c r="C28" s="96">
        <v>138900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4287.5</v>
      </c>
      <c r="C29" s="96">
        <v>34300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-7955.5555555555557</v>
      </c>
      <c r="C30" s="96">
        <v>-71600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4</v>
      </c>
      <c r="C31" s="90">
        <v>1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14</v>
      </c>
      <c r="C32" s="90">
        <v>6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56300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7.407407407407407E-2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0.29629629629629628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4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2"/>
        <v>0.22222222222222221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0.18518518518518517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3.7037037037037035E-2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9A67F-0462-44DC-B0A2-5CC4688D5D15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66</v>
      </c>
      <c r="F2" s="23" t="s">
        <v>22</v>
      </c>
      <c r="G2" s="11">
        <v>12</v>
      </c>
      <c r="H2" s="87">
        <f>IF(B$20=0,0,G2/B$20)</f>
        <v>0.63157894736842102</v>
      </c>
      <c r="I2" s="57">
        <v>6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1180</v>
      </c>
      <c r="Q2" s="76">
        <v>10</v>
      </c>
      <c r="R2" s="63">
        <v>11800</v>
      </c>
    </row>
    <row r="3" spans="1:18" x14ac:dyDescent="0.4">
      <c r="A3" s="19" t="s">
        <v>8</v>
      </c>
      <c r="B3" s="135">
        <v>78</v>
      </c>
      <c r="C3" s="136"/>
      <c r="E3" s="27" t="s">
        <v>72</v>
      </c>
      <c r="F3" s="24" t="s">
        <v>27</v>
      </c>
      <c r="G3" s="12">
        <v>12</v>
      </c>
      <c r="H3" s="88">
        <f>IF(B$20=0,0,G3/B$20)</f>
        <v>0.63157894736842102</v>
      </c>
      <c r="I3" s="58">
        <v>6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770</v>
      </c>
      <c r="Q3" s="77">
        <v>10</v>
      </c>
      <c r="R3" s="64">
        <v>7700</v>
      </c>
    </row>
    <row r="4" spans="1:18" x14ac:dyDescent="0.4">
      <c r="A4" s="19" t="s">
        <v>6</v>
      </c>
      <c r="B4" s="137">
        <v>14.100000000000005</v>
      </c>
      <c r="C4" s="138"/>
      <c r="E4" s="27" t="s">
        <v>64</v>
      </c>
      <c r="F4" s="24" t="s">
        <v>20</v>
      </c>
      <c r="G4" s="12">
        <v>8</v>
      </c>
      <c r="H4" s="88">
        <f>IF(B$20=0,0,G4/B$20)</f>
        <v>0.42105263157894735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-3420</v>
      </c>
      <c r="Q4" s="77">
        <v>10</v>
      </c>
      <c r="R4" s="64">
        <v>-34200</v>
      </c>
    </row>
    <row r="5" spans="1:18" x14ac:dyDescent="0.4">
      <c r="A5" s="19" t="s">
        <v>7</v>
      </c>
      <c r="B5" s="125">
        <f>IF(B$2=0,0,B$4/B$2)</f>
        <v>1.4100000000000006</v>
      </c>
      <c r="C5" s="126"/>
      <c r="E5" s="27" t="s">
        <v>159</v>
      </c>
      <c r="F5" s="24" t="s">
        <v>160</v>
      </c>
      <c r="G5" s="12">
        <v>6</v>
      </c>
      <c r="H5" s="88">
        <f>IF(B$20=0,0,G5/B$20)</f>
        <v>0.31578947368421051</v>
      </c>
      <c r="I5" s="58">
        <v>9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-866.66666666666663</v>
      </c>
      <c r="Q5" s="77">
        <v>9</v>
      </c>
      <c r="R5" s="64">
        <v>-7800</v>
      </c>
    </row>
    <row r="6" spans="1:18" x14ac:dyDescent="0.4">
      <c r="A6" s="19" t="s">
        <v>196</v>
      </c>
      <c r="B6" s="129">
        <v>1505.4057135817091</v>
      </c>
      <c r="C6" s="130"/>
      <c r="E6" s="27" t="s">
        <v>68</v>
      </c>
      <c r="F6" s="24" t="s">
        <v>12</v>
      </c>
      <c r="G6" s="12">
        <v>4</v>
      </c>
      <c r="H6" s="88">
        <f>IF(B$20=0,0,G6/B$20)</f>
        <v>0.21052631578947367</v>
      </c>
      <c r="I6" s="58">
        <v>9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-600</v>
      </c>
      <c r="Q6" s="77">
        <v>7</v>
      </c>
      <c r="R6" s="64">
        <v>-4200</v>
      </c>
    </row>
    <row r="7" spans="1:18" x14ac:dyDescent="0.4">
      <c r="A7" s="19" t="s">
        <v>1</v>
      </c>
      <c r="B7" s="139">
        <f>IF(B$2=0,0,(B$8*1+B$9*2+B$10*3)/B$2)</f>
        <v>1.9</v>
      </c>
      <c r="C7" s="140"/>
      <c r="E7" s="27" t="s">
        <v>89</v>
      </c>
      <c r="F7" s="24" t="s">
        <v>44</v>
      </c>
      <c r="G7" s="12">
        <v>4</v>
      </c>
      <c r="H7" s="88">
        <f>IF(B$20=0,0,G7/B$20)</f>
        <v>0.21052631578947367</v>
      </c>
      <c r="I7" s="58">
        <v>4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3850</v>
      </c>
      <c r="Q7" s="78">
        <v>8</v>
      </c>
      <c r="R7" s="65">
        <v>30800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0.4</v>
      </c>
      <c r="E8" s="27" t="s">
        <v>65</v>
      </c>
      <c r="F8" s="24" t="s">
        <v>21</v>
      </c>
      <c r="G8" s="12">
        <v>3</v>
      </c>
      <c r="H8" s="88">
        <f>IF(B$20=0,0,G8/B$20)</f>
        <v>0.15789473684210525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0.3</v>
      </c>
      <c r="E9" s="27" t="s">
        <v>67</v>
      </c>
      <c r="F9" s="24" t="s">
        <v>23</v>
      </c>
      <c r="G9" s="12">
        <v>3</v>
      </c>
      <c r="H9" s="88">
        <f>IF(B$20=0,0,G9/B$20)</f>
        <v>0.15789473684210525</v>
      </c>
      <c r="I9" s="58">
        <v>8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0.3</v>
      </c>
      <c r="E10" s="27" t="s">
        <v>86</v>
      </c>
      <c r="F10" s="24" t="s">
        <v>41</v>
      </c>
      <c r="G10" s="12">
        <v>3</v>
      </c>
      <c r="H10" s="88">
        <f>IF(B$20=0,0,G10/B$20)</f>
        <v>0.15789473684210525</v>
      </c>
      <c r="I10" s="58">
        <v>1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0.33333333333333331</v>
      </c>
      <c r="Q10" s="76">
        <v>3</v>
      </c>
      <c r="R10" s="67">
        <v>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70</v>
      </c>
      <c r="F11" s="24" t="s">
        <v>25</v>
      </c>
      <c r="G11" s="12">
        <v>2</v>
      </c>
      <c r="H11" s="88">
        <f>IF(B$20=0,0,G11/B$20)</f>
        <v>0.10526315789473684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-17.133333333333333</v>
      </c>
      <c r="Q11" s="77">
        <v>3</v>
      </c>
      <c r="R11" s="68">
        <v>-51.4</v>
      </c>
    </row>
    <row r="12" spans="1:18" x14ac:dyDescent="0.4">
      <c r="A12" s="20" t="s">
        <v>185</v>
      </c>
      <c r="B12" s="109">
        <f>IF(B9=0,0,C12/B9)</f>
        <v>-6.2666666666666666</v>
      </c>
      <c r="C12" s="110">
        <v>-18.8</v>
      </c>
      <c r="E12" s="27" t="s">
        <v>69</v>
      </c>
      <c r="F12" s="24" t="s">
        <v>24</v>
      </c>
      <c r="G12" s="12">
        <v>1</v>
      </c>
      <c r="H12" s="88">
        <f>IF(B$20=0,0,G12/B$20)</f>
        <v>5.2631578947368418E-2</v>
      </c>
      <c r="I12" s="58">
        <v>8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16.125</v>
      </c>
      <c r="Q12" s="78">
        <v>4</v>
      </c>
      <c r="R12" s="69">
        <v>64.5</v>
      </c>
    </row>
    <row r="13" spans="1:18" x14ac:dyDescent="0.4">
      <c r="A13" s="20" t="s">
        <v>186</v>
      </c>
      <c r="B13" s="109">
        <f>IF(B10=0,0,C13/B10)</f>
        <v>-40.866666666666667</v>
      </c>
      <c r="C13" s="110">
        <v>-122.6</v>
      </c>
      <c r="E13" s="27" t="s">
        <v>71</v>
      </c>
      <c r="F13" s="24" t="s">
        <v>26</v>
      </c>
      <c r="G13" s="12">
        <v>1</v>
      </c>
      <c r="H13" s="88">
        <f>IF(B$20=0,0,G13/B$20)</f>
        <v>5.2631578947368418E-2</v>
      </c>
      <c r="I13" s="58">
        <v>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-2.7527777777777778</v>
      </c>
      <c r="C14" s="126"/>
      <c r="E14" s="27" t="s">
        <v>77</v>
      </c>
      <c r="F14" s="24" t="s">
        <v>32</v>
      </c>
      <c r="G14" s="12">
        <v>1</v>
      </c>
      <c r="H14" s="88">
        <f>IF(B$20=0,0,G14/B$20)</f>
        <v>5.2631578947368418E-2</v>
      </c>
      <c r="I14" s="58">
        <v>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0.1</v>
      </c>
      <c r="E15" s="27" t="s">
        <v>85</v>
      </c>
      <c r="F15" s="24" t="s">
        <v>40</v>
      </c>
      <c r="G15" s="12">
        <v>1</v>
      </c>
      <c r="H15" s="88">
        <f>IF(B$20=0,0,G15/B$20)</f>
        <v>5.2631578947368418E-2</v>
      </c>
      <c r="I15" s="58">
        <v>1</v>
      </c>
      <c r="O15" s="73" t="s">
        <v>193</v>
      </c>
      <c r="P15" s="82">
        <f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21</v>
      </c>
      <c r="C16" s="10">
        <f>IF(B$3=0,0,B16/B$3)</f>
        <v>0.26923076923076922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4</v>
      </c>
      <c r="O16" s="74" t="s">
        <v>126</v>
      </c>
      <c r="P16" s="83">
        <f>IF(Q16=0,0,R16/Q16)</f>
        <v>14.040000000000001</v>
      </c>
      <c r="Q16" s="77">
        <v>5</v>
      </c>
      <c r="R16" s="68">
        <v>70.2</v>
      </c>
    </row>
    <row r="17" spans="1:18" x14ac:dyDescent="0.4">
      <c r="A17" s="19" t="s">
        <v>118</v>
      </c>
      <c r="B17" s="12">
        <v>17</v>
      </c>
      <c r="C17" s="6">
        <f>IF(B$3=0,0,B17/B$3)</f>
        <v>0.21794871794871795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211</v>
      </c>
      <c r="P17" s="83">
        <f>IF(Q17=0,0,R17/Q17)</f>
        <v>-9.4124999999999996</v>
      </c>
      <c r="Q17" s="77">
        <v>8</v>
      </c>
      <c r="R17" s="68">
        <v>-75.3</v>
      </c>
    </row>
    <row r="18" spans="1:18" x14ac:dyDescent="0.4">
      <c r="A18" s="18" t="s">
        <v>123</v>
      </c>
      <c r="B18" s="11">
        <f>B24</f>
        <v>9</v>
      </c>
      <c r="C18" s="5">
        <f>IF(B$16=0,0,B18/B$16)</f>
        <v>0.42857142857142855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3</v>
      </c>
      <c r="O18" s="74" t="s">
        <v>163</v>
      </c>
      <c r="P18" s="83">
        <f>IF(Q18=0,0,R18/Q18)</f>
        <v>-14.600000000000005</v>
      </c>
      <c r="Q18" s="77">
        <v>2</v>
      </c>
      <c r="R18" s="68">
        <v>-29.20000000000001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0.35294117647058826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1</v>
      </c>
      <c r="O19" s="74" t="s">
        <v>192</v>
      </c>
      <c r="P19" s="83">
        <f>IF(Q19=0,0,R19/Q19)</f>
        <v>-35.1</v>
      </c>
      <c r="Q19" s="77">
        <v>1</v>
      </c>
      <c r="R19" s="68">
        <v>-35.1</v>
      </c>
    </row>
    <row r="20" spans="1:18" x14ac:dyDescent="0.4">
      <c r="A20" s="18" t="s">
        <v>10</v>
      </c>
      <c r="B20" s="11">
        <f>B23+B22</f>
        <v>19</v>
      </c>
      <c r="C20" s="5">
        <f>IF(B$3=0,0,B20/B$3)</f>
        <v>0.24358974358974358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13</v>
      </c>
      <c r="C21" s="6">
        <f>IF(B$3=0,0,B21/B$3)</f>
        <v>0.16666666666666666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">
      <c r="A22" s="19" t="s">
        <v>12</v>
      </c>
      <c r="B22" s="12">
        <v>9</v>
      </c>
      <c r="C22" s="6">
        <f>IF(B$20=0,0,B22/B$20)</f>
        <v>0.47368421052631576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10</v>
      </c>
      <c r="C23" s="6">
        <f>IF(B$20=0,0,B23/B$20)</f>
        <v>0.52631578947368418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6</v>
      </c>
    </row>
    <row r="24" spans="1:18" x14ac:dyDescent="0.4">
      <c r="A24" s="19" t="s">
        <v>183</v>
      </c>
      <c r="B24" s="12">
        <v>9</v>
      </c>
      <c r="C24" s="6">
        <f>IF(B$20=0,0,B24/B$20)</f>
        <v>0.47368421052631576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0.31578947368421051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7</v>
      </c>
    </row>
    <row r="26" spans="1:18" x14ac:dyDescent="0.4">
      <c r="A26" s="19" t="s">
        <v>182</v>
      </c>
      <c r="B26" s="12">
        <v>4</v>
      </c>
      <c r="C26" s="6">
        <f>IF(B$20=0,0,B26/B$20)</f>
        <v>0.21052631578947367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7557.894736842105</v>
      </c>
      <c r="C27" s="8">
        <v>143600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9023.0769230769238</v>
      </c>
      <c r="C28" s="96">
        <v>117300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4383.333333333333</v>
      </c>
      <c r="C29" s="96">
        <v>26300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-6907.6923076923076</v>
      </c>
      <c r="C30" s="96">
        <v>-89800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4</v>
      </c>
      <c r="C37" s="98">
        <f t="shared" ref="C37:C49" si="2">IF(B$20=0,0,B37/B$20)</f>
        <v>0.21052631578947367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5</v>
      </c>
      <c r="C38" s="6">
        <f t="shared" si="2"/>
        <v>0.26315789473684209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0.10526315789473684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2"/>
        <v>0.10526315789473684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3</v>
      </c>
      <c r="C42" s="6">
        <f t="shared" si="2"/>
        <v>0.15789473684210525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0.10526315789473684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85E5-E45C-40DE-AE45-467D761B368D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3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8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7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4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3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7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4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7B332-52C9-4D9C-B46C-A853D758512E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64</v>
      </c>
      <c r="F2" s="23" t="s">
        <v>20</v>
      </c>
      <c r="G2" s="11">
        <v>7</v>
      </c>
      <c r="H2" s="87">
        <f>IF(B$20=0,0,G2/B$20)</f>
        <v>0.77777777777777779</v>
      </c>
      <c r="I2" s="57">
        <v>1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-6700</v>
      </c>
      <c r="Q2" s="76">
        <v>4</v>
      </c>
      <c r="R2" s="63">
        <v>-26800</v>
      </c>
    </row>
    <row r="3" spans="1:18" x14ac:dyDescent="0.4">
      <c r="A3" s="19" t="s">
        <v>8</v>
      </c>
      <c r="B3" s="135">
        <v>36</v>
      </c>
      <c r="C3" s="136"/>
      <c r="E3" s="27" t="s">
        <v>67</v>
      </c>
      <c r="F3" s="24" t="s">
        <v>23</v>
      </c>
      <c r="G3" s="12">
        <v>7</v>
      </c>
      <c r="H3" s="88">
        <f>IF(B$20=0,0,G3/B$20)</f>
        <v>0.77777777777777779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1925</v>
      </c>
      <c r="Q3" s="77">
        <v>4</v>
      </c>
      <c r="R3" s="64">
        <v>7700</v>
      </c>
    </row>
    <row r="4" spans="1:18" x14ac:dyDescent="0.4">
      <c r="A4" s="19" t="s">
        <v>6</v>
      </c>
      <c r="B4" s="137">
        <v>-14.699999999999996</v>
      </c>
      <c r="C4" s="138"/>
      <c r="E4" s="27" t="s">
        <v>68</v>
      </c>
      <c r="F4" s="24" t="s">
        <v>12</v>
      </c>
      <c r="G4" s="12">
        <v>7</v>
      </c>
      <c r="H4" s="88">
        <f>IF(B$20=0,0,G4/B$20)</f>
        <v>0.77777777777777779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-1950</v>
      </c>
      <c r="Q4" s="77">
        <v>4</v>
      </c>
      <c r="R4" s="64">
        <v>-7800</v>
      </c>
    </row>
    <row r="5" spans="1:18" x14ac:dyDescent="0.4">
      <c r="A5" s="19" t="s">
        <v>7</v>
      </c>
      <c r="B5" s="125">
        <f>IF(B$2=0,0,B$4/B$2)</f>
        <v>-3.6749999999999989</v>
      </c>
      <c r="C5" s="126"/>
      <c r="E5" s="27" t="s">
        <v>66</v>
      </c>
      <c r="F5" s="24" t="s">
        <v>22</v>
      </c>
      <c r="G5" s="12">
        <v>5</v>
      </c>
      <c r="H5" s="88">
        <f>IF(B$20=0,0,G5/B$20)</f>
        <v>0.55555555555555558</v>
      </c>
      <c r="I5" s="58">
        <v>8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-2375</v>
      </c>
      <c r="Q5" s="77">
        <v>4</v>
      </c>
      <c r="R5" s="64">
        <v>-9500</v>
      </c>
    </row>
    <row r="6" spans="1:18" x14ac:dyDescent="0.4">
      <c r="A6" s="19" t="s">
        <v>196</v>
      </c>
      <c r="B6" s="129">
        <v>1393.6019525837494</v>
      </c>
      <c r="C6" s="130"/>
      <c r="E6" s="27" t="s">
        <v>159</v>
      </c>
      <c r="F6" s="24" t="s">
        <v>160</v>
      </c>
      <c r="G6" s="12">
        <v>4</v>
      </c>
      <c r="H6" s="88">
        <f>IF(B$20=0,0,G6/B$20)</f>
        <v>0.44444444444444442</v>
      </c>
      <c r="I6" s="58">
        <v>3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1300</v>
      </c>
      <c r="Q6" s="77">
        <v>4</v>
      </c>
      <c r="R6" s="64">
        <v>5200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3</v>
      </c>
      <c r="H7" s="88">
        <f>IF(B$20=0,0,G7/B$20)</f>
        <v>0.33333333333333331</v>
      </c>
      <c r="I7" s="58">
        <v>2</v>
      </c>
      <c r="O7" s="75" t="s">
        <v>133</v>
      </c>
      <c r="P7" s="81">
        <f t="shared" si="0"/>
        <v>4125</v>
      </c>
      <c r="Q7" s="78">
        <v>4</v>
      </c>
      <c r="R7" s="65">
        <v>16500</v>
      </c>
    </row>
    <row r="8" spans="1:18" x14ac:dyDescent="0.4">
      <c r="A8" s="19" t="s">
        <v>2</v>
      </c>
      <c r="B8" s="12">
        <v>2</v>
      </c>
      <c r="C8" s="6">
        <f t="shared" ref="C8:C15" si="1">IF(B$2=0,0,B8/B$2)</f>
        <v>0.5</v>
      </c>
      <c r="E8" s="27" t="s">
        <v>72</v>
      </c>
      <c r="F8" s="24" t="s">
        <v>27</v>
      </c>
      <c r="G8" s="12">
        <v>3</v>
      </c>
      <c r="H8" s="88">
        <f>IF(B$20=0,0,G8/B$20)</f>
        <v>0.33333333333333331</v>
      </c>
      <c r="I8" s="58">
        <v>10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65</v>
      </c>
      <c r="F9" s="24" t="s">
        <v>21</v>
      </c>
      <c r="G9" s="12">
        <v>2</v>
      </c>
      <c r="H9" s="88">
        <f>IF(B$20=0,0,G9/B$20)</f>
        <v>0.22222222222222221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70</v>
      </c>
      <c r="F10" s="24" t="s">
        <v>25</v>
      </c>
      <c r="G10" s="12">
        <v>1</v>
      </c>
      <c r="H10" s="88">
        <f>IF(B$20=0,0,G10/B$20)</f>
        <v>0.1111111111111111</v>
      </c>
      <c r="I10" s="58">
        <v>3</v>
      </c>
      <c r="O10" s="73" t="s">
        <v>151</v>
      </c>
      <c r="P10" s="82">
        <f>IF(Q10=0,0,R10/Q10)</f>
        <v>-24.2</v>
      </c>
      <c r="Q10" s="76">
        <v>1</v>
      </c>
      <c r="R10" s="67">
        <v>-24.2</v>
      </c>
    </row>
    <row r="11" spans="1:18" x14ac:dyDescent="0.4">
      <c r="A11" s="20" t="s">
        <v>184</v>
      </c>
      <c r="B11" s="109">
        <f>IF(B8=0,0,C11/B8)</f>
        <v>21.15</v>
      </c>
      <c r="C11" s="110">
        <v>42.3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8</v>
      </c>
      <c r="O11" s="74" t="s">
        <v>152</v>
      </c>
      <c r="P11" s="83">
        <f>IF(Q11=0,0,R11/Q11)</f>
        <v>18</v>
      </c>
      <c r="Q11" s="77">
        <v>1</v>
      </c>
      <c r="R11" s="68">
        <v>18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4</v>
      </c>
      <c r="O12" s="75" t="s">
        <v>153</v>
      </c>
      <c r="P12" s="84">
        <f>IF(Q12=0,0,R12/Q12)</f>
        <v>-4.2499999999999982</v>
      </c>
      <c r="Q12" s="78">
        <v>2</v>
      </c>
      <c r="R12" s="69">
        <v>-8.4999999999999964</v>
      </c>
    </row>
    <row r="13" spans="1:18" x14ac:dyDescent="0.4">
      <c r="A13" s="20" t="s">
        <v>186</v>
      </c>
      <c r="B13" s="109">
        <f>IF(B10=0,0,C13/B10)</f>
        <v>-28.5</v>
      </c>
      <c r="C13" s="110">
        <v>-57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-2.4500000000000006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192</v>
      </c>
      <c r="P15" s="82">
        <f>IF(Q15=0,0,R15/Q15)</f>
        <v>8.7333333333333307</v>
      </c>
      <c r="Q15" s="76">
        <v>3</v>
      </c>
      <c r="R15" s="67">
        <v>26.199999999999992</v>
      </c>
    </row>
    <row r="16" spans="1:18" x14ac:dyDescent="0.4">
      <c r="A16" s="22" t="s">
        <v>121</v>
      </c>
      <c r="B16" s="15">
        <v>9</v>
      </c>
      <c r="C16" s="10">
        <f>IF(B$3=0,0,B16/B$3)</f>
        <v>0.25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221</v>
      </c>
      <c r="P16" s="83">
        <f>IF(Q16=0,0,R16/Q16)</f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2</v>
      </c>
      <c r="C17" s="6">
        <f>IF(B$3=0,0,B17/B$3)</f>
        <v>5.5555555555555552E-2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7</v>
      </c>
      <c r="O17" s="74" t="s">
        <v>126</v>
      </c>
      <c r="P17" s="83">
        <f>IF(Q17=0,0,R17/Q17)</f>
        <v>-16.600000000000001</v>
      </c>
      <c r="Q17" s="77">
        <v>2</v>
      </c>
      <c r="R17" s="68">
        <v>-33.200000000000003</v>
      </c>
    </row>
    <row r="18" spans="1:18" x14ac:dyDescent="0.4">
      <c r="A18" s="18" t="s">
        <v>123</v>
      </c>
      <c r="B18" s="11">
        <f>B24</f>
        <v>7</v>
      </c>
      <c r="C18" s="5">
        <f>IF(B$16=0,0,B18/B$16)</f>
        <v>0.77777777777777779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4</v>
      </c>
      <c r="O18" s="74" t="s">
        <v>211</v>
      </c>
      <c r="P18" s="83">
        <f>IF(Q18=0,0,R18/Q18)</f>
        <v>-44.4</v>
      </c>
      <c r="Q18" s="77">
        <v>1</v>
      </c>
      <c r="R18" s="68">
        <v>-44.4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18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18" x14ac:dyDescent="0.4">
      <c r="A21" s="19" t="s">
        <v>13</v>
      </c>
      <c r="B21" s="12">
        <v>5</v>
      </c>
      <c r="C21" s="6">
        <f>IF(B$3=0,0,B21/B$3)</f>
        <v>0.1388888888888889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7</v>
      </c>
      <c r="C22" s="6">
        <f>IF(B$20=0,0,B22/B$20)</f>
        <v>0.77777777777777779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2</v>
      </c>
      <c r="C23" s="6">
        <f>IF(B$20=0,0,B23/B$20)</f>
        <v>0.22222222222222221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7</v>
      </c>
      <c r="C24" s="6">
        <f>IF(B$20=0,0,B24/B$20)</f>
        <v>0.77777777777777779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1</v>
      </c>
      <c r="C25" s="6">
        <f>IF(B$20=0,0,B25/B$20)</f>
        <v>0.1111111111111111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8</v>
      </c>
    </row>
    <row r="26" spans="1:18" x14ac:dyDescent="0.4">
      <c r="A26" s="19" t="s">
        <v>182</v>
      </c>
      <c r="B26" s="12">
        <v>1</v>
      </c>
      <c r="C26" s="6">
        <f>IF(B$20=0,0,B26/B$20)</f>
        <v>0.1111111111111111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9022.2222222222226</v>
      </c>
      <c r="C27" s="8">
        <v>81200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9662.5</v>
      </c>
      <c r="C28" s="96">
        <v>77300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11</v>
      </c>
    </row>
    <row r="29" spans="1:18" x14ac:dyDescent="0.4">
      <c r="A29" s="20" t="s">
        <v>166</v>
      </c>
      <c r="B29" s="95">
        <f>IF(B$19=0,0,C29/B$19)</f>
        <v>3900</v>
      </c>
      <c r="C29" s="96">
        <v>3900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-6380</v>
      </c>
      <c r="C30" s="96">
        <v>-31900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15</v>
      </c>
      <c r="C32" s="90">
        <v>15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49300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2"/>
        <v>0.33333333333333331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2</v>
      </c>
      <c r="C41" s="6">
        <f t="shared" si="2"/>
        <v>0.22222222222222221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B1801-A1E7-4270-88F1-573D082D6413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5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10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8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9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9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3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6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7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3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8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4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1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4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90BFF-D77C-4B49-B8CB-89A121D12E54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2D3C4-8E30-4422-9C4A-2F72902047D1}">
  <sheetPr codeName="Sheet24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E345C-B0B5-4A6E-8636-2DD6ED48B0ED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89F9-D069-4881-A430-256BF31B30A8}">
  <sheetPr codeName="Sheet2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7D522-E56F-4E76-889D-C27B5CA9EB28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01C99-4A55-4E0C-B9A8-C764FE62D11E}">
  <sheetPr codeName="Sheet16"/>
  <dimension ref="A1:Q1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EE297-C23E-4477-889B-68C0C74470E4}">
  <sheetPr codeName="Sheet14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94BE2-417A-44A8-8F08-EE6347AC47BD}">
  <sheetPr codeName="Sheet1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2EC5A-DE22-48D5-8D8D-EFEDD4466168}">
  <sheetPr codeName="Sheet10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13FF0-9B96-4153-8627-10F9828A0A01}">
  <sheetPr codeName="Sheet8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0F1A-B7CE-4804-B0A3-530DCE4148C5}">
  <sheetPr codeName="Sheet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2020-10-13T13:48:06Z</dcterms:modified>
</cp:coreProperties>
</file>